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723135" documentId="114_{4C9766C2-934B-FE43-8898-95272A9847CE}" xr6:coauthVersionLast="45" xr6:coauthVersionMax="45" xr10:uidLastSave="{54B4967C-3162-41AF-9BC6-C3A554D06864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53" i="1" l="1"/>
  <c r="AC53" i="1"/>
  <c r="AD52" i="1"/>
  <c r="AC52" i="1"/>
  <c r="AC51" i="1"/>
  <c r="AD51" i="1"/>
  <c r="AD50" i="1"/>
  <c r="AC50" i="1"/>
  <c r="AD49" i="1"/>
  <c r="AE37" i="1" l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W34" i="1" s="1"/>
  <c r="AV35" i="1"/>
  <c r="AV36" i="1"/>
  <c r="AV37" i="1"/>
  <c r="AV38" i="1"/>
  <c r="AV39" i="1"/>
  <c r="AV40" i="1"/>
  <c r="AV41" i="1"/>
  <c r="AV42" i="1"/>
  <c r="AW42" i="1" s="1"/>
  <c r="AV43" i="1"/>
  <c r="AV44" i="1"/>
  <c r="AV45" i="1"/>
  <c r="AV46" i="1"/>
  <c r="AV47" i="1"/>
  <c r="AV48" i="1"/>
  <c r="AV49" i="1"/>
  <c r="AV50" i="1"/>
  <c r="AW50" i="1" s="1"/>
  <c r="AV51" i="1"/>
  <c r="AV52" i="1"/>
  <c r="AV53" i="1"/>
  <c r="AV54" i="1"/>
  <c r="AV55" i="1"/>
  <c r="AV56" i="1"/>
  <c r="AV57" i="1"/>
  <c r="AV58" i="1"/>
  <c r="AW58" i="1" s="1"/>
  <c r="AV59" i="1"/>
  <c r="AV60" i="1"/>
  <c r="AV61" i="1"/>
  <c r="AV62" i="1"/>
  <c r="AV63" i="1"/>
  <c r="AV64" i="1"/>
  <c r="AV65" i="1"/>
  <c r="AV66" i="1"/>
  <c r="AW66" i="1" s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W106" i="1" s="1"/>
  <c r="AV107" i="1"/>
  <c r="AV108" i="1"/>
  <c r="AV109" i="1"/>
  <c r="AV110" i="1"/>
  <c r="AV111" i="1"/>
  <c r="AV112" i="1"/>
  <c r="AV113" i="1"/>
  <c r="AV114" i="1"/>
  <c r="AW114" i="1" s="1"/>
  <c r="AV115" i="1"/>
  <c r="AV116" i="1"/>
  <c r="AV117" i="1"/>
  <c r="AV118" i="1"/>
  <c r="AV119" i="1"/>
  <c r="AV120" i="1"/>
  <c r="AV121" i="1"/>
  <c r="AV122" i="1"/>
  <c r="AW122" i="1" s="1"/>
  <c r="AV123" i="1"/>
  <c r="AV124" i="1"/>
  <c r="AV125" i="1"/>
  <c r="AV126" i="1"/>
  <c r="AV127" i="1"/>
  <c r="AV128" i="1"/>
  <c r="AV129" i="1"/>
  <c r="AV130" i="1"/>
  <c r="AW130" i="1" s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W162" i="1" s="1"/>
  <c r="AV163" i="1"/>
  <c r="AV164" i="1"/>
  <c r="AV165" i="1"/>
  <c r="AV166" i="1"/>
  <c r="AV167" i="1"/>
  <c r="AV168" i="1"/>
  <c r="AV169" i="1"/>
  <c r="AV170" i="1"/>
  <c r="AW170" i="1" s="1"/>
  <c r="AV171" i="1"/>
  <c r="AV172" i="1"/>
  <c r="AV173" i="1"/>
  <c r="AV174" i="1"/>
  <c r="AV175" i="1"/>
  <c r="AV176" i="1"/>
  <c r="AV177" i="1"/>
  <c r="AV178" i="1"/>
  <c r="AW178" i="1" s="1"/>
  <c r="AV179" i="1"/>
  <c r="AV180" i="1"/>
  <c r="AV181" i="1"/>
  <c r="AV182" i="1"/>
  <c r="AV183" i="1"/>
  <c r="AV184" i="1"/>
  <c r="AV185" i="1"/>
  <c r="AV186" i="1"/>
  <c r="AW186" i="1" s="1"/>
  <c r="AV187" i="1"/>
  <c r="AV188" i="1"/>
  <c r="AV189" i="1"/>
  <c r="AV190" i="1"/>
  <c r="AV191" i="1"/>
  <c r="AV192" i="1"/>
  <c r="AV193" i="1"/>
  <c r="AV194" i="1"/>
  <c r="AW194" i="1" s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W226" i="1" s="1"/>
  <c r="AV227" i="1"/>
  <c r="AV228" i="1"/>
  <c r="AV229" i="1"/>
  <c r="AV230" i="1"/>
  <c r="AV231" i="1"/>
  <c r="AV232" i="1"/>
  <c r="AV233" i="1"/>
  <c r="AV234" i="1"/>
  <c r="AW234" i="1" s="1"/>
  <c r="AV235" i="1"/>
  <c r="AV236" i="1"/>
  <c r="AV237" i="1"/>
  <c r="AV238" i="1"/>
  <c r="AV239" i="1"/>
  <c r="AV240" i="1"/>
  <c r="AV241" i="1"/>
  <c r="AV242" i="1"/>
  <c r="AW242" i="1" s="1"/>
  <c r="AV243" i="1"/>
  <c r="AV244" i="1"/>
  <c r="AV245" i="1"/>
  <c r="AV246" i="1"/>
  <c r="AV247" i="1"/>
  <c r="AV248" i="1"/>
  <c r="AV249" i="1"/>
  <c r="AV250" i="1"/>
  <c r="AW250" i="1" s="1"/>
  <c r="AV251" i="1"/>
  <c r="AV252" i="1"/>
  <c r="AV253" i="1"/>
  <c r="AV254" i="1"/>
  <c r="AV255" i="1"/>
  <c r="AV256" i="1"/>
  <c r="AV257" i="1"/>
  <c r="AV258" i="1"/>
  <c r="AW258" i="1" s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W290" i="1" s="1"/>
  <c r="AV291" i="1"/>
  <c r="AV292" i="1"/>
  <c r="AV293" i="1"/>
  <c r="AV294" i="1"/>
  <c r="AV295" i="1"/>
  <c r="AV296" i="1"/>
  <c r="AV297" i="1"/>
  <c r="AV298" i="1"/>
  <c r="AW298" i="1" s="1"/>
  <c r="AV299" i="1"/>
  <c r="AV300" i="1"/>
  <c r="AV301" i="1"/>
  <c r="AV302" i="1"/>
  <c r="AV303" i="1"/>
  <c r="AV304" i="1"/>
  <c r="AV305" i="1"/>
  <c r="AV306" i="1"/>
  <c r="AW306" i="1" s="1"/>
  <c r="AV307" i="1"/>
  <c r="AV308" i="1"/>
  <c r="AV309" i="1"/>
  <c r="AV310" i="1"/>
  <c r="AV311" i="1"/>
  <c r="AV312" i="1"/>
  <c r="AV313" i="1"/>
  <c r="AV314" i="1"/>
  <c r="AW314" i="1" s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2" i="1"/>
  <c r="U13" i="1"/>
  <c r="AX3" i="1" s="1"/>
  <c r="I3" i="1"/>
  <c r="I2" i="1"/>
  <c r="AX362" i="1" l="1"/>
  <c r="AX354" i="1"/>
  <c r="AX346" i="1"/>
  <c r="AX338" i="1"/>
  <c r="AX330" i="1"/>
  <c r="AX322" i="1"/>
  <c r="AX314" i="1"/>
  <c r="AX306" i="1"/>
  <c r="AX298" i="1"/>
  <c r="AX290" i="1"/>
  <c r="AX282" i="1"/>
  <c r="AX274" i="1"/>
  <c r="AX266" i="1"/>
  <c r="AX258" i="1"/>
  <c r="AX250" i="1"/>
  <c r="AX242" i="1"/>
  <c r="AX234" i="1"/>
  <c r="AX226" i="1"/>
  <c r="AX218" i="1"/>
  <c r="AX210" i="1"/>
  <c r="AX202" i="1"/>
  <c r="AX194" i="1"/>
  <c r="AX186" i="1"/>
  <c r="AX178" i="1"/>
  <c r="AX170" i="1"/>
  <c r="AX162" i="1"/>
  <c r="AX154" i="1"/>
  <c r="AX146" i="1"/>
  <c r="AX138" i="1"/>
  <c r="AX130" i="1"/>
  <c r="AX122" i="1"/>
  <c r="AX114" i="1"/>
  <c r="AX106" i="1"/>
  <c r="AX98" i="1"/>
  <c r="AX90" i="1"/>
  <c r="AX82" i="1"/>
  <c r="AX74" i="1"/>
  <c r="AX66" i="1"/>
  <c r="AX58" i="1"/>
  <c r="AX50" i="1"/>
  <c r="AX42" i="1"/>
  <c r="AX34" i="1"/>
  <c r="AX26" i="1"/>
  <c r="AX18" i="1"/>
  <c r="AX10" i="1"/>
  <c r="AX361" i="1"/>
  <c r="AX353" i="1"/>
  <c r="AX345" i="1"/>
  <c r="AX337" i="1"/>
  <c r="AX329" i="1"/>
  <c r="AX321" i="1"/>
  <c r="AX313" i="1"/>
  <c r="AX305" i="1"/>
  <c r="AX297" i="1"/>
  <c r="AX289" i="1"/>
  <c r="AX281" i="1"/>
  <c r="AX273" i="1"/>
  <c r="AX265" i="1"/>
  <c r="AX257" i="1"/>
  <c r="AX249" i="1"/>
  <c r="AX241" i="1"/>
  <c r="AX233" i="1"/>
  <c r="AX225" i="1"/>
  <c r="AX217" i="1"/>
  <c r="AX209" i="1"/>
  <c r="AX201" i="1"/>
  <c r="AX193" i="1"/>
  <c r="AX185" i="1"/>
  <c r="AX177" i="1"/>
  <c r="AX169" i="1"/>
  <c r="AX161" i="1"/>
  <c r="AX153" i="1"/>
  <c r="AX145" i="1"/>
  <c r="AX137" i="1"/>
  <c r="AX129" i="1"/>
  <c r="AX121" i="1"/>
  <c r="AX113" i="1"/>
  <c r="AX105" i="1"/>
  <c r="AX97" i="1"/>
  <c r="AX89" i="1"/>
  <c r="AX81" i="1"/>
  <c r="AX73" i="1"/>
  <c r="AX65" i="1"/>
  <c r="AX57" i="1"/>
  <c r="AX49" i="1"/>
  <c r="AX41" i="1"/>
  <c r="AX33" i="1"/>
  <c r="AX25" i="1"/>
  <c r="AX17" i="1"/>
  <c r="AX9" i="1"/>
  <c r="AX360" i="1"/>
  <c r="AX352" i="1"/>
  <c r="AX344" i="1"/>
  <c r="AX336" i="1"/>
  <c r="AX328" i="1"/>
  <c r="AX320" i="1"/>
  <c r="AX312" i="1"/>
  <c r="AX304" i="1"/>
  <c r="AX296" i="1"/>
  <c r="AX288" i="1"/>
  <c r="AX280" i="1"/>
  <c r="AX272" i="1"/>
  <c r="AX264" i="1"/>
  <c r="AX256" i="1"/>
  <c r="AX248" i="1"/>
  <c r="AX240" i="1"/>
  <c r="AX232" i="1"/>
  <c r="AX224" i="1"/>
  <c r="AX216" i="1"/>
  <c r="AX208" i="1"/>
  <c r="AX200" i="1"/>
  <c r="AX192" i="1"/>
  <c r="AX184" i="1"/>
  <c r="AX176" i="1"/>
  <c r="AX168" i="1"/>
  <c r="AX160" i="1"/>
  <c r="AX152" i="1"/>
  <c r="AX144" i="1"/>
  <c r="AX136" i="1"/>
  <c r="AX128" i="1"/>
  <c r="AX120" i="1"/>
  <c r="AX112" i="1"/>
  <c r="AX104" i="1"/>
  <c r="AX96" i="1"/>
  <c r="AX88" i="1"/>
  <c r="AX80" i="1"/>
  <c r="AX72" i="1"/>
  <c r="AX64" i="1"/>
  <c r="AX56" i="1"/>
  <c r="AX48" i="1"/>
  <c r="AX40" i="1"/>
  <c r="AX32" i="1"/>
  <c r="AX24" i="1"/>
  <c r="AX16" i="1"/>
  <c r="AX8" i="1"/>
  <c r="AX359" i="1"/>
  <c r="AX351" i="1"/>
  <c r="AX343" i="1"/>
  <c r="AX335" i="1"/>
  <c r="AX327" i="1"/>
  <c r="AX319" i="1"/>
  <c r="AX311" i="1"/>
  <c r="AX303" i="1"/>
  <c r="AX295" i="1"/>
  <c r="AX287" i="1"/>
  <c r="AX279" i="1"/>
  <c r="AX271" i="1"/>
  <c r="AX263" i="1"/>
  <c r="AX255" i="1"/>
  <c r="AX247" i="1"/>
  <c r="AX239" i="1"/>
  <c r="AX231" i="1"/>
  <c r="AX223" i="1"/>
  <c r="AX215" i="1"/>
  <c r="AX207" i="1"/>
  <c r="AX199" i="1"/>
  <c r="AX191" i="1"/>
  <c r="AX183" i="1"/>
  <c r="AX175" i="1"/>
  <c r="AX167" i="1"/>
  <c r="AX159" i="1"/>
  <c r="AX151" i="1"/>
  <c r="AX143" i="1"/>
  <c r="AX135" i="1"/>
  <c r="AX127" i="1"/>
  <c r="AX119" i="1"/>
  <c r="AX111" i="1"/>
  <c r="AX103" i="1"/>
  <c r="AX95" i="1"/>
  <c r="AX87" i="1"/>
  <c r="AX79" i="1"/>
  <c r="AX71" i="1"/>
  <c r="AX63" i="1"/>
  <c r="AX55" i="1"/>
  <c r="AX47" i="1"/>
  <c r="AX39" i="1"/>
  <c r="AX31" i="1"/>
  <c r="AX23" i="1"/>
  <c r="AX15" i="1"/>
  <c r="AX7" i="1"/>
  <c r="AX358" i="1"/>
  <c r="AX350" i="1"/>
  <c r="AX342" i="1"/>
  <c r="AX334" i="1"/>
  <c r="AX326" i="1"/>
  <c r="AX318" i="1"/>
  <c r="AX310" i="1"/>
  <c r="AX302" i="1"/>
  <c r="AX294" i="1"/>
  <c r="AX286" i="1"/>
  <c r="AX278" i="1"/>
  <c r="AX270" i="1"/>
  <c r="AX262" i="1"/>
  <c r="AX254" i="1"/>
  <c r="AX246" i="1"/>
  <c r="AX238" i="1"/>
  <c r="AX230" i="1"/>
  <c r="AX222" i="1"/>
  <c r="AX214" i="1"/>
  <c r="AX206" i="1"/>
  <c r="AX198" i="1"/>
  <c r="AX190" i="1"/>
  <c r="AX182" i="1"/>
  <c r="AX174" i="1"/>
  <c r="AX166" i="1"/>
  <c r="AX158" i="1"/>
  <c r="AX150" i="1"/>
  <c r="AX142" i="1"/>
  <c r="AX134" i="1"/>
  <c r="AX126" i="1"/>
  <c r="AX118" i="1"/>
  <c r="AX110" i="1"/>
  <c r="AX102" i="1"/>
  <c r="AX94" i="1"/>
  <c r="AX86" i="1"/>
  <c r="AX78" i="1"/>
  <c r="AX70" i="1"/>
  <c r="AX62" i="1"/>
  <c r="AX54" i="1"/>
  <c r="AX46" i="1"/>
  <c r="AX38" i="1"/>
  <c r="AX30" i="1"/>
  <c r="AX22" i="1"/>
  <c r="AX14" i="1"/>
  <c r="AX6" i="1"/>
  <c r="AX357" i="1"/>
  <c r="AX349" i="1"/>
  <c r="AX341" i="1"/>
  <c r="AX333" i="1"/>
  <c r="AX325" i="1"/>
  <c r="AX317" i="1"/>
  <c r="AX309" i="1"/>
  <c r="AX301" i="1"/>
  <c r="AX293" i="1"/>
  <c r="AX285" i="1"/>
  <c r="AX277" i="1"/>
  <c r="AX269" i="1"/>
  <c r="AX261" i="1"/>
  <c r="AX253" i="1"/>
  <c r="AX245" i="1"/>
  <c r="AX237" i="1"/>
  <c r="AX229" i="1"/>
  <c r="AX221" i="1"/>
  <c r="AX213" i="1"/>
  <c r="AX205" i="1"/>
  <c r="AX197" i="1"/>
  <c r="AX189" i="1"/>
  <c r="AX181" i="1"/>
  <c r="AX173" i="1"/>
  <c r="AX165" i="1"/>
  <c r="AX157" i="1"/>
  <c r="AX149" i="1"/>
  <c r="AX141" i="1"/>
  <c r="AX133" i="1"/>
  <c r="AX125" i="1"/>
  <c r="AX117" i="1"/>
  <c r="AX109" i="1"/>
  <c r="AX101" i="1"/>
  <c r="AX93" i="1"/>
  <c r="AX85" i="1"/>
  <c r="AX77" i="1"/>
  <c r="AX69" i="1"/>
  <c r="AX61" i="1"/>
  <c r="AX53" i="1"/>
  <c r="AX45" i="1"/>
  <c r="AX37" i="1"/>
  <c r="AX29" i="1"/>
  <c r="AX21" i="1"/>
  <c r="AX13" i="1"/>
  <c r="AX5" i="1"/>
  <c r="AX356" i="1"/>
  <c r="AX348" i="1"/>
  <c r="AX340" i="1"/>
  <c r="AX332" i="1"/>
  <c r="AX324" i="1"/>
  <c r="AX316" i="1"/>
  <c r="AX308" i="1"/>
  <c r="AX300" i="1"/>
  <c r="AX292" i="1"/>
  <c r="AX284" i="1"/>
  <c r="AX276" i="1"/>
  <c r="AX268" i="1"/>
  <c r="AX260" i="1"/>
  <c r="AX252" i="1"/>
  <c r="AX244" i="1"/>
  <c r="AX236" i="1"/>
  <c r="AX228" i="1"/>
  <c r="AX220" i="1"/>
  <c r="AX212" i="1"/>
  <c r="AX204" i="1"/>
  <c r="AX196" i="1"/>
  <c r="AX188" i="1"/>
  <c r="AX180" i="1"/>
  <c r="AX172" i="1"/>
  <c r="AX164" i="1"/>
  <c r="AX156" i="1"/>
  <c r="AX148" i="1"/>
  <c r="AX140" i="1"/>
  <c r="AX132" i="1"/>
  <c r="AX124" i="1"/>
  <c r="AX116" i="1"/>
  <c r="AX108" i="1"/>
  <c r="AX100" i="1"/>
  <c r="AX92" i="1"/>
  <c r="AX84" i="1"/>
  <c r="AX76" i="1"/>
  <c r="AX68" i="1"/>
  <c r="AX60" i="1"/>
  <c r="AX52" i="1"/>
  <c r="AX44" i="1"/>
  <c r="AX36" i="1"/>
  <c r="AX28" i="1"/>
  <c r="AX20" i="1"/>
  <c r="AX12" i="1"/>
  <c r="AX4" i="1"/>
  <c r="AX2" i="1"/>
  <c r="AX355" i="1"/>
  <c r="AX347" i="1"/>
  <c r="AX339" i="1"/>
  <c r="AX331" i="1"/>
  <c r="AX323" i="1"/>
  <c r="AX315" i="1"/>
  <c r="AX307" i="1"/>
  <c r="AX299" i="1"/>
  <c r="AX291" i="1"/>
  <c r="AX283" i="1"/>
  <c r="AX275" i="1"/>
  <c r="AX267" i="1"/>
  <c r="AX259" i="1"/>
  <c r="AX251" i="1"/>
  <c r="AX243" i="1"/>
  <c r="AX235" i="1"/>
  <c r="AX227" i="1"/>
  <c r="AX219" i="1"/>
  <c r="AX211" i="1"/>
  <c r="AX203" i="1"/>
  <c r="AX195" i="1"/>
  <c r="AX187" i="1"/>
  <c r="AX179" i="1"/>
  <c r="AX171" i="1"/>
  <c r="AX163" i="1"/>
  <c r="AX155" i="1"/>
  <c r="AX147" i="1"/>
  <c r="AX139" i="1"/>
  <c r="AX131" i="1"/>
  <c r="AX123" i="1"/>
  <c r="AX115" i="1"/>
  <c r="AX107" i="1"/>
  <c r="AX99" i="1"/>
  <c r="AX91" i="1"/>
  <c r="AX83" i="1"/>
  <c r="AX75" i="1"/>
  <c r="AX67" i="1"/>
  <c r="AX59" i="1"/>
  <c r="AX51" i="1"/>
  <c r="AX43" i="1"/>
  <c r="AX35" i="1"/>
  <c r="AX27" i="1"/>
  <c r="AX19" i="1"/>
  <c r="AX11" i="1"/>
  <c r="AD46" i="1"/>
  <c r="AW274" i="1"/>
  <c r="AW210" i="1"/>
  <c r="AW146" i="1"/>
  <c r="AW82" i="1"/>
  <c r="AW18" i="1"/>
  <c r="AW263" i="1"/>
  <c r="AW199" i="1"/>
  <c r="AW135" i="1"/>
  <c r="AW87" i="1"/>
  <c r="AW7" i="1"/>
  <c r="AW320" i="1"/>
  <c r="AW312" i="1"/>
  <c r="AW304" i="1"/>
  <c r="AW296" i="1"/>
  <c r="AW288" i="1"/>
  <c r="AW280" i="1"/>
  <c r="AW272" i="1"/>
  <c r="AW264" i="1"/>
  <c r="AW256" i="1"/>
  <c r="AW248" i="1"/>
  <c r="AW240" i="1"/>
  <c r="AW232" i="1"/>
  <c r="AW224" i="1"/>
  <c r="AW216" i="1"/>
  <c r="AW208" i="1"/>
  <c r="AW200" i="1"/>
  <c r="AW192" i="1"/>
  <c r="AW184" i="1"/>
  <c r="AW176" i="1"/>
  <c r="AW168" i="1"/>
  <c r="AW160" i="1"/>
  <c r="AW152" i="1"/>
  <c r="AW144" i="1"/>
  <c r="AW136" i="1"/>
  <c r="AW128" i="1"/>
  <c r="AW120" i="1"/>
  <c r="AW112" i="1"/>
  <c r="AW104" i="1"/>
  <c r="AW96" i="1"/>
  <c r="AW88" i="1"/>
  <c r="AW80" i="1"/>
  <c r="AW72" i="1"/>
  <c r="AW64" i="1"/>
  <c r="AW56" i="1"/>
  <c r="AW48" i="1"/>
  <c r="AW40" i="1"/>
  <c r="AW32" i="1"/>
  <c r="AW24" i="1"/>
  <c r="AW16" i="1"/>
  <c r="AW8" i="1"/>
  <c r="AW362" i="1"/>
  <c r="AW354" i="1"/>
  <c r="AW346" i="1"/>
  <c r="AW338" i="1"/>
  <c r="AW330" i="1"/>
  <c r="AW322" i="1"/>
  <c r="AW282" i="1"/>
  <c r="AW218" i="1"/>
  <c r="AW154" i="1"/>
  <c r="AW90" i="1"/>
  <c r="AW26" i="1"/>
  <c r="AW239" i="1"/>
  <c r="AW175" i="1"/>
  <c r="AW111" i="1"/>
  <c r="AW71" i="1"/>
  <c r="AW15" i="1"/>
  <c r="AW361" i="1"/>
  <c r="AW353" i="1"/>
  <c r="AW345" i="1"/>
  <c r="AW337" i="1"/>
  <c r="AW329" i="1"/>
  <c r="AW319" i="1"/>
  <c r="AW295" i="1"/>
  <c r="AW231" i="1"/>
  <c r="AW159" i="1"/>
  <c r="AW55" i="1"/>
  <c r="AW318" i="1"/>
  <c r="AW310" i="1"/>
  <c r="AW302" i="1"/>
  <c r="AW294" i="1"/>
  <c r="AW286" i="1"/>
  <c r="AW278" i="1"/>
  <c r="AW270" i="1"/>
  <c r="AW262" i="1"/>
  <c r="AW254" i="1"/>
  <c r="AW246" i="1"/>
  <c r="AW238" i="1"/>
  <c r="AW230" i="1"/>
  <c r="AW222" i="1"/>
  <c r="AW214" i="1"/>
  <c r="AW206" i="1"/>
  <c r="AW198" i="1"/>
  <c r="AW190" i="1"/>
  <c r="AW182" i="1"/>
  <c r="AW174" i="1"/>
  <c r="AW166" i="1"/>
  <c r="AW158" i="1"/>
  <c r="AW150" i="1"/>
  <c r="AW142" i="1"/>
  <c r="AW134" i="1"/>
  <c r="AW126" i="1"/>
  <c r="AW118" i="1"/>
  <c r="AW110" i="1"/>
  <c r="AW102" i="1"/>
  <c r="AW94" i="1"/>
  <c r="AW86" i="1"/>
  <c r="AW78" i="1"/>
  <c r="AW70" i="1"/>
  <c r="AW62" i="1"/>
  <c r="AW54" i="1"/>
  <c r="AW46" i="1"/>
  <c r="AW38" i="1"/>
  <c r="AW30" i="1"/>
  <c r="AW22" i="1"/>
  <c r="AW14" i="1"/>
  <c r="AW6" i="1"/>
  <c r="AW360" i="1"/>
  <c r="AW352" i="1"/>
  <c r="AW344" i="1"/>
  <c r="AW336" i="1"/>
  <c r="AW328" i="1"/>
  <c r="AW266" i="1"/>
  <c r="AW202" i="1"/>
  <c r="AW138" i="1"/>
  <c r="AW74" i="1"/>
  <c r="AW10" i="1"/>
  <c r="AW271" i="1"/>
  <c r="AW207" i="1"/>
  <c r="AW143" i="1"/>
  <c r="AW95" i="1"/>
  <c r="AW23" i="1"/>
  <c r="AW317" i="1"/>
  <c r="AW309" i="1"/>
  <c r="AW301" i="1"/>
  <c r="AW293" i="1"/>
  <c r="AW285" i="1"/>
  <c r="AW277" i="1"/>
  <c r="AW269" i="1"/>
  <c r="AW261" i="1"/>
  <c r="AW253" i="1"/>
  <c r="AW245" i="1"/>
  <c r="AW237" i="1"/>
  <c r="AW229" i="1"/>
  <c r="AW221" i="1"/>
  <c r="AW213" i="1"/>
  <c r="AW205" i="1"/>
  <c r="AW197" i="1"/>
  <c r="AW189" i="1"/>
  <c r="AW181" i="1"/>
  <c r="AW173" i="1"/>
  <c r="AW165" i="1"/>
  <c r="AW157" i="1"/>
  <c r="AW149" i="1"/>
  <c r="AW141" i="1"/>
  <c r="AW133" i="1"/>
  <c r="AW125" i="1"/>
  <c r="AW117" i="1"/>
  <c r="AW109" i="1"/>
  <c r="AW101" i="1"/>
  <c r="AW93" i="1"/>
  <c r="AW85" i="1"/>
  <c r="AW77" i="1"/>
  <c r="AW69" i="1"/>
  <c r="AW61" i="1"/>
  <c r="AW53" i="1"/>
  <c r="AW45" i="1"/>
  <c r="AW37" i="1"/>
  <c r="AW29" i="1"/>
  <c r="AW21" i="1"/>
  <c r="AW13" i="1"/>
  <c r="AW5" i="1"/>
  <c r="AW359" i="1"/>
  <c r="AW351" i="1"/>
  <c r="AW343" i="1"/>
  <c r="AW335" i="1"/>
  <c r="AW327" i="1"/>
  <c r="AW311" i="1"/>
  <c r="AW279" i="1"/>
  <c r="AW215" i="1"/>
  <c r="AW167" i="1"/>
  <c r="AW103" i="1"/>
  <c r="AW31" i="1"/>
  <c r="AW316" i="1"/>
  <c r="AW308" i="1"/>
  <c r="AW300" i="1"/>
  <c r="AW292" i="1"/>
  <c r="AW284" i="1"/>
  <c r="AW276" i="1"/>
  <c r="AW268" i="1"/>
  <c r="AW260" i="1"/>
  <c r="AW252" i="1"/>
  <c r="AW244" i="1"/>
  <c r="AW236" i="1"/>
  <c r="AW228" i="1"/>
  <c r="AW220" i="1"/>
  <c r="AW212" i="1"/>
  <c r="AW204" i="1"/>
  <c r="AW196" i="1"/>
  <c r="AW188" i="1"/>
  <c r="AW180" i="1"/>
  <c r="AW172" i="1"/>
  <c r="AW164" i="1"/>
  <c r="AW156" i="1"/>
  <c r="AW148" i="1"/>
  <c r="AW140" i="1"/>
  <c r="AW132" i="1"/>
  <c r="AW124" i="1"/>
  <c r="AW116" i="1"/>
  <c r="AW108" i="1"/>
  <c r="AW100" i="1"/>
  <c r="AW92" i="1"/>
  <c r="AW84" i="1"/>
  <c r="AW76" i="1"/>
  <c r="AW68" i="1"/>
  <c r="AW60" i="1"/>
  <c r="AW52" i="1"/>
  <c r="AW44" i="1"/>
  <c r="AW36" i="1"/>
  <c r="AW28" i="1"/>
  <c r="AW20" i="1"/>
  <c r="AW12" i="1"/>
  <c r="AW4" i="1"/>
  <c r="AW358" i="1"/>
  <c r="AW350" i="1"/>
  <c r="AW342" i="1"/>
  <c r="AW334" i="1"/>
  <c r="AW326" i="1"/>
  <c r="AW287" i="1"/>
  <c r="AW223" i="1"/>
  <c r="AW151" i="1"/>
  <c r="AW47" i="1"/>
  <c r="AW315" i="1"/>
  <c r="AW307" i="1"/>
  <c r="AW299" i="1"/>
  <c r="AW291" i="1"/>
  <c r="AW283" i="1"/>
  <c r="AW275" i="1"/>
  <c r="AW267" i="1"/>
  <c r="AW259" i="1"/>
  <c r="AW251" i="1"/>
  <c r="AW243" i="1"/>
  <c r="AW235" i="1"/>
  <c r="AW227" i="1"/>
  <c r="AW219" i="1"/>
  <c r="AW211" i="1"/>
  <c r="AW203" i="1"/>
  <c r="AW195" i="1"/>
  <c r="AW187" i="1"/>
  <c r="AW179" i="1"/>
  <c r="AW171" i="1"/>
  <c r="AW163" i="1"/>
  <c r="AW155" i="1"/>
  <c r="AW147" i="1"/>
  <c r="AW139" i="1"/>
  <c r="AW131" i="1"/>
  <c r="AW123" i="1"/>
  <c r="AW115" i="1"/>
  <c r="AW107" i="1"/>
  <c r="AW99" i="1"/>
  <c r="AW91" i="1"/>
  <c r="AW83" i="1"/>
  <c r="AW75" i="1"/>
  <c r="AW67" i="1"/>
  <c r="AW59" i="1"/>
  <c r="AW51" i="1"/>
  <c r="AW43" i="1"/>
  <c r="AW35" i="1"/>
  <c r="AW27" i="1"/>
  <c r="AW19" i="1"/>
  <c r="AW11" i="1"/>
  <c r="AW3" i="1"/>
  <c r="AW357" i="1"/>
  <c r="AW349" i="1"/>
  <c r="AW341" i="1"/>
  <c r="AW333" i="1"/>
  <c r="AW325" i="1"/>
  <c r="AW303" i="1"/>
  <c r="AW255" i="1"/>
  <c r="AW183" i="1"/>
  <c r="AW119" i="1"/>
  <c r="AW79" i="1"/>
  <c r="AW39" i="1"/>
  <c r="AW2" i="1"/>
  <c r="AW356" i="1"/>
  <c r="AW348" i="1"/>
  <c r="AW340" i="1"/>
  <c r="AW332" i="1"/>
  <c r="AW324" i="1"/>
  <c r="AW247" i="1"/>
  <c r="AW191" i="1"/>
  <c r="AW127" i="1"/>
  <c r="AW63" i="1"/>
  <c r="AW321" i="1"/>
  <c r="AW313" i="1"/>
  <c r="AW305" i="1"/>
  <c r="AW297" i="1"/>
  <c r="AW289" i="1"/>
  <c r="AW281" i="1"/>
  <c r="AW273" i="1"/>
  <c r="AW265" i="1"/>
  <c r="AW257" i="1"/>
  <c r="AW249" i="1"/>
  <c r="AW241" i="1"/>
  <c r="AW233" i="1"/>
  <c r="AW225" i="1"/>
  <c r="AW217" i="1"/>
  <c r="AW209" i="1"/>
  <c r="AW201" i="1"/>
  <c r="AW193" i="1"/>
  <c r="AW185" i="1"/>
  <c r="AW177" i="1"/>
  <c r="AW169" i="1"/>
  <c r="AW161" i="1"/>
  <c r="AW153" i="1"/>
  <c r="AW145" i="1"/>
  <c r="AW137" i="1"/>
  <c r="AW129" i="1"/>
  <c r="AW121" i="1"/>
  <c r="AW113" i="1"/>
  <c r="AW105" i="1"/>
  <c r="AW97" i="1"/>
  <c r="AW89" i="1"/>
  <c r="AW81" i="1"/>
  <c r="AW73" i="1"/>
  <c r="AW65" i="1"/>
  <c r="AW57" i="1"/>
  <c r="AW49" i="1"/>
  <c r="AW41" i="1"/>
  <c r="AW33" i="1"/>
  <c r="AW25" i="1"/>
  <c r="AW17" i="1"/>
  <c r="AW9" i="1"/>
  <c r="AW355" i="1"/>
  <c r="AW347" i="1"/>
  <c r="AW339" i="1"/>
  <c r="AW331" i="1"/>
  <c r="AW323" i="1"/>
  <c r="AW98" i="1"/>
  <c r="AD45" i="1"/>
  <c r="AU363" i="1" l="1"/>
  <c r="AU364" i="1" s="1"/>
  <c r="AT363" i="1"/>
  <c r="AT364" i="1" s="1"/>
  <c r="BG374" i="1"/>
  <c r="BG375" i="1"/>
  <c r="BG369" i="1"/>
  <c r="BG370" i="1"/>
  <c r="BG371" i="1"/>
  <c r="BG372" i="1"/>
  <c r="BG373" i="1"/>
  <c r="BG362" i="1"/>
  <c r="BG363" i="1"/>
  <c r="BG364" i="1"/>
  <c r="BG365" i="1"/>
  <c r="BG366" i="1"/>
  <c r="BG367" i="1"/>
  <c r="BG36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AY3" i="1" l="1"/>
  <c r="AE40" i="1"/>
  <c r="AD40" i="1"/>
  <c r="AD41" i="1" s="1"/>
  <c r="AY328" i="1"/>
  <c r="AY264" i="1"/>
  <c r="AY200" i="1"/>
  <c r="AY136" i="1"/>
  <c r="AY72" i="1"/>
  <c r="AY360" i="1"/>
  <c r="AY320" i="1"/>
  <c r="AY256" i="1"/>
  <c r="AY192" i="1"/>
  <c r="AY128" i="1"/>
  <c r="AY64" i="1"/>
  <c r="AY359" i="1"/>
  <c r="AY312" i="1"/>
  <c r="AY248" i="1"/>
  <c r="AY184" i="1"/>
  <c r="AY120" i="1"/>
  <c r="AY56" i="1"/>
  <c r="AY352" i="1"/>
  <c r="AY304" i="1"/>
  <c r="AY240" i="1"/>
  <c r="AY176" i="1"/>
  <c r="AY112" i="1"/>
  <c r="AY48" i="1"/>
  <c r="AY351" i="1"/>
  <c r="AY296" i="1"/>
  <c r="AY232" i="1"/>
  <c r="AY168" i="1"/>
  <c r="AY104" i="1"/>
  <c r="AY40" i="1"/>
  <c r="AY344" i="1"/>
  <c r="AY288" i="1"/>
  <c r="AY224" i="1"/>
  <c r="AY160" i="1"/>
  <c r="AY96" i="1"/>
  <c r="AY32" i="1"/>
  <c r="AY336" i="1"/>
  <c r="AY280" i="1"/>
  <c r="AY216" i="1"/>
  <c r="AY152" i="1"/>
  <c r="AY88" i="1"/>
  <c r="AY24" i="1"/>
  <c r="AY335" i="1"/>
  <c r="AY272" i="1"/>
  <c r="AY208" i="1"/>
  <c r="AY144" i="1"/>
  <c r="AY80" i="1"/>
  <c r="AY16" i="1"/>
  <c r="AY287" i="1"/>
  <c r="AY239" i="1"/>
  <c r="AY207" i="1"/>
  <c r="AY167" i="1"/>
  <c r="AY151" i="1"/>
  <c r="AY119" i="1"/>
  <c r="AY95" i="1"/>
  <c r="AY63" i="1"/>
  <c r="AY47" i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AY170" i="1"/>
  <c r="AY162" i="1"/>
  <c r="AY154" i="1"/>
  <c r="AY146" i="1"/>
  <c r="AY138" i="1"/>
  <c r="AY130" i="1"/>
  <c r="AY122" i="1"/>
  <c r="AY114" i="1"/>
  <c r="AY106" i="1"/>
  <c r="AY98" i="1"/>
  <c r="AY90" i="1"/>
  <c r="AY82" i="1"/>
  <c r="AY74" i="1"/>
  <c r="AY66" i="1"/>
  <c r="AY58" i="1"/>
  <c r="AY50" i="1"/>
  <c r="AY42" i="1"/>
  <c r="AY34" i="1"/>
  <c r="AY26" i="1"/>
  <c r="AY18" i="1"/>
  <c r="AY10" i="1"/>
  <c r="AY311" i="1"/>
  <c r="AY295" i="1"/>
  <c r="AY247" i="1"/>
  <c r="AY215" i="1"/>
  <c r="AY175" i="1"/>
  <c r="AY143" i="1"/>
  <c r="AY111" i="1"/>
  <c r="AY87" i="1"/>
  <c r="AY55" i="1"/>
  <c r="AY39" i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AY169" i="1"/>
  <c r="AY161" i="1"/>
  <c r="AY153" i="1"/>
  <c r="AY145" i="1"/>
  <c r="AY137" i="1"/>
  <c r="AY129" i="1"/>
  <c r="AY121" i="1"/>
  <c r="AY113" i="1"/>
  <c r="AY105" i="1"/>
  <c r="AY97" i="1"/>
  <c r="AY89" i="1"/>
  <c r="AY81" i="1"/>
  <c r="AY73" i="1"/>
  <c r="AY65" i="1"/>
  <c r="AY57" i="1"/>
  <c r="AY49" i="1"/>
  <c r="AY41" i="1"/>
  <c r="AY33" i="1"/>
  <c r="AY25" i="1"/>
  <c r="AY17" i="1"/>
  <c r="AY9" i="1"/>
  <c r="AY8" i="1"/>
  <c r="AY7" i="1"/>
  <c r="AY327" i="1"/>
  <c r="AY271" i="1"/>
  <c r="AY231" i="1"/>
  <c r="AY183" i="1"/>
  <c r="AY127" i="1"/>
  <c r="AY71" i="1"/>
  <c r="AY23" i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AY174" i="1"/>
  <c r="AY166" i="1"/>
  <c r="AY158" i="1"/>
  <c r="AY150" i="1"/>
  <c r="AY142" i="1"/>
  <c r="AY134" i="1"/>
  <c r="AY126" i="1"/>
  <c r="AY118" i="1"/>
  <c r="AY110" i="1"/>
  <c r="AY102" i="1"/>
  <c r="AY94" i="1"/>
  <c r="AY86" i="1"/>
  <c r="AY78" i="1"/>
  <c r="AY70" i="1"/>
  <c r="AY62" i="1"/>
  <c r="AY54" i="1"/>
  <c r="AY46" i="1"/>
  <c r="AY38" i="1"/>
  <c r="AY30" i="1"/>
  <c r="AY22" i="1"/>
  <c r="AY14" i="1"/>
  <c r="AY6" i="1"/>
  <c r="AY343" i="1"/>
  <c r="AY303" i="1"/>
  <c r="AY279" i="1"/>
  <c r="AY255" i="1"/>
  <c r="AY199" i="1"/>
  <c r="AY135" i="1"/>
  <c r="AY79" i="1"/>
  <c r="AY31" i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AY173" i="1"/>
  <c r="AY165" i="1"/>
  <c r="AY157" i="1"/>
  <c r="AY149" i="1"/>
  <c r="AY141" i="1"/>
  <c r="AY133" i="1"/>
  <c r="AY125" i="1"/>
  <c r="AY117" i="1"/>
  <c r="AY109" i="1"/>
  <c r="AY101" i="1"/>
  <c r="AY93" i="1"/>
  <c r="AY85" i="1"/>
  <c r="AY77" i="1"/>
  <c r="AY69" i="1"/>
  <c r="AY61" i="1"/>
  <c r="AY53" i="1"/>
  <c r="AY45" i="1"/>
  <c r="AY37" i="1"/>
  <c r="AY29" i="1"/>
  <c r="AY21" i="1"/>
  <c r="AY13" i="1"/>
  <c r="AY5" i="1"/>
  <c r="AY319" i="1"/>
  <c r="AY263" i="1"/>
  <c r="AY223" i="1"/>
  <c r="AY191" i="1"/>
  <c r="AY159" i="1"/>
  <c r="AY103" i="1"/>
  <c r="AY15" i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AY172" i="1"/>
  <c r="AY164" i="1"/>
  <c r="AY156" i="1"/>
  <c r="AY148" i="1"/>
  <c r="AY140" i="1"/>
  <c r="AY132" i="1"/>
  <c r="AY124" i="1"/>
  <c r="AY116" i="1"/>
  <c r="AY108" i="1"/>
  <c r="AY100" i="1"/>
  <c r="AY92" i="1"/>
  <c r="AY84" i="1"/>
  <c r="AY76" i="1"/>
  <c r="AY68" i="1"/>
  <c r="AY60" i="1"/>
  <c r="AY52" i="1"/>
  <c r="AY44" i="1"/>
  <c r="AY36" i="1"/>
  <c r="AY28" i="1"/>
  <c r="AY20" i="1"/>
  <c r="AY12" i="1"/>
  <c r="AY4" i="1"/>
  <c r="AY2" i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AY171" i="1"/>
  <c r="AY163" i="1"/>
  <c r="AY155" i="1"/>
  <c r="AY147" i="1"/>
  <c r="AY139" i="1"/>
  <c r="AY131" i="1"/>
  <c r="AY123" i="1"/>
  <c r="AY115" i="1"/>
  <c r="AY107" i="1"/>
  <c r="AY99" i="1"/>
  <c r="AY91" i="1"/>
  <c r="AY83" i="1"/>
  <c r="AY75" i="1"/>
  <c r="AY67" i="1"/>
  <c r="AY59" i="1"/>
  <c r="AY51" i="1"/>
  <c r="AY43" i="1"/>
  <c r="AY35" i="1"/>
  <c r="AY27" i="1"/>
  <c r="AY19" i="1"/>
  <c r="AY11" i="1"/>
  <c r="AB6" i="1"/>
  <c r="U14" i="1"/>
  <c r="AA6" i="1" s="1"/>
  <c r="U15" i="1" l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L105" i="1" s="1"/>
  <c r="F28" i="1"/>
  <c r="H27" i="1" s="1"/>
  <c r="I27" i="1" s="1"/>
  <c r="C17" i="1"/>
  <c r="C106" i="1" s="1"/>
  <c r="J106" i="1" s="1"/>
  <c r="L106" i="1" s="1"/>
  <c r="C18" i="1"/>
  <c r="C107" i="1" s="1"/>
  <c r="J107" i="1" s="1"/>
  <c r="L107" i="1" s="1"/>
  <c r="C19" i="1"/>
  <c r="C108" i="1" s="1"/>
  <c r="J108" i="1" s="1"/>
  <c r="L108" i="1" s="1"/>
  <c r="C20" i="1"/>
  <c r="C109" i="1" s="1"/>
  <c r="J109" i="1" s="1"/>
  <c r="L109" i="1" s="1"/>
  <c r="C21" i="1"/>
  <c r="C110" i="1" s="1"/>
  <c r="J110" i="1" s="1"/>
  <c r="L110" i="1" s="1"/>
  <c r="C22" i="1"/>
  <c r="C111" i="1" s="1"/>
  <c r="J111" i="1" s="1"/>
  <c r="L111" i="1" s="1"/>
  <c r="C23" i="1"/>
  <c r="C112" i="1" s="1"/>
  <c r="J112" i="1" s="1"/>
  <c r="L112" i="1" s="1"/>
  <c r="C24" i="1"/>
  <c r="C113" i="1" s="1"/>
  <c r="J113" i="1" s="1"/>
  <c r="L113" i="1" s="1"/>
  <c r="K110" i="1" l="1"/>
  <c r="K113" i="1"/>
  <c r="K106" i="1"/>
  <c r="K109" i="1"/>
  <c r="K111" i="1"/>
  <c r="K107" i="1"/>
  <c r="K105" i="1"/>
  <c r="K112" i="1"/>
  <c r="K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G112" i="1" l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J104" i="1"/>
  <c r="F104" i="1"/>
  <c r="C62" i="1"/>
  <c r="C25" i="1"/>
  <c r="D25" i="1" s="1"/>
  <c r="F114" i="1" l="1"/>
  <c r="B115" i="1" s="1"/>
  <c r="B127" i="1" s="1"/>
  <c r="H104" i="1"/>
  <c r="H114" i="1" s="1"/>
  <c r="J114" i="1"/>
  <c r="J115" i="1" s="1"/>
  <c r="D127" i="1" s="1"/>
  <c r="L104" i="1"/>
  <c r="L114" i="1" s="1"/>
  <c r="J117" i="1" s="1"/>
  <c r="D99" i="1"/>
  <c r="B102" i="1" s="1"/>
  <c r="E99" i="1"/>
  <c r="B101" i="1" s="1"/>
  <c r="K104" i="1"/>
  <c r="K114" i="1" s="1"/>
  <c r="J116" i="1" s="1"/>
  <c r="G104" i="1"/>
  <c r="G114" i="1" s="1"/>
  <c r="D126" i="1" l="1"/>
  <c r="K117" i="1"/>
  <c r="D125" i="1"/>
  <c r="K116" i="1"/>
  <c r="B116" i="1"/>
  <c r="B117" i="1"/>
  <c r="F127" i="1"/>
  <c r="B131" i="1" s="1"/>
  <c r="J119" i="1"/>
  <c r="J120" i="1"/>
  <c r="F126" i="1" l="1"/>
  <c r="C117" i="1"/>
  <c r="B125" i="1"/>
  <c r="C116" i="1"/>
  <c r="F125" i="1"/>
  <c r="B120" i="1"/>
  <c r="B119" i="1"/>
  <c r="B126" i="1"/>
  <c r="B132" i="1" l="1"/>
  <c r="BG5" i="1" s="1"/>
  <c r="BG9" i="1" s="1"/>
  <c r="B133" i="1"/>
  <c r="BH5" i="1" s="1"/>
  <c r="BH9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W13" i="1" l="1"/>
  <c r="BW16" i="1" s="1"/>
  <c r="BV13" i="1"/>
  <c r="BV16" i="1" s="1"/>
  <c r="BI16" i="1"/>
  <c r="BP16" i="1" s="1"/>
  <c r="BI24" i="1"/>
  <c r="BP24" i="1" s="1"/>
  <c r="BI32" i="1"/>
  <c r="BP32" i="1" s="1"/>
  <c r="BI40" i="1"/>
  <c r="BP40" i="1" s="1"/>
  <c r="BI48" i="1"/>
  <c r="BP48" i="1" s="1"/>
  <c r="BI56" i="1"/>
  <c r="BP56" i="1" s="1"/>
  <c r="BI64" i="1"/>
  <c r="BP64" i="1" s="1"/>
  <c r="BI72" i="1"/>
  <c r="BP72" i="1" s="1"/>
  <c r="BI80" i="1"/>
  <c r="BP80" i="1" s="1"/>
  <c r="BI88" i="1"/>
  <c r="BP88" i="1" s="1"/>
  <c r="BI96" i="1"/>
  <c r="BP96" i="1" s="1"/>
  <c r="BI104" i="1"/>
  <c r="BP104" i="1" s="1"/>
  <c r="BI112" i="1"/>
  <c r="BP112" i="1" s="1"/>
  <c r="BI120" i="1"/>
  <c r="BP120" i="1" s="1"/>
  <c r="BI128" i="1"/>
  <c r="BP128" i="1" s="1"/>
  <c r="BI136" i="1"/>
  <c r="BP136" i="1" s="1"/>
  <c r="BI144" i="1"/>
  <c r="BP144" i="1" s="1"/>
  <c r="BI152" i="1"/>
  <c r="BP152" i="1" s="1"/>
  <c r="BI160" i="1"/>
  <c r="BP160" i="1" s="1"/>
  <c r="BI168" i="1"/>
  <c r="BP168" i="1" s="1"/>
  <c r="BI176" i="1"/>
  <c r="BP176" i="1" s="1"/>
  <c r="BI184" i="1"/>
  <c r="BP184" i="1" s="1"/>
  <c r="BI192" i="1"/>
  <c r="BP192" i="1" s="1"/>
  <c r="BI200" i="1"/>
  <c r="BP200" i="1" s="1"/>
  <c r="BI208" i="1"/>
  <c r="BP208" i="1" s="1"/>
  <c r="BI216" i="1"/>
  <c r="BP216" i="1" s="1"/>
  <c r="BI224" i="1"/>
  <c r="BP224" i="1" s="1"/>
  <c r="BI232" i="1"/>
  <c r="BP232" i="1" s="1"/>
  <c r="BI240" i="1"/>
  <c r="BP240" i="1" s="1"/>
  <c r="BI248" i="1"/>
  <c r="BP248" i="1" s="1"/>
  <c r="BI256" i="1"/>
  <c r="BP256" i="1" s="1"/>
  <c r="BI264" i="1"/>
  <c r="BP264" i="1" s="1"/>
  <c r="BI272" i="1"/>
  <c r="BP272" i="1" s="1"/>
  <c r="BI280" i="1"/>
  <c r="BP280" i="1" s="1"/>
  <c r="BI288" i="1"/>
  <c r="BP288" i="1" s="1"/>
  <c r="BI296" i="1"/>
  <c r="BP296" i="1" s="1"/>
  <c r="BI304" i="1"/>
  <c r="BP304" i="1" s="1"/>
  <c r="BI312" i="1"/>
  <c r="BP312" i="1" s="1"/>
  <c r="BI320" i="1"/>
  <c r="BP320" i="1" s="1"/>
  <c r="BI328" i="1"/>
  <c r="BP328" i="1" s="1"/>
  <c r="BI336" i="1"/>
  <c r="BP336" i="1" s="1"/>
  <c r="BI344" i="1"/>
  <c r="BP344" i="1" s="1"/>
  <c r="BI352" i="1"/>
  <c r="BP352" i="1" s="1"/>
  <c r="BI360" i="1"/>
  <c r="BP360" i="1" s="1"/>
  <c r="BI368" i="1"/>
  <c r="BP368" i="1" s="1"/>
  <c r="BI17" i="1"/>
  <c r="BP17" i="1" s="1"/>
  <c r="BI25" i="1"/>
  <c r="BP25" i="1" s="1"/>
  <c r="BI33" i="1"/>
  <c r="BP33" i="1" s="1"/>
  <c r="BI41" i="1"/>
  <c r="BP41" i="1" s="1"/>
  <c r="BI49" i="1"/>
  <c r="BP49" i="1" s="1"/>
  <c r="BI57" i="1"/>
  <c r="BP57" i="1" s="1"/>
  <c r="BI65" i="1"/>
  <c r="BP65" i="1" s="1"/>
  <c r="BI73" i="1"/>
  <c r="BP73" i="1" s="1"/>
  <c r="BI81" i="1"/>
  <c r="BP81" i="1" s="1"/>
  <c r="BI89" i="1"/>
  <c r="BP89" i="1" s="1"/>
  <c r="BI97" i="1"/>
  <c r="BP97" i="1" s="1"/>
  <c r="BI105" i="1"/>
  <c r="BP105" i="1" s="1"/>
  <c r="BI113" i="1"/>
  <c r="BP113" i="1" s="1"/>
  <c r="BI121" i="1"/>
  <c r="BP121" i="1" s="1"/>
  <c r="BI129" i="1"/>
  <c r="BP129" i="1" s="1"/>
  <c r="BI137" i="1"/>
  <c r="BP137" i="1" s="1"/>
  <c r="BI145" i="1"/>
  <c r="BP145" i="1" s="1"/>
  <c r="BI153" i="1"/>
  <c r="BP153" i="1" s="1"/>
  <c r="BI161" i="1"/>
  <c r="BP161" i="1" s="1"/>
  <c r="BI169" i="1"/>
  <c r="BP169" i="1" s="1"/>
  <c r="BI177" i="1"/>
  <c r="BP177" i="1" s="1"/>
  <c r="BI185" i="1"/>
  <c r="BP185" i="1" s="1"/>
  <c r="BI193" i="1"/>
  <c r="BP193" i="1" s="1"/>
  <c r="BI201" i="1"/>
  <c r="BP201" i="1" s="1"/>
  <c r="BI209" i="1"/>
  <c r="BP209" i="1" s="1"/>
  <c r="BI217" i="1"/>
  <c r="BP217" i="1" s="1"/>
  <c r="BI225" i="1"/>
  <c r="BP225" i="1" s="1"/>
  <c r="BI233" i="1"/>
  <c r="BP233" i="1" s="1"/>
  <c r="BI241" i="1"/>
  <c r="BP241" i="1" s="1"/>
  <c r="BI249" i="1"/>
  <c r="BP249" i="1" s="1"/>
  <c r="BI257" i="1"/>
  <c r="BP257" i="1" s="1"/>
  <c r="BI265" i="1"/>
  <c r="BP265" i="1" s="1"/>
  <c r="BI273" i="1"/>
  <c r="BP273" i="1" s="1"/>
  <c r="BI281" i="1"/>
  <c r="BP281" i="1" s="1"/>
  <c r="BI289" i="1"/>
  <c r="BP289" i="1" s="1"/>
  <c r="BI297" i="1"/>
  <c r="BP297" i="1" s="1"/>
  <c r="BI305" i="1"/>
  <c r="BP305" i="1" s="1"/>
  <c r="BI313" i="1"/>
  <c r="BP313" i="1" s="1"/>
  <c r="BI321" i="1"/>
  <c r="BP321" i="1" s="1"/>
  <c r="BI329" i="1"/>
  <c r="BP329" i="1" s="1"/>
  <c r="BI18" i="1"/>
  <c r="BP18" i="1" s="1"/>
  <c r="BI26" i="1"/>
  <c r="BP26" i="1" s="1"/>
  <c r="BI34" i="1"/>
  <c r="BP34" i="1" s="1"/>
  <c r="BI42" i="1"/>
  <c r="BP42" i="1" s="1"/>
  <c r="BI50" i="1"/>
  <c r="BP50" i="1" s="1"/>
  <c r="BI58" i="1"/>
  <c r="BP58" i="1" s="1"/>
  <c r="BI66" i="1"/>
  <c r="BP66" i="1" s="1"/>
  <c r="BI74" i="1"/>
  <c r="BP74" i="1" s="1"/>
  <c r="BI82" i="1"/>
  <c r="BP82" i="1" s="1"/>
  <c r="BI90" i="1"/>
  <c r="BP90" i="1" s="1"/>
  <c r="BI98" i="1"/>
  <c r="BP98" i="1" s="1"/>
  <c r="BI106" i="1"/>
  <c r="BP106" i="1" s="1"/>
  <c r="BI114" i="1"/>
  <c r="BP114" i="1" s="1"/>
  <c r="BI122" i="1"/>
  <c r="BP122" i="1" s="1"/>
  <c r="BI130" i="1"/>
  <c r="BP130" i="1" s="1"/>
  <c r="BI138" i="1"/>
  <c r="BP138" i="1" s="1"/>
  <c r="BI146" i="1"/>
  <c r="BP146" i="1" s="1"/>
  <c r="BI154" i="1"/>
  <c r="BP154" i="1" s="1"/>
  <c r="BI162" i="1"/>
  <c r="BP162" i="1" s="1"/>
  <c r="BI170" i="1"/>
  <c r="BP170" i="1" s="1"/>
  <c r="BI178" i="1"/>
  <c r="BP178" i="1" s="1"/>
  <c r="BI186" i="1"/>
  <c r="BP186" i="1" s="1"/>
  <c r="BI194" i="1"/>
  <c r="BP194" i="1" s="1"/>
  <c r="BI202" i="1"/>
  <c r="BP202" i="1" s="1"/>
  <c r="BI210" i="1"/>
  <c r="BP210" i="1" s="1"/>
  <c r="BI218" i="1"/>
  <c r="BP218" i="1" s="1"/>
  <c r="BI226" i="1"/>
  <c r="BP226" i="1" s="1"/>
  <c r="BI234" i="1"/>
  <c r="BP234" i="1" s="1"/>
  <c r="BI242" i="1"/>
  <c r="BP242" i="1" s="1"/>
  <c r="BI250" i="1"/>
  <c r="BP250" i="1" s="1"/>
  <c r="BI258" i="1"/>
  <c r="BP258" i="1" s="1"/>
  <c r="BI266" i="1"/>
  <c r="BP266" i="1" s="1"/>
  <c r="BI274" i="1"/>
  <c r="BP274" i="1" s="1"/>
  <c r="BI282" i="1"/>
  <c r="BP282" i="1" s="1"/>
  <c r="BI290" i="1"/>
  <c r="BP290" i="1" s="1"/>
  <c r="BI298" i="1"/>
  <c r="BP298" i="1" s="1"/>
  <c r="BI306" i="1"/>
  <c r="BP306" i="1" s="1"/>
  <c r="BI314" i="1"/>
  <c r="BP314" i="1" s="1"/>
  <c r="BI322" i="1"/>
  <c r="BP322" i="1" s="1"/>
  <c r="BI330" i="1"/>
  <c r="BP330" i="1" s="1"/>
  <c r="BI338" i="1"/>
  <c r="BP338" i="1" s="1"/>
  <c r="BI346" i="1"/>
  <c r="BP346" i="1" s="1"/>
  <c r="BI354" i="1"/>
  <c r="BP354" i="1" s="1"/>
  <c r="BI362" i="1"/>
  <c r="BP362" i="1" s="1"/>
  <c r="BI370" i="1"/>
  <c r="BP370" i="1" s="1"/>
  <c r="BI28" i="1"/>
  <c r="BP28" i="1" s="1"/>
  <c r="BI44" i="1"/>
  <c r="BP44" i="1" s="1"/>
  <c r="BI60" i="1"/>
  <c r="BP60" i="1" s="1"/>
  <c r="BI76" i="1"/>
  <c r="BP76" i="1" s="1"/>
  <c r="BI92" i="1"/>
  <c r="BP92" i="1" s="1"/>
  <c r="BI108" i="1"/>
  <c r="BP108" i="1" s="1"/>
  <c r="BI124" i="1"/>
  <c r="BP124" i="1" s="1"/>
  <c r="BI140" i="1"/>
  <c r="BP140" i="1" s="1"/>
  <c r="BI156" i="1"/>
  <c r="BP156" i="1" s="1"/>
  <c r="BI172" i="1"/>
  <c r="BP172" i="1" s="1"/>
  <c r="BI188" i="1"/>
  <c r="BP188" i="1" s="1"/>
  <c r="BI204" i="1"/>
  <c r="BP204" i="1" s="1"/>
  <c r="BI228" i="1"/>
  <c r="BP228" i="1" s="1"/>
  <c r="BI252" i="1"/>
  <c r="BP252" i="1" s="1"/>
  <c r="BI268" i="1"/>
  <c r="BP268" i="1" s="1"/>
  <c r="BI284" i="1"/>
  <c r="BP284" i="1" s="1"/>
  <c r="BI300" i="1"/>
  <c r="BP300" i="1" s="1"/>
  <c r="BI324" i="1"/>
  <c r="BP324" i="1" s="1"/>
  <c r="BI340" i="1"/>
  <c r="BP340" i="1" s="1"/>
  <c r="BI364" i="1"/>
  <c r="BP364" i="1" s="1"/>
  <c r="BI21" i="1"/>
  <c r="BP21" i="1" s="1"/>
  <c r="BI37" i="1"/>
  <c r="BP37" i="1" s="1"/>
  <c r="BI53" i="1"/>
  <c r="BP53" i="1" s="1"/>
  <c r="BI69" i="1"/>
  <c r="BP69" i="1" s="1"/>
  <c r="BI85" i="1"/>
  <c r="BP85" i="1" s="1"/>
  <c r="BI101" i="1"/>
  <c r="BP101" i="1" s="1"/>
  <c r="BI109" i="1"/>
  <c r="BP109" i="1" s="1"/>
  <c r="BI125" i="1"/>
  <c r="BP125" i="1" s="1"/>
  <c r="BI141" i="1"/>
  <c r="BP141" i="1" s="1"/>
  <c r="BI157" i="1"/>
  <c r="BP157" i="1" s="1"/>
  <c r="BI165" i="1"/>
  <c r="BP165" i="1" s="1"/>
  <c r="BI181" i="1"/>
  <c r="BP181" i="1" s="1"/>
  <c r="BI205" i="1"/>
  <c r="BP205" i="1" s="1"/>
  <c r="BI221" i="1"/>
  <c r="BP221" i="1" s="1"/>
  <c r="BI237" i="1"/>
  <c r="BP237" i="1" s="1"/>
  <c r="BI253" i="1"/>
  <c r="BP253" i="1" s="1"/>
  <c r="BI19" i="1"/>
  <c r="BP19" i="1" s="1"/>
  <c r="BI27" i="1"/>
  <c r="BP27" i="1" s="1"/>
  <c r="BI35" i="1"/>
  <c r="BP35" i="1" s="1"/>
  <c r="BI43" i="1"/>
  <c r="BP43" i="1" s="1"/>
  <c r="BI51" i="1"/>
  <c r="BP51" i="1" s="1"/>
  <c r="BI59" i="1"/>
  <c r="BP59" i="1" s="1"/>
  <c r="BI67" i="1"/>
  <c r="BP67" i="1" s="1"/>
  <c r="BI75" i="1"/>
  <c r="BP75" i="1" s="1"/>
  <c r="BI83" i="1"/>
  <c r="BP83" i="1" s="1"/>
  <c r="BI91" i="1"/>
  <c r="BP91" i="1" s="1"/>
  <c r="BI99" i="1"/>
  <c r="BP99" i="1" s="1"/>
  <c r="BI107" i="1"/>
  <c r="BP107" i="1" s="1"/>
  <c r="BI115" i="1"/>
  <c r="BP115" i="1" s="1"/>
  <c r="BI123" i="1"/>
  <c r="BP123" i="1" s="1"/>
  <c r="BI131" i="1"/>
  <c r="BP131" i="1" s="1"/>
  <c r="BI139" i="1"/>
  <c r="BP139" i="1" s="1"/>
  <c r="BI147" i="1"/>
  <c r="BP147" i="1" s="1"/>
  <c r="BI155" i="1"/>
  <c r="BP155" i="1" s="1"/>
  <c r="BI163" i="1"/>
  <c r="BP163" i="1" s="1"/>
  <c r="BI171" i="1"/>
  <c r="BP171" i="1" s="1"/>
  <c r="BI179" i="1"/>
  <c r="BP179" i="1" s="1"/>
  <c r="BI187" i="1"/>
  <c r="BP187" i="1" s="1"/>
  <c r="BI195" i="1"/>
  <c r="BP195" i="1" s="1"/>
  <c r="BI203" i="1"/>
  <c r="BP203" i="1" s="1"/>
  <c r="BI211" i="1"/>
  <c r="BP211" i="1" s="1"/>
  <c r="BI219" i="1"/>
  <c r="BP219" i="1" s="1"/>
  <c r="BI227" i="1"/>
  <c r="BP227" i="1" s="1"/>
  <c r="BI235" i="1"/>
  <c r="BP235" i="1" s="1"/>
  <c r="BI243" i="1"/>
  <c r="BP243" i="1" s="1"/>
  <c r="BI251" i="1"/>
  <c r="BP251" i="1" s="1"/>
  <c r="BI259" i="1"/>
  <c r="BP259" i="1" s="1"/>
  <c r="BI267" i="1"/>
  <c r="BP267" i="1" s="1"/>
  <c r="BI275" i="1"/>
  <c r="BP275" i="1" s="1"/>
  <c r="BI283" i="1"/>
  <c r="BP283" i="1" s="1"/>
  <c r="BI291" i="1"/>
  <c r="BP291" i="1" s="1"/>
  <c r="BI299" i="1"/>
  <c r="BP299" i="1" s="1"/>
  <c r="BI307" i="1"/>
  <c r="BP307" i="1" s="1"/>
  <c r="BI315" i="1"/>
  <c r="BP315" i="1" s="1"/>
  <c r="BI323" i="1"/>
  <c r="BP323" i="1" s="1"/>
  <c r="BI331" i="1"/>
  <c r="BP331" i="1" s="1"/>
  <c r="BI339" i="1"/>
  <c r="BP339" i="1" s="1"/>
  <c r="BI347" i="1"/>
  <c r="BP347" i="1" s="1"/>
  <c r="BI355" i="1"/>
  <c r="BP355" i="1" s="1"/>
  <c r="BI363" i="1"/>
  <c r="BP363" i="1" s="1"/>
  <c r="BI371" i="1"/>
  <c r="BP371" i="1" s="1"/>
  <c r="BI20" i="1"/>
  <c r="BP20" i="1" s="1"/>
  <c r="BI36" i="1"/>
  <c r="BP36" i="1" s="1"/>
  <c r="BI52" i="1"/>
  <c r="BP52" i="1" s="1"/>
  <c r="BI68" i="1"/>
  <c r="BP68" i="1" s="1"/>
  <c r="BI84" i="1"/>
  <c r="BP84" i="1" s="1"/>
  <c r="BI100" i="1"/>
  <c r="BP100" i="1" s="1"/>
  <c r="BI116" i="1"/>
  <c r="BP116" i="1" s="1"/>
  <c r="BI132" i="1"/>
  <c r="BP132" i="1" s="1"/>
  <c r="BI148" i="1"/>
  <c r="BP148" i="1" s="1"/>
  <c r="BI164" i="1"/>
  <c r="BP164" i="1" s="1"/>
  <c r="BI180" i="1"/>
  <c r="BP180" i="1" s="1"/>
  <c r="BI196" i="1"/>
  <c r="BP196" i="1" s="1"/>
  <c r="BI212" i="1"/>
  <c r="BP212" i="1" s="1"/>
  <c r="BI220" i="1"/>
  <c r="BP220" i="1" s="1"/>
  <c r="BI236" i="1"/>
  <c r="BP236" i="1" s="1"/>
  <c r="BI244" i="1"/>
  <c r="BP244" i="1" s="1"/>
  <c r="BI260" i="1"/>
  <c r="BP260" i="1" s="1"/>
  <c r="BI276" i="1"/>
  <c r="BP276" i="1" s="1"/>
  <c r="BI292" i="1"/>
  <c r="BP292" i="1" s="1"/>
  <c r="BI308" i="1"/>
  <c r="BP308" i="1" s="1"/>
  <c r="BI316" i="1"/>
  <c r="BP316" i="1" s="1"/>
  <c r="BI332" i="1"/>
  <c r="BP332" i="1" s="1"/>
  <c r="BI348" i="1"/>
  <c r="BP348" i="1" s="1"/>
  <c r="BI356" i="1"/>
  <c r="BP356" i="1" s="1"/>
  <c r="BI372" i="1"/>
  <c r="BP372" i="1" s="1"/>
  <c r="BI29" i="1"/>
  <c r="BP29" i="1" s="1"/>
  <c r="BI45" i="1"/>
  <c r="BP45" i="1" s="1"/>
  <c r="BI61" i="1"/>
  <c r="BP61" i="1" s="1"/>
  <c r="BI77" i="1"/>
  <c r="BP77" i="1" s="1"/>
  <c r="BI93" i="1"/>
  <c r="BP93" i="1" s="1"/>
  <c r="BI117" i="1"/>
  <c r="BP117" i="1" s="1"/>
  <c r="BI133" i="1"/>
  <c r="BP133" i="1" s="1"/>
  <c r="BI149" i="1"/>
  <c r="BP149" i="1" s="1"/>
  <c r="BI173" i="1"/>
  <c r="BP173" i="1" s="1"/>
  <c r="BI189" i="1"/>
  <c r="BP189" i="1" s="1"/>
  <c r="BI197" i="1"/>
  <c r="BP197" i="1" s="1"/>
  <c r="BI213" i="1"/>
  <c r="BP213" i="1" s="1"/>
  <c r="BI229" i="1"/>
  <c r="BP229" i="1" s="1"/>
  <c r="BI245" i="1"/>
  <c r="BP245" i="1" s="1"/>
  <c r="BI261" i="1"/>
  <c r="BP261" i="1" s="1"/>
  <c r="BI30" i="1"/>
  <c r="BP30" i="1" s="1"/>
  <c r="BI62" i="1"/>
  <c r="BP62" i="1" s="1"/>
  <c r="BI94" i="1"/>
  <c r="BP94" i="1" s="1"/>
  <c r="BI126" i="1"/>
  <c r="BP126" i="1" s="1"/>
  <c r="BI158" i="1"/>
  <c r="BP158" i="1" s="1"/>
  <c r="BI190" i="1"/>
  <c r="BP190" i="1" s="1"/>
  <c r="BI222" i="1"/>
  <c r="BP222" i="1" s="1"/>
  <c r="BI254" i="1"/>
  <c r="BP254" i="1" s="1"/>
  <c r="BI278" i="1"/>
  <c r="BP278" i="1" s="1"/>
  <c r="BI301" i="1"/>
  <c r="BP301" i="1" s="1"/>
  <c r="BI319" i="1"/>
  <c r="BP319" i="1" s="1"/>
  <c r="BI341" i="1"/>
  <c r="BP341" i="1" s="1"/>
  <c r="BI357" i="1"/>
  <c r="BP357" i="1" s="1"/>
  <c r="BI373" i="1"/>
  <c r="BP373" i="1" s="1"/>
  <c r="BI111" i="1"/>
  <c r="BP111" i="1" s="1"/>
  <c r="BI86" i="1"/>
  <c r="BP86" i="1" s="1"/>
  <c r="BI182" i="1"/>
  <c r="BP182" i="1" s="1"/>
  <c r="BI271" i="1"/>
  <c r="BP271" i="1" s="1"/>
  <c r="BI335" i="1"/>
  <c r="BP335" i="1" s="1"/>
  <c r="BI55" i="1"/>
  <c r="BP55" i="1" s="1"/>
  <c r="BI119" i="1"/>
  <c r="BP119" i="1" s="1"/>
  <c r="BI183" i="1"/>
  <c r="BP183" i="1" s="1"/>
  <c r="BI295" i="1"/>
  <c r="BP295" i="1" s="1"/>
  <c r="BI31" i="1"/>
  <c r="BP31" i="1" s="1"/>
  <c r="BI63" i="1"/>
  <c r="BP63" i="1" s="1"/>
  <c r="BI95" i="1"/>
  <c r="BP95" i="1" s="1"/>
  <c r="BI127" i="1"/>
  <c r="BP127" i="1" s="1"/>
  <c r="BI159" i="1"/>
  <c r="BP159" i="1" s="1"/>
  <c r="BI191" i="1"/>
  <c r="BP191" i="1" s="1"/>
  <c r="BI223" i="1"/>
  <c r="BP223" i="1" s="1"/>
  <c r="BI255" i="1"/>
  <c r="BP255" i="1" s="1"/>
  <c r="BI279" i="1"/>
  <c r="BP279" i="1" s="1"/>
  <c r="BI302" i="1"/>
  <c r="BP302" i="1" s="1"/>
  <c r="BI325" i="1"/>
  <c r="BP325" i="1" s="1"/>
  <c r="BI342" i="1"/>
  <c r="BP342" i="1" s="1"/>
  <c r="BI358" i="1"/>
  <c r="BP358" i="1" s="1"/>
  <c r="BI374" i="1"/>
  <c r="BP374" i="1" s="1"/>
  <c r="BI39" i="1"/>
  <c r="BP39" i="1" s="1"/>
  <c r="BI103" i="1"/>
  <c r="BP103" i="1" s="1"/>
  <c r="BI135" i="1"/>
  <c r="BP135" i="1" s="1"/>
  <c r="BI167" i="1"/>
  <c r="BP167" i="1" s="1"/>
  <c r="BI231" i="1"/>
  <c r="BP231" i="1" s="1"/>
  <c r="BI263" i="1"/>
  <c r="BP263" i="1" s="1"/>
  <c r="BI309" i="1"/>
  <c r="BP309" i="1" s="1"/>
  <c r="BI345" i="1"/>
  <c r="BP345" i="1" s="1"/>
  <c r="BI46" i="1"/>
  <c r="BP46" i="1" s="1"/>
  <c r="BI110" i="1"/>
  <c r="BP110" i="1" s="1"/>
  <c r="BI206" i="1"/>
  <c r="BP206" i="1" s="1"/>
  <c r="BI269" i="1"/>
  <c r="BP269" i="1" s="1"/>
  <c r="BI310" i="1"/>
  <c r="BP310" i="1" s="1"/>
  <c r="BI365" i="1"/>
  <c r="BP365" i="1" s="1"/>
  <c r="BI79" i="1"/>
  <c r="BP79" i="1" s="1"/>
  <c r="BI175" i="1"/>
  <c r="BP175" i="1" s="1"/>
  <c r="BI239" i="1"/>
  <c r="BP239" i="1" s="1"/>
  <c r="BI293" i="1"/>
  <c r="BP293" i="1" s="1"/>
  <c r="BI311" i="1"/>
  <c r="BP311" i="1" s="1"/>
  <c r="BI350" i="1"/>
  <c r="BP350" i="1" s="1"/>
  <c r="BI22" i="1"/>
  <c r="BP22" i="1" s="1"/>
  <c r="BI150" i="1"/>
  <c r="BP150" i="1" s="1"/>
  <c r="BI246" i="1"/>
  <c r="BP246" i="1" s="1"/>
  <c r="BI317" i="1"/>
  <c r="BP317" i="1" s="1"/>
  <c r="BI367" i="1"/>
  <c r="BP367" i="1" s="1"/>
  <c r="BI87" i="1"/>
  <c r="BP87" i="1" s="1"/>
  <c r="BI151" i="1"/>
  <c r="BP151" i="1" s="1"/>
  <c r="BI247" i="1"/>
  <c r="BP247" i="1" s="1"/>
  <c r="BI277" i="1"/>
  <c r="BP277" i="1" s="1"/>
  <c r="BI318" i="1"/>
  <c r="BP318" i="1" s="1"/>
  <c r="BI353" i="1"/>
  <c r="BP353" i="1" s="1"/>
  <c r="BI369" i="1"/>
  <c r="BP369" i="1" s="1"/>
  <c r="BI38" i="1"/>
  <c r="BP38" i="1" s="1"/>
  <c r="BI70" i="1"/>
  <c r="BP70" i="1" s="1"/>
  <c r="BI102" i="1"/>
  <c r="BP102" i="1" s="1"/>
  <c r="BI134" i="1"/>
  <c r="BP134" i="1" s="1"/>
  <c r="BI166" i="1"/>
  <c r="BP166" i="1" s="1"/>
  <c r="BI198" i="1"/>
  <c r="BP198" i="1" s="1"/>
  <c r="BI230" i="1"/>
  <c r="BP230" i="1" s="1"/>
  <c r="BI262" i="1"/>
  <c r="BP262" i="1" s="1"/>
  <c r="BI285" i="1"/>
  <c r="BP285" i="1" s="1"/>
  <c r="BI303" i="1"/>
  <c r="BP303" i="1" s="1"/>
  <c r="BI326" i="1"/>
  <c r="BP326" i="1" s="1"/>
  <c r="BI343" i="1"/>
  <c r="BP343" i="1" s="1"/>
  <c r="BI359" i="1"/>
  <c r="BP359" i="1" s="1"/>
  <c r="BI375" i="1"/>
  <c r="BP375" i="1" s="1"/>
  <c r="BI71" i="1"/>
  <c r="BP71" i="1" s="1"/>
  <c r="BI199" i="1"/>
  <c r="BP199" i="1" s="1"/>
  <c r="BI286" i="1"/>
  <c r="BP286" i="1" s="1"/>
  <c r="BI327" i="1"/>
  <c r="BP327" i="1" s="1"/>
  <c r="BI361" i="1"/>
  <c r="BP361" i="1" s="1"/>
  <c r="BI78" i="1"/>
  <c r="BP78" i="1" s="1"/>
  <c r="BI142" i="1"/>
  <c r="BP142" i="1" s="1"/>
  <c r="BI174" i="1"/>
  <c r="BP174" i="1" s="1"/>
  <c r="BI238" i="1"/>
  <c r="BP238" i="1" s="1"/>
  <c r="BI287" i="1"/>
  <c r="BP287" i="1" s="1"/>
  <c r="BI333" i="1"/>
  <c r="BP333" i="1" s="1"/>
  <c r="BI349" i="1"/>
  <c r="BP349" i="1" s="1"/>
  <c r="BI47" i="1"/>
  <c r="BP47" i="1" s="1"/>
  <c r="BI143" i="1"/>
  <c r="BP143" i="1" s="1"/>
  <c r="BI207" i="1"/>
  <c r="BP207" i="1" s="1"/>
  <c r="BI270" i="1"/>
  <c r="BP270" i="1" s="1"/>
  <c r="BI334" i="1"/>
  <c r="BP334" i="1" s="1"/>
  <c r="BI366" i="1"/>
  <c r="BP366" i="1" s="1"/>
  <c r="BI54" i="1"/>
  <c r="BP54" i="1" s="1"/>
  <c r="BI118" i="1"/>
  <c r="BP118" i="1" s="1"/>
  <c r="BI214" i="1"/>
  <c r="BP214" i="1" s="1"/>
  <c r="BI294" i="1"/>
  <c r="BP294" i="1" s="1"/>
  <c r="BI351" i="1"/>
  <c r="BP351" i="1" s="1"/>
  <c r="BI23" i="1"/>
  <c r="BP23" i="1" s="1"/>
  <c r="BI215" i="1"/>
  <c r="BP215" i="1" s="1"/>
  <c r="BI337" i="1"/>
  <c r="BP337" i="1" s="1"/>
  <c r="BH16" i="1"/>
  <c r="BO16" i="1" s="1"/>
  <c r="BH24" i="1"/>
  <c r="BO24" i="1" s="1"/>
  <c r="BH32" i="1"/>
  <c r="BO32" i="1" s="1"/>
  <c r="BH40" i="1"/>
  <c r="BO40" i="1" s="1"/>
  <c r="BH48" i="1"/>
  <c r="BO48" i="1" s="1"/>
  <c r="BH56" i="1"/>
  <c r="BO56" i="1" s="1"/>
  <c r="BH64" i="1"/>
  <c r="BO64" i="1" s="1"/>
  <c r="BH72" i="1"/>
  <c r="BO72" i="1" s="1"/>
  <c r="BH80" i="1"/>
  <c r="BO80" i="1" s="1"/>
  <c r="BH88" i="1"/>
  <c r="BO88" i="1" s="1"/>
  <c r="BH96" i="1"/>
  <c r="BO96" i="1" s="1"/>
  <c r="BH104" i="1"/>
  <c r="BO104" i="1" s="1"/>
  <c r="BH112" i="1"/>
  <c r="BO112" i="1" s="1"/>
  <c r="BH120" i="1"/>
  <c r="BO120" i="1" s="1"/>
  <c r="BH128" i="1"/>
  <c r="BO128" i="1" s="1"/>
  <c r="BH136" i="1"/>
  <c r="BO136" i="1" s="1"/>
  <c r="BH144" i="1"/>
  <c r="BO144" i="1" s="1"/>
  <c r="BH152" i="1"/>
  <c r="BO152" i="1" s="1"/>
  <c r="BH160" i="1"/>
  <c r="BO160" i="1" s="1"/>
  <c r="BH168" i="1"/>
  <c r="BO168" i="1" s="1"/>
  <c r="BH176" i="1"/>
  <c r="BO176" i="1" s="1"/>
  <c r="BH184" i="1"/>
  <c r="BO184" i="1" s="1"/>
  <c r="BH192" i="1"/>
  <c r="BO192" i="1" s="1"/>
  <c r="BH200" i="1"/>
  <c r="BO200" i="1" s="1"/>
  <c r="BH208" i="1"/>
  <c r="BO208" i="1" s="1"/>
  <c r="BH216" i="1"/>
  <c r="BO216" i="1" s="1"/>
  <c r="BH224" i="1"/>
  <c r="BO224" i="1" s="1"/>
  <c r="BH232" i="1"/>
  <c r="BO232" i="1" s="1"/>
  <c r="BH240" i="1"/>
  <c r="BO240" i="1" s="1"/>
  <c r="BH248" i="1"/>
  <c r="BO248" i="1" s="1"/>
  <c r="BH256" i="1"/>
  <c r="BO256" i="1" s="1"/>
  <c r="BH264" i="1"/>
  <c r="BO264" i="1" s="1"/>
  <c r="BH272" i="1"/>
  <c r="BO272" i="1" s="1"/>
  <c r="BH280" i="1"/>
  <c r="BO280" i="1" s="1"/>
  <c r="BH288" i="1"/>
  <c r="BO288" i="1" s="1"/>
  <c r="BH296" i="1"/>
  <c r="BO296" i="1" s="1"/>
  <c r="BH304" i="1"/>
  <c r="BO304" i="1" s="1"/>
  <c r="BH312" i="1"/>
  <c r="BO312" i="1" s="1"/>
  <c r="BH320" i="1"/>
  <c r="BO320" i="1" s="1"/>
  <c r="BH328" i="1"/>
  <c r="BO328" i="1" s="1"/>
  <c r="BH336" i="1"/>
  <c r="BO336" i="1" s="1"/>
  <c r="BH344" i="1"/>
  <c r="BO344" i="1" s="1"/>
  <c r="BH352" i="1"/>
  <c r="BO352" i="1" s="1"/>
  <c r="BH360" i="1"/>
  <c r="BO360" i="1" s="1"/>
  <c r="BH368" i="1"/>
  <c r="BO368" i="1" s="1"/>
  <c r="BH211" i="1"/>
  <c r="BO211" i="1" s="1"/>
  <c r="BH315" i="1"/>
  <c r="BO315" i="1" s="1"/>
  <c r="BH371" i="1"/>
  <c r="BO371" i="1" s="1"/>
  <c r="BH20" i="1"/>
  <c r="BO20" i="1" s="1"/>
  <c r="BH44" i="1"/>
  <c r="BO44" i="1" s="1"/>
  <c r="BH52" i="1"/>
  <c r="BO52" i="1" s="1"/>
  <c r="BH60" i="1"/>
  <c r="BO60" i="1" s="1"/>
  <c r="BH76" i="1"/>
  <c r="BO76" i="1" s="1"/>
  <c r="BH92" i="1"/>
  <c r="BO92" i="1" s="1"/>
  <c r="BH116" i="1"/>
  <c r="BO116" i="1" s="1"/>
  <c r="BH132" i="1"/>
  <c r="BO132" i="1" s="1"/>
  <c r="BH17" i="1"/>
  <c r="BO17" i="1" s="1"/>
  <c r="BH25" i="1"/>
  <c r="BO25" i="1" s="1"/>
  <c r="BH33" i="1"/>
  <c r="BO33" i="1" s="1"/>
  <c r="BH41" i="1"/>
  <c r="BO41" i="1" s="1"/>
  <c r="BH49" i="1"/>
  <c r="BO49" i="1" s="1"/>
  <c r="BH57" i="1"/>
  <c r="BO57" i="1" s="1"/>
  <c r="BH65" i="1"/>
  <c r="BO65" i="1" s="1"/>
  <c r="BH73" i="1"/>
  <c r="BO73" i="1" s="1"/>
  <c r="BH81" i="1"/>
  <c r="BO81" i="1" s="1"/>
  <c r="BH89" i="1"/>
  <c r="BO89" i="1" s="1"/>
  <c r="BH97" i="1"/>
  <c r="BO97" i="1" s="1"/>
  <c r="BH105" i="1"/>
  <c r="BO105" i="1" s="1"/>
  <c r="BH113" i="1"/>
  <c r="BO113" i="1" s="1"/>
  <c r="BH121" i="1"/>
  <c r="BO121" i="1" s="1"/>
  <c r="BH129" i="1"/>
  <c r="BO129" i="1" s="1"/>
  <c r="BH137" i="1"/>
  <c r="BO137" i="1" s="1"/>
  <c r="BH145" i="1"/>
  <c r="BO145" i="1" s="1"/>
  <c r="BH153" i="1"/>
  <c r="BO153" i="1" s="1"/>
  <c r="BH161" i="1"/>
  <c r="BO161" i="1" s="1"/>
  <c r="BH169" i="1"/>
  <c r="BO169" i="1" s="1"/>
  <c r="BH177" i="1"/>
  <c r="BO177" i="1" s="1"/>
  <c r="BH185" i="1"/>
  <c r="BO185" i="1" s="1"/>
  <c r="BH193" i="1"/>
  <c r="BO193" i="1" s="1"/>
  <c r="BH201" i="1"/>
  <c r="BO201" i="1" s="1"/>
  <c r="BH209" i="1"/>
  <c r="BO209" i="1" s="1"/>
  <c r="BH217" i="1"/>
  <c r="BO217" i="1" s="1"/>
  <c r="BH225" i="1"/>
  <c r="BO225" i="1" s="1"/>
  <c r="BH233" i="1"/>
  <c r="BO233" i="1" s="1"/>
  <c r="BH241" i="1"/>
  <c r="BO241" i="1" s="1"/>
  <c r="BH249" i="1"/>
  <c r="BO249" i="1" s="1"/>
  <c r="BH257" i="1"/>
  <c r="BO257" i="1" s="1"/>
  <c r="BH265" i="1"/>
  <c r="BO265" i="1" s="1"/>
  <c r="BH273" i="1"/>
  <c r="BO273" i="1" s="1"/>
  <c r="BH281" i="1"/>
  <c r="BO281" i="1" s="1"/>
  <c r="BH289" i="1"/>
  <c r="BO289" i="1" s="1"/>
  <c r="BH297" i="1"/>
  <c r="BO297" i="1" s="1"/>
  <c r="BH305" i="1"/>
  <c r="BO305" i="1" s="1"/>
  <c r="BH313" i="1"/>
  <c r="BO313" i="1" s="1"/>
  <c r="BH321" i="1"/>
  <c r="BO321" i="1" s="1"/>
  <c r="BH329" i="1"/>
  <c r="BO329" i="1" s="1"/>
  <c r="BH337" i="1"/>
  <c r="BO337" i="1" s="1"/>
  <c r="BH345" i="1"/>
  <c r="BO345" i="1" s="1"/>
  <c r="BH353" i="1"/>
  <c r="BO353" i="1" s="1"/>
  <c r="BH361" i="1"/>
  <c r="BO361" i="1" s="1"/>
  <c r="BH369" i="1"/>
  <c r="BO369" i="1" s="1"/>
  <c r="BH186" i="1"/>
  <c r="BO186" i="1" s="1"/>
  <c r="BH282" i="1"/>
  <c r="BO282" i="1" s="1"/>
  <c r="BH306" i="1"/>
  <c r="BO306" i="1" s="1"/>
  <c r="BH330" i="1"/>
  <c r="BO330" i="1" s="1"/>
  <c r="BH346" i="1"/>
  <c r="BO346" i="1" s="1"/>
  <c r="BH354" i="1"/>
  <c r="BO354" i="1" s="1"/>
  <c r="BH370" i="1"/>
  <c r="BO370" i="1" s="1"/>
  <c r="BH19" i="1"/>
  <c r="BO19" i="1" s="1"/>
  <c r="BH35" i="1"/>
  <c r="BO35" i="1" s="1"/>
  <c r="BH43" i="1"/>
  <c r="BO43" i="1" s="1"/>
  <c r="BH51" i="1"/>
  <c r="BO51" i="1" s="1"/>
  <c r="BH59" i="1"/>
  <c r="BO59" i="1" s="1"/>
  <c r="BH67" i="1"/>
  <c r="BO67" i="1" s="1"/>
  <c r="BH75" i="1"/>
  <c r="BO75" i="1" s="1"/>
  <c r="BH83" i="1"/>
  <c r="BO83" i="1" s="1"/>
  <c r="BH91" i="1"/>
  <c r="BO91" i="1" s="1"/>
  <c r="BH99" i="1"/>
  <c r="BO99" i="1" s="1"/>
  <c r="BH107" i="1"/>
  <c r="BO107" i="1" s="1"/>
  <c r="BH123" i="1"/>
  <c r="BO123" i="1" s="1"/>
  <c r="BH131" i="1"/>
  <c r="BO131" i="1" s="1"/>
  <c r="BH139" i="1"/>
  <c r="BO139" i="1" s="1"/>
  <c r="BH155" i="1"/>
  <c r="BO155" i="1" s="1"/>
  <c r="BH163" i="1"/>
  <c r="BO163" i="1" s="1"/>
  <c r="BH179" i="1"/>
  <c r="BO179" i="1" s="1"/>
  <c r="BH187" i="1"/>
  <c r="BO187" i="1" s="1"/>
  <c r="BH195" i="1"/>
  <c r="BO195" i="1" s="1"/>
  <c r="BH219" i="1"/>
  <c r="BO219" i="1" s="1"/>
  <c r="BH235" i="1"/>
  <c r="BO235" i="1" s="1"/>
  <c r="BH243" i="1"/>
  <c r="BO243" i="1" s="1"/>
  <c r="BH259" i="1"/>
  <c r="BO259" i="1" s="1"/>
  <c r="BH267" i="1"/>
  <c r="BO267" i="1" s="1"/>
  <c r="BH283" i="1"/>
  <c r="BO283" i="1" s="1"/>
  <c r="BH291" i="1"/>
  <c r="BO291" i="1" s="1"/>
  <c r="BH307" i="1"/>
  <c r="BO307" i="1" s="1"/>
  <c r="BH323" i="1"/>
  <c r="BO323" i="1" s="1"/>
  <c r="BH339" i="1"/>
  <c r="BO339" i="1" s="1"/>
  <c r="BH347" i="1"/>
  <c r="BO347" i="1" s="1"/>
  <c r="BH355" i="1"/>
  <c r="BO355" i="1" s="1"/>
  <c r="BH36" i="1"/>
  <c r="BO36" i="1" s="1"/>
  <c r="BH100" i="1"/>
  <c r="BO100" i="1" s="1"/>
  <c r="BH18" i="1"/>
  <c r="BO18" i="1" s="1"/>
  <c r="BH26" i="1"/>
  <c r="BO26" i="1" s="1"/>
  <c r="BH34" i="1"/>
  <c r="BO34" i="1" s="1"/>
  <c r="BH42" i="1"/>
  <c r="BO42" i="1" s="1"/>
  <c r="BH50" i="1"/>
  <c r="BO50" i="1" s="1"/>
  <c r="BH58" i="1"/>
  <c r="BO58" i="1" s="1"/>
  <c r="BH66" i="1"/>
  <c r="BO66" i="1" s="1"/>
  <c r="BH74" i="1"/>
  <c r="BO74" i="1" s="1"/>
  <c r="BH82" i="1"/>
  <c r="BO82" i="1" s="1"/>
  <c r="BH90" i="1"/>
  <c r="BO90" i="1" s="1"/>
  <c r="BH98" i="1"/>
  <c r="BO98" i="1" s="1"/>
  <c r="BH106" i="1"/>
  <c r="BO106" i="1" s="1"/>
  <c r="BH114" i="1"/>
  <c r="BO114" i="1" s="1"/>
  <c r="BH122" i="1"/>
  <c r="BO122" i="1" s="1"/>
  <c r="BH130" i="1"/>
  <c r="BO130" i="1" s="1"/>
  <c r="BH138" i="1"/>
  <c r="BO138" i="1" s="1"/>
  <c r="BH146" i="1"/>
  <c r="BO146" i="1" s="1"/>
  <c r="BH154" i="1"/>
  <c r="BO154" i="1" s="1"/>
  <c r="BH162" i="1"/>
  <c r="BO162" i="1" s="1"/>
  <c r="BH170" i="1"/>
  <c r="BO170" i="1" s="1"/>
  <c r="BH178" i="1"/>
  <c r="BO178" i="1" s="1"/>
  <c r="BH194" i="1"/>
  <c r="BO194" i="1" s="1"/>
  <c r="BH202" i="1"/>
  <c r="BO202" i="1" s="1"/>
  <c r="BH210" i="1"/>
  <c r="BO210" i="1" s="1"/>
  <c r="BH218" i="1"/>
  <c r="BO218" i="1" s="1"/>
  <c r="BH226" i="1"/>
  <c r="BO226" i="1" s="1"/>
  <c r="BH234" i="1"/>
  <c r="BO234" i="1" s="1"/>
  <c r="BH242" i="1"/>
  <c r="BO242" i="1" s="1"/>
  <c r="BH250" i="1"/>
  <c r="BO250" i="1" s="1"/>
  <c r="BH258" i="1"/>
  <c r="BO258" i="1" s="1"/>
  <c r="BH266" i="1"/>
  <c r="BO266" i="1" s="1"/>
  <c r="BH274" i="1"/>
  <c r="BO274" i="1" s="1"/>
  <c r="BH290" i="1"/>
  <c r="BO290" i="1" s="1"/>
  <c r="BH298" i="1"/>
  <c r="BO298" i="1" s="1"/>
  <c r="BH314" i="1"/>
  <c r="BO314" i="1" s="1"/>
  <c r="BH322" i="1"/>
  <c r="BO322" i="1" s="1"/>
  <c r="BH338" i="1"/>
  <c r="BO338" i="1" s="1"/>
  <c r="BH362" i="1"/>
  <c r="BO362" i="1" s="1"/>
  <c r="BH27" i="1"/>
  <c r="BO27" i="1" s="1"/>
  <c r="BH115" i="1"/>
  <c r="BO115" i="1" s="1"/>
  <c r="BH147" i="1"/>
  <c r="BO147" i="1" s="1"/>
  <c r="BH171" i="1"/>
  <c r="BO171" i="1" s="1"/>
  <c r="BH203" i="1"/>
  <c r="BO203" i="1" s="1"/>
  <c r="BH227" i="1"/>
  <c r="BO227" i="1" s="1"/>
  <c r="BH251" i="1"/>
  <c r="BO251" i="1" s="1"/>
  <c r="BH275" i="1"/>
  <c r="BO275" i="1" s="1"/>
  <c r="BH299" i="1"/>
  <c r="BO299" i="1" s="1"/>
  <c r="BH331" i="1"/>
  <c r="BO331" i="1" s="1"/>
  <c r="BH363" i="1"/>
  <c r="BO363" i="1" s="1"/>
  <c r="BH28" i="1"/>
  <c r="BO28" i="1" s="1"/>
  <c r="BH68" i="1"/>
  <c r="BO68" i="1" s="1"/>
  <c r="BH84" i="1"/>
  <c r="BO84" i="1" s="1"/>
  <c r="BH108" i="1"/>
  <c r="BO108" i="1" s="1"/>
  <c r="BH124" i="1"/>
  <c r="BO124" i="1" s="1"/>
  <c r="BH21" i="1"/>
  <c r="BO21" i="1" s="1"/>
  <c r="BH39" i="1"/>
  <c r="BO39" i="1" s="1"/>
  <c r="BH62" i="1"/>
  <c r="BO62" i="1" s="1"/>
  <c r="BH85" i="1"/>
  <c r="BO85" i="1" s="1"/>
  <c r="BH103" i="1"/>
  <c r="BO103" i="1" s="1"/>
  <c r="BH126" i="1"/>
  <c r="BO126" i="1" s="1"/>
  <c r="BH143" i="1"/>
  <c r="BO143" i="1" s="1"/>
  <c r="BH159" i="1"/>
  <c r="BO159" i="1" s="1"/>
  <c r="BH175" i="1"/>
  <c r="BO175" i="1" s="1"/>
  <c r="BH191" i="1"/>
  <c r="BO191" i="1" s="1"/>
  <c r="BH207" i="1"/>
  <c r="BO207" i="1" s="1"/>
  <c r="BH223" i="1"/>
  <c r="BO223" i="1" s="1"/>
  <c r="BH239" i="1"/>
  <c r="BO239" i="1" s="1"/>
  <c r="BH255" i="1"/>
  <c r="BO255" i="1" s="1"/>
  <c r="BH271" i="1"/>
  <c r="BO271" i="1" s="1"/>
  <c r="BH287" i="1"/>
  <c r="BO287" i="1" s="1"/>
  <c r="BH303" i="1"/>
  <c r="BO303" i="1" s="1"/>
  <c r="BH319" i="1"/>
  <c r="BO319" i="1" s="1"/>
  <c r="BH335" i="1"/>
  <c r="BO335" i="1" s="1"/>
  <c r="BH351" i="1"/>
  <c r="BO351" i="1" s="1"/>
  <c r="BH367" i="1"/>
  <c r="BO367" i="1" s="1"/>
  <c r="BH22" i="1"/>
  <c r="BO22" i="1" s="1"/>
  <c r="BH127" i="1"/>
  <c r="BO127" i="1" s="1"/>
  <c r="BH164" i="1"/>
  <c r="BO164" i="1" s="1"/>
  <c r="BH180" i="1"/>
  <c r="BO180" i="1" s="1"/>
  <c r="BH212" i="1"/>
  <c r="BO212" i="1" s="1"/>
  <c r="BH244" i="1"/>
  <c r="BO244" i="1" s="1"/>
  <c r="BH260" i="1"/>
  <c r="BO260" i="1" s="1"/>
  <c r="BH308" i="1"/>
  <c r="BO308" i="1" s="1"/>
  <c r="BH356" i="1"/>
  <c r="BO356" i="1" s="1"/>
  <c r="BH118" i="1"/>
  <c r="BO118" i="1" s="1"/>
  <c r="BH252" i="1"/>
  <c r="BO252" i="1" s="1"/>
  <c r="BH300" i="1"/>
  <c r="BO300" i="1" s="1"/>
  <c r="BH348" i="1"/>
  <c r="BO348" i="1" s="1"/>
  <c r="BH55" i="1"/>
  <c r="BO55" i="1" s="1"/>
  <c r="BH141" i="1"/>
  <c r="BO141" i="1" s="1"/>
  <c r="BH189" i="1"/>
  <c r="BO189" i="1" s="1"/>
  <c r="BH253" i="1"/>
  <c r="BO253" i="1" s="1"/>
  <c r="BH317" i="1"/>
  <c r="BO317" i="1" s="1"/>
  <c r="BH45" i="1"/>
  <c r="BO45" i="1" s="1"/>
  <c r="BH63" i="1"/>
  <c r="BO63" i="1" s="1"/>
  <c r="BH86" i="1"/>
  <c r="BO86" i="1" s="1"/>
  <c r="BH109" i="1"/>
  <c r="BO109" i="1" s="1"/>
  <c r="BH148" i="1"/>
  <c r="BO148" i="1" s="1"/>
  <c r="BH196" i="1"/>
  <c r="BO196" i="1" s="1"/>
  <c r="BH228" i="1"/>
  <c r="BO228" i="1" s="1"/>
  <c r="BH276" i="1"/>
  <c r="BO276" i="1" s="1"/>
  <c r="BH292" i="1"/>
  <c r="BO292" i="1" s="1"/>
  <c r="BH324" i="1"/>
  <c r="BO324" i="1" s="1"/>
  <c r="BH340" i="1"/>
  <c r="BO340" i="1" s="1"/>
  <c r="BH372" i="1"/>
  <c r="BO372" i="1" s="1"/>
  <c r="BH172" i="1"/>
  <c r="BO172" i="1" s="1"/>
  <c r="BH332" i="1"/>
  <c r="BO332" i="1" s="1"/>
  <c r="BH37" i="1"/>
  <c r="BO37" i="1" s="1"/>
  <c r="BH101" i="1"/>
  <c r="BO101" i="1" s="1"/>
  <c r="BH119" i="1"/>
  <c r="BO119" i="1" s="1"/>
  <c r="BH173" i="1"/>
  <c r="BO173" i="1" s="1"/>
  <c r="BH221" i="1"/>
  <c r="BO221" i="1" s="1"/>
  <c r="BH285" i="1"/>
  <c r="BO285" i="1" s="1"/>
  <c r="BH349" i="1"/>
  <c r="BO349" i="1" s="1"/>
  <c r="BH23" i="1"/>
  <c r="BO23" i="1" s="1"/>
  <c r="BH46" i="1"/>
  <c r="BO46" i="1" s="1"/>
  <c r="BH69" i="1"/>
  <c r="BO69" i="1" s="1"/>
  <c r="BH87" i="1"/>
  <c r="BO87" i="1" s="1"/>
  <c r="BH110" i="1"/>
  <c r="BO110" i="1" s="1"/>
  <c r="BH133" i="1"/>
  <c r="BO133" i="1" s="1"/>
  <c r="BH149" i="1"/>
  <c r="BO149" i="1" s="1"/>
  <c r="BH165" i="1"/>
  <c r="BO165" i="1" s="1"/>
  <c r="BH181" i="1"/>
  <c r="BO181" i="1" s="1"/>
  <c r="BH197" i="1"/>
  <c r="BO197" i="1" s="1"/>
  <c r="BH213" i="1"/>
  <c r="BO213" i="1" s="1"/>
  <c r="BH229" i="1"/>
  <c r="BO229" i="1" s="1"/>
  <c r="BH245" i="1"/>
  <c r="BO245" i="1" s="1"/>
  <c r="BH261" i="1"/>
  <c r="BO261" i="1" s="1"/>
  <c r="BH277" i="1"/>
  <c r="BO277" i="1" s="1"/>
  <c r="BH293" i="1"/>
  <c r="BO293" i="1" s="1"/>
  <c r="BH309" i="1"/>
  <c r="BO309" i="1" s="1"/>
  <c r="BH325" i="1"/>
  <c r="BO325" i="1" s="1"/>
  <c r="BH341" i="1"/>
  <c r="BO341" i="1" s="1"/>
  <c r="BH357" i="1"/>
  <c r="BO357" i="1" s="1"/>
  <c r="BH373" i="1"/>
  <c r="BO373" i="1" s="1"/>
  <c r="BH29" i="1"/>
  <c r="BO29" i="1" s="1"/>
  <c r="BH47" i="1"/>
  <c r="BO47" i="1" s="1"/>
  <c r="BH70" i="1"/>
  <c r="BO70" i="1" s="1"/>
  <c r="BH93" i="1"/>
  <c r="BO93" i="1" s="1"/>
  <c r="BH111" i="1"/>
  <c r="BO111" i="1" s="1"/>
  <c r="BH134" i="1"/>
  <c r="BO134" i="1" s="1"/>
  <c r="BH150" i="1"/>
  <c r="BO150" i="1" s="1"/>
  <c r="BH166" i="1"/>
  <c r="BO166" i="1" s="1"/>
  <c r="BH182" i="1"/>
  <c r="BO182" i="1" s="1"/>
  <c r="BH198" i="1"/>
  <c r="BO198" i="1" s="1"/>
  <c r="BH214" i="1"/>
  <c r="BO214" i="1" s="1"/>
  <c r="BH230" i="1"/>
  <c r="BO230" i="1" s="1"/>
  <c r="BH246" i="1"/>
  <c r="BO246" i="1" s="1"/>
  <c r="BH262" i="1"/>
  <c r="BO262" i="1" s="1"/>
  <c r="BH278" i="1"/>
  <c r="BO278" i="1" s="1"/>
  <c r="BH294" i="1"/>
  <c r="BO294" i="1" s="1"/>
  <c r="BH310" i="1"/>
  <c r="BO310" i="1" s="1"/>
  <c r="BH326" i="1"/>
  <c r="BO326" i="1" s="1"/>
  <c r="BH342" i="1"/>
  <c r="BO342" i="1" s="1"/>
  <c r="BH358" i="1"/>
  <c r="BO358" i="1" s="1"/>
  <c r="BH374" i="1"/>
  <c r="BO374" i="1" s="1"/>
  <c r="BH30" i="1"/>
  <c r="BO30" i="1" s="1"/>
  <c r="BH53" i="1"/>
  <c r="BO53" i="1" s="1"/>
  <c r="BH71" i="1"/>
  <c r="BO71" i="1" s="1"/>
  <c r="BH94" i="1"/>
  <c r="BO94" i="1" s="1"/>
  <c r="BH117" i="1"/>
  <c r="BO117" i="1" s="1"/>
  <c r="BH135" i="1"/>
  <c r="BO135" i="1" s="1"/>
  <c r="BH151" i="1"/>
  <c r="BO151" i="1" s="1"/>
  <c r="BH167" i="1"/>
  <c r="BO167" i="1" s="1"/>
  <c r="BH183" i="1"/>
  <c r="BO183" i="1" s="1"/>
  <c r="BH199" i="1"/>
  <c r="BO199" i="1" s="1"/>
  <c r="BH215" i="1"/>
  <c r="BO215" i="1" s="1"/>
  <c r="BH231" i="1"/>
  <c r="BO231" i="1" s="1"/>
  <c r="BH247" i="1"/>
  <c r="BO247" i="1" s="1"/>
  <c r="BH263" i="1"/>
  <c r="BO263" i="1" s="1"/>
  <c r="BH279" i="1"/>
  <c r="BO279" i="1" s="1"/>
  <c r="BH295" i="1"/>
  <c r="BO295" i="1" s="1"/>
  <c r="BH311" i="1"/>
  <c r="BO311" i="1" s="1"/>
  <c r="BH327" i="1"/>
  <c r="BO327" i="1" s="1"/>
  <c r="BH343" i="1"/>
  <c r="BO343" i="1" s="1"/>
  <c r="BH359" i="1"/>
  <c r="BO359" i="1" s="1"/>
  <c r="BH375" i="1"/>
  <c r="BO375" i="1" s="1"/>
  <c r="BH31" i="1"/>
  <c r="BO31" i="1" s="1"/>
  <c r="BH54" i="1"/>
  <c r="BO54" i="1" s="1"/>
  <c r="BH77" i="1"/>
  <c r="BO77" i="1" s="1"/>
  <c r="BH95" i="1"/>
  <c r="BO95" i="1" s="1"/>
  <c r="BH140" i="1"/>
  <c r="BO140" i="1" s="1"/>
  <c r="BH156" i="1"/>
  <c r="BO156" i="1" s="1"/>
  <c r="BH188" i="1"/>
  <c r="BO188" i="1" s="1"/>
  <c r="BH204" i="1"/>
  <c r="BO204" i="1" s="1"/>
  <c r="BH220" i="1"/>
  <c r="BO220" i="1" s="1"/>
  <c r="BH236" i="1"/>
  <c r="BO236" i="1" s="1"/>
  <c r="BH268" i="1"/>
  <c r="BO268" i="1" s="1"/>
  <c r="BH284" i="1"/>
  <c r="BO284" i="1" s="1"/>
  <c r="BH316" i="1"/>
  <c r="BO316" i="1" s="1"/>
  <c r="BH364" i="1"/>
  <c r="BO364" i="1" s="1"/>
  <c r="BH78" i="1"/>
  <c r="BO78" i="1" s="1"/>
  <c r="BH157" i="1"/>
  <c r="BO157" i="1" s="1"/>
  <c r="BH205" i="1"/>
  <c r="BO205" i="1" s="1"/>
  <c r="BH237" i="1"/>
  <c r="BO237" i="1" s="1"/>
  <c r="BH269" i="1"/>
  <c r="BO269" i="1" s="1"/>
  <c r="BH301" i="1"/>
  <c r="BO301" i="1" s="1"/>
  <c r="BH333" i="1"/>
  <c r="BO333" i="1" s="1"/>
  <c r="BH365" i="1"/>
  <c r="BO365" i="1" s="1"/>
  <c r="BH38" i="1"/>
  <c r="BO38" i="1" s="1"/>
  <c r="BH190" i="1"/>
  <c r="BO190" i="1" s="1"/>
  <c r="BH318" i="1"/>
  <c r="BO318" i="1" s="1"/>
  <c r="BH61" i="1"/>
  <c r="BO61" i="1" s="1"/>
  <c r="BH206" i="1"/>
  <c r="BO206" i="1" s="1"/>
  <c r="BH334" i="1"/>
  <c r="BO334" i="1" s="1"/>
  <c r="BH222" i="1"/>
  <c r="BO222" i="1" s="1"/>
  <c r="BH102" i="1"/>
  <c r="BO102" i="1" s="1"/>
  <c r="BH238" i="1"/>
  <c r="BO238" i="1" s="1"/>
  <c r="BH366" i="1"/>
  <c r="BO366" i="1" s="1"/>
  <c r="BH125" i="1"/>
  <c r="BO125" i="1" s="1"/>
  <c r="BH254" i="1"/>
  <c r="BO254" i="1" s="1"/>
  <c r="BH142" i="1"/>
  <c r="BO142" i="1" s="1"/>
  <c r="BH270" i="1"/>
  <c r="BO270" i="1" s="1"/>
  <c r="BH158" i="1"/>
  <c r="BO158" i="1" s="1"/>
  <c r="BH286" i="1"/>
  <c r="BO286" i="1" s="1"/>
  <c r="BH174" i="1"/>
  <c r="BO174" i="1" s="1"/>
  <c r="BH302" i="1"/>
  <c r="BO302" i="1" s="1"/>
  <c r="BH79" i="1"/>
  <c r="BO79" i="1" s="1"/>
  <c r="BH350" i="1"/>
  <c r="BO350" i="1" s="1"/>
  <c r="BI15" i="1"/>
  <c r="BP15" i="1" s="1"/>
  <c r="BH15" i="1"/>
  <c r="BO15" i="1" s="1"/>
  <c r="F65" i="1"/>
  <c r="I65" i="1" s="1"/>
  <c r="R65" i="1" s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H65" i="1" l="1"/>
  <c r="Q65" i="1" s="1"/>
  <c r="BQ311" i="1"/>
  <c r="BQ279" i="1"/>
  <c r="BQ244" i="1"/>
  <c r="BQ352" i="1"/>
  <c r="BS352" i="1" s="1"/>
  <c r="BQ86" i="1"/>
  <c r="BR86" i="1" s="1"/>
  <c r="BQ58" i="1"/>
  <c r="BQ185" i="1"/>
  <c r="BR185" i="1" s="1"/>
  <c r="BQ178" i="1"/>
  <c r="BQ270" i="1"/>
  <c r="BR270" i="1" s="1"/>
  <c r="BQ198" i="1"/>
  <c r="BQ318" i="1"/>
  <c r="BS318" i="1" s="1"/>
  <c r="BQ150" i="1"/>
  <c r="BR150" i="1" s="1"/>
  <c r="BQ342" i="1"/>
  <c r="BR342" i="1" s="1"/>
  <c r="BQ319" i="1"/>
  <c r="BR319" i="1" s="1"/>
  <c r="BQ94" i="1"/>
  <c r="BR94" i="1" s="1"/>
  <c r="BQ292" i="1"/>
  <c r="BQ203" i="1"/>
  <c r="BS203" i="1" s="1"/>
  <c r="BQ274" i="1"/>
  <c r="BQ210" i="1"/>
  <c r="BQ146" i="1"/>
  <c r="BQ145" i="1"/>
  <c r="BR145" i="1" s="1"/>
  <c r="BQ248" i="1"/>
  <c r="BQ184" i="1"/>
  <c r="BQ120" i="1"/>
  <c r="BS120" i="1" s="1"/>
  <c r="BQ56" i="1"/>
  <c r="BQ115" i="1"/>
  <c r="BQ307" i="1"/>
  <c r="BQ51" i="1"/>
  <c r="BR51" i="1" s="1"/>
  <c r="BQ122" i="1"/>
  <c r="BS122" i="1" s="1"/>
  <c r="BQ31" i="1"/>
  <c r="BS31" i="1" s="1"/>
  <c r="BQ243" i="1"/>
  <c r="BQ255" i="1"/>
  <c r="BR255" i="1" s="1"/>
  <c r="BQ18" i="1"/>
  <c r="BQ127" i="1"/>
  <c r="BR127" i="1" s="1"/>
  <c r="BQ209" i="1"/>
  <c r="BR209" i="1" s="1"/>
  <c r="BQ312" i="1"/>
  <c r="BR312" i="1" s="1"/>
  <c r="BQ174" i="1"/>
  <c r="BQ359" i="1"/>
  <c r="BS359" i="1" s="1"/>
  <c r="BQ310" i="1"/>
  <c r="BQ261" i="1"/>
  <c r="BS261" i="1" s="1"/>
  <c r="BQ133" i="1"/>
  <c r="BR133" i="1" s="1"/>
  <c r="BQ340" i="1"/>
  <c r="BR340" i="1" s="1"/>
  <c r="BQ138" i="1"/>
  <c r="BR138" i="1" s="1"/>
  <c r="BQ74" i="1"/>
  <c r="BS74" i="1" s="1"/>
  <c r="BQ179" i="1"/>
  <c r="BQ19" i="1"/>
  <c r="BS19" i="1" s="1"/>
  <c r="BQ305" i="1"/>
  <c r="BR305" i="1" s="1"/>
  <c r="BQ177" i="1"/>
  <c r="BR177" i="1" s="1"/>
  <c r="BQ113" i="1"/>
  <c r="BR113" i="1" s="1"/>
  <c r="BQ368" i="1"/>
  <c r="BS368" i="1" s="1"/>
  <c r="BQ304" i="1"/>
  <c r="BQ240" i="1"/>
  <c r="BS240" i="1" s="1"/>
  <c r="BQ176" i="1"/>
  <c r="BR176" i="1" s="1"/>
  <c r="BQ112" i="1"/>
  <c r="BS112" i="1" s="1"/>
  <c r="BQ48" i="1"/>
  <c r="BR48" i="1" s="1"/>
  <c r="BQ301" i="1"/>
  <c r="BR301" i="1" s="1"/>
  <c r="BQ62" i="1"/>
  <c r="BR62" i="1" s="1"/>
  <c r="BQ259" i="1"/>
  <c r="BR259" i="1" s="1"/>
  <c r="BQ67" i="1"/>
  <c r="BR67" i="1" s="1"/>
  <c r="BQ188" i="1"/>
  <c r="BR188" i="1" s="1"/>
  <c r="BQ60" i="1"/>
  <c r="BR60" i="1" s="1"/>
  <c r="BQ201" i="1"/>
  <c r="BR201" i="1" s="1"/>
  <c r="BQ365" i="1"/>
  <c r="BR365" i="1" s="1"/>
  <c r="BQ364" i="1"/>
  <c r="BR364" i="1" s="1"/>
  <c r="BQ166" i="1"/>
  <c r="BS166" i="1" s="1"/>
  <c r="BQ245" i="1"/>
  <c r="BR245" i="1" s="1"/>
  <c r="BQ173" i="1"/>
  <c r="BS173" i="1" s="1"/>
  <c r="BQ180" i="1"/>
  <c r="BS180" i="1" s="1"/>
  <c r="BQ303" i="1"/>
  <c r="BQ266" i="1"/>
  <c r="BS266" i="1" s="1"/>
  <c r="BQ202" i="1"/>
  <c r="BR202" i="1" s="1"/>
  <c r="BQ36" i="1"/>
  <c r="BS36" i="1" s="1"/>
  <c r="BQ267" i="1"/>
  <c r="BR267" i="1" s="1"/>
  <c r="BQ361" i="1"/>
  <c r="BS361" i="1" s="1"/>
  <c r="BQ143" i="1"/>
  <c r="BR143" i="1" s="1"/>
  <c r="BQ134" i="1"/>
  <c r="BR134" i="1" s="1"/>
  <c r="BQ269" i="1"/>
  <c r="BR269" i="1" s="1"/>
  <c r="BQ167" i="1"/>
  <c r="BR167" i="1" s="1"/>
  <c r="BQ278" i="1"/>
  <c r="BR278" i="1" s="1"/>
  <c r="BQ149" i="1"/>
  <c r="BR149" i="1" s="1"/>
  <c r="BQ148" i="1"/>
  <c r="BR148" i="1" s="1"/>
  <c r="BQ187" i="1"/>
  <c r="BR187" i="1" s="1"/>
  <c r="BQ123" i="1"/>
  <c r="BR123" i="1" s="1"/>
  <c r="BQ101" i="1"/>
  <c r="BR101" i="1" s="1"/>
  <c r="BQ322" i="1"/>
  <c r="BR322" i="1" s="1"/>
  <c r="BQ130" i="1"/>
  <c r="BR130" i="1" s="1"/>
  <c r="BQ66" i="1"/>
  <c r="BR66" i="1" s="1"/>
  <c r="BQ129" i="1"/>
  <c r="BR129" i="1" s="1"/>
  <c r="BQ40" i="1"/>
  <c r="BR40" i="1" s="1"/>
  <c r="BQ247" i="1"/>
  <c r="BR247" i="1" s="1"/>
  <c r="BQ47" i="1"/>
  <c r="BR47" i="1" s="1"/>
  <c r="BQ335" i="1"/>
  <c r="BR335" i="1" s="1"/>
  <c r="BQ363" i="1"/>
  <c r="BR363" i="1" s="1"/>
  <c r="BQ186" i="1"/>
  <c r="BR186" i="1" s="1"/>
  <c r="BQ121" i="1"/>
  <c r="BQ164" i="1"/>
  <c r="BS164" i="1" s="1"/>
  <c r="BQ258" i="1"/>
  <c r="BR258" i="1" s="1"/>
  <c r="BQ155" i="1"/>
  <c r="BR155" i="1" s="1"/>
  <c r="BQ102" i="1"/>
  <c r="BR102" i="1" s="1"/>
  <c r="BQ69" i="1"/>
  <c r="BS69" i="1" s="1"/>
  <c r="BQ317" i="1"/>
  <c r="BR317" i="1" s="1"/>
  <c r="BQ338" i="1"/>
  <c r="BR338" i="1" s="1"/>
  <c r="BQ114" i="1"/>
  <c r="BS114" i="1" s="1"/>
  <c r="BQ24" i="1"/>
  <c r="BS24" i="1" s="1"/>
  <c r="BQ110" i="1"/>
  <c r="BR110" i="1" s="1"/>
  <c r="BQ295" i="1"/>
  <c r="BR295" i="1" s="1"/>
  <c r="BQ171" i="1"/>
  <c r="BR171" i="1" s="1"/>
  <c r="BQ325" i="1"/>
  <c r="BR325" i="1" s="1"/>
  <c r="BQ253" i="1"/>
  <c r="BR253" i="1" s="1"/>
  <c r="BQ22" i="1"/>
  <c r="BR22" i="1" s="1"/>
  <c r="BQ242" i="1"/>
  <c r="BR242" i="1" s="1"/>
  <c r="BQ59" i="1"/>
  <c r="BR59" i="1" s="1"/>
  <c r="BQ330" i="1"/>
  <c r="BS330" i="1" s="1"/>
  <c r="BQ273" i="1"/>
  <c r="BS273" i="1" s="1"/>
  <c r="BQ81" i="1"/>
  <c r="BQ17" i="1"/>
  <c r="BR17" i="1" s="1"/>
  <c r="BQ16" i="1"/>
  <c r="BR16" i="1" s="1"/>
  <c r="BQ54" i="1"/>
  <c r="BR54" i="1" s="1"/>
  <c r="BQ286" i="1"/>
  <c r="BR286" i="1" s="1"/>
  <c r="BQ367" i="1"/>
  <c r="BR367" i="1" s="1"/>
  <c r="BQ39" i="1"/>
  <c r="BR39" i="1" s="1"/>
  <c r="BQ223" i="1"/>
  <c r="BR223" i="1" s="1"/>
  <c r="BQ229" i="1"/>
  <c r="BR229" i="1" s="1"/>
  <c r="BQ93" i="1"/>
  <c r="BR93" i="1" s="1"/>
  <c r="BQ220" i="1"/>
  <c r="BR220" i="1" s="1"/>
  <c r="BQ100" i="1"/>
  <c r="BR100" i="1" s="1"/>
  <c r="BQ355" i="1"/>
  <c r="BR355" i="1" s="1"/>
  <c r="BQ291" i="1"/>
  <c r="BR291" i="1" s="1"/>
  <c r="BQ35" i="1"/>
  <c r="BR35" i="1" s="1"/>
  <c r="BQ165" i="1"/>
  <c r="BR165" i="1" s="1"/>
  <c r="BQ53" i="1"/>
  <c r="BR53" i="1" s="1"/>
  <c r="BQ268" i="1"/>
  <c r="BR268" i="1" s="1"/>
  <c r="BQ124" i="1"/>
  <c r="BR124" i="1" s="1"/>
  <c r="BQ298" i="1"/>
  <c r="BR298" i="1" s="1"/>
  <c r="BQ106" i="1"/>
  <c r="BR106" i="1" s="1"/>
  <c r="BQ42" i="1"/>
  <c r="BR42" i="1" s="1"/>
  <c r="BQ297" i="1"/>
  <c r="BR297" i="1" s="1"/>
  <c r="BQ233" i="1"/>
  <c r="BR233" i="1" s="1"/>
  <c r="BQ105" i="1"/>
  <c r="BR105" i="1" s="1"/>
  <c r="BQ41" i="1"/>
  <c r="BR41" i="1" s="1"/>
  <c r="BQ272" i="1"/>
  <c r="BR272" i="1" s="1"/>
  <c r="BQ80" i="1"/>
  <c r="BR80" i="1" s="1"/>
  <c r="BQ117" i="1"/>
  <c r="BR117" i="1" s="1"/>
  <c r="BQ277" i="1"/>
  <c r="BR277" i="1" s="1"/>
  <c r="BQ313" i="1"/>
  <c r="BQ333" i="1"/>
  <c r="BR333" i="1" s="1"/>
  <c r="BQ87" i="1"/>
  <c r="BS87" i="1" s="1"/>
  <c r="BQ75" i="1"/>
  <c r="BR75" i="1" s="1"/>
  <c r="BQ97" i="1"/>
  <c r="BR97" i="1" s="1"/>
  <c r="BQ132" i="1"/>
  <c r="BR132" i="1" s="1"/>
  <c r="BQ28" i="1"/>
  <c r="BR28" i="1" s="1"/>
  <c r="BQ160" i="1"/>
  <c r="BR160" i="1" s="1"/>
  <c r="BQ95" i="1"/>
  <c r="BS95" i="1" s="1"/>
  <c r="BQ30" i="1"/>
  <c r="BR30" i="1" s="1"/>
  <c r="BQ250" i="1"/>
  <c r="BQ50" i="1"/>
  <c r="BS50" i="1" s="1"/>
  <c r="BQ44" i="1"/>
  <c r="BR44" i="1" s="1"/>
  <c r="BQ152" i="1"/>
  <c r="BR152" i="1" s="1"/>
  <c r="BQ235" i="1"/>
  <c r="BR235" i="1" s="1"/>
  <c r="BQ43" i="1"/>
  <c r="BR43" i="1" s="1"/>
  <c r="BQ206" i="1"/>
  <c r="BS206" i="1" s="1"/>
  <c r="BQ350" i="1"/>
  <c r="BR350" i="1" s="1"/>
  <c r="BQ236" i="1"/>
  <c r="BQ151" i="1"/>
  <c r="BR151" i="1" s="1"/>
  <c r="BQ181" i="1"/>
  <c r="BR181" i="1" s="1"/>
  <c r="BQ23" i="1"/>
  <c r="BR23" i="1" s="1"/>
  <c r="BQ332" i="1"/>
  <c r="BR332" i="1" s="1"/>
  <c r="BQ189" i="1"/>
  <c r="BQ103" i="1"/>
  <c r="BS103" i="1" s="1"/>
  <c r="BQ314" i="1"/>
  <c r="BS314" i="1" s="1"/>
  <c r="BQ323" i="1"/>
  <c r="BR323" i="1" s="1"/>
  <c r="BQ306" i="1"/>
  <c r="BS306" i="1" s="1"/>
  <c r="BQ329" i="1"/>
  <c r="BR329" i="1" s="1"/>
  <c r="BQ265" i="1"/>
  <c r="BS265" i="1" s="1"/>
  <c r="BQ137" i="1"/>
  <c r="BR137" i="1" s="1"/>
  <c r="BQ73" i="1"/>
  <c r="BS73" i="1" s="1"/>
  <c r="BQ371" i="1"/>
  <c r="BR371" i="1" s="1"/>
  <c r="BQ366" i="1"/>
  <c r="BR366" i="1" s="1"/>
  <c r="BQ262" i="1"/>
  <c r="BR262" i="1" s="1"/>
  <c r="BQ369" i="1"/>
  <c r="BR369" i="1" s="1"/>
  <c r="BQ357" i="1"/>
  <c r="BR357" i="1" s="1"/>
  <c r="BQ158" i="1"/>
  <c r="BR158" i="1" s="1"/>
  <c r="BQ213" i="1"/>
  <c r="BR213" i="1" s="1"/>
  <c r="BQ212" i="1"/>
  <c r="BR212" i="1" s="1"/>
  <c r="BQ283" i="1"/>
  <c r="BR283" i="1" s="1"/>
  <c r="BQ219" i="1"/>
  <c r="BR219" i="1" s="1"/>
  <c r="BQ108" i="1"/>
  <c r="BR108" i="1" s="1"/>
  <c r="BQ354" i="1"/>
  <c r="BR354" i="1" s="1"/>
  <c r="BQ290" i="1"/>
  <c r="BR290" i="1" s="1"/>
  <c r="BQ98" i="1"/>
  <c r="BR98" i="1" s="1"/>
  <c r="BQ225" i="1"/>
  <c r="BR225" i="1" s="1"/>
  <c r="BQ200" i="1"/>
  <c r="BR200" i="1" s="1"/>
  <c r="BQ72" i="1"/>
  <c r="BR72" i="1" s="1"/>
  <c r="BQ375" i="1"/>
  <c r="BS375" i="1" s="1"/>
  <c r="BQ207" i="1"/>
  <c r="BS207" i="1" s="1"/>
  <c r="BQ82" i="1"/>
  <c r="BQ249" i="1"/>
  <c r="BS249" i="1" s="1"/>
  <c r="BQ140" i="1"/>
  <c r="BS140" i="1" s="1"/>
  <c r="BQ161" i="1"/>
  <c r="BR161" i="1" s="1"/>
  <c r="BQ52" i="1"/>
  <c r="BS52" i="1" s="1"/>
  <c r="BQ224" i="1"/>
  <c r="BR224" i="1" s="1"/>
  <c r="BQ32" i="1"/>
  <c r="BS32" i="1" s="1"/>
  <c r="BQ156" i="1"/>
  <c r="BR156" i="1" s="1"/>
  <c r="BQ96" i="1"/>
  <c r="BR96" i="1" s="1"/>
  <c r="BQ276" i="1"/>
  <c r="BS276" i="1" s="1"/>
  <c r="BQ271" i="1"/>
  <c r="BR271" i="1" s="1"/>
  <c r="BQ251" i="1"/>
  <c r="BR251" i="1" s="1"/>
  <c r="BQ216" i="1"/>
  <c r="BQ222" i="1"/>
  <c r="BR222" i="1" s="1"/>
  <c r="BQ299" i="1"/>
  <c r="BR299" i="1" s="1"/>
  <c r="BQ107" i="1"/>
  <c r="BR107" i="1" s="1"/>
  <c r="BQ344" i="1"/>
  <c r="BR344" i="1" s="1"/>
  <c r="BQ88" i="1"/>
  <c r="BR88" i="1" s="1"/>
  <c r="BQ142" i="1"/>
  <c r="BS142" i="1" s="1"/>
  <c r="BQ254" i="1"/>
  <c r="BR254" i="1" s="1"/>
  <c r="BQ237" i="1"/>
  <c r="BR237" i="1" s="1"/>
  <c r="BQ125" i="1"/>
  <c r="BS125" i="1" s="1"/>
  <c r="BQ205" i="1"/>
  <c r="BR205" i="1" s="1"/>
  <c r="BQ263" i="1"/>
  <c r="BS263" i="1" s="1"/>
  <c r="BQ135" i="1"/>
  <c r="BQ70" i="1"/>
  <c r="BS70" i="1" s="1"/>
  <c r="BQ293" i="1"/>
  <c r="BR293" i="1" s="1"/>
  <c r="BQ349" i="1"/>
  <c r="BS349" i="1" s="1"/>
  <c r="BQ172" i="1"/>
  <c r="BR172" i="1" s="1"/>
  <c r="BQ351" i="1"/>
  <c r="BR351" i="1" s="1"/>
  <c r="BQ85" i="1"/>
  <c r="BR85" i="1" s="1"/>
  <c r="BQ226" i="1"/>
  <c r="BR226" i="1" s="1"/>
  <c r="BQ257" i="1"/>
  <c r="BR257" i="1" s="1"/>
  <c r="BQ193" i="1"/>
  <c r="BR193" i="1" s="1"/>
  <c r="BQ65" i="1"/>
  <c r="BR65" i="1" s="1"/>
  <c r="BQ116" i="1"/>
  <c r="BS116" i="1" s="1"/>
  <c r="BQ64" i="1"/>
  <c r="BR64" i="1" s="1"/>
  <c r="BQ334" i="1"/>
  <c r="BR334" i="1" s="1"/>
  <c r="BQ230" i="1"/>
  <c r="BR230" i="1" s="1"/>
  <c r="BQ79" i="1"/>
  <c r="BR79" i="1" s="1"/>
  <c r="BQ358" i="1"/>
  <c r="BR358" i="1" s="1"/>
  <c r="BQ341" i="1"/>
  <c r="BR341" i="1" s="1"/>
  <c r="BQ308" i="1"/>
  <c r="BR308" i="1" s="1"/>
  <c r="BQ275" i="1"/>
  <c r="BR275" i="1" s="1"/>
  <c r="BQ83" i="1"/>
  <c r="BR83" i="1" s="1"/>
  <c r="BQ141" i="1"/>
  <c r="BR141" i="1" s="1"/>
  <c r="BQ92" i="1"/>
  <c r="BR92" i="1" s="1"/>
  <c r="BQ282" i="1"/>
  <c r="BR282" i="1" s="1"/>
  <c r="BQ218" i="1"/>
  <c r="BR218" i="1" s="1"/>
  <c r="BQ154" i="1"/>
  <c r="BR154" i="1" s="1"/>
  <c r="BQ90" i="1"/>
  <c r="BR90" i="1" s="1"/>
  <c r="BQ217" i="1"/>
  <c r="BR217" i="1" s="1"/>
  <c r="BQ153" i="1"/>
  <c r="BR153" i="1" s="1"/>
  <c r="BQ25" i="1"/>
  <c r="BR25" i="1" s="1"/>
  <c r="BQ15" i="1"/>
  <c r="BS15" i="1" s="1"/>
  <c r="BX16" i="1"/>
  <c r="BY16" i="1" s="1"/>
  <c r="BX13" i="1"/>
  <c r="BY13" i="1" s="1"/>
  <c r="BJ237" i="1"/>
  <c r="BK237" i="1" s="1"/>
  <c r="BJ279" i="1"/>
  <c r="BK279" i="1" s="1"/>
  <c r="BJ93" i="1"/>
  <c r="BK93" i="1" s="1"/>
  <c r="BJ332" i="1"/>
  <c r="BK332" i="1" s="1"/>
  <c r="BJ367" i="1"/>
  <c r="BL367" i="1" s="1"/>
  <c r="BJ103" i="1"/>
  <c r="BL103" i="1" s="1"/>
  <c r="BJ314" i="1"/>
  <c r="BL314" i="1" s="1"/>
  <c r="BJ162" i="1"/>
  <c r="BL162" i="1" s="1"/>
  <c r="BJ323" i="1"/>
  <c r="BK323" i="1" s="1"/>
  <c r="BJ123" i="1"/>
  <c r="BL123" i="1" s="1"/>
  <c r="BJ306" i="1"/>
  <c r="BK306" i="1" s="1"/>
  <c r="BJ265" i="1"/>
  <c r="BL265" i="1" s="1"/>
  <c r="BJ73" i="1"/>
  <c r="BL73" i="1" s="1"/>
  <c r="BJ132" i="1"/>
  <c r="BK132" i="1" s="1"/>
  <c r="BJ371" i="1"/>
  <c r="BK371" i="1" s="1"/>
  <c r="BJ328" i="1"/>
  <c r="BK328" i="1" s="1"/>
  <c r="BJ264" i="1"/>
  <c r="BK264" i="1" s="1"/>
  <c r="BJ200" i="1"/>
  <c r="BK200" i="1" s="1"/>
  <c r="BJ136" i="1"/>
  <c r="BK136" i="1" s="1"/>
  <c r="BJ72" i="1"/>
  <c r="BL72" i="1" s="1"/>
  <c r="BJ79" i="1"/>
  <c r="BL79" i="1" s="1"/>
  <c r="BJ125" i="1"/>
  <c r="BK125" i="1" s="1"/>
  <c r="BJ318" i="1"/>
  <c r="BL318" i="1" s="1"/>
  <c r="BJ205" i="1"/>
  <c r="BL205" i="1" s="1"/>
  <c r="BJ220" i="1"/>
  <c r="BK220" i="1" s="1"/>
  <c r="BJ31" i="1"/>
  <c r="BK31" i="1" s="1"/>
  <c r="BJ263" i="1"/>
  <c r="BL263" i="1" s="1"/>
  <c r="BJ135" i="1"/>
  <c r="BL135" i="1" s="1"/>
  <c r="BJ342" i="1"/>
  <c r="BL342" i="1" s="1"/>
  <c r="BJ214" i="1"/>
  <c r="BK214" i="1" s="1"/>
  <c r="BJ70" i="1"/>
  <c r="BL70" i="1" s="1"/>
  <c r="BJ293" i="1"/>
  <c r="BL293" i="1" s="1"/>
  <c r="BJ165" i="1"/>
  <c r="BK165" i="1" s="1"/>
  <c r="BJ349" i="1"/>
  <c r="BL349" i="1" s="1"/>
  <c r="BJ172" i="1"/>
  <c r="BK172" i="1" s="1"/>
  <c r="BJ148" i="1"/>
  <c r="BK148" i="1" s="1"/>
  <c r="BJ141" i="1"/>
  <c r="BK141" i="1" s="1"/>
  <c r="BJ260" i="1"/>
  <c r="BL260" i="1" s="1"/>
  <c r="BJ351" i="1"/>
  <c r="BK351" i="1" s="1"/>
  <c r="BJ223" i="1"/>
  <c r="BL223" i="1" s="1"/>
  <c r="BJ85" i="1"/>
  <c r="BK85" i="1" s="1"/>
  <c r="BJ28" i="1"/>
  <c r="BK28" i="1" s="1"/>
  <c r="BJ171" i="1"/>
  <c r="BK171" i="1" s="1"/>
  <c r="BJ298" i="1"/>
  <c r="BL298" i="1" s="1"/>
  <c r="BJ154" i="1"/>
  <c r="BL154" i="1" s="1"/>
  <c r="BJ90" i="1"/>
  <c r="BK90" i="1" s="1"/>
  <c r="BJ26" i="1"/>
  <c r="BL26" i="1" s="1"/>
  <c r="BJ307" i="1"/>
  <c r="BK307" i="1" s="1"/>
  <c r="BJ195" i="1"/>
  <c r="BK195" i="1" s="1"/>
  <c r="BJ107" i="1"/>
  <c r="BL107" i="1" s="1"/>
  <c r="BJ43" i="1"/>
  <c r="BK43" i="1" s="1"/>
  <c r="BJ282" i="1"/>
  <c r="BL282" i="1" s="1"/>
  <c r="BJ321" i="1"/>
  <c r="BK321" i="1" s="1"/>
  <c r="BJ257" i="1"/>
  <c r="BK257" i="1" s="1"/>
  <c r="BJ193" i="1"/>
  <c r="BL193" i="1" s="1"/>
  <c r="BJ129" i="1"/>
  <c r="BL129" i="1" s="1"/>
  <c r="BJ65" i="1"/>
  <c r="BK65" i="1" s="1"/>
  <c r="BJ116" i="1"/>
  <c r="BL116" i="1" s="1"/>
  <c r="BJ315" i="1"/>
  <c r="BK315" i="1" s="1"/>
  <c r="BJ320" i="1"/>
  <c r="BL320" i="1" s="1"/>
  <c r="BJ256" i="1"/>
  <c r="BL256" i="1" s="1"/>
  <c r="BJ192" i="1"/>
  <c r="BK192" i="1" s="1"/>
  <c r="BJ128" i="1"/>
  <c r="BL128" i="1" s="1"/>
  <c r="BJ64" i="1"/>
  <c r="BL64" i="1" s="1"/>
  <c r="BJ302" i="1"/>
  <c r="BL302" i="1" s="1"/>
  <c r="BJ190" i="1"/>
  <c r="BL190" i="1" s="1"/>
  <c r="BJ204" i="1"/>
  <c r="BL204" i="1" s="1"/>
  <c r="BJ375" i="1"/>
  <c r="BL375" i="1" s="1"/>
  <c r="BJ247" i="1"/>
  <c r="BK247" i="1" s="1"/>
  <c r="BJ117" i="1"/>
  <c r="BK117" i="1" s="1"/>
  <c r="BJ326" i="1"/>
  <c r="BK326" i="1" s="1"/>
  <c r="BJ198" i="1"/>
  <c r="BL198" i="1" s="1"/>
  <c r="BJ47" i="1"/>
  <c r="BK47" i="1" s="1"/>
  <c r="BJ277" i="1"/>
  <c r="BL277" i="1" s="1"/>
  <c r="BJ149" i="1"/>
  <c r="BK149" i="1" s="1"/>
  <c r="BJ285" i="1"/>
  <c r="BK285" i="1" s="1"/>
  <c r="BJ372" i="1"/>
  <c r="BL372" i="1" s="1"/>
  <c r="BJ109" i="1"/>
  <c r="BL109" i="1" s="1"/>
  <c r="BJ244" i="1"/>
  <c r="BL244" i="1" s="1"/>
  <c r="BJ335" i="1"/>
  <c r="BL335" i="1" s="1"/>
  <c r="BJ207" i="1"/>
  <c r="BL207" i="1" s="1"/>
  <c r="BJ62" i="1"/>
  <c r="BL62" i="1" s="1"/>
  <c r="BJ363" i="1"/>
  <c r="BL363" i="1" s="1"/>
  <c r="BJ146" i="1"/>
  <c r="BK146" i="1" s="1"/>
  <c r="BJ82" i="1"/>
  <c r="BK82" i="1" s="1"/>
  <c r="BJ18" i="1"/>
  <c r="BK18" i="1" s="1"/>
  <c r="BJ291" i="1"/>
  <c r="BL291" i="1" s="1"/>
  <c r="BJ187" i="1"/>
  <c r="BL187" i="1" s="1"/>
  <c r="BJ99" i="1"/>
  <c r="BL99" i="1" s="1"/>
  <c r="BJ35" i="1"/>
  <c r="BL35" i="1" s="1"/>
  <c r="BJ186" i="1"/>
  <c r="BK186" i="1" s="1"/>
  <c r="BJ313" i="1"/>
  <c r="BK313" i="1" s="1"/>
  <c r="BJ249" i="1"/>
  <c r="BK249" i="1" s="1"/>
  <c r="BJ185" i="1"/>
  <c r="BK185" i="1" s="1"/>
  <c r="BJ121" i="1"/>
  <c r="BL121" i="1" s="1"/>
  <c r="BJ57" i="1"/>
  <c r="BL57" i="1" s="1"/>
  <c r="BJ312" i="1"/>
  <c r="BK312" i="1" s="1"/>
  <c r="BJ248" i="1"/>
  <c r="BK248" i="1" s="1"/>
  <c r="BJ184" i="1"/>
  <c r="BK184" i="1" s="1"/>
  <c r="BJ120" i="1"/>
  <c r="BL120" i="1" s="1"/>
  <c r="BJ56" i="1"/>
  <c r="BL56" i="1" s="1"/>
  <c r="BJ61" i="1"/>
  <c r="BL61" i="1" s="1"/>
  <c r="BJ151" i="1"/>
  <c r="BL151" i="1" s="1"/>
  <c r="BJ309" i="1"/>
  <c r="BK309" i="1" s="1"/>
  <c r="BJ196" i="1"/>
  <c r="BK196" i="1" s="1"/>
  <c r="BJ239" i="1"/>
  <c r="BL239" i="1" s="1"/>
  <c r="BJ234" i="1"/>
  <c r="BL234" i="1" s="1"/>
  <c r="BJ219" i="1"/>
  <c r="BK219" i="1" s="1"/>
  <c r="BJ201" i="1"/>
  <c r="BL201" i="1" s="1"/>
  <c r="BJ188" i="1"/>
  <c r="BL188" i="1" s="1"/>
  <c r="BJ231" i="1"/>
  <c r="BK231" i="1" s="1"/>
  <c r="BJ182" i="1"/>
  <c r="BK182" i="1" s="1"/>
  <c r="BJ221" i="1"/>
  <c r="BL221" i="1" s="1"/>
  <c r="BJ39" i="1"/>
  <c r="BK39" i="1" s="1"/>
  <c r="BJ177" i="1"/>
  <c r="BK177" i="1" s="1"/>
  <c r="BJ240" i="1"/>
  <c r="BL240" i="1" s="1"/>
  <c r="BJ48" i="1"/>
  <c r="BL48" i="1" s="1"/>
  <c r="BJ343" i="1"/>
  <c r="BK343" i="1" s="1"/>
  <c r="BJ300" i="1"/>
  <c r="BL300" i="1" s="1"/>
  <c r="BJ130" i="1"/>
  <c r="BK130" i="1" s="1"/>
  <c r="BJ370" i="1"/>
  <c r="BK370" i="1" s="1"/>
  <c r="BJ233" i="1"/>
  <c r="BL233" i="1" s="1"/>
  <c r="BJ41" i="1"/>
  <c r="BL41" i="1" s="1"/>
  <c r="BJ360" i="1"/>
  <c r="BK360" i="1" s="1"/>
  <c r="BJ232" i="1"/>
  <c r="BK232" i="1" s="1"/>
  <c r="BJ104" i="1"/>
  <c r="BL104" i="1" s="1"/>
  <c r="BJ222" i="1"/>
  <c r="BL222" i="1" s="1"/>
  <c r="BJ333" i="1"/>
  <c r="BL333" i="1" s="1"/>
  <c r="BJ140" i="1"/>
  <c r="BL140" i="1" s="1"/>
  <c r="BJ327" i="1"/>
  <c r="BL327" i="1" s="1"/>
  <c r="BJ53" i="1"/>
  <c r="BK53" i="1" s="1"/>
  <c r="BJ229" i="1"/>
  <c r="BL229" i="1" s="1"/>
  <c r="BJ87" i="1"/>
  <c r="BK87" i="1" s="1"/>
  <c r="BJ124" i="1"/>
  <c r="BK124" i="1" s="1"/>
  <c r="BJ362" i="1"/>
  <c r="BK362" i="1" s="1"/>
  <c r="BJ122" i="1"/>
  <c r="BL122" i="1" s="1"/>
  <c r="BJ58" i="1"/>
  <c r="BK58" i="1" s="1"/>
  <c r="BJ355" i="1"/>
  <c r="BK355" i="1" s="1"/>
  <c r="BJ352" i="1"/>
  <c r="BL352" i="1" s="1"/>
  <c r="BJ288" i="1"/>
  <c r="BL288" i="1" s="1"/>
  <c r="BJ224" i="1"/>
  <c r="BL224" i="1" s="1"/>
  <c r="BJ160" i="1"/>
  <c r="BK160" i="1" s="1"/>
  <c r="BJ96" i="1"/>
  <c r="BK96" i="1" s="1"/>
  <c r="BJ32" i="1"/>
  <c r="BK32" i="1" s="1"/>
  <c r="BJ350" i="1"/>
  <c r="BK350" i="1" s="1"/>
  <c r="BJ54" i="1"/>
  <c r="BK54" i="1" s="1"/>
  <c r="BJ230" i="1"/>
  <c r="BK230" i="1" s="1"/>
  <c r="BJ23" i="1"/>
  <c r="BL23" i="1" s="1"/>
  <c r="BJ308" i="1"/>
  <c r="BL308" i="1" s="1"/>
  <c r="BJ203" i="1"/>
  <c r="BL203" i="1" s="1"/>
  <c r="BJ98" i="1"/>
  <c r="BL98" i="1" s="1"/>
  <c r="BJ51" i="1"/>
  <c r="BL51" i="1" s="1"/>
  <c r="BJ137" i="1"/>
  <c r="BK137" i="1" s="1"/>
  <c r="BJ78" i="1"/>
  <c r="BK78" i="1" s="1"/>
  <c r="BJ29" i="1"/>
  <c r="BL29" i="1" s="1"/>
  <c r="BJ133" i="1"/>
  <c r="BL133" i="1" s="1"/>
  <c r="BJ86" i="1"/>
  <c r="BK86" i="1" s="1"/>
  <c r="BJ115" i="1"/>
  <c r="BK115" i="1" s="1"/>
  <c r="BJ138" i="1"/>
  <c r="BK138" i="1" s="1"/>
  <c r="BJ100" i="1"/>
  <c r="BL100" i="1" s="1"/>
  <c r="BJ305" i="1"/>
  <c r="BL305" i="1" s="1"/>
  <c r="BJ113" i="1"/>
  <c r="BK113" i="1" s="1"/>
  <c r="BJ368" i="1"/>
  <c r="BK368" i="1" s="1"/>
  <c r="BJ176" i="1"/>
  <c r="BL176" i="1" s="1"/>
  <c r="BJ286" i="1"/>
  <c r="BK286" i="1" s="1"/>
  <c r="BJ294" i="1"/>
  <c r="BL294" i="1" s="1"/>
  <c r="BJ245" i="1"/>
  <c r="BL245" i="1" s="1"/>
  <c r="BJ324" i="1"/>
  <c r="BK324" i="1" s="1"/>
  <c r="BJ303" i="1"/>
  <c r="BL303" i="1" s="1"/>
  <c r="BJ299" i="1"/>
  <c r="BL299" i="1" s="1"/>
  <c r="BJ66" i="1"/>
  <c r="BL66" i="1" s="1"/>
  <c r="BJ163" i="1"/>
  <c r="BL163" i="1" s="1"/>
  <c r="BJ297" i="1"/>
  <c r="BK297" i="1" s="1"/>
  <c r="BJ168" i="1"/>
  <c r="BL168" i="1" s="1"/>
  <c r="BJ284" i="1"/>
  <c r="BL284" i="1" s="1"/>
  <c r="BJ311" i="1"/>
  <c r="BK311" i="1" s="1"/>
  <c r="BJ183" i="1"/>
  <c r="BK183" i="1" s="1"/>
  <c r="BJ69" i="1"/>
  <c r="BL69" i="1" s="1"/>
  <c r="BJ118" i="1"/>
  <c r="BK118" i="1" s="1"/>
  <c r="BJ250" i="1"/>
  <c r="BL250" i="1" s="1"/>
  <c r="BJ178" i="1"/>
  <c r="BK178" i="1" s="1"/>
  <c r="BJ114" i="1"/>
  <c r="BK114" i="1" s="1"/>
  <c r="BJ50" i="1"/>
  <c r="BL50" i="1" s="1"/>
  <c r="BJ243" i="1"/>
  <c r="BL243" i="1" s="1"/>
  <c r="BJ344" i="1"/>
  <c r="BK344" i="1" s="1"/>
  <c r="BJ280" i="1"/>
  <c r="BK280" i="1" s="1"/>
  <c r="BJ216" i="1"/>
  <c r="BL216" i="1" s="1"/>
  <c r="BJ152" i="1"/>
  <c r="BL152" i="1" s="1"/>
  <c r="BJ88" i="1"/>
  <c r="BL88" i="1" s="1"/>
  <c r="BJ24" i="1"/>
  <c r="BK24" i="1" s="1"/>
  <c r="BJ254" i="1"/>
  <c r="BK254" i="1" s="1"/>
  <c r="BJ236" i="1"/>
  <c r="BL236" i="1" s="1"/>
  <c r="BJ358" i="1"/>
  <c r="BL358" i="1" s="1"/>
  <c r="BJ181" i="1"/>
  <c r="BK181" i="1" s="1"/>
  <c r="BJ189" i="1"/>
  <c r="BK189" i="1" s="1"/>
  <c r="BJ68" i="1"/>
  <c r="BK68" i="1" s="1"/>
  <c r="BJ34" i="1"/>
  <c r="BL34" i="1" s="1"/>
  <c r="BJ329" i="1"/>
  <c r="BL329" i="1" s="1"/>
  <c r="BJ38" i="1"/>
  <c r="BK38" i="1" s="1"/>
  <c r="BJ359" i="1"/>
  <c r="BL359" i="1" s="1"/>
  <c r="BJ310" i="1"/>
  <c r="BK310" i="1" s="1"/>
  <c r="BJ261" i="1"/>
  <c r="BL261" i="1" s="1"/>
  <c r="BJ340" i="1"/>
  <c r="BK340" i="1" s="1"/>
  <c r="BJ348" i="1"/>
  <c r="BK348" i="1" s="1"/>
  <c r="BJ74" i="1"/>
  <c r="BL74" i="1" s="1"/>
  <c r="BJ179" i="1"/>
  <c r="BL179" i="1" s="1"/>
  <c r="BJ241" i="1"/>
  <c r="BL241" i="1" s="1"/>
  <c r="BJ49" i="1"/>
  <c r="BK49" i="1" s="1"/>
  <c r="BJ304" i="1"/>
  <c r="BK304" i="1" s="1"/>
  <c r="BJ112" i="1"/>
  <c r="BL112" i="1" s="1"/>
  <c r="BJ102" i="1"/>
  <c r="BJ156" i="1"/>
  <c r="BK156" i="1" s="1"/>
  <c r="BJ373" i="1"/>
  <c r="BK373" i="1" s="1"/>
  <c r="BJ110" i="1"/>
  <c r="BK110" i="1" s="1"/>
  <c r="BJ63" i="1"/>
  <c r="BL63" i="1" s="1"/>
  <c r="BJ361" i="1"/>
  <c r="BL361" i="1" s="1"/>
  <c r="BJ169" i="1"/>
  <c r="BL169" i="1" s="1"/>
  <c r="BJ105" i="1"/>
  <c r="BL105" i="1" s="1"/>
  <c r="BJ296" i="1"/>
  <c r="BJ40" i="1"/>
  <c r="BK40" i="1" s="1"/>
  <c r="BJ206" i="1"/>
  <c r="BK206" i="1" s="1"/>
  <c r="BJ269" i="1"/>
  <c r="BL269" i="1" s="1"/>
  <c r="BJ268" i="1"/>
  <c r="BL268" i="1" s="1"/>
  <c r="BJ295" i="1"/>
  <c r="BL295" i="1" s="1"/>
  <c r="BJ167" i="1"/>
  <c r="BL167" i="1" s="1"/>
  <c r="BJ111" i="1"/>
  <c r="BL111" i="1" s="1"/>
  <c r="BJ46" i="1"/>
  <c r="BK46" i="1" s="1"/>
  <c r="BJ356" i="1"/>
  <c r="BL356" i="1" s="1"/>
  <c r="BJ255" i="1"/>
  <c r="BL255" i="1" s="1"/>
  <c r="BJ227" i="1"/>
  <c r="BL227" i="1" s="1"/>
  <c r="BJ242" i="1"/>
  <c r="BL242" i="1" s="1"/>
  <c r="BJ170" i="1"/>
  <c r="BL170" i="1" s="1"/>
  <c r="BJ106" i="1"/>
  <c r="BK106" i="1" s="1"/>
  <c r="BJ42" i="1"/>
  <c r="BK42" i="1" s="1"/>
  <c r="BJ235" i="1"/>
  <c r="BJ336" i="1"/>
  <c r="BL336" i="1" s="1"/>
  <c r="BJ272" i="1"/>
  <c r="BL272" i="1" s="1"/>
  <c r="BJ208" i="1"/>
  <c r="BL208" i="1" s="1"/>
  <c r="BJ144" i="1"/>
  <c r="BK144" i="1" s="1"/>
  <c r="BJ80" i="1"/>
  <c r="BK80" i="1" s="1"/>
  <c r="BJ16" i="1"/>
  <c r="BK16" i="1" s="1"/>
  <c r="BJ55" i="1"/>
  <c r="BK55" i="1" s="1"/>
  <c r="BJ147" i="1"/>
  <c r="BJ211" i="1"/>
  <c r="BL211" i="1" s="1"/>
  <c r="BJ238" i="1"/>
  <c r="BL238" i="1" s="1"/>
  <c r="BJ94" i="1"/>
  <c r="BK94" i="1" s="1"/>
  <c r="BJ319" i="1"/>
  <c r="BL319" i="1" s="1"/>
  <c r="BJ283" i="1"/>
  <c r="BL283" i="1" s="1"/>
  <c r="BJ91" i="1"/>
  <c r="BK91" i="1" s="1"/>
  <c r="BJ369" i="1"/>
  <c r="BK369" i="1" s="1"/>
  <c r="BJ76" i="1"/>
  <c r="BK76" i="1" s="1"/>
  <c r="BJ71" i="1"/>
  <c r="BL71" i="1" s="1"/>
  <c r="BJ21" i="1"/>
  <c r="BL21" i="1" s="1"/>
  <c r="BJ27" i="1"/>
  <c r="BK27" i="1" s="1"/>
  <c r="BJ202" i="1"/>
  <c r="BK202" i="1" s="1"/>
  <c r="BG10" i="1"/>
  <c r="BG11" i="1" s="1"/>
  <c r="BJ158" i="1"/>
  <c r="BK158" i="1" s="1"/>
  <c r="BJ316" i="1"/>
  <c r="BK316" i="1" s="1"/>
  <c r="BJ199" i="1"/>
  <c r="BK199" i="1" s="1"/>
  <c r="BJ278" i="1"/>
  <c r="BL278" i="1" s="1"/>
  <c r="BJ150" i="1"/>
  <c r="BK150" i="1" s="1"/>
  <c r="BJ357" i="1"/>
  <c r="BK357" i="1" s="1"/>
  <c r="BJ119" i="1"/>
  <c r="BK119" i="1" s="1"/>
  <c r="BJ292" i="1"/>
  <c r="BK292" i="1" s="1"/>
  <c r="BJ45" i="1"/>
  <c r="BK45" i="1" s="1"/>
  <c r="BJ252" i="1"/>
  <c r="BL252" i="1" s="1"/>
  <c r="BJ164" i="1"/>
  <c r="BJ287" i="1"/>
  <c r="BK287" i="1" s="1"/>
  <c r="BJ159" i="1"/>
  <c r="BK159" i="1" s="1"/>
  <c r="BJ275" i="1"/>
  <c r="BK275" i="1" s="1"/>
  <c r="BJ258" i="1"/>
  <c r="BK258" i="1" s="1"/>
  <c r="BJ194" i="1"/>
  <c r="BL194" i="1" s="1"/>
  <c r="BJ259" i="1"/>
  <c r="BK259" i="1" s="1"/>
  <c r="BJ155" i="1"/>
  <c r="BL155" i="1" s="1"/>
  <c r="BJ75" i="1"/>
  <c r="BJ354" i="1"/>
  <c r="BL354" i="1" s="1"/>
  <c r="BJ353" i="1"/>
  <c r="BL353" i="1" s="1"/>
  <c r="BJ289" i="1"/>
  <c r="BL289" i="1" s="1"/>
  <c r="BJ225" i="1"/>
  <c r="BK225" i="1" s="1"/>
  <c r="BJ161" i="1"/>
  <c r="BL161" i="1" s="1"/>
  <c r="BJ97" i="1"/>
  <c r="BL97" i="1" s="1"/>
  <c r="BJ33" i="1"/>
  <c r="BK33" i="1" s="1"/>
  <c r="BJ52" i="1"/>
  <c r="BJ226" i="1"/>
  <c r="BK226" i="1" s="1"/>
  <c r="BJ157" i="1"/>
  <c r="BL157" i="1" s="1"/>
  <c r="BJ218" i="1"/>
  <c r="BK218" i="1" s="1"/>
  <c r="BJ174" i="1"/>
  <c r="BK174" i="1" s="1"/>
  <c r="BJ191" i="1"/>
  <c r="BL191" i="1" s="1"/>
  <c r="BJ331" i="1"/>
  <c r="BL331" i="1" s="1"/>
  <c r="BJ210" i="1"/>
  <c r="BK210" i="1" s="1"/>
  <c r="BJ19" i="1"/>
  <c r="BJ365" i="1"/>
  <c r="BK365" i="1" s="1"/>
  <c r="BJ166" i="1"/>
  <c r="BK166" i="1" s="1"/>
  <c r="BJ173" i="1"/>
  <c r="BL173" i="1" s="1"/>
  <c r="BJ180" i="1"/>
  <c r="BK180" i="1" s="1"/>
  <c r="BJ175" i="1"/>
  <c r="BK175" i="1" s="1"/>
  <c r="BJ266" i="1"/>
  <c r="BL266" i="1" s="1"/>
  <c r="BJ36" i="1"/>
  <c r="BL36" i="1" s="1"/>
  <c r="BJ267" i="1"/>
  <c r="BL267" i="1" s="1"/>
  <c r="BJ83" i="1"/>
  <c r="BK83" i="1" s="1"/>
  <c r="BJ60" i="1"/>
  <c r="BK60" i="1" s="1"/>
  <c r="BJ270" i="1"/>
  <c r="BL270" i="1" s="1"/>
  <c r="BJ334" i="1"/>
  <c r="BL334" i="1" s="1"/>
  <c r="BJ301" i="1"/>
  <c r="BL301" i="1" s="1"/>
  <c r="BJ95" i="1"/>
  <c r="BK95" i="1" s="1"/>
  <c r="BJ30" i="1"/>
  <c r="BK30" i="1" s="1"/>
  <c r="BJ262" i="1"/>
  <c r="BL262" i="1" s="1"/>
  <c r="BJ134" i="1"/>
  <c r="BL134" i="1" s="1"/>
  <c r="BJ341" i="1"/>
  <c r="BK341" i="1" s="1"/>
  <c r="BJ213" i="1"/>
  <c r="BL213" i="1" s="1"/>
  <c r="BJ101" i="1"/>
  <c r="BL101" i="1" s="1"/>
  <c r="BJ276" i="1"/>
  <c r="BK276" i="1" s="1"/>
  <c r="BJ317" i="1"/>
  <c r="BK317" i="1" s="1"/>
  <c r="BJ127" i="1"/>
  <c r="BK127" i="1" s="1"/>
  <c r="BJ271" i="1"/>
  <c r="BJ143" i="1"/>
  <c r="BL143" i="1" s="1"/>
  <c r="BJ108" i="1"/>
  <c r="BL108" i="1" s="1"/>
  <c r="BJ251" i="1"/>
  <c r="BK251" i="1" s="1"/>
  <c r="BJ338" i="1"/>
  <c r="BK338" i="1" s="1"/>
  <c r="BJ347" i="1"/>
  <c r="BK347" i="1" s="1"/>
  <c r="BJ139" i="1"/>
  <c r="BL139" i="1" s="1"/>
  <c r="BJ67" i="1"/>
  <c r="BK67" i="1" s="1"/>
  <c r="BJ346" i="1"/>
  <c r="BK346" i="1" s="1"/>
  <c r="BJ345" i="1"/>
  <c r="BL345" i="1" s="1"/>
  <c r="BJ281" i="1"/>
  <c r="BK281" i="1" s="1"/>
  <c r="BJ217" i="1"/>
  <c r="BL217" i="1" s="1"/>
  <c r="BJ153" i="1"/>
  <c r="BK153" i="1" s="1"/>
  <c r="BJ89" i="1"/>
  <c r="BL89" i="1" s="1"/>
  <c r="BJ25" i="1"/>
  <c r="BL25" i="1" s="1"/>
  <c r="BJ44" i="1"/>
  <c r="BK44" i="1" s="1"/>
  <c r="BJ366" i="1"/>
  <c r="BJ290" i="1"/>
  <c r="BL290" i="1" s="1"/>
  <c r="BJ92" i="1"/>
  <c r="BK92" i="1" s="1"/>
  <c r="BJ212" i="1"/>
  <c r="BL212" i="1" s="1"/>
  <c r="BJ274" i="1"/>
  <c r="BK274" i="1" s="1"/>
  <c r="BJ364" i="1"/>
  <c r="BK364" i="1" s="1"/>
  <c r="BJ215" i="1"/>
  <c r="BL215" i="1" s="1"/>
  <c r="BJ142" i="1"/>
  <c r="BK142" i="1" s="1"/>
  <c r="BJ77" i="1"/>
  <c r="BL77" i="1" s="1"/>
  <c r="BJ374" i="1"/>
  <c r="BK374" i="1" s="1"/>
  <c r="BJ246" i="1"/>
  <c r="BL246" i="1" s="1"/>
  <c r="BJ325" i="1"/>
  <c r="BL325" i="1" s="1"/>
  <c r="BJ197" i="1"/>
  <c r="BK197" i="1" s="1"/>
  <c r="BJ37" i="1"/>
  <c r="BL37" i="1" s="1"/>
  <c r="BJ228" i="1"/>
  <c r="BL228" i="1" s="1"/>
  <c r="BJ253" i="1"/>
  <c r="BL253" i="1" s="1"/>
  <c r="BJ22" i="1"/>
  <c r="BJ126" i="1"/>
  <c r="BK126" i="1" s="1"/>
  <c r="BJ84" i="1"/>
  <c r="BL84" i="1" s="1"/>
  <c r="BJ322" i="1"/>
  <c r="BL322" i="1" s="1"/>
  <c r="BJ339" i="1"/>
  <c r="BK339" i="1" s="1"/>
  <c r="BJ131" i="1"/>
  <c r="BK131" i="1" s="1"/>
  <c r="BJ59" i="1"/>
  <c r="BL59" i="1" s="1"/>
  <c r="BJ330" i="1"/>
  <c r="BK330" i="1" s="1"/>
  <c r="BJ337" i="1"/>
  <c r="BJ273" i="1"/>
  <c r="BL273" i="1" s="1"/>
  <c r="BJ209" i="1"/>
  <c r="BK209" i="1" s="1"/>
  <c r="BJ145" i="1"/>
  <c r="BK145" i="1" s="1"/>
  <c r="BJ81" i="1"/>
  <c r="BL81" i="1" s="1"/>
  <c r="BJ17" i="1"/>
  <c r="BL17" i="1" s="1"/>
  <c r="BJ20" i="1"/>
  <c r="BL20" i="1" s="1"/>
  <c r="BJ15" i="1"/>
  <c r="BK15" i="1" s="1"/>
  <c r="D45" i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BR112" i="1" l="1"/>
  <c r="BT112" i="1" s="1"/>
  <c r="BU112" i="1" s="1"/>
  <c r="BS305" i="1"/>
  <c r="BT305" i="1" s="1"/>
  <c r="BU305" i="1" s="1"/>
  <c r="BR24" i="1"/>
  <c r="BT24" i="1" s="1"/>
  <c r="BU24" i="1" s="1"/>
  <c r="BR164" i="1"/>
  <c r="BT164" i="1" s="1"/>
  <c r="BU164" i="1" s="1"/>
  <c r="BS117" i="1"/>
  <c r="BT117" i="1" s="1"/>
  <c r="BU117" i="1" s="1"/>
  <c r="BR173" i="1"/>
  <c r="BT173" i="1" s="1"/>
  <c r="BU173" i="1" s="1"/>
  <c r="BR87" i="1"/>
  <c r="BT87" i="1" s="1"/>
  <c r="BU87" i="1" s="1"/>
  <c r="BS186" i="1"/>
  <c r="BT186" i="1" s="1"/>
  <c r="BU186" i="1" s="1"/>
  <c r="BS176" i="1"/>
  <c r="BT176" i="1" s="1"/>
  <c r="BU176" i="1" s="1"/>
  <c r="BR261" i="1"/>
  <c r="BT261" i="1" s="1"/>
  <c r="BU261" i="1" s="1"/>
  <c r="BR125" i="1"/>
  <c r="BT125" i="1" s="1"/>
  <c r="BU125" i="1" s="1"/>
  <c r="BS371" i="1"/>
  <c r="BT371" i="1" s="1"/>
  <c r="BU371" i="1" s="1"/>
  <c r="BR103" i="1"/>
  <c r="BT103" i="1" s="1"/>
  <c r="BU103" i="1" s="1"/>
  <c r="BR306" i="1"/>
  <c r="BT306" i="1" s="1"/>
  <c r="BU306" i="1" s="1"/>
  <c r="BR50" i="1"/>
  <c r="BT50" i="1" s="1"/>
  <c r="BU50" i="1" s="1"/>
  <c r="BS335" i="1"/>
  <c r="BT335" i="1" s="1"/>
  <c r="BU335" i="1" s="1"/>
  <c r="BR249" i="1"/>
  <c r="BT249" i="1" s="1"/>
  <c r="BU249" i="1" s="1"/>
  <c r="BR73" i="1"/>
  <c r="BT73" i="1" s="1"/>
  <c r="BU73" i="1" s="1"/>
  <c r="BR314" i="1"/>
  <c r="BT314" i="1" s="1"/>
  <c r="BU314" i="1" s="1"/>
  <c r="BR166" i="1"/>
  <c r="BT166" i="1" s="1"/>
  <c r="BU166" i="1" s="1"/>
  <c r="BS152" i="1"/>
  <c r="BT152" i="1" s="1"/>
  <c r="BU152" i="1" s="1"/>
  <c r="BR266" i="1"/>
  <c r="BT266" i="1" s="1"/>
  <c r="BU266" i="1" s="1"/>
  <c r="BR74" i="1"/>
  <c r="BT74" i="1" s="1"/>
  <c r="BU74" i="1" s="1"/>
  <c r="BR359" i="1"/>
  <c r="BT359" i="1" s="1"/>
  <c r="BU359" i="1" s="1"/>
  <c r="BS248" i="1"/>
  <c r="BR248" i="1"/>
  <c r="BR244" i="1"/>
  <c r="BS244" i="1"/>
  <c r="BS274" i="1"/>
  <c r="BR274" i="1"/>
  <c r="BS311" i="1"/>
  <c r="BR311" i="1"/>
  <c r="BS253" i="1"/>
  <c r="BT253" i="1" s="1"/>
  <c r="BU253" i="1" s="1"/>
  <c r="BS113" i="1"/>
  <c r="BT113" i="1" s="1"/>
  <c r="BU113" i="1" s="1"/>
  <c r="BR375" i="1"/>
  <c r="BT375" i="1" s="1"/>
  <c r="BU375" i="1" s="1"/>
  <c r="BQ139" i="1"/>
  <c r="BR139" i="1" s="1"/>
  <c r="BR330" i="1"/>
  <c r="BT330" i="1" s="1"/>
  <c r="BU330" i="1" s="1"/>
  <c r="BS245" i="1"/>
  <c r="BT245" i="1" s="1"/>
  <c r="BU245" i="1" s="1"/>
  <c r="BR114" i="1"/>
  <c r="BT114" i="1" s="1"/>
  <c r="BU114" i="1" s="1"/>
  <c r="BR368" i="1"/>
  <c r="BT368" i="1" s="1"/>
  <c r="BU368" i="1" s="1"/>
  <c r="BR276" i="1"/>
  <c r="BT276" i="1" s="1"/>
  <c r="BU276" i="1" s="1"/>
  <c r="BR32" i="1"/>
  <c r="BT32" i="1" s="1"/>
  <c r="BU32" i="1" s="1"/>
  <c r="BR207" i="1"/>
  <c r="BT207" i="1" s="1"/>
  <c r="BU207" i="1" s="1"/>
  <c r="BS16" i="1"/>
  <c r="BT16" i="1" s="1"/>
  <c r="BU16" i="1" s="1"/>
  <c r="BR240" i="1"/>
  <c r="BT240" i="1" s="1"/>
  <c r="BU240" i="1" s="1"/>
  <c r="BS94" i="1"/>
  <c r="BT94" i="1" s="1"/>
  <c r="BU94" i="1" s="1"/>
  <c r="BS138" i="1"/>
  <c r="BT138" i="1" s="1"/>
  <c r="BU138" i="1" s="1"/>
  <c r="BS75" i="1"/>
  <c r="BT75" i="1" s="1"/>
  <c r="BU75" i="1" s="1"/>
  <c r="BS133" i="1"/>
  <c r="BT133" i="1" s="1"/>
  <c r="BU133" i="1" s="1"/>
  <c r="BR265" i="1"/>
  <c r="BT265" i="1" s="1"/>
  <c r="BU265" i="1" s="1"/>
  <c r="BR70" i="1"/>
  <c r="BT70" i="1" s="1"/>
  <c r="BU70" i="1" s="1"/>
  <c r="BQ356" i="1"/>
  <c r="BR356" i="1" s="1"/>
  <c r="BS242" i="1"/>
  <c r="BT242" i="1" s="1"/>
  <c r="BU242" i="1" s="1"/>
  <c r="BS364" i="1"/>
  <c r="BT364" i="1" s="1"/>
  <c r="BU364" i="1" s="1"/>
  <c r="BS178" i="1"/>
  <c r="BR178" i="1"/>
  <c r="BR292" i="1"/>
  <c r="BS292" i="1"/>
  <c r="BR58" i="1"/>
  <c r="BS58" i="1"/>
  <c r="BR115" i="1"/>
  <c r="BS115" i="1"/>
  <c r="BS181" i="1"/>
  <c r="BT181" i="1" s="1"/>
  <c r="BU181" i="1" s="1"/>
  <c r="BS342" i="1"/>
  <c r="BT342" i="1" s="1"/>
  <c r="BU342" i="1" s="1"/>
  <c r="BS237" i="1"/>
  <c r="BT237" i="1" s="1"/>
  <c r="BU237" i="1" s="1"/>
  <c r="BQ331" i="1"/>
  <c r="BR331" i="1" s="1"/>
  <c r="BS17" i="1"/>
  <c r="BT17" i="1" s="1"/>
  <c r="BU17" i="1" s="1"/>
  <c r="BQ204" i="1"/>
  <c r="BR204" i="1" s="1"/>
  <c r="BS185" i="1"/>
  <c r="BT185" i="1" s="1"/>
  <c r="BU185" i="1" s="1"/>
  <c r="BS270" i="1"/>
  <c r="BT270" i="1" s="1"/>
  <c r="BU270" i="1" s="1"/>
  <c r="BR206" i="1"/>
  <c r="BT206" i="1" s="1"/>
  <c r="BU206" i="1" s="1"/>
  <c r="BR95" i="1"/>
  <c r="BT95" i="1" s="1"/>
  <c r="BU95" i="1" s="1"/>
  <c r="BQ20" i="1"/>
  <c r="BS20" i="1" s="1"/>
  <c r="BS51" i="1"/>
  <c r="BT51" i="1" s="1"/>
  <c r="BU51" i="1" s="1"/>
  <c r="BS267" i="1"/>
  <c r="BT267" i="1" s="1"/>
  <c r="BU267" i="1" s="1"/>
  <c r="BR361" i="1"/>
  <c r="BT361" i="1" s="1"/>
  <c r="BU361" i="1" s="1"/>
  <c r="BS145" i="1"/>
  <c r="BT145" i="1" s="1"/>
  <c r="BU145" i="1" s="1"/>
  <c r="BS177" i="1"/>
  <c r="BT177" i="1" s="1"/>
  <c r="BU177" i="1" s="1"/>
  <c r="BQ370" i="1"/>
  <c r="BR370" i="1" s="1"/>
  <c r="BQ76" i="1"/>
  <c r="BR76" i="1" s="1"/>
  <c r="BR52" i="1"/>
  <c r="BT52" i="1" s="1"/>
  <c r="BU52" i="1" s="1"/>
  <c r="BS319" i="1"/>
  <c r="BT319" i="1" s="1"/>
  <c r="BU319" i="1" s="1"/>
  <c r="BR116" i="1"/>
  <c r="BT116" i="1" s="1"/>
  <c r="BU116" i="1" s="1"/>
  <c r="BR142" i="1"/>
  <c r="BT142" i="1" s="1"/>
  <c r="BU142" i="1" s="1"/>
  <c r="BR203" i="1"/>
  <c r="BT203" i="1" s="1"/>
  <c r="BU203" i="1" s="1"/>
  <c r="BS47" i="1"/>
  <c r="BT47" i="1" s="1"/>
  <c r="BU47" i="1" s="1"/>
  <c r="BS22" i="1"/>
  <c r="BT22" i="1" s="1"/>
  <c r="BU22" i="1" s="1"/>
  <c r="BR140" i="1"/>
  <c r="BT140" i="1" s="1"/>
  <c r="BU140" i="1" s="1"/>
  <c r="BS338" i="1"/>
  <c r="BT338" i="1" s="1"/>
  <c r="BU338" i="1" s="1"/>
  <c r="BS224" i="1"/>
  <c r="BT224" i="1" s="1"/>
  <c r="BU224" i="1" s="1"/>
  <c r="BS277" i="1"/>
  <c r="BT277" i="1" s="1"/>
  <c r="BU277" i="1" s="1"/>
  <c r="BQ55" i="1"/>
  <c r="BR55" i="1" s="1"/>
  <c r="BQ169" i="1"/>
  <c r="BR169" i="1" s="1"/>
  <c r="BQ190" i="1"/>
  <c r="BR190" i="1" s="1"/>
  <c r="BQ296" i="1"/>
  <c r="BR296" i="1" s="1"/>
  <c r="BQ128" i="1"/>
  <c r="BR128" i="1" s="1"/>
  <c r="BQ238" i="1"/>
  <c r="BR238" i="1" s="1"/>
  <c r="BQ241" i="1"/>
  <c r="BR241" i="1" s="1"/>
  <c r="BQ131" i="1"/>
  <c r="BR131" i="1" s="1"/>
  <c r="BQ26" i="1"/>
  <c r="BR26" i="1" s="1"/>
  <c r="BR263" i="1"/>
  <c r="BT263" i="1" s="1"/>
  <c r="BU263" i="1" s="1"/>
  <c r="BQ57" i="1"/>
  <c r="BR57" i="1" s="1"/>
  <c r="BQ136" i="1"/>
  <c r="BR136" i="1" s="1"/>
  <c r="BQ347" i="1"/>
  <c r="BR347" i="1" s="1"/>
  <c r="BQ119" i="1"/>
  <c r="BR119" i="1" s="1"/>
  <c r="BQ199" i="1"/>
  <c r="BR199" i="1" s="1"/>
  <c r="BR243" i="1"/>
  <c r="BS243" i="1"/>
  <c r="BR303" i="1"/>
  <c r="BS303" i="1"/>
  <c r="BS216" i="1"/>
  <c r="BR216" i="1"/>
  <c r="BR184" i="1"/>
  <c r="BS184" i="1"/>
  <c r="BS200" i="1"/>
  <c r="BT200" i="1" s="1"/>
  <c r="BU200" i="1" s="1"/>
  <c r="BQ34" i="1"/>
  <c r="BR34" i="1" s="1"/>
  <c r="BQ37" i="1"/>
  <c r="BR37" i="1" s="1"/>
  <c r="BQ191" i="1"/>
  <c r="BR191" i="1" s="1"/>
  <c r="BQ287" i="1"/>
  <c r="BR287" i="1" s="1"/>
  <c r="BS189" i="1"/>
  <c r="BR189" i="1"/>
  <c r="BQ111" i="1"/>
  <c r="BR111" i="1" s="1"/>
  <c r="BR146" i="1"/>
  <c r="BS146" i="1"/>
  <c r="BS325" i="1"/>
  <c r="BT325" i="1" s="1"/>
  <c r="BU325" i="1" s="1"/>
  <c r="BS174" i="1"/>
  <c r="BR174" i="1"/>
  <c r="BQ71" i="1"/>
  <c r="BR71" i="1" s="1"/>
  <c r="BS130" i="1"/>
  <c r="BT130" i="1" s="1"/>
  <c r="BU130" i="1" s="1"/>
  <c r="BQ281" i="1"/>
  <c r="BR281" i="1" s="1"/>
  <c r="BQ288" i="1"/>
  <c r="BR288" i="1" s="1"/>
  <c r="BS107" i="1"/>
  <c r="BT107" i="1" s="1"/>
  <c r="BU107" i="1" s="1"/>
  <c r="BS198" i="1"/>
  <c r="BR198" i="1"/>
  <c r="BS85" i="1"/>
  <c r="BT85" i="1" s="1"/>
  <c r="BU85" i="1" s="1"/>
  <c r="BQ182" i="1"/>
  <c r="BR182" i="1" s="1"/>
  <c r="BQ343" i="1"/>
  <c r="BR343" i="1" s="1"/>
  <c r="BQ300" i="1"/>
  <c r="BR300" i="1" s="1"/>
  <c r="BS210" i="1"/>
  <c r="BR210" i="1"/>
  <c r="BS312" i="1"/>
  <c r="BT312" i="1" s="1"/>
  <c r="BU312" i="1" s="1"/>
  <c r="BQ147" i="1"/>
  <c r="BR147" i="1" s="1"/>
  <c r="BQ197" i="1"/>
  <c r="BR197" i="1" s="1"/>
  <c r="BQ246" i="1"/>
  <c r="BR246" i="1" s="1"/>
  <c r="BS299" i="1"/>
  <c r="BT299" i="1" s="1"/>
  <c r="BU299" i="1" s="1"/>
  <c r="BS156" i="1"/>
  <c r="BT156" i="1" s="1"/>
  <c r="BU156" i="1" s="1"/>
  <c r="BQ362" i="1"/>
  <c r="BR362" i="1" s="1"/>
  <c r="BQ328" i="1"/>
  <c r="BR328" i="1" s="1"/>
  <c r="BQ162" i="1"/>
  <c r="BR162" i="1" s="1"/>
  <c r="BQ316" i="1"/>
  <c r="BR316" i="1" s="1"/>
  <c r="BQ345" i="1"/>
  <c r="BR345" i="1" s="1"/>
  <c r="BQ337" i="1"/>
  <c r="BR337" i="1" s="1"/>
  <c r="BS279" i="1"/>
  <c r="BR279" i="1"/>
  <c r="BQ118" i="1"/>
  <c r="BR118" i="1" s="1"/>
  <c r="BQ336" i="1"/>
  <c r="BR336" i="1" s="1"/>
  <c r="BQ170" i="1"/>
  <c r="BR170" i="1" s="1"/>
  <c r="BS35" i="1"/>
  <c r="BT35" i="1" s="1"/>
  <c r="BU35" i="1" s="1"/>
  <c r="BS332" i="1"/>
  <c r="BT332" i="1" s="1"/>
  <c r="BU332" i="1" s="1"/>
  <c r="BR81" i="1"/>
  <c r="BS81" i="1"/>
  <c r="BQ228" i="1"/>
  <c r="BR228" i="1" s="1"/>
  <c r="BQ327" i="1"/>
  <c r="BR327" i="1" s="1"/>
  <c r="BQ104" i="1"/>
  <c r="BR104" i="1" s="1"/>
  <c r="BS257" i="1"/>
  <c r="BT257" i="1" s="1"/>
  <c r="BU257" i="1" s="1"/>
  <c r="BS172" i="1"/>
  <c r="BT172" i="1" s="1"/>
  <c r="BU172" i="1" s="1"/>
  <c r="BQ315" i="1"/>
  <c r="BR315" i="1" s="1"/>
  <c r="BS179" i="1"/>
  <c r="BR179" i="1"/>
  <c r="BQ348" i="1"/>
  <c r="BR348" i="1" s="1"/>
  <c r="BR310" i="1"/>
  <c r="BS310" i="1"/>
  <c r="BS365" i="1"/>
  <c r="BT365" i="1" s="1"/>
  <c r="BU365" i="1" s="1"/>
  <c r="BQ221" i="1"/>
  <c r="BR221" i="1" s="1"/>
  <c r="BQ326" i="1"/>
  <c r="BR326" i="1" s="1"/>
  <c r="BR313" i="1"/>
  <c r="BS313" i="1"/>
  <c r="BR121" i="1"/>
  <c r="BS121" i="1"/>
  <c r="BR304" i="1"/>
  <c r="BS304" i="1"/>
  <c r="BQ89" i="1"/>
  <c r="BR89" i="1" s="1"/>
  <c r="BS282" i="1"/>
  <c r="BT282" i="1" s="1"/>
  <c r="BU282" i="1" s="1"/>
  <c r="BQ211" i="1"/>
  <c r="BR211" i="1" s="1"/>
  <c r="BQ126" i="1"/>
  <c r="BR126" i="1" s="1"/>
  <c r="BQ353" i="1"/>
  <c r="BR353" i="1" s="1"/>
  <c r="BQ192" i="1"/>
  <c r="BR192" i="1" s="1"/>
  <c r="BR307" i="1"/>
  <c r="BS307" i="1"/>
  <c r="BS344" i="1"/>
  <c r="BT344" i="1" s="1"/>
  <c r="BU344" i="1" s="1"/>
  <c r="BS222" i="1"/>
  <c r="BT222" i="1" s="1"/>
  <c r="BU222" i="1" s="1"/>
  <c r="BS205" i="1"/>
  <c r="BT205" i="1" s="1"/>
  <c r="BU205" i="1" s="1"/>
  <c r="BQ159" i="1"/>
  <c r="BR159" i="1" s="1"/>
  <c r="BQ33" i="1"/>
  <c r="BR33" i="1" s="1"/>
  <c r="BS226" i="1"/>
  <c r="BT226" i="1" s="1"/>
  <c r="BU226" i="1" s="1"/>
  <c r="BQ91" i="1"/>
  <c r="BR91" i="1" s="1"/>
  <c r="BQ77" i="1"/>
  <c r="BR77" i="1" s="1"/>
  <c r="BQ175" i="1"/>
  <c r="BR175" i="1" s="1"/>
  <c r="BS132" i="1"/>
  <c r="BT132" i="1" s="1"/>
  <c r="BU132" i="1" s="1"/>
  <c r="BQ289" i="1"/>
  <c r="BR289" i="1" s="1"/>
  <c r="BS150" i="1"/>
  <c r="BT150" i="1" s="1"/>
  <c r="BU150" i="1" s="1"/>
  <c r="BQ46" i="1"/>
  <c r="BR46" i="1" s="1"/>
  <c r="BS23" i="1"/>
  <c r="BT23" i="1" s="1"/>
  <c r="BU23" i="1" s="1"/>
  <c r="BQ109" i="1"/>
  <c r="BR109" i="1" s="1"/>
  <c r="BS56" i="1"/>
  <c r="BR56" i="1"/>
  <c r="BQ339" i="1"/>
  <c r="BR339" i="1" s="1"/>
  <c r="BS135" i="1"/>
  <c r="BR135" i="1"/>
  <c r="BS43" i="1"/>
  <c r="BT43" i="1" s="1"/>
  <c r="BU43" i="1" s="1"/>
  <c r="BQ227" i="1"/>
  <c r="BR227" i="1" s="1"/>
  <c r="BQ38" i="1"/>
  <c r="BR38" i="1" s="1"/>
  <c r="BQ68" i="1"/>
  <c r="BR68" i="1" s="1"/>
  <c r="BS18" i="1"/>
  <c r="BR18" i="1"/>
  <c r="BS153" i="1"/>
  <c r="BT153" i="1" s="1"/>
  <c r="BU153" i="1" s="1"/>
  <c r="BR318" i="1"/>
  <c r="BT318" i="1" s="1"/>
  <c r="BU318" i="1" s="1"/>
  <c r="BQ49" i="1"/>
  <c r="BR49" i="1" s="1"/>
  <c r="BS255" i="1"/>
  <c r="BT255" i="1" s="1"/>
  <c r="BU255" i="1" s="1"/>
  <c r="BQ346" i="1"/>
  <c r="BR346" i="1" s="1"/>
  <c r="BQ252" i="1"/>
  <c r="BR252" i="1" s="1"/>
  <c r="BR82" i="1"/>
  <c r="BS82" i="1"/>
  <c r="BR236" i="1"/>
  <c r="BS236" i="1"/>
  <c r="BQ284" i="1"/>
  <c r="BR284" i="1" s="1"/>
  <c r="BS250" i="1"/>
  <c r="BR250" i="1"/>
  <c r="BQ84" i="1"/>
  <c r="BR84" i="1" s="1"/>
  <c r="BQ260" i="1"/>
  <c r="BR260" i="1" s="1"/>
  <c r="BS167" i="1"/>
  <c r="BT167" i="1" s="1"/>
  <c r="BU167" i="1" s="1"/>
  <c r="BQ27" i="1"/>
  <c r="BR27" i="1" s="1"/>
  <c r="BQ294" i="1"/>
  <c r="BR294" i="1" s="1"/>
  <c r="BS41" i="1"/>
  <c r="BT41" i="1" s="1"/>
  <c r="BU41" i="1" s="1"/>
  <c r="BS93" i="1"/>
  <c r="BT93" i="1" s="1"/>
  <c r="BU93" i="1" s="1"/>
  <c r="BS171" i="1"/>
  <c r="BT171" i="1" s="1"/>
  <c r="BU171" i="1" s="1"/>
  <c r="BQ168" i="1"/>
  <c r="BR168" i="1" s="1"/>
  <c r="BS351" i="1"/>
  <c r="BT351" i="1" s="1"/>
  <c r="BU351" i="1" s="1"/>
  <c r="BS64" i="1"/>
  <c r="BT64" i="1" s="1"/>
  <c r="BU64" i="1" s="1"/>
  <c r="BS217" i="1"/>
  <c r="BT217" i="1" s="1"/>
  <c r="BU217" i="1" s="1"/>
  <c r="BS92" i="1"/>
  <c r="BT92" i="1" s="1"/>
  <c r="BU92" i="1" s="1"/>
  <c r="BS275" i="1"/>
  <c r="BT275" i="1" s="1"/>
  <c r="BU275" i="1" s="1"/>
  <c r="BS341" i="1"/>
  <c r="BT341" i="1" s="1"/>
  <c r="BU341" i="1" s="1"/>
  <c r="BS230" i="1"/>
  <c r="BT230" i="1" s="1"/>
  <c r="BU230" i="1" s="1"/>
  <c r="BS96" i="1"/>
  <c r="BT96" i="1" s="1"/>
  <c r="BU96" i="1" s="1"/>
  <c r="BS98" i="1"/>
  <c r="BT98" i="1" s="1"/>
  <c r="BU98" i="1" s="1"/>
  <c r="BS212" i="1"/>
  <c r="BT212" i="1" s="1"/>
  <c r="BU212" i="1" s="1"/>
  <c r="BS366" i="1"/>
  <c r="BT366" i="1" s="1"/>
  <c r="BU366" i="1" s="1"/>
  <c r="BQ264" i="1"/>
  <c r="BR264" i="1" s="1"/>
  <c r="BQ374" i="1"/>
  <c r="BR374" i="1" s="1"/>
  <c r="BS160" i="1"/>
  <c r="BT160" i="1" s="1"/>
  <c r="BU160" i="1" s="1"/>
  <c r="BQ157" i="1"/>
  <c r="BR157" i="1" s="1"/>
  <c r="BS105" i="1"/>
  <c r="BT105" i="1" s="1"/>
  <c r="BU105" i="1" s="1"/>
  <c r="BS298" i="1"/>
  <c r="BT298" i="1" s="1"/>
  <c r="BU298" i="1" s="1"/>
  <c r="BS229" i="1"/>
  <c r="BT229" i="1" s="1"/>
  <c r="BU229" i="1" s="1"/>
  <c r="BS367" i="1"/>
  <c r="BT367" i="1" s="1"/>
  <c r="BU367" i="1" s="1"/>
  <c r="BS363" i="1"/>
  <c r="BT363" i="1" s="1"/>
  <c r="BU363" i="1" s="1"/>
  <c r="BR69" i="1"/>
  <c r="BT69" i="1" s="1"/>
  <c r="BU69" i="1" s="1"/>
  <c r="BS66" i="1"/>
  <c r="BT66" i="1" s="1"/>
  <c r="BU66" i="1" s="1"/>
  <c r="BS101" i="1"/>
  <c r="BT101" i="1" s="1"/>
  <c r="BU101" i="1" s="1"/>
  <c r="BS148" i="1"/>
  <c r="BT148" i="1" s="1"/>
  <c r="BU148" i="1" s="1"/>
  <c r="BS143" i="1"/>
  <c r="BT143" i="1" s="1"/>
  <c r="BU143" i="1" s="1"/>
  <c r="BQ232" i="1"/>
  <c r="BR232" i="1" s="1"/>
  <c r="BQ163" i="1"/>
  <c r="BR163" i="1" s="1"/>
  <c r="BR180" i="1"/>
  <c r="BT180" i="1" s="1"/>
  <c r="BU180" i="1" s="1"/>
  <c r="BS202" i="1"/>
  <c r="BT202" i="1" s="1"/>
  <c r="BU202" i="1" s="1"/>
  <c r="BS67" i="1"/>
  <c r="BT67" i="1" s="1"/>
  <c r="BU67" i="1" s="1"/>
  <c r="BS124" i="1"/>
  <c r="BT124" i="1" s="1"/>
  <c r="BU124" i="1" s="1"/>
  <c r="BS269" i="1"/>
  <c r="BT269" i="1" s="1"/>
  <c r="BU269" i="1" s="1"/>
  <c r="BS137" i="1"/>
  <c r="BT137" i="1" s="1"/>
  <c r="BU137" i="1" s="1"/>
  <c r="BS209" i="1"/>
  <c r="BT209" i="1" s="1"/>
  <c r="BU209" i="1" s="1"/>
  <c r="BS90" i="1"/>
  <c r="BT90" i="1" s="1"/>
  <c r="BU90" i="1" s="1"/>
  <c r="BS141" i="1"/>
  <c r="BT141" i="1" s="1"/>
  <c r="BU141" i="1" s="1"/>
  <c r="BS358" i="1"/>
  <c r="BT358" i="1" s="1"/>
  <c r="BU358" i="1" s="1"/>
  <c r="BS334" i="1"/>
  <c r="BT334" i="1" s="1"/>
  <c r="BU334" i="1" s="1"/>
  <c r="BQ256" i="1"/>
  <c r="BR256" i="1" s="1"/>
  <c r="BR349" i="1"/>
  <c r="BT349" i="1" s="1"/>
  <c r="BU349" i="1" s="1"/>
  <c r="BR31" i="1"/>
  <c r="BT31" i="1" s="1"/>
  <c r="BU31" i="1" s="1"/>
  <c r="BS88" i="1"/>
  <c r="BT88" i="1" s="1"/>
  <c r="BU88" i="1" s="1"/>
  <c r="BS293" i="1"/>
  <c r="BT293" i="1" s="1"/>
  <c r="BU293" i="1" s="1"/>
  <c r="BS86" i="1"/>
  <c r="BT86" i="1" s="1"/>
  <c r="BU86" i="1" s="1"/>
  <c r="BR122" i="1"/>
  <c r="BT122" i="1" s="1"/>
  <c r="BU122" i="1" s="1"/>
  <c r="BQ99" i="1"/>
  <c r="BR99" i="1" s="1"/>
  <c r="BS97" i="1"/>
  <c r="BT97" i="1" s="1"/>
  <c r="BU97" i="1" s="1"/>
  <c r="BS290" i="1"/>
  <c r="BT290" i="1" s="1"/>
  <c r="BU290" i="1" s="1"/>
  <c r="BS155" i="1"/>
  <c r="BT155" i="1" s="1"/>
  <c r="BU155" i="1" s="1"/>
  <c r="BS213" i="1"/>
  <c r="BT213" i="1" s="1"/>
  <c r="BU213" i="1" s="1"/>
  <c r="BS317" i="1"/>
  <c r="BT317" i="1" s="1"/>
  <c r="BU317" i="1" s="1"/>
  <c r="BQ234" i="1"/>
  <c r="BR234" i="1" s="1"/>
  <c r="BS235" i="1"/>
  <c r="BT235" i="1" s="1"/>
  <c r="BU235" i="1" s="1"/>
  <c r="BR352" i="1"/>
  <c r="BT352" i="1" s="1"/>
  <c r="BU352" i="1" s="1"/>
  <c r="BQ45" i="1"/>
  <c r="BR45" i="1" s="1"/>
  <c r="BR120" i="1"/>
  <c r="BT120" i="1" s="1"/>
  <c r="BU120" i="1" s="1"/>
  <c r="BS297" i="1"/>
  <c r="BT297" i="1" s="1"/>
  <c r="BU297" i="1" s="1"/>
  <c r="BS268" i="1"/>
  <c r="BT268" i="1" s="1"/>
  <c r="BU268" i="1" s="1"/>
  <c r="BS355" i="1"/>
  <c r="BT355" i="1" s="1"/>
  <c r="BU355" i="1" s="1"/>
  <c r="BS286" i="1"/>
  <c r="BT286" i="1" s="1"/>
  <c r="BU286" i="1" s="1"/>
  <c r="BQ144" i="1"/>
  <c r="BR144" i="1" s="1"/>
  <c r="BR273" i="1"/>
  <c r="BT273" i="1" s="1"/>
  <c r="BU273" i="1" s="1"/>
  <c r="BS295" i="1"/>
  <c r="BT295" i="1" s="1"/>
  <c r="BU295" i="1" s="1"/>
  <c r="BQ183" i="1"/>
  <c r="BR183" i="1" s="1"/>
  <c r="BS65" i="1"/>
  <c r="BT65" i="1" s="1"/>
  <c r="BU65" i="1" s="1"/>
  <c r="BS258" i="1"/>
  <c r="BT258" i="1" s="1"/>
  <c r="BU258" i="1" s="1"/>
  <c r="BS123" i="1"/>
  <c r="BT123" i="1" s="1"/>
  <c r="BU123" i="1" s="1"/>
  <c r="BS149" i="1"/>
  <c r="BT149" i="1" s="1"/>
  <c r="BU149" i="1" s="1"/>
  <c r="BS350" i="1"/>
  <c r="BT350" i="1" s="1"/>
  <c r="BU350" i="1" s="1"/>
  <c r="BS48" i="1"/>
  <c r="BT48" i="1" s="1"/>
  <c r="BU48" i="1" s="1"/>
  <c r="BS201" i="1"/>
  <c r="BT201" i="1" s="1"/>
  <c r="BU201" i="1" s="1"/>
  <c r="BS60" i="1"/>
  <c r="BT60" i="1" s="1"/>
  <c r="BU60" i="1" s="1"/>
  <c r="BS259" i="1"/>
  <c r="BT259" i="1" s="1"/>
  <c r="BU259" i="1" s="1"/>
  <c r="BS301" i="1"/>
  <c r="BT301" i="1" s="1"/>
  <c r="BU301" i="1" s="1"/>
  <c r="BR19" i="1"/>
  <c r="BT19" i="1" s="1"/>
  <c r="BU19" i="1" s="1"/>
  <c r="BQ78" i="1"/>
  <c r="BR78" i="1" s="1"/>
  <c r="BS233" i="1"/>
  <c r="BT233" i="1" s="1"/>
  <c r="BU233" i="1" s="1"/>
  <c r="BS59" i="1"/>
  <c r="BT59" i="1" s="1"/>
  <c r="BU59" i="1" s="1"/>
  <c r="BS62" i="1"/>
  <c r="BT62" i="1" s="1"/>
  <c r="BU62" i="1" s="1"/>
  <c r="BS154" i="1"/>
  <c r="BT154" i="1" s="1"/>
  <c r="BU154" i="1" s="1"/>
  <c r="BS308" i="1"/>
  <c r="BT308" i="1" s="1"/>
  <c r="BU308" i="1" s="1"/>
  <c r="BQ321" i="1"/>
  <c r="BR321" i="1" s="1"/>
  <c r="BQ195" i="1"/>
  <c r="BR195" i="1" s="1"/>
  <c r="BQ214" i="1"/>
  <c r="BR214" i="1" s="1"/>
  <c r="BS161" i="1"/>
  <c r="BT161" i="1" s="1"/>
  <c r="BU161" i="1" s="1"/>
  <c r="BS354" i="1"/>
  <c r="BT354" i="1" s="1"/>
  <c r="BU354" i="1" s="1"/>
  <c r="BS219" i="1"/>
  <c r="BT219" i="1" s="1"/>
  <c r="BU219" i="1" s="1"/>
  <c r="BS158" i="1"/>
  <c r="BT158" i="1" s="1"/>
  <c r="BU158" i="1" s="1"/>
  <c r="BS369" i="1"/>
  <c r="BT369" i="1" s="1"/>
  <c r="BU369" i="1" s="1"/>
  <c r="BQ239" i="1"/>
  <c r="BR239" i="1" s="1"/>
  <c r="BS42" i="1"/>
  <c r="BT42" i="1" s="1"/>
  <c r="BU42" i="1" s="1"/>
  <c r="BS53" i="1"/>
  <c r="BT53" i="1" s="1"/>
  <c r="BU53" i="1" s="1"/>
  <c r="BS100" i="1"/>
  <c r="BT100" i="1" s="1"/>
  <c r="BU100" i="1" s="1"/>
  <c r="BS223" i="1"/>
  <c r="BT223" i="1" s="1"/>
  <c r="BU223" i="1" s="1"/>
  <c r="BS333" i="1"/>
  <c r="BT333" i="1" s="1"/>
  <c r="BU333" i="1" s="1"/>
  <c r="BQ208" i="1"/>
  <c r="BR208" i="1" s="1"/>
  <c r="BS110" i="1"/>
  <c r="BT110" i="1" s="1"/>
  <c r="BU110" i="1" s="1"/>
  <c r="BS129" i="1"/>
  <c r="BT129" i="1" s="1"/>
  <c r="BU129" i="1" s="1"/>
  <c r="BS322" i="1"/>
  <c r="BT322" i="1" s="1"/>
  <c r="BU322" i="1" s="1"/>
  <c r="BS187" i="1"/>
  <c r="BT187" i="1" s="1"/>
  <c r="BU187" i="1" s="1"/>
  <c r="BS30" i="1"/>
  <c r="BT30" i="1" s="1"/>
  <c r="BU30" i="1" s="1"/>
  <c r="BS247" i="1"/>
  <c r="BT247" i="1" s="1"/>
  <c r="BU247" i="1" s="1"/>
  <c r="BQ63" i="1"/>
  <c r="BR63" i="1" s="1"/>
  <c r="BS188" i="1"/>
  <c r="BT188" i="1" s="1"/>
  <c r="BU188" i="1" s="1"/>
  <c r="BS323" i="1"/>
  <c r="BT323" i="1" s="1"/>
  <c r="BU323" i="1" s="1"/>
  <c r="BS271" i="1"/>
  <c r="BT271" i="1" s="1"/>
  <c r="BU271" i="1" s="1"/>
  <c r="BQ231" i="1"/>
  <c r="BR231" i="1" s="1"/>
  <c r="BS80" i="1"/>
  <c r="BT80" i="1" s="1"/>
  <c r="BU80" i="1" s="1"/>
  <c r="BS291" i="1"/>
  <c r="BT291" i="1" s="1"/>
  <c r="BU291" i="1" s="1"/>
  <c r="BS254" i="1"/>
  <c r="BT254" i="1" s="1"/>
  <c r="BU254" i="1" s="1"/>
  <c r="BS25" i="1"/>
  <c r="BT25" i="1" s="1"/>
  <c r="BU25" i="1" s="1"/>
  <c r="BS218" i="1"/>
  <c r="BT218" i="1" s="1"/>
  <c r="BU218" i="1" s="1"/>
  <c r="BS83" i="1"/>
  <c r="BT83" i="1" s="1"/>
  <c r="BU83" i="1" s="1"/>
  <c r="BS79" i="1"/>
  <c r="BT79" i="1" s="1"/>
  <c r="BU79" i="1" s="1"/>
  <c r="BQ320" i="1"/>
  <c r="BR320" i="1" s="1"/>
  <c r="BS151" i="1"/>
  <c r="BT151" i="1" s="1"/>
  <c r="BU151" i="1" s="1"/>
  <c r="BQ285" i="1"/>
  <c r="BR285" i="1" s="1"/>
  <c r="BS72" i="1"/>
  <c r="BT72" i="1" s="1"/>
  <c r="BU72" i="1" s="1"/>
  <c r="BS225" i="1"/>
  <c r="BT225" i="1" s="1"/>
  <c r="BU225" i="1" s="1"/>
  <c r="BS108" i="1"/>
  <c r="BT108" i="1" s="1"/>
  <c r="BU108" i="1" s="1"/>
  <c r="BS283" i="1"/>
  <c r="BT283" i="1" s="1"/>
  <c r="BU283" i="1" s="1"/>
  <c r="BS357" i="1"/>
  <c r="BT357" i="1" s="1"/>
  <c r="BU357" i="1" s="1"/>
  <c r="BS262" i="1"/>
  <c r="BT262" i="1" s="1"/>
  <c r="BU262" i="1" s="1"/>
  <c r="BQ196" i="1"/>
  <c r="BR196" i="1" s="1"/>
  <c r="BQ309" i="1"/>
  <c r="BR309" i="1" s="1"/>
  <c r="BQ61" i="1"/>
  <c r="BR61" i="1" s="1"/>
  <c r="BQ280" i="1"/>
  <c r="BR280" i="1" s="1"/>
  <c r="BS28" i="1"/>
  <c r="BT28" i="1" s="1"/>
  <c r="BU28" i="1" s="1"/>
  <c r="BQ194" i="1"/>
  <c r="BR194" i="1" s="1"/>
  <c r="BS272" i="1"/>
  <c r="BT272" i="1" s="1"/>
  <c r="BU272" i="1" s="1"/>
  <c r="BS106" i="1"/>
  <c r="BT106" i="1" s="1"/>
  <c r="BU106" i="1" s="1"/>
  <c r="BS165" i="1"/>
  <c r="BT165" i="1" s="1"/>
  <c r="BU165" i="1" s="1"/>
  <c r="BS220" i="1"/>
  <c r="BT220" i="1" s="1"/>
  <c r="BU220" i="1" s="1"/>
  <c r="BS39" i="1"/>
  <c r="BT39" i="1" s="1"/>
  <c r="BU39" i="1" s="1"/>
  <c r="BS54" i="1"/>
  <c r="BT54" i="1" s="1"/>
  <c r="BU54" i="1" s="1"/>
  <c r="BS102" i="1"/>
  <c r="BT102" i="1" s="1"/>
  <c r="BU102" i="1" s="1"/>
  <c r="BQ372" i="1"/>
  <c r="BR372" i="1" s="1"/>
  <c r="BS40" i="1"/>
  <c r="BT40" i="1" s="1"/>
  <c r="BU40" i="1" s="1"/>
  <c r="BS193" i="1"/>
  <c r="BT193" i="1" s="1"/>
  <c r="BU193" i="1" s="1"/>
  <c r="BS44" i="1"/>
  <c r="BT44" i="1" s="1"/>
  <c r="BU44" i="1" s="1"/>
  <c r="BS251" i="1"/>
  <c r="BT251" i="1" s="1"/>
  <c r="BU251" i="1" s="1"/>
  <c r="BS278" i="1"/>
  <c r="BT278" i="1" s="1"/>
  <c r="BU278" i="1" s="1"/>
  <c r="BS134" i="1"/>
  <c r="BT134" i="1" s="1"/>
  <c r="BU134" i="1" s="1"/>
  <c r="BQ360" i="1"/>
  <c r="BR360" i="1" s="1"/>
  <c r="BR36" i="1"/>
  <c r="BT36" i="1" s="1"/>
  <c r="BU36" i="1" s="1"/>
  <c r="BQ324" i="1"/>
  <c r="BR324" i="1" s="1"/>
  <c r="BQ373" i="1"/>
  <c r="BR373" i="1" s="1"/>
  <c r="BQ215" i="1"/>
  <c r="BR215" i="1" s="1"/>
  <c r="BS329" i="1"/>
  <c r="BT329" i="1" s="1"/>
  <c r="BU329" i="1" s="1"/>
  <c r="BS340" i="1"/>
  <c r="BT340" i="1" s="1"/>
  <c r="BU340" i="1" s="1"/>
  <c r="BQ29" i="1"/>
  <c r="BR29" i="1" s="1"/>
  <c r="BS127" i="1"/>
  <c r="BT127" i="1" s="1"/>
  <c r="BU127" i="1" s="1"/>
  <c r="BQ302" i="1"/>
  <c r="BR302" i="1" s="1"/>
  <c r="BR15" i="1"/>
  <c r="BT15" i="1" s="1"/>
  <c r="BU15" i="1" s="1"/>
  <c r="BZ16" i="1"/>
  <c r="CA16" i="1" s="1"/>
  <c r="BZ13" i="1"/>
  <c r="CA13" i="1" s="1"/>
  <c r="BL39" i="1"/>
  <c r="BM39" i="1" s="1"/>
  <c r="BK104" i="1"/>
  <c r="BM104" i="1" s="1"/>
  <c r="BL132" i="1"/>
  <c r="BM132" i="1" s="1"/>
  <c r="BK252" i="1"/>
  <c r="BM252" i="1" s="1"/>
  <c r="BL374" i="1"/>
  <c r="BM374" i="1" s="1"/>
  <c r="BL192" i="1"/>
  <c r="BM192" i="1" s="1"/>
  <c r="BL343" i="1"/>
  <c r="BM343" i="1" s="1"/>
  <c r="BL124" i="1"/>
  <c r="BM124" i="1" s="1"/>
  <c r="BL153" i="1"/>
  <c r="BM153" i="1" s="1"/>
  <c r="BL254" i="1"/>
  <c r="BM254" i="1" s="1"/>
  <c r="BL38" i="1"/>
  <c r="BM38" i="1" s="1"/>
  <c r="BK270" i="1"/>
  <c r="BM270" i="1" s="1"/>
  <c r="BL357" i="1"/>
  <c r="BM357" i="1" s="1"/>
  <c r="BK208" i="1"/>
  <c r="BM208" i="1" s="1"/>
  <c r="BK176" i="1"/>
  <c r="BM176" i="1" s="1"/>
  <c r="BL257" i="1"/>
  <c r="BM257" i="1" s="1"/>
  <c r="BL127" i="1"/>
  <c r="BM127" i="1" s="1"/>
  <c r="BK241" i="1"/>
  <c r="BM241" i="1" s="1"/>
  <c r="BL174" i="1"/>
  <c r="BM174" i="1" s="1"/>
  <c r="BL24" i="1"/>
  <c r="BM24" i="1" s="1"/>
  <c r="BK179" i="1"/>
  <c r="BM179" i="1" s="1"/>
  <c r="BK260" i="1"/>
  <c r="BM260" i="1" s="1"/>
  <c r="BK290" i="1"/>
  <c r="BM290" i="1" s="1"/>
  <c r="BL85" i="1"/>
  <c r="BM85" i="1" s="1"/>
  <c r="BK318" i="1"/>
  <c r="BM318" i="1" s="1"/>
  <c r="BK227" i="1"/>
  <c r="BM227" i="1" s="1"/>
  <c r="BK245" i="1"/>
  <c r="BM245" i="1" s="1"/>
  <c r="BL181" i="1"/>
  <c r="BM181" i="1" s="1"/>
  <c r="BL251" i="1"/>
  <c r="BM251" i="1" s="1"/>
  <c r="BK103" i="1"/>
  <c r="BM103" i="1" s="1"/>
  <c r="BL275" i="1"/>
  <c r="BM275" i="1" s="1"/>
  <c r="BK71" i="1"/>
  <c r="BM71" i="1" s="1"/>
  <c r="BK278" i="1"/>
  <c r="BM278" i="1" s="1"/>
  <c r="BL285" i="1"/>
  <c r="BM285" i="1" s="1"/>
  <c r="BK289" i="1"/>
  <c r="BM289" i="1" s="1"/>
  <c r="BK212" i="1"/>
  <c r="BM212" i="1" s="1"/>
  <c r="BK169" i="1"/>
  <c r="BM169" i="1" s="1"/>
  <c r="BL350" i="1"/>
  <c r="BM350" i="1" s="1"/>
  <c r="BL27" i="1"/>
  <c r="BM27" i="1" s="1"/>
  <c r="BK26" i="1"/>
  <c r="BM26" i="1" s="1"/>
  <c r="BK59" i="1"/>
  <c r="BM59" i="1" s="1"/>
  <c r="BK217" i="1"/>
  <c r="BM217" i="1" s="1"/>
  <c r="BL304" i="1"/>
  <c r="BM304" i="1" s="1"/>
  <c r="BK268" i="1"/>
  <c r="BM268" i="1" s="1"/>
  <c r="BL92" i="1"/>
  <c r="BM92" i="1" s="1"/>
  <c r="BK294" i="1"/>
  <c r="BM294" i="1" s="1"/>
  <c r="BK168" i="1"/>
  <c r="BM168" i="1" s="1"/>
  <c r="BK73" i="1"/>
  <c r="BM73" i="1" s="1"/>
  <c r="BK99" i="1"/>
  <c r="BM99" i="1" s="1"/>
  <c r="BK239" i="1"/>
  <c r="BM239" i="1" s="1"/>
  <c r="BL365" i="1"/>
  <c r="BM365" i="1" s="1"/>
  <c r="BK221" i="1"/>
  <c r="BM221" i="1" s="1"/>
  <c r="BK211" i="1"/>
  <c r="BM211" i="1" s="1"/>
  <c r="BL106" i="1"/>
  <c r="BM106" i="1" s="1"/>
  <c r="BL195" i="1"/>
  <c r="BM195" i="1" s="1"/>
  <c r="BK269" i="1"/>
  <c r="BM269" i="1" s="1"/>
  <c r="BL219" i="1"/>
  <c r="BM219" i="1" s="1"/>
  <c r="BL90" i="1"/>
  <c r="BM90" i="1" s="1"/>
  <c r="BK163" i="1"/>
  <c r="BM163" i="1" s="1"/>
  <c r="BL18" i="1"/>
  <c r="BM18" i="1" s="1"/>
  <c r="BK291" i="1"/>
  <c r="BM291" i="1" s="1"/>
  <c r="BK358" i="1"/>
  <c r="BM358" i="1" s="1"/>
  <c r="BL83" i="1"/>
  <c r="BM83" i="1" s="1"/>
  <c r="BK152" i="1"/>
  <c r="BM152" i="1" s="1"/>
  <c r="BK342" i="1"/>
  <c r="BM342" i="1" s="1"/>
  <c r="BL362" i="1"/>
  <c r="BM362" i="1" s="1"/>
  <c r="BK322" i="1"/>
  <c r="BM322" i="1" s="1"/>
  <c r="BK101" i="1"/>
  <c r="BM101" i="1" s="1"/>
  <c r="BL259" i="1"/>
  <c r="BM259" i="1" s="1"/>
  <c r="BL68" i="1"/>
  <c r="BM68" i="1" s="1"/>
  <c r="BK215" i="1"/>
  <c r="BM215" i="1" s="1"/>
  <c r="BL125" i="1"/>
  <c r="BM125" i="1" s="1"/>
  <c r="BK61" i="1"/>
  <c r="BM61" i="1" s="1"/>
  <c r="BL337" i="1"/>
  <c r="BK337" i="1"/>
  <c r="BL75" i="1"/>
  <c r="BK75" i="1"/>
  <c r="BL164" i="1"/>
  <c r="BK164" i="1"/>
  <c r="BL147" i="1"/>
  <c r="BK147" i="1"/>
  <c r="BL296" i="1"/>
  <c r="BK296" i="1"/>
  <c r="BL271" i="1"/>
  <c r="BK271" i="1"/>
  <c r="BK19" i="1"/>
  <c r="BL19" i="1"/>
  <c r="BK235" i="1"/>
  <c r="BL235" i="1"/>
  <c r="BK102" i="1"/>
  <c r="BL102" i="1"/>
  <c r="BL22" i="1"/>
  <c r="BK22" i="1"/>
  <c r="BL366" i="1"/>
  <c r="BK366" i="1"/>
  <c r="BK52" i="1"/>
  <c r="BL52" i="1"/>
  <c r="BL136" i="1"/>
  <c r="BM136" i="1" s="1"/>
  <c r="BK327" i="1"/>
  <c r="BM327" i="1" s="1"/>
  <c r="BL200" i="1"/>
  <c r="BM200" i="1" s="1"/>
  <c r="BL344" i="1"/>
  <c r="BM344" i="1" s="1"/>
  <c r="BL368" i="1"/>
  <c r="BM368" i="1" s="1"/>
  <c r="BK29" i="1"/>
  <c r="BM29" i="1" s="1"/>
  <c r="BK302" i="1"/>
  <c r="BM302" i="1" s="1"/>
  <c r="BL16" i="1"/>
  <c r="BM16" i="1" s="1"/>
  <c r="BL113" i="1"/>
  <c r="BM113" i="1" s="1"/>
  <c r="BL279" i="1"/>
  <c r="BM279" i="1" s="1"/>
  <c r="BK305" i="1"/>
  <c r="BM305" i="1" s="1"/>
  <c r="BL231" i="1"/>
  <c r="BM231" i="1" s="1"/>
  <c r="BK20" i="1"/>
  <c r="BM20" i="1" s="1"/>
  <c r="BK228" i="1"/>
  <c r="BM228" i="1" s="1"/>
  <c r="BL114" i="1"/>
  <c r="BM114" i="1" s="1"/>
  <c r="BK139" i="1"/>
  <c r="BM139" i="1" s="1"/>
  <c r="BL185" i="1"/>
  <c r="BM185" i="1" s="1"/>
  <c r="BL47" i="1"/>
  <c r="BM47" i="1" s="1"/>
  <c r="BL330" i="1"/>
  <c r="BM330" i="1" s="1"/>
  <c r="BL310" i="1"/>
  <c r="BM310" i="1" s="1"/>
  <c r="BK331" i="1"/>
  <c r="BM331" i="1" s="1"/>
  <c r="BK222" i="1"/>
  <c r="BM222" i="1" s="1"/>
  <c r="BK233" i="1"/>
  <c r="BM233" i="1" s="1"/>
  <c r="BK256" i="1"/>
  <c r="BM256" i="1" s="1"/>
  <c r="BK201" i="1"/>
  <c r="BM201" i="1" s="1"/>
  <c r="BL33" i="1"/>
  <c r="BM33" i="1" s="1"/>
  <c r="BL258" i="1"/>
  <c r="BM258" i="1" s="1"/>
  <c r="BK36" i="1"/>
  <c r="BM36" i="1" s="1"/>
  <c r="BK193" i="1"/>
  <c r="BM193" i="1" s="1"/>
  <c r="BK329" i="1"/>
  <c r="BM329" i="1" s="1"/>
  <c r="BK121" i="1"/>
  <c r="BM121" i="1" s="1"/>
  <c r="BK62" i="1"/>
  <c r="BM62" i="1" s="1"/>
  <c r="BL126" i="1"/>
  <c r="BM126" i="1" s="1"/>
  <c r="BK265" i="1"/>
  <c r="BM265" i="1" s="1"/>
  <c r="BK23" i="1"/>
  <c r="BM23" i="1" s="1"/>
  <c r="BL43" i="1"/>
  <c r="BM43" i="1" s="1"/>
  <c r="BK234" i="1"/>
  <c r="BM234" i="1" s="1"/>
  <c r="BK277" i="1"/>
  <c r="BM277" i="1" s="1"/>
  <c r="BL171" i="1"/>
  <c r="BM171" i="1" s="1"/>
  <c r="BL30" i="1"/>
  <c r="BM30" i="1" s="1"/>
  <c r="BL65" i="1"/>
  <c r="BM65" i="1" s="1"/>
  <c r="BL53" i="1"/>
  <c r="BM53" i="1" s="1"/>
  <c r="BK25" i="1"/>
  <c r="BM25" i="1" s="1"/>
  <c r="BK155" i="1"/>
  <c r="BM155" i="1" s="1"/>
  <c r="BL369" i="1"/>
  <c r="BM369" i="1" s="1"/>
  <c r="BK349" i="1"/>
  <c r="BM349" i="1" s="1"/>
  <c r="BL91" i="1"/>
  <c r="BM91" i="1" s="1"/>
  <c r="BL220" i="1"/>
  <c r="BM220" i="1" s="1"/>
  <c r="BK273" i="1"/>
  <c r="BM273" i="1" s="1"/>
  <c r="BK111" i="1"/>
  <c r="BM111" i="1" s="1"/>
  <c r="BL306" i="1"/>
  <c r="BM306" i="1" s="1"/>
  <c r="BL110" i="1"/>
  <c r="BM110" i="1" s="1"/>
  <c r="BK50" i="1"/>
  <c r="BM50" i="1" s="1"/>
  <c r="BL58" i="1"/>
  <c r="BM58" i="1" s="1"/>
  <c r="BL214" i="1"/>
  <c r="BM214" i="1" s="1"/>
  <c r="BL237" i="1"/>
  <c r="BM237" i="1" s="1"/>
  <c r="BK300" i="1"/>
  <c r="BM300" i="1" s="1"/>
  <c r="BK203" i="1"/>
  <c r="BM203" i="1" s="1"/>
  <c r="BL149" i="1"/>
  <c r="BM149" i="1" s="1"/>
  <c r="BL226" i="1"/>
  <c r="BM226" i="1" s="1"/>
  <c r="BL172" i="1"/>
  <c r="BM172" i="1" s="1"/>
  <c r="BK299" i="1"/>
  <c r="BM299" i="1" s="1"/>
  <c r="BK107" i="1"/>
  <c r="BM107" i="1" s="1"/>
  <c r="BL184" i="1"/>
  <c r="BM184" i="1" s="1"/>
  <c r="BL45" i="1"/>
  <c r="BM45" i="1" s="1"/>
  <c r="BK207" i="1"/>
  <c r="BM207" i="1" s="1"/>
  <c r="BK123" i="1"/>
  <c r="BM123" i="1" s="1"/>
  <c r="BL40" i="1"/>
  <c r="BM40" i="1" s="1"/>
  <c r="BL315" i="1"/>
  <c r="BM315" i="1" s="1"/>
  <c r="BL280" i="1"/>
  <c r="BM280" i="1" s="1"/>
  <c r="BK66" i="1"/>
  <c r="BM66" i="1" s="1"/>
  <c r="BL210" i="1"/>
  <c r="BM210" i="1" s="1"/>
  <c r="BK204" i="1"/>
  <c r="BM204" i="1" s="1"/>
  <c r="BK216" i="1"/>
  <c r="BM216" i="1" s="1"/>
  <c r="BK190" i="1"/>
  <c r="BM190" i="1" s="1"/>
  <c r="BK266" i="1"/>
  <c r="BM266" i="1" s="1"/>
  <c r="BL54" i="1"/>
  <c r="BM54" i="1" s="1"/>
  <c r="BL137" i="1"/>
  <c r="BM137" i="1" s="1"/>
  <c r="BL264" i="1"/>
  <c r="BM264" i="1" s="1"/>
  <c r="BL165" i="1"/>
  <c r="BM165" i="1" s="1"/>
  <c r="BL177" i="1"/>
  <c r="BM177" i="1" s="1"/>
  <c r="BK69" i="1"/>
  <c r="BM69" i="1" s="1"/>
  <c r="BL138" i="1"/>
  <c r="BM138" i="1" s="1"/>
  <c r="BL44" i="1"/>
  <c r="BM44" i="1" s="1"/>
  <c r="BL42" i="1"/>
  <c r="BM42" i="1" s="1"/>
  <c r="BK167" i="1"/>
  <c r="BM167" i="1" s="1"/>
  <c r="BL370" i="1"/>
  <c r="BM370" i="1" s="1"/>
  <c r="BL118" i="1"/>
  <c r="BM118" i="1" s="1"/>
  <c r="BL28" i="1"/>
  <c r="BM28" i="1" s="1"/>
  <c r="BK224" i="1"/>
  <c r="BM224" i="1" s="1"/>
  <c r="BL67" i="1"/>
  <c r="BM67" i="1" s="1"/>
  <c r="BL351" i="1"/>
  <c r="BM351" i="1" s="1"/>
  <c r="BK319" i="1"/>
  <c r="BM319" i="1" s="1"/>
  <c r="BK173" i="1"/>
  <c r="BM173" i="1" s="1"/>
  <c r="BK284" i="1"/>
  <c r="BM284" i="1" s="1"/>
  <c r="BL78" i="1"/>
  <c r="BM78" i="1" s="1"/>
  <c r="BL317" i="1"/>
  <c r="BM317" i="1" s="1"/>
  <c r="BK303" i="1"/>
  <c r="BM303" i="1" s="1"/>
  <c r="BL248" i="1"/>
  <c r="BM248" i="1" s="1"/>
  <c r="BL189" i="1"/>
  <c r="BM189" i="1" s="1"/>
  <c r="BK35" i="1"/>
  <c r="BM35" i="1" s="1"/>
  <c r="BK109" i="1"/>
  <c r="BM109" i="1" s="1"/>
  <c r="BK314" i="1"/>
  <c r="BM314" i="1" s="1"/>
  <c r="BK188" i="1"/>
  <c r="BM188" i="1" s="1"/>
  <c r="BL32" i="1"/>
  <c r="BM32" i="1" s="1"/>
  <c r="BK359" i="1"/>
  <c r="BM359" i="1" s="1"/>
  <c r="BK293" i="1"/>
  <c r="BM293" i="1" s="1"/>
  <c r="BL328" i="1"/>
  <c r="BM328" i="1" s="1"/>
  <c r="BL364" i="1"/>
  <c r="BM364" i="1" s="1"/>
  <c r="BL80" i="1"/>
  <c r="BM80" i="1" s="1"/>
  <c r="BL373" i="1"/>
  <c r="BM373" i="1" s="1"/>
  <c r="BK272" i="1"/>
  <c r="BM272" i="1" s="1"/>
  <c r="BK170" i="1"/>
  <c r="BM170" i="1" s="1"/>
  <c r="BK356" i="1"/>
  <c r="BM356" i="1" s="1"/>
  <c r="BK246" i="1"/>
  <c r="BM246" i="1" s="1"/>
  <c r="BL178" i="1"/>
  <c r="BM178" i="1" s="1"/>
  <c r="BL348" i="1"/>
  <c r="BM348" i="1" s="1"/>
  <c r="BK89" i="1"/>
  <c r="BM89" i="1" s="1"/>
  <c r="BK243" i="1"/>
  <c r="BM243" i="1" s="1"/>
  <c r="BK108" i="1"/>
  <c r="BM108" i="1" s="1"/>
  <c r="BL96" i="1"/>
  <c r="BM96" i="1" s="1"/>
  <c r="BL249" i="1"/>
  <c r="BM249" i="1" s="1"/>
  <c r="BL156" i="1"/>
  <c r="BM156" i="1" s="1"/>
  <c r="BL307" i="1"/>
  <c r="BM307" i="1" s="1"/>
  <c r="BL86" i="1"/>
  <c r="BM86" i="1" s="1"/>
  <c r="BL326" i="1"/>
  <c r="BM326" i="1" s="1"/>
  <c r="BK288" i="1"/>
  <c r="BM288" i="1" s="1"/>
  <c r="BK353" i="1"/>
  <c r="BM353" i="1" s="1"/>
  <c r="BK194" i="1"/>
  <c r="BM194" i="1" s="1"/>
  <c r="BL202" i="1"/>
  <c r="BM202" i="1" s="1"/>
  <c r="BK48" i="1"/>
  <c r="BM48" i="1" s="1"/>
  <c r="BK283" i="1"/>
  <c r="BM283" i="1" s="1"/>
  <c r="BK133" i="1"/>
  <c r="BM133" i="1" s="1"/>
  <c r="BK295" i="1"/>
  <c r="BM295" i="1" s="1"/>
  <c r="BL141" i="1"/>
  <c r="BM141" i="1" s="1"/>
  <c r="BK135" i="1"/>
  <c r="BM135" i="1" s="1"/>
  <c r="BK51" i="1"/>
  <c r="BM51" i="1" s="1"/>
  <c r="BK301" i="1"/>
  <c r="BM301" i="1" s="1"/>
  <c r="BL182" i="1"/>
  <c r="BM182" i="1" s="1"/>
  <c r="BK361" i="1"/>
  <c r="BM361" i="1" s="1"/>
  <c r="BL197" i="1"/>
  <c r="BM197" i="1" s="1"/>
  <c r="BK154" i="1"/>
  <c r="BM154" i="1" s="1"/>
  <c r="BK64" i="1"/>
  <c r="BM64" i="1" s="1"/>
  <c r="BK70" i="1"/>
  <c r="BM70" i="1" s="1"/>
  <c r="BL82" i="1"/>
  <c r="BM82" i="1" s="1"/>
  <c r="BL180" i="1"/>
  <c r="BM180" i="1" s="1"/>
  <c r="BK129" i="1"/>
  <c r="BM129" i="1" s="1"/>
  <c r="BL347" i="1"/>
  <c r="BM347" i="1" s="1"/>
  <c r="BK236" i="1"/>
  <c r="BM236" i="1" s="1"/>
  <c r="BL144" i="1"/>
  <c r="BM144" i="1" s="1"/>
  <c r="BL297" i="1"/>
  <c r="BM297" i="1" s="1"/>
  <c r="BL355" i="1"/>
  <c r="BM355" i="1" s="1"/>
  <c r="BL183" i="1"/>
  <c r="BM183" i="1" s="1"/>
  <c r="BL286" i="1"/>
  <c r="BM286" i="1" s="1"/>
  <c r="BK336" i="1"/>
  <c r="BM336" i="1" s="1"/>
  <c r="BK242" i="1"/>
  <c r="BM242" i="1" s="1"/>
  <c r="BK253" i="1"/>
  <c r="BM253" i="1" s="1"/>
  <c r="BL49" i="1"/>
  <c r="BM49" i="1" s="1"/>
  <c r="BL117" i="1"/>
  <c r="BM117" i="1" s="1"/>
  <c r="BK88" i="1"/>
  <c r="BM88" i="1" s="1"/>
  <c r="BK143" i="1"/>
  <c r="BM143" i="1" s="1"/>
  <c r="BK213" i="1"/>
  <c r="BM213" i="1" s="1"/>
  <c r="BL160" i="1"/>
  <c r="BM160" i="1" s="1"/>
  <c r="BL313" i="1"/>
  <c r="BM313" i="1" s="1"/>
  <c r="BL371" i="1"/>
  <c r="BM371" i="1" s="1"/>
  <c r="BL31" i="1"/>
  <c r="BM31" i="1" s="1"/>
  <c r="BK352" i="1"/>
  <c r="BM352" i="1" s="1"/>
  <c r="BK354" i="1"/>
  <c r="BM354" i="1" s="1"/>
  <c r="BL131" i="1"/>
  <c r="BM131" i="1" s="1"/>
  <c r="BK112" i="1"/>
  <c r="BM112" i="1" s="1"/>
  <c r="BK100" i="1"/>
  <c r="BM100" i="1" s="1"/>
  <c r="BK191" i="1"/>
  <c r="BM191" i="1" s="1"/>
  <c r="BK261" i="1"/>
  <c r="BM261" i="1" s="1"/>
  <c r="BK77" i="1"/>
  <c r="BM77" i="1" s="1"/>
  <c r="BL360" i="1"/>
  <c r="BM360" i="1" s="1"/>
  <c r="BL148" i="1"/>
  <c r="BM148" i="1" s="1"/>
  <c r="BK41" i="1"/>
  <c r="BM41" i="1" s="1"/>
  <c r="BK375" i="1"/>
  <c r="BM375" i="1" s="1"/>
  <c r="BK205" i="1"/>
  <c r="BM205" i="1" s="1"/>
  <c r="BL158" i="1"/>
  <c r="BM158" i="1" s="1"/>
  <c r="BK98" i="1"/>
  <c r="BM98" i="1" s="1"/>
  <c r="BK334" i="1"/>
  <c r="BM334" i="1" s="1"/>
  <c r="BL130" i="1"/>
  <c r="BM130" i="1" s="1"/>
  <c r="BK267" i="1"/>
  <c r="BM267" i="1" s="1"/>
  <c r="BL159" i="1"/>
  <c r="BM159" i="1" s="1"/>
  <c r="BL287" i="1"/>
  <c r="BM287" i="1" s="1"/>
  <c r="BK140" i="1"/>
  <c r="BM140" i="1" s="1"/>
  <c r="BL346" i="1"/>
  <c r="BM346" i="1" s="1"/>
  <c r="BK320" i="1"/>
  <c r="BM320" i="1" s="1"/>
  <c r="BK263" i="1"/>
  <c r="BM263" i="1" s="1"/>
  <c r="BL316" i="1"/>
  <c r="BM316" i="1" s="1"/>
  <c r="BL312" i="1"/>
  <c r="BM312" i="1" s="1"/>
  <c r="BL146" i="1"/>
  <c r="BM146" i="1" s="1"/>
  <c r="BL292" i="1"/>
  <c r="BM292" i="1" s="1"/>
  <c r="BK57" i="1"/>
  <c r="BM57" i="1" s="1"/>
  <c r="BK187" i="1"/>
  <c r="BM187" i="1" s="1"/>
  <c r="BK363" i="1"/>
  <c r="BM363" i="1" s="1"/>
  <c r="BK198" i="1"/>
  <c r="BM198" i="1" s="1"/>
  <c r="BL196" i="1"/>
  <c r="BM196" i="1" s="1"/>
  <c r="BK282" i="1"/>
  <c r="BM282" i="1" s="1"/>
  <c r="BK34" i="1"/>
  <c r="BM34" i="1" s="1"/>
  <c r="BL87" i="1"/>
  <c r="BM87" i="1" s="1"/>
  <c r="BK333" i="1"/>
  <c r="BM333" i="1" s="1"/>
  <c r="BK162" i="1"/>
  <c r="BM162" i="1" s="1"/>
  <c r="BK56" i="1"/>
  <c r="BM56" i="1" s="1"/>
  <c r="BL119" i="1"/>
  <c r="BM119" i="1" s="1"/>
  <c r="BK17" i="1"/>
  <c r="BM17" i="1" s="1"/>
  <c r="BK240" i="1"/>
  <c r="BM240" i="1" s="1"/>
  <c r="BL341" i="1"/>
  <c r="BM341" i="1" s="1"/>
  <c r="BK367" i="1"/>
  <c r="BM367" i="1" s="1"/>
  <c r="BL339" i="1"/>
  <c r="BM339" i="1" s="1"/>
  <c r="BK120" i="1"/>
  <c r="BM120" i="1" s="1"/>
  <c r="BL332" i="1"/>
  <c r="BM332" i="1" s="1"/>
  <c r="BL46" i="1"/>
  <c r="BM46" i="1" s="1"/>
  <c r="BK81" i="1"/>
  <c r="BM81" i="1" s="1"/>
  <c r="BK84" i="1"/>
  <c r="BM84" i="1" s="1"/>
  <c r="BK345" i="1"/>
  <c r="BM345" i="1" s="1"/>
  <c r="BK262" i="1"/>
  <c r="BM262" i="1" s="1"/>
  <c r="BL186" i="1"/>
  <c r="BM186" i="1" s="1"/>
  <c r="BL206" i="1"/>
  <c r="BM206" i="1" s="1"/>
  <c r="BK97" i="1"/>
  <c r="BM97" i="1" s="1"/>
  <c r="BL323" i="1"/>
  <c r="BM323" i="1" s="1"/>
  <c r="BL309" i="1"/>
  <c r="BM309" i="1" s="1"/>
  <c r="BK21" i="1"/>
  <c r="BM21" i="1" s="1"/>
  <c r="BK372" i="1"/>
  <c r="BM372" i="1" s="1"/>
  <c r="BK128" i="1"/>
  <c r="BM128" i="1" s="1"/>
  <c r="BK229" i="1"/>
  <c r="BM229" i="1" s="1"/>
  <c r="BK105" i="1"/>
  <c r="BM105" i="1" s="1"/>
  <c r="BK63" i="1"/>
  <c r="BM63" i="1" s="1"/>
  <c r="BK308" i="1"/>
  <c r="BM308" i="1" s="1"/>
  <c r="BL145" i="1"/>
  <c r="BM145" i="1" s="1"/>
  <c r="BL338" i="1"/>
  <c r="BM338" i="1" s="1"/>
  <c r="BL94" i="1"/>
  <c r="BM94" i="1" s="1"/>
  <c r="BK335" i="1"/>
  <c r="BM335" i="1" s="1"/>
  <c r="BL199" i="1"/>
  <c r="BM199" i="1" s="1"/>
  <c r="BK151" i="1"/>
  <c r="BM151" i="1" s="1"/>
  <c r="BK122" i="1"/>
  <c r="BM122" i="1" s="1"/>
  <c r="BL276" i="1"/>
  <c r="BM276" i="1" s="1"/>
  <c r="BK74" i="1"/>
  <c r="BM74" i="1" s="1"/>
  <c r="BL247" i="1"/>
  <c r="BM247" i="1" s="1"/>
  <c r="BK37" i="1"/>
  <c r="BM37" i="1" s="1"/>
  <c r="BK134" i="1"/>
  <c r="BM134" i="1" s="1"/>
  <c r="BL321" i="1"/>
  <c r="BM321" i="1" s="1"/>
  <c r="BL232" i="1"/>
  <c r="BM232" i="1" s="1"/>
  <c r="BL274" i="1"/>
  <c r="BM274" i="1" s="1"/>
  <c r="BL150" i="1"/>
  <c r="BM150" i="1" s="1"/>
  <c r="BL93" i="1"/>
  <c r="BM93" i="1" s="1"/>
  <c r="BK250" i="1"/>
  <c r="BM250" i="1" s="1"/>
  <c r="BL115" i="1"/>
  <c r="BM115" i="1" s="1"/>
  <c r="BL311" i="1"/>
  <c r="BM311" i="1" s="1"/>
  <c r="BK161" i="1"/>
  <c r="BM161" i="1" s="1"/>
  <c r="BL340" i="1"/>
  <c r="BM340" i="1" s="1"/>
  <c r="BL95" i="1"/>
  <c r="BM95" i="1" s="1"/>
  <c r="BL142" i="1"/>
  <c r="BM142" i="1" s="1"/>
  <c r="BL281" i="1"/>
  <c r="BM281" i="1" s="1"/>
  <c r="BL230" i="1"/>
  <c r="BM230" i="1" s="1"/>
  <c r="BK223" i="1"/>
  <c r="BM223" i="1" s="1"/>
  <c r="BK116" i="1"/>
  <c r="BM116" i="1" s="1"/>
  <c r="BK157" i="1"/>
  <c r="BM157" i="1" s="1"/>
  <c r="BL55" i="1"/>
  <c r="BM55" i="1" s="1"/>
  <c r="BL209" i="1"/>
  <c r="BM209" i="1" s="1"/>
  <c r="BL76" i="1"/>
  <c r="BM76" i="1" s="1"/>
  <c r="BK244" i="1"/>
  <c r="BM244" i="1" s="1"/>
  <c r="BK72" i="1"/>
  <c r="BM72" i="1" s="1"/>
  <c r="BK238" i="1"/>
  <c r="BM238" i="1" s="1"/>
  <c r="BL60" i="1"/>
  <c r="BM60" i="1" s="1"/>
  <c r="BL166" i="1"/>
  <c r="BM166" i="1" s="1"/>
  <c r="BL225" i="1"/>
  <c r="BM225" i="1" s="1"/>
  <c r="BK298" i="1"/>
  <c r="BM298" i="1" s="1"/>
  <c r="BL175" i="1"/>
  <c r="BM175" i="1" s="1"/>
  <c r="BK255" i="1"/>
  <c r="BM255" i="1" s="1"/>
  <c r="BK325" i="1"/>
  <c r="BM325" i="1" s="1"/>
  <c r="BL324" i="1"/>
  <c r="BM324" i="1" s="1"/>
  <c r="BL218" i="1"/>
  <c r="BM218" i="1" s="1"/>
  <c r="BK79" i="1"/>
  <c r="BM79" i="1" s="1"/>
  <c r="BL15" i="1"/>
  <c r="BM15" i="1" s="1"/>
  <c r="BH11" i="1"/>
  <c r="F56" i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BT244" i="1" l="1"/>
  <c r="BU244" i="1" s="1"/>
  <c r="BT250" i="1"/>
  <c r="BU250" i="1" s="1"/>
  <c r="BT179" i="1"/>
  <c r="BU179" i="1" s="1"/>
  <c r="BT248" i="1"/>
  <c r="BU248" i="1" s="1"/>
  <c r="BT311" i="1"/>
  <c r="BU311" i="1" s="1"/>
  <c r="BT274" i="1"/>
  <c r="BU274" i="1" s="1"/>
  <c r="BT178" i="1"/>
  <c r="BU178" i="1" s="1"/>
  <c r="BT189" i="1"/>
  <c r="BU189" i="1" s="1"/>
  <c r="BT292" i="1"/>
  <c r="BU292" i="1" s="1"/>
  <c r="BS356" i="1"/>
  <c r="BT356" i="1" s="1"/>
  <c r="BU356" i="1" s="1"/>
  <c r="BT121" i="1"/>
  <c r="BU121" i="1" s="1"/>
  <c r="BT115" i="1"/>
  <c r="BU115" i="1" s="1"/>
  <c r="BS260" i="1"/>
  <c r="BT260" i="1" s="1"/>
  <c r="BU260" i="1" s="1"/>
  <c r="BT216" i="1"/>
  <c r="BU216" i="1" s="1"/>
  <c r="BS294" i="1"/>
  <c r="BT294" i="1" s="1"/>
  <c r="BU294" i="1" s="1"/>
  <c r="BS78" i="1"/>
  <c r="BT78" i="1" s="1"/>
  <c r="BU78" i="1" s="1"/>
  <c r="BS281" i="1"/>
  <c r="BT281" i="1" s="1"/>
  <c r="BU281" i="1" s="1"/>
  <c r="BS370" i="1"/>
  <c r="BT370" i="1" s="1"/>
  <c r="BU370" i="1" s="1"/>
  <c r="BS337" i="1"/>
  <c r="BT337" i="1" s="1"/>
  <c r="BU337" i="1" s="1"/>
  <c r="BS372" i="1"/>
  <c r="BT372" i="1" s="1"/>
  <c r="BU372" i="1" s="1"/>
  <c r="BS302" i="1"/>
  <c r="BT302" i="1" s="1"/>
  <c r="BU302" i="1" s="1"/>
  <c r="BS170" i="1"/>
  <c r="BT170" i="1" s="1"/>
  <c r="BU170" i="1" s="1"/>
  <c r="BS343" i="1"/>
  <c r="BT343" i="1" s="1"/>
  <c r="BU343" i="1" s="1"/>
  <c r="BS227" i="1"/>
  <c r="BT227" i="1" s="1"/>
  <c r="BU227" i="1" s="1"/>
  <c r="BS128" i="1"/>
  <c r="BT128" i="1" s="1"/>
  <c r="BU128" i="1" s="1"/>
  <c r="BT58" i="1"/>
  <c r="BU58" i="1" s="1"/>
  <c r="BS204" i="1"/>
  <c r="BT204" i="1" s="1"/>
  <c r="BU204" i="1" s="1"/>
  <c r="BS126" i="1"/>
  <c r="BT126" i="1" s="1"/>
  <c r="BU126" i="1" s="1"/>
  <c r="BS109" i="1"/>
  <c r="BT109" i="1" s="1"/>
  <c r="BU109" i="1" s="1"/>
  <c r="BS256" i="1"/>
  <c r="BT256" i="1" s="1"/>
  <c r="BU256" i="1" s="1"/>
  <c r="BS45" i="1"/>
  <c r="BT45" i="1" s="1"/>
  <c r="BU45" i="1" s="1"/>
  <c r="BS315" i="1"/>
  <c r="BT315" i="1" s="1"/>
  <c r="BU315" i="1" s="1"/>
  <c r="BS147" i="1"/>
  <c r="BT147" i="1" s="1"/>
  <c r="BU147" i="1" s="1"/>
  <c r="BS139" i="1"/>
  <c r="BT139" i="1" s="1"/>
  <c r="BU139" i="1" s="1"/>
  <c r="BS68" i="1"/>
  <c r="BT68" i="1" s="1"/>
  <c r="BU68" i="1" s="1"/>
  <c r="BT243" i="1"/>
  <c r="BU243" i="1" s="1"/>
  <c r="BS175" i="1"/>
  <c r="BT175" i="1" s="1"/>
  <c r="BU175" i="1" s="1"/>
  <c r="BT313" i="1"/>
  <c r="BU313" i="1" s="1"/>
  <c r="BS144" i="1"/>
  <c r="BT144" i="1" s="1"/>
  <c r="BU144" i="1" s="1"/>
  <c r="BS29" i="1"/>
  <c r="BT29" i="1" s="1"/>
  <c r="BU29" i="1" s="1"/>
  <c r="BS163" i="1"/>
  <c r="BT163" i="1" s="1"/>
  <c r="BU163" i="1" s="1"/>
  <c r="BS374" i="1"/>
  <c r="BT374" i="1" s="1"/>
  <c r="BU374" i="1" s="1"/>
  <c r="BS214" i="1"/>
  <c r="BT214" i="1" s="1"/>
  <c r="BU214" i="1" s="1"/>
  <c r="BS27" i="1"/>
  <c r="BT27" i="1" s="1"/>
  <c r="BU27" i="1" s="1"/>
  <c r="BS246" i="1"/>
  <c r="BT246" i="1" s="1"/>
  <c r="BU246" i="1" s="1"/>
  <c r="BT198" i="1"/>
  <c r="BU198" i="1" s="1"/>
  <c r="BT174" i="1"/>
  <c r="BU174" i="1" s="1"/>
  <c r="BT146" i="1"/>
  <c r="BU146" i="1" s="1"/>
  <c r="BS84" i="1"/>
  <c r="BT84" i="1" s="1"/>
  <c r="BU84" i="1" s="1"/>
  <c r="BS241" i="1"/>
  <c r="BT241" i="1" s="1"/>
  <c r="BU241" i="1" s="1"/>
  <c r="BS157" i="1"/>
  <c r="BT157" i="1" s="1"/>
  <c r="BU157" i="1" s="1"/>
  <c r="BT236" i="1"/>
  <c r="BU236" i="1" s="1"/>
  <c r="BT18" i="1"/>
  <c r="BU18" i="1" s="1"/>
  <c r="BT304" i="1"/>
  <c r="BU304" i="1" s="1"/>
  <c r="BS221" i="1"/>
  <c r="BT221" i="1" s="1"/>
  <c r="BU221" i="1" s="1"/>
  <c r="BS119" i="1"/>
  <c r="BT119" i="1" s="1"/>
  <c r="BU119" i="1" s="1"/>
  <c r="BS238" i="1"/>
  <c r="BT238" i="1" s="1"/>
  <c r="BU238" i="1" s="1"/>
  <c r="BS287" i="1"/>
  <c r="BT287" i="1" s="1"/>
  <c r="BU287" i="1" s="1"/>
  <c r="BS195" i="1"/>
  <c r="BT195" i="1" s="1"/>
  <c r="BU195" i="1" s="1"/>
  <c r="BS232" i="1"/>
  <c r="BT232" i="1" s="1"/>
  <c r="BU232" i="1" s="1"/>
  <c r="BS49" i="1"/>
  <c r="BT49" i="1" s="1"/>
  <c r="BU49" i="1" s="1"/>
  <c r="BS327" i="1"/>
  <c r="BT327" i="1" s="1"/>
  <c r="BU327" i="1" s="1"/>
  <c r="BS34" i="1"/>
  <c r="BT34" i="1" s="1"/>
  <c r="BU34" i="1" s="1"/>
  <c r="BS76" i="1"/>
  <c r="BT76" i="1" s="1"/>
  <c r="BU76" i="1" s="1"/>
  <c r="BS345" i="1"/>
  <c r="BT345" i="1" s="1"/>
  <c r="BU345" i="1" s="1"/>
  <c r="BS296" i="1"/>
  <c r="BT296" i="1" s="1"/>
  <c r="BU296" i="1" s="1"/>
  <c r="BS183" i="1"/>
  <c r="BT183" i="1" s="1"/>
  <c r="BU183" i="1" s="1"/>
  <c r="BS239" i="1"/>
  <c r="BT239" i="1" s="1"/>
  <c r="BU239" i="1" s="1"/>
  <c r="BT135" i="1"/>
  <c r="BU135" i="1" s="1"/>
  <c r="BS331" i="1"/>
  <c r="BT331" i="1" s="1"/>
  <c r="BU331" i="1" s="1"/>
  <c r="BS208" i="1"/>
  <c r="BT208" i="1" s="1"/>
  <c r="BU208" i="1" s="1"/>
  <c r="BS320" i="1"/>
  <c r="BT320" i="1" s="1"/>
  <c r="BU320" i="1" s="1"/>
  <c r="BS196" i="1"/>
  <c r="BT196" i="1" s="1"/>
  <c r="BU196" i="1" s="1"/>
  <c r="BT307" i="1"/>
  <c r="BU307" i="1" s="1"/>
  <c r="BS211" i="1"/>
  <c r="BT211" i="1" s="1"/>
  <c r="BU211" i="1" s="1"/>
  <c r="BS326" i="1"/>
  <c r="BT326" i="1" s="1"/>
  <c r="BU326" i="1" s="1"/>
  <c r="BT310" i="1"/>
  <c r="BU310" i="1" s="1"/>
  <c r="BS118" i="1"/>
  <c r="BT118" i="1" s="1"/>
  <c r="BU118" i="1" s="1"/>
  <c r="BS197" i="1"/>
  <c r="BT197" i="1" s="1"/>
  <c r="BU197" i="1" s="1"/>
  <c r="BS182" i="1"/>
  <c r="BT182" i="1" s="1"/>
  <c r="BU182" i="1" s="1"/>
  <c r="BS111" i="1"/>
  <c r="BT111" i="1" s="1"/>
  <c r="BU111" i="1" s="1"/>
  <c r="BS199" i="1"/>
  <c r="BT199" i="1" s="1"/>
  <c r="BU199" i="1" s="1"/>
  <c r="BS136" i="1"/>
  <c r="BT136" i="1" s="1"/>
  <c r="BU136" i="1" s="1"/>
  <c r="BS131" i="1"/>
  <c r="BT131" i="1" s="1"/>
  <c r="BU131" i="1" s="1"/>
  <c r="BS228" i="1"/>
  <c r="BT228" i="1" s="1"/>
  <c r="BU228" i="1" s="1"/>
  <c r="BS280" i="1"/>
  <c r="BT280" i="1" s="1"/>
  <c r="BU280" i="1" s="1"/>
  <c r="BS360" i="1"/>
  <c r="BT360" i="1" s="1"/>
  <c r="BU360" i="1" s="1"/>
  <c r="BS63" i="1"/>
  <c r="BT63" i="1" s="1"/>
  <c r="BU63" i="1" s="1"/>
  <c r="BT82" i="1"/>
  <c r="BU82" i="1" s="1"/>
  <c r="BS33" i="1"/>
  <c r="BT33" i="1" s="1"/>
  <c r="BU33" i="1" s="1"/>
  <c r="BT279" i="1"/>
  <c r="BU279" i="1" s="1"/>
  <c r="BS316" i="1"/>
  <c r="BT316" i="1" s="1"/>
  <c r="BU316" i="1" s="1"/>
  <c r="BS300" i="1"/>
  <c r="BT300" i="1" s="1"/>
  <c r="BU300" i="1" s="1"/>
  <c r="BS71" i="1"/>
  <c r="BT71" i="1" s="1"/>
  <c r="BU71" i="1" s="1"/>
  <c r="BS191" i="1"/>
  <c r="BT191" i="1" s="1"/>
  <c r="BU191" i="1" s="1"/>
  <c r="BT184" i="1"/>
  <c r="BU184" i="1" s="1"/>
  <c r="BS348" i="1"/>
  <c r="BT348" i="1" s="1"/>
  <c r="BU348" i="1" s="1"/>
  <c r="BS190" i="1"/>
  <c r="BT190" i="1" s="1"/>
  <c r="BU190" i="1" s="1"/>
  <c r="BS55" i="1"/>
  <c r="BT55" i="1" s="1"/>
  <c r="BU55" i="1" s="1"/>
  <c r="BS38" i="1"/>
  <c r="BT38" i="1" s="1"/>
  <c r="BU38" i="1" s="1"/>
  <c r="BS89" i="1"/>
  <c r="BT89" i="1" s="1"/>
  <c r="BU89" i="1" s="1"/>
  <c r="BS104" i="1"/>
  <c r="BT104" i="1" s="1"/>
  <c r="BU104" i="1" s="1"/>
  <c r="BS362" i="1"/>
  <c r="BT362" i="1" s="1"/>
  <c r="BU362" i="1" s="1"/>
  <c r="BT303" i="1"/>
  <c r="BU303" i="1" s="1"/>
  <c r="BS169" i="1"/>
  <c r="BT169" i="1" s="1"/>
  <c r="BU169" i="1" s="1"/>
  <c r="BS61" i="1"/>
  <c r="BT61" i="1" s="1"/>
  <c r="BU61" i="1" s="1"/>
  <c r="BR20" i="1"/>
  <c r="BT20" i="1" s="1"/>
  <c r="BU20" i="1" s="1"/>
  <c r="BS215" i="1"/>
  <c r="BT215" i="1" s="1"/>
  <c r="BU215" i="1" s="1"/>
  <c r="BS373" i="1"/>
  <c r="BT373" i="1" s="1"/>
  <c r="BU373" i="1" s="1"/>
  <c r="BS264" i="1"/>
  <c r="BT264" i="1" s="1"/>
  <c r="BU264" i="1" s="1"/>
  <c r="BS168" i="1"/>
  <c r="BT168" i="1" s="1"/>
  <c r="BU168" i="1" s="1"/>
  <c r="BS99" i="1"/>
  <c r="BT99" i="1" s="1"/>
  <c r="BU99" i="1" s="1"/>
  <c r="BT56" i="1"/>
  <c r="BU56" i="1" s="1"/>
  <c r="BS77" i="1"/>
  <c r="BT77" i="1" s="1"/>
  <c r="BU77" i="1" s="1"/>
  <c r="BS353" i="1"/>
  <c r="BT353" i="1" s="1"/>
  <c r="BU353" i="1" s="1"/>
  <c r="BT81" i="1"/>
  <c r="BU81" i="1" s="1"/>
  <c r="BS336" i="1"/>
  <c r="BT336" i="1" s="1"/>
  <c r="BU336" i="1" s="1"/>
  <c r="BS162" i="1"/>
  <c r="BT162" i="1" s="1"/>
  <c r="BU162" i="1" s="1"/>
  <c r="BS288" i="1"/>
  <c r="BT288" i="1" s="1"/>
  <c r="BU288" i="1" s="1"/>
  <c r="BS37" i="1"/>
  <c r="BT37" i="1" s="1"/>
  <c r="BU37" i="1" s="1"/>
  <c r="BS347" i="1"/>
  <c r="BT347" i="1" s="1"/>
  <c r="BU347" i="1" s="1"/>
  <c r="BS57" i="1"/>
  <c r="BT57" i="1" s="1"/>
  <c r="BU57" i="1" s="1"/>
  <c r="BS26" i="1"/>
  <c r="BT26" i="1" s="1"/>
  <c r="BU26" i="1" s="1"/>
  <c r="BS284" i="1"/>
  <c r="BT284" i="1" s="1"/>
  <c r="BU284" i="1" s="1"/>
  <c r="BS159" i="1"/>
  <c r="BT159" i="1" s="1"/>
  <c r="BU159" i="1" s="1"/>
  <c r="BS309" i="1"/>
  <c r="BT309" i="1" s="1"/>
  <c r="BU309" i="1" s="1"/>
  <c r="BS194" i="1"/>
  <c r="BT194" i="1" s="1"/>
  <c r="BU194" i="1" s="1"/>
  <c r="BS231" i="1"/>
  <c r="BT231" i="1" s="1"/>
  <c r="BU231" i="1" s="1"/>
  <c r="BS234" i="1"/>
  <c r="BT234" i="1" s="1"/>
  <c r="BU234" i="1" s="1"/>
  <c r="BS252" i="1"/>
  <c r="BT252" i="1" s="1"/>
  <c r="BU252" i="1" s="1"/>
  <c r="BS192" i="1"/>
  <c r="BT192" i="1" s="1"/>
  <c r="BU192" i="1" s="1"/>
  <c r="BJ11" i="1"/>
  <c r="BN371" i="1" s="1"/>
  <c r="BS324" i="1"/>
  <c r="BT324" i="1" s="1"/>
  <c r="BU324" i="1" s="1"/>
  <c r="BS321" i="1"/>
  <c r="BT321" i="1" s="1"/>
  <c r="BU321" i="1" s="1"/>
  <c r="BS346" i="1"/>
  <c r="BT346" i="1" s="1"/>
  <c r="BU346" i="1" s="1"/>
  <c r="BS339" i="1"/>
  <c r="BT339" i="1" s="1"/>
  <c r="BU339" i="1" s="1"/>
  <c r="BS285" i="1"/>
  <c r="BT285" i="1" s="1"/>
  <c r="BU285" i="1" s="1"/>
  <c r="BS91" i="1"/>
  <c r="BT91" i="1" s="1"/>
  <c r="BU91" i="1" s="1"/>
  <c r="BS46" i="1"/>
  <c r="BT46" i="1" s="1"/>
  <c r="BU46" i="1" s="1"/>
  <c r="BS328" i="1"/>
  <c r="BT328" i="1" s="1"/>
  <c r="BU328" i="1" s="1"/>
  <c r="BT210" i="1"/>
  <c r="BU210" i="1" s="1"/>
  <c r="BS289" i="1"/>
  <c r="BT289" i="1" s="1"/>
  <c r="BU289" i="1" s="1"/>
  <c r="BM366" i="1"/>
  <c r="BM164" i="1"/>
  <c r="BM75" i="1"/>
  <c r="BM337" i="1"/>
  <c r="BM52" i="1"/>
  <c r="BM235" i="1"/>
  <c r="BM296" i="1"/>
  <c r="BM147" i="1"/>
  <c r="BM22" i="1"/>
  <c r="BM19" i="1"/>
  <c r="BM271" i="1"/>
  <c r="BM102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BN329" i="1" l="1"/>
  <c r="BN122" i="1"/>
  <c r="BN84" i="1"/>
  <c r="BN170" i="1"/>
  <c r="BN41" i="1"/>
  <c r="BN173" i="1"/>
  <c r="BN225" i="1"/>
  <c r="BN298" i="1"/>
  <c r="BN268" i="1"/>
  <c r="BN348" i="1"/>
  <c r="BN38" i="1"/>
  <c r="BN161" i="1"/>
  <c r="BN49" i="1"/>
  <c r="BN156" i="1"/>
  <c r="BN271" i="1"/>
  <c r="BN75" i="1"/>
  <c r="BN304" i="1"/>
  <c r="BN243" i="1"/>
  <c r="BN278" i="1"/>
  <c r="BN310" i="1"/>
  <c r="BN181" i="1"/>
  <c r="BN367" i="1"/>
  <c r="BN323" i="1"/>
  <c r="BN335" i="1"/>
  <c r="BN130" i="1"/>
  <c r="BN256" i="1"/>
  <c r="BN35" i="1"/>
  <c r="BN57" i="1"/>
  <c r="BN152" i="1"/>
  <c r="BN234" i="1"/>
  <c r="BN246" i="1"/>
  <c r="BN93" i="1"/>
  <c r="BN118" i="1"/>
  <c r="BN90" i="1"/>
  <c r="BN189" i="1"/>
  <c r="BN242" i="1"/>
  <c r="BN37" i="1"/>
  <c r="BN214" i="1"/>
  <c r="BN203" i="1"/>
  <c r="BN27" i="1"/>
  <c r="BN344" i="1"/>
  <c r="BN111" i="1"/>
  <c r="BN355" i="1"/>
  <c r="BN273" i="1"/>
  <c r="BN106" i="1"/>
  <c r="BN19" i="1"/>
  <c r="BN164" i="1"/>
  <c r="BN168" i="1"/>
  <c r="BN277" i="1"/>
  <c r="BN109" i="1"/>
  <c r="BN31" i="1"/>
  <c r="BN308" i="1"/>
  <c r="BN279" i="1"/>
  <c r="BN218" i="1"/>
  <c r="BN129" i="1"/>
  <c r="BN43" i="1"/>
  <c r="BN208" i="1"/>
  <c r="BN124" i="1"/>
  <c r="BN125" i="1"/>
  <c r="BN107" i="1"/>
  <c r="BN288" i="1"/>
  <c r="BN316" i="1"/>
  <c r="BN281" i="1"/>
  <c r="BN69" i="1"/>
  <c r="BN305" i="1"/>
  <c r="BN374" i="1"/>
  <c r="BN158" i="1"/>
  <c r="BN172" i="1"/>
  <c r="BN59" i="1"/>
  <c r="BN62" i="1"/>
  <c r="BN78" i="1"/>
  <c r="BN88" i="1"/>
  <c r="BN21" i="1"/>
  <c r="BN322" i="1"/>
  <c r="BN134" i="1"/>
  <c r="BN336" i="1"/>
  <c r="BN110" i="1"/>
  <c r="BN104" i="1"/>
  <c r="BN362" i="1"/>
  <c r="BN300" i="1"/>
  <c r="BN96" i="1"/>
  <c r="BN159" i="1"/>
  <c r="BN115" i="1"/>
  <c r="BN224" i="1"/>
  <c r="BN221" i="1"/>
  <c r="BN199" i="1"/>
  <c r="BN283" i="1"/>
  <c r="BN368" i="1"/>
  <c r="BN253" i="1"/>
  <c r="BN274" i="1"/>
  <c r="BN22" i="1"/>
  <c r="BN366" i="1"/>
  <c r="BN195" i="1"/>
  <c r="BN349" i="1"/>
  <c r="BN80" i="1"/>
  <c r="BN77" i="1"/>
  <c r="BN276" i="1"/>
  <c r="BN265" i="1"/>
  <c r="BN270" i="1"/>
  <c r="BN100" i="1"/>
  <c r="BN266" i="1"/>
  <c r="BN103" i="1"/>
  <c r="BN257" i="1"/>
  <c r="BN302" i="1"/>
  <c r="BN66" i="1"/>
  <c r="BN141" i="1"/>
  <c r="BN196" i="1"/>
  <c r="BN244" i="1"/>
  <c r="BN249" i="1"/>
  <c r="BN23" i="1"/>
  <c r="BN169" i="1"/>
  <c r="BN120" i="1"/>
  <c r="BN54" i="1"/>
  <c r="BN99" i="1"/>
  <c r="BN30" i="1"/>
  <c r="BN188" i="1"/>
  <c r="BN354" i="1"/>
  <c r="BN338" i="1"/>
  <c r="BN327" i="1"/>
  <c r="BN60" i="1"/>
  <c r="BN140" i="1"/>
  <c r="BN44" i="1"/>
  <c r="BN254" i="1"/>
  <c r="BN136" i="1"/>
  <c r="BN45" i="1"/>
  <c r="BN194" i="1"/>
  <c r="BN146" i="1"/>
  <c r="BN223" i="1"/>
  <c r="BN359" i="1"/>
  <c r="BN258" i="1"/>
  <c r="BN166" i="1"/>
  <c r="BN313" i="1"/>
  <c r="BN193" i="1"/>
  <c r="BN236" i="1"/>
  <c r="BN95" i="1"/>
  <c r="BN83" i="1"/>
  <c r="BN334" i="1"/>
  <c r="BN212" i="1"/>
  <c r="BN358" i="1"/>
  <c r="BN64" i="1"/>
  <c r="BN286" i="1"/>
  <c r="BN232" i="1"/>
  <c r="BN220" i="1"/>
  <c r="BN247" i="1"/>
  <c r="BN339" i="1"/>
  <c r="BN113" i="1"/>
  <c r="BN34" i="1"/>
  <c r="BN306" i="1"/>
  <c r="BN187" i="1"/>
  <c r="BN363" i="1"/>
  <c r="BN209" i="1"/>
  <c r="BN296" i="1"/>
  <c r="BN299" i="1"/>
  <c r="BN263" i="1"/>
  <c r="BN101" i="1"/>
  <c r="BN331" i="1"/>
  <c r="BN370" i="1"/>
  <c r="BN245" i="1"/>
  <c r="BN36" i="1"/>
  <c r="BN342" i="1"/>
  <c r="BN267" i="1"/>
  <c r="BN18" i="1"/>
  <c r="BN227" i="1"/>
  <c r="BN82" i="1"/>
  <c r="BN324" i="1"/>
  <c r="BN190" i="1"/>
  <c r="BN56" i="1"/>
  <c r="BN235" i="1"/>
  <c r="BN176" i="1"/>
  <c r="BN29" i="1"/>
  <c r="BN280" i="1"/>
  <c r="BN295" i="1"/>
  <c r="BN198" i="1"/>
  <c r="BN76" i="1"/>
  <c r="BN301" i="1"/>
  <c r="BN330" i="1"/>
  <c r="BN79" i="1"/>
  <c r="BN191" i="1"/>
  <c r="BN369" i="1"/>
  <c r="BN26" i="1"/>
  <c r="BN121" i="1"/>
  <c r="BN284" i="1"/>
  <c r="BN117" i="1"/>
  <c r="BN309" i="1"/>
  <c r="BN289" i="1"/>
  <c r="BN262" i="1"/>
  <c r="BN182" i="1"/>
  <c r="BN226" i="1"/>
  <c r="BN294" i="1"/>
  <c r="BN153" i="1"/>
  <c r="BN61" i="1"/>
  <c r="BN184" i="1"/>
  <c r="BN353" i="1"/>
  <c r="BN312" i="1"/>
  <c r="BN230" i="1"/>
  <c r="BN356" i="1"/>
  <c r="BN200" i="1"/>
  <c r="BN157" i="1"/>
  <c r="BN346" i="1"/>
  <c r="BN285" i="1"/>
  <c r="BN201" i="1"/>
  <c r="BN28" i="1"/>
  <c r="BN183" i="1"/>
  <c r="BN345" i="1"/>
  <c r="BN132" i="1"/>
  <c r="BN292" i="1"/>
  <c r="BN248" i="1"/>
  <c r="BN231" i="1"/>
  <c r="BN55" i="1"/>
  <c r="BN86" i="1"/>
  <c r="BN332" i="1"/>
  <c r="BN98" i="1"/>
  <c r="BN147" i="1"/>
  <c r="BN58" i="1"/>
  <c r="BN150" i="1"/>
  <c r="BN333" i="1"/>
  <c r="BN85" i="1"/>
  <c r="BN264" i="1"/>
  <c r="BN255" i="1"/>
  <c r="BN259" i="1"/>
  <c r="BN219" i="1"/>
  <c r="BN148" i="1"/>
  <c r="BN24" i="1"/>
  <c r="BN241" i="1"/>
  <c r="BN51" i="1"/>
  <c r="BN202" i="1"/>
  <c r="BN50" i="1"/>
  <c r="BN215" i="1"/>
  <c r="BN142" i="1"/>
  <c r="BN361" i="1"/>
  <c r="BN233" i="1"/>
  <c r="BN81" i="1"/>
  <c r="BN293" i="1"/>
  <c r="BN39" i="1"/>
  <c r="BN108" i="1"/>
  <c r="BN216" i="1"/>
  <c r="BN347" i="1"/>
  <c r="BN185" i="1"/>
  <c r="BN341" i="1"/>
  <c r="BN213" i="1"/>
  <c r="BN92" i="1"/>
  <c r="BN319" i="1"/>
  <c r="BN261" i="1"/>
  <c r="BN52" i="1"/>
  <c r="BN290" i="1"/>
  <c r="BN228" i="1"/>
  <c r="BN137" i="1"/>
  <c r="BN154" i="1"/>
  <c r="BN119" i="1"/>
  <c r="BN175" i="1"/>
  <c r="BN112" i="1"/>
  <c r="BN149" i="1"/>
  <c r="BN179" i="1"/>
  <c r="BN162" i="1"/>
  <c r="BN315" i="1"/>
  <c r="BN73" i="1"/>
  <c r="BN171" i="1"/>
  <c r="BN314" i="1"/>
  <c r="BN352" i="1"/>
  <c r="BN145" i="1"/>
  <c r="BN365" i="1"/>
  <c r="BN311" i="1"/>
  <c r="BN205" i="1"/>
  <c r="BN351" i="1"/>
  <c r="BN68" i="1"/>
  <c r="BN127" i="1"/>
  <c r="BN16" i="1"/>
  <c r="BN210" i="1"/>
  <c r="BN135" i="1"/>
  <c r="BN282" i="1"/>
  <c r="BN72" i="1"/>
  <c r="BN180" i="1"/>
  <c r="BN25" i="1"/>
  <c r="BN357" i="1"/>
  <c r="BN206" i="1"/>
  <c r="BN217" i="1"/>
  <c r="BN126" i="1"/>
  <c r="BN317" i="1"/>
  <c r="BN143" i="1"/>
  <c r="BN372" i="1"/>
  <c r="BN163" i="1"/>
  <c r="BN128" i="1"/>
  <c r="BN48" i="1"/>
  <c r="BN155" i="1"/>
  <c r="BN192" i="1"/>
  <c r="BN197" i="1"/>
  <c r="BN97" i="1"/>
  <c r="BN320" i="1"/>
  <c r="BN15" i="1"/>
  <c r="BN89" i="1"/>
  <c r="BN207" i="1"/>
  <c r="BN328" i="1"/>
  <c r="BN114" i="1"/>
  <c r="BN17" i="1"/>
  <c r="BN123" i="1"/>
  <c r="BN364" i="1"/>
  <c r="BN272" i="1"/>
  <c r="BN53" i="1"/>
  <c r="BN178" i="1"/>
  <c r="BN204" i="1"/>
  <c r="BN238" i="1"/>
  <c r="BN251" i="1"/>
  <c r="BN343" i="1"/>
  <c r="BN326" i="1"/>
  <c r="BN303" i="1"/>
  <c r="BN321" i="1"/>
  <c r="BN71" i="1"/>
  <c r="BN297" i="1"/>
  <c r="BN287" i="1"/>
  <c r="BN260" i="1"/>
  <c r="BN237" i="1"/>
  <c r="BN250" i="1"/>
  <c r="BN229" i="1"/>
  <c r="BN177" i="1"/>
  <c r="BN105" i="1"/>
  <c r="BN102" i="1"/>
  <c r="BN337" i="1"/>
  <c r="BN275" i="1"/>
  <c r="BN222" i="1"/>
  <c r="BN167" i="1"/>
  <c r="BN144" i="1"/>
  <c r="BN46" i="1"/>
  <c r="BN174" i="1"/>
  <c r="BN87" i="1"/>
  <c r="BN67" i="1"/>
  <c r="BN291" i="1"/>
  <c r="BN151" i="1"/>
  <c r="BN42" i="1"/>
  <c r="BN269" i="1"/>
  <c r="BN91" i="1"/>
  <c r="BN373" i="1"/>
  <c r="BN360" i="1"/>
  <c r="BN74" i="1"/>
  <c r="BN47" i="1"/>
  <c r="BN252" i="1"/>
  <c r="BN186" i="1"/>
  <c r="BN307" i="1"/>
  <c r="BN20" i="1"/>
  <c r="BN318" i="1"/>
  <c r="BN139" i="1"/>
  <c r="BN165" i="1"/>
  <c r="BN70" i="1"/>
  <c r="BN240" i="1"/>
  <c r="BN325" i="1"/>
  <c r="BN375" i="1"/>
  <c r="BN138" i="1"/>
  <c r="BN211" i="1"/>
  <c r="BN340" i="1"/>
  <c r="BN239" i="1"/>
  <c r="BN65" i="1"/>
  <c r="BN32" i="1"/>
  <c r="BN131" i="1"/>
  <c r="BN94" i="1"/>
  <c r="BN33" i="1"/>
  <c r="BN116" i="1"/>
  <c r="BN160" i="1"/>
  <c r="BN40" i="1"/>
  <c r="BN350" i="1"/>
  <c r="BN133" i="1"/>
  <c r="BN63" i="1"/>
  <c r="BQ21" i="1"/>
  <c r="BR21" i="1" s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BS21" i="1" l="1"/>
  <c r="BT21" i="1" s="1"/>
  <c r="BU21" i="1" s="1"/>
  <c r="K72" i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F76" i="1" l="1"/>
  <c r="E76" i="1"/>
  <c r="P57" i="1"/>
  <c r="N57" i="1"/>
  <c r="B75" i="1" s="1"/>
  <c r="U4" i="1" s="1"/>
  <c r="W4" i="1" s="1"/>
  <c r="O57" i="1"/>
  <c r="B77" i="1" l="1"/>
  <c r="P59" i="1"/>
  <c r="B76" i="1"/>
  <c r="O59" i="1"/>
  <c r="AB7" i="1"/>
  <c r="O58" i="1"/>
  <c r="P58" i="1"/>
  <c r="B79" i="1" l="1"/>
  <c r="U5" i="1" s="1"/>
  <c r="B80" i="1"/>
  <c r="U6" i="1" s="1"/>
  <c r="BP9" i="1" s="1"/>
  <c r="BW9" i="1" s="1"/>
  <c r="F75" i="1"/>
  <c r="E75" i="1"/>
  <c r="S58" i="1"/>
  <c r="T58" i="1"/>
  <c r="U7" i="1" l="1"/>
  <c r="W7" i="1" s="1"/>
  <c r="BO9" i="1"/>
  <c r="BV9" i="1" s="1"/>
  <c r="BX9" i="1" s="1"/>
  <c r="BZ9" i="1" s="1"/>
  <c r="AA9" i="1"/>
  <c r="B83" i="1"/>
  <c r="AB9" i="1"/>
  <c r="W6" i="1"/>
  <c r="U18" i="1"/>
  <c r="U19" i="1" s="1"/>
  <c r="U21" i="1" s="1"/>
  <c r="U8" i="1"/>
  <c r="AA7" i="1" s="1"/>
  <c r="BQ9" i="1" l="1"/>
  <c r="BR9" i="1" s="1"/>
  <c r="X8" i="1"/>
  <c r="X7" i="1"/>
  <c r="AC9" i="1"/>
  <c r="V19" i="1"/>
  <c r="V21" i="1" s="1"/>
  <c r="W19" i="1"/>
  <c r="W21" i="1" s="1"/>
  <c r="BY9" i="1"/>
  <c r="CA9" i="1" s="1"/>
  <c r="CB9" i="1" s="1"/>
  <c r="BS9" i="1" l="1"/>
  <c r="BT9" i="1" s="1"/>
  <c r="BU9" i="1" s="1"/>
  <c r="U23" i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<sst xmlns="http://schemas.openxmlformats.org/spreadsheetml/2006/main" count="265" uniqueCount="164">
  <si>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</si>
  <si>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</si>
  <si>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</si>
  <si>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</si>
  <si>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</si>
  <si>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</si>
  <si>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</si>
  <si>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</si>
  <si>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</si>
  <si>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</si>
  <si>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</si>
  <si>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</si>
  <si>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</si>
  <si>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</si>
  <si>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</si>
  <si>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</si>
  <si>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</si>
  <si>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</si>
  <si>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</si>
  <si>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</si>
  <si>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</si>
  <si>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</si>
  <si>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</si>
  <si>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</si>
  <si>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</si>
  <si>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</si>
  <si>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</si>
  <si>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</si>
  <si>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</si>
  <si>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</si>
  <si>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</si>
  <si>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</si>
  <si>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</si>
  <si>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</si>
  <si>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</si>
  <si>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</si>
  <si>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</si>
  <si>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</si>
  <si>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</si>
  <si>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</si>
  <si>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</si>
  <si>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</si>
  <si>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</si>
  <si>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</si>
  <si>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</si>
  <si>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</si>
  <si>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</si>
  <si>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</si>
  <si>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</si>
  <si>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</si>
  <si>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</si>
  <si>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</si>
  <si>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</si>
  <si>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</si>
  <si>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</si>
  <si>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</si>
  <si>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</si>
  <si>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</si>
  <si>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</si>
  <si>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</si>
  <si>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</si>
  <si>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</si>
  <si>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</si>
  <si>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</si>
  <si>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</si>
  <si>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</si>
  <si>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</si>
  <si>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</si>
  <si>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</si>
  <si>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</si>
  <si>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</si>
  <si>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</si>
  <si>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</si>
  <si>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</si>
  <si>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</si>
  <si>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</si>
  <si>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</si>
  <si>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</si>
  <si>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</si>
  <si>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</si>
  <si>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</si>
  <si>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</si>
  <si>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</si>
  <si>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</si>
  <si>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</si>
  <si>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</si>
  <si>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</si>
  <si>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</si>
  <si>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</si>
  <si>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</si>
  <si>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</si>
  <si>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</si>
  <si>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</si>
  <si>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</si>
  <si>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</si>
  <si>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</si>
  <si>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</si>
  <si>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</si>
  <si>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</si>
  <si>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</si>
  <si>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</si>
  <si>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</si>
  <si>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</si>
  <si>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</si>
  <si>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</si>
  <si>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</si>
  <si>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</si>
  <si>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</si>
  <si>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</si>
  <si>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</si>
  <si>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</si>
  <si>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</si>
  <si>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</si>
  <si>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</si>
  <si>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</si>
  <si>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</si>
  <si>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</si>
  <si>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</si>
  <si>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</si>
  <si>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</si>
  <si>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</si>
  <si>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</si>
  <si>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</si>
  <si>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</si>
  <si>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</si>
  <si>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</si>
  <si>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</si>
  <si>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</si>
  <si>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</si>
  <si>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</si>
  <si>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</si>
  <si>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</si>
  <si>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</si>
  <si>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</si>
  <si>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</si>
  <si>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</si>
  <si>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</si>
  <si>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</si>
  <si>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</si>
  <si>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</si>
  <si>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</si>
  <si>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</si>
  <si>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</si>
  <si>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</si>
  <si>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</si>
  <si>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</si>
  <si>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</si>
  <si>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</si>
  <si>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</si>
  <si>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</si>
  <si>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2D Vector Between User Load and New Center Point - moving from load to point</t>
  </si>
  <si>
    <t>UG</t>
  </si>
  <si>
    <t>|UG|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</si>
  <si>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</si>
  <si>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</si>
  <si>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</si>
  <si>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</si>
  <si>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</si>
  <si>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</si>
  <si>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</si>
  <si>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M0</t>
  </si>
  <si>
    <t>Mrd</t>
  </si>
  <si>
    <t>Screen Update:</t>
  </si>
  <si>
    <t># of Points: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</si>
</sst>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36</c:v>
                </c:pt>
                <c:pt idx="4">
                  <c:v>36</c:v>
                </c:pt>
                <c:pt idx="5">
                  <c:v>-8</c:v>
                </c:pt>
                <c:pt idx="6">
                  <c:v>-8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</c:v>
                </c:pt>
                <c:pt idx="5">
                  <c:v>13</c:v>
                </c:pt>
                <c:pt idx="6">
                  <c:v>23</c:v>
                </c:pt>
                <c:pt idx="7">
                  <c:v>33</c:v>
                </c:pt>
                <c:pt idx="8">
                  <c:v>6</c:v>
                </c:pt>
                <c:pt idx="9">
                  <c:v>10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</c:v>
                </c:pt>
                <c:pt idx="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-46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46</c:v>
                </c:pt>
                <c:pt idx="1">
                  <c:v>46</c:v>
                </c:pt>
                <c:pt idx="2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33.735858310613551</c:v>
                </c:pt>
                <c:pt idx="1">
                  <c:v>-8.2729224749036554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27.50383262375324</c:v>
                </c:pt>
                <c:pt idx="1">
                  <c:v>-17.136501275985921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35.124275409739113</c:v>
                </c:pt>
                <c:pt idx="1">
                  <c:v>-6.8845053757780956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26.197262881532517</c:v>
                </c:pt>
                <c:pt idx="1">
                  <c:v>-18.443071018206645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31.823647073886775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18.828642031950217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12.850846886842927</c:v>
                </c:pt>
                <c:pt idx="1">
                  <c:v>4.6270571520854062</c:v>
                </c:pt>
                <c:pt idx="2">
                  <c:v>-7.0248788738668164</c:v>
                </c:pt>
                <c:pt idx="3">
                  <c:v>-23.472458343381856</c:v>
                </c:pt>
                <c:pt idx="4">
                  <c:v>-29.298426356357965</c:v>
                </c:pt>
                <c:pt idx="5">
                  <c:v>0.85546933775293965</c:v>
                </c:pt>
                <c:pt idx="6">
                  <c:v>6.6814373507290501</c:v>
                </c:pt>
                <c:pt idx="7">
                  <c:v>1.1989108608907046</c:v>
                </c:pt>
                <c:pt idx="8">
                  <c:v>12.850846886842927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3.8543137250254373</c:v>
                </c:pt>
                <c:pt idx="1">
                  <c:v>12.593265744489603</c:v>
                </c:pt>
                <c:pt idx="2">
                  <c:v>1.6282127648129099</c:v>
                </c:pt>
                <c:pt idx="3">
                  <c:v>19.106116803741244</c:v>
                </c:pt>
                <c:pt idx="4">
                  <c:v>13.623590313902898</c:v>
                </c:pt>
                <c:pt idx="5">
                  <c:v>-18.419233757465715</c:v>
                </c:pt>
                <c:pt idx="6">
                  <c:v>-12.936707267627368</c:v>
                </c:pt>
                <c:pt idx="7">
                  <c:v>-7.1107392546512571</c:v>
                </c:pt>
                <c:pt idx="8">
                  <c:v>3.8543137250254373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-5.2265125825307592</c:v>
                </c:pt>
                <c:pt idx="5">
                  <c:v>-12.079670694828692</c:v>
                </c:pt>
                <c:pt idx="6">
                  <c:v>-18.932828807126626</c:v>
                </c:pt>
                <c:pt idx="7">
                  <c:v>-25.785986919424559</c:v>
                </c:pt>
                <c:pt idx="8">
                  <c:v>7.2824600162201394</c:v>
                </c:pt>
                <c:pt idx="9">
                  <c:v>4.5411967713009656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-9.0378961171639745</c:v>
                </c:pt>
                <c:pt idx="5">
                  <c:v>-1.755436100943836</c:v>
                </c:pt>
                <c:pt idx="6">
                  <c:v>5.5270239152763025</c:v>
                </c:pt>
                <c:pt idx="7">
                  <c:v>12.809483931496441</c:v>
                </c:pt>
                <c:pt idx="8">
                  <c:v>6.8531581122979333</c:v>
                </c:pt>
                <c:pt idx="9">
                  <c:v>9.7661421187859894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-30.298426356357965</c:v>
                </c:pt>
                <c:pt idx="1">
                  <c:v>31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9.5735062845406347</c:v>
                </c:pt>
                <c:pt idx="1">
                  <c:v>9.5735062845406347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-30.298426356357965</c:v>
                </c:pt>
                <c:pt idx="1">
                  <c:v>31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11.480028388380758</c:v>
                </c:pt>
                <c:pt idx="1">
                  <c:v>11.480028388380758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5.6746690306179381</c:v>
                </c:pt>
                <c:pt idx="1">
                  <c:v>4.6270571520854062</c:v>
                </c:pt>
                <c:pt idx="2">
                  <c:v>-16.295928767877882</c:v>
                </c:pt>
                <c:pt idx="3">
                  <c:v>-23.472458343381856</c:v>
                </c:pt>
                <c:pt idx="4">
                  <c:v>-29.298426356357965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11.480028388380758</c:v>
                </c:pt>
                <c:pt idx="1">
                  <c:v>12.593265744489603</c:v>
                </c:pt>
                <c:pt idx="2">
                  <c:v>11.480028388380758</c:v>
                </c:pt>
                <c:pt idx="3">
                  <c:v>19.106116803741244</c:v>
                </c:pt>
                <c:pt idx="4">
                  <c:v>13.623590313902898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4.6270571520854062</c:v>
                </c:pt>
                <c:pt idx="1">
                  <c:v>3.444083346202079</c:v>
                </c:pt>
                <c:pt idx="2">
                  <c:v>-23.472458343381856</c:v>
                </c:pt>
                <c:pt idx="3">
                  <c:v>-29.298426356357965</c:v>
                </c:pt>
                <c:pt idx="4">
                  <c:v>-27.281227667125787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12.593265744489603</c:v>
                </c:pt>
                <c:pt idx="1">
                  <c:v>11.480028388380758</c:v>
                </c:pt>
                <c:pt idx="2">
                  <c:v>19.106116803741244</c:v>
                </c:pt>
                <c:pt idx="3">
                  <c:v>13.623590313902898</c:v>
                </c:pt>
                <c:pt idx="4">
                  <c:v>11.480028388380758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403.11288741492746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444.80145377840222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99.99999999936702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403.11288741492746</c:v>
                </c:pt>
                <c:pt idx="1">
                  <c:v>444.80145377840222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100</c:v>
                </c:pt>
                <c:pt idx="1">
                  <c:v>99.99999999936702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250.71326135592187</c:v>
                </c:pt>
                <c:pt idx="1">
                  <c:v>248.6831343417781</c:v>
                </c:pt>
                <c:pt idx="2">
                  <c:v>244.48261556457169</c:v>
                </c:pt>
                <c:pt idx="3">
                  <c:v>240.81542019561448</c:v>
                </c:pt>
                <c:pt idx="4">
                  <c:v>237.62883057233591</c:v>
                </c:pt>
                <c:pt idx="5">
                  <c:v>234.53739619001922</c:v>
                </c:pt>
                <c:pt idx="6">
                  <c:v>231.41199385809378</c:v>
                </c:pt>
                <c:pt idx="7">
                  <c:v>228.36151339975243</c:v>
                </c:pt>
                <c:pt idx="8">
                  <c:v>225.30681205586498</c:v>
                </c:pt>
                <c:pt idx="9">
                  <c:v>222.20746039603296</c:v>
                </c:pt>
                <c:pt idx="10">
                  <c:v>219.04329788636565</c:v>
                </c:pt>
                <c:pt idx="11">
                  <c:v>215.79736523039907</c:v>
                </c:pt>
                <c:pt idx="12">
                  <c:v>212.45399324272546</c:v>
                </c:pt>
                <c:pt idx="13">
                  <c:v>209.08376375098857</c:v>
                </c:pt>
                <c:pt idx="14">
                  <c:v>206.16560561962319</c:v>
                </c:pt>
                <c:pt idx="15">
                  <c:v>203.79062510326381</c:v>
                </c:pt>
                <c:pt idx="16">
                  <c:v>201.67057498565057</c:v>
                </c:pt>
                <c:pt idx="17">
                  <c:v>199.76142112171684</c:v>
                </c:pt>
                <c:pt idx="18">
                  <c:v>197.39646381762148</c:v>
                </c:pt>
                <c:pt idx="19">
                  <c:v>193.51356300286321</c:v>
                </c:pt>
                <c:pt idx="20">
                  <c:v>189.8956821086972</c:v>
                </c:pt>
                <c:pt idx="21">
                  <c:v>188.32112428766305</c:v>
                </c:pt>
                <c:pt idx="22">
                  <c:v>188.64063145456183</c:v>
                </c:pt>
                <c:pt idx="23">
                  <c:v>188.9518016406156</c:v>
                </c:pt>
                <c:pt idx="24">
                  <c:v>189.25486581230621</c:v>
                </c:pt>
                <c:pt idx="25">
                  <c:v>189.44297484596166</c:v>
                </c:pt>
                <c:pt idx="26">
                  <c:v>188.45572407018585</c:v>
                </c:pt>
                <c:pt idx="27">
                  <c:v>187.51670398862882</c:v>
                </c:pt>
                <c:pt idx="28">
                  <c:v>186.62026089082087</c:v>
                </c:pt>
                <c:pt idx="29">
                  <c:v>185.76145459061013</c:v>
                </c:pt>
                <c:pt idx="30">
                  <c:v>184.93593843419205</c:v>
                </c:pt>
                <c:pt idx="31">
                  <c:v>184.13986175727956</c:v>
                </c:pt>
                <c:pt idx="32">
                  <c:v>183.36978991238436</c:v>
                </c:pt>
                <c:pt idx="33">
                  <c:v>181.25962761707262</c:v>
                </c:pt>
                <c:pt idx="34">
                  <c:v>176.96264351666241</c:v>
                </c:pt>
                <c:pt idx="35">
                  <c:v>172.66419551313788</c:v>
                </c:pt>
                <c:pt idx="36">
                  <c:v>168.3269072282319</c:v>
                </c:pt>
                <c:pt idx="37">
                  <c:v>163.91786559657393</c:v>
                </c:pt>
                <c:pt idx="38">
                  <c:v>159.39336791226287</c:v>
                </c:pt>
                <c:pt idx="39">
                  <c:v>154.6864615212109</c:v>
                </c:pt>
                <c:pt idx="40">
                  <c:v>149.90673761702607</c:v>
                </c:pt>
                <c:pt idx="41">
                  <c:v>145.37215017060186</c:v>
                </c:pt>
                <c:pt idx="42">
                  <c:v>140.21682597199629</c:v>
                </c:pt>
                <c:pt idx="43">
                  <c:v>133.35695203302208</c:v>
                </c:pt>
                <c:pt idx="44">
                  <c:v>121.78013551304095</c:v>
                </c:pt>
                <c:pt idx="45">
                  <c:v>106.62677855676571</c:v>
                </c:pt>
                <c:pt idx="46">
                  <c:v>89.745983784762444</c:v>
                </c:pt>
                <c:pt idx="47">
                  <c:v>72.625839786286079</c:v>
                </c:pt>
                <c:pt idx="48">
                  <c:v>55.270645625027299</c:v>
                </c:pt>
                <c:pt idx="49">
                  <c:v>37.644828220544412</c:v>
                </c:pt>
                <c:pt idx="50">
                  <c:v>19.813533049431904</c:v>
                </c:pt>
                <c:pt idx="51">
                  <c:v>1.6598104121535642</c:v>
                </c:pt>
                <c:pt idx="52">
                  <c:v>-16.930701113195823</c:v>
                </c:pt>
                <c:pt idx="53">
                  <c:v>-36.056310663891594</c:v>
                </c:pt>
                <c:pt idx="54">
                  <c:v>-55.814936645952585</c:v>
                </c:pt>
                <c:pt idx="55">
                  <c:v>-76.311473023071045</c:v>
                </c:pt>
                <c:pt idx="56">
                  <c:v>-97.662727264301338</c:v>
                </c:pt>
                <c:pt idx="57">
                  <c:v>-120.00192545360878</c:v>
                </c:pt>
                <c:pt idx="58">
                  <c:v>-140.91529280855474</c:v>
                </c:pt>
                <c:pt idx="59">
                  <c:v>-161.9725439828656</c:v>
                </c:pt>
                <c:pt idx="60">
                  <c:v>-184.0508738197077</c:v>
                </c:pt>
                <c:pt idx="61">
                  <c:v>-204.43548058243221</c:v>
                </c:pt>
                <c:pt idx="62">
                  <c:v>-227.1826685609114</c:v>
                </c:pt>
                <c:pt idx="63">
                  <c:v>-248.44929551889564</c:v>
                </c:pt>
                <c:pt idx="64">
                  <c:v>-267.36868633482999</c:v>
                </c:pt>
                <c:pt idx="65">
                  <c:v>-284.18666735071298</c:v>
                </c:pt>
                <c:pt idx="66">
                  <c:v>-299.05710823712502</c:v>
                </c:pt>
                <c:pt idx="67">
                  <c:v>-312.04994760856073</c:v>
                </c:pt>
                <c:pt idx="68">
                  <c:v>-323.14988164327758</c:v>
                </c:pt>
                <c:pt idx="69">
                  <c:v>-332.2443366531362</c:v>
                </c:pt>
                <c:pt idx="70">
                  <c:v>-339.09329544156134</c:v>
                </c:pt>
                <c:pt idx="71">
                  <c:v>-343.14982453380804</c:v>
                </c:pt>
                <c:pt idx="72">
                  <c:v>-344.75483942853344</c:v>
                </c:pt>
                <c:pt idx="73">
                  <c:v>-346.7995654831949</c:v>
                </c:pt>
                <c:pt idx="74">
                  <c:v>-348.65313945777393</c:v>
                </c:pt>
                <c:pt idx="75">
                  <c:v>-350.34029011056106</c:v>
                </c:pt>
                <c:pt idx="76">
                  <c:v>-351.88190803764587</c:v>
                </c:pt>
                <c:pt idx="77">
                  <c:v>-353.29576333868096</c:v>
                </c:pt>
                <c:pt idx="78">
                  <c:v>-354.59707691111294</c:v>
                </c:pt>
                <c:pt idx="79">
                  <c:v>-355.79898015756316</c:v>
                </c:pt>
                <c:pt idx="80">
                  <c:v>-356.91288937023302</c:v>
                </c:pt>
                <c:pt idx="81">
                  <c:v>-357.94881502601316</c:v>
                </c:pt>
                <c:pt idx="82">
                  <c:v>-358.9156219016636</c:v>
                </c:pt>
                <c:pt idx="83">
                  <c:v>-359.82125304898091</c:v>
                </c:pt>
                <c:pt idx="84">
                  <c:v>-360.6729288022666</c:v>
                </c:pt>
                <c:pt idx="85">
                  <c:v>-361.47733123829408</c:v>
                </c:pt>
                <c:pt idx="86">
                  <c:v>-362.24078474112366</c:v>
                </c:pt>
                <c:pt idx="87">
                  <c:v>-362.96944505648469</c:v>
                </c:pt>
                <c:pt idx="88">
                  <c:v>-363.669512931589</c:v>
                </c:pt>
                <c:pt idx="89">
                  <c:v>-364.34749579241566</c:v>
                </c:pt>
                <c:pt idx="90">
                  <c:v>-365.01055471159776</c:v>
                </c:pt>
                <c:pt idx="91">
                  <c:v>-364.83367105224795</c:v>
                </c:pt>
                <c:pt idx="92">
                  <c:v>-364.61086878101219</c:v>
                </c:pt>
                <c:pt idx="93">
                  <c:v>-364.33990493445691</c:v>
                </c:pt>
                <c:pt idx="94">
                  <c:v>-364.01820380879701</c:v>
                </c:pt>
                <c:pt idx="95">
                  <c:v>-363.64277725170439</c:v>
                </c:pt>
                <c:pt idx="96">
                  <c:v>-363.2101439987544</c:v>
                </c:pt>
                <c:pt idx="97">
                  <c:v>-362.7162429946253</c:v>
                </c:pt>
                <c:pt idx="98">
                  <c:v>-362.1563360994985</c:v>
                </c:pt>
                <c:pt idx="99">
                  <c:v>-361.52489555473733</c:v>
                </c:pt>
                <c:pt idx="100">
                  <c:v>-360.81547117784635</c:v>
                </c:pt>
                <c:pt idx="101">
                  <c:v>-350.56465720445385</c:v>
                </c:pt>
                <c:pt idx="102">
                  <c:v>-331.93727808386632</c:v>
                </c:pt>
                <c:pt idx="103">
                  <c:v>-307.81287438560366</c:v>
                </c:pt>
                <c:pt idx="104">
                  <c:v>-278.56466079766562</c:v>
                </c:pt>
                <c:pt idx="105">
                  <c:v>-245.01405964389608</c:v>
                </c:pt>
                <c:pt idx="106">
                  <c:v>-209.18021679181311</c:v>
                </c:pt>
                <c:pt idx="107">
                  <c:v>-172.48657122722233</c:v>
                </c:pt>
                <c:pt idx="108">
                  <c:v>-129.20876245895846</c:v>
                </c:pt>
                <c:pt idx="109">
                  <c:v>-88.309523996044533</c:v>
                </c:pt>
                <c:pt idx="110">
                  <c:v>-45.808104723270617</c:v>
                </c:pt>
                <c:pt idx="111">
                  <c:v>-13.495729609872377</c:v>
                </c:pt>
                <c:pt idx="112">
                  <c:v>18.820386821331205</c:v>
                </c:pt>
                <c:pt idx="113">
                  <c:v>46.272972475844696</c:v>
                </c:pt>
                <c:pt idx="114">
                  <c:v>68.689712855531695</c:v>
                </c:pt>
                <c:pt idx="115">
                  <c:v>85.463700982369417</c:v>
                </c:pt>
                <c:pt idx="116">
                  <c:v>99.271551168853478</c:v>
                </c:pt>
                <c:pt idx="117">
                  <c:v>112.43633717772553</c:v>
                </c:pt>
                <c:pt idx="118">
                  <c:v>125.02987258896752</c:v>
                </c:pt>
                <c:pt idx="119">
                  <c:v>137.11561332264625</c:v>
                </c:pt>
                <c:pt idx="120">
                  <c:v>147.29508848807723</c:v>
                </c:pt>
                <c:pt idx="121">
                  <c:v>154.16670986163757</c:v>
                </c:pt>
                <c:pt idx="122">
                  <c:v>160.89726648917065</c:v>
                </c:pt>
                <c:pt idx="123">
                  <c:v>167.50585907170944</c:v>
                </c:pt>
                <c:pt idx="124">
                  <c:v>174.01041784716716</c:v>
                </c:pt>
                <c:pt idx="125">
                  <c:v>178.34240716228663</c:v>
                </c:pt>
                <c:pt idx="126">
                  <c:v>178.96389909898008</c:v>
                </c:pt>
                <c:pt idx="127">
                  <c:v>179.57383156376551</c:v>
                </c:pt>
                <c:pt idx="128">
                  <c:v>180.17406224529907</c:v>
                </c:pt>
                <c:pt idx="129">
                  <c:v>180.76634208281035</c:v>
                </c:pt>
                <c:pt idx="130">
                  <c:v>181.35233710670346</c:v>
                </c:pt>
                <c:pt idx="131">
                  <c:v>181.93364830171708</c:v>
                </c:pt>
                <c:pt idx="132">
                  <c:v>182.51183000375983</c:v>
                </c:pt>
                <c:pt idx="133">
                  <c:v>183.08840730470394</c:v>
                </c:pt>
                <c:pt idx="134">
                  <c:v>183.66489290693767</c:v>
                </c:pt>
                <c:pt idx="135">
                  <c:v>184.1341636998244</c:v>
                </c:pt>
                <c:pt idx="136">
                  <c:v>184.72632147692411</c:v>
                </c:pt>
                <c:pt idx="137">
                  <c:v>185.31740474919695</c:v>
                </c:pt>
                <c:pt idx="138">
                  <c:v>185.90890560399987</c:v>
                </c:pt>
                <c:pt idx="139">
                  <c:v>186.50232016455212</c:v>
                </c:pt>
                <c:pt idx="140">
                  <c:v>187.09916397963016</c:v>
                </c:pt>
                <c:pt idx="141">
                  <c:v>187.70098783561286</c:v>
                </c:pt>
                <c:pt idx="142">
                  <c:v>188.29402938209515</c:v>
                </c:pt>
                <c:pt idx="143">
                  <c:v>188.89386302266053</c:v>
                </c:pt>
                <c:pt idx="144">
                  <c:v>189.50381514186421</c:v>
                </c:pt>
                <c:pt idx="145">
                  <c:v>190.12572096790259</c:v>
                </c:pt>
                <c:pt idx="146">
                  <c:v>190.7615510144156</c:v>
                </c:pt>
                <c:pt idx="147">
                  <c:v>191.41343836317688</c:v>
                </c:pt>
                <c:pt idx="148">
                  <c:v>192.08371022826114</c:v>
                </c:pt>
                <c:pt idx="149">
                  <c:v>192.77492483850679</c:v>
                </c:pt>
                <c:pt idx="150">
                  <c:v>193.48991495707349</c:v>
                </c:pt>
                <c:pt idx="151">
                  <c:v>194.23183973324674</c:v>
                </c:pt>
                <c:pt idx="152">
                  <c:v>195.00424699769349</c:v>
                </c:pt>
                <c:pt idx="153">
                  <c:v>195.81114876263297</c:v>
                </c:pt>
                <c:pt idx="154">
                  <c:v>196.65711351285358</c:v>
                </c:pt>
                <c:pt idx="155">
                  <c:v>197.54738001372436</c:v>
                </c:pt>
                <c:pt idx="156">
                  <c:v>198.48799890134387</c:v>
                </c:pt>
                <c:pt idx="157">
                  <c:v>199.48601050194503</c:v>
                </c:pt>
                <c:pt idx="158">
                  <c:v>200.54967038808331</c:v>
                </c:pt>
                <c:pt idx="159">
                  <c:v>201.820792546577</c:v>
                </c:pt>
                <c:pt idx="160">
                  <c:v>203.25651751855298</c:v>
                </c:pt>
                <c:pt idx="161">
                  <c:v>204.80641654394697</c:v>
                </c:pt>
                <c:pt idx="162">
                  <c:v>206.48924142859278</c:v>
                </c:pt>
                <c:pt idx="163">
                  <c:v>208.32792868297486</c:v>
                </c:pt>
                <c:pt idx="164">
                  <c:v>210.35086804393814</c:v>
                </c:pt>
                <c:pt idx="165">
                  <c:v>212.5936658904792</c:v>
                </c:pt>
                <c:pt idx="166">
                  <c:v>215.01886480890906</c:v>
                </c:pt>
                <c:pt idx="167">
                  <c:v>217.38265627878167</c:v>
                </c:pt>
                <c:pt idx="168">
                  <c:v>219.67608944885961</c:v>
                </c:pt>
                <c:pt idx="169">
                  <c:v>221.91185714620008</c:v>
                </c:pt>
                <c:pt idx="170">
                  <c:v>224.10312238607264</c:v>
                </c:pt>
                <c:pt idx="171">
                  <c:v>226.26439560774742</c:v>
                </c:pt>
                <c:pt idx="172">
                  <c:v>228.45272097684463</c:v>
                </c:pt>
                <c:pt idx="173">
                  <c:v>230.7061913640803</c:v>
                </c:pt>
                <c:pt idx="174">
                  <c:v>232.91875906803261</c:v>
                </c:pt>
                <c:pt idx="175">
                  <c:v>235.12939662403929</c:v>
                </c:pt>
                <c:pt idx="176">
                  <c:v>237.41180775295732</c:v>
                </c:pt>
                <c:pt idx="177">
                  <c:v>239.92991622308858</c:v>
                </c:pt>
                <c:pt idx="178">
                  <c:v>243.1381992261073</c:v>
                </c:pt>
                <c:pt idx="179">
                  <c:v>247.72610207209166</c:v>
                </c:pt>
                <c:pt idx="180">
                  <c:v>250.71326135581722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-94.789947112701725</c:v>
                </c:pt>
                <c:pt idx="1">
                  <c:v>15.323578553872437</c:v>
                </c:pt>
                <c:pt idx="2">
                  <c:v>101.86442608069498</c:v>
                </c:pt>
                <c:pt idx="3">
                  <c:v>158.05859510969373</c:v>
                </c:pt>
                <c:pt idx="4">
                  <c:v>198.65785246947979</c:v>
                </c:pt>
                <c:pt idx="5">
                  <c:v>232.16670162096275</c:v>
                </c:pt>
                <c:pt idx="6">
                  <c:v>261.53921859855541</c:v>
                </c:pt>
                <c:pt idx="7">
                  <c:v>280.56468070640187</c:v>
                </c:pt>
                <c:pt idx="8">
                  <c:v>296.88591752337152</c:v>
                </c:pt>
                <c:pt idx="9">
                  <c:v>311.90500362683122</c:v>
                </c:pt>
                <c:pt idx="10">
                  <c:v>325.95517317911856</c:v>
                </c:pt>
                <c:pt idx="11">
                  <c:v>339.26855560234151</c:v>
                </c:pt>
                <c:pt idx="12">
                  <c:v>352.01591419101339</c:v>
                </c:pt>
                <c:pt idx="13">
                  <c:v>364.08943747198259</c:v>
                </c:pt>
                <c:pt idx="14">
                  <c:v>373.38374396755967</c:v>
                </c:pt>
                <c:pt idx="15">
                  <c:v>378.71815204221105</c:v>
                </c:pt>
                <c:pt idx="16">
                  <c:v>383.26036165768528</c:v>
                </c:pt>
                <c:pt idx="17">
                  <c:v>387.17841977281978</c:v>
                </c:pt>
                <c:pt idx="18">
                  <c:v>388.7903007160233</c:v>
                </c:pt>
                <c:pt idx="19">
                  <c:v>385.03043047186372</c:v>
                </c:pt>
                <c:pt idx="20">
                  <c:v>381.0556728188663</c:v>
                </c:pt>
                <c:pt idx="21">
                  <c:v>382.46022157642716</c:v>
                </c:pt>
                <c:pt idx="22">
                  <c:v>389.22260224785879</c:v>
                </c:pt>
                <c:pt idx="23">
                  <c:v>395.68900583522122</c:v>
                </c:pt>
                <c:pt idx="24">
                  <c:v>401.89540556463209</c:v>
                </c:pt>
                <c:pt idx="25">
                  <c:v>406.4252925978563</c:v>
                </c:pt>
                <c:pt idx="26">
                  <c:v>407.98239108401646</c:v>
                </c:pt>
                <c:pt idx="27">
                  <c:v>409.43120979170459</c:v>
                </c:pt>
                <c:pt idx="28">
                  <c:v>410.78554844728831</c:v>
                </c:pt>
                <c:pt idx="29">
                  <c:v>412.0570983486989</c:v>
                </c:pt>
                <c:pt idx="30">
                  <c:v>413.25583646996893</c:v>
                </c:pt>
                <c:pt idx="31">
                  <c:v>414.39033558022174</c:v>
                </c:pt>
                <c:pt idx="32">
                  <c:v>415.46801050591534</c:v>
                </c:pt>
                <c:pt idx="33">
                  <c:v>416.34386471162236</c:v>
                </c:pt>
                <c:pt idx="34">
                  <c:v>416.94200631306251</c:v>
                </c:pt>
                <c:pt idx="35">
                  <c:v>417.53014654311403</c:v>
                </c:pt>
                <c:pt idx="36">
                  <c:v>418.17023554219742</c:v>
                </c:pt>
                <c:pt idx="37">
                  <c:v>418.88509035756402</c:v>
                </c:pt>
                <c:pt idx="38">
                  <c:v>419.69941847598494</c:v>
                </c:pt>
                <c:pt idx="39">
                  <c:v>420.64947810677893</c:v>
                </c:pt>
                <c:pt idx="40">
                  <c:v>421.37147687888319</c:v>
                </c:pt>
                <c:pt idx="41">
                  <c:v>421.04644198990491</c:v>
                </c:pt>
                <c:pt idx="42">
                  <c:v>420.81759172281863</c:v>
                </c:pt>
                <c:pt idx="43">
                  <c:v>420.61445779254529</c:v>
                </c:pt>
                <c:pt idx="44">
                  <c:v>421.00845591411655</c:v>
                </c:pt>
                <c:pt idx="45">
                  <c:v>421.68718250868784</c:v>
                </c:pt>
                <c:pt idx="46">
                  <c:v>420.43429016519883</c:v>
                </c:pt>
                <c:pt idx="47">
                  <c:v>418.64229056627426</c:v>
                </c:pt>
                <c:pt idx="48">
                  <c:v>416.34962118162372</c:v>
                </c:pt>
                <c:pt idx="49">
                  <c:v>413.54754120049336</c:v>
                </c:pt>
                <c:pt idx="50">
                  <c:v>410.27391655233782</c:v>
                </c:pt>
                <c:pt idx="51">
                  <c:v>406.48856292111947</c:v>
                </c:pt>
                <c:pt idx="52">
                  <c:v>402.14064656040279</c:v>
                </c:pt>
                <c:pt idx="53">
                  <c:v>397.17973777295333</c:v>
                </c:pt>
                <c:pt idx="54">
                  <c:v>391.55068318832275</c:v>
                </c:pt>
                <c:pt idx="55">
                  <c:v>385.19053819419128</c:v>
                </c:pt>
                <c:pt idx="56">
                  <c:v>378.02607513896697</c:v>
                </c:pt>
                <c:pt idx="57">
                  <c:v>369.97126557958609</c:v>
                </c:pt>
                <c:pt idx="58">
                  <c:v>360.77297190525911</c:v>
                </c:pt>
                <c:pt idx="59">
                  <c:v>348.45058149110412</c:v>
                </c:pt>
                <c:pt idx="60">
                  <c:v>334.57734962886616</c:v>
                </c:pt>
                <c:pt idx="61">
                  <c:v>320.87264591905728</c:v>
                </c:pt>
                <c:pt idx="62">
                  <c:v>305.07402931409587</c:v>
                </c:pt>
                <c:pt idx="63">
                  <c:v>289.45565277336448</c:v>
                </c:pt>
                <c:pt idx="64">
                  <c:v>274.71990772247199</c:v>
                </c:pt>
                <c:pt idx="65">
                  <c:v>260.81755743153434</c:v>
                </c:pt>
                <c:pt idx="66">
                  <c:v>247.76087877409611</c:v>
                </c:pt>
                <c:pt idx="67">
                  <c:v>235.63331858508252</c:v>
                </c:pt>
                <c:pt idx="68">
                  <c:v>224.60974675733522</c:v>
                </c:pt>
                <c:pt idx="69">
                  <c:v>214.9928281159288</c:v>
                </c:pt>
                <c:pt idx="70">
                  <c:v>207.28022606555925</c:v>
                </c:pt>
                <c:pt idx="71">
                  <c:v>202.44367536556868</c:v>
                </c:pt>
                <c:pt idx="72">
                  <c:v>200.51437627224931</c:v>
                </c:pt>
                <c:pt idx="73">
                  <c:v>197.79311946589985</c:v>
                </c:pt>
                <c:pt idx="74">
                  <c:v>195.17623741384273</c:v>
                </c:pt>
                <c:pt idx="75">
                  <c:v>192.64992379091942</c:v>
                </c:pt>
                <c:pt idx="76">
                  <c:v>190.20178282782811</c:v>
                </c:pt>
                <c:pt idx="77">
                  <c:v>187.82055987713503</c:v>
                </c:pt>
                <c:pt idx="78">
                  <c:v>185.49591073543945</c:v>
                </c:pt>
                <c:pt idx="79">
                  <c:v>183.21819908190264</c:v>
                </c:pt>
                <c:pt idx="80">
                  <c:v>180.97831291983562</c:v>
                </c:pt>
                <c:pt idx="81">
                  <c:v>178.76749167546052</c:v>
                </c:pt>
                <c:pt idx="82">
                  <c:v>176.57715563856212</c:v>
                </c:pt>
                <c:pt idx="83">
                  <c:v>174.3987286126366</c:v>
                </c:pt>
                <c:pt idx="84">
                  <c:v>172.22344272522747</c:v>
                </c:pt>
                <c:pt idx="85">
                  <c:v>170.04211080121451</c:v>
                </c:pt>
                <c:pt idx="86">
                  <c:v>167.84484556045919</c:v>
                </c:pt>
                <c:pt idx="87">
                  <c:v>165.62069432871337</c:v>
                </c:pt>
                <c:pt idx="88">
                  <c:v>163.35713943112015</c:v>
                </c:pt>
                <c:pt idx="89">
                  <c:v>161.03938084706624</c:v>
                </c:pt>
                <c:pt idx="90">
                  <c:v>158.64925390514512</c:v>
                </c:pt>
                <c:pt idx="91">
                  <c:v>156.92088849441825</c:v>
                </c:pt>
                <c:pt idx="92">
                  <c:v>155.20222837941344</c:v>
                </c:pt>
                <c:pt idx="93">
                  <c:v>153.48698394683262</c:v>
                </c:pt>
                <c:pt idx="94">
                  <c:v>151.76928946954587</c:v>
                </c:pt>
                <c:pt idx="95">
                  <c:v>150.04353389789412</c:v>
                </c:pt>
                <c:pt idx="96">
                  <c:v>148.30422678190828</c:v>
                </c:pt>
                <c:pt idx="97">
                  <c:v>146.54588603467511</c:v>
                </c:pt>
                <c:pt idx="98">
                  <c:v>144.76293851926658</c:v>
                </c:pt>
                <c:pt idx="99">
                  <c:v>142.94962696656751</c:v>
                </c:pt>
                <c:pt idx="100">
                  <c:v>141.09991819817887</c:v>
                </c:pt>
                <c:pt idx="101">
                  <c:v>124.14320608857642</c:v>
                </c:pt>
                <c:pt idx="102">
                  <c:v>89.388928225639177</c:v>
                </c:pt>
                <c:pt idx="103">
                  <c:v>44.482922222034126</c:v>
                </c:pt>
                <c:pt idx="104">
                  <c:v>-7.5327967287649642</c:v>
                </c:pt>
                <c:pt idx="105">
                  <c:v>-63.815977307558093</c:v>
                </c:pt>
                <c:pt idx="106">
                  <c:v>-120.20754664899631</c:v>
                </c:pt>
                <c:pt idx="107">
                  <c:v>-174.05140901820721</c:v>
                </c:pt>
                <c:pt idx="108">
                  <c:v>-233.14611042953698</c:v>
                </c:pt>
                <c:pt idx="109">
                  <c:v>-286.51742574838096</c:v>
                </c:pt>
                <c:pt idx="110">
                  <c:v>-335.05779298235404</c:v>
                </c:pt>
                <c:pt idx="111">
                  <c:v>-370.15446197889128</c:v>
                </c:pt>
                <c:pt idx="112">
                  <c:v>-404.22438276122455</c:v>
                </c:pt>
                <c:pt idx="113">
                  <c:v>-432.34954198216178</c:v>
                </c:pt>
                <c:pt idx="114">
                  <c:v>-455.09699509795524</c:v>
                </c:pt>
                <c:pt idx="115">
                  <c:v>-472.75823275048947</c:v>
                </c:pt>
                <c:pt idx="116">
                  <c:v>-487.83209837169721</c:v>
                </c:pt>
                <c:pt idx="117">
                  <c:v>-502.07820560594502</c:v>
                </c:pt>
                <c:pt idx="118">
                  <c:v>-515.59258502581531</c:v>
                </c:pt>
                <c:pt idx="119">
                  <c:v>-528.45872536451543</c:v>
                </c:pt>
                <c:pt idx="120">
                  <c:v>-538.99899614209653</c:v>
                </c:pt>
                <c:pt idx="121">
                  <c:v>-545.54490047779586</c:v>
                </c:pt>
                <c:pt idx="122">
                  <c:v>-551.91458330710975</c:v>
                </c:pt>
                <c:pt idx="123">
                  <c:v>-558.12987848642206</c:v>
                </c:pt>
                <c:pt idx="124">
                  <c:v>-564.2108252670397</c:v>
                </c:pt>
                <c:pt idx="125">
                  <c:v>-568.24451374474643</c:v>
                </c:pt>
                <c:pt idx="126">
                  <c:v>-568.82483925412225</c:v>
                </c:pt>
                <c:pt idx="127">
                  <c:v>-569.38649058002761</c:v>
                </c:pt>
                <c:pt idx="128">
                  <c:v>-569.9324306008798</c:v>
                </c:pt>
                <c:pt idx="129">
                  <c:v>-570.46540591283565</c:v>
                </c:pt>
                <c:pt idx="130">
                  <c:v>-570.98799930262055</c:v>
                </c:pt>
                <c:pt idx="131">
                  <c:v>-571.50267767513867</c:v>
                </c:pt>
                <c:pt idx="132">
                  <c:v>-572.01183719863388</c:v>
                </c:pt>
                <c:pt idx="133">
                  <c:v>-572.51784737047785</c:v>
                </c:pt>
                <c:pt idx="134">
                  <c:v>-573.02309571085198</c:v>
                </c:pt>
                <c:pt idx="135">
                  <c:v>-573.07886749997124</c:v>
                </c:pt>
                <c:pt idx="136">
                  <c:v>-572.78369981452079</c:v>
                </c:pt>
                <c:pt idx="137">
                  <c:v>-572.47602437074272</c:v>
                </c:pt>
                <c:pt idx="138">
                  <c:v>-572.15487736881437</c:v>
                </c:pt>
                <c:pt idx="139">
                  <c:v>-571.81915766373356</c:v>
                </c:pt>
                <c:pt idx="140">
                  <c:v>-571.46761133212203</c:v>
                </c:pt>
                <c:pt idx="141">
                  <c:v>-571.09881274809175</c:v>
                </c:pt>
                <c:pt idx="142">
                  <c:v>-570.65211846339571</c:v>
                </c:pt>
                <c:pt idx="143">
                  <c:v>-570.18041121495901</c:v>
                </c:pt>
                <c:pt idx="144">
                  <c:v>-569.68763085737851</c:v>
                </c:pt>
                <c:pt idx="145">
                  <c:v>-569.17121405877401</c:v>
                </c:pt>
                <c:pt idx="146">
                  <c:v>-568.6282659532975</c:v>
                </c:pt>
                <c:pt idx="147">
                  <c:v>-568.05549850355908</c:v>
                </c:pt>
                <c:pt idx="148">
                  <c:v>-567.44915584880346</c:v>
                </c:pt>
                <c:pt idx="149">
                  <c:v>-566.804923167114</c:v>
                </c:pt>
                <c:pt idx="150">
                  <c:v>-566.11781459666304</c:v>
                </c:pt>
                <c:pt idx="151">
                  <c:v>-565.38203444564613</c:v>
                </c:pt>
                <c:pt idx="152">
                  <c:v>-564.59080391547445</c:v>
                </c:pt>
                <c:pt idx="153">
                  <c:v>-563.73614304795501</c:v>
                </c:pt>
                <c:pt idx="154">
                  <c:v>-562.80859397843597</c:v>
                </c:pt>
                <c:pt idx="155">
                  <c:v>-561.79686652323676</c:v>
                </c:pt>
                <c:pt idx="156">
                  <c:v>-560.68737986208305</c:v>
                </c:pt>
                <c:pt idx="157">
                  <c:v>-559.46366370364535</c:v>
                </c:pt>
                <c:pt idx="158">
                  <c:v>-558.10556711439381</c:v>
                </c:pt>
                <c:pt idx="159">
                  <c:v>-555.38476985775242</c:v>
                </c:pt>
                <c:pt idx="160">
                  <c:v>-551.77225555904533</c:v>
                </c:pt>
                <c:pt idx="161">
                  <c:v>-547.81786259502758</c:v>
                </c:pt>
                <c:pt idx="162">
                  <c:v>-543.45677723741983</c:v>
                </c:pt>
                <c:pt idx="163">
                  <c:v>-538.60704436537367</c:v>
                </c:pt>
                <c:pt idx="164">
                  <c:v>-533.16342840023083</c:v>
                </c:pt>
                <c:pt idx="165">
                  <c:v>-526.98844884158984</c:v>
                </c:pt>
                <c:pt idx="166">
                  <c:v>-520.08336400355029</c:v>
                </c:pt>
                <c:pt idx="167">
                  <c:v>-512.92120361079355</c:v>
                </c:pt>
                <c:pt idx="168">
                  <c:v>-505.48053958644346</c:v>
                </c:pt>
                <c:pt idx="169">
                  <c:v>-497.67596361019042</c:v>
                </c:pt>
                <c:pt idx="170">
                  <c:v>-489.39653726405732</c:v>
                </c:pt>
                <c:pt idx="171">
                  <c:v>-480.49218435406885</c:v>
                </c:pt>
                <c:pt idx="172">
                  <c:v>-469.13973350245425</c:v>
                </c:pt>
                <c:pt idx="173">
                  <c:v>-452.39560104269106</c:v>
                </c:pt>
                <c:pt idx="174">
                  <c:v>-433.98795045797948</c:v>
                </c:pt>
                <c:pt idx="175">
                  <c:v>-413.15863370832699</c:v>
                </c:pt>
                <c:pt idx="176">
                  <c:v>-388.48956471478215</c:v>
                </c:pt>
                <c:pt idx="177">
                  <c:v>-356.8091400158047</c:v>
                </c:pt>
                <c:pt idx="178">
                  <c:v>-308.64963621722563</c:v>
                </c:pt>
                <c:pt idx="179">
                  <c:v>-219.30811496892946</c:v>
                </c:pt>
                <c:pt idx="180">
                  <c:v>-94.789947112686548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55.170830257488184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-441.3666421152368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50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-400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37.738665490475874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8.3704147259712354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</c:numCache>
            </c:numRef>
          </c:xVal>
          <c:yVal>
            <c:numRef>
              <c:f>L_Section_Capacity!$AV$2:$AV$362</c:f>
              <c:numCache>
                <c:formatCode>0.000</c:formatCode>
                <c:ptCount val="361"/>
                <c:pt idx="0">
                  <c:v>5.921716133445992</c:v>
                </c:pt>
                <c:pt idx="1">
                  <c:v>6.1541079932165475E-2</c:v>
                </c:pt>
                <c:pt idx="2">
                  <c:v>0.39477951251506732</c:v>
                </c:pt>
                <c:pt idx="3">
                  <c:v>0.58082448937982234</c:v>
                </c:pt>
                <c:pt idx="4">
                  <c:v>0.69631035596807178</c:v>
                </c:pt>
                <c:pt idx="5">
                  <c:v>0.78031855473266098</c:v>
                </c:pt>
                <c:pt idx="6">
                  <c:v>0.846438277952692</c:v>
                </c:pt>
                <c:pt idx="7">
                  <c:v>0.8876157878841161</c:v>
                </c:pt>
                <c:pt idx="8">
                  <c:v>0.92162331786907115</c:v>
                </c:pt>
                <c:pt idx="9">
                  <c:v>0.95178312890650996</c:v>
                </c:pt>
                <c:pt idx="10">
                  <c:v>0.97910749431145006</c:v>
                </c:pt>
                <c:pt idx="11">
                  <c:v>1.0042786236483323</c:v>
                </c:pt>
                <c:pt idx="12">
                  <c:v>1.0277814724610919</c:v>
                </c:pt>
                <c:pt idx="13">
                  <c:v>1.0495147122781674</c:v>
                </c:pt>
                <c:pt idx="14">
                  <c:v>1.0663003070935964</c:v>
                </c:pt>
                <c:pt idx="15">
                  <c:v>1.0771303867914659</c:v>
                </c:pt>
                <c:pt idx="16">
                  <c:v>1.086411173763403</c:v>
                </c:pt>
                <c:pt idx="17">
                  <c:v>1.0944769896926543</c:v>
                </c:pt>
                <c:pt idx="18">
                  <c:v>1.1009921103290012</c:v>
                </c:pt>
                <c:pt idx="19">
                  <c:v>1.105076545031541</c:v>
                </c:pt>
                <c:pt idx="20">
                  <c:v>1.1084767624632319</c:v>
                </c:pt>
                <c:pt idx="21">
                  <c:v>1.1132519983892135</c:v>
                </c:pt>
                <c:pt idx="22">
                  <c:v>1.1194958456946194</c:v>
                </c:pt>
                <c:pt idx="23">
                  <c:v>1.125288992007518</c:v>
                </c:pt>
                <c:pt idx="24">
                  <c:v>1.1306938103046933</c:v>
                </c:pt>
                <c:pt idx="25">
                  <c:v>1.1346181308284906</c:v>
                </c:pt>
                <c:pt idx="26">
                  <c:v>1.1380730543515198</c:v>
                </c:pt>
                <c:pt idx="27">
                  <c:v>1.1413151817446665</c:v>
                </c:pt>
                <c:pt idx="28">
                  <c:v>1.14437149776216</c:v>
                </c:pt>
                <c:pt idx="29">
                  <c:v>1.1472649862572029</c:v>
                </c:pt>
                <c:pt idx="30">
                  <c:v>1.1500153798430652</c:v>
                </c:pt>
                <c:pt idx="31">
                  <c:v>1.1526397494760992</c:v>
                </c:pt>
                <c:pt idx="32">
                  <c:v>1.1551529728571877</c:v>
                </c:pt>
                <c:pt idx="33">
                  <c:v>1.1601831641405627</c:v>
                </c:pt>
                <c:pt idx="34">
                  <c:v>1.1694086796637091</c:v>
                </c:pt>
                <c:pt idx="35">
                  <c:v>1.1786748012854364</c:v>
                </c:pt>
                <c:pt idx="36">
                  <c:v>1.1881090863348991</c:v>
                </c:pt>
                <c:pt idx="37">
                  <c:v>1.1977955446443509</c:v>
                </c:pt>
                <c:pt idx="38">
                  <c:v>1.2078417321972914</c:v>
                </c:pt>
                <c:pt idx="39">
                  <c:v>1.2184123840417471</c:v>
                </c:pt>
                <c:pt idx="40">
                  <c:v>1.2290001469083061</c:v>
                </c:pt>
                <c:pt idx="41">
                  <c:v>1.2383469362324653</c:v>
                </c:pt>
                <c:pt idx="42">
                  <c:v>1.2491649122198512</c:v>
                </c:pt>
                <c:pt idx="43">
                  <c:v>1.2637691901210584</c:v>
                </c:pt>
                <c:pt idx="44">
                  <c:v>1.2892233224146517</c:v>
                </c:pt>
                <c:pt idx="45">
                  <c:v>1.3231300390796705</c:v>
                </c:pt>
                <c:pt idx="46">
                  <c:v>1.3604924079433942</c:v>
                </c:pt>
                <c:pt idx="47">
                  <c:v>1.3990263944932262</c:v>
                </c:pt>
                <c:pt idx="48">
                  <c:v>1.4388174314331248</c:v>
                </c:pt>
                <c:pt idx="49">
                  <c:v>1.4800174928448073</c:v>
                </c:pt>
                <c:pt idx="50">
                  <c:v>1.5225403924890559</c:v>
                </c:pt>
                <c:pt idx="51">
                  <c:v>1.566713060157563</c:v>
                </c:pt>
                <c:pt idx="52">
                  <c:v>1.6128729198560097</c:v>
                </c:pt>
                <c:pt idx="53">
                  <c:v>1.6613290139467622</c:v>
                </c:pt>
                <c:pt idx="54">
                  <c:v>1.7123908334667464</c:v>
                </c:pt>
                <c:pt idx="55">
                  <c:v>1.7663773562962164</c:v>
                </c:pt>
                <c:pt idx="56">
                  <c:v>1.8236174757415176</c:v>
                </c:pt>
                <c:pt idx="57">
                  <c:v>1.8844444795688216</c:v>
                </c:pt>
                <c:pt idx="58">
                  <c:v>1.9431667579896237</c:v>
                </c:pt>
                <c:pt idx="59">
                  <c:v>2.0059195477003087</c:v>
                </c:pt>
                <c:pt idx="60">
                  <c:v>2.0737160203205005</c:v>
                </c:pt>
                <c:pt idx="61">
                  <c:v>2.1380661521178395</c:v>
                </c:pt>
                <c:pt idx="62">
                  <c:v>2.2108842281585943</c:v>
                </c:pt>
                <c:pt idx="63">
                  <c:v>2.2801081918206769</c:v>
                </c:pt>
                <c:pt idx="64">
                  <c:v>2.3426343989241341</c:v>
                </c:pt>
                <c:pt idx="65">
                  <c:v>2.3990470087139015</c:v>
                </c:pt>
                <c:pt idx="66">
                  <c:v>2.449729359842244</c:v>
                </c:pt>
                <c:pt idx="67">
                  <c:v>2.4948265406226415</c:v>
                </c:pt>
                <c:pt idx="68">
                  <c:v>2.5341873425862635</c:v>
                </c:pt>
                <c:pt idx="69">
                  <c:v>2.5672640653958245</c:v>
                </c:pt>
                <c:pt idx="70">
                  <c:v>2.5929218474852007</c:v>
                </c:pt>
                <c:pt idx="71">
                  <c:v>2.6085903665357577</c:v>
                </c:pt>
                <c:pt idx="72">
                  <c:v>2.6148016909732998</c:v>
                </c:pt>
                <c:pt idx="73">
                  <c:v>2.6232687246931627</c:v>
                </c:pt>
                <c:pt idx="74">
                  <c:v>2.6312561395206044</c:v>
                </c:pt>
                <c:pt idx="75">
                  <c:v>2.6388310467679217</c:v>
                </c:pt>
                <c:pt idx="76">
                  <c:v>2.6460512154546114</c:v>
                </c:pt>
                <c:pt idx="77">
                  <c:v>2.652966950676471</c:v>
                </c:pt>
                <c:pt idx="78">
                  <c:v>2.6596225991628399</c:v>
                </c:pt>
                <c:pt idx="79">
                  <c:v>2.6660577794313904</c:v>
                </c:pt>
                <c:pt idx="80">
                  <c:v>2.6723084107152664</c:v>
                </c:pt>
                <c:pt idx="81">
                  <c:v>2.6784075993880152</c:v>
                </c:pt>
                <c:pt idx="82">
                  <c:v>2.6843864319307911</c:v>
                </c:pt>
                <c:pt idx="83">
                  <c:v>2.6902747188527769</c:v>
                </c:pt>
                <c:pt idx="84">
                  <c:v>2.6961017340049853</c:v>
                </c:pt>
                <c:pt idx="85">
                  <c:v>2.701896999479839</c:v>
                </c:pt>
                <c:pt idx="86">
                  <c:v>2.7076911796580818</c:v>
                </c:pt>
                <c:pt idx="87">
                  <c:v>2.7135171736751098</c:v>
                </c:pt>
                <c:pt idx="88">
                  <c:v>2.7194115422971312</c:v>
                </c:pt>
                <c:pt idx="89">
                  <c:v>2.7254164913854457</c:v>
                </c:pt>
                <c:pt idx="90">
                  <c:v>2.731582798360956</c:v>
                </c:pt>
                <c:pt idx="91">
                  <c:v>2.7353964944282314</c:v>
                </c:pt>
                <c:pt idx="92">
                  <c:v>2.7391585481781413</c:v>
                </c:pt>
                <c:pt idx="93">
                  <c:v>2.7428820620485093</c:v>
                </c:pt>
                <c:pt idx="94">
                  <c:v>2.74657909579035</c:v>
                </c:pt>
                <c:pt idx="95">
                  <c:v>2.7502609878638244</c:v>
                </c:pt>
                <c:pt idx="96">
                  <c:v>2.7539386073517544</c:v>
                </c:pt>
                <c:pt idx="97">
                  <c:v>2.7576225613931609</c:v>
                </c:pt>
                <c:pt idx="98">
                  <c:v>2.761323374892632</c:v>
                </c:pt>
                <c:pt idx="99">
                  <c:v>2.7650516543895578</c:v>
                </c:pt>
                <c:pt idx="100">
                  <c:v>2.7688182451540477</c:v>
                </c:pt>
                <c:pt idx="101">
                  <c:v>2.8012490134966099</c:v>
                </c:pt>
                <c:pt idx="102">
                  <c:v>2.8785383733115699</c:v>
                </c:pt>
                <c:pt idx="103">
                  <c:v>2.9980733628225513</c:v>
                </c:pt>
                <c:pt idx="104">
                  <c:v>3.1686275309359786</c:v>
                </c:pt>
                <c:pt idx="105">
                  <c:v>3.39639006659774</c:v>
                </c:pt>
                <c:pt idx="106">
                  <c:v>3.6631715323329872</c:v>
                </c:pt>
                <c:pt idx="107">
                  <c:v>3.9315064177125709</c:v>
                </c:pt>
                <c:pt idx="108">
                  <c:v>4.2063295853771345</c:v>
                </c:pt>
                <c:pt idx="109">
                  <c:v>4.4134108615120953</c:v>
                </c:pt>
                <c:pt idx="110">
                  <c:v>4.5765143453167898</c:v>
                </c:pt>
                <c:pt idx="111">
                  <c:v>4.6759453987152391</c:v>
                </c:pt>
                <c:pt idx="112">
                  <c:v>4.7589146376584281</c:v>
                </c:pt>
                <c:pt idx="113">
                  <c:v>4.8190098762410081</c:v>
                </c:pt>
                <c:pt idx="114">
                  <c:v>4.8621924713109417</c:v>
                </c:pt>
                <c:pt idx="115">
                  <c:v>4.8912341981667131</c:v>
                </c:pt>
                <c:pt idx="116">
                  <c:v>4.9131431589687544</c:v>
                </c:pt>
                <c:pt idx="117">
                  <c:v>4.932696060775112</c:v>
                </c:pt>
                <c:pt idx="118">
                  <c:v>4.9502940241033428</c:v>
                </c:pt>
                <c:pt idx="119">
                  <c:v>4.9662542010885025</c:v>
                </c:pt>
                <c:pt idx="120">
                  <c:v>4.9791510042340885</c:v>
                </c:pt>
                <c:pt idx="121">
                  <c:v>4.9877997680538346</c:v>
                </c:pt>
                <c:pt idx="122">
                  <c:v>4.996053138479879</c:v>
                </c:pt>
                <c:pt idx="123">
                  <c:v>5.00395573137921</c:v>
                </c:pt>
                <c:pt idx="124">
                  <c:v>5.0115468926175195</c:v>
                </c:pt>
                <c:pt idx="125">
                  <c:v>5.0165014530246355</c:v>
                </c:pt>
                <c:pt idx="126">
                  <c:v>5.0172044342603481</c:v>
                </c:pt>
                <c:pt idx="127">
                  <c:v>5.0178966158366993</c:v>
                </c:pt>
                <c:pt idx="128">
                  <c:v>5.0185795792099244</c:v>
                </c:pt>
                <c:pt idx="129">
                  <c:v>5.0192548202751794</c:v>
                </c:pt>
                <c:pt idx="130">
                  <c:v>5.0199237603011397</c:v>
                </c:pt>
                <c:pt idx="131">
                  <c:v>5.0205877553498057</c:v>
                </c:pt>
                <c:pt idx="132">
                  <c:v>5.0212481041931625</c:v>
                </c:pt>
                <c:pt idx="133">
                  <c:v>5.0219060546820486</c:v>
                </c:pt>
                <c:pt idx="134">
                  <c:v>5.0225628084444862</c:v>
                </c:pt>
                <c:pt idx="135">
                  <c:v>5.0232769306493044</c:v>
                </c:pt>
                <c:pt idx="136">
                  <c:v>5.0243637145696516</c:v>
                </c:pt>
                <c:pt idx="137">
                  <c:v>5.0254555594667423</c:v>
                </c:pt>
                <c:pt idx="138">
                  <c:v>5.0265553860128973</c:v>
                </c:pt>
                <c:pt idx="139">
                  <c:v>5.0276661985747531</c:v>
                </c:pt>
                <c:pt idx="140">
                  <c:v>5.0287911194602168</c:v>
                </c:pt>
                <c:pt idx="141">
                  <c:v>5.0299334259360267</c:v>
                </c:pt>
                <c:pt idx="142">
                  <c:v>5.0311030862006225</c:v>
                </c:pt>
                <c:pt idx="143">
                  <c:v>5.0322975038554763</c:v>
                </c:pt>
                <c:pt idx="144">
                  <c:v>5.0335200225584877</c:v>
                </c:pt>
                <c:pt idx="145">
                  <c:v>5.0347750341844382</c:v>
                </c:pt>
                <c:pt idx="146">
                  <c:v>5.0360673494013328</c:v>
                </c:pt>
                <c:pt idx="147">
                  <c:v>5.0374022801441614</c:v>
                </c:pt>
                <c:pt idx="148">
                  <c:v>5.0387857376112297</c:v>
                </c:pt>
                <c:pt idx="149">
                  <c:v>5.0402243498468424</c:v>
                </c:pt>
                <c:pt idx="150">
                  <c:v>5.0417256041547311</c:v>
                </c:pt>
                <c:pt idx="151">
                  <c:v>5.0432980211793002</c:v>
                </c:pt>
                <c:pt idx="152">
                  <c:v>5.044951369643238</c:v>
                </c:pt>
                <c:pt idx="153">
                  <c:v>5.04669693371281</c:v>
                </c:pt>
                <c:pt idx="154">
                  <c:v>5.0485478491010705</c:v>
                </c:pt>
                <c:pt idx="155">
                  <c:v>5.0505195298548848</c:v>
                </c:pt>
                <c:pt idx="156">
                  <c:v>5.0526302161003009</c:v>
                </c:pt>
                <c:pt idx="157">
                  <c:v>5.0549016850965263</c:v>
                </c:pt>
                <c:pt idx="158">
                  <c:v>5.0573601857228994</c:v>
                </c:pt>
                <c:pt idx="159">
                  <c:v>5.0609416136975565</c:v>
                </c:pt>
                <c:pt idx="160">
                  <c:v>5.0653346903071963</c:v>
                </c:pt>
                <c:pt idx="161">
                  <c:v>5.0701585916894336</c:v>
                </c:pt>
                <c:pt idx="162">
                  <c:v>5.0754968634071416</c:v>
                </c:pt>
                <c:pt idx="163">
                  <c:v>5.0814559917691007</c:v>
                </c:pt>
                <c:pt idx="164">
                  <c:v>5.0881740488387504</c:v>
                </c:pt>
                <c:pt idx="165">
                  <c:v>5.0958336010160821</c:v>
                </c:pt>
                <c:pt idx="166">
                  <c:v>5.1044203775954307</c:v>
                </c:pt>
                <c:pt idx="167">
                  <c:v>5.113253769298475</c:v>
                </c:pt>
                <c:pt idx="168">
                  <c:v>5.1223531603255932</c:v>
                </c:pt>
                <c:pt idx="169">
                  <c:v>5.1318250078429513</c:v>
                </c:pt>
                <c:pt idx="170">
                  <c:v>5.1418073644435296</c:v>
                </c:pt>
                <c:pt idx="171">
                  <c:v>5.1524878396928395</c:v>
                </c:pt>
                <c:pt idx="172">
                  <c:v>5.1655510269771998</c:v>
                </c:pt>
                <c:pt idx="173">
                  <c:v>5.1839772436062823</c:v>
                </c:pt>
                <c:pt idx="174">
                  <c:v>5.2049591443477681</c:v>
                </c:pt>
                <c:pt idx="175">
                  <c:v>5.2297794451102453</c:v>
                </c:pt>
                <c:pt idx="176">
                  <c:v>5.2609412281827161</c:v>
                </c:pt>
                <c:pt idx="177">
                  <c:v>5.3043724178247258</c:v>
                </c:pt>
                <c:pt idx="178">
                  <c:v>5.3796145456246496</c:v>
                </c:pt>
                <c:pt idx="179">
                  <c:v>5.5585599773625445</c:v>
                </c:pt>
                <c:pt idx="180">
                  <c:v>5.9217161334459067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3.957351709879529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4.8367439749160219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Tan-1 @ alphs vs req res Tan-1 -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</c:numCache>
            </c:numRef>
          </c:xVal>
          <c:yVal>
            <c:numRef>
              <c:f>L_Section_Capacity!$AY$3:$AY$363</c:f>
              <c:numCache>
                <c:formatCode>0.000</c:formatCode>
                <c:ptCount val="361"/>
                <c:pt idx="0">
                  <c:v>1.5079824121803009</c:v>
                </c:pt>
                <c:pt idx="1">
                  <c:v>1.8412208447632026</c:v>
                </c:pt>
                <c:pt idx="2">
                  <c:v>2.0272658216279575</c:v>
                </c:pt>
                <c:pt idx="3">
                  <c:v>2.1427516882162063</c:v>
                </c:pt>
                <c:pt idx="4">
                  <c:v>2.2267598869807959</c:v>
                </c:pt>
                <c:pt idx="5">
                  <c:v>2.2928796102008269</c:v>
                </c:pt>
                <c:pt idx="6">
                  <c:v>2.3340571201322509</c:v>
                </c:pt>
                <c:pt idx="7">
                  <c:v>2.3680646501172058</c:v>
                </c:pt>
                <c:pt idx="8">
                  <c:v>2.398224461154645</c:v>
                </c:pt>
                <c:pt idx="9">
                  <c:v>2.4255488265595848</c:v>
                </c:pt>
                <c:pt idx="10">
                  <c:v>2.4507199558964672</c:v>
                </c:pt>
                <c:pt idx="11">
                  <c:v>2.4742228047092265</c:v>
                </c:pt>
                <c:pt idx="12">
                  <c:v>2.4959560445263023</c:v>
                </c:pt>
                <c:pt idx="13">
                  <c:v>2.5127416393417312</c:v>
                </c:pt>
                <c:pt idx="14">
                  <c:v>2.5235717190396008</c:v>
                </c:pt>
                <c:pt idx="15">
                  <c:v>2.5328525060115377</c:v>
                </c:pt>
                <c:pt idx="16">
                  <c:v>2.5409183219407891</c:v>
                </c:pt>
                <c:pt idx="17">
                  <c:v>2.5474334425771361</c:v>
                </c:pt>
                <c:pt idx="18">
                  <c:v>2.551517877279676</c:v>
                </c:pt>
                <c:pt idx="19">
                  <c:v>2.5549180947113665</c:v>
                </c:pt>
                <c:pt idx="20">
                  <c:v>2.5596933306373484</c:v>
                </c:pt>
                <c:pt idx="21">
                  <c:v>2.5659371779427542</c:v>
                </c:pt>
                <c:pt idx="22">
                  <c:v>2.5717303242556531</c:v>
                </c:pt>
                <c:pt idx="23">
                  <c:v>2.5771351425528284</c:v>
                </c:pt>
                <c:pt idx="24">
                  <c:v>2.5810594630766257</c:v>
                </c:pt>
                <c:pt idx="25">
                  <c:v>2.5845143865996549</c:v>
                </c:pt>
                <c:pt idx="26">
                  <c:v>2.5877565139928014</c:v>
                </c:pt>
                <c:pt idx="27">
                  <c:v>2.5908128300102948</c:v>
                </c:pt>
                <c:pt idx="28">
                  <c:v>2.5937063185053377</c:v>
                </c:pt>
                <c:pt idx="29">
                  <c:v>2.5964567120912001</c:v>
                </c:pt>
                <c:pt idx="30">
                  <c:v>2.599081081724234</c:v>
                </c:pt>
                <c:pt idx="31">
                  <c:v>2.6015943051053227</c:v>
                </c:pt>
                <c:pt idx="32">
                  <c:v>2.6066244963886973</c:v>
                </c:pt>
                <c:pt idx="33">
                  <c:v>2.615850011911844</c:v>
                </c:pt>
                <c:pt idx="34">
                  <c:v>2.6251161335335711</c:v>
                </c:pt>
                <c:pt idx="35">
                  <c:v>2.634550418583034</c:v>
                </c:pt>
                <c:pt idx="36">
                  <c:v>2.644236876892486</c:v>
                </c:pt>
                <c:pt idx="37">
                  <c:v>2.6542830644454263</c:v>
                </c:pt>
                <c:pt idx="38">
                  <c:v>2.664853716289882</c:v>
                </c:pt>
                <c:pt idx="39">
                  <c:v>2.6754414791564409</c:v>
                </c:pt>
                <c:pt idx="40">
                  <c:v>2.6847882684806001</c:v>
                </c:pt>
                <c:pt idx="41">
                  <c:v>2.695606244467986</c:v>
                </c:pt>
                <c:pt idx="42">
                  <c:v>2.7102105223691932</c:v>
                </c:pt>
                <c:pt idx="43">
                  <c:v>2.7356646546627865</c:v>
                </c:pt>
                <c:pt idx="44">
                  <c:v>2.7695713713278054</c:v>
                </c:pt>
                <c:pt idx="45">
                  <c:v>2.8069337401915293</c:v>
                </c:pt>
                <c:pt idx="46">
                  <c:v>2.8454677267413611</c:v>
                </c:pt>
                <c:pt idx="47">
                  <c:v>2.8852587636812599</c:v>
                </c:pt>
                <c:pt idx="48">
                  <c:v>2.9264588250929422</c:v>
                </c:pt>
                <c:pt idx="49">
                  <c:v>2.9689817247371906</c:v>
                </c:pt>
                <c:pt idx="50">
                  <c:v>3.0131543924056978</c:v>
                </c:pt>
                <c:pt idx="51">
                  <c:v>3.0593142521041443</c:v>
                </c:pt>
                <c:pt idx="52">
                  <c:v>3.1077703461948971</c:v>
                </c:pt>
                <c:pt idx="53">
                  <c:v>3.124353141464705</c:v>
                </c:pt>
                <c:pt idx="54">
                  <c:v>3.070366618635235</c:v>
                </c:pt>
                <c:pt idx="55">
                  <c:v>3.0131264991899336</c:v>
                </c:pt>
                <c:pt idx="56">
                  <c:v>2.95229949536263</c:v>
                </c:pt>
                <c:pt idx="57">
                  <c:v>2.8935772169418277</c:v>
                </c:pt>
                <c:pt idx="58">
                  <c:v>2.8308244272311427</c:v>
                </c:pt>
                <c:pt idx="59">
                  <c:v>2.7630279546109509</c:v>
                </c:pt>
                <c:pt idx="60">
                  <c:v>2.6986778228136119</c:v>
                </c:pt>
                <c:pt idx="61">
                  <c:v>2.6258597467728571</c:v>
                </c:pt>
                <c:pt idx="62">
                  <c:v>2.5566357831107744</c:v>
                </c:pt>
                <c:pt idx="63">
                  <c:v>2.4941095760073173</c:v>
                </c:pt>
                <c:pt idx="64">
                  <c:v>2.4376969662175498</c:v>
                </c:pt>
                <c:pt idx="65">
                  <c:v>2.3870146150892073</c:v>
                </c:pt>
                <c:pt idx="66">
                  <c:v>2.3419174343088098</c:v>
                </c:pt>
                <c:pt idx="67">
                  <c:v>2.3025566323451878</c:v>
                </c:pt>
                <c:pt idx="68">
                  <c:v>2.2694799095356268</c:v>
                </c:pt>
                <c:pt idx="69">
                  <c:v>2.2438221274462506</c:v>
                </c:pt>
                <c:pt idx="70">
                  <c:v>2.2281536083956937</c:v>
                </c:pt>
                <c:pt idx="71">
                  <c:v>2.2219422839581515</c:v>
                </c:pt>
                <c:pt idx="72">
                  <c:v>2.2134752502382886</c:v>
                </c:pt>
                <c:pt idx="73">
                  <c:v>2.2054878354108469</c:v>
                </c:pt>
                <c:pt idx="74">
                  <c:v>2.1979129281635297</c:v>
                </c:pt>
                <c:pt idx="75">
                  <c:v>2.1906927594768399</c:v>
                </c:pt>
                <c:pt idx="76">
                  <c:v>2.1837770242549803</c:v>
                </c:pt>
                <c:pt idx="77">
                  <c:v>2.1771213757686114</c:v>
                </c:pt>
                <c:pt idx="78">
                  <c:v>2.1706861955000609</c:v>
                </c:pt>
                <c:pt idx="79">
                  <c:v>2.164435564216185</c:v>
                </c:pt>
                <c:pt idx="80">
                  <c:v>2.1583363755434362</c:v>
                </c:pt>
                <c:pt idx="81">
                  <c:v>2.1523575430006603</c:v>
                </c:pt>
                <c:pt idx="82">
                  <c:v>2.1464692560786744</c:v>
                </c:pt>
                <c:pt idx="83">
                  <c:v>2.140642240926466</c:v>
                </c:pt>
                <c:pt idx="84">
                  <c:v>2.1348469754516124</c:v>
                </c:pt>
                <c:pt idx="85">
                  <c:v>2.1290527952733695</c:v>
                </c:pt>
                <c:pt idx="86">
                  <c:v>2.1232268012563416</c:v>
                </c:pt>
                <c:pt idx="87">
                  <c:v>2.1173324326343197</c:v>
                </c:pt>
                <c:pt idx="88">
                  <c:v>2.1113274835460052</c:v>
                </c:pt>
                <c:pt idx="89">
                  <c:v>2.105161176570495</c:v>
                </c:pt>
                <c:pt idx="90">
                  <c:v>2.10134748050322</c:v>
                </c:pt>
                <c:pt idx="91">
                  <c:v>2.0975854267533101</c:v>
                </c:pt>
                <c:pt idx="92">
                  <c:v>2.0938619128829421</c:v>
                </c:pt>
                <c:pt idx="93">
                  <c:v>2.0901648791411009</c:v>
                </c:pt>
                <c:pt idx="94">
                  <c:v>2.0864829870676269</c:v>
                </c:pt>
                <c:pt idx="95">
                  <c:v>2.0828053675796969</c:v>
                </c:pt>
                <c:pt idx="96">
                  <c:v>2.0791214135382905</c:v>
                </c:pt>
                <c:pt idx="97">
                  <c:v>2.0754206000388189</c:v>
                </c:pt>
                <c:pt idx="98">
                  <c:v>2.0716923205418936</c:v>
                </c:pt>
                <c:pt idx="99">
                  <c:v>2.0679257297774036</c:v>
                </c:pt>
                <c:pt idx="100">
                  <c:v>2.0354949614348414</c:v>
                </c:pt>
                <c:pt idx="101">
                  <c:v>1.9582056016198812</c:v>
                </c:pt>
                <c:pt idx="102">
                  <c:v>1.8386706121088998</c:v>
                </c:pt>
                <c:pt idx="103">
                  <c:v>1.6681164439954725</c:v>
                </c:pt>
                <c:pt idx="104">
                  <c:v>1.4403539083337114</c:v>
                </c:pt>
                <c:pt idx="105">
                  <c:v>1.1735724425984642</c:v>
                </c:pt>
                <c:pt idx="106">
                  <c:v>0.90523755721888044</c:v>
                </c:pt>
                <c:pt idx="107">
                  <c:v>0.63041438955431683</c:v>
                </c:pt>
                <c:pt idx="108">
                  <c:v>0.42333311341935609</c:v>
                </c:pt>
                <c:pt idx="109">
                  <c:v>0.26022962961466156</c:v>
                </c:pt>
                <c:pt idx="110">
                  <c:v>0.1607985762162123</c:v>
                </c:pt>
                <c:pt idx="111">
                  <c:v>7.78293372730232E-2</c:v>
                </c:pt>
                <c:pt idx="112">
                  <c:v>1.773409869044329E-2</c:v>
                </c:pt>
                <c:pt idx="113">
                  <c:v>2.5448496379490315E-2</c:v>
                </c:pt>
                <c:pt idx="114">
                  <c:v>5.4490223235261759E-2</c:v>
                </c:pt>
                <c:pt idx="115">
                  <c:v>7.6399184037303058E-2</c:v>
                </c:pt>
                <c:pt idx="116">
                  <c:v>9.5952085843660676E-2</c:v>
                </c:pt>
                <c:pt idx="117">
                  <c:v>0.11355004917189149</c:v>
                </c:pt>
                <c:pt idx="118">
                  <c:v>0.1295102261570511</c:v>
                </c:pt>
                <c:pt idx="119">
                  <c:v>0.14240702930263718</c:v>
                </c:pt>
                <c:pt idx="120">
                  <c:v>0.15105579312238326</c:v>
                </c:pt>
                <c:pt idx="121">
                  <c:v>0.15930916354842761</c:v>
                </c:pt>
                <c:pt idx="122">
                  <c:v>0.16721175644775865</c:v>
                </c:pt>
                <c:pt idx="123">
                  <c:v>0.17480291768606812</c:v>
                </c:pt>
                <c:pt idx="124">
                  <c:v>0.17975747809318413</c:v>
                </c:pt>
                <c:pt idx="125">
                  <c:v>0.18046045932889679</c:v>
                </c:pt>
                <c:pt idx="126">
                  <c:v>0.18115264090524796</c:v>
                </c:pt>
                <c:pt idx="127">
                  <c:v>0.18183560427847298</c:v>
                </c:pt>
                <c:pt idx="128">
                  <c:v>0.18251084534372805</c:v>
                </c:pt>
                <c:pt idx="129">
                  <c:v>0.18317978536968837</c:v>
                </c:pt>
                <c:pt idx="130">
                  <c:v>0.18384378041835439</c:v>
                </c:pt>
                <c:pt idx="131">
                  <c:v>0.18450412926171111</c:v>
                </c:pt>
                <c:pt idx="132">
                  <c:v>0.18516207975059729</c:v>
                </c:pt>
                <c:pt idx="133">
                  <c:v>0.18581883351303485</c:v>
                </c:pt>
                <c:pt idx="134">
                  <c:v>0.186532955717853</c:v>
                </c:pt>
                <c:pt idx="135">
                  <c:v>0.18761973963820022</c:v>
                </c:pt>
                <c:pt idx="136">
                  <c:v>0.18871158453529091</c:v>
                </c:pt>
                <c:pt idx="137">
                  <c:v>0.18981141108144592</c:v>
                </c:pt>
                <c:pt idx="138">
                  <c:v>0.19092222364330166</c:v>
                </c:pt>
                <c:pt idx="139">
                  <c:v>0.19204714452876548</c:v>
                </c:pt>
                <c:pt idx="140">
                  <c:v>0.19318945100457532</c:v>
                </c:pt>
                <c:pt idx="141">
                  <c:v>0.19435911126917116</c:v>
                </c:pt>
                <c:pt idx="142">
                  <c:v>0.19555352892402489</c:v>
                </c:pt>
                <c:pt idx="143">
                  <c:v>0.19677604762703638</c:v>
                </c:pt>
                <c:pt idx="144">
                  <c:v>0.19803105925298681</c:v>
                </c:pt>
                <c:pt idx="145">
                  <c:v>0.19932337446988146</c:v>
                </c:pt>
                <c:pt idx="146">
                  <c:v>0.20065830521271003</c:v>
                </c:pt>
                <c:pt idx="147">
                  <c:v>0.20204176267977836</c:v>
                </c:pt>
                <c:pt idx="148">
                  <c:v>0.20348037491539106</c:v>
                </c:pt>
                <c:pt idx="149">
                  <c:v>0.20498162922327978</c:v>
                </c:pt>
                <c:pt idx="150">
                  <c:v>0.20655404624784879</c:v>
                </c:pt>
                <c:pt idx="151">
                  <c:v>0.20820739471178662</c:v>
                </c:pt>
                <c:pt idx="152">
                  <c:v>0.20995295878135867</c:v>
                </c:pt>
                <c:pt idx="153">
                  <c:v>0.2118038741696191</c:v>
                </c:pt>
                <c:pt idx="154">
                  <c:v>0.21377555492343348</c:v>
                </c:pt>
                <c:pt idx="155">
                  <c:v>0.21588624116884961</c:v>
                </c:pt>
                <c:pt idx="156">
                  <c:v>0.21815771016507488</c:v>
                </c:pt>
                <c:pt idx="157">
                  <c:v>0.220616210791448</c:v>
                </c:pt>
                <c:pt idx="158">
                  <c:v>0.2241976387661051</c:v>
                </c:pt>
                <c:pt idx="159">
                  <c:v>0.22859071537574494</c:v>
                </c:pt>
                <c:pt idx="160">
                  <c:v>0.23341461675798228</c:v>
                </c:pt>
                <c:pt idx="161">
                  <c:v>0.23875288847569021</c:v>
                </c:pt>
                <c:pt idx="162">
                  <c:v>0.24471201683764932</c:v>
                </c:pt>
                <c:pt idx="163">
                  <c:v>0.25143007390729899</c:v>
                </c:pt>
                <c:pt idx="164">
                  <c:v>0.25908962608463071</c:v>
                </c:pt>
                <c:pt idx="165">
                  <c:v>0.2676764026639793</c:v>
                </c:pt>
                <c:pt idx="166">
                  <c:v>0.27650979436702355</c:v>
                </c:pt>
                <c:pt idx="167">
                  <c:v>0.28560918539414182</c:v>
                </c:pt>
                <c:pt idx="168">
                  <c:v>0.2950810329114999</c:v>
                </c:pt>
                <c:pt idx="169">
                  <c:v>0.30506338951207823</c:v>
                </c:pt>
                <c:pt idx="170">
                  <c:v>0.31574386476138816</c:v>
                </c:pt>
                <c:pt idx="171">
                  <c:v>0.32880705204574845</c:v>
                </c:pt>
                <c:pt idx="172">
                  <c:v>0.34723326867483095</c:v>
                </c:pt>
                <c:pt idx="173">
                  <c:v>0.36821516941631671</c:v>
                </c:pt>
                <c:pt idx="174">
                  <c:v>0.39303547017879392</c:v>
                </c:pt>
                <c:pt idx="175">
                  <c:v>0.42419725325126478</c:v>
                </c:pt>
                <c:pt idx="176">
                  <c:v>0.46762844289327443</c:v>
                </c:pt>
                <c:pt idx="177">
                  <c:v>0.54287057069319811</c:v>
                </c:pt>
                <c:pt idx="178">
                  <c:v>0.72181600243109312</c:v>
                </c:pt>
                <c:pt idx="179">
                  <c:v>1.0849721585144554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3.4906585039886591E-2</c:v>
                </c:pt>
                <c:pt idx="2">
                  <c:v>6.9813170079773182E-2</c:v>
                </c:pt>
                <c:pt idx="3">
                  <c:v>0.10471975511965978</c:v>
                </c:pt>
                <c:pt idx="4">
                  <c:v>0.13962634015954636</c:v>
                </c:pt>
                <c:pt idx="5">
                  <c:v>0.17453292519943295</c:v>
                </c:pt>
                <c:pt idx="6">
                  <c:v>0.20943951023931953</c:v>
                </c:pt>
                <c:pt idx="7">
                  <c:v>0.24434609527920612</c:v>
                </c:pt>
                <c:pt idx="8">
                  <c:v>0.27925268031909273</c:v>
                </c:pt>
                <c:pt idx="9">
                  <c:v>0.31415926535897931</c:v>
                </c:pt>
                <c:pt idx="10">
                  <c:v>0.3490658503988659</c:v>
                </c:pt>
                <c:pt idx="11">
                  <c:v>0.38397243543875248</c:v>
                </c:pt>
                <c:pt idx="12">
                  <c:v>0.41887902047863906</c:v>
                </c:pt>
                <c:pt idx="13">
                  <c:v>0.45378560551852565</c:v>
                </c:pt>
                <c:pt idx="14">
                  <c:v>0.48869219055841223</c:v>
                </c:pt>
                <c:pt idx="15">
                  <c:v>0.52359877559829882</c:v>
                </c:pt>
                <c:pt idx="16">
                  <c:v>0.55850536063818546</c:v>
                </c:pt>
                <c:pt idx="17">
                  <c:v>0.59341194567807209</c:v>
                </c:pt>
                <c:pt idx="18">
                  <c:v>0.62831853071795873</c:v>
                </c:pt>
                <c:pt idx="19">
                  <c:v>0.66322511575784537</c:v>
                </c:pt>
                <c:pt idx="20">
                  <c:v>0.69813170079773201</c:v>
                </c:pt>
                <c:pt idx="21">
                  <c:v>0.73303828583761865</c:v>
                </c:pt>
                <c:pt idx="22">
                  <c:v>0.76794487087750529</c:v>
                </c:pt>
                <c:pt idx="23">
                  <c:v>0.80285145591739193</c:v>
                </c:pt>
                <c:pt idx="24">
                  <c:v>0.83775804095727857</c:v>
                </c:pt>
                <c:pt idx="25">
                  <c:v>0.87266462599716521</c:v>
                </c:pt>
                <c:pt idx="26">
                  <c:v>0.90757121103705185</c:v>
                </c:pt>
                <c:pt idx="27">
                  <c:v>0.94247779607693849</c:v>
                </c:pt>
                <c:pt idx="28">
                  <c:v>0.97738438111682513</c:v>
                </c:pt>
                <c:pt idx="29">
                  <c:v>1.0122909661567117</c:v>
                </c:pt>
                <c:pt idx="30">
                  <c:v>1.0471975511965983</c:v>
                </c:pt>
                <c:pt idx="31">
                  <c:v>1.0821041362364849</c:v>
                </c:pt>
                <c:pt idx="32">
                  <c:v>1.1170107212763716</c:v>
                </c:pt>
                <c:pt idx="33">
                  <c:v>1.1519173063162582</c:v>
                </c:pt>
                <c:pt idx="34">
                  <c:v>1.1868238913561449</c:v>
                </c:pt>
                <c:pt idx="35">
                  <c:v>1.2217304763960315</c:v>
                </c:pt>
                <c:pt idx="36">
                  <c:v>1.2566370614359181</c:v>
                </c:pt>
                <c:pt idx="37">
                  <c:v>1.2915436464758048</c:v>
                </c:pt>
                <c:pt idx="38">
                  <c:v>1.3264502315156914</c:v>
                </c:pt>
                <c:pt idx="39">
                  <c:v>1.3613568165555781</c:v>
                </c:pt>
                <c:pt idx="40">
                  <c:v>1.3962634015954647</c:v>
                </c:pt>
                <c:pt idx="41">
                  <c:v>1.4311699866353513</c:v>
                </c:pt>
                <c:pt idx="42">
                  <c:v>1.466076571675238</c:v>
                </c:pt>
                <c:pt idx="43">
                  <c:v>1.5009831567151246</c:v>
                </c:pt>
                <c:pt idx="44">
                  <c:v>1.5358897417550113</c:v>
                </c:pt>
                <c:pt idx="45">
                  <c:v>1.5707963267948979</c:v>
                </c:pt>
                <c:pt idx="46">
                  <c:v>1.6057029118347845</c:v>
                </c:pt>
                <c:pt idx="47">
                  <c:v>1.6406094968746712</c:v>
                </c:pt>
                <c:pt idx="48">
                  <c:v>1.6755160819145578</c:v>
                </c:pt>
                <c:pt idx="49">
                  <c:v>1.7104226669544444</c:v>
                </c:pt>
                <c:pt idx="50">
                  <c:v>1.7453292519943311</c:v>
                </c:pt>
                <c:pt idx="51">
                  <c:v>1.7802358370342177</c:v>
                </c:pt>
                <c:pt idx="52">
                  <c:v>1.8151424220741044</c:v>
                </c:pt>
                <c:pt idx="53">
                  <c:v>1.850049007113991</c:v>
                </c:pt>
                <c:pt idx="54">
                  <c:v>1.8849555921538776</c:v>
                </c:pt>
                <c:pt idx="55">
                  <c:v>1.9198621771937643</c:v>
                </c:pt>
                <c:pt idx="56">
                  <c:v>1.9547687622336509</c:v>
                </c:pt>
                <c:pt idx="57">
                  <c:v>1.9896753472735376</c:v>
                </c:pt>
                <c:pt idx="58">
                  <c:v>2.0245819323134242</c:v>
                </c:pt>
                <c:pt idx="59">
                  <c:v>2.0594885173533108</c:v>
                </c:pt>
                <c:pt idx="60">
                  <c:v>2.0943951023931975</c:v>
                </c:pt>
                <c:pt idx="61">
                  <c:v>2.1293016874330841</c:v>
                </c:pt>
                <c:pt idx="62">
                  <c:v>2.1642082724729708</c:v>
                </c:pt>
                <c:pt idx="63">
                  <c:v>2.1991148575128574</c:v>
                </c:pt>
                <c:pt idx="64">
                  <c:v>2.234021442552744</c:v>
                </c:pt>
                <c:pt idx="65">
                  <c:v>2.2689280275926307</c:v>
                </c:pt>
                <c:pt idx="66">
                  <c:v>2.3038346126325173</c:v>
                </c:pt>
                <c:pt idx="67">
                  <c:v>2.338741197672404</c:v>
                </c:pt>
                <c:pt idx="68">
                  <c:v>2.3736477827122906</c:v>
                </c:pt>
                <c:pt idx="69">
                  <c:v>2.4085543677521772</c:v>
                </c:pt>
                <c:pt idx="70">
                  <c:v>2.4434609527920639</c:v>
                </c:pt>
                <c:pt idx="71">
                  <c:v>2.4783675378319505</c:v>
                </c:pt>
                <c:pt idx="72">
                  <c:v>2.5132741228718372</c:v>
                </c:pt>
                <c:pt idx="73">
                  <c:v>2.5481807079117238</c:v>
                </c:pt>
                <c:pt idx="74">
                  <c:v>2.5830872929516104</c:v>
                </c:pt>
                <c:pt idx="75">
                  <c:v>2.6179938779914971</c:v>
                </c:pt>
                <c:pt idx="76">
                  <c:v>2.6529004630313837</c:v>
                </c:pt>
                <c:pt idx="77">
                  <c:v>2.6878070480712704</c:v>
                </c:pt>
                <c:pt idx="78">
                  <c:v>2.722713633111157</c:v>
                </c:pt>
                <c:pt idx="79">
                  <c:v>2.7576202181510436</c:v>
                </c:pt>
                <c:pt idx="80">
                  <c:v>2.7925268031909303</c:v>
                </c:pt>
                <c:pt idx="81">
                  <c:v>2.8274333882308169</c:v>
                </c:pt>
                <c:pt idx="82">
                  <c:v>2.8623399732707036</c:v>
                </c:pt>
                <c:pt idx="83">
                  <c:v>2.8972465583105902</c:v>
                </c:pt>
                <c:pt idx="84">
                  <c:v>2.9321531433504768</c:v>
                </c:pt>
                <c:pt idx="85">
                  <c:v>2.9670597283903635</c:v>
                </c:pt>
                <c:pt idx="86">
                  <c:v>3.0019663134302501</c:v>
                </c:pt>
                <c:pt idx="87">
                  <c:v>3.0368728984701368</c:v>
                </c:pt>
                <c:pt idx="88">
                  <c:v>3.0717794835100234</c:v>
                </c:pt>
                <c:pt idx="89">
                  <c:v>3.10668606854991</c:v>
                </c:pt>
                <c:pt idx="90">
                  <c:v>3.1415926535897967</c:v>
                </c:pt>
                <c:pt idx="91">
                  <c:v>3.1764992386296833</c:v>
                </c:pt>
                <c:pt idx="92">
                  <c:v>3.2114058236695699</c:v>
                </c:pt>
                <c:pt idx="93">
                  <c:v>3.2463124087094566</c:v>
                </c:pt>
                <c:pt idx="94">
                  <c:v>3.2812189937493432</c:v>
                </c:pt>
                <c:pt idx="95">
                  <c:v>3.3161255787892299</c:v>
                </c:pt>
                <c:pt idx="96">
                  <c:v>3.3510321638291165</c:v>
                </c:pt>
                <c:pt idx="97">
                  <c:v>3.3859387488690031</c:v>
                </c:pt>
                <c:pt idx="98">
                  <c:v>3.4208453339088898</c:v>
                </c:pt>
                <c:pt idx="99">
                  <c:v>3.4557519189487764</c:v>
                </c:pt>
                <c:pt idx="100">
                  <c:v>3.4906585039886631</c:v>
                </c:pt>
                <c:pt idx="101">
                  <c:v>3.5255650890285497</c:v>
                </c:pt>
                <c:pt idx="102">
                  <c:v>3.5604716740684363</c:v>
                </c:pt>
                <c:pt idx="103">
                  <c:v>3.595378259108323</c:v>
                </c:pt>
                <c:pt idx="104">
                  <c:v>3.6302848441482096</c:v>
                </c:pt>
                <c:pt idx="105">
                  <c:v>3.6651914291880963</c:v>
                </c:pt>
                <c:pt idx="106">
                  <c:v>3.7000980142279829</c:v>
                </c:pt>
                <c:pt idx="107">
                  <c:v>3.7350045992678695</c:v>
                </c:pt>
                <c:pt idx="108">
                  <c:v>3.7699111843077562</c:v>
                </c:pt>
                <c:pt idx="109">
                  <c:v>3.8048177693476428</c:v>
                </c:pt>
                <c:pt idx="110">
                  <c:v>3.8397243543875295</c:v>
                </c:pt>
                <c:pt idx="111">
                  <c:v>3.8746309394274161</c:v>
                </c:pt>
                <c:pt idx="112">
                  <c:v>3.9095375244673027</c:v>
                </c:pt>
                <c:pt idx="113">
                  <c:v>3.9444441095071894</c:v>
                </c:pt>
                <c:pt idx="114">
                  <c:v>3.979350694547076</c:v>
                </c:pt>
                <c:pt idx="115">
                  <c:v>4.0142572795869622</c:v>
                </c:pt>
                <c:pt idx="116">
                  <c:v>4.0491638646268484</c:v>
                </c:pt>
                <c:pt idx="117">
                  <c:v>4.0840704496667346</c:v>
                </c:pt>
                <c:pt idx="118">
                  <c:v>4.1189770347066208</c:v>
                </c:pt>
                <c:pt idx="119">
                  <c:v>4.153883619746507</c:v>
                </c:pt>
                <c:pt idx="120">
                  <c:v>4.1887902047863932</c:v>
                </c:pt>
                <c:pt idx="121">
                  <c:v>4.2236967898262794</c:v>
                </c:pt>
                <c:pt idx="122">
                  <c:v>4.2586033748661656</c:v>
                </c:pt>
                <c:pt idx="123">
                  <c:v>4.2935099599060518</c:v>
                </c:pt>
                <c:pt idx="124">
                  <c:v>4.328416544945938</c:v>
                </c:pt>
                <c:pt idx="125">
                  <c:v>4.3633231299858242</c:v>
                </c:pt>
                <c:pt idx="126">
                  <c:v>4.3982297150257104</c:v>
                </c:pt>
                <c:pt idx="127">
                  <c:v>4.4331363000655966</c:v>
                </c:pt>
                <c:pt idx="128">
                  <c:v>4.4680428851054828</c:v>
                </c:pt>
                <c:pt idx="129">
                  <c:v>4.5029494701453689</c:v>
                </c:pt>
                <c:pt idx="130">
                  <c:v>4.5378560551852551</c:v>
                </c:pt>
                <c:pt idx="131">
                  <c:v>4.5727626402251413</c:v>
                </c:pt>
                <c:pt idx="132">
                  <c:v>4.6076692252650275</c:v>
                </c:pt>
                <c:pt idx="133">
                  <c:v>4.6425758103049137</c:v>
                </c:pt>
                <c:pt idx="134">
                  <c:v>4.6774823953447999</c:v>
                </c:pt>
                <c:pt idx="135">
                  <c:v>4.7123889803846861</c:v>
                </c:pt>
                <c:pt idx="136">
                  <c:v>4.7472955654245723</c:v>
                </c:pt>
                <c:pt idx="137">
                  <c:v>4.7822021504644585</c:v>
                </c:pt>
                <c:pt idx="138">
                  <c:v>4.8171087355043447</c:v>
                </c:pt>
                <c:pt idx="139">
                  <c:v>4.8520153205442309</c:v>
                </c:pt>
                <c:pt idx="140">
                  <c:v>4.8869219055841171</c:v>
                </c:pt>
                <c:pt idx="141">
                  <c:v>4.9218284906240033</c:v>
                </c:pt>
                <c:pt idx="142">
                  <c:v>4.9567350756638895</c:v>
                </c:pt>
                <c:pt idx="143">
                  <c:v>4.9916416607037757</c:v>
                </c:pt>
                <c:pt idx="144">
                  <c:v>5.0265482457436619</c:v>
                </c:pt>
                <c:pt idx="145">
                  <c:v>5.0614548307835481</c:v>
                </c:pt>
                <c:pt idx="146">
                  <c:v>5.0963614158234343</c:v>
                </c:pt>
                <c:pt idx="147">
                  <c:v>5.1312680008633205</c:v>
                </c:pt>
                <c:pt idx="148">
                  <c:v>5.1661745859032067</c:v>
                </c:pt>
                <c:pt idx="149">
                  <c:v>5.2010811709430929</c:v>
                </c:pt>
                <c:pt idx="150">
                  <c:v>5.2359877559829791</c:v>
                </c:pt>
                <c:pt idx="151">
                  <c:v>5.2708943410228652</c:v>
                </c:pt>
                <c:pt idx="152">
                  <c:v>5.3058009260627514</c:v>
                </c:pt>
                <c:pt idx="153">
                  <c:v>5.3407075111026376</c:v>
                </c:pt>
                <c:pt idx="154">
                  <c:v>5.3756140961425238</c:v>
                </c:pt>
                <c:pt idx="155">
                  <c:v>5.41052068118241</c:v>
                </c:pt>
                <c:pt idx="156">
                  <c:v>5.4454272662222962</c:v>
                </c:pt>
                <c:pt idx="157">
                  <c:v>5.4803338512621824</c:v>
                </c:pt>
                <c:pt idx="158">
                  <c:v>5.5152404363020686</c:v>
                </c:pt>
                <c:pt idx="159">
                  <c:v>5.5501470213419548</c:v>
                </c:pt>
                <c:pt idx="160">
                  <c:v>5.585053606381841</c:v>
                </c:pt>
                <c:pt idx="161">
                  <c:v>5.6199601914217272</c:v>
                </c:pt>
                <c:pt idx="162">
                  <c:v>5.6548667764616134</c:v>
                </c:pt>
                <c:pt idx="163">
                  <c:v>5.6897733615014996</c:v>
                </c:pt>
                <c:pt idx="164">
                  <c:v>5.7246799465413858</c:v>
                </c:pt>
                <c:pt idx="165">
                  <c:v>5.759586531581272</c:v>
                </c:pt>
                <c:pt idx="166">
                  <c:v>5.7944931166211582</c:v>
                </c:pt>
                <c:pt idx="167">
                  <c:v>5.8293997016610444</c:v>
                </c:pt>
                <c:pt idx="168">
                  <c:v>5.8643062867009306</c:v>
                </c:pt>
                <c:pt idx="169">
                  <c:v>5.8992128717408168</c:v>
                </c:pt>
                <c:pt idx="170">
                  <c:v>5.934119456780703</c:v>
                </c:pt>
                <c:pt idx="171">
                  <c:v>5.9690260418205892</c:v>
                </c:pt>
                <c:pt idx="172">
                  <c:v>6.0039326268604754</c:v>
                </c:pt>
                <c:pt idx="173">
                  <c:v>6.0388392119003615</c:v>
                </c:pt>
                <c:pt idx="174">
                  <c:v>6.0737457969402477</c:v>
                </c:pt>
                <c:pt idx="175">
                  <c:v>6.1086523819801339</c:v>
                </c:pt>
                <c:pt idx="176">
                  <c:v>6.1435589670200201</c:v>
                </c:pt>
                <c:pt idx="177">
                  <c:v>6.1784655520599063</c:v>
                </c:pt>
                <c:pt idx="178">
                  <c:v>6.2133721370997925</c:v>
                </c:pt>
                <c:pt idx="179">
                  <c:v>6.2482787221396787</c:v>
                </c:pt>
                <c:pt idx="180">
                  <c:v>6.2831853071795649</c:v>
                </c:pt>
              </c:numCache>
            </c:numRef>
          </c:xVal>
          <c:yVal>
            <c:numRef>
              <c:f>L_Section_Capacity!$AX$2:$AX$362</c:f>
              <c:numCache>
                <c:formatCode>0.000</c:formatCode>
                <c:ptCount val="361"/>
                <c:pt idx="0">
                  <c:v>-1.0849721585145407</c:v>
                </c:pt>
                <c:pt idx="1">
                  <c:v>-1.5079824121803009</c:v>
                </c:pt>
                <c:pt idx="2">
                  <c:v>-1.8412208447632026</c:v>
                </c:pt>
                <c:pt idx="3">
                  <c:v>-2.0272658216279575</c:v>
                </c:pt>
                <c:pt idx="4">
                  <c:v>-2.1427516882162063</c:v>
                </c:pt>
                <c:pt idx="5">
                  <c:v>-2.2267598869807959</c:v>
                </c:pt>
                <c:pt idx="6">
                  <c:v>-2.2928796102008269</c:v>
                </c:pt>
                <c:pt idx="7">
                  <c:v>-2.3340571201322509</c:v>
                </c:pt>
                <c:pt idx="8">
                  <c:v>-2.3680646501172058</c:v>
                </c:pt>
                <c:pt idx="9">
                  <c:v>-2.398224461154645</c:v>
                </c:pt>
                <c:pt idx="10">
                  <c:v>-2.4255488265595848</c:v>
                </c:pt>
                <c:pt idx="11">
                  <c:v>-2.4507199558964672</c:v>
                </c:pt>
                <c:pt idx="12">
                  <c:v>-2.4742228047092265</c:v>
                </c:pt>
                <c:pt idx="13">
                  <c:v>-2.4959560445263023</c:v>
                </c:pt>
                <c:pt idx="14">
                  <c:v>-2.5127416393417312</c:v>
                </c:pt>
                <c:pt idx="15">
                  <c:v>-2.5235717190396008</c:v>
                </c:pt>
                <c:pt idx="16">
                  <c:v>-2.5328525060115377</c:v>
                </c:pt>
                <c:pt idx="17">
                  <c:v>-2.5409183219407891</c:v>
                </c:pt>
                <c:pt idx="18">
                  <c:v>-2.5474334425771361</c:v>
                </c:pt>
                <c:pt idx="19">
                  <c:v>-2.551517877279676</c:v>
                </c:pt>
                <c:pt idx="20">
                  <c:v>-2.5549180947113665</c:v>
                </c:pt>
                <c:pt idx="21">
                  <c:v>-2.5596933306373484</c:v>
                </c:pt>
                <c:pt idx="22">
                  <c:v>-2.5659371779427542</c:v>
                </c:pt>
                <c:pt idx="23">
                  <c:v>-2.5717303242556531</c:v>
                </c:pt>
                <c:pt idx="24">
                  <c:v>-2.5771351425528284</c:v>
                </c:pt>
                <c:pt idx="25">
                  <c:v>-2.5810594630766257</c:v>
                </c:pt>
                <c:pt idx="26">
                  <c:v>-2.5845143865996549</c:v>
                </c:pt>
                <c:pt idx="27">
                  <c:v>-2.5877565139928014</c:v>
                </c:pt>
                <c:pt idx="28">
                  <c:v>-2.5908128300102948</c:v>
                </c:pt>
                <c:pt idx="29">
                  <c:v>-2.5937063185053377</c:v>
                </c:pt>
                <c:pt idx="30">
                  <c:v>-2.5964567120912001</c:v>
                </c:pt>
                <c:pt idx="31">
                  <c:v>-2.599081081724234</c:v>
                </c:pt>
                <c:pt idx="32">
                  <c:v>-2.6015943051053227</c:v>
                </c:pt>
                <c:pt idx="33">
                  <c:v>-2.6066244963886973</c:v>
                </c:pt>
                <c:pt idx="34">
                  <c:v>-2.615850011911844</c:v>
                </c:pt>
                <c:pt idx="35">
                  <c:v>-2.6251161335335711</c:v>
                </c:pt>
                <c:pt idx="36">
                  <c:v>-2.634550418583034</c:v>
                </c:pt>
                <c:pt idx="37">
                  <c:v>-2.644236876892486</c:v>
                </c:pt>
                <c:pt idx="38">
                  <c:v>-2.6542830644454263</c:v>
                </c:pt>
                <c:pt idx="39">
                  <c:v>-2.664853716289882</c:v>
                </c:pt>
                <c:pt idx="40">
                  <c:v>-2.6754414791564409</c:v>
                </c:pt>
                <c:pt idx="41">
                  <c:v>-2.6847882684806001</c:v>
                </c:pt>
                <c:pt idx="42">
                  <c:v>-2.695606244467986</c:v>
                </c:pt>
                <c:pt idx="43">
                  <c:v>-2.7102105223691932</c:v>
                </c:pt>
                <c:pt idx="44">
                  <c:v>-2.7356646546627865</c:v>
                </c:pt>
                <c:pt idx="45">
                  <c:v>-2.7695713713278054</c:v>
                </c:pt>
                <c:pt idx="46">
                  <c:v>-2.8069337401915293</c:v>
                </c:pt>
                <c:pt idx="47">
                  <c:v>-2.8454677267413611</c:v>
                </c:pt>
                <c:pt idx="48">
                  <c:v>-2.8852587636812599</c:v>
                </c:pt>
                <c:pt idx="49">
                  <c:v>-2.9264588250929422</c:v>
                </c:pt>
                <c:pt idx="50">
                  <c:v>-2.9689817247371906</c:v>
                </c:pt>
                <c:pt idx="51">
                  <c:v>-3.0131543924056978</c:v>
                </c:pt>
                <c:pt idx="52">
                  <c:v>-3.0593142521041443</c:v>
                </c:pt>
                <c:pt idx="53">
                  <c:v>-3.1077703461948971</c:v>
                </c:pt>
                <c:pt idx="54">
                  <c:v>3.124353141464705</c:v>
                </c:pt>
                <c:pt idx="55">
                  <c:v>3.070366618635235</c:v>
                </c:pt>
                <c:pt idx="56">
                  <c:v>3.0131264991899336</c:v>
                </c:pt>
                <c:pt idx="57">
                  <c:v>2.95229949536263</c:v>
                </c:pt>
                <c:pt idx="58">
                  <c:v>2.8935772169418277</c:v>
                </c:pt>
                <c:pt idx="59">
                  <c:v>2.8308244272311427</c:v>
                </c:pt>
                <c:pt idx="60">
                  <c:v>2.7630279546109509</c:v>
                </c:pt>
                <c:pt idx="61">
                  <c:v>2.6986778228136119</c:v>
                </c:pt>
                <c:pt idx="62">
                  <c:v>2.6258597467728571</c:v>
                </c:pt>
                <c:pt idx="63">
                  <c:v>2.5566357831107744</c:v>
                </c:pt>
                <c:pt idx="64">
                  <c:v>2.4941095760073173</c:v>
                </c:pt>
                <c:pt idx="65">
                  <c:v>2.4376969662175498</c:v>
                </c:pt>
                <c:pt idx="66">
                  <c:v>2.3870146150892073</c:v>
                </c:pt>
                <c:pt idx="67">
                  <c:v>2.3419174343088098</c:v>
                </c:pt>
                <c:pt idx="68">
                  <c:v>2.3025566323451878</c:v>
                </c:pt>
                <c:pt idx="69">
                  <c:v>2.2694799095356268</c:v>
                </c:pt>
                <c:pt idx="70">
                  <c:v>2.2438221274462506</c:v>
                </c:pt>
                <c:pt idx="71">
                  <c:v>2.2281536083956937</c:v>
                </c:pt>
                <c:pt idx="72">
                  <c:v>2.2219422839581515</c:v>
                </c:pt>
                <c:pt idx="73">
                  <c:v>2.2134752502382886</c:v>
                </c:pt>
                <c:pt idx="74">
                  <c:v>2.2054878354108469</c:v>
                </c:pt>
                <c:pt idx="75">
                  <c:v>2.1979129281635297</c:v>
                </c:pt>
                <c:pt idx="76">
                  <c:v>2.1906927594768399</c:v>
                </c:pt>
                <c:pt idx="77">
                  <c:v>2.1837770242549803</c:v>
                </c:pt>
                <c:pt idx="78">
                  <c:v>2.1771213757686114</c:v>
                </c:pt>
                <c:pt idx="79">
                  <c:v>2.1706861955000609</c:v>
                </c:pt>
                <c:pt idx="80">
                  <c:v>2.164435564216185</c:v>
                </c:pt>
                <c:pt idx="81">
                  <c:v>2.1583363755434362</c:v>
                </c:pt>
                <c:pt idx="82">
                  <c:v>2.1523575430006603</c:v>
                </c:pt>
                <c:pt idx="83">
                  <c:v>2.1464692560786744</c:v>
                </c:pt>
                <c:pt idx="84">
                  <c:v>2.140642240926466</c:v>
                </c:pt>
                <c:pt idx="85">
                  <c:v>2.1348469754516124</c:v>
                </c:pt>
                <c:pt idx="86">
                  <c:v>2.1290527952733695</c:v>
                </c:pt>
                <c:pt idx="87">
                  <c:v>2.1232268012563416</c:v>
                </c:pt>
                <c:pt idx="88">
                  <c:v>2.1173324326343197</c:v>
                </c:pt>
                <c:pt idx="89">
                  <c:v>2.1113274835460052</c:v>
                </c:pt>
                <c:pt idx="90">
                  <c:v>2.105161176570495</c:v>
                </c:pt>
                <c:pt idx="91">
                  <c:v>2.10134748050322</c:v>
                </c:pt>
                <c:pt idx="92">
                  <c:v>2.0975854267533101</c:v>
                </c:pt>
                <c:pt idx="93">
                  <c:v>2.0938619128829421</c:v>
                </c:pt>
                <c:pt idx="94">
                  <c:v>2.0901648791411009</c:v>
                </c:pt>
                <c:pt idx="95">
                  <c:v>2.0864829870676269</c:v>
                </c:pt>
                <c:pt idx="96">
                  <c:v>2.0828053675796969</c:v>
                </c:pt>
                <c:pt idx="97">
                  <c:v>2.0791214135382905</c:v>
                </c:pt>
                <c:pt idx="98">
                  <c:v>2.0754206000388189</c:v>
                </c:pt>
                <c:pt idx="99">
                  <c:v>2.0716923205418936</c:v>
                </c:pt>
                <c:pt idx="100">
                  <c:v>2.0679257297774036</c:v>
                </c:pt>
                <c:pt idx="101">
                  <c:v>2.0354949614348414</c:v>
                </c:pt>
                <c:pt idx="102">
                  <c:v>1.9582056016198812</c:v>
                </c:pt>
                <c:pt idx="103">
                  <c:v>1.8386706121088998</c:v>
                </c:pt>
                <c:pt idx="104">
                  <c:v>1.6681164439954725</c:v>
                </c:pt>
                <c:pt idx="105">
                  <c:v>1.4403539083337114</c:v>
                </c:pt>
                <c:pt idx="106">
                  <c:v>1.1735724425984642</c:v>
                </c:pt>
                <c:pt idx="107">
                  <c:v>0.90523755721888044</c:v>
                </c:pt>
                <c:pt idx="108">
                  <c:v>0.63041438955431683</c:v>
                </c:pt>
                <c:pt idx="109">
                  <c:v>0.42333311341935609</c:v>
                </c:pt>
                <c:pt idx="110">
                  <c:v>0.26022962961466156</c:v>
                </c:pt>
                <c:pt idx="111">
                  <c:v>0.1607985762162123</c:v>
                </c:pt>
                <c:pt idx="112">
                  <c:v>7.78293372730232E-2</c:v>
                </c:pt>
                <c:pt idx="113">
                  <c:v>1.773409869044329E-2</c:v>
                </c:pt>
                <c:pt idx="114">
                  <c:v>-2.5448496379490315E-2</c:v>
                </c:pt>
                <c:pt idx="115">
                  <c:v>-5.4490223235261759E-2</c:v>
                </c:pt>
                <c:pt idx="116">
                  <c:v>-7.6399184037303058E-2</c:v>
                </c:pt>
                <c:pt idx="117">
                  <c:v>-9.5952085843660676E-2</c:v>
                </c:pt>
                <c:pt idx="118">
                  <c:v>-0.11355004917189149</c:v>
                </c:pt>
                <c:pt idx="119">
                  <c:v>-0.1295102261570511</c:v>
                </c:pt>
                <c:pt idx="120">
                  <c:v>-0.14240702930263718</c:v>
                </c:pt>
                <c:pt idx="121">
                  <c:v>-0.15105579312238326</c:v>
                </c:pt>
                <c:pt idx="122">
                  <c:v>-0.15930916354842761</c:v>
                </c:pt>
                <c:pt idx="123">
                  <c:v>-0.16721175644775865</c:v>
                </c:pt>
                <c:pt idx="124">
                  <c:v>-0.17480291768606812</c:v>
                </c:pt>
                <c:pt idx="125">
                  <c:v>-0.17975747809318413</c:v>
                </c:pt>
                <c:pt idx="126">
                  <c:v>-0.18046045932889679</c:v>
                </c:pt>
                <c:pt idx="127">
                  <c:v>-0.18115264090524796</c:v>
                </c:pt>
                <c:pt idx="128">
                  <c:v>-0.18183560427847298</c:v>
                </c:pt>
                <c:pt idx="129">
                  <c:v>-0.18251084534372805</c:v>
                </c:pt>
                <c:pt idx="130">
                  <c:v>-0.18317978536968837</c:v>
                </c:pt>
                <c:pt idx="131">
                  <c:v>-0.18384378041835439</c:v>
                </c:pt>
                <c:pt idx="132">
                  <c:v>-0.18450412926171111</c:v>
                </c:pt>
                <c:pt idx="133">
                  <c:v>-0.18516207975059729</c:v>
                </c:pt>
                <c:pt idx="134">
                  <c:v>-0.18581883351303485</c:v>
                </c:pt>
                <c:pt idx="135">
                  <c:v>-0.186532955717853</c:v>
                </c:pt>
                <c:pt idx="136">
                  <c:v>-0.18761973963820022</c:v>
                </c:pt>
                <c:pt idx="137">
                  <c:v>-0.18871158453529091</c:v>
                </c:pt>
                <c:pt idx="138">
                  <c:v>-0.18981141108144592</c:v>
                </c:pt>
                <c:pt idx="139">
                  <c:v>-0.19092222364330166</c:v>
                </c:pt>
                <c:pt idx="140">
                  <c:v>-0.19204714452876548</c:v>
                </c:pt>
                <c:pt idx="141">
                  <c:v>-0.19318945100457532</c:v>
                </c:pt>
                <c:pt idx="142">
                  <c:v>-0.19435911126917116</c:v>
                </c:pt>
                <c:pt idx="143">
                  <c:v>-0.19555352892402489</c:v>
                </c:pt>
                <c:pt idx="144">
                  <c:v>-0.19677604762703638</c:v>
                </c:pt>
                <c:pt idx="145">
                  <c:v>-0.19803105925298681</c:v>
                </c:pt>
                <c:pt idx="146">
                  <c:v>-0.19932337446988146</c:v>
                </c:pt>
                <c:pt idx="147">
                  <c:v>-0.20065830521271003</c:v>
                </c:pt>
                <c:pt idx="148">
                  <c:v>-0.20204176267977836</c:v>
                </c:pt>
                <c:pt idx="149">
                  <c:v>-0.20348037491539106</c:v>
                </c:pt>
                <c:pt idx="150">
                  <c:v>-0.20498162922327978</c:v>
                </c:pt>
                <c:pt idx="151">
                  <c:v>-0.20655404624784879</c:v>
                </c:pt>
                <c:pt idx="152">
                  <c:v>-0.20820739471178662</c:v>
                </c:pt>
                <c:pt idx="153">
                  <c:v>-0.20995295878135867</c:v>
                </c:pt>
                <c:pt idx="154">
                  <c:v>-0.2118038741696191</c:v>
                </c:pt>
                <c:pt idx="155">
                  <c:v>-0.21377555492343348</c:v>
                </c:pt>
                <c:pt idx="156">
                  <c:v>-0.21588624116884961</c:v>
                </c:pt>
                <c:pt idx="157">
                  <c:v>-0.21815771016507488</c:v>
                </c:pt>
                <c:pt idx="158">
                  <c:v>-0.220616210791448</c:v>
                </c:pt>
                <c:pt idx="159">
                  <c:v>-0.2241976387661051</c:v>
                </c:pt>
                <c:pt idx="160">
                  <c:v>-0.22859071537574494</c:v>
                </c:pt>
                <c:pt idx="161">
                  <c:v>-0.23341461675798228</c:v>
                </c:pt>
                <c:pt idx="162">
                  <c:v>-0.23875288847569021</c:v>
                </c:pt>
                <c:pt idx="163">
                  <c:v>-0.24471201683764932</c:v>
                </c:pt>
                <c:pt idx="164">
                  <c:v>-0.25143007390729899</c:v>
                </c:pt>
                <c:pt idx="165">
                  <c:v>-0.25908962608463071</c:v>
                </c:pt>
                <c:pt idx="166">
                  <c:v>-0.2676764026639793</c:v>
                </c:pt>
                <c:pt idx="167">
                  <c:v>-0.27650979436702355</c:v>
                </c:pt>
                <c:pt idx="168">
                  <c:v>-0.28560918539414182</c:v>
                </c:pt>
                <c:pt idx="169">
                  <c:v>-0.2950810329114999</c:v>
                </c:pt>
                <c:pt idx="170">
                  <c:v>-0.30506338951207823</c:v>
                </c:pt>
                <c:pt idx="171">
                  <c:v>-0.31574386476138816</c:v>
                </c:pt>
                <c:pt idx="172">
                  <c:v>-0.32880705204574845</c:v>
                </c:pt>
                <c:pt idx="173">
                  <c:v>-0.34723326867483095</c:v>
                </c:pt>
                <c:pt idx="174">
                  <c:v>-0.36821516941631671</c:v>
                </c:pt>
                <c:pt idx="175">
                  <c:v>-0.39303547017879392</c:v>
                </c:pt>
                <c:pt idx="176">
                  <c:v>-0.42419725325126478</c:v>
                </c:pt>
                <c:pt idx="177">
                  <c:v>-0.46762844289327443</c:v>
                </c:pt>
                <c:pt idx="178">
                  <c:v>-0.54287057069319811</c:v>
                </c:pt>
                <c:pt idx="179">
                  <c:v>-0.72181600243109312</c:v>
                </c:pt>
                <c:pt idx="180">
                  <c:v>-1.0849721585144554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3.957351709879529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1.5429435507030576E-11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4.8367439749314514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5.8839415261280488</c:v>
                </c:pt>
                <c:pt idx="1">
                  <c:v>3.789546423734854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136525</xdr:colOff>
      <xdr:row>19</xdr:row>
      <xdr:rowOff>43656</xdr:rowOff>
    </xdr:from>
    <xdr:to>
      <xdr:col>30</xdr:col>
      <xdr:colOff>473075</xdr:colOff>
      <xdr:row>34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CK378"/>
  <sheetViews>
    <sheetView tabSelected="1" zoomScale="80" zoomScaleNormal="80" workbookViewId="0">
      <selection activeCell="U2" sqref="U2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7" max="27" width="10.710937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50" bestFit="1" customWidth="1"/>
    <col min="53" max="53" width="19.42578125" style="50" bestFit="1" customWidth="1"/>
    <col min="54" max="54" width="19.140625" style="50" bestFit="1" customWidth="1"/>
    <col min="55" max="56" width="24.28515625" style="50" bestFit="1" customWidth="1"/>
    <col min="57" max="57" width="10.7109375" bestFit="1" customWidth="1"/>
    <col min="58" max="58" width="10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</cols>
  <sheetData>
    <row r="1" spans="1:89" x14ac:dyDescent="0.25">
      <c r="K1" s="8" t="s">
        <v>71</v>
      </c>
      <c r="L1" s="14">
        <v>1.0000000000000001E-9</v>
      </c>
      <c r="P1" s="8" t="s">
        <v>144</v>
      </c>
      <c r="Q1" s="4">
        <v>0.5</v>
      </c>
      <c r="T1" t="s">
        <v>162</v>
      </c>
      <c r="U1" s="4">
        <v>0</v>
      </c>
      <c r="AS1" s="6" t="s">
        <v>111</v>
      </c>
      <c r="AT1" s="6" t="s">
        <v>100</v>
      </c>
      <c r="AU1" s="6" t="s">
        <v>101</v>
      </c>
      <c r="AV1" s="6" t="s">
        <v>112</v>
      </c>
      <c r="AW1" s="6" t="s">
        <v>145</v>
      </c>
      <c r="AX1" s="6" t="s">
        <v>146</v>
      </c>
      <c r="AY1" s="6" t="s">
        <v>147</v>
      </c>
      <c r="BG1" s="46" t="s">
        <v>148</v>
      </c>
      <c r="BW1" t="s">
        <v>113</v>
      </c>
      <c r="CE1" t="s">
        <v>136</v>
      </c>
      <c r="CK1" t="s">
        <v>143</v>
      </c>
    </row>
    <row r="2" spans="1:89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1206</v>
      </c>
      <c r="N2">
        <v>28</v>
      </c>
      <c r="O2">
        <v>1</v>
      </c>
      <c r="AD2" s="8" t="s">
        <v>163</v>
      </c>
      <c r="AE2" s="21">
        <v>180</v>
      </c>
      <c r="AS2">
        <v>0</v>
      </c>
      <c r="AT2">
        <v>250.71326135592187</v>
      </c>
      <c r="AU2">
        <v>-94.789947112701725</v>
      </c>
      <c r="AV2" s="6">
        <f>IF(AS2&lt;&gt;"",IF(AND(AT2=0,AU2=0),0,MOD(ATAN2(AT2,AU2),2*PI())),NA())</f>
        <v>5.921716133445992</v>
      </c>
      <c r="AW2" s="6">
        <f>ABS(AS2-AV2)</f>
        <v>5.921716133445992</v>
      </c>
      <c r="AX2" s="6">
        <f>ATAN2(COS($U$13-AV2),SIN($U$13-AV2))</f>
        <v>-1.0849721585145407</v>
      </c>
      <c r="AY2" s="6">
        <f>ABS(AX2)</f>
        <v>1.0849721585145407</v>
      </c>
      <c r="BE2" s="39"/>
      <c r="BF2" s="39"/>
      <c r="BT2">
        <v>4.8367439749314514</v>
      </c>
      <c r="BW2" s="1" t="s">
        <v>114</v>
      </c>
      <c r="BX2" s="1" t="s">
        <v>33</v>
      </c>
      <c r="BY2" s="1" t="s">
        <v>115</v>
      </c>
      <c r="BZ2" s="1" t="s">
        <v>116</v>
      </c>
      <c r="CA2" s="1" t="s">
        <v>117</v>
      </c>
      <c r="CB2" s="1" t="s">
        <v>118</v>
      </c>
      <c r="CE2" s="1" t="s">
        <v>137</v>
      </c>
      <c r="CF2">
        <v>3.1415926535897931</v>
      </c>
    </row>
    <row r="3" spans="1:89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>
        <v>3.4906585039886591E-2</v>
      </c>
      <c r="AT3">
        <v>248.6831343417781</v>
      </c>
      <c r="AU3">
        <v>15.323578553872437</v>
      </c>
      <c r="AV3" s="6">
        <f t="shared" ref="AV3:AV66" si="0">IF(AS3&lt;&gt;"",IF(AND(AT3=0,AU3=0),0,MOD(ATAN2(AT3,AU3),2*PI())),NA())</f>
        <v>6.1541079932165475E-2</v>
      </c>
      <c r="AW3" s="6">
        <f t="shared" ref="AW3:AW66" si="1">ABS(AS3-AV3)</f>
        <v>2.6634494892278884E-2</v>
      </c>
      <c r="AX3" s="6">
        <f t="shared" ref="AX3:AX66" si="2">ATAN2(COS($U$13-AV3),SIN($U$13-AV3))</f>
        <v>-1.5079824121803009</v>
      </c>
      <c r="AY3" s="6">
        <f t="shared" ref="AY3:AY66" si="3">ABS(AX3)</f>
        <v>1.5079824121803009</v>
      </c>
      <c r="BE3" s="39"/>
      <c r="BF3" s="39"/>
      <c r="BG3" t="s">
        <v>149</v>
      </c>
      <c r="CE3" t="s">
        <v>138</v>
      </c>
      <c r="CF3" t="s">
        <v>139</v>
      </c>
      <c r="CG3" t="s">
        <v>141</v>
      </c>
      <c r="CH3" t="s">
        <v>142</v>
      </c>
      <c r="CI3" t="s">
        <v>140</v>
      </c>
    </row>
    <row r="4" spans="1:89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99.99999999936702</v>
      </c>
      <c r="V4" s="17" t="s">
        <v>68</v>
      </c>
      <c r="W4" s="31">
        <f ca="1">U4-U10</f>
        <v>-6.3297989072452765E-10</v>
      </c>
      <c r="X4" cm="1">
        <f t="array" ref="X4">MAX(ABS(E3:F11))+10</f>
        <v>46</v>
      </c>
      <c r="Y4">
        <f>X4</f>
        <v>46</v>
      </c>
      <c r="AA4" t="s">
        <v>8</v>
      </c>
      <c r="AB4" t="s">
        <v>9</v>
      </c>
      <c r="AS4">
        <v>6.9813170079773182E-2</v>
      </c>
      <c r="AT4">
        <v>244.48261556457169</v>
      </c>
      <c r="AU4">
        <v>101.86442608069498</v>
      </c>
      <c r="AV4" s="6">
        <f t="shared" si="0"/>
        <v>0.39477951251506732</v>
      </c>
      <c r="AW4" s="6">
        <f t="shared" si="1"/>
        <v>0.32496634243529415</v>
      </c>
      <c r="AX4" s="6">
        <f t="shared" si="2"/>
        <v>-1.8412208447632026</v>
      </c>
      <c r="AY4" s="6">
        <f t="shared" si="3"/>
        <v>1.8412208447632026</v>
      </c>
      <c r="BE4" s="39"/>
      <c r="BF4" s="39"/>
      <c r="BG4" s="1" t="s">
        <v>100</v>
      </c>
      <c r="BH4" s="1" t="s">
        <v>101</v>
      </c>
    </row>
    <row r="5" spans="1:89" x14ac:dyDescent="0.25">
      <c r="A5" s="8" t="s">
        <v>5</v>
      </c>
      <c r="B5" s="45">
        <v>12</v>
      </c>
      <c r="C5" t="s">
        <v>4</v>
      </c>
      <c r="E5" s="5">
        <f>E4</f>
        <v>12</v>
      </c>
      <c r="F5">
        <f>(B8-B9)</f>
        <v>16</v>
      </c>
      <c r="G5">
        <f t="shared" ref="G5:G11" si="4">((E4*F5)-(E5*F4))*0.5</f>
        <v>96</v>
      </c>
      <c r="T5" s="27" t="s">
        <v>77</v>
      </c>
      <c r="U5" s="10">
        <f ca="1">U3*B79*(1/12)</f>
        <v>55.170830257488184</v>
      </c>
      <c r="V5" s="17" t="s">
        <v>70</v>
      </c>
      <c r="W5" s="32"/>
      <c r="X5">
        <f>X4</f>
        <v>46</v>
      </c>
      <c r="Y5">
        <f>X5</f>
        <v>46</v>
      </c>
      <c r="AA5">
        <v>0</v>
      </c>
      <c r="AB5">
        <v>0</v>
      </c>
      <c r="AS5">
        <v>0.10471975511965978</v>
      </c>
      <c r="AT5">
        <v>240.81542019561448</v>
      </c>
      <c r="AU5">
        <v>158.05859510969373</v>
      </c>
      <c r="AV5" s="6">
        <f t="shared" si="0"/>
        <v>0.58082448937982234</v>
      </c>
      <c r="AW5" s="6">
        <f t="shared" si="1"/>
        <v>0.47610473426016253</v>
      </c>
      <c r="AX5" s="6">
        <f t="shared" si="2"/>
        <v>-2.0272658216279575</v>
      </c>
      <c r="AY5" s="6">
        <f t="shared" si="3"/>
        <v>2.0272658216279575</v>
      </c>
      <c r="BE5" s="39"/>
      <c r="BF5" s="39"/>
      <c r="BG5">
        <f ca="1">B132</f>
        <v>37.738665490475874</v>
      </c>
      <c r="BH5">
        <f ca="1">B133</f>
        <v>8.3704147259712354</v>
      </c>
    </row>
    <row r="6" spans="1:89" x14ac:dyDescent="0.25">
      <c r="A6" s="8" t="s">
        <v>92</v>
      </c>
      <c r="B6" s="45">
        <v>8</v>
      </c>
      <c r="C6" t="s">
        <v>4</v>
      </c>
      <c r="E6" s="5">
        <f>B7+B5</f>
        <v>36</v>
      </c>
      <c r="F6">
        <f>F5</f>
        <v>16</v>
      </c>
      <c r="G6">
        <f t="shared" si="4"/>
        <v>-192</v>
      </c>
      <c r="T6" s="27" t="s">
        <v>76</v>
      </c>
      <c r="U6" s="10">
        <f ca="1">U3*B80*(1/12)</f>
        <v>-441.3666421152368</v>
      </c>
      <c r="V6" s="17" t="s">
        <v>70</v>
      </c>
      <c r="W6" s="31">
        <f t="shared" ref="W6" ca="1" si="5">U6</f>
        <v>-441.3666421152368</v>
      </c>
      <c r="X6">
        <f>IF(B6=0,0,-1*X5)</f>
        <v>-46</v>
      </c>
      <c r="Y6">
        <f>IF(B6=0,0,Y5)</f>
        <v>46</v>
      </c>
      <c r="AA6">
        <f>U14</f>
        <v>403.11288741492746</v>
      </c>
      <c r="AB6">
        <f>U10</f>
        <v>100</v>
      </c>
      <c r="AS6">
        <v>0.13962634015954636</v>
      </c>
      <c r="AT6">
        <v>237.62883057233591</v>
      </c>
      <c r="AU6">
        <v>198.65785246947979</v>
      </c>
      <c r="AV6" s="6">
        <f t="shared" si="0"/>
        <v>0.69631035596807178</v>
      </c>
      <c r="AW6" s="6">
        <f t="shared" si="1"/>
        <v>0.55668401580852545</v>
      </c>
      <c r="AX6" s="6">
        <f t="shared" si="2"/>
        <v>-2.1427516882162063</v>
      </c>
      <c r="AY6" s="6">
        <f t="shared" si="3"/>
        <v>2.1427516882162063</v>
      </c>
      <c r="BE6" s="39"/>
      <c r="BF6" s="39"/>
    </row>
    <row r="7" spans="1:89" ht="15.75" thickBot="1" x14ac:dyDescent="0.3">
      <c r="A7" s="8" t="s">
        <v>91</v>
      </c>
      <c r="B7" s="45">
        <v>24</v>
      </c>
      <c r="C7" t="s">
        <v>4</v>
      </c>
      <c r="E7" s="5">
        <f>E6</f>
        <v>36</v>
      </c>
      <c r="F7">
        <f>B8</f>
        <v>24</v>
      </c>
      <c r="G7">
        <f t="shared" si="4"/>
        <v>144</v>
      </c>
      <c r="T7" s="28" t="s">
        <v>96</v>
      </c>
      <c r="U7" s="29">
        <f ca="1">IF(AND(U5=0,U6=0),0,MOD(ATAN2(U5,U6),2*PI()))</f>
        <v>4.8367439749160219</v>
      </c>
      <c r="V7" s="18" t="s">
        <v>97</v>
      </c>
      <c r="W7" s="33">
        <f ca="1">IF((U13-U7)=0,0,ATAN2(COS(U13-U7),SIN(U13-U7)))</f>
        <v>1.5429435507030576E-11</v>
      </c>
      <c r="X7" s="39">
        <f ca="1">U7+2*PI()</f>
        <v>11.119929282095608</v>
      </c>
      <c r="AA7">
        <f ca="1">U8</f>
        <v>444.80145377840222</v>
      </c>
      <c r="AB7" s="9">
        <f ca="1">U4</f>
        <v>99.99999999936702</v>
      </c>
      <c r="AS7">
        <v>0.17453292519943295</v>
      </c>
      <c r="AT7">
        <v>234.53739619001922</v>
      </c>
      <c r="AU7">
        <v>232.16670162096275</v>
      </c>
      <c r="AV7" s="6">
        <f t="shared" si="0"/>
        <v>0.78031855473266098</v>
      </c>
      <c r="AW7" s="6">
        <f t="shared" si="1"/>
        <v>0.60578562953322801</v>
      </c>
      <c r="AX7" s="6">
        <f t="shared" si="2"/>
        <v>-2.2267598869807959</v>
      </c>
      <c r="AY7" s="6">
        <f t="shared" si="3"/>
        <v>2.2267598869807959</v>
      </c>
      <c r="BE7" s="39"/>
      <c r="BF7" s="39"/>
      <c r="BG7" t="s">
        <v>150</v>
      </c>
    </row>
    <row r="8" spans="1:89" ht="15.75" thickBot="1" x14ac:dyDescent="0.3">
      <c r="A8" s="8" t="s">
        <v>6</v>
      </c>
      <c r="B8" s="7">
        <v>24</v>
      </c>
      <c r="C8" t="s">
        <v>4</v>
      </c>
      <c r="E8" s="5">
        <f>E7-(B7+B6+B5)</f>
        <v>-8</v>
      </c>
      <c r="F8">
        <f>F7</f>
        <v>24</v>
      </c>
      <c r="G8">
        <f t="shared" si="4"/>
        <v>528</v>
      </c>
      <c r="T8" s="37" t="s">
        <v>109</v>
      </c>
      <c r="U8" s="6">
        <f ca="1">SQRT(POWER(U5,2)+POWER(U6,2))</f>
        <v>444.80145377840222</v>
      </c>
      <c r="V8" s="41" t="s">
        <v>70</v>
      </c>
      <c r="X8">
        <f ca="1">DEGREES(U7)</f>
        <v>277.12501634801777</v>
      </c>
      <c r="AS8">
        <v>0.20943951023931953</v>
      </c>
      <c r="AT8">
        <v>231.41199385809378</v>
      </c>
      <c r="AU8">
        <v>261.53921859855541</v>
      </c>
      <c r="AV8" s="6">
        <f t="shared" si="0"/>
        <v>0.846438277952692</v>
      </c>
      <c r="AW8" s="6">
        <f t="shared" si="1"/>
        <v>0.63699876771337249</v>
      </c>
      <c r="AX8" s="6">
        <f t="shared" si="2"/>
        <v>-2.2928796102008269</v>
      </c>
      <c r="AY8" s="6">
        <f t="shared" si="3"/>
        <v>2.2928796102008269</v>
      </c>
      <c r="BE8" s="39"/>
      <c r="BF8" s="39"/>
      <c r="BG8" s="1" t="s">
        <v>100</v>
      </c>
      <c r="BH8" s="1" t="s">
        <v>101</v>
      </c>
      <c r="BO8" t="s">
        <v>100</v>
      </c>
      <c r="BP8" t="s">
        <v>101</v>
      </c>
      <c r="BQ8" s="1" t="s">
        <v>155</v>
      </c>
      <c r="BR8" s="1" t="s">
        <v>156</v>
      </c>
      <c r="BS8" s="1" t="s">
        <v>157</v>
      </c>
      <c r="BT8" s="1" t="s">
        <v>158</v>
      </c>
      <c r="BU8" s="1" t="s">
        <v>159</v>
      </c>
      <c r="BV8" s="1"/>
      <c r="BX8" s="1" t="s">
        <v>155</v>
      </c>
      <c r="BY8" s="1" t="s">
        <v>156</v>
      </c>
      <c r="BZ8" s="1" t="s">
        <v>157</v>
      </c>
      <c r="CA8" s="1" t="s">
        <v>158</v>
      </c>
    </row>
    <row r="9" spans="1:89" x14ac:dyDescent="0.25">
      <c r="A9" s="8" t="s">
        <v>7</v>
      </c>
      <c r="B9" s="7">
        <v>8</v>
      </c>
      <c r="C9" t="s">
        <v>4</v>
      </c>
      <c r="E9" s="5">
        <f>E8</f>
        <v>-8</v>
      </c>
      <c r="F9">
        <f>F6</f>
        <v>16</v>
      </c>
      <c r="G9">
        <f t="shared" si="4"/>
        <v>32</v>
      </c>
      <c r="T9" s="35" t="s">
        <v>98</v>
      </c>
      <c r="U9" s="36"/>
      <c r="V9" s="16"/>
      <c r="AA9" s="9">
        <f ca="1">U5-U11</f>
        <v>5.1708302574881841</v>
      </c>
      <c r="AB9" s="9">
        <f ca="1">U6-U12</f>
        <v>-41.3666421152368</v>
      </c>
      <c r="AC9" s="9">
        <f ca="1">AA9+AB9</f>
        <v>-36.195811857748616</v>
      </c>
      <c r="AS9">
        <v>0.24434609527920612</v>
      </c>
      <c r="AT9">
        <v>228.36151339975243</v>
      </c>
      <c r="AU9">
        <v>280.56468070640187</v>
      </c>
      <c r="AV9" s="6">
        <f t="shared" si="0"/>
        <v>0.8876157878841161</v>
      </c>
      <c r="AW9" s="6">
        <f t="shared" si="1"/>
        <v>0.64326969260490996</v>
      </c>
      <c r="AX9" s="6">
        <f t="shared" si="2"/>
        <v>-2.3340571201322509</v>
      </c>
      <c r="AY9" s="6">
        <f t="shared" si="3"/>
        <v>2.3340571201322509</v>
      </c>
      <c r="BE9" s="39"/>
      <c r="BF9" s="39" t="s">
        <v>151</v>
      </c>
      <c r="BG9">
        <f ca="1">(U11-BG5)</f>
        <v>12.261334509524126</v>
      </c>
      <c r="BH9">
        <f ca="1">(U12 -BH5)</f>
        <v>-408.37041472597122</v>
      </c>
      <c r="BO9" s="9">
        <f ca="1">U5-BG5</f>
        <v>17.43216476701231</v>
      </c>
      <c r="BP9" s="9">
        <f ca="1">U6-BH5</f>
        <v>-449.73705684120802</v>
      </c>
      <c r="BQ9">
        <f ca="1">SQRT(POWER(BO9,2)+POWER(BP9,2))</f>
        <v>450.07477230417641</v>
      </c>
      <c r="BR9">
        <f ca="1">BO9/BQ9</f>
        <v>3.8731708239872278E-2</v>
      </c>
      <c r="BS9">
        <f ca="1">BP9/BQ9</f>
        <v>-0.99924964587275256</v>
      </c>
      <c r="BT9">
        <f ca="1">ATAN2(BR9,BS9)</f>
        <v>-1.5320549281474227</v>
      </c>
      <c r="BU9" s="39">
        <f ca="1">BT9-BJ11</f>
        <v>8.7253849551767182E-3</v>
      </c>
      <c r="BV9" s="9">
        <f ca="1">BO9+$BG$5</f>
        <v>55.170830257488184</v>
      </c>
      <c r="BW9" s="9">
        <f ca="1">BP9+$BH$5</f>
        <v>-441.3666421152368</v>
      </c>
      <c r="BX9">
        <f ca="1">SQRT(POWER(BV9,2)+POWER(BW9,2))</f>
        <v>444.80145377840222</v>
      </c>
      <c r="BY9">
        <f ca="1">BV9/BX9</f>
        <v>0.12403473457389824</v>
      </c>
      <c r="BZ9">
        <f ca="1">BW9/BX9</f>
        <v>-0.99227787671558143</v>
      </c>
      <c r="CA9">
        <f ca="1">ATAN2(BY9,BZ9)</f>
        <v>-1.4464413322635645</v>
      </c>
      <c r="CB9" s="39">
        <f ca="1">CA9-$U$13</f>
        <v>-6.2831853071950157</v>
      </c>
    </row>
    <row r="10" spans="1:89" x14ac:dyDescent="0.25">
      <c r="E10">
        <v>0</v>
      </c>
      <c r="F10">
        <f>F9</f>
        <v>16</v>
      </c>
      <c r="G10">
        <f t="shared" si="4"/>
        <v>-64</v>
      </c>
      <c r="T10" s="37" t="s">
        <v>99</v>
      </c>
      <c r="U10" s="48">
        <v>100</v>
      </c>
      <c r="V10" s="17" t="s">
        <v>68</v>
      </c>
      <c r="W10" t="str">
        <f>"+ Compression"</f>
        <v>+ Compression</v>
      </c>
      <c r="AS10">
        <v>0.27925268031909273</v>
      </c>
      <c r="AT10">
        <v>225.30681205586498</v>
      </c>
      <c r="AU10">
        <v>296.88591752337152</v>
      </c>
      <c r="AV10" s="6">
        <f t="shared" si="0"/>
        <v>0.92162331786907115</v>
      </c>
      <c r="AW10" s="6">
        <f t="shared" si="1"/>
        <v>0.64237063754997847</v>
      </c>
      <c r="AX10" s="6">
        <f t="shared" si="2"/>
        <v>-2.3680646501172058</v>
      </c>
      <c r="AY10" s="6">
        <f t="shared" si="3"/>
        <v>2.3680646501172058</v>
      </c>
      <c r="BE10" s="39"/>
      <c r="BF10" s="39" t="s">
        <v>152</v>
      </c>
      <c r="BG10">
        <f ca="1">SQRT(POWER(BG9,2)+POWER(BH9,2))</f>
        <v>408.55444673558037</v>
      </c>
      <c r="BJ10" s="1" t="s">
        <v>158</v>
      </c>
    </row>
    <row r="11" spans="1:89" x14ac:dyDescent="0.25">
      <c r="A11" t="s">
        <v>10</v>
      </c>
      <c r="E11">
        <v>0</v>
      </c>
      <c r="F11">
        <v>0</v>
      </c>
      <c r="G11">
        <f t="shared" si="4"/>
        <v>0</v>
      </c>
      <c r="T11" s="37" t="s">
        <v>100</v>
      </c>
      <c r="U11" s="48">
        <v>50</v>
      </c>
      <c r="V11" s="17" t="s">
        <v>70</v>
      </c>
      <c r="W11" t="str">
        <f>"+ Puts Top of Section in Compression"</f>
        <v>+ Puts Top of Section in Compression</v>
      </c>
      <c r="AS11">
        <v>0.31415926535897931</v>
      </c>
      <c r="AT11">
        <v>222.20746039603296</v>
      </c>
      <c r="AU11">
        <v>311.90500362683122</v>
      </c>
      <c r="AV11" s="6">
        <f t="shared" si="0"/>
        <v>0.95178312890650996</v>
      </c>
      <c r="AW11" s="6">
        <f t="shared" si="1"/>
        <v>0.63762386354753064</v>
      </c>
      <c r="AX11" s="6">
        <f t="shared" si="2"/>
        <v>-2.398224461154645</v>
      </c>
      <c r="AY11" s="6">
        <f t="shared" si="3"/>
        <v>2.398224461154645</v>
      </c>
      <c r="BE11" s="39"/>
      <c r="BF11" s="39" t="s">
        <v>153</v>
      </c>
      <c r="BG11">
        <f ca="1">BG9/BG10</f>
        <v>3.0011506685324998E-2</v>
      </c>
      <c r="BH11">
        <f ca="1">BH9/BG10</f>
        <v>-0.99954955328211548</v>
      </c>
      <c r="BJ11">
        <f ca="1">ATAN2(BG11,BH11)</f>
        <v>-1.5407803131025994</v>
      </c>
      <c r="BO11" s="9"/>
      <c r="BP11" s="9"/>
    </row>
    <row r="12" spans="1:89" x14ac:dyDescent="0.25">
      <c r="A12" s="8" t="s">
        <v>11</v>
      </c>
      <c r="B12" s="2">
        <v>60</v>
      </c>
      <c r="C12" t="s">
        <v>1</v>
      </c>
      <c r="G12">
        <f>SUM(G4:G11)</f>
        <v>544</v>
      </c>
      <c r="T12" s="37" t="s">
        <v>101</v>
      </c>
      <c r="U12" s="48">
        <v>-400</v>
      </c>
      <c r="V12" s="17" t="s">
        <v>70</v>
      </c>
      <c r="W12" t="str">
        <f>"+ Puts Left of Section in Compression"</f>
        <v>+ Puts Left of Section in Compression</v>
      </c>
      <c r="AS12">
        <v>0.3490658503988659</v>
      </c>
      <c r="AT12">
        <v>219.04329788636565</v>
      </c>
      <c r="AU12">
        <v>325.95517317911856</v>
      </c>
      <c r="AV12" s="6">
        <f t="shared" si="0"/>
        <v>0.97910749431145006</v>
      </c>
      <c r="AW12" s="6">
        <f t="shared" si="1"/>
        <v>0.63004164391258421</v>
      </c>
      <c r="AX12" s="6">
        <f t="shared" si="2"/>
        <v>-2.4255488265595848</v>
      </c>
      <c r="AY12" s="6">
        <f t="shared" si="3"/>
        <v>2.4255488265595848</v>
      </c>
      <c r="BE12" s="39"/>
      <c r="BF12" s="39"/>
      <c r="BV12" t="s">
        <v>160</v>
      </c>
      <c r="BX12" s="1" t="s">
        <v>155</v>
      </c>
      <c r="BY12" s="1" t="s">
        <v>156</v>
      </c>
      <c r="BZ12" s="1" t="s">
        <v>157</v>
      </c>
      <c r="CA12" s="1" t="s">
        <v>158</v>
      </c>
    </row>
    <row r="13" spans="1:89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IF(AND(U11=0,U12=0),0,MOD(ATAN2(U11,U12),2*PI()))</f>
        <v>4.8367439749314514</v>
      </c>
      <c r="V13" s="18" t="s">
        <v>97</v>
      </c>
      <c r="X13" s="39"/>
      <c r="Y13" s="9"/>
      <c r="AA13" s="49"/>
      <c r="AS13">
        <v>0.38397243543875248</v>
      </c>
      <c r="AT13">
        <v>215.79736523039907</v>
      </c>
      <c r="AU13">
        <v>339.26855560234151</v>
      </c>
      <c r="AV13" s="6">
        <f t="shared" si="0"/>
        <v>1.0042786236483323</v>
      </c>
      <c r="AW13" s="6">
        <f t="shared" si="1"/>
        <v>0.62030618820957983</v>
      </c>
      <c r="AX13" s="6">
        <f t="shared" si="2"/>
        <v>-2.4507199558964672</v>
      </c>
      <c r="AY13" s="6">
        <f t="shared" si="3"/>
        <v>2.4507199558964672</v>
      </c>
      <c r="BE13" s="39"/>
      <c r="BF13" s="39"/>
      <c r="BG13" t="s">
        <v>154</v>
      </c>
      <c r="BV13">
        <f ca="1">BG5</f>
        <v>37.738665490475874</v>
      </c>
      <c r="BW13">
        <f ca="1">BH5</f>
        <v>8.3704147259712354</v>
      </c>
      <c r="BX13">
        <f ca="1">SQRT(POWER(BV13,2)+POWER(BW13,2))</f>
        <v>38.655797956927373</v>
      </c>
      <c r="BY13">
        <f ca="1">BV13/BX13</f>
        <v>0.97627438793338528</v>
      </c>
      <c r="BZ13">
        <f ca="1">BW13/BX13</f>
        <v>0.21653710874881066</v>
      </c>
      <c r="CA13">
        <f ca="1">ATAN2(BY13,BZ13)</f>
        <v>0.21826601954225622</v>
      </c>
    </row>
    <row r="14" spans="1:89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2" t="s">
        <v>109</v>
      </c>
      <c r="U14" s="43">
        <f>SQRT(POWER(U11,2)+POWER(U12,2))</f>
        <v>403.11288741492746</v>
      </c>
      <c r="V14" s="44" t="s">
        <v>70</v>
      </c>
      <c r="Y14" s="9"/>
      <c r="AA14" s="49"/>
      <c r="AS14">
        <v>0.41887902047863906</v>
      </c>
      <c r="AT14">
        <v>212.45399324272546</v>
      </c>
      <c r="AU14">
        <v>352.01591419101339</v>
      </c>
      <c r="AV14" s="6">
        <f t="shared" si="0"/>
        <v>1.0277814724610919</v>
      </c>
      <c r="AW14" s="6">
        <f t="shared" si="1"/>
        <v>0.60890245198245285</v>
      </c>
      <c r="AX14" s="6">
        <f t="shared" si="2"/>
        <v>-2.4742228047092265</v>
      </c>
      <c r="AY14" s="6">
        <f t="shared" si="3"/>
        <v>2.4742228047092265</v>
      </c>
      <c r="BE14" s="39"/>
      <c r="BF14" s="39"/>
      <c r="BG14" t="s">
        <v>111</v>
      </c>
      <c r="BH14" s="1" t="s">
        <v>100</v>
      </c>
      <c r="BI14" s="1" t="s">
        <v>101</v>
      </c>
      <c r="BJ14" s="1" t="s">
        <v>155</v>
      </c>
      <c r="BK14" s="1" t="s">
        <v>156</v>
      </c>
      <c r="BL14" s="1" t="s">
        <v>157</v>
      </c>
      <c r="BM14" s="1" t="s">
        <v>158</v>
      </c>
      <c r="BN14" s="1" t="s">
        <v>159</v>
      </c>
      <c r="BO14" s="1"/>
      <c r="BQ14" s="1" t="s">
        <v>155</v>
      </c>
      <c r="BR14" s="1" t="s">
        <v>156</v>
      </c>
      <c r="BS14" s="1" t="s">
        <v>157</v>
      </c>
      <c r="BT14" s="1" t="s">
        <v>158</v>
      </c>
      <c r="BV14" s="1"/>
      <c r="BW14" s="1"/>
      <c r="BX14" s="1"/>
      <c r="BY14" s="1"/>
      <c r="BZ14" s="1"/>
    </row>
    <row r="15" spans="1:89" x14ac:dyDescent="0.25">
      <c r="A15">
        <v>1</v>
      </c>
      <c r="B15" s="20">
        <v>0</v>
      </c>
      <c r="C15" s="6">
        <f ca="1">OFFSET($G$14,MATCH(B15,$G$14:$G$29,0)-1,2)</f>
        <v>0</v>
      </c>
      <c r="D15" s="2">
        <v>-21</v>
      </c>
      <c r="E15" s="2">
        <v>22</v>
      </c>
      <c r="G15" s="1">
        <v>3</v>
      </c>
      <c r="H15" s="6">
        <v>0.375</v>
      </c>
      <c r="I15" s="6">
        <v>0.11</v>
      </c>
      <c r="K15" s="1" t="e">
        <f t="shared" ref="K15:K24" si="6">IF($B15=0,NA(),D15)</f>
        <v>#N/A</v>
      </c>
      <c r="L15" s="1" t="e">
        <f t="shared" ref="L15:L24" si="7">IF($B15=0,NA(),E15)</f>
        <v>#N/A</v>
      </c>
      <c r="T15" s="38" t="s">
        <v>103</v>
      </c>
      <c r="U15" s="6">
        <f>SQRT(POWER(U12,2)+POWER(U11,2)+POWER(U10,2))</f>
        <v>415.33119314590374</v>
      </c>
      <c r="Y15" s="9"/>
      <c r="AA15" s="9"/>
      <c r="AS15">
        <v>0.45378560551852565</v>
      </c>
      <c r="AT15">
        <v>209.08376375098857</v>
      </c>
      <c r="AU15">
        <v>364.08943747198259</v>
      </c>
      <c r="AV15" s="6">
        <f t="shared" si="0"/>
        <v>1.0495147122781674</v>
      </c>
      <c r="AW15" s="6">
        <f t="shared" si="1"/>
        <v>0.59572910675964175</v>
      </c>
      <c r="AX15" s="6">
        <f t="shared" si="2"/>
        <v>-2.4959560445263023</v>
      </c>
      <c r="AY15" s="6">
        <f t="shared" si="3"/>
        <v>2.4959560445263023</v>
      </c>
      <c r="BE15" s="39"/>
      <c r="BF15" s="39"/>
      <c r="BG15" s="6">
        <f>AS2</f>
        <v>0</v>
      </c>
      <c r="BH15" s="9">
        <f ca="1">AT2-$BG$5</f>
        <v>212.97459586544599</v>
      </c>
      <c r="BI15" s="9">
        <f ca="1">AU2-$BH$5</f>
        <v>-103.16036183867296</v>
      </c>
      <c r="BJ15">
        <f ca="1">SQRT(POWER(BH15,2)+POWER(BI15,2))</f>
        <v>236.64369575109322</v>
      </c>
      <c r="BK15" s="6">
        <f t="shared" ref="BK15" ca="1" si="8">BH15/BJ15</f>
        <v>0.89998001083222234</v>
      </c>
      <c r="BL15" s="6">
        <f t="shared" ref="BL15" ca="1" si="9">BI15/BJ15</f>
        <v>-0.43593116440836516</v>
      </c>
      <c r="BM15" s="6">
        <f t="shared" ref="BM15" ca="1" si="10">ATAN2(BK15,BL15)</f>
        <v>-0.4510726679213774</v>
      </c>
      <c r="BN15" s="6">
        <f ca="1">BM15-$BJ$11</f>
        <v>1.089707645181222</v>
      </c>
      <c r="BO15" s="9">
        <f ca="1">BH15+$BG$5</f>
        <v>250.71326135592187</v>
      </c>
      <c r="BP15" s="9">
        <f ca="1">BI15+$BH$5</f>
        <v>-94.789947112701725</v>
      </c>
      <c r="BQ15">
        <f ca="1">SQRT(POWER(BO15,2)+POWER(BP15,2))</f>
        <v>268.0340901701714</v>
      </c>
      <c r="BR15">
        <f ca="1">BO15/BQ15</f>
        <v>0.93537826176046202</v>
      </c>
      <c r="BS15">
        <f ca="1">BP15/BQ15</f>
        <v>-0.35364884762427351</v>
      </c>
      <c r="BT15">
        <f ca="1">ATAN2(BR15,BS15)</f>
        <v>-0.36146917373359461</v>
      </c>
      <c r="BU15" s="39">
        <f ca="1">BT15-$U$13</f>
        <v>-5.1982131486650456</v>
      </c>
      <c r="BV15" s="9" t="s">
        <v>161</v>
      </c>
      <c r="BW15" s="9"/>
      <c r="BX15" s="1" t="s">
        <v>155</v>
      </c>
      <c r="BY15" s="1" t="s">
        <v>156</v>
      </c>
      <c r="BZ15" s="1" t="s">
        <v>157</v>
      </c>
      <c r="CA15" s="1" t="s">
        <v>158</v>
      </c>
    </row>
    <row r="16" spans="1:89" x14ac:dyDescent="0.25">
      <c r="A16">
        <v>2</v>
      </c>
      <c r="B16" s="20">
        <v>0</v>
      </c>
      <c r="C16" s="6">
        <f t="shared" ref="C16:C24" ca="1" si="11">OFFSET($G$14,MATCH(B16,$G$14:$G$29,0)-1,2)</f>
        <v>0</v>
      </c>
      <c r="D16" s="2">
        <v>-11</v>
      </c>
      <c r="E16" s="2">
        <v>22</v>
      </c>
      <c r="G16" s="1">
        <v>4</v>
      </c>
      <c r="H16" s="6">
        <v>0.5</v>
      </c>
      <c r="I16" s="6">
        <v>0.2</v>
      </c>
      <c r="K16" s="1" t="e">
        <f t="shared" si="6"/>
        <v>#N/A</v>
      </c>
      <c r="L16" s="1" t="e">
        <f t="shared" si="7"/>
        <v>#N/A</v>
      </c>
      <c r="T16" s="38" t="s">
        <v>104</v>
      </c>
      <c r="U16" s="40">
        <f>U10/U15</f>
        <v>0.2407717061715384</v>
      </c>
      <c r="V16" s="40">
        <f>U11/U15</f>
        <v>0.1203858530857692</v>
      </c>
      <c r="W16" s="40">
        <f>U12/U15</f>
        <v>-0.96308682468615359</v>
      </c>
      <c r="X16" s="39"/>
      <c r="Y16" s="9"/>
      <c r="AA16" s="9"/>
      <c r="AS16">
        <v>0.48869219055841223</v>
      </c>
      <c r="AT16">
        <v>206.16560561962319</v>
      </c>
      <c r="AU16">
        <v>373.38374396755967</v>
      </c>
      <c r="AV16" s="6">
        <f t="shared" si="0"/>
        <v>1.0663003070935964</v>
      </c>
      <c r="AW16" s="6">
        <f t="shared" si="1"/>
        <v>0.57760811653518407</v>
      </c>
      <c r="AX16" s="6">
        <f t="shared" si="2"/>
        <v>-2.5127416393417312</v>
      </c>
      <c r="AY16" s="6">
        <f t="shared" si="3"/>
        <v>2.5127416393417312</v>
      </c>
      <c r="BE16" s="39"/>
      <c r="BF16" s="39"/>
      <c r="BG16" s="6">
        <f t="shared" ref="BG16:BG79" si="12">AS3</f>
        <v>3.4906585039886591E-2</v>
      </c>
      <c r="BH16" s="9">
        <f t="shared" ref="BH16:BH79" ca="1" si="13">AT3-$BG$5</f>
        <v>210.94446885130222</v>
      </c>
      <c r="BI16" s="9">
        <f t="shared" ref="BI16:BI79" ca="1" si="14">AU3-$BH$5</f>
        <v>6.9531638279012018</v>
      </c>
      <c r="BJ16">
        <f t="shared" ref="BJ16:BJ79" ca="1" si="15">SQRT(POWER(BH16,2)+POWER(BI16,2))</f>
        <v>211.05903303619974</v>
      </c>
      <c r="BK16" s="6">
        <f t="shared" ref="BK16:BK79" ca="1" si="16">BH16/BJ16</f>
        <v>0.99945719364270058</v>
      </c>
      <c r="BL16" s="6">
        <f t="shared" ref="BL16:BL79" ca="1" si="17">BI16/BJ16</f>
        <v>3.2944166036753479E-2</v>
      </c>
      <c r="BM16" s="6">
        <f t="shared" ref="BM16:BM79" ca="1" si="18">ATAN2(BK16,BL16)</f>
        <v>3.2950128098858535E-2</v>
      </c>
      <c r="BN16" s="6">
        <f t="shared" ref="BN16:BN79" ca="1" si="19">BM16-$BJ$11</f>
        <v>1.5737304412014579</v>
      </c>
      <c r="BO16" s="9">
        <f t="shared" ref="BO16:BO79" ca="1" si="20">BH16+$BG$5</f>
        <v>248.6831343417781</v>
      </c>
      <c r="BP16" s="9">
        <f t="shared" ref="BP16:BP79" ca="1" si="21">BI16+$BH$5</f>
        <v>15.323578553872437</v>
      </c>
      <c r="BQ16">
        <f t="shared" ref="BQ16:BQ79" ca="1" si="22">SQRT(POWER(BO16,2)+POWER(BP16,2))</f>
        <v>249.15479799864892</v>
      </c>
      <c r="BR16">
        <f t="shared" ref="BR16:BR79" ca="1" si="23">BO16/BQ16</f>
        <v>0.99810694531809352</v>
      </c>
      <c r="BS16">
        <f t="shared" ref="BS16:BS79" ca="1" si="24">BP16/BQ16</f>
        <v>6.1502241485855438E-2</v>
      </c>
      <c r="BT16">
        <f t="shared" ref="BT16:BT79" ca="1" si="25">ATAN2(BR16,BS16)</f>
        <v>6.1541079932165475E-2</v>
      </c>
      <c r="BU16" s="39">
        <f t="shared" ref="BU16:BU79" ca="1" si="26">BT16-$U$13</f>
        <v>-4.7752028949992855</v>
      </c>
      <c r="BV16">
        <f ca="1">BG9+BV13</f>
        <v>50</v>
      </c>
      <c r="BW16">
        <f ca="1">BW13+BH9</f>
        <v>-400</v>
      </c>
      <c r="BX16">
        <f ca="1">SQRT(POWER(BV16,2)+POWER(BW16,2))</f>
        <v>403.11288741492746</v>
      </c>
      <c r="BY16">
        <f ca="1">BV16/BX16</f>
        <v>0.12403473458920847</v>
      </c>
      <c r="BZ16">
        <f ca="1">BW16/BX16</f>
        <v>-0.99227787671366774</v>
      </c>
      <c r="CA16">
        <f ca="1">ATAN2(BY16,BZ16)</f>
        <v>-1.4464413322481351</v>
      </c>
    </row>
    <row r="17" spans="1:73" x14ac:dyDescent="0.25">
      <c r="A17">
        <v>3</v>
      </c>
      <c r="B17" s="20">
        <v>0</v>
      </c>
      <c r="C17" s="6">
        <f t="shared" ca="1" si="11"/>
        <v>0</v>
      </c>
      <c r="D17" s="2">
        <v>-1</v>
      </c>
      <c r="E17" s="2">
        <v>22</v>
      </c>
      <c r="G17" s="1">
        <v>5</v>
      </c>
      <c r="H17" s="6">
        <v>0.625</v>
      </c>
      <c r="I17" s="6">
        <v>0.31</v>
      </c>
      <c r="K17" s="1" t="e">
        <f t="shared" si="6"/>
        <v>#N/A</v>
      </c>
      <c r="L17" s="1" t="e">
        <f t="shared" si="7"/>
        <v>#N/A</v>
      </c>
      <c r="AS17">
        <v>0.52359877559829882</v>
      </c>
      <c r="AT17">
        <v>203.79062510326381</v>
      </c>
      <c r="AU17">
        <v>378.71815204221105</v>
      </c>
      <c r="AV17" s="6">
        <f t="shared" si="0"/>
        <v>1.0771303867914659</v>
      </c>
      <c r="AW17" s="6">
        <f t="shared" si="1"/>
        <v>0.55353161119316707</v>
      </c>
      <c r="AX17" s="6">
        <f t="shared" si="2"/>
        <v>-2.5235717190396008</v>
      </c>
      <c r="AY17" s="6">
        <f t="shared" si="3"/>
        <v>2.5235717190396008</v>
      </c>
      <c r="BE17" s="39"/>
      <c r="BF17" s="39"/>
      <c r="BG17" s="6">
        <f t="shared" si="12"/>
        <v>6.9813170079773182E-2</v>
      </c>
      <c r="BH17" s="9">
        <f t="shared" ca="1" si="13"/>
        <v>206.74395007409581</v>
      </c>
      <c r="BI17" s="9">
        <f t="shared" ca="1" si="14"/>
        <v>93.494011354723753</v>
      </c>
      <c r="BJ17">
        <f t="shared" ca="1" si="15"/>
        <v>226.90128040942702</v>
      </c>
      <c r="BK17" s="6">
        <f t="shared" ca="1" si="16"/>
        <v>0.91116255360499177</v>
      </c>
      <c r="BL17" s="6">
        <f t="shared" ca="1" si="17"/>
        <v>0.41204708578999882</v>
      </c>
      <c r="BM17" s="6">
        <f t="shared" ca="1" si="18"/>
        <v>0.42469959855325906</v>
      </c>
      <c r="BN17" s="6">
        <f t="shared" ca="1" si="19"/>
        <v>1.9654799116558586</v>
      </c>
      <c r="BO17" s="9">
        <f t="shared" ca="1" si="20"/>
        <v>244.48261556457169</v>
      </c>
      <c r="BP17" s="9">
        <f t="shared" ca="1" si="21"/>
        <v>101.86442608069498</v>
      </c>
      <c r="BQ17">
        <f t="shared" ca="1" si="22"/>
        <v>264.85488595463653</v>
      </c>
      <c r="BR17">
        <f t="shared" ca="1" si="23"/>
        <v>0.92308138731654688</v>
      </c>
      <c r="BS17">
        <f t="shared" ca="1" si="24"/>
        <v>0.38460467026514278</v>
      </c>
      <c r="BT17">
        <f t="shared" ca="1" si="25"/>
        <v>0.39477951251506732</v>
      </c>
      <c r="BU17" s="39">
        <f t="shared" ca="1" si="26"/>
        <v>-4.4419644624163839</v>
      </c>
    </row>
    <row r="18" spans="1:73" x14ac:dyDescent="0.25">
      <c r="A18">
        <v>4</v>
      </c>
      <c r="B18" s="20">
        <v>0</v>
      </c>
      <c r="C18" s="6">
        <f t="shared" ca="1" si="11"/>
        <v>0</v>
      </c>
      <c r="D18" s="2">
        <v>9</v>
      </c>
      <c r="E18" s="2">
        <v>22</v>
      </c>
      <c r="G18" s="1">
        <v>6</v>
      </c>
      <c r="H18" s="6">
        <v>0.75</v>
      </c>
      <c r="I18" s="6">
        <v>0.44</v>
      </c>
      <c r="K18" s="1" t="e">
        <f t="shared" si="6"/>
        <v>#N/A</v>
      </c>
      <c r="L18" s="1" t="e">
        <f t="shared" si="7"/>
        <v>#N/A</v>
      </c>
      <c r="T18" s="8" t="s">
        <v>105</v>
      </c>
      <c r="U18" s="6">
        <f ca="1">SQRT(POWER(U6,2)+POWER(U5,2)+POWER(U4,2))</f>
        <v>455.90386408019566</v>
      </c>
      <c r="AS18">
        <v>0.55850536063818546</v>
      </c>
      <c r="AT18">
        <v>201.67057498565057</v>
      </c>
      <c r="AU18">
        <v>383.26036165768528</v>
      </c>
      <c r="AV18" s="6">
        <f t="shared" si="0"/>
        <v>1.086411173763403</v>
      </c>
      <c r="AW18" s="6">
        <f t="shared" si="1"/>
        <v>0.52790581312521756</v>
      </c>
      <c r="AX18" s="6">
        <f t="shared" si="2"/>
        <v>-2.5328525060115377</v>
      </c>
      <c r="AY18" s="6">
        <f t="shared" si="3"/>
        <v>2.5328525060115377</v>
      </c>
      <c r="BE18" s="39"/>
      <c r="BF18" s="39"/>
      <c r="BG18" s="6">
        <f t="shared" si="12"/>
        <v>0.10471975511965978</v>
      </c>
      <c r="BH18" s="9">
        <f t="shared" ca="1" si="13"/>
        <v>203.0767547051386</v>
      </c>
      <c r="BI18" s="9">
        <f t="shared" ca="1" si="14"/>
        <v>149.68818038372248</v>
      </c>
      <c r="BJ18">
        <f t="shared" ca="1" si="15"/>
        <v>252.28301498151015</v>
      </c>
      <c r="BK18" s="6">
        <f t="shared" ca="1" si="16"/>
        <v>0.80495611137365752</v>
      </c>
      <c r="BL18" s="6">
        <f t="shared" ca="1" si="17"/>
        <v>0.59333435663393008</v>
      </c>
      <c r="BM18" s="6">
        <f t="shared" ca="1" si="18"/>
        <v>0.63519483176235425</v>
      </c>
      <c r="BN18" s="6">
        <f t="shared" ca="1" si="19"/>
        <v>2.1759751448649536</v>
      </c>
      <c r="BO18" s="9">
        <f t="shared" ca="1" si="20"/>
        <v>240.81542019561448</v>
      </c>
      <c r="BP18" s="9">
        <f t="shared" ca="1" si="21"/>
        <v>158.05859510969373</v>
      </c>
      <c r="BQ18">
        <f t="shared" ca="1" si="22"/>
        <v>288.05309595982555</v>
      </c>
      <c r="BR18">
        <f t="shared" ca="1" si="23"/>
        <v>0.83601052574418688</v>
      </c>
      <c r="BS18">
        <f t="shared" ca="1" si="24"/>
        <v>0.54871340501661536</v>
      </c>
      <c r="BT18">
        <f t="shared" ca="1" si="25"/>
        <v>0.58082448937982234</v>
      </c>
      <c r="BU18" s="39">
        <f t="shared" ca="1" si="26"/>
        <v>-4.2559194855516287</v>
      </c>
    </row>
    <row r="19" spans="1:73" x14ac:dyDescent="0.25">
      <c r="A19">
        <v>5</v>
      </c>
      <c r="B19" s="20">
        <v>8</v>
      </c>
      <c r="C19" s="6">
        <f t="shared" ca="1" si="11"/>
        <v>0.79</v>
      </c>
      <c r="D19" s="2">
        <v>3</v>
      </c>
      <c r="E19" s="2">
        <v>22</v>
      </c>
      <c r="G19" s="1">
        <v>7</v>
      </c>
      <c r="H19" s="6">
        <v>0.875</v>
      </c>
      <c r="I19" s="6">
        <v>0.6</v>
      </c>
      <c r="K19" s="1">
        <f t="shared" si="6"/>
        <v>3</v>
      </c>
      <c r="L19" s="1">
        <f t="shared" si="7"/>
        <v>22</v>
      </c>
      <c r="T19" s="8" t="s">
        <v>106</v>
      </c>
      <c r="U19" s="40">
        <f ca="1">U4/U18</f>
        <v>0.21934448877971463</v>
      </c>
      <c r="V19" s="40">
        <f ca="1">U5/U18</f>
        <v>0.12101417558457757</v>
      </c>
      <c r="W19" s="40">
        <f ca="1">U6/U18</f>
        <v>-0.9681134047979868</v>
      </c>
      <c r="X19" s="39"/>
      <c r="AS19">
        <v>0.59341194567807209</v>
      </c>
      <c r="AT19">
        <v>199.76142112171684</v>
      </c>
      <c r="AU19">
        <v>387.17841977281978</v>
      </c>
      <c r="AV19" s="6">
        <f t="shared" si="0"/>
        <v>1.0944769896926543</v>
      </c>
      <c r="AW19" s="6">
        <f t="shared" si="1"/>
        <v>0.50106504401458218</v>
      </c>
      <c r="AX19" s="6">
        <f t="shared" si="2"/>
        <v>-2.5409183219407891</v>
      </c>
      <c r="AY19" s="6">
        <f t="shared" si="3"/>
        <v>2.5409183219407891</v>
      </c>
      <c r="BE19" s="39"/>
      <c r="BF19" s="39"/>
      <c r="BG19" s="6">
        <f t="shared" si="12"/>
        <v>0.13962634015954636</v>
      </c>
      <c r="BH19" s="9">
        <f t="shared" ca="1" si="13"/>
        <v>199.89016508186003</v>
      </c>
      <c r="BI19" s="9">
        <f t="shared" ca="1" si="14"/>
        <v>190.28743774350855</v>
      </c>
      <c r="BJ19">
        <f t="shared" ca="1" si="15"/>
        <v>275.98077298870459</v>
      </c>
      <c r="BK19" s="6">
        <f t="shared" ca="1" si="16"/>
        <v>0.72429018484574359</v>
      </c>
      <c r="BL19" s="6">
        <f t="shared" ca="1" si="17"/>
        <v>0.68949527056834747</v>
      </c>
      <c r="BM19" s="6">
        <f t="shared" ca="1" si="18"/>
        <v>0.76079196060295051</v>
      </c>
      <c r="BN19" s="6">
        <f t="shared" ca="1" si="19"/>
        <v>2.30157227370555</v>
      </c>
      <c r="BO19" s="9">
        <f t="shared" ca="1" si="20"/>
        <v>237.62883057233591</v>
      </c>
      <c r="BP19" s="9">
        <f t="shared" ca="1" si="21"/>
        <v>198.65785246947979</v>
      </c>
      <c r="BQ19">
        <f t="shared" ca="1" si="22"/>
        <v>309.7295650514518</v>
      </c>
      <c r="BR19">
        <f t="shared" ca="1" si="23"/>
        <v>0.76721390976305859</v>
      </c>
      <c r="BS19">
        <f t="shared" ca="1" si="24"/>
        <v>0.64139131321376786</v>
      </c>
      <c r="BT19">
        <f t="shared" ca="1" si="25"/>
        <v>0.69631035596807189</v>
      </c>
      <c r="BU19" s="39">
        <f t="shared" ca="1" si="26"/>
        <v>-4.1404336189633799</v>
      </c>
    </row>
    <row r="20" spans="1:73" x14ac:dyDescent="0.25">
      <c r="A20">
        <v>6</v>
      </c>
      <c r="B20" s="20">
        <v>8</v>
      </c>
      <c r="C20" s="6">
        <f t="shared" ca="1" si="11"/>
        <v>0.79</v>
      </c>
      <c r="D20" s="2">
        <v>13</v>
      </c>
      <c r="E20" s="2">
        <v>22</v>
      </c>
      <c r="G20" s="1">
        <v>8</v>
      </c>
      <c r="H20" s="6">
        <v>1</v>
      </c>
      <c r="I20" s="6">
        <v>0.79</v>
      </c>
      <c r="K20" s="1">
        <f t="shared" si="6"/>
        <v>13</v>
      </c>
      <c r="L20" s="1">
        <f t="shared" si="7"/>
        <v>22</v>
      </c>
      <c r="AS20">
        <v>0.62831853071795873</v>
      </c>
      <c r="AT20">
        <v>197.39646381762148</v>
      </c>
      <c r="AU20">
        <v>388.7903007160233</v>
      </c>
      <c r="AV20" s="6">
        <f t="shared" si="0"/>
        <v>1.1009921103290012</v>
      </c>
      <c r="AW20" s="6">
        <f t="shared" si="1"/>
        <v>0.4726735796110425</v>
      </c>
      <c r="AX20" s="6">
        <f t="shared" si="2"/>
        <v>-2.5474334425771361</v>
      </c>
      <c r="AY20" s="6">
        <f t="shared" si="3"/>
        <v>2.5474334425771361</v>
      </c>
      <c r="BE20" s="39"/>
      <c r="BF20" s="39"/>
      <c r="BG20" s="6">
        <f t="shared" si="12"/>
        <v>0.17453292519943295</v>
      </c>
      <c r="BH20" s="9">
        <f t="shared" ca="1" si="13"/>
        <v>196.79873069954334</v>
      </c>
      <c r="BI20" s="9">
        <f t="shared" ca="1" si="14"/>
        <v>223.79628689499151</v>
      </c>
      <c r="BJ20">
        <f t="shared" ca="1" si="15"/>
        <v>298.01764785484892</v>
      </c>
      <c r="BK20" s="6">
        <f t="shared" ca="1" si="16"/>
        <v>0.66035931803406223</v>
      </c>
      <c r="BL20" s="6">
        <f t="shared" ca="1" si="17"/>
        <v>0.7509497793365334</v>
      </c>
      <c r="BM20" s="6">
        <f t="shared" ca="1" si="18"/>
        <v>0.84949918175642503</v>
      </c>
      <c r="BN20" s="6">
        <f t="shared" ca="1" si="19"/>
        <v>2.3902794948590245</v>
      </c>
      <c r="BO20" s="9">
        <f t="shared" ca="1" si="20"/>
        <v>234.53739619001922</v>
      </c>
      <c r="BP20" s="9">
        <f t="shared" ca="1" si="21"/>
        <v>232.16670162096275</v>
      </c>
      <c r="BQ20">
        <f t="shared" ca="1" si="22"/>
        <v>330.01388993972847</v>
      </c>
      <c r="BR20">
        <f t="shared" ca="1" si="23"/>
        <v>0.71068946895796892</v>
      </c>
      <c r="BS20">
        <f t="shared" ca="1" si="24"/>
        <v>0.70350584838524255</v>
      </c>
      <c r="BT20">
        <f t="shared" ca="1" si="25"/>
        <v>0.78031855473266087</v>
      </c>
      <c r="BU20" s="39">
        <f t="shared" ca="1" si="26"/>
        <v>-4.0564254201987904</v>
      </c>
    </row>
    <row r="21" spans="1:73" x14ac:dyDescent="0.25">
      <c r="A21">
        <v>7</v>
      </c>
      <c r="B21" s="20">
        <v>8</v>
      </c>
      <c r="C21" s="6">
        <f t="shared" ca="1" si="11"/>
        <v>0.79</v>
      </c>
      <c r="D21" s="2">
        <v>23</v>
      </c>
      <c r="E21" s="2">
        <v>22</v>
      </c>
      <c r="G21" s="1">
        <v>9</v>
      </c>
      <c r="H21" s="6">
        <v>1.1279999999999999</v>
      </c>
      <c r="I21" s="6">
        <v>1</v>
      </c>
      <c r="K21" s="1">
        <f t="shared" si="6"/>
        <v>23</v>
      </c>
      <c r="L21" s="1">
        <f t="shared" si="7"/>
        <v>22</v>
      </c>
      <c r="T21" s="8" t="s">
        <v>107</v>
      </c>
      <c r="U21" s="40">
        <f ca="1">U16-U19</f>
        <v>2.1427217391823766E-2</v>
      </c>
      <c r="V21" s="40">
        <f t="shared" ref="V21:W21" ca="1" si="27">V16-V19</f>
        <v>-6.2832249880837021E-4</v>
      </c>
      <c r="W21" s="40">
        <f t="shared" ca="1" si="27"/>
        <v>5.0265801118332121E-3</v>
      </c>
      <c r="AS21">
        <v>0.66322511575784537</v>
      </c>
      <c r="AT21">
        <v>193.51356300286321</v>
      </c>
      <c r="AU21">
        <v>385.03043047186372</v>
      </c>
      <c r="AV21" s="6">
        <f t="shared" si="0"/>
        <v>1.105076545031541</v>
      </c>
      <c r="AW21" s="6">
        <f t="shared" si="1"/>
        <v>0.44185142927369558</v>
      </c>
      <c r="AX21" s="6">
        <f t="shared" si="2"/>
        <v>-2.551517877279676</v>
      </c>
      <c r="AY21" s="6">
        <f t="shared" si="3"/>
        <v>2.551517877279676</v>
      </c>
      <c r="BE21" s="39"/>
      <c r="BF21" s="39"/>
      <c r="BG21" s="6">
        <f t="shared" si="12"/>
        <v>0.20943951023931953</v>
      </c>
      <c r="BH21" s="9">
        <f t="shared" ca="1" si="13"/>
        <v>193.6733283676179</v>
      </c>
      <c r="BI21" s="9">
        <f t="shared" ca="1" si="14"/>
        <v>253.16880387258416</v>
      </c>
      <c r="BJ21">
        <f t="shared" ca="1" si="15"/>
        <v>318.75351194185475</v>
      </c>
      <c r="BK21" s="6">
        <f t="shared" ca="1" si="16"/>
        <v>0.60759590439570343</v>
      </c>
      <c r="BL21" s="6">
        <f t="shared" ca="1" si="17"/>
        <v>0.79424632008059515</v>
      </c>
      <c r="BM21" s="6">
        <f t="shared" ca="1" si="18"/>
        <v>0.91776614232216824</v>
      </c>
      <c r="BN21" s="6">
        <f t="shared" ca="1" si="19"/>
        <v>2.4585464554247678</v>
      </c>
      <c r="BO21" s="9">
        <f t="shared" ca="1" si="20"/>
        <v>231.41199385809378</v>
      </c>
      <c r="BP21" s="9">
        <f t="shared" ca="1" si="21"/>
        <v>261.53921859855541</v>
      </c>
      <c r="BQ21">
        <f t="shared" ca="1" si="22"/>
        <v>349.21952088410148</v>
      </c>
      <c r="BR21">
        <f t="shared" ca="1" si="23"/>
        <v>0.66265480598633109</v>
      </c>
      <c r="BS21">
        <f t="shared" ca="1" si="24"/>
        <v>0.74892496827333632</v>
      </c>
      <c r="BT21">
        <f t="shared" ca="1" si="25"/>
        <v>0.846438277952692</v>
      </c>
      <c r="BU21" s="39">
        <f t="shared" ca="1" si="26"/>
        <v>-3.9903056969787594</v>
      </c>
    </row>
    <row r="22" spans="1:73" x14ac:dyDescent="0.25">
      <c r="A22">
        <v>8</v>
      </c>
      <c r="B22" s="20">
        <v>8</v>
      </c>
      <c r="C22" s="6">
        <f t="shared" ca="1" si="11"/>
        <v>0.79</v>
      </c>
      <c r="D22" s="2">
        <v>33</v>
      </c>
      <c r="E22" s="2">
        <v>22</v>
      </c>
      <c r="G22" s="1">
        <v>10</v>
      </c>
      <c r="H22" s="6">
        <v>1.27</v>
      </c>
      <c r="I22" s="6">
        <v>1.27</v>
      </c>
      <c r="K22" s="1">
        <f t="shared" si="6"/>
        <v>33</v>
      </c>
      <c r="L22" s="1">
        <f t="shared" si="7"/>
        <v>22</v>
      </c>
      <c r="U22" s="1" t="s">
        <v>99</v>
      </c>
      <c r="V22" s="1" t="s">
        <v>100</v>
      </c>
      <c r="W22" s="1" t="s">
        <v>101</v>
      </c>
      <c r="AS22">
        <v>0.69813170079773201</v>
      </c>
      <c r="AT22">
        <v>189.8956821086972</v>
      </c>
      <c r="AU22">
        <v>381.0556728188663</v>
      </c>
      <c r="AV22" s="6">
        <f t="shared" si="0"/>
        <v>1.1084767624632319</v>
      </c>
      <c r="AW22" s="6">
        <f t="shared" si="1"/>
        <v>0.41034506166549989</v>
      </c>
      <c r="AX22" s="6">
        <f t="shared" si="2"/>
        <v>-2.5549180947113665</v>
      </c>
      <c r="AY22" s="6">
        <f t="shared" si="3"/>
        <v>2.5549180947113665</v>
      </c>
      <c r="BE22" s="39"/>
      <c r="BF22" s="39"/>
      <c r="BG22" s="6">
        <f t="shared" si="12"/>
        <v>0.24434609527920612</v>
      </c>
      <c r="BH22" s="9">
        <f t="shared" ca="1" si="13"/>
        <v>190.62284790927654</v>
      </c>
      <c r="BI22" s="9">
        <f t="shared" ca="1" si="14"/>
        <v>272.19426598043066</v>
      </c>
      <c r="BJ22">
        <f t="shared" ca="1" si="15"/>
        <v>332.30526414378181</v>
      </c>
      <c r="BK22" s="6">
        <f t="shared" ca="1" si="16"/>
        <v>0.57363776165398894</v>
      </c>
      <c r="BL22" s="6">
        <f t="shared" ca="1" si="17"/>
        <v>0.81910910042838703</v>
      </c>
      <c r="BM22" s="6">
        <f t="shared" ca="1" si="18"/>
        <v>0.95985622226301026</v>
      </c>
      <c r="BN22" s="6">
        <f t="shared" ca="1" si="19"/>
        <v>2.5006365353656097</v>
      </c>
      <c r="BO22" s="9">
        <f t="shared" ca="1" si="20"/>
        <v>228.36151339975243</v>
      </c>
      <c r="BP22" s="9">
        <f t="shared" ca="1" si="21"/>
        <v>280.56468070640187</v>
      </c>
      <c r="BQ22">
        <f t="shared" ca="1" si="22"/>
        <v>361.75339785841754</v>
      </c>
      <c r="BR22">
        <f t="shared" ca="1" si="23"/>
        <v>0.6312629397585594</v>
      </c>
      <c r="BS22">
        <f t="shared" ca="1" si="24"/>
        <v>0.7755688885504507</v>
      </c>
      <c r="BT22">
        <f t="shared" ca="1" si="25"/>
        <v>0.88761578788411621</v>
      </c>
      <c r="BU22" s="39">
        <f t="shared" ca="1" si="26"/>
        <v>-3.9491281870473349</v>
      </c>
    </row>
    <row r="23" spans="1:73" x14ac:dyDescent="0.25">
      <c r="A23">
        <v>9</v>
      </c>
      <c r="B23" s="20">
        <v>8</v>
      </c>
      <c r="C23" s="6">
        <f t="shared" ca="1" si="11"/>
        <v>0.79</v>
      </c>
      <c r="D23" s="2">
        <v>6</v>
      </c>
      <c r="E23" s="2">
        <v>2</v>
      </c>
      <c r="G23" s="1">
        <v>11</v>
      </c>
      <c r="H23" s="6">
        <v>1.41</v>
      </c>
      <c r="I23" s="6">
        <v>1.56</v>
      </c>
      <c r="K23" s="1">
        <f t="shared" si="6"/>
        <v>6</v>
      </c>
      <c r="L23" s="1">
        <f t="shared" si="7"/>
        <v>2</v>
      </c>
      <c r="T23" s="8" t="s">
        <v>108</v>
      </c>
      <c r="U23" s="40">
        <f ca="1">SQRT(POWER(U21,2)+POWER(V21,2)+POWER(W21,2))</f>
        <v>2.201787778010544E-2</v>
      </c>
      <c r="V23" t="str">
        <f ca="1">IF(ABS(U23)&lt;=L1,"","NG")</f>
        <v>NG</v>
      </c>
      <c r="AS23">
        <v>0.73303828583761865</v>
      </c>
      <c r="AT23">
        <v>188.32112428766305</v>
      </c>
      <c r="AU23">
        <v>382.46022157642716</v>
      </c>
      <c r="AV23" s="6">
        <f t="shared" si="0"/>
        <v>1.1132519983892135</v>
      </c>
      <c r="AW23" s="6">
        <f t="shared" si="1"/>
        <v>0.38021371255159486</v>
      </c>
      <c r="AX23" s="6">
        <f t="shared" si="2"/>
        <v>-2.5596933306373484</v>
      </c>
      <c r="AY23" s="6">
        <f t="shared" si="3"/>
        <v>2.5596933306373484</v>
      </c>
      <c r="BE23" s="39"/>
      <c r="BF23" s="39"/>
      <c r="BG23" s="6">
        <f t="shared" si="12"/>
        <v>0.27925268031909273</v>
      </c>
      <c r="BH23" s="9">
        <f t="shared" ca="1" si="13"/>
        <v>187.5681465653891</v>
      </c>
      <c r="BI23" s="9">
        <f t="shared" ca="1" si="14"/>
        <v>288.5155027974003</v>
      </c>
      <c r="BJ23">
        <f t="shared" ca="1" si="15"/>
        <v>344.12643746218043</v>
      </c>
      <c r="BK23" s="6">
        <f t="shared" ca="1" si="16"/>
        <v>0.54505590430262385</v>
      </c>
      <c r="BL23" s="6">
        <f t="shared" ca="1" si="17"/>
        <v>0.83839970251953755</v>
      </c>
      <c r="BM23" s="6">
        <f t="shared" ca="1" si="18"/>
        <v>0.99434053372992848</v>
      </c>
      <c r="BN23" s="6">
        <f t="shared" ca="1" si="19"/>
        <v>2.5351208468325277</v>
      </c>
      <c r="BO23" s="9">
        <f t="shared" ca="1" si="20"/>
        <v>225.30681205586498</v>
      </c>
      <c r="BP23" s="9">
        <f t="shared" ca="1" si="21"/>
        <v>296.88591752337152</v>
      </c>
      <c r="BQ23">
        <f t="shared" ca="1" si="22"/>
        <v>372.69881618066756</v>
      </c>
      <c r="BR23">
        <f t="shared" ca="1" si="23"/>
        <v>0.6045278446675999</v>
      </c>
      <c r="BS23">
        <f t="shared" ca="1" si="24"/>
        <v>0.79658401002125701</v>
      </c>
      <c r="BT23">
        <f t="shared" ca="1" si="25"/>
        <v>0.92162331786907115</v>
      </c>
      <c r="BU23" s="39">
        <f t="shared" ca="1" si="26"/>
        <v>-3.9151206570623804</v>
      </c>
    </row>
    <row r="24" spans="1:73" ht="15.75" thickBot="1" x14ac:dyDescent="0.3">
      <c r="A24">
        <v>10</v>
      </c>
      <c r="B24" s="20">
        <v>8</v>
      </c>
      <c r="C24" s="11">
        <f t="shared" ca="1" si="11"/>
        <v>0.79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>
        <f t="shared" si="6"/>
        <v>10</v>
      </c>
      <c r="L24" s="1">
        <f t="shared" si="7"/>
        <v>2</v>
      </c>
      <c r="AS24">
        <v>0.76794487087750529</v>
      </c>
      <c r="AT24">
        <v>188.64063145456183</v>
      </c>
      <c r="AU24">
        <v>389.22260224785879</v>
      </c>
      <c r="AV24" s="6">
        <f t="shared" si="0"/>
        <v>1.1194958456946194</v>
      </c>
      <c r="AW24" s="6">
        <f t="shared" si="1"/>
        <v>0.35155097481711406</v>
      </c>
      <c r="AX24" s="6">
        <f t="shared" si="2"/>
        <v>-2.5659371779427542</v>
      </c>
      <c r="AY24" s="6">
        <f t="shared" si="3"/>
        <v>2.5659371779427542</v>
      </c>
      <c r="BE24" s="39"/>
      <c r="BF24" s="39"/>
      <c r="BG24" s="6">
        <f t="shared" si="12"/>
        <v>0.31415926535897931</v>
      </c>
      <c r="BH24" s="9">
        <f t="shared" ca="1" si="13"/>
        <v>184.46879490555708</v>
      </c>
      <c r="BI24" s="9">
        <f t="shared" ca="1" si="14"/>
        <v>303.53458890086</v>
      </c>
      <c r="BJ24">
        <f t="shared" ca="1" si="15"/>
        <v>355.19288133790428</v>
      </c>
      <c r="BK24" s="6">
        <f t="shared" ca="1" si="16"/>
        <v>0.51934823189788837</v>
      </c>
      <c r="BL24" s="6">
        <f t="shared" ca="1" si="17"/>
        <v>0.8545627033895975</v>
      </c>
      <c r="BM24" s="6">
        <f t="shared" ca="1" si="18"/>
        <v>1.0247082449733089</v>
      </c>
      <c r="BN24" s="6">
        <f t="shared" ca="1" si="19"/>
        <v>2.5654885580759084</v>
      </c>
      <c r="BO24" s="9">
        <f t="shared" ca="1" si="20"/>
        <v>222.20746039603296</v>
      </c>
      <c r="BP24" s="9">
        <f t="shared" ca="1" si="21"/>
        <v>311.90500362683122</v>
      </c>
      <c r="BQ24">
        <f t="shared" ca="1" si="22"/>
        <v>382.96329686160288</v>
      </c>
      <c r="BR24">
        <f t="shared" ca="1" si="23"/>
        <v>0.58023174078829631</v>
      </c>
      <c r="BS24">
        <f t="shared" ca="1" si="24"/>
        <v>0.8144514270242168</v>
      </c>
      <c r="BT24">
        <f t="shared" ca="1" si="25"/>
        <v>0.95178312890651007</v>
      </c>
      <c r="BU24" s="39">
        <f t="shared" ca="1" si="26"/>
        <v>-3.8849608460249412</v>
      </c>
    </row>
    <row r="25" spans="1:73" ht="15.75" thickTop="1" x14ac:dyDescent="0.25">
      <c r="C25" s="6">
        <f ca="1">SUM(C15:C24)</f>
        <v>4.74</v>
      </c>
      <c r="D25" s="25">
        <f ca="1">C25/(B5*F27)</f>
        <v>1.7954545454545456E-2</v>
      </c>
      <c r="G25" s="1">
        <v>18</v>
      </c>
      <c r="H25" s="6">
        <v>2.2570000000000001</v>
      </c>
      <c r="I25" s="6">
        <v>4</v>
      </c>
      <c r="AS25">
        <v>0.80285145591739193</v>
      </c>
      <c r="AT25">
        <v>188.9518016406156</v>
      </c>
      <c r="AU25">
        <v>395.68900583522122</v>
      </c>
      <c r="AV25" s="6">
        <f t="shared" si="0"/>
        <v>1.125288992007518</v>
      </c>
      <c r="AW25" s="6">
        <f t="shared" si="1"/>
        <v>0.32243753609012604</v>
      </c>
      <c r="AX25" s="6">
        <f t="shared" si="2"/>
        <v>-2.5717303242556531</v>
      </c>
      <c r="AY25" s="6">
        <f t="shared" si="3"/>
        <v>2.5717303242556531</v>
      </c>
      <c r="BE25" s="39"/>
      <c r="BF25" s="39"/>
      <c r="BG25" s="6">
        <f t="shared" si="12"/>
        <v>0.3490658503988659</v>
      </c>
      <c r="BH25" s="9">
        <f t="shared" ca="1" si="13"/>
        <v>181.30463239588977</v>
      </c>
      <c r="BI25" s="9">
        <f t="shared" ca="1" si="14"/>
        <v>317.58475845314734</v>
      </c>
      <c r="BJ25">
        <f t="shared" ca="1" si="15"/>
        <v>365.69310703095385</v>
      </c>
      <c r="BK25" s="6">
        <f t="shared" ca="1" si="16"/>
        <v>0.49578356526294426</v>
      </c>
      <c r="BL25" s="6">
        <f t="shared" ca="1" si="17"/>
        <v>0.86844611601132971</v>
      </c>
      <c r="BM25" s="6">
        <f t="shared" ca="1" si="18"/>
        <v>1.0520594660602092</v>
      </c>
      <c r="BN25" s="6">
        <f t="shared" ca="1" si="19"/>
        <v>2.5928397791628086</v>
      </c>
      <c r="BO25" s="9">
        <f t="shared" ca="1" si="20"/>
        <v>219.04329788636565</v>
      </c>
      <c r="BP25" s="9">
        <f t="shared" ca="1" si="21"/>
        <v>325.95517317911856</v>
      </c>
      <c r="BQ25">
        <f t="shared" ca="1" si="22"/>
        <v>392.71712627687157</v>
      </c>
      <c r="BR25">
        <f t="shared" ca="1" si="23"/>
        <v>0.55776354844259268</v>
      </c>
      <c r="BS25">
        <f t="shared" ca="1" si="24"/>
        <v>0.82999989399320262</v>
      </c>
      <c r="BT25">
        <f t="shared" ca="1" si="25"/>
        <v>0.97910749431145006</v>
      </c>
      <c r="BU25" s="39">
        <f t="shared" ca="1" si="26"/>
        <v>-3.8576364806200014</v>
      </c>
    </row>
    <row r="26" spans="1:73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0.83775804095727857</v>
      </c>
      <c r="AT26">
        <v>189.25486581230621</v>
      </c>
      <c r="AU26">
        <v>401.89540556463209</v>
      </c>
      <c r="AV26" s="6">
        <f t="shared" si="0"/>
        <v>1.1306938103046933</v>
      </c>
      <c r="AW26" s="6">
        <f t="shared" si="1"/>
        <v>0.29293576934741472</v>
      </c>
      <c r="AX26" s="6">
        <f t="shared" si="2"/>
        <v>-2.5771351425528284</v>
      </c>
      <c r="AY26" s="6">
        <f t="shared" si="3"/>
        <v>2.5771351425528284</v>
      </c>
      <c r="BE26" s="39"/>
      <c r="BF26" s="39"/>
      <c r="BG26" s="6">
        <f t="shared" si="12"/>
        <v>0.38397243543875248</v>
      </c>
      <c r="BH26" s="9">
        <f t="shared" ca="1" si="13"/>
        <v>178.05869973992318</v>
      </c>
      <c r="BI26" s="9">
        <f t="shared" ca="1" si="14"/>
        <v>330.89814087637029</v>
      </c>
      <c r="BJ26">
        <f t="shared" ca="1" si="15"/>
        <v>375.76386227058919</v>
      </c>
      <c r="BK26" s="6">
        <f t="shared" ca="1" si="16"/>
        <v>0.47385796671342051</v>
      </c>
      <c r="BL26" s="6">
        <f t="shared" ca="1" si="17"/>
        <v>0.8806012874066349</v>
      </c>
      <c r="BM26" s="6">
        <f t="shared" ca="1" si="18"/>
        <v>1.0771296272436124</v>
      </c>
      <c r="BN26" s="6">
        <f t="shared" ca="1" si="19"/>
        <v>2.6179099403462116</v>
      </c>
      <c r="BO26" s="9">
        <f t="shared" ca="1" si="20"/>
        <v>215.79736523039907</v>
      </c>
      <c r="BP26" s="9">
        <f t="shared" ca="1" si="21"/>
        <v>339.26855560234151</v>
      </c>
      <c r="BQ26">
        <f t="shared" ca="1" si="22"/>
        <v>402.08414002653888</v>
      </c>
      <c r="BR26">
        <f t="shared" ca="1" si="23"/>
        <v>0.53669703365110533</v>
      </c>
      <c r="BS26">
        <f t="shared" ca="1" si="24"/>
        <v>0.84377502574448393</v>
      </c>
      <c r="BT26">
        <f t="shared" ca="1" si="25"/>
        <v>1.0042786236483323</v>
      </c>
      <c r="BU26" s="39">
        <f t="shared" ca="1" si="26"/>
        <v>-3.832465351283119</v>
      </c>
    </row>
    <row r="27" spans="1:73" x14ac:dyDescent="0.25">
      <c r="A27" s="8" t="s">
        <v>15</v>
      </c>
      <c r="B27" s="34">
        <v>3.957351709879529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0.87266462599716521</v>
      </c>
      <c r="AT27">
        <v>189.44297484596166</v>
      </c>
      <c r="AU27">
        <v>406.4252925978563</v>
      </c>
      <c r="AV27" s="6">
        <f t="shared" si="0"/>
        <v>1.1346181308284906</v>
      </c>
      <c r="AW27" s="6">
        <f t="shared" si="1"/>
        <v>0.2619535048313254</v>
      </c>
      <c r="AX27" s="6">
        <f t="shared" si="2"/>
        <v>-2.5810594630766257</v>
      </c>
      <c r="AY27" s="6">
        <f t="shared" si="3"/>
        <v>2.5810594630766257</v>
      </c>
      <c r="BE27" s="39"/>
      <c r="BF27" s="39"/>
      <c r="BG27" s="6">
        <f t="shared" si="12"/>
        <v>0.41887902047863906</v>
      </c>
      <c r="BH27" s="9">
        <f t="shared" ca="1" si="13"/>
        <v>174.71532775224958</v>
      </c>
      <c r="BI27" s="9">
        <f t="shared" ca="1" si="14"/>
        <v>343.64549946504218</v>
      </c>
      <c r="BJ27">
        <f t="shared" ca="1" si="15"/>
        <v>385.50963030014475</v>
      </c>
      <c r="BK27" s="6">
        <f t="shared" ca="1" si="16"/>
        <v>0.45320613032733353</v>
      </c>
      <c r="BL27" s="6">
        <f t="shared" ca="1" si="17"/>
        <v>0.89140574568135023</v>
      </c>
      <c r="BM27" s="6">
        <f t="shared" ca="1" si="18"/>
        <v>1.1004375498988148</v>
      </c>
      <c r="BN27" s="6">
        <f t="shared" ca="1" si="19"/>
        <v>2.6412178630014145</v>
      </c>
      <c r="BO27" s="9">
        <f t="shared" ca="1" si="20"/>
        <v>212.45399324272546</v>
      </c>
      <c r="BP27" s="9">
        <f t="shared" ca="1" si="21"/>
        <v>352.01591419101339</v>
      </c>
      <c r="BQ27">
        <f t="shared" ca="1" si="22"/>
        <v>411.15921865928647</v>
      </c>
      <c r="BR27">
        <f t="shared" ca="1" si="23"/>
        <v>0.51671951789260206</v>
      </c>
      <c r="BS27">
        <f t="shared" ca="1" si="24"/>
        <v>0.85615474058655827</v>
      </c>
      <c r="BT27">
        <f t="shared" ca="1" si="25"/>
        <v>1.0277814724610919</v>
      </c>
      <c r="BU27" s="39">
        <f t="shared" ca="1" si="26"/>
        <v>-3.8089625024703597</v>
      </c>
    </row>
    <row r="28" spans="1:73" x14ac:dyDescent="0.25">
      <c r="A28" s="8" t="s">
        <v>17</v>
      </c>
      <c r="B28" s="34">
        <v>9.5326105192006096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0.90757121103705185</v>
      </c>
      <c r="AT28">
        <v>188.45572407018585</v>
      </c>
      <c r="AU28">
        <v>407.98239108401646</v>
      </c>
      <c r="AV28" s="6">
        <f t="shared" si="0"/>
        <v>1.1380730543515198</v>
      </c>
      <c r="AW28" s="6">
        <f t="shared" si="1"/>
        <v>0.23050184331446799</v>
      </c>
      <c r="AX28" s="6">
        <f t="shared" si="2"/>
        <v>-2.5845143865996549</v>
      </c>
      <c r="AY28" s="6">
        <f t="shared" si="3"/>
        <v>2.5845143865996549</v>
      </c>
      <c r="BE28" s="39"/>
      <c r="BF28" s="39"/>
      <c r="BG28" s="6">
        <f t="shared" si="12"/>
        <v>0.45378560551852565</v>
      </c>
      <c r="BH28" s="9">
        <f t="shared" ca="1" si="13"/>
        <v>171.34509826051269</v>
      </c>
      <c r="BI28" s="9">
        <f t="shared" ca="1" si="14"/>
        <v>355.71902274601138</v>
      </c>
      <c r="BJ28">
        <f t="shared" ca="1" si="15"/>
        <v>394.83561875960748</v>
      </c>
      <c r="BK28" s="6">
        <f t="shared" ca="1" si="16"/>
        <v>0.4339656558818083</v>
      </c>
      <c r="BL28" s="6">
        <f t="shared" ca="1" si="17"/>
        <v>0.90092941428009332</v>
      </c>
      <c r="BM28" s="6">
        <f t="shared" ca="1" si="18"/>
        <v>1.1219064535424186</v>
      </c>
      <c r="BN28" s="6">
        <f t="shared" ca="1" si="19"/>
        <v>2.662686766645018</v>
      </c>
      <c r="BO28" s="9">
        <f t="shared" ca="1" si="20"/>
        <v>209.08376375098857</v>
      </c>
      <c r="BP28" s="9">
        <f t="shared" ca="1" si="21"/>
        <v>364.08943747198259</v>
      </c>
      <c r="BQ28">
        <f t="shared" ca="1" si="22"/>
        <v>419.85371112203347</v>
      </c>
      <c r="BR28">
        <f t="shared" ca="1" si="23"/>
        <v>0.49799193912618978</v>
      </c>
      <c r="BS28">
        <f t="shared" ca="1" si="24"/>
        <v>0.86718165834232053</v>
      </c>
      <c r="BT28">
        <f t="shared" ca="1" si="25"/>
        <v>1.0495147122781674</v>
      </c>
      <c r="BU28" s="39">
        <f t="shared" ca="1" si="26"/>
        <v>-3.787229262653284</v>
      </c>
    </row>
    <row r="29" spans="1:73" x14ac:dyDescent="0.25">
      <c r="A29" s="8" t="s">
        <v>18</v>
      </c>
      <c r="B29" s="6">
        <f>B28*B4</f>
        <v>7.6260884153604866</v>
      </c>
      <c r="C29" t="s">
        <v>4</v>
      </c>
      <c r="G29" s="1" t="s">
        <v>84</v>
      </c>
      <c r="H29" s="22" t="s">
        <v>85</v>
      </c>
      <c r="I29" s="7">
        <v>5</v>
      </c>
      <c r="AS29">
        <v>0.94247779607693849</v>
      </c>
      <c r="AT29">
        <v>187.51670398862882</v>
      </c>
      <c r="AU29">
        <v>409.43120979170459</v>
      </c>
      <c r="AV29" s="6">
        <f t="shared" si="0"/>
        <v>1.1413151817446665</v>
      </c>
      <c r="AW29" s="6">
        <f t="shared" si="1"/>
        <v>0.19883738566772802</v>
      </c>
      <c r="AX29" s="6">
        <f t="shared" si="2"/>
        <v>-2.5877565139928014</v>
      </c>
      <c r="AY29" s="6">
        <f t="shared" si="3"/>
        <v>2.5877565139928014</v>
      </c>
      <c r="BE29" s="39"/>
      <c r="BF29" s="39"/>
      <c r="BG29" s="6">
        <f t="shared" si="12"/>
        <v>0.48869219055841223</v>
      </c>
      <c r="BH29" s="9">
        <f t="shared" ca="1" si="13"/>
        <v>168.42694012914731</v>
      </c>
      <c r="BI29" s="9">
        <f t="shared" ca="1" si="14"/>
        <v>365.01332924158845</v>
      </c>
      <c r="BJ29">
        <f t="shared" ca="1" si="15"/>
        <v>401.99796602134148</v>
      </c>
      <c r="BK29" s="6">
        <f t="shared" ca="1" si="16"/>
        <v>0.41897460774765655</v>
      </c>
      <c r="BL29" s="6">
        <f t="shared" ca="1" si="17"/>
        <v>0.90799795047274057</v>
      </c>
      <c r="BM29" s="6">
        <f t="shared" ca="1" si="18"/>
        <v>1.1384805905167166</v>
      </c>
      <c r="BN29" s="6">
        <f t="shared" ca="1" si="19"/>
        <v>2.679260903619316</v>
      </c>
      <c r="BO29" s="9">
        <f t="shared" ca="1" si="20"/>
        <v>206.16560561962319</v>
      </c>
      <c r="BP29" s="9">
        <f t="shared" ca="1" si="21"/>
        <v>373.38374396755967</v>
      </c>
      <c r="BQ29">
        <f t="shared" ca="1" si="22"/>
        <v>426.52042999103588</v>
      </c>
      <c r="BR29">
        <f t="shared" ca="1" si="23"/>
        <v>0.4833663082069859</v>
      </c>
      <c r="BS29">
        <f t="shared" ca="1" si="24"/>
        <v>0.87541819268869958</v>
      </c>
      <c r="BT29">
        <f t="shared" ca="1" si="25"/>
        <v>1.0663003070935964</v>
      </c>
      <c r="BU29" s="39">
        <f t="shared" ca="1" si="26"/>
        <v>-3.770443667837855</v>
      </c>
    </row>
    <row r="30" spans="1:73" x14ac:dyDescent="0.25">
      <c r="A30" s="8" t="s">
        <v>102</v>
      </c>
      <c r="B30" s="1">
        <v>3.0000000000000001E-3</v>
      </c>
      <c r="AS30">
        <v>0.97738438111682513</v>
      </c>
      <c r="AT30">
        <v>186.62026089082087</v>
      </c>
      <c r="AU30">
        <v>410.78554844728831</v>
      </c>
      <c r="AV30" s="6">
        <f t="shared" si="0"/>
        <v>1.14437149776216</v>
      </c>
      <c r="AW30" s="6">
        <f t="shared" si="1"/>
        <v>0.16698711664533483</v>
      </c>
      <c r="AX30" s="6">
        <f t="shared" si="2"/>
        <v>-2.5908128300102948</v>
      </c>
      <c r="AY30" s="6">
        <f t="shared" si="3"/>
        <v>2.5908128300102948</v>
      </c>
      <c r="BE30" s="39"/>
      <c r="BF30" s="39"/>
      <c r="BG30" s="6">
        <f t="shared" si="12"/>
        <v>0.52359877559829882</v>
      </c>
      <c r="BH30" s="9">
        <f t="shared" ca="1" si="13"/>
        <v>166.05195961278793</v>
      </c>
      <c r="BI30" s="9">
        <f t="shared" ca="1" si="14"/>
        <v>370.34773731623983</v>
      </c>
      <c r="BJ30">
        <f t="shared" ca="1" si="15"/>
        <v>405.87029926628719</v>
      </c>
      <c r="BK30" s="6">
        <f t="shared" ca="1" si="16"/>
        <v>0.40912567367695707</v>
      </c>
      <c r="BL30" s="6">
        <f t="shared" ca="1" si="17"/>
        <v>0.91247804529115994</v>
      </c>
      <c r="BM30" s="6">
        <f t="shared" ca="1" si="18"/>
        <v>1.1493006595598394</v>
      </c>
      <c r="BN30" s="6">
        <f t="shared" ca="1" si="19"/>
        <v>2.6900809726624386</v>
      </c>
      <c r="BO30" s="9">
        <f t="shared" ca="1" si="20"/>
        <v>203.79062510326381</v>
      </c>
      <c r="BP30" s="9">
        <f t="shared" ca="1" si="21"/>
        <v>378.71815204221105</v>
      </c>
      <c r="BQ30">
        <f t="shared" ca="1" si="22"/>
        <v>430.06750349944633</v>
      </c>
      <c r="BR30">
        <f t="shared" ca="1" si="23"/>
        <v>0.47385729785446618</v>
      </c>
      <c r="BS30">
        <f t="shared" ca="1" si="24"/>
        <v>0.88060164732418245</v>
      </c>
      <c r="BT30">
        <f t="shared" ca="1" si="25"/>
        <v>1.0771303867914659</v>
      </c>
      <c r="BU30" s="39">
        <f t="shared" ca="1" si="26"/>
        <v>-3.7596135881399855</v>
      </c>
    </row>
    <row r="31" spans="1:73" x14ac:dyDescent="0.25">
      <c r="A31" s="8" t="s">
        <v>49</v>
      </c>
      <c r="B31" s="1">
        <f>B2*0.85</f>
        <v>4.25</v>
      </c>
      <c r="C31" t="s">
        <v>1</v>
      </c>
      <c r="AS31">
        <v>1.0122909661567117</v>
      </c>
      <c r="AT31">
        <v>185.76145459061013</v>
      </c>
      <c r="AU31">
        <v>412.0570983486989</v>
      </c>
      <c r="AV31" s="6">
        <f t="shared" si="0"/>
        <v>1.1472649862572029</v>
      </c>
      <c r="AW31" s="6">
        <f t="shared" si="1"/>
        <v>0.1349740201004912</v>
      </c>
      <c r="AX31" s="6">
        <f t="shared" si="2"/>
        <v>-2.5937063185053377</v>
      </c>
      <c r="AY31" s="6">
        <f t="shared" si="3"/>
        <v>2.5937063185053377</v>
      </c>
      <c r="BE31" s="39"/>
      <c r="BF31" s="39"/>
      <c r="BG31" s="6">
        <f t="shared" si="12"/>
        <v>0.55850536063818546</v>
      </c>
      <c r="BH31" s="9">
        <f t="shared" ca="1" si="13"/>
        <v>163.93190949517469</v>
      </c>
      <c r="BI31" s="9">
        <f t="shared" ca="1" si="14"/>
        <v>374.88994693171406</v>
      </c>
      <c r="BJ31">
        <f t="shared" ca="1" si="15"/>
        <v>409.16517845632649</v>
      </c>
      <c r="BK31" s="6">
        <f t="shared" ca="1" si="16"/>
        <v>0.40064970854471788</v>
      </c>
      <c r="BL31" s="6">
        <f t="shared" ca="1" si="17"/>
        <v>0.91623130870050107</v>
      </c>
      <c r="BM31" s="6">
        <f t="shared" ca="1" si="18"/>
        <v>1.1585704808345758</v>
      </c>
      <c r="BN31" s="6">
        <f t="shared" ca="1" si="19"/>
        <v>2.6993507939371755</v>
      </c>
      <c r="BO31" s="9">
        <f t="shared" ca="1" si="20"/>
        <v>201.67057498565057</v>
      </c>
      <c r="BP31" s="9">
        <f t="shared" ca="1" si="21"/>
        <v>383.26036165768528</v>
      </c>
      <c r="BQ31">
        <f t="shared" ca="1" si="22"/>
        <v>433.08143071831495</v>
      </c>
      <c r="BR31">
        <f t="shared" ca="1" si="23"/>
        <v>0.46566433165041715</v>
      </c>
      <c r="BS31">
        <f t="shared" ca="1" si="24"/>
        <v>0.88496142866713134</v>
      </c>
      <c r="BT31">
        <f t="shared" ca="1" si="25"/>
        <v>1.086411173763403</v>
      </c>
      <c r="BU31" s="39">
        <f t="shared" ca="1" si="26"/>
        <v>-3.7503328011680486</v>
      </c>
    </row>
    <row r="32" spans="1:73" x14ac:dyDescent="0.25">
      <c r="J32" t="s">
        <v>88</v>
      </c>
      <c r="N32" t="s">
        <v>89</v>
      </c>
      <c r="AS32">
        <v>1.0471975511965983</v>
      </c>
      <c r="AT32">
        <v>184.93593843419205</v>
      </c>
      <c r="AU32">
        <v>413.25583646996893</v>
      </c>
      <c r="AV32" s="6">
        <f t="shared" si="0"/>
        <v>1.1500153798430652</v>
      </c>
      <c r="AW32" s="6">
        <f t="shared" si="1"/>
        <v>0.10281782864646694</v>
      </c>
      <c r="AX32" s="6">
        <f t="shared" si="2"/>
        <v>-2.5964567120912001</v>
      </c>
      <c r="AY32" s="6">
        <f t="shared" si="3"/>
        <v>2.5964567120912001</v>
      </c>
      <c r="BE32" s="39"/>
      <c r="BF32" s="39"/>
      <c r="BG32" s="6">
        <f t="shared" si="12"/>
        <v>0.59341194567807209</v>
      </c>
      <c r="BH32" s="9">
        <f t="shared" ca="1" si="13"/>
        <v>162.02275563124095</v>
      </c>
      <c r="BI32" s="9">
        <f t="shared" ca="1" si="14"/>
        <v>378.80800504684856</v>
      </c>
      <c r="BJ32">
        <f t="shared" ca="1" si="15"/>
        <v>412.00349273994516</v>
      </c>
      <c r="BK32" s="6">
        <f t="shared" ca="1" si="16"/>
        <v>0.39325578177442544</v>
      </c>
      <c r="BL32" s="6">
        <f t="shared" ca="1" si="17"/>
        <v>0.91942911097103386</v>
      </c>
      <c r="BM32" s="6">
        <f t="shared" ca="1" si="18"/>
        <v>1.1666263137156303</v>
      </c>
      <c r="BN32" s="6">
        <f t="shared" ca="1" si="19"/>
        <v>2.70740662681823</v>
      </c>
      <c r="BO32" s="9">
        <f t="shared" ca="1" si="20"/>
        <v>199.76142112171684</v>
      </c>
      <c r="BP32" s="9">
        <f t="shared" ca="1" si="21"/>
        <v>387.17841977281978</v>
      </c>
      <c r="BQ32">
        <f t="shared" ca="1" si="22"/>
        <v>435.67390799351955</v>
      </c>
      <c r="BR32">
        <f t="shared" ca="1" si="23"/>
        <v>0.45851132568785413</v>
      </c>
      <c r="BS32">
        <f t="shared" ca="1" si="24"/>
        <v>0.88868856424282094</v>
      </c>
      <c r="BT32">
        <f t="shared" ca="1" si="25"/>
        <v>1.0944769896926543</v>
      </c>
      <c r="BU32" s="39">
        <f t="shared" ca="1" si="26"/>
        <v>-3.7422669852387971</v>
      </c>
    </row>
    <row r="33" spans="1:73" x14ac:dyDescent="0.25">
      <c r="A33" t="s">
        <v>19</v>
      </c>
      <c r="J33">
        <f>(J38*COS(-1*$B$27))+(K38*SIN(-1*$B$27))+$I$2</f>
        <v>33.735858310613551</v>
      </c>
      <c r="K33">
        <f>(-1*J38*SIN(-1*$B$27))+(K38*COS(-1*$B$27))+$I$3</f>
        <v>27.50383262375324</v>
      </c>
      <c r="N33">
        <f>(N38*COS(-1*$B$27))+(O38*SIN(-1*$B$27))+$I$2</f>
        <v>35.124275409739113</v>
      </c>
      <c r="O33">
        <f>(-1*N38*SIN(-1*$B$27))+(O38*COS(-1*$B$27))+$I$3</f>
        <v>26.197262881532517</v>
      </c>
      <c r="AS33">
        <v>1.0821041362364849</v>
      </c>
      <c r="AT33">
        <v>184.13986175727956</v>
      </c>
      <c r="AU33">
        <v>414.39033558022174</v>
      </c>
      <c r="AV33" s="6">
        <f t="shared" si="0"/>
        <v>1.1526397494760992</v>
      </c>
      <c r="AW33" s="6">
        <f t="shared" si="1"/>
        <v>7.0535613239614214E-2</v>
      </c>
      <c r="AX33" s="6">
        <f t="shared" si="2"/>
        <v>-2.599081081724234</v>
      </c>
      <c r="AY33" s="6">
        <f t="shared" si="3"/>
        <v>2.599081081724234</v>
      </c>
      <c r="BE33" s="39"/>
      <c r="BF33" s="39"/>
      <c r="BG33" s="6">
        <f t="shared" si="12"/>
        <v>0.62831853071795873</v>
      </c>
      <c r="BH33" s="9">
        <f t="shared" ca="1" si="13"/>
        <v>159.6577983271456</v>
      </c>
      <c r="BI33" s="9">
        <f t="shared" ca="1" si="14"/>
        <v>380.41988599005208</v>
      </c>
      <c r="BJ33">
        <f t="shared" ca="1" si="15"/>
        <v>412.56502787240186</v>
      </c>
      <c r="BK33" s="6">
        <f t="shared" ca="1" si="16"/>
        <v>0.38698820195812761</v>
      </c>
      <c r="BL33" s="6">
        <f t="shared" ca="1" si="17"/>
        <v>0.92208466614797113</v>
      </c>
      <c r="BM33" s="6">
        <f t="shared" ca="1" si="18"/>
        <v>1.1734332740475197</v>
      </c>
      <c r="BN33" s="6">
        <f t="shared" ca="1" si="19"/>
        <v>2.7142135871501192</v>
      </c>
      <c r="BO33" s="9">
        <f t="shared" ca="1" si="20"/>
        <v>197.39646381762148</v>
      </c>
      <c r="BP33" s="9">
        <f t="shared" ca="1" si="21"/>
        <v>388.7903007160233</v>
      </c>
      <c r="BQ33">
        <f t="shared" ca="1" si="22"/>
        <v>436.03126247845734</v>
      </c>
      <c r="BR33">
        <f t="shared" ca="1" si="23"/>
        <v>0.45271172230998941</v>
      </c>
      <c r="BS33">
        <f t="shared" ca="1" si="24"/>
        <v>0.89165693878482388</v>
      </c>
      <c r="BT33">
        <f t="shared" ca="1" si="25"/>
        <v>1.1009921103290012</v>
      </c>
      <c r="BU33" s="39">
        <f t="shared" ca="1" si="26"/>
        <v>-3.7357518646024501</v>
      </c>
    </row>
    <row r="34" spans="1:73" x14ac:dyDescent="0.25">
      <c r="J34">
        <f>(J39*COS(-1*$B$27))+(K39*SIN(-1*$B$27))+$I$2</f>
        <v>-8.2729224749036554</v>
      </c>
      <c r="K34">
        <f>(-1*J39*SIN(-1*$B$27))+(K39*COS(-1*$B$27))+$I$3</f>
        <v>-17.136501275985921</v>
      </c>
      <c r="N34">
        <f>(N39*COS(-1*$B$27))+(O39*SIN(-1*$B$27))+$I$2</f>
        <v>-6.8845053757780956</v>
      </c>
      <c r="O34">
        <f>(-1*N39*SIN(-1*$B$27))+(O39*COS(-1*$B$27))+$I$3</f>
        <v>-18.443071018206645</v>
      </c>
      <c r="AS34">
        <v>1.1170107212763716</v>
      </c>
      <c r="AT34">
        <v>183.36978991238436</v>
      </c>
      <c r="AU34">
        <v>415.46801050591534</v>
      </c>
      <c r="AV34" s="6">
        <f t="shared" si="0"/>
        <v>1.1551529728571877</v>
      </c>
      <c r="AW34" s="6">
        <f t="shared" si="1"/>
        <v>3.8142251580816078E-2</v>
      </c>
      <c r="AX34" s="6">
        <f t="shared" si="2"/>
        <v>-2.6015943051053227</v>
      </c>
      <c r="AY34" s="6">
        <f t="shared" si="3"/>
        <v>2.6015943051053227</v>
      </c>
      <c r="BE34" s="39"/>
      <c r="BF34" s="39"/>
      <c r="BG34" s="6">
        <f t="shared" si="12"/>
        <v>0.66322511575784537</v>
      </c>
      <c r="BH34" s="9">
        <f t="shared" ca="1" si="13"/>
        <v>155.77489751238733</v>
      </c>
      <c r="BI34" s="9">
        <f t="shared" ca="1" si="14"/>
        <v>376.66001574589251</v>
      </c>
      <c r="BJ34">
        <f t="shared" ca="1" si="15"/>
        <v>407.60101343923418</v>
      </c>
      <c r="BK34" s="6">
        <f t="shared" ca="1" si="16"/>
        <v>0.38217495142614627</v>
      </c>
      <c r="BL34" s="6">
        <f t="shared" ca="1" si="17"/>
        <v>0.92408998831413747</v>
      </c>
      <c r="BM34" s="6">
        <f t="shared" ca="1" si="18"/>
        <v>1.178647558205107</v>
      </c>
      <c r="BN34" s="6">
        <f t="shared" ca="1" si="19"/>
        <v>2.7194278713077065</v>
      </c>
      <c r="BO34" s="9">
        <f t="shared" ca="1" si="20"/>
        <v>193.51356300286321</v>
      </c>
      <c r="BP34" s="9">
        <f t="shared" ca="1" si="21"/>
        <v>385.03043047186372</v>
      </c>
      <c r="BQ34">
        <f t="shared" ca="1" si="22"/>
        <v>430.92450783798756</v>
      </c>
      <c r="BR34">
        <f t="shared" ca="1" si="23"/>
        <v>0.44906604169196496</v>
      </c>
      <c r="BS34">
        <f t="shared" ca="1" si="24"/>
        <v>0.89349856754172263</v>
      </c>
      <c r="BT34">
        <f t="shared" ca="1" si="25"/>
        <v>1.105076545031541</v>
      </c>
      <c r="BU34" s="39">
        <f t="shared" ca="1" si="26"/>
        <v>-3.7316674298999102</v>
      </c>
    </row>
    <row r="35" spans="1:73" x14ac:dyDescent="0.25">
      <c r="A35" s="8" t="s">
        <v>20</v>
      </c>
      <c r="AD35" t="s">
        <v>135</v>
      </c>
      <c r="AS35">
        <v>1.1519173063162582</v>
      </c>
      <c r="AT35">
        <v>181.25962761707262</v>
      </c>
      <c r="AU35">
        <v>416.34386471162236</v>
      </c>
      <c r="AV35" s="6">
        <f t="shared" si="0"/>
        <v>1.1601831641405627</v>
      </c>
      <c r="AW35" s="6">
        <f t="shared" si="1"/>
        <v>8.2658578243044456E-3</v>
      </c>
      <c r="AX35" s="6">
        <f t="shared" si="2"/>
        <v>-2.6066244963886973</v>
      </c>
      <c r="AY35" s="6">
        <f t="shared" si="3"/>
        <v>2.6066244963886973</v>
      </c>
      <c r="BE35" s="39"/>
      <c r="BF35" s="39"/>
      <c r="BG35" s="6">
        <f t="shared" si="12"/>
        <v>0.69813170079773201</v>
      </c>
      <c r="BH35" s="9">
        <f t="shared" ca="1" si="13"/>
        <v>152.15701661822132</v>
      </c>
      <c r="BI35" s="9">
        <f t="shared" ca="1" si="14"/>
        <v>372.68525809289508</v>
      </c>
      <c r="BJ35">
        <f t="shared" ca="1" si="15"/>
        <v>402.54944951636128</v>
      </c>
      <c r="BK35" s="6">
        <f t="shared" ca="1" si="16"/>
        <v>0.37798341744356806</v>
      </c>
      <c r="BL35" s="6">
        <f t="shared" ca="1" si="17"/>
        <v>0.92581236551348856</v>
      </c>
      <c r="BM35" s="6">
        <f t="shared" ca="1" si="18"/>
        <v>1.1831791777264722</v>
      </c>
      <c r="BN35" s="6">
        <f t="shared" ca="1" si="19"/>
        <v>2.7239594908290714</v>
      </c>
      <c r="BO35" s="9">
        <f t="shared" ca="1" si="20"/>
        <v>189.8956821086972</v>
      </c>
      <c r="BP35" s="9">
        <f t="shared" ca="1" si="21"/>
        <v>381.0556728188663</v>
      </c>
      <c r="BQ35">
        <f t="shared" ca="1" si="22"/>
        <v>425.75086126861356</v>
      </c>
      <c r="BR35">
        <f t="shared" ca="1" si="23"/>
        <v>0.44602536221033912</v>
      </c>
      <c r="BS35">
        <f t="shared" ca="1" si="24"/>
        <v>0.89502032170511969</v>
      </c>
      <c r="BT35">
        <f t="shared" ca="1" si="25"/>
        <v>1.1084767624632319</v>
      </c>
      <c r="BU35" s="39">
        <f t="shared" ca="1" si="26"/>
        <v>-3.7282672124682197</v>
      </c>
    </row>
    <row r="36" spans="1:73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147.00395464835259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1.1868238913561449</v>
      </c>
      <c r="AT36">
        <v>176.96264351666241</v>
      </c>
      <c r="AU36">
        <v>416.94200631306251</v>
      </c>
      <c r="AV36" s="6">
        <f t="shared" si="0"/>
        <v>1.1694086796637091</v>
      </c>
      <c r="AW36" s="6">
        <f t="shared" si="1"/>
        <v>1.7415211692435761E-2</v>
      </c>
      <c r="AX36" s="6">
        <f t="shared" si="2"/>
        <v>-2.615850011911844</v>
      </c>
      <c r="AY36" s="6">
        <f t="shared" si="3"/>
        <v>2.615850011911844</v>
      </c>
      <c r="BE36" s="39"/>
      <c r="BF36" s="39"/>
      <c r="BG36" s="6">
        <f t="shared" si="12"/>
        <v>0.73303828583761865</v>
      </c>
      <c r="BH36" s="9">
        <f t="shared" ca="1" si="13"/>
        <v>150.58245879718717</v>
      </c>
      <c r="BI36" s="9">
        <f t="shared" ca="1" si="14"/>
        <v>374.08980685045594</v>
      </c>
      <c r="BJ36">
        <f t="shared" ca="1" si="15"/>
        <v>403.25954481799687</v>
      </c>
      <c r="BK36" s="6">
        <f t="shared" ca="1" si="16"/>
        <v>0.37341325390115576</v>
      </c>
      <c r="BL36" s="6">
        <f t="shared" ca="1" si="17"/>
        <v>0.92766510218448495</v>
      </c>
      <c r="BM36" s="6">
        <f t="shared" ca="1" si="18"/>
        <v>1.1881106153729606</v>
      </c>
      <c r="BN36" s="6">
        <f t="shared" ca="1" si="19"/>
        <v>2.7288909284755603</v>
      </c>
      <c r="BO36" s="9">
        <f t="shared" ca="1" si="20"/>
        <v>188.32112428766305</v>
      </c>
      <c r="BP36" s="9">
        <f t="shared" ca="1" si="21"/>
        <v>382.46022157642716</v>
      </c>
      <c r="BQ36">
        <f t="shared" ca="1" si="22"/>
        <v>426.3105287712927</v>
      </c>
      <c r="BR36">
        <f t="shared" ca="1" si="23"/>
        <v>0.44174635993729744</v>
      </c>
      <c r="BS36">
        <f t="shared" ca="1" si="24"/>
        <v>0.89713998544382567</v>
      </c>
      <c r="BT36">
        <f t="shared" ca="1" si="25"/>
        <v>1.1132519983892135</v>
      </c>
      <c r="BU36" s="39">
        <f t="shared" ca="1" si="26"/>
        <v>-3.7234919765422378</v>
      </c>
    </row>
    <row r="37" spans="1:73" x14ac:dyDescent="0.25">
      <c r="A37" s="3">
        <f t="shared" ref="A37:A43" si="28">E3-$I$2</f>
        <v>-6</v>
      </c>
      <c r="B37" s="6">
        <f t="shared" ref="B37:B43" si="29">F3-$I$3</f>
        <v>-12</v>
      </c>
      <c r="C37" s="6">
        <f>A37*COS($B$27)+B37*SIN($B$27)</f>
        <v>12.850846886842927</v>
      </c>
      <c r="D37" s="6">
        <f>-1*A37*SIN($B$27)+B37*COS($B$27)</f>
        <v>3.8543137250254373</v>
      </c>
      <c r="F37" s="8" t="s">
        <v>23</v>
      </c>
      <c r="G37" s="1">
        <f>MAX(D37:D41)-MIN(D37:D41)</f>
        <v>17.477904038928333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AS37">
        <v>1.2217304763960315</v>
      </c>
      <c r="AT37">
        <v>172.66419551313788</v>
      </c>
      <c r="AU37">
        <v>417.53014654311403</v>
      </c>
      <c r="AV37" s="6">
        <f t="shared" si="0"/>
        <v>1.1786748012854364</v>
      </c>
      <c r="AW37" s="6">
        <f t="shared" si="1"/>
        <v>4.3055675110595049E-2</v>
      </c>
      <c r="AX37" s="6">
        <f t="shared" si="2"/>
        <v>-2.6251161335335711</v>
      </c>
      <c r="AY37" s="6">
        <f t="shared" si="3"/>
        <v>2.6251161335335711</v>
      </c>
      <c r="BE37" s="39"/>
      <c r="BF37" s="39"/>
      <c r="BG37" s="6">
        <f t="shared" si="12"/>
        <v>0.76794487087750529</v>
      </c>
      <c r="BH37" s="9">
        <f t="shared" ca="1" si="13"/>
        <v>150.90196596408595</v>
      </c>
      <c r="BI37" s="9">
        <f t="shared" ca="1" si="14"/>
        <v>380.85218752188757</v>
      </c>
      <c r="BJ37">
        <f t="shared" ca="1" si="15"/>
        <v>409.65814049281772</v>
      </c>
      <c r="BK37" s="6">
        <f t="shared" ca="1" si="16"/>
        <v>0.3683607160413101</v>
      </c>
      <c r="BL37" s="6">
        <f t="shared" ca="1" si="17"/>
        <v>0.9296829475028211</v>
      </c>
      <c r="BM37" s="6">
        <f t="shared" ca="1" si="18"/>
        <v>1.1935511954492695</v>
      </c>
      <c r="BN37" s="6">
        <f t="shared" ca="1" si="19"/>
        <v>2.7343315085518691</v>
      </c>
      <c r="BO37" s="9">
        <f t="shared" ca="1" si="20"/>
        <v>188.64063145456183</v>
      </c>
      <c r="BP37" s="9">
        <f t="shared" ca="1" si="21"/>
        <v>389.22260224785879</v>
      </c>
      <c r="BQ37">
        <f t="shared" ca="1" si="22"/>
        <v>432.52690313571327</v>
      </c>
      <c r="BR37">
        <f t="shared" ca="1" si="23"/>
        <v>0.43613618040164398</v>
      </c>
      <c r="BS37">
        <f t="shared" ca="1" si="24"/>
        <v>0.89988067661477478</v>
      </c>
      <c r="BT37">
        <f t="shared" ca="1" si="25"/>
        <v>1.1194958456946194</v>
      </c>
      <c r="BU37" s="39">
        <f t="shared" ca="1" si="26"/>
        <v>-3.717248129236832</v>
      </c>
    </row>
    <row r="38" spans="1:73" x14ac:dyDescent="0.25">
      <c r="A38" s="3">
        <f t="shared" si="28"/>
        <v>6</v>
      </c>
      <c r="B38" s="6">
        <f t="shared" si="29"/>
        <v>-12</v>
      </c>
      <c r="C38" s="6">
        <f t="shared" ref="C38:C41" si="30">A38*COS($B$27)+B38*SIN($B$27)</f>
        <v>4.6270571520854062</v>
      </c>
      <c r="D38" s="6">
        <f t="shared" ref="D38:D41" si="31">-1*A38*SIN($B$27)+B38*COS($B$27)</f>
        <v>12.593265744489603</v>
      </c>
      <c r="F38" s="8" t="s">
        <v>24</v>
      </c>
      <c r="G38" s="6">
        <f>MAX(D37:D43)</f>
        <v>19.106116803741244</v>
      </c>
      <c r="H38" t="s">
        <v>4</v>
      </c>
      <c r="J38" s="9">
        <f>MIN(C37:C43,A37:A43)-1</f>
        <v>-30.298426356357965</v>
      </c>
      <c r="K38" s="9">
        <f>G40</f>
        <v>9.5735062845406347</v>
      </c>
      <c r="N38" s="9">
        <f>J38</f>
        <v>-30.298426356357965</v>
      </c>
      <c r="O38" s="9">
        <f>G41</f>
        <v>11.480028388380758</v>
      </c>
      <c r="AD38">
        <f>AE37</f>
        <v>6.2831853071795862</v>
      </c>
      <c r="AE38">
        <f>AE37</f>
        <v>6.2831853071795862</v>
      </c>
      <c r="AS38">
        <v>1.2566370614359181</v>
      </c>
      <c r="AT38">
        <v>168.3269072282319</v>
      </c>
      <c r="AU38">
        <v>418.17023554219742</v>
      </c>
      <c r="AV38" s="6">
        <f t="shared" si="0"/>
        <v>1.1881090863348991</v>
      </c>
      <c r="AW38" s="6">
        <f t="shared" si="1"/>
        <v>6.8527975101019045E-2</v>
      </c>
      <c r="AX38" s="6">
        <f t="shared" si="2"/>
        <v>-2.634550418583034</v>
      </c>
      <c r="AY38" s="6">
        <f t="shared" si="3"/>
        <v>2.634550418583034</v>
      </c>
      <c r="BE38" s="39"/>
      <c r="BF38" s="39"/>
      <c r="BG38" s="6">
        <f t="shared" si="12"/>
        <v>0.80285145591739193</v>
      </c>
      <c r="BH38" s="9">
        <f t="shared" ca="1" si="13"/>
        <v>151.21313615013972</v>
      </c>
      <c r="BI38" s="9">
        <f t="shared" ca="1" si="14"/>
        <v>387.31859110925001</v>
      </c>
      <c r="BJ38">
        <f t="shared" ca="1" si="15"/>
        <v>415.7897347977883</v>
      </c>
      <c r="BK38" s="6">
        <f t="shared" ca="1" si="16"/>
        <v>0.36367693450556071</v>
      </c>
      <c r="BL38" s="6">
        <f t="shared" ca="1" si="17"/>
        <v>0.9315251404597934</v>
      </c>
      <c r="BM38" s="6">
        <f t="shared" ca="1" si="18"/>
        <v>1.1985842400387006</v>
      </c>
      <c r="BN38" s="6">
        <f t="shared" ca="1" si="19"/>
        <v>2.7393645531413</v>
      </c>
      <c r="BO38" s="9">
        <f t="shared" ca="1" si="20"/>
        <v>188.9518016406156</v>
      </c>
      <c r="BP38" s="9">
        <f t="shared" ca="1" si="21"/>
        <v>395.68900583522122</v>
      </c>
      <c r="BQ38">
        <f t="shared" ca="1" si="22"/>
        <v>438.48896529114649</v>
      </c>
      <c r="BR38">
        <f t="shared" ca="1" si="23"/>
        <v>0.43091575067380772</v>
      </c>
      <c r="BS38">
        <f t="shared" ca="1" si="24"/>
        <v>0.90239216298748348</v>
      </c>
      <c r="BT38">
        <f t="shared" ca="1" si="25"/>
        <v>1.125288992007518</v>
      </c>
      <c r="BU38" s="39">
        <f t="shared" ca="1" si="26"/>
        <v>-3.7114549829239332</v>
      </c>
    </row>
    <row r="39" spans="1:73" x14ac:dyDescent="0.25">
      <c r="A39" s="3">
        <f t="shared" si="28"/>
        <v>6</v>
      </c>
      <c r="B39" s="6">
        <f t="shared" si="29"/>
        <v>4</v>
      </c>
      <c r="C39" s="6">
        <f t="shared" si="30"/>
        <v>-7.0248788738668164</v>
      </c>
      <c r="D39" s="6">
        <f t="shared" si="31"/>
        <v>1.6282127648129099</v>
      </c>
      <c r="J39" s="9">
        <f>MAX(C37:C43,A37:A43)+1</f>
        <v>31</v>
      </c>
      <c r="K39" s="9">
        <f>K38</f>
        <v>9.5735062845406347</v>
      </c>
      <c r="N39" s="9">
        <f>J39</f>
        <v>31</v>
      </c>
      <c r="O39" s="9">
        <f>G41</f>
        <v>11.480028388380758</v>
      </c>
      <c r="AD39">
        <f>AD38</f>
        <v>6.2831853071795862</v>
      </c>
      <c r="AE39">
        <v>0</v>
      </c>
      <c r="AS39">
        <v>1.2915436464758048</v>
      </c>
      <c r="AT39">
        <v>163.91786559657393</v>
      </c>
      <c r="AU39">
        <v>418.88509035756402</v>
      </c>
      <c r="AV39" s="6">
        <f t="shared" si="0"/>
        <v>1.1977955446443509</v>
      </c>
      <c r="AW39" s="6">
        <f t="shared" si="1"/>
        <v>9.3748101831453878E-2</v>
      </c>
      <c r="AX39" s="6">
        <f t="shared" si="2"/>
        <v>-2.644236876892486</v>
      </c>
      <c r="AY39" s="6">
        <f t="shared" si="3"/>
        <v>2.644236876892486</v>
      </c>
      <c r="BE39" s="39"/>
      <c r="BF39" s="39"/>
      <c r="BG39" s="6">
        <f t="shared" si="12"/>
        <v>0.83775804095727857</v>
      </c>
      <c r="BH39" s="9">
        <f t="shared" ca="1" si="13"/>
        <v>151.51620032183033</v>
      </c>
      <c r="BI39" s="9">
        <f t="shared" ca="1" si="14"/>
        <v>393.52499083866087</v>
      </c>
      <c r="BJ39">
        <f t="shared" ca="1" si="15"/>
        <v>421.68599380882114</v>
      </c>
      <c r="BK39" s="6">
        <f t="shared" ca="1" si="16"/>
        <v>0.3593104882457227</v>
      </c>
      <c r="BL39" s="6">
        <f t="shared" ca="1" si="17"/>
        <v>0.93321807367657661</v>
      </c>
      <c r="BM39" s="6">
        <f t="shared" ca="1" si="18"/>
        <v>1.2032673923852071</v>
      </c>
      <c r="BN39" s="6">
        <f t="shared" ca="1" si="19"/>
        <v>2.7440477054878065</v>
      </c>
      <c r="BO39" s="9">
        <f t="shared" ca="1" si="20"/>
        <v>189.25486581230621</v>
      </c>
      <c r="BP39" s="9">
        <f t="shared" ca="1" si="21"/>
        <v>401.89540556463209</v>
      </c>
      <c r="BQ39">
        <f t="shared" ca="1" si="22"/>
        <v>444.22665526462293</v>
      </c>
      <c r="BR39">
        <f t="shared" ca="1" si="23"/>
        <v>0.42603221479262271</v>
      </c>
      <c r="BS39">
        <f t="shared" ca="1" si="24"/>
        <v>0.90470799264673929</v>
      </c>
      <c r="BT39">
        <f t="shared" ca="1" si="25"/>
        <v>1.1306938103046933</v>
      </c>
      <c r="BU39" s="39">
        <f t="shared" ca="1" si="26"/>
        <v>-3.7060501646267578</v>
      </c>
    </row>
    <row r="40" spans="1:73" x14ac:dyDescent="0.25">
      <c r="A40" s="3">
        <f t="shared" si="28"/>
        <v>30</v>
      </c>
      <c r="B40" s="6">
        <f t="shared" si="29"/>
        <v>4</v>
      </c>
      <c r="C40" s="6">
        <f t="shared" si="30"/>
        <v>-23.472458343381856</v>
      </c>
      <c r="D40" s="6">
        <f t="shared" si="31"/>
        <v>19.106116803741244</v>
      </c>
      <c r="F40" s="8" t="s">
        <v>50</v>
      </c>
      <c r="G40" s="9">
        <f>G38-B28</f>
        <v>9.5735062845406347</v>
      </c>
      <c r="AD40">
        <f>AE39</f>
        <v>0</v>
      </c>
      <c r="AE40">
        <f>AE39</f>
        <v>0</v>
      </c>
      <c r="AS40">
        <v>1.3264502315156914</v>
      </c>
      <c r="AT40">
        <v>159.39336791226287</v>
      </c>
      <c r="AU40">
        <v>419.69941847598494</v>
      </c>
      <c r="AV40" s="6">
        <f t="shared" si="0"/>
        <v>1.2078417321972914</v>
      </c>
      <c r="AW40" s="6">
        <f t="shared" si="1"/>
        <v>0.11860849931840001</v>
      </c>
      <c r="AX40" s="6">
        <f t="shared" si="2"/>
        <v>-2.6542830644454263</v>
      </c>
      <c r="AY40" s="6">
        <f t="shared" si="3"/>
        <v>2.6542830644454263</v>
      </c>
      <c r="BE40" s="39"/>
      <c r="BF40" s="39"/>
      <c r="BG40" s="6">
        <f t="shared" si="12"/>
        <v>0.87266462599716521</v>
      </c>
      <c r="BH40" s="9">
        <f t="shared" ca="1" si="13"/>
        <v>151.70430935548578</v>
      </c>
      <c r="BI40" s="9">
        <f t="shared" ca="1" si="14"/>
        <v>398.05487787188508</v>
      </c>
      <c r="BJ40">
        <f t="shared" ca="1" si="15"/>
        <v>425.98343075127497</v>
      </c>
      <c r="BK40" s="6">
        <f t="shared" ca="1" si="16"/>
        <v>0.35612725379467525</v>
      </c>
      <c r="BL40" s="6">
        <f t="shared" ca="1" si="17"/>
        <v>0.9344374666635874</v>
      </c>
      <c r="BM40" s="6">
        <f t="shared" ca="1" si="18"/>
        <v>1.2066761915988546</v>
      </c>
      <c r="BN40" s="6">
        <f t="shared" ca="1" si="19"/>
        <v>2.7474565047014541</v>
      </c>
      <c r="BO40" s="9">
        <f t="shared" ca="1" si="20"/>
        <v>189.44297484596166</v>
      </c>
      <c r="BP40" s="9">
        <f t="shared" ca="1" si="21"/>
        <v>406.4252925978563</v>
      </c>
      <c r="BQ40">
        <f t="shared" ca="1" si="22"/>
        <v>448.40847358378585</v>
      </c>
      <c r="BR40">
        <f t="shared" ca="1" si="23"/>
        <v>0.42247857925584881</v>
      </c>
      <c r="BS40">
        <f t="shared" ca="1" si="24"/>
        <v>0.90637290894529687</v>
      </c>
      <c r="BT40">
        <f t="shared" ca="1" si="25"/>
        <v>1.1346181308284906</v>
      </c>
      <c r="BU40" s="39">
        <f t="shared" ca="1" si="26"/>
        <v>-3.7021258441029605</v>
      </c>
    </row>
    <row r="41" spans="1:73" x14ac:dyDescent="0.25">
      <c r="A41" s="3">
        <f t="shared" si="28"/>
        <v>30</v>
      </c>
      <c r="B41" s="6">
        <f t="shared" si="29"/>
        <v>12</v>
      </c>
      <c r="C41" s="6">
        <f t="shared" si="30"/>
        <v>-29.298426356357965</v>
      </c>
      <c r="D41" s="6">
        <f t="shared" si="31"/>
        <v>13.623590313902898</v>
      </c>
      <c r="F41" s="8" t="s">
        <v>51</v>
      </c>
      <c r="G41" s="9">
        <f>G38-B29</f>
        <v>11.480028388380758</v>
      </c>
      <c r="J41" s="9"/>
      <c r="K41" s="9"/>
      <c r="N41" s="9"/>
      <c r="O41" s="9"/>
      <c r="AD41">
        <f>AD40</f>
        <v>0</v>
      </c>
      <c r="AE41">
        <f>AE37</f>
        <v>6.2831853071795862</v>
      </c>
      <c r="AS41">
        <v>1.3613568165555781</v>
      </c>
      <c r="AT41">
        <v>154.6864615212109</v>
      </c>
      <c r="AU41">
        <v>420.64947810677893</v>
      </c>
      <c r="AV41" s="6">
        <f t="shared" si="0"/>
        <v>1.2184123840417471</v>
      </c>
      <c r="AW41" s="6">
        <f t="shared" si="1"/>
        <v>0.14294443251383093</v>
      </c>
      <c r="AX41" s="6">
        <f t="shared" si="2"/>
        <v>-2.664853716289882</v>
      </c>
      <c r="AY41" s="6">
        <f t="shared" si="3"/>
        <v>2.664853716289882</v>
      </c>
      <c r="BE41" s="39"/>
      <c r="BF41" s="39"/>
      <c r="BG41" s="6">
        <f t="shared" si="12"/>
        <v>0.90757121103705185</v>
      </c>
      <c r="BH41" s="9">
        <f t="shared" ca="1" si="13"/>
        <v>150.71705857970997</v>
      </c>
      <c r="BI41" s="9">
        <f t="shared" ca="1" si="14"/>
        <v>399.61197635804524</v>
      </c>
      <c r="BJ41">
        <f t="shared" ca="1" si="15"/>
        <v>427.08940913549077</v>
      </c>
      <c r="BK41" s="6">
        <f t="shared" ca="1" si="16"/>
        <v>0.35289345826858509</v>
      </c>
      <c r="BL41" s="6">
        <f t="shared" ca="1" si="17"/>
        <v>0.93566351169169704</v>
      </c>
      <c r="BM41" s="6">
        <f t="shared" ca="1" si="18"/>
        <v>1.210134606240985</v>
      </c>
      <c r="BN41" s="6">
        <f t="shared" ca="1" si="19"/>
        <v>2.7509149193435842</v>
      </c>
      <c r="BO41" s="9">
        <f t="shared" ca="1" si="20"/>
        <v>188.45572407018585</v>
      </c>
      <c r="BP41" s="9">
        <f t="shared" ca="1" si="21"/>
        <v>407.98239108401646</v>
      </c>
      <c r="BQ41">
        <f t="shared" ca="1" si="22"/>
        <v>449.40537532327022</v>
      </c>
      <c r="BR41">
        <f t="shared" ca="1" si="23"/>
        <v>0.41934461494730502</v>
      </c>
      <c r="BS41">
        <f t="shared" ca="1" si="24"/>
        <v>0.90782712776976238</v>
      </c>
      <c r="BT41">
        <f t="shared" ca="1" si="25"/>
        <v>1.1380730543515198</v>
      </c>
      <c r="BU41" s="39">
        <f t="shared" ca="1" si="26"/>
        <v>-3.6986709205799313</v>
      </c>
    </row>
    <row r="42" spans="1:73" x14ac:dyDescent="0.25">
      <c r="A42" s="3">
        <f t="shared" si="28"/>
        <v>-14</v>
      </c>
      <c r="B42" s="6">
        <f t="shared" si="29"/>
        <v>12</v>
      </c>
      <c r="C42" s="6">
        <f t="shared" ref="C42:C43" si="32">A42*COS($B$27)+B42*SIN($B$27)</f>
        <v>0.85546933775293965</v>
      </c>
      <c r="D42" s="6">
        <f t="shared" ref="D42:D43" si="33">-1*A42*SIN($B$27)+B42*COS($B$27)</f>
        <v>-18.419233757465715</v>
      </c>
      <c r="J42" s="9"/>
      <c r="K42" s="9"/>
      <c r="N42" s="9"/>
      <c r="O42" s="9"/>
      <c r="AS42">
        <v>1.3962634015954647</v>
      </c>
      <c r="AT42">
        <v>149.90673761702607</v>
      </c>
      <c r="AU42">
        <v>421.37147687888319</v>
      </c>
      <c r="AV42" s="6">
        <f t="shared" si="0"/>
        <v>1.2290001469083061</v>
      </c>
      <c r="AW42" s="6">
        <f t="shared" si="1"/>
        <v>0.16726325468715864</v>
      </c>
      <c r="AX42" s="6">
        <f t="shared" si="2"/>
        <v>-2.6754414791564409</v>
      </c>
      <c r="AY42" s="6">
        <f t="shared" si="3"/>
        <v>2.6754414791564409</v>
      </c>
      <c r="BE42" s="39"/>
      <c r="BF42" s="39"/>
      <c r="BG42" s="6">
        <f t="shared" si="12"/>
        <v>0.94247779607693849</v>
      </c>
      <c r="BH42" s="9">
        <f t="shared" ca="1" si="13"/>
        <v>149.77803849815294</v>
      </c>
      <c r="BI42" s="9">
        <f t="shared" ca="1" si="14"/>
        <v>401.06079506573337</v>
      </c>
      <c r="BJ42">
        <f t="shared" ca="1" si="15"/>
        <v>428.11589804060344</v>
      </c>
      <c r="BK42" s="6">
        <f t="shared" ca="1" si="16"/>
        <v>0.34985395119325297</v>
      </c>
      <c r="BL42" s="6">
        <f t="shared" ca="1" si="17"/>
        <v>0.93680425534605094</v>
      </c>
      <c r="BM42" s="6">
        <f t="shared" ca="1" si="18"/>
        <v>1.2133811287810903</v>
      </c>
      <c r="BN42" s="6">
        <f t="shared" ca="1" si="19"/>
        <v>2.7541614418836895</v>
      </c>
      <c r="BO42" s="9">
        <f t="shared" ca="1" si="20"/>
        <v>187.51670398862882</v>
      </c>
      <c r="BP42" s="9">
        <f t="shared" ca="1" si="21"/>
        <v>409.43120979170459</v>
      </c>
      <c r="BQ42">
        <f t="shared" ca="1" si="22"/>
        <v>450.32924602590253</v>
      </c>
      <c r="BR42">
        <f t="shared" ca="1" si="23"/>
        <v>0.41639912495899284</v>
      </c>
      <c r="BS42">
        <f t="shared" ca="1" si="24"/>
        <v>0.90918192279289467</v>
      </c>
      <c r="BT42">
        <f t="shared" ca="1" si="25"/>
        <v>1.1413151817446665</v>
      </c>
      <c r="BU42" s="39">
        <f t="shared" ca="1" si="26"/>
        <v>-3.6954287931867849</v>
      </c>
    </row>
    <row r="43" spans="1:73" x14ac:dyDescent="0.25">
      <c r="A43" s="3">
        <f t="shared" si="28"/>
        <v>-14</v>
      </c>
      <c r="B43" s="6">
        <f t="shared" si="29"/>
        <v>4</v>
      </c>
      <c r="C43" s="6">
        <f t="shared" si="32"/>
        <v>6.6814373507290501</v>
      </c>
      <c r="D43" s="6">
        <f t="shared" si="33"/>
        <v>-12.936707267627368</v>
      </c>
      <c r="AD43" t="s">
        <v>134</v>
      </c>
      <c r="AS43">
        <v>1.4311699866353513</v>
      </c>
      <c r="AT43">
        <v>145.37215017060186</v>
      </c>
      <c r="AU43">
        <v>421.04644198990491</v>
      </c>
      <c r="AV43" s="6">
        <f t="shared" si="0"/>
        <v>1.2383469362324653</v>
      </c>
      <c r="AW43" s="6">
        <f t="shared" si="1"/>
        <v>0.19282305040288605</v>
      </c>
      <c r="AX43" s="6">
        <f t="shared" si="2"/>
        <v>-2.6847882684806001</v>
      </c>
      <c r="AY43" s="6">
        <f t="shared" si="3"/>
        <v>2.6847882684806001</v>
      </c>
      <c r="BE43" s="39"/>
      <c r="BF43" s="39"/>
      <c r="BG43" s="6">
        <f t="shared" si="12"/>
        <v>0.97738438111682513</v>
      </c>
      <c r="BH43" s="9">
        <f t="shared" ca="1" si="13"/>
        <v>148.88159540034499</v>
      </c>
      <c r="BI43" s="9">
        <f t="shared" ca="1" si="14"/>
        <v>402.41513372131709</v>
      </c>
      <c r="BJ43">
        <f t="shared" ca="1" si="15"/>
        <v>429.07303492167568</v>
      </c>
      <c r="BK43" s="6">
        <f t="shared" ca="1" si="16"/>
        <v>0.34698427373214513</v>
      </c>
      <c r="BL43" s="6">
        <f t="shared" ca="1" si="17"/>
        <v>0.93787094729636222</v>
      </c>
      <c r="BM43" s="6">
        <f t="shared" ca="1" si="18"/>
        <v>1.2164426460141899</v>
      </c>
      <c r="BN43" s="6">
        <f t="shared" ca="1" si="19"/>
        <v>2.7572229591167892</v>
      </c>
      <c r="BO43" s="9">
        <f t="shared" ca="1" si="20"/>
        <v>186.62026089082087</v>
      </c>
      <c r="BP43" s="9">
        <f t="shared" ca="1" si="21"/>
        <v>410.78554844728831</v>
      </c>
      <c r="BQ43">
        <f t="shared" ca="1" si="22"/>
        <v>451.18941542117045</v>
      </c>
      <c r="BR43">
        <f t="shared" ca="1" si="23"/>
        <v>0.4136184372069478</v>
      </c>
      <c r="BS43">
        <f t="shared" ca="1" si="24"/>
        <v>0.91045032176526908</v>
      </c>
      <c r="BT43">
        <f t="shared" ca="1" si="25"/>
        <v>1.14437149776216</v>
      </c>
      <c r="BU43" s="39">
        <f t="shared" ca="1" si="26"/>
        <v>-3.6923724771692914</v>
      </c>
    </row>
    <row r="44" spans="1:73" x14ac:dyDescent="0.25">
      <c r="A44" s="3">
        <f t="shared" ref="A44:A45" si="34">E10-$I$2</f>
        <v>-6</v>
      </c>
      <c r="B44" s="6">
        <f t="shared" ref="B44:B45" si="35">F10-$I$3</f>
        <v>4</v>
      </c>
      <c r="C44" s="6">
        <f t="shared" ref="C44:C45" si="36">A44*COS($B$27)+B44*SIN($B$27)</f>
        <v>1.1989108608907046</v>
      </c>
      <c r="D44" s="6">
        <f t="shared" ref="D44:D45" si="37">-1*A44*SIN($B$27)+B44*COS($B$27)</f>
        <v>-7.1107392546512571</v>
      </c>
      <c r="AD44" t="s">
        <v>8</v>
      </c>
      <c r="AE44" t="s">
        <v>9</v>
      </c>
      <c r="AS44">
        <v>1.466076571675238</v>
      </c>
      <c r="AT44">
        <v>140.21682597199629</v>
      </c>
      <c r="AU44">
        <v>420.81759172281863</v>
      </c>
      <c r="AV44" s="6">
        <f t="shared" si="0"/>
        <v>1.2491649122198512</v>
      </c>
      <c r="AW44" s="6">
        <f t="shared" si="1"/>
        <v>0.21691165945538682</v>
      </c>
      <c r="AX44" s="6">
        <f t="shared" si="2"/>
        <v>-2.695606244467986</v>
      </c>
      <c r="AY44" s="6">
        <f t="shared" si="3"/>
        <v>2.695606244467986</v>
      </c>
      <c r="BE44" s="39"/>
      <c r="BF44" s="39"/>
      <c r="BG44" s="6">
        <f t="shared" si="12"/>
        <v>1.0122909661567117</v>
      </c>
      <c r="BH44" s="9">
        <f t="shared" ca="1" si="13"/>
        <v>148.02278910013425</v>
      </c>
      <c r="BI44" s="9">
        <f t="shared" ca="1" si="14"/>
        <v>403.68668362272768</v>
      </c>
      <c r="BJ44">
        <f t="shared" ca="1" si="15"/>
        <v>429.96939964060124</v>
      </c>
      <c r="BK44" s="6">
        <f t="shared" ca="1" si="16"/>
        <v>0.34426354346114429</v>
      </c>
      <c r="BL44" s="6">
        <f t="shared" ca="1" si="17"/>
        <v>0.93887305459448389</v>
      </c>
      <c r="BM44" s="6">
        <f t="shared" ca="1" si="18"/>
        <v>1.2193420594261974</v>
      </c>
      <c r="BN44" s="6">
        <f t="shared" ca="1" si="19"/>
        <v>2.7601223725287971</v>
      </c>
      <c r="BO44" s="9">
        <f t="shared" ca="1" si="20"/>
        <v>185.76145459061013</v>
      </c>
      <c r="BP44" s="9">
        <f t="shared" ca="1" si="21"/>
        <v>412.0570983486989</v>
      </c>
      <c r="BQ44">
        <f t="shared" ca="1" si="22"/>
        <v>451.99377242520563</v>
      </c>
      <c r="BR44">
        <f t="shared" ca="1" si="23"/>
        <v>0.41098233188898481</v>
      </c>
      <c r="BS44">
        <f t="shared" ca="1" si="24"/>
        <v>0.91164330901679558</v>
      </c>
      <c r="BT44">
        <f t="shared" ca="1" si="25"/>
        <v>1.1472649862572029</v>
      </c>
      <c r="BU44" s="39">
        <f t="shared" ca="1" si="26"/>
        <v>-3.6894789886742485</v>
      </c>
    </row>
    <row r="45" spans="1:73" x14ac:dyDescent="0.25">
      <c r="A45" s="3">
        <f t="shared" si="34"/>
        <v>-6</v>
      </c>
      <c r="B45" s="6">
        <f t="shared" si="35"/>
        <v>-12</v>
      </c>
      <c r="C45" s="6">
        <f t="shared" si="36"/>
        <v>12.850846886842927</v>
      </c>
      <c r="D45" s="6">
        <f t="shared" si="37"/>
        <v>3.8543137250254373</v>
      </c>
      <c r="AD45" s="39">
        <f>U13+PI()/3</f>
        <v>5.8839415261280488</v>
      </c>
      <c r="AE45">
        <v>0</v>
      </c>
      <c r="AS45">
        <v>1.5009831567151246</v>
      </c>
      <c r="AT45">
        <v>133.35695203302208</v>
      </c>
      <c r="AU45">
        <v>420.61445779254529</v>
      </c>
      <c r="AV45" s="6">
        <f t="shared" si="0"/>
        <v>1.2637691901210584</v>
      </c>
      <c r="AW45" s="6">
        <f t="shared" si="1"/>
        <v>0.23721396659406624</v>
      </c>
      <c r="AX45" s="6">
        <f t="shared" si="2"/>
        <v>-2.7102105223691932</v>
      </c>
      <c r="AY45" s="6">
        <f t="shared" si="3"/>
        <v>2.7102105223691932</v>
      </c>
      <c r="BE45" s="39"/>
      <c r="BF45" s="39"/>
      <c r="BG45" s="6">
        <f t="shared" si="12"/>
        <v>1.0471975511965983</v>
      </c>
      <c r="BH45" s="9">
        <f t="shared" ca="1" si="13"/>
        <v>147.19727294371617</v>
      </c>
      <c r="BI45" s="9">
        <f t="shared" ca="1" si="14"/>
        <v>404.88542174399771</v>
      </c>
      <c r="BJ45">
        <f t="shared" ca="1" si="15"/>
        <v>430.81230472548225</v>
      </c>
      <c r="BK45" s="6">
        <f t="shared" ca="1" si="16"/>
        <v>0.34167379002211112</v>
      </c>
      <c r="BL45" s="6">
        <f t="shared" ca="1" si="17"/>
        <v>0.93981861080313056</v>
      </c>
      <c r="BM45" s="6">
        <f t="shared" ca="1" si="18"/>
        <v>1.2220990331716604</v>
      </c>
      <c r="BN45" s="6">
        <f t="shared" ca="1" si="19"/>
        <v>2.7628793462742598</v>
      </c>
      <c r="BO45" s="9">
        <f t="shared" ca="1" si="20"/>
        <v>184.93593843419205</v>
      </c>
      <c r="BP45" s="9">
        <f t="shared" ca="1" si="21"/>
        <v>413.25583646996893</v>
      </c>
      <c r="BQ45">
        <f t="shared" ca="1" si="22"/>
        <v>452.74903390402608</v>
      </c>
      <c r="BR45">
        <f t="shared" ca="1" si="23"/>
        <v>0.40847340266968929</v>
      </c>
      <c r="BS45">
        <f t="shared" ca="1" si="24"/>
        <v>0.91277022262530338</v>
      </c>
      <c r="BT45">
        <f t="shared" ca="1" si="25"/>
        <v>1.1500153798430652</v>
      </c>
      <c r="BU45" s="39">
        <f t="shared" ca="1" si="26"/>
        <v>-3.6867285950883861</v>
      </c>
    </row>
    <row r="46" spans="1:73" x14ac:dyDescent="0.25">
      <c r="AD46" s="39">
        <f>U13-PI()/3</f>
        <v>3.789546423734854</v>
      </c>
      <c r="AE46">
        <f>AE45</f>
        <v>0</v>
      </c>
      <c r="AS46">
        <v>1.5358897417550113</v>
      </c>
      <c r="AT46">
        <v>121.78013551304095</v>
      </c>
      <c r="AU46">
        <v>421.00845591411655</v>
      </c>
      <c r="AV46" s="6">
        <f t="shared" si="0"/>
        <v>1.2892233224146517</v>
      </c>
      <c r="AW46" s="6">
        <f t="shared" si="1"/>
        <v>0.2466664193403596</v>
      </c>
      <c r="AX46" s="6">
        <f t="shared" si="2"/>
        <v>-2.7356646546627865</v>
      </c>
      <c r="AY46" s="6">
        <f t="shared" si="3"/>
        <v>2.7356646546627865</v>
      </c>
      <c r="BE46" s="39"/>
      <c r="BF46" s="39"/>
      <c r="BG46" s="6">
        <f t="shared" si="12"/>
        <v>1.0821041362364849</v>
      </c>
      <c r="BH46" s="9">
        <f t="shared" ca="1" si="13"/>
        <v>146.40119626680368</v>
      </c>
      <c r="BI46" s="9">
        <f t="shared" ca="1" si="14"/>
        <v>406.01992085425053</v>
      </c>
      <c r="BJ46">
        <f t="shared" ca="1" si="15"/>
        <v>431.60802402045658</v>
      </c>
      <c r="BK46" s="6">
        <f t="shared" ca="1" si="16"/>
        <v>0.33919943124102997</v>
      </c>
      <c r="BL46" s="6">
        <f t="shared" ca="1" si="17"/>
        <v>0.94071448689055592</v>
      </c>
      <c r="BM46" s="6">
        <f t="shared" ca="1" si="18"/>
        <v>1.2247305820193719</v>
      </c>
      <c r="BN46" s="6">
        <f t="shared" ca="1" si="19"/>
        <v>2.7655108951219711</v>
      </c>
      <c r="BO46" s="9">
        <f t="shared" ca="1" si="20"/>
        <v>184.13986175727956</v>
      </c>
      <c r="BP46" s="9">
        <f t="shared" ca="1" si="21"/>
        <v>414.39033558022174</v>
      </c>
      <c r="BQ46">
        <f t="shared" ca="1" si="22"/>
        <v>453.46095632400244</v>
      </c>
      <c r="BR46">
        <f t="shared" ca="1" si="23"/>
        <v>0.4060765523233047</v>
      </c>
      <c r="BS46">
        <f t="shared" ca="1" si="24"/>
        <v>0.91383906332199338</v>
      </c>
      <c r="BT46">
        <f t="shared" ca="1" si="25"/>
        <v>1.1526397494760992</v>
      </c>
      <c r="BU46" s="39">
        <f t="shared" ca="1" si="26"/>
        <v>-3.6841042254553522</v>
      </c>
    </row>
    <row r="47" spans="1:73" x14ac:dyDescent="0.25">
      <c r="A47" t="s">
        <v>27</v>
      </c>
      <c r="AS47">
        <v>1.5707963267948979</v>
      </c>
      <c r="AT47">
        <v>106.62677855676571</v>
      </c>
      <c r="AU47">
        <v>421.68718250868784</v>
      </c>
      <c r="AV47" s="6">
        <f t="shared" si="0"/>
        <v>1.3231300390796705</v>
      </c>
      <c r="AW47" s="6">
        <f t="shared" si="1"/>
        <v>0.24766628771522736</v>
      </c>
      <c r="AX47" s="6">
        <f t="shared" si="2"/>
        <v>-2.7695713713278054</v>
      </c>
      <c r="AY47" s="6">
        <f t="shared" si="3"/>
        <v>2.7695713713278054</v>
      </c>
      <c r="BE47" s="39"/>
      <c r="BF47" s="39"/>
      <c r="BG47" s="6">
        <f t="shared" si="12"/>
        <v>1.1170107212763716</v>
      </c>
      <c r="BH47" s="9">
        <f t="shared" ca="1" si="13"/>
        <v>145.63112442190848</v>
      </c>
      <c r="BI47" s="9">
        <f t="shared" ca="1" si="14"/>
        <v>407.09759577994413</v>
      </c>
      <c r="BJ47">
        <f t="shared" ca="1" si="15"/>
        <v>432.36197438049544</v>
      </c>
      <c r="BK47" s="6">
        <f t="shared" ca="1" si="16"/>
        <v>0.33682685585515298</v>
      </c>
      <c r="BL47" s="6">
        <f t="shared" ca="1" si="17"/>
        <v>0.94156660368490763</v>
      </c>
      <c r="BM47" s="6">
        <f t="shared" ca="1" si="18"/>
        <v>1.2272515382583058</v>
      </c>
      <c r="BN47" s="6">
        <f t="shared" ca="1" si="19"/>
        <v>2.768031851360905</v>
      </c>
      <c r="BO47" s="9">
        <f t="shared" ca="1" si="20"/>
        <v>183.36978991238436</v>
      </c>
      <c r="BP47" s="9">
        <f t="shared" ca="1" si="21"/>
        <v>415.46801050591534</v>
      </c>
      <c r="BQ47">
        <f t="shared" ca="1" si="22"/>
        <v>454.13450387110578</v>
      </c>
      <c r="BR47">
        <f t="shared" ca="1" si="23"/>
        <v>0.40377859059224686</v>
      </c>
      <c r="BS47">
        <f t="shared" ca="1" si="24"/>
        <v>0.91485673729788897</v>
      </c>
      <c r="BT47">
        <f t="shared" ca="1" si="25"/>
        <v>1.1551529728571877</v>
      </c>
      <c r="BU47" s="39">
        <f t="shared" ca="1" si="26"/>
        <v>-3.6815910020742635</v>
      </c>
    </row>
    <row r="48" spans="1:73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1.6057029118347845</v>
      </c>
      <c r="AT48">
        <v>89.745983784762444</v>
      </c>
      <c r="AU48">
        <v>420.43429016519883</v>
      </c>
      <c r="AV48" s="6">
        <f t="shared" si="0"/>
        <v>1.3604924079433942</v>
      </c>
      <c r="AW48" s="6">
        <f t="shared" si="1"/>
        <v>0.24521050389139032</v>
      </c>
      <c r="AX48" s="6">
        <f t="shared" si="2"/>
        <v>-2.8069337401915293</v>
      </c>
      <c r="AY48" s="6">
        <f t="shared" si="3"/>
        <v>2.8069337401915293</v>
      </c>
      <c r="BE48" s="39"/>
      <c r="BF48" s="39"/>
      <c r="BG48" s="6">
        <f t="shared" si="12"/>
        <v>1.1519173063162582</v>
      </c>
      <c r="BH48" s="9">
        <f t="shared" ca="1" si="13"/>
        <v>143.52096212659674</v>
      </c>
      <c r="BI48" s="9">
        <f t="shared" ca="1" si="14"/>
        <v>407.97344998565114</v>
      </c>
      <c r="BJ48">
        <f t="shared" ca="1" si="15"/>
        <v>432.48190998345655</v>
      </c>
      <c r="BK48" s="6">
        <f t="shared" ca="1" si="16"/>
        <v>0.33185425520361478</v>
      </c>
      <c r="BL48" s="6">
        <f t="shared" ca="1" si="17"/>
        <v>0.94333067018053329</v>
      </c>
      <c r="BM48" s="6">
        <f t="shared" ca="1" si="18"/>
        <v>1.2325277824171388</v>
      </c>
      <c r="BN48" s="6">
        <f t="shared" ca="1" si="19"/>
        <v>2.773308095519738</v>
      </c>
      <c r="BO48" s="9">
        <f t="shared" ca="1" si="20"/>
        <v>181.25962761707262</v>
      </c>
      <c r="BP48" s="9">
        <f t="shared" ca="1" si="21"/>
        <v>416.34386471162236</v>
      </c>
      <c r="BQ48">
        <f t="shared" ca="1" si="22"/>
        <v>454.08949149577279</v>
      </c>
      <c r="BR48">
        <f t="shared" ca="1" si="23"/>
        <v>0.39917159725498735</v>
      </c>
      <c r="BS48">
        <f t="shared" ca="1" si="24"/>
        <v>0.9168762380740938</v>
      </c>
      <c r="BT48">
        <f t="shared" ca="1" si="25"/>
        <v>1.1601831641405627</v>
      </c>
      <c r="BU48" s="39">
        <f t="shared" ca="1" si="26"/>
        <v>-3.6765608107908889</v>
      </c>
    </row>
    <row r="49" spans="1:73" x14ac:dyDescent="0.25">
      <c r="A49" t="s">
        <v>43</v>
      </c>
      <c r="B49" s="6">
        <f>C37</f>
        <v>12.850846886842927</v>
      </c>
      <c r="C49" s="6">
        <f>D37</f>
        <v>3.8543137250254373</v>
      </c>
      <c r="D49" s="6">
        <f t="shared" ref="D49:E56" si="38">C38</f>
        <v>4.6270571520854062</v>
      </c>
      <c r="E49" s="6">
        <f t="shared" si="38"/>
        <v>12.593265744489603</v>
      </c>
      <c r="F49" s="6">
        <f t="shared" ref="F49:F54" si="39">IF(B49=D49,"V",(C49-E49)/(B49-D49))</f>
        <v>-1.0626429300021292</v>
      </c>
      <c r="G49" s="6">
        <f t="shared" ref="G49:G54" si="40">IF(F49="V",0,(-1*B49*F49)+C49)</f>
        <v>17.510175313868945</v>
      </c>
      <c r="H49" s="6">
        <f>IF(AND(C49&lt;$G$41,E49&lt;$G$41),0,IF(AND(C49&lt;$G$41,E49&gt;$G$41),IF(F49="V",B49,($G$41-G49)/F49),B49))</f>
        <v>5.6746690306179381</v>
      </c>
      <c r="I49" s="6">
        <f>IF(AND(C49&lt;$G$41,E49&lt;$G$41),0,IF(AND(C49&lt;$G$41,E49&gt;$G$41),$G$41,C49))</f>
        <v>11.480028388380758</v>
      </c>
      <c r="J49" s="6">
        <f>IF(AND(C49&lt;$G$41,E49&lt;$G$41),0,IF(E49&gt;=$G$41,D49,IF(F49="V",D49,($G$41-G49)/F49)))</f>
        <v>4.6270571520854062</v>
      </c>
      <c r="K49" s="6">
        <f>IF(AND(C49&lt;$G$41,E49&lt;$G$41),0,IF(E49&gt;=$G$41,E49,$G$41))</f>
        <v>12.593265744489603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24.370066140353622</v>
      </c>
      <c r="O49" s="10">
        <f>((1/12)*(K49-I49)*(L49*H49*((3*I49)+K49)+L49*J49*(I49+K49)+M49*H49*(I49+K49)+M49*J49*(I49+(3*K49))))</f>
        <v>292.87406958148921</v>
      </c>
      <c r="P49" s="10">
        <f>((-1/24)*(K49-I49)*(H49*H49*((3*L49)+M49)+2*H49*J49*(L49+M49)+J49*J49*(L49+(3*M49))))</f>
        <v>-62.979791785005318</v>
      </c>
      <c r="S49">
        <f>IF(AND(I49=0,K49=0,H49=0,J49=0),NA(),H49)</f>
        <v>5.6746690306179381</v>
      </c>
      <c r="T49">
        <f>IF(AND(I49=0,K49=0,H49=0,J49=0),NA(),I49)</f>
        <v>11.480028388380758</v>
      </c>
      <c r="V49">
        <f>IF(AND(I49=0,K49=0,H49=0,J49=0),NA(),J49)</f>
        <v>4.6270571520854062</v>
      </c>
      <c r="W49">
        <f>IF(AND(I49=0,K49=0,H49=0,J49=0),NA(),K49)</f>
        <v>12.593265744489603</v>
      </c>
      <c r="AC49">
        <v>0</v>
      </c>
      <c r="AD49">
        <f>-PI()</f>
        <v>-3.1415926535897931</v>
      </c>
      <c r="AS49">
        <v>1.6406094968746712</v>
      </c>
      <c r="AT49">
        <v>72.625839786286079</v>
      </c>
      <c r="AU49">
        <v>418.64229056627426</v>
      </c>
      <c r="AV49" s="6">
        <f t="shared" si="0"/>
        <v>1.3990263944932262</v>
      </c>
      <c r="AW49" s="6">
        <f t="shared" si="1"/>
        <v>0.24158310238144498</v>
      </c>
      <c r="AX49" s="6">
        <f t="shared" si="2"/>
        <v>-2.8454677267413611</v>
      </c>
      <c r="AY49" s="6">
        <f t="shared" si="3"/>
        <v>2.8454677267413611</v>
      </c>
      <c r="BE49" s="39"/>
      <c r="BF49" s="39"/>
      <c r="BG49" s="6">
        <f t="shared" si="12"/>
        <v>1.1868238913561449</v>
      </c>
      <c r="BH49" s="9">
        <f t="shared" ca="1" si="13"/>
        <v>139.22397802618653</v>
      </c>
      <c r="BI49" s="9">
        <f t="shared" ca="1" si="14"/>
        <v>408.57159158709129</v>
      </c>
      <c r="BJ49">
        <f t="shared" ca="1" si="15"/>
        <v>431.64112583191724</v>
      </c>
      <c r="BK49" s="6">
        <f t="shared" ca="1" si="16"/>
        <v>0.32254567439062998</v>
      </c>
      <c r="BL49" s="6">
        <f t="shared" ca="1" si="17"/>
        <v>0.9465539012290286</v>
      </c>
      <c r="BM49" s="6">
        <f t="shared" ca="1" si="18"/>
        <v>1.2423786544529674</v>
      </c>
      <c r="BN49" s="6">
        <f t="shared" ca="1" si="19"/>
        <v>2.7831589675555666</v>
      </c>
      <c r="BO49" s="9">
        <f t="shared" ca="1" si="20"/>
        <v>176.96264351666241</v>
      </c>
      <c r="BP49" s="9">
        <f t="shared" ca="1" si="21"/>
        <v>416.94200631306251</v>
      </c>
      <c r="BQ49">
        <f t="shared" ca="1" si="22"/>
        <v>452.9419541494994</v>
      </c>
      <c r="BR49">
        <f t="shared" ca="1" si="23"/>
        <v>0.39069607461942812</v>
      </c>
      <c r="BS49">
        <f t="shared" ca="1" si="24"/>
        <v>0.92051973214970806</v>
      </c>
      <c r="BT49">
        <f t="shared" ca="1" si="25"/>
        <v>1.1694086796637091</v>
      </c>
      <c r="BU49" s="39">
        <f t="shared" ca="1" si="26"/>
        <v>-3.6673352952677423</v>
      </c>
    </row>
    <row r="50" spans="1:73" x14ac:dyDescent="0.25">
      <c r="A50" t="s">
        <v>44</v>
      </c>
      <c r="B50" s="6">
        <f t="shared" ref="B50:C54" si="41">D49</f>
        <v>4.6270571520854062</v>
      </c>
      <c r="C50" s="6">
        <f t="shared" si="41"/>
        <v>12.593265744489603</v>
      </c>
      <c r="D50" s="6">
        <f t="shared" si="38"/>
        <v>-7.0248788738668164</v>
      </c>
      <c r="E50" s="6">
        <f t="shared" si="38"/>
        <v>1.6282127648129099</v>
      </c>
      <c r="F50" s="6">
        <f t="shared" si="39"/>
        <v>0.94104987834247955</v>
      </c>
      <c r="G50" s="6">
        <f t="shared" si="40"/>
        <v>8.2389741744359313</v>
      </c>
      <c r="H50" s="6">
        <f t="shared" ref="H50:H54" si="42">IF(AND(C50&lt;$G$41,E50&lt;$G$41),0,IF(AND(C50&lt;$G$41,E50&gt;$G$41),IF(F50="V",B50,($G$41-G50)/F50),B50))</f>
        <v>4.6270571520854062</v>
      </c>
      <c r="I50" s="6">
        <f t="shared" ref="I50:I54" si="43">IF(AND(C50&lt;$G$41,E50&lt;$G$41),0,IF(AND(C50&lt;$G$41,E50&gt;$G$41),$G$41,C50))</f>
        <v>12.593265744489603</v>
      </c>
      <c r="J50" s="6">
        <f t="shared" ref="J50:J54" si="44">IF(AND(C50&lt;$G$41,E50&lt;$G$41),0,IF(E50&gt;=$G$41,D50,IF(F50="V",D50,($G$41-G50)/F50)))</f>
        <v>3.444083346202079</v>
      </c>
      <c r="K50" s="6">
        <f t="shared" ref="K50:K54" si="45">IF(AND(C50&lt;$G$41,E50&lt;$G$41),0,IF(E50&gt;=$G$41,E50,$G$41))</f>
        <v>11.480028388380758</v>
      </c>
      <c r="L50" s="6">
        <f t="shared" ref="L50:L54" si="46">IF(AND(I50=0,K50=0,H50=0,J50=0),0,$B$31)</f>
        <v>4.25</v>
      </c>
      <c r="M50" s="6">
        <f t="shared" ref="M50:M54" si="47">IF(AND(I50=0,K50=0,H50=0,J50=0),0,$B$31)</f>
        <v>4.25</v>
      </c>
      <c r="N50" s="10">
        <f t="shared" ref="N50:N54" si="48">(1/6)*(K50-I50)*((L50*((2*H50)+J50))+(M50*(H50+(2*J50))))</f>
        <v>-19.093327106830248</v>
      </c>
      <c r="O50" s="10">
        <f t="shared" ref="O50:O54" si="49">((1/12)*(K50-I50)*(L50*H50*((3*I50)+K50)+L50*J50*(I50+K50)+M50*H50*(I50+K50)+M50*J50*(I50+(3*K50))))</f>
        <v>-230.3388680083788</v>
      </c>
      <c r="P50" s="10">
        <f t="shared" ref="P50:P54" si="50">((-1/24)*(K50-I50)*(H50*H50*((3*L50)+M50)+2*H50*J50*(L50+M50)+J50*J50*(L50+(3*M50))))</f>
        <v>38.802108555487749</v>
      </c>
      <c r="S50">
        <f t="shared" ref="S50:S55" si="51">IF(AND(I50=0,K50=0,H50=0,J50=0),NA(),H50)</f>
        <v>4.6270571520854062</v>
      </c>
      <c r="T50">
        <f t="shared" ref="T50:T55" si="52">IF(AND(I50=0,K50=0,H50=0,J50=0),NA(),I50)</f>
        <v>12.593265744489603</v>
      </c>
      <c r="V50">
        <f t="shared" ref="V50:V55" si="53">IF(AND(I50=0,K50=0,H50=0,J50=0),NA(),J50)</f>
        <v>3.444083346202079</v>
      </c>
      <c r="W50">
        <f t="shared" ref="W50:W55" si="54">IF(AND(I50=0,K50=0,H50=0,J50=0),NA(),K50)</f>
        <v>11.480028388380758</v>
      </c>
      <c r="AC50">
        <f>2*PI()</f>
        <v>6.2831853071795862</v>
      </c>
      <c r="AD50">
        <f>AD49</f>
        <v>-3.1415926535897931</v>
      </c>
      <c r="AS50">
        <v>1.6755160819145578</v>
      </c>
      <c r="AT50">
        <v>55.270645625027299</v>
      </c>
      <c r="AU50">
        <v>416.34962118162372</v>
      </c>
      <c r="AV50" s="6">
        <f t="shared" si="0"/>
        <v>1.4388174314331248</v>
      </c>
      <c r="AW50" s="6">
        <f t="shared" si="1"/>
        <v>0.23669865048143302</v>
      </c>
      <c r="AX50" s="6">
        <f t="shared" si="2"/>
        <v>-2.8852587636812599</v>
      </c>
      <c r="AY50" s="6">
        <f t="shared" si="3"/>
        <v>2.8852587636812599</v>
      </c>
      <c r="BE50" s="39"/>
      <c r="BF50" s="39"/>
      <c r="BG50" s="6">
        <f t="shared" si="12"/>
        <v>1.2217304763960315</v>
      </c>
      <c r="BH50" s="9">
        <f t="shared" ca="1" si="13"/>
        <v>134.925530022662</v>
      </c>
      <c r="BI50" s="9">
        <f t="shared" ca="1" si="14"/>
        <v>409.15973181714281</v>
      </c>
      <c r="BJ50">
        <f t="shared" ca="1" si="15"/>
        <v>430.83243238244324</v>
      </c>
      <c r="BK50" s="6">
        <f t="shared" ca="1" si="16"/>
        <v>0.31317403213249906</v>
      </c>
      <c r="BL50" s="6">
        <f t="shared" ca="1" si="17"/>
        <v>0.94969575422756958</v>
      </c>
      <c r="BM50" s="6">
        <f t="shared" ca="1" si="18"/>
        <v>1.2522629710359396</v>
      </c>
      <c r="BN50" s="6">
        <f t="shared" ca="1" si="19"/>
        <v>2.7930432841385393</v>
      </c>
      <c r="BO50" s="9">
        <f t="shared" ca="1" si="20"/>
        <v>172.66419551313788</v>
      </c>
      <c r="BP50" s="9">
        <f t="shared" ca="1" si="21"/>
        <v>417.53014654311403</v>
      </c>
      <c r="BQ50">
        <f t="shared" ca="1" si="22"/>
        <v>451.82335894076277</v>
      </c>
      <c r="BR50">
        <f t="shared" ca="1" si="23"/>
        <v>0.38214977622654384</v>
      </c>
      <c r="BS50">
        <f t="shared" ca="1" si="24"/>
        <v>0.92410039959411472</v>
      </c>
      <c r="BT50">
        <f t="shared" ca="1" si="25"/>
        <v>1.1786748012854364</v>
      </c>
      <c r="BU50" s="39">
        <f t="shared" ca="1" si="26"/>
        <v>-3.6580691736460151</v>
      </c>
    </row>
    <row r="51" spans="1:73" x14ac:dyDescent="0.25">
      <c r="A51" t="s">
        <v>45</v>
      </c>
      <c r="B51" s="6">
        <f t="shared" si="41"/>
        <v>-7.0248788738668164</v>
      </c>
      <c r="C51" s="6">
        <f t="shared" si="41"/>
        <v>1.6282127648129099</v>
      </c>
      <c r="D51" s="6">
        <f t="shared" si="38"/>
        <v>-23.472458343381856</v>
      </c>
      <c r="E51" s="6">
        <f t="shared" si="38"/>
        <v>19.106116803741244</v>
      </c>
      <c r="F51" s="6">
        <f t="shared" si="39"/>
        <v>-1.0626429300021294</v>
      </c>
      <c r="G51" s="6">
        <f t="shared" si="40"/>
        <v>-5.8367251046229836</v>
      </c>
      <c r="H51" s="6">
        <f t="shared" si="42"/>
        <v>-16.295928767877882</v>
      </c>
      <c r="I51" s="6">
        <f t="shared" si="43"/>
        <v>11.480028388380758</v>
      </c>
      <c r="J51" s="6">
        <f t="shared" si="44"/>
        <v>-23.472458343381856</v>
      </c>
      <c r="K51" s="6">
        <f t="shared" si="45"/>
        <v>19.106116803741244</v>
      </c>
      <c r="L51" s="6">
        <f t="shared" si="46"/>
        <v>4.25</v>
      </c>
      <c r="M51" s="6">
        <f t="shared" si="47"/>
        <v>4.25</v>
      </c>
      <c r="N51" s="10">
        <f t="shared" si="48"/>
        <v>-644.46412702434191</v>
      </c>
      <c r="O51" s="10">
        <f t="shared" si="49"/>
        <v>-10003.654174107303</v>
      </c>
      <c r="P51" s="10">
        <f t="shared" si="50"/>
        <v>-6476.8765380632758</v>
      </c>
      <c r="S51">
        <f t="shared" si="51"/>
        <v>-16.295928767877882</v>
      </c>
      <c r="T51">
        <f t="shared" si="52"/>
        <v>11.480028388380758</v>
      </c>
      <c r="V51">
        <f t="shared" si="53"/>
        <v>-23.472458343381856</v>
      </c>
      <c r="W51">
        <f t="shared" si="54"/>
        <v>19.106116803741244</v>
      </c>
      <c r="AC51">
        <f>AC50</f>
        <v>6.2831853071795862</v>
      </c>
      <c r="AD51">
        <f>-1*AD50</f>
        <v>3.1415926535897931</v>
      </c>
      <c r="AS51">
        <v>1.7104226669544444</v>
      </c>
      <c r="AT51">
        <v>37.644828220544412</v>
      </c>
      <c r="AU51">
        <v>413.54754120049336</v>
      </c>
      <c r="AV51" s="6">
        <f t="shared" si="0"/>
        <v>1.4800174928448073</v>
      </c>
      <c r="AW51" s="6">
        <f t="shared" si="1"/>
        <v>0.23040517410963712</v>
      </c>
      <c r="AX51" s="6">
        <f t="shared" si="2"/>
        <v>-2.9264588250929422</v>
      </c>
      <c r="AY51" s="6">
        <f t="shared" si="3"/>
        <v>2.9264588250929422</v>
      </c>
      <c r="BE51" s="39"/>
      <c r="BF51" s="39"/>
      <c r="BG51" s="6">
        <f t="shared" si="12"/>
        <v>1.2566370614359181</v>
      </c>
      <c r="BH51" s="9">
        <f t="shared" ca="1" si="13"/>
        <v>130.58824173775602</v>
      </c>
      <c r="BI51" s="9">
        <f t="shared" ca="1" si="14"/>
        <v>409.7998208162262</v>
      </c>
      <c r="BJ51">
        <f t="shared" ca="1" si="15"/>
        <v>430.10368752333397</v>
      </c>
      <c r="BK51" s="6">
        <f t="shared" ca="1" si="16"/>
        <v>0.30362037231004058</v>
      </c>
      <c r="BL51" s="6">
        <f t="shared" ca="1" si="17"/>
        <v>0.95279308851308964</v>
      </c>
      <c r="BM51" s="6">
        <f t="shared" ca="1" si="18"/>
        <v>1.262306214711084</v>
      </c>
      <c r="BN51" s="6">
        <f t="shared" ca="1" si="19"/>
        <v>2.8030865278136834</v>
      </c>
      <c r="BO51" s="9">
        <f t="shared" ca="1" si="20"/>
        <v>168.3269072282319</v>
      </c>
      <c r="BP51" s="9">
        <f t="shared" ca="1" si="21"/>
        <v>418.17023554219742</v>
      </c>
      <c r="BQ51">
        <f t="shared" ca="1" si="22"/>
        <v>450.77743243250171</v>
      </c>
      <c r="BR51">
        <f t="shared" ca="1" si="23"/>
        <v>0.3734146723359687</v>
      </c>
      <c r="BS51">
        <f t="shared" ca="1" si="24"/>
        <v>0.92766453122032277</v>
      </c>
      <c r="BT51">
        <f t="shared" ca="1" si="25"/>
        <v>1.1881090863348991</v>
      </c>
      <c r="BU51" s="39">
        <f t="shared" ca="1" si="26"/>
        <v>-3.6486348885965523</v>
      </c>
    </row>
    <row r="52" spans="1:73" x14ac:dyDescent="0.25">
      <c r="A52" t="s">
        <v>46</v>
      </c>
      <c r="B52" s="6">
        <f t="shared" si="41"/>
        <v>-23.472458343381856</v>
      </c>
      <c r="C52" s="6">
        <f t="shared" si="41"/>
        <v>19.106116803741244</v>
      </c>
      <c r="D52" s="6">
        <f t="shared" si="38"/>
        <v>-29.298426356357965</v>
      </c>
      <c r="E52" s="6">
        <f t="shared" si="38"/>
        <v>13.623590313902898</v>
      </c>
      <c r="F52" s="6">
        <f t="shared" si="39"/>
        <v>0.94104987834247977</v>
      </c>
      <c r="G52" s="6">
        <f t="shared" si="40"/>
        <v>41.194870872179663</v>
      </c>
      <c r="H52" s="6">
        <f t="shared" si="42"/>
        <v>-23.472458343381856</v>
      </c>
      <c r="I52" s="6">
        <f t="shared" si="43"/>
        <v>19.106116803741244</v>
      </c>
      <c r="J52" s="6">
        <f t="shared" si="44"/>
        <v>-29.298426356357965</v>
      </c>
      <c r="K52" s="6">
        <f t="shared" si="45"/>
        <v>13.623590313902898</v>
      </c>
      <c r="L52" s="6">
        <f t="shared" si="46"/>
        <v>4.25</v>
      </c>
      <c r="M52" s="6">
        <f t="shared" si="47"/>
        <v>4.25</v>
      </c>
      <c r="N52" s="10">
        <f t="shared" si="48"/>
        <v>614.8002681743734</v>
      </c>
      <c r="O52" s="10">
        <f t="shared" si="49"/>
        <v>9999.0955718157802</v>
      </c>
      <c r="P52" s="10">
        <f t="shared" si="50"/>
        <v>8143.8414905308318</v>
      </c>
      <c r="S52">
        <f t="shared" si="51"/>
        <v>-23.472458343381856</v>
      </c>
      <c r="T52">
        <f t="shared" si="52"/>
        <v>19.106116803741244</v>
      </c>
      <c r="V52">
        <f t="shared" si="53"/>
        <v>-29.298426356357965</v>
      </c>
      <c r="W52">
        <f t="shared" si="54"/>
        <v>13.623590313902898</v>
      </c>
      <c r="AC52">
        <f>0</f>
        <v>0</v>
      </c>
      <c r="AD52">
        <f>AD51</f>
        <v>3.1415926535897931</v>
      </c>
      <c r="AS52">
        <v>1.7453292519943311</v>
      </c>
      <c r="AT52">
        <v>19.813533049431904</v>
      </c>
      <c r="AU52">
        <v>410.27391655233782</v>
      </c>
      <c r="AV52" s="6">
        <f t="shared" si="0"/>
        <v>1.5225403924890559</v>
      </c>
      <c r="AW52" s="6">
        <f t="shared" si="1"/>
        <v>0.22278885950527516</v>
      </c>
      <c r="AX52" s="6">
        <f t="shared" si="2"/>
        <v>-2.9689817247371906</v>
      </c>
      <c r="AY52" s="6">
        <f t="shared" si="3"/>
        <v>2.9689817247371906</v>
      </c>
      <c r="BE52" s="39"/>
      <c r="BF52" s="39"/>
      <c r="BG52" s="6">
        <f t="shared" si="12"/>
        <v>1.2915436464758048</v>
      </c>
      <c r="BH52" s="9">
        <f t="shared" ca="1" si="13"/>
        <v>126.17920010609805</v>
      </c>
      <c r="BI52" s="9">
        <f t="shared" ca="1" si="14"/>
        <v>410.51467563159281</v>
      </c>
      <c r="BJ52">
        <f t="shared" ca="1" si="15"/>
        <v>429.46884572495662</v>
      </c>
      <c r="BK52" s="6">
        <f t="shared" ca="1" si="16"/>
        <v>0.29380291809782777</v>
      </c>
      <c r="BL52" s="6">
        <f t="shared" ca="1" si="17"/>
        <v>0.95586601849694453</v>
      </c>
      <c r="BM52" s="6">
        <f t="shared" ca="1" si="18"/>
        <v>1.2725934028184995</v>
      </c>
      <c r="BN52" s="6">
        <f t="shared" ca="1" si="19"/>
        <v>2.8133737159210987</v>
      </c>
      <c r="BO52" s="9">
        <f t="shared" ca="1" si="20"/>
        <v>163.91786559657393</v>
      </c>
      <c r="BP52" s="9">
        <f t="shared" ca="1" si="21"/>
        <v>418.88509035756402</v>
      </c>
      <c r="BQ52">
        <f t="shared" ca="1" si="22"/>
        <v>449.8152794043362</v>
      </c>
      <c r="BR52">
        <f t="shared" ca="1" si="23"/>
        <v>0.36441151090652296</v>
      </c>
      <c r="BS52">
        <f t="shared" ca="1" si="24"/>
        <v>0.93123802044312232</v>
      </c>
      <c r="BT52">
        <f t="shared" ca="1" si="25"/>
        <v>1.1977955446443509</v>
      </c>
      <c r="BU52" s="39">
        <f t="shared" ca="1" si="26"/>
        <v>-3.6389484302871002</v>
      </c>
    </row>
    <row r="53" spans="1:73" x14ac:dyDescent="0.25">
      <c r="A53" t="s">
        <v>47</v>
      </c>
      <c r="B53" s="6">
        <f t="shared" si="41"/>
        <v>-29.298426356357965</v>
      </c>
      <c r="C53" s="6">
        <f t="shared" si="41"/>
        <v>13.623590313902898</v>
      </c>
      <c r="D53" s="6">
        <f t="shared" si="38"/>
        <v>0.85546933775293965</v>
      </c>
      <c r="E53" s="6">
        <f t="shared" si="38"/>
        <v>-18.419233757465715</v>
      </c>
      <c r="F53" s="6">
        <f t="shared" si="39"/>
        <v>-1.0626429300021296</v>
      </c>
      <c r="G53" s="6">
        <f t="shared" si="40"/>
        <v>-17.510175313868949</v>
      </c>
      <c r="H53" s="6">
        <f t="shared" si="42"/>
        <v>-29.298426356357965</v>
      </c>
      <c r="I53" s="6">
        <f t="shared" si="43"/>
        <v>13.623590313902898</v>
      </c>
      <c r="J53" s="6">
        <f t="shared" si="44"/>
        <v>-27.281227667125787</v>
      </c>
      <c r="K53" s="6">
        <f t="shared" si="45"/>
        <v>11.480028388380758</v>
      </c>
      <c r="L53" s="6">
        <f t="shared" si="46"/>
        <v>4.25</v>
      </c>
      <c r="M53" s="6">
        <f t="shared" si="47"/>
        <v>4.25</v>
      </c>
      <c r="N53" s="10">
        <f t="shared" si="48"/>
        <v>257.72423326340515</v>
      </c>
      <c r="O53" s="10">
        <f t="shared" si="49"/>
        <v>3238.1881201911124</v>
      </c>
      <c r="P53" s="10">
        <f t="shared" si="50"/>
        <v>3647.0315702614507</v>
      </c>
      <c r="S53">
        <f t="shared" si="51"/>
        <v>-29.298426356357965</v>
      </c>
      <c r="T53">
        <f t="shared" si="52"/>
        <v>13.623590313902898</v>
      </c>
      <c r="V53">
        <f t="shared" si="53"/>
        <v>-27.281227667125787</v>
      </c>
      <c r="W53">
        <f t="shared" si="54"/>
        <v>11.480028388380758</v>
      </c>
      <c r="AC53">
        <f>AC49</f>
        <v>0</v>
      </c>
      <c r="AD53">
        <f>AD49</f>
        <v>-3.1415926535897931</v>
      </c>
      <c r="AS53">
        <v>1.7802358370342177</v>
      </c>
      <c r="AT53">
        <v>1.6598104121535642</v>
      </c>
      <c r="AU53">
        <v>406.48856292111947</v>
      </c>
      <c r="AV53" s="6">
        <f t="shared" si="0"/>
        <v>1.566713060157563</v>
      </c>
      <c r="AW53" s="6">
        <f t="shared" si="1"/>
        <v>0.21352277687665477</v>
      </c>
      <c r="AX53" s="6">
        <f t="shared" si="2"/>
        <v>-3.0131543924056978</v>
      </c>
      <c r="AY53" s="6">
        <f t="shared" si="3"/>
        <v>3.0131543924056978</v>
      </c>
      <c r="BE53" s="39"/>
      <c r="BF53" s="39"/>
      <c r="BG53" s="6">
        <f t="shared" si="12"/>
        <v>1.3264502315156914</v>
      </c>
      <c r="BH53" s="9">
        <f t="shared" ca="1" si="13"/>
        <v>121.65470242178699</v>
      </c>
      <c r="BI53" s="9">
        <f t="shared" ca="1" si="14"/>
        <v>411.32900375001373</v>
      </c>
      <c r="BJ53">
        <f t="shared" ca="1" si="15"/>
        <v>428.94220583583564</v>
      </c>
      <c r="BK53" s="6">
        <f t="shared" ca="1" si="16"/>
        <v>0.28361560314339074</v>
      </c>
      <c r="BL53" s="6">
        <f t="shared" ca="1" si="17"/>
        <v>0.95893805308456215</v>
      </c>
      <c r="BM53" s="6">
        <f t="shared" ca="1" si="18"/>
        <v>1.2832338845139992</v>
      </c>
      <c r="BN53" s="6">
        <f t="shared" ca="1" si="19"/>
        <v>2.8240141976165987</v>
      </c>
      <c r="BO53" s="9">
        <f t="shared" ca="1" si="20"/>
        <v>159.39336791226287</v>
      </c>
      <c r="BP53" s="9">
        <f t="shared" ca="1" si="21"/>
        <v>419.69941847598494</v>
      </c>
      <c r="BQ53">
        <f t="shared" ca="1" si="22"/>
        <v>448.94748869271331</v>
      </c>
      <c r="BR53">
        <f t="shared" ca="1" si="23"/>
        <v>0.35503788734045305</v>
      </c>
      <c r="BS53">
        <f t="shared" ca="1" si="24"/>
        <v>0.93485191263259859</v>
      </c>
      <c r="BT53">
        <f t="shared" ca="1" si="25"/>
        <v>1.2078417321972914</v>
      </c>
      <c r="BU53" s="39">
        <f t="shared" ca="1" si="26"/>
        <v>-3.62890224273416</v>
      </c>
    </row>
    <row r="54" spans="1:73" x14ac:dyDescent="0.25">
      <c r="A54" t="s">
        <v>48</v>
      </c>
      <c r="B54" s="6">
        <f t="shared" si="41"/>
        <v>0.85546933775293965</v>
      </c>
      <c r="C54" s="6">
        <f t="shared" si="41"/>
        <v>-18.419233757465715</v>
      </c>
      <c r="D54" s="6">
        <f t="shared" si="38"/>
        <v>6.6814373507290501</v>
      </c>
      <c r="E54" s="6">
        <f t="shared" si="38"/>
        <v>-12.936707267627368</v>
      </c>
      <c r="F54" s="6">
        <f t="shared" si="39"/>
        <v>0.94104987834247977</v>
      </c>
      <c r="G54" s="6">
        <f t="shared" si="40"/>
        <v>-19.22427307368384</v>
      </c>
      <c r="H54" s="6">
        <f t="shared" si="42"/>
        <v>0</v>
      </c>
      <c r="I54" s="6">
        <f t="shared" si="43"/>
        <v>0</v>
      </c>
      <c r="J54" s="6">
        <f t="shared" si="44"/>
        <v>0</v>
      </c>
      <c r="K54" s="6">
        <f t="shared" si="45"/>
        <v>0</v>
      </c>
      <c r="L54" s="6">
        <f t="shared" si="46"/>
        <v>0</v>
      </c>
      <c r="M54" s="6">
        <f t="shared" si="47"/>
        <v>0</v>
      </c>
      <c r="N54" s="10">
        <f t="shared" si="48"/>
        <v>0</v>
      </c>
      <c r="O54" s="10">
        <f t="shared" si="49"/>
        <v>0</v>
      </c>
      <c r="P54" s="10">
        <f t="shared" si="50"/>
        <v>0</v>
      </c>
      <c r="S54" t="e">
        <f t="shared" si="51"/>
        <v>#N/A</v>
      </c>
      <c r="T54" t="e">
        <f t="shared" si="52"/>
        <v>#N/A</v>
      </c>
      <c r="V54" t="e">
        <f t="shared" si="53"/>
        <v>#N/A</v>
      </c>
      <c r="W54" t="e">
        <f t="shared" si="54"/>
        <v>#N/A</v>
      </c>
      <c r="AS54">
        <v>1.8151424220741044</v>
      </c>
      <c r="AT54">
        <v>-16.930701113195823</v>
      </c>
      <c r="AU54">
        <v>402.14064656040279</v>
      </c>
      <c r="AV54" s="6">
        <f t="shared" si="0"/>
        <v>1.6128729198560097</v>
      </c>
      <c r="AW54" s="6">
        <f t="shared" si="1"/>
        <v>0.2022695022180947</v>
      </c>
      <c r="AX54" s="6">
        <f t="shared" si="2"/>
        <v>-3.0593142521041443</v>
      </c>
      <c r="AY54" s="6">
        <f t="shared" si="3"/>
        <v>3.0593142521041443</v>
      </c>
      <c r="BE54" s="39"/>
      <c r="BF54" s="39"/>
      <c r="BG54" s="6">
        <f t="shared" si="12"/>
        <v>1.3613568165555781</v>
      </c>
      <c r="BH54" s="9">
        <f t="shared" ca="1" si="13"/>
        <v>116.94779603073502</v>
      </c>
      <c r="BI54" s="9">
        <f t="shared" ca="1" si="14"/>
        <v>412.27906338080771</v>
      </c>
      <c r="BJ54">
        <f t="shared" ca="1" si="15"/>
        <v>428.54499541892034</v>
      </c>
      <c r="BK54" s="6">
        <f t="shared" ca="1" si="16"/>
        <v>0.27289502218177519</v>
      </c>
      <c r="BL54" s="6">
        <f t="shared" ca="1" si="17"/>
        <v>0.96204381754076485</v>
      </c>
      <c r="BM54" s="6">
        <f t="shared" ca="1" si="18"/>
        <v>1.2943953325522912</v>
      </c>
      <c r="BN54" s="6">
        <f t="shared" ca="1" si="19"/>
        <v>2.8351756456548909</v>
      </c>
      <c r="BO54" s="9">
        <f t="shared" ca="1" si="20"/>
        <v>154.6864615212109</v>
      </c>
      <c r="BP54" s="9">
        <f t="shared" ca="1" si="21"/>
        <v>420.64947810677893</v>
      </c>
      <c r="BQ54">
        <f t="shared" ca="1" si="22"/>
        <v>448.18956347672639</v>
      </c>
      <c r="BR54">
        <f t="shared" ca="1" si="23"/>
        <v>0.34513624173054502</v>
      </c>
      <c r="BS54">
        <f t="shared" ca="1" si="24"/>
        <v>0.93855259556623394</v>
      </c>
      <c r="BT54">
        <f t="shared" ca="1" si="25"/>
        <v>1.2184123840417471</v>
      </c>
      <c r="BU54" s="39">
        <f t="shared" ca="1" si="26"/>
        <v>-3.6183315908897042</v>
      </c>
    </row>
    <row r="55" spans="1:73" x14ac:dyDescent="0.25">
      <c r="A55" t="s">
        <v>93</v>
      </c>
      <c r="B55" s="6">
        <f>D54</f>
        <v>6.6814373507290501</v>
      </c>
      <c r="C55" s="6">
        <f>E54</f>
        <v>-12.936707267627368</v>
      </c>
      <c r="D55" s="6">
        <f t="shared" si="38"/>
        <v>1.1989108608907046</v>
      </c>
      <c r="E55" s="6">
        <f t="shared" si="38"/>
        <v>-7.1107392546512571</v>
      </c>
      <c r="F55" s="6">
        <f t="shared" ref="F55:F56" si="55">IF(B55=D55,"V",(C55-E55)/(B55-D55))</f>
        <v>-1.0626429300021296</v>
      </c>
      <c r="G55" s="6">
        <f t="shared" ref="G55:G56" si="56">IF(F55="V",0,(-1*B55*F55)+C55)</f>
        <v>-5.8367251046229836</v>
      </c>
      <c r="H55" s="6">
        <f t="shared" ref="H55:H56" si="57">IF(AND(C55&lt;$G$41,E55&lt;$G$41),0,IF(AND(C55&lt;$G$41,E55&gt;$G$41),IF(F55="V",B55,($G$41-G55)/F55),B55))</f>
        <v>0</v>
      </c>
      <c r="I55" s="6">
        <f t="shared" ref="I55:I56" si="58">IF(AND(C55&lt;$G$41,E55&lt;$G$41),0,IF(AND(C55&lt;$G$41,E55&gt;$G$41),$G$41,C55))</f>
        <v>0</v>
      </c>
      <c r="J55" s="6">
        <f t="shared" ref="J55:J56" si="59">IF(AND(C55&lt;$G$41,E55&lt;$G$41),0,IF(E55&gt;=$G$41,D55,IF(F55="V",D55,($G$41-G55)/F55)))</f>
        <v>0</v>
      </c>
      <c r="K55" s="6">
        <f t="shared" ref="K55:K56" si="60">IF(AND(C55&lt;$G$41,E55&lt;$G$41),0,IF(E55&gt;=$G$41,E55,$G$41))</f>
        <v>0</v>
      </c>
      <c r="L55" s="6">
        <f t="shared" ref="L55:L56" si="61">IF(AND(I55=0,K55=0,H55=0,J55=0),0,$B$31)</f>
        <v>0</v>
      </c>
      <c r="M55" s="6">
        <f t="shared" ref="M55:M56" si="62">IF(AND(I55=0,K55=0,H55=0,J55=0),0,$B$31)</f>
        <v>0</v>
      </c>
      <c r="N55" s="10">
        <f t="shared" ref="N55:N56" si="63">(1/6)*(K55-I55)*((L55*((2*H55)+J55))+(M55*(H55+(2*J55))))</f>
        <v>0</v>
      </c>
      <c r="O55" s="10">
        <f t="shared" ref="O55:O56" si="64">((1/12)*(K55-I55)*(L55*H55*((3*I55)+K55)+L55*J55*(I55+K55)+M55*H55*(I55+K55)+M55*J55*(I55+(3*K55))))</f>
        <v>0</v>
      </c>
      <c r="P55" s="10">
        <f t="shared" ref="P55:P56" si="65">((-1/24)*(K55-I55)*(H55*H55*((3*L55)+M55)+2*H55*J55*(L55+M55)+J55*J55*(L55+(3*M55))))</f>
        <v>0</v>
      </c>
      <c r="S55" t="e">
        <f t="shared" si="51"/>
        <v>#N/A</v>
      </c>
      <c r="T55" t="e">
        <f t="shared" si="52"/>
        <v>#N/A</v>
      </c>
      <c r="V55" t="e">
        <f t="shared" si="53"/>
        <v>#N/A</v>
      </c>
      <c r="W55" t="e">
        <f t="shared" si="54"/>
        <v>#N/A</v>
      </c>
      <c r="AS55">
        <v>1.850049007113991</v>
      </c>
      <c r="AT55">
        <v>-36.056310663891594</v>
      </c>
      <c r="AU55">
        <v>397.17973777295333</v>
      </c>
      <c r="AV55" s="6">
        <f t="shared" si="0"/>
        <v>1.6613290139467622</v>
      </c>
      <c r="AW55" s="6">
        <f t="shared" si="1"/>
        <v>0.18871999316722876</v>
      </c>
      <c r="AX55" s="6">
        <f t="shared" si="2"/>
        <v>-3.1077703461948971</v>
      </c>
      <c r="AY55" s="6">
        <f t="shared" si="3"/>
        <v>3.1077703461948971</v>
      </c>
      <c r="BE55" s="39"/>
      <c r="BF55" s="39"/>
      <c r="BG55" s="6">
        <f t="shared" si="12"/>
        <v>1.3962634015954647</v>
      </c>
      <c r="BH55" s="9">
        <f t="shared" ca="1" si="13"/>
        <v>112.16807212655019</v>
      </c>
      <c r="BI55" s="9">
        <f t="shared" ca="1" si="14"/>
        <v>413.00106215291197</v>
      </c>
      <c r="BJ55">
        <f t="shared" ca="1" si="15"/>
        <v>427.9620938167543</v>
      </c>
      <c r="BK55" s="6">
        <f t="shared" ca="1" si="16"/>
        <v>0.26209814782002294</v>
      </c>
      <c r="BL55" s="6">
        <f t="shared" ca="1" si="17"/>
        <v>0.96504122238861556</v>
      </c>
      <c r="BM55" s="6">
        <f t="shared" ca="1" si="18"/>
        <v>1.3056006101275814</v>
      </c>
      <c r="BN55" s="6">
        <f t="shared" ca="1" si="19"/>
        <v>2.8463809232301811</v>
      </c>
      <c r="BO55" s="9">
        <f t="shared" ca="1" si="20"/>
        <v>149.90673761702607</v>
      </c>
      <c r="BP55" s="9">
        <f t="shared" ca="1" si="21"/>
        <v>421.37147687888319</v>
      </c>
      <c r="BQ55">
        <f t="shared" ca="1" si="22"/>
        <v>447.24260922911969</v>
      </c>
      <c r="BR55">
        <f t="shared" ca="1" si="23"/>
        <v>0.33517991024023774</v>
      </c>
      <c r="BS55">
        <f t="shared" ca="1" si="24"/>
        <v>0.94215414225664063</v>
      </c>
      <c r="BT55">
        <f t="shared" ca="1" si="25"/>
        <v>1.2290001469083061</v>
      </c>
      <c r="BU55" s="39">
        <f t="shared" ca="1" si="26"/>
        <v>-3.6077438280231453</v>
      </c>
    </row>
    <row r="56" spans="1:73" ht="15.75" thickBot="1" x14ac:dyDescent="0.3">
      <c r="A56" t="s">
        <v>94</v>
      </c>
      <c r="B56" s="6">
        <f>D55</f>
        <v>1.1989108608907046</v>
      </c>
      <c r="C56" s="6">
        <f>E55</f>
        <v>-7.1107392546512571</v>
      </c>
      <c r="D56" s="6">
        <f t="shared" si="38"/>
        <v>12.850846886842927</v>
      </c>
      <c r="E56" s="6">
        <f t="shared" si="38"/>
        <v>3.8543137250254373</v>
      </c>
      <c r="F56" s="6">
        <f t="shared" si="55"/>
        <v>0.94104987834247966</v>
      </c>
      <c r="G56" s="6">
        <f t="shared" si="56"/>
        <v>-8.2389741744359331</v>
      </c>
      <c r="H56" s="6">
        <f t="shared" si="57"/>
        <v>0</v>
      </c>
      <c r="I56" s="6">
        <f t="shared" si="58"/>
        <v>0</v>
      </c>
      <c r="J56" s="6">
        <f t="shared" si="59"/>
        <v>0</v>
      </c>
      <c r="K56" s="6">
        <f t="shared" si="60"/>
        <v>0</v>
      </c>
      <c r="L56" s="6">
        <f t="shared" si="61"/>
        <v>0</v>
      </c>
      <c r="M56" s="6">
        <f t="shared" si="62"/>
        <v>0</v>
      </c>
      <c r="N56" s="11">
        <f t="shared" si="63"/>
        <v>0</v>
      </c>
      <c r="O56" s="11">
        <f t="shared" si="64"/>
        <v>0</v>
      </c>
      <c r="P56" s="11">
        <f t="shared" si="65"/>
        <v>0</v>
      </c>
      <c r="S56" t="e">
        <f t="shared" ref="S56" si="66">IF(AND(I56=0,K56=0,H56=0,J56=0),NA(),H56)</f>
        <v>#N/A</v>
      </c>
      <c r="T56" t="e">
        <f t="shared" ref="T56" si="67">IF(AND(I56=0,K56=0,H56=0,J56=0),NA(),I56)</f>
        <v>#N/A</v>
      </c>
      <c r="V56" t="e">
        <f t="shared" ref="V56" si="68">IF(AND(I56=0,K56=0,H56=0,J56=0),NA(),J56)</f>
        <v>#N/A</v>
      </c>
      <c r="W56" t="e">
        <f t="shared" ref="W56" si="69">IF(AND(I56=0,K56=0,H56=0,J56=0),NA(),K56)</f>
        <v>#N/A</v>
      </c>
      <c r="AS56">
        <v>1.8849555921538776</v>
      </c>
      <c r="AT56">
        <v>-55.814936645952585</v>
      </c>
      <c r="AU56">
        <v>391.55068318832275</v>
      </c>
      <c r="AV56" s="6">
        <f t="shared" si="0"/>
        <v>1.7123908334667464</v>
      </c>
      <c r="AW56" s="6">
        <f t="shared" si="1"/>
        <v>0.17256475868713128</v>
      </c>
      <c r="AX56" s="6">
        <f t="shared" si="2"/>
        <v>3.124353141464705</v>
      </c>
      <c r="AY56" s="6">
        <f t="shared" si="3"/>
        <v>3.124353141464705</v>
      </c>
      <c r="BE56" s="39"/>
      <c r="BF56" s="39"/>
      <c r="BG56" s="6">
        <f t="shared" si="12"/>
        <v>1.4311699866353513</v>
      </c>
      <c r="BH56" s="9">
        <f t="shared" ca="1" si="13"/>
        <v>107.63348468012597</v>
      </c>
      <c r="BI56" s="9">
        <f t="shared" ca="1" si="14"/>
        <v>412.67602726393369</v>
      </c>
      <c r="BJ56">
        <f t="shared" ca="1" si="15"/>
        <v>426.48150077433587</v>
      </c>
      <c r="BK56" s="6">
        <f t="shared" ca="1" si="16"/>
        <v>0.25237550628738309</v>
      </c>
      <c r="BL56" s="6">
        <f t="shared" ca="1" si="17"/>
        <v>0.96762937317249065</v>
      </c>
      <c r="BM56" s="6">
        <f t="shared" ca="1" si="18"/>
        <v>1.3156618792718917</v>
      </c>
      <c r="BN56" s="6">
        <f t="shared" ca="1" si="19"/>
        <v>2.8564421923744909</v>
      </c>
      <c r="BO56" s="9">
        <f t="shared" ca="1" si="20"/>
        <v>145.37215017060186</v>
      </c>
      <c r="BP56" s="9">
        <f t="shared" ca="1" si="21"/>
        <v>421.04644198990491</v>
      </c>
      <c r="BQ56">
        <f t="shared" ca="1" si="22"/>
        <v>445.43593069888556</v>
      </c>
      <c r="BR56">
        <f t="shared" ca="1" si="23"/>
        <v>0.32635928121585089</v>
      </c>
      <c r="BS56">
        <f t="shared" ca="1" si="24"/>
        <v>0.94524579849067469</v>
      </c>
      <c r="BT56">
        <f t="shared" ca="1" si="25"/>
        <v>1.2383469362324653</v>
      </c>
      <c r="BU56" s="39">
        <f t="shared" ca="1" si="26"/>
        <v>-3.5983970386989861</v>
      </c>
    </row>
    <row r="57" spans="1:73" ht="15.75" thickTop="1" x14ac:dyDescent="0.25">
      <c r="N57" s="6">
        <f>SUM(N49:N56)</f>
        <v>233.33711344696007</v>
      </c>
      <c r="O57" s="6">
        <f t="shared" ref="O57:P57" si="70">SUM(O49:O56)</f>
        <v>3296.1647194726988</v>
      </c>
      <c r="P57" s="6">
        <f t="shared" si="70"/>
        <v>5289.8188394994895</v>
      </c>
      <c r="AS57">
        <v>1.9198621771937643</v>
      </c>
      <c r="AT57">
        <v>-76.311473023071045</v>
      </c>
      <c r="AU57">
        <v>385.19053819419128</v>
      </c>
      <c r="AV57" s="6">
        <f t="shared" si="0"/>
        <v>1.7663773562962164</v>
      </c>
      <c r="AW57" s="6">
        <f t="shared" si="1"/>
        <v>0.15348482089754789</v>
      </c>
      <c r="AX57" s="6">
        <f t="shared" si="2"/>
        <v>3.070366618635235</v>
      </c>
      <c r="AY57" s="6">
        <f t="shared" si="3"/>
        <v>3.070366618635235</v>
      </c>
      <c r="BE57" s="39"/>
      <c r="BF57" s="39"/>
      <c r="BG57" s="6">
        <f t="shared" si="12"/>
        <v>1.466076571675238</v>
      </c>
      <c r="BH57" s="9">
        <f t="shared" ca="1" si="13"/>
        <v>102.4781604815204</v>
      </c>
      <c r="BI57" s="9">
        <f t="shared" ca="1" si="14"/>
        <v>412.44717699684742</v>
      </c>
      <c r="BJ57">
        <f t="shared" ca="1" si="15"/>
        <v>424.98758474612526</v>
      </c>
      <c r="BK57" s="6">
        <f t="shared" ca="1" si="16"/>
        <v>0.24113212752494348</v>
      </c>
      <c r="BL57" s="6">
        <f t="shared" ca="1" si="17"/>
        <v>0.97049229624726774</v>
      </c>
      <c r="BM57" s="6">
        <f t="shared" ca="1" si="18"/>
        <v>1.3272640947732595</v>
      </c>
      <c r="BN57" s="6">
        <f t="shared" ca="1" si="19"/>
        <v>2.8680444078758587</v>
      </c>
      <c r="BO57" s="9">
        <f t="shared" ca="1" si="20"/>
        <v>140.21682597199629</v>
      </c>
      <c r="BP57" s="9">
        <f t="shared" ca="1" si="21"/>
        <v>420.81759172281863</v>
      </c>
      <c r="BQ57">
        <f t="shared" ca="1" si="22"/>
        <v>443.56307757640735</v>
      </c>
      <c r="BR57">
        <f t="shared" ca="1" si="23"/>
        <v>0.31611473781390831</v>
      </c>
      <c r="BS57">
        <f t="shared" ca="1" si="24"/>
        <v>0.94872096663710559</v>
      </c>
      <c r="BT57">
        <f t="shared" ca="1" si="25"/>
        <v>1.2491649122198512</v>
      </c>
      <c r="BU57" s="39">
        <f t="shared" ca="1" si="26"/>
        <v>-3.5875790627116002</v>
      </c>
    </row>
    <row r="58" spans="1:73" x14ac:dyDescent="0.25">
      <c r="O58" s="6">
        <f>O57/N57</f>
        <v>14.126191375132233</v>
      </c>
      <c r="P58" s="6">
        <f>-1*P57/N57</f>
        <v>-22.670284899628363</v>
      </c>
      <c r="S58">
        <f>(P58*COS(-1*$B$27))+(O58*SIN(-1*$B$27))+$I$2</f>
        <v>31.823647073886775</v>
      </c>
      <c r="T58">
        <f>(-1*P58*SIN(-1*$B$27))+(O58*COS(-1*$B$27))+$I$3</f>
        <v>18.828642031950217</v>
      </c>
      <c r="AS58">
        <v>1.9547687622336509</v>
      </c>
      <c r="AT58">
        <v>-97.662727264301338</v>
      </c>
      <c r="AU58">
        <v>378.02607513896697</v>
      </c>
      <c r="AV58" s="6">
        <f t="shared" si="0"/>
        <v>1.8236174757415176</v>
      </c>
      <c r="AW58" s="6">
        <f t="shared" si="1"/>
        <v>0.13115128649213337</v>
      </c>
      <c r="AX58" s="6">
        <f t="shared" si="2"/>
        <v>3.0131264991899336</v>
      </c>
      <c r="AY58" s="6">
        <f t="shared" si="3"/>
        <v>3.0131264991899336</v>
      </c>
      <c r="BE58" s="39"/>
      <c r="BF58" s="39"/>
      <c r="BG58" s="6">
        <f t="shared" si="12"/>
        <v>1.5009831567151246</v>
      </c>
      <c r="BH58" s="9">
        <f t="shared" ca="1" si="13"/>
        <v>95.618286542546201</v>
      </c>
      <c r="BI58" s="9">
        <f t="shared" ca="1" si="14"/>
        <v>412.24404306657408</v>
      </c>
      <c r="BJ58">
        <f t="shared" ca="1" si="15"/>
        <v>423.18791070304434</v>
      </c>
      <c r="BK58" s="6">
        <f t="shared" ca="1" si="16"/>
        <v>0.22594758527883047</v>
      </c>
      <c r="BL58" s="6">
        <f t="shared" ca="1" si="17"/>
        <v>0.9741394606044177</v>
      </c>
      <c r="BM58" s="6">
        <f t="shared" ca="1" si="18"/>
        <v>1.3428806592919975</v>
      </c>
      <c r="BN58" s="6">
        <f t="shared" ca="1" si="19"/>
        <v>2.8836609723945967</v>
      </c>
      <c r="BO58" s="9">
        <f t="shared" ca="1" si="20"/>
        <v>133.35695203302208</v>
      </c>
      <c r="BP58" s="9">
        <f t="shared" ca="1" si="21"/>
        <v>420.61445779254529</v>
      </c>
      <c r="BQ58">
        <f t="shared" ca="1" si="22"/>
        <v>441.24890794160001</v>
      </c>
      <c r="BR58">
        <f t="shared" ca="1" si="23"/>
        <v>0.30222613502914797</v>
      </c>
      <c r="BS58">
        <f t="shared" ca="1" si="24"/>
        <v>0.95323625786336064</v>
      </c>
      <c r="BT58">
        <f t="shared" ca="1" si="25"/>
        <v>1.2637691901210584</v>
      </c>
      <c r="BU58" s="39">
        <f t="shared" ca="1" si="26"/>
        <v>-3.572974784810393</v>
      </c>
    </row>
    <row r="59" spans="1:73" x14ac:dyDescent="0.25">
      <c r="A59" t="s">
        <v>54</v>
      </c>
      <c r="O59">
        <f>O57/12</f>
        <v>274.68039328939159</v>
      </c>
      <c r="P59">
        <f>P57/12</f>
        <v>440.81823662495748</v>
      </c>
      <c r="AS59">
        <v>1.9896753472735376</v>
      </c>
      <c r="AT59">
        <v>-120.00192545360878</v>
      </c>
      <c r="AU59">
        <v>369.97126557958609</v>
      </c>
      <c r="AV59" s="6">
        <f t="shared" si="0"/>
        <v>1.8844444795688216</v>
      </c>
      <c r="AW59" s="6">
        <f t="shared" si="1"/>
        <v>0.10523086770471601</v>
      </c>
      <c r="AX59" s="6">
        <f t="shared" si="2"/>
        <v>2.95229949536263</v>
      </c>
      <c r="AY59" s="6">
        <f t="shared" si="3"/>
        <v>2.95229949536263</v>
      </c>
      <c r="BE59" s="39"/>
      <c r="BF59" s="39"/>
      <c r="BG59" s="6">
        <f t="shared" si="12"/>
        <v>1.5358897417550113</v>
      </c>
      <c r="BH59" s="9">
        <f t="shared" ca="1" si="13"/>
        <v>84.041470022565079</v>
      </c>
      <c r="BI59" s="9">
        <f t="shared" ca="1" si="14"/>
        <v>412.63804118814534</v>
      </c>
      <c r="BJ59">
        <f t="shared" ca="1" si="15"/>
        <v>421.10939400486336</v>
      </c>
      <c r="BK59" s="6">
        <f t="shared" ca="1" si="16"/>
        <v>0.19957158690597743</v>
      </c>
      <c r="BL59" s="6">
        <f t="shared" ca="1" si="17"/>
        <v>0.97988324901481494</v>
      </c>
      <c r="BM59" s="6">
        <f t="shared" ca="1" si="18"/>
        <v>1.3698756337905982</v>
      </c>
      <c r="BN59" s="6">
        <f t="shared" ca="1" si="19"/>
        <v>2.9106559468931978</v>
      </c>
      <c r="BO59" s="9">
        <f t="shared" ca="1" si="20"/>
        <v>121.78013551304096</v>
      </c>
      <c r="BP59" s="9">
        <f t="shared" ca="1" si="21"/>
        <v>421.00845591411655</v>
      </c>
      <c r="BQ59">
        <f t="shared" ca="1" si="22"/>
        <v>438.26763667508379</v>
      </c>
      <c r="BR59">
        <f t="shared" ca="1" si="23"/>
        <v>0.27786705045557464</v>
      </c>
      <c r="BS59">
        <f t="shared" ca="1" si="24"/>
        <v>0.96061954085429635</v>
      </c>
      <c r="BT59">
        <f t="shared" ca="1" si="25"/>
        <v>1.2892233224146514</v>
      </c>
      <c r="BU59" s="39">
        <f t="shared" ca="1" si="26"/>
        <v>-3.5475206525168002</v>
      </c>
    </row>
    <row r="60" spans="1:73" x14ac:dyDescent="0.25">
      <c r="AS60">
        <v>2.0245819323134242</v>
      </c>
      <c r="AT60">
        <v>-140.91529280855474</v>
      </c>
      <c r="AU60">
        <v>360.77297190525911</v>
      </c>
      <c r="AV60" s="6">
        <f t="shared" si="0"/>
        <v>1.9431667579896237</v>
      </c>
      <c r="AW60" s="6">
        <f t="shared" si="1"/>
        <v>8.1415174323800521E-2</v>
      </c>
      <c r="AX60" s="6">
        <f t="shared" si="2"/>
        <v>2.8935772169418277</v>
      </c>
      <c r="AY60" s="6">
        <f t="shared" si="3"/>
        <v>2.8935772169418277</v>
      </c>
      <c r="BE60" s="39"/>
      <c r="BF60" s="39"/>
      <c r="BG60" s="6">
        <f t="shared" si="12"/>
        <v>1.5707963267948979</v>
      </c>
      <c r="BH60" s="9">
        <f t="shared" ca="1" si="13"/>
        <v>68.888113066289833</v>
      </c>
      <c r="BI60" s="9">
        <f t="shared" ca="1" si="14"/>
        <v>413.31676778271662</v>
      </c>
      <c r="BJ60">
        <f t="shared" ca="1" si="15"/>
        <v>419.01828438886298</v>
      </c>
      <c r="BK60" s="6">
        <f t="shared" ca="1" si="16"/>
        <v>0.16440359677087352</v>
      </c>
      <c r="BL60" s="6">
        <f t="shared" ca="1" si="17"/>
        <v>0.98639315557682161</v>
      </c>
      <c r="BM60" s="6">
        <f t="shared" ca="1" si="18"/>
        <v>1.4056429763310956</v>
      </c>
      <c r="BN60" s="6">
        <f t="shared" ca="1" si="19"/>
        <v>2.946423289433695</v>
      </c>
      <c r="BO60" s="9">
        <f t="shared" ca="1" si="20"/>
        <v>106.62677855676571</v>
      </c>
      <c r="BP60" s="9">
        <f t="shared" ca="1" si="21"/>
        <v>421.68718250868784</v>
      </c>
      <c r="BQ60">
        <f t="shared" ca="1" si="22"/>
        <v>434.9590208255359</v>
      </c>
      <c r="BR60">
        <f t="shared" ca="1" si="23"/>
        <v>0.24514212477854141</v>
      </c>
      <c r="BS60">
        <f t="shared" ca="1" si="24"/>
        <v>0.96948715239504957</v>
      </c>
      <c r="BT60">
        <f t="shared" ca="1" si="25"/>
        <v>1.3231300390796705</v>
      </c>
      <c r="BU60" s="39">
        <f t="shared" ca="1" si="26"/>
        <v>-3.5136139358517808</v>
      </c>
    </row>
    <row r="61" spans="1:73" x14ac:dyDescent="0.25">
      <c r="A61">
        <f t="shared" ref="A61:A71" si="71">A14</f>
        <v>0</v>
      </c>
      <c r="B61" s="1" t="str">
        <f t="shared" ref="B61:D61" si="72">B14</f>
        <v>Bar #</v>
      </c>
      <c r="C61" s="1" t="str">
        <f t="shared" si="72"/>
        <v>As (in^2)</v>
      </c>
      <c r="D61" s="1" t="str">
        <f t="shared" si="72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2.0594885173533108</v>
      </c>
      <c r="AT61">
        <v>-161.9725439828656</v>
      </c>
      <c r="AU61">
        <v>348.45058149110412</v>
      </c>
      <c r="AV61" s="6">
        <f t="shared" si="0"/>
        <v>2.0059195477003087</v>
      </c>
      <c r="AW61" s="6">
        <f t="shared" si="1"/>
        <v>5.3568969653002174E-2</v>
      </c>
      <c r="AX61" s="6">
        <f t="shared" si="2"/>
        <v>2.8308244272311427</v>
      </c>
      <c r="AY61" s="6">
        <f t="shared" si="3"/>
        <v>2.8308244272311427</v>
      </c>
      <c r="BE61" s="39"/>
      <c r="BF61" s="39"/>
      <c r="BG61" s="6">
        <f t="shared" si="12"/>
        <v>1.6057029118347845</v>
      </c>
      <c r="BH61" s="9">
        <f t="shared" ca="1" si="13"/>
        <v>52.00731829428657</v>
      </c>
      <c r="BI61" s="9">
        <f t="shared" ca="1" si="14"/>
        <v>412.06387543922762</v>
      </c>
      <c r="BJ61">
        <f t="shared" ca="1" si="15"/>
        <v>415.33287685681535</v>
      </c>
      <c r="BK61" s="6">
        <f t="shared" ca="1" si="16"/>
        <v>0.12521839996840878</v>
      </c>
      <c r="BL61" s="6">
        <f t="shared" ca="1" si="17"/>
        <v>0.99212920141952854</v>
      </c>
      <c r="BM61" s="6">
        <f t="shared" ca="1" si="18"/>
        <v>1.445248366095309</v>
      </c>
      <c r="BN61" s="6">
        <f t="shared" ca="1" si="19"/>
        <v>2.9860286791979087</v>
      </c>
      <c r="BO61" s="9">
        <f t="shared" ca="1" si="20"/>
        <v>89.745983784762444</v>
      </c>
      <c r="BP61" s="9">
        <f t="shared" ca="1" si="21"/>
        <v>420.43429016519883</v>
      </c>
      <c r="BQ61">
        <f t="shared" ca="1" si="22"/>
        <v>429.90619203752982</v>
      </c>
      <c r="BR61">
        <f t="shared" ca="1" si="23"/>
        <v>0.20875713224648745</v>
      </c>
      <c r="BS61">
        <f t="shared" ca="1" si="24"/>
        <v>0.97796751466304976</v>
      </c>
      <c r="BT61">
        <f t="shared" ca="1" si="25"/>
        <v>1.3604924079433942</v>
      </c>
      <c r="BU61" s="39">
        <f t="shared" ca="1" si="26"/>
        <v>-3.4762515669880569</v>
      </c>
    </row>
    <row r="62" spans="1:73" x14ac:dyDescent="0.25">
      <c r="A62">
        <f t="shared" si="71"/>
        <v>1</v>
      </c>
      <c r="B62" s="1">
        <f t="shared" ref="B62:D67" si="73">B15</f>
        <v>0</v>
      </c>
      <c r="C62" s="1">
        <f t="shared" ca="1" si="73"/>
        <v>0</v>
      </c>
      <c r="D62" s="1">
        <f t="shared" si="73"/>
        <v>-21</v>
      </c>
      <c r="E62" s="1">
        <f t="shared" ref="E62" si="74">E15</f>
        <v>22</v>
      </c>
      <c r="F62" s="1">
        <f>D62-$I$2</f>
        <v>-27</v>
      </c>
      <c r="G62" s="1">
        <f>E62-$I$3</f>
        <v>10</v>
      </c>
      <c r="H62" s="6">
        <f>F62*COS($B$27)+G62*SIN($B$27)</f>
        <v>11.221066886984282</v>
      </c>
      <c r="I62" s="6">
        <f>-1*F62*SIN($B$27)+G62*COS($B$27)</f>
        <v>-26.515800156092308</v>
      </c>
      <c r="J62" s="6">
        <f>$G$38-I62</f>
        <v>45.621916959833555</v>
      </c>
      <c r="K62">
        <f ca="1">IF($B$28=0,-1,IF(C62=0,0,(($B$28-J62)/$B$28)*$B$30)*IF($B$28&lt;0,-1,1))</f>
        <v>0</v>
      </c>
      <c r="L62">
        <f ca="1">IF(AND(K62&gt;0,J62&lt;=$B$29),MIN((K62*B$13),B$12)-$B$31,MAX(K62*B$13,-1*B$12))</f>
        <v>0</v>
      </c>
      <c r="M62" s="6">
        <f ca="1">L62*C62</f>
        <v>0</v>
      </c>
      <c r="N62" s="6">
        <f ca="1">M62*I62</f>
        <v>0</v>
      </c>
      <c r="O62" s="6">
        <f ca="1">M62*H62*-1</f>
        <v>0</v>
      </c>
      <c r="Q62" t="e">
        <f>IF($B62=0,NA(),H62)</f>
        <v>#N/A</v>
      </c>
      <c r="R62" t="e">
        <f>IF($B62=0,NA(),I62)</f>
        <v>#N/A</v>
      </c>
      <c r="AS62">
        <v>2.0943951023931975</v>
      </c>
      <c r="AT62">
        <v>-184.0508738197077</v>
      </c>
      <c r="AU62">
        <v>334.57734962886616</v>
      </c>
      <c r="AV62" s="6">
        <f t="shared" si="0"/>
        <v>2.0737160203205005</v>
      </c>
      <c r="AW62" s="6">
        <f t="shared" si="1"/>
        <v>2.0679082072696975E-2</v>
      </c>
      <c r="AX62" s="6">
        <f t="shared" si="2"/>
        <v>2.7630279546109509</v>
      </c>
      <c r="AY62" s="6">
        <f t="shared" si="3"/>
        <v>2.7630279546109509</v>
      </c>
      <c r="BE62" s="39"/>
      <c r="BF62" s="39"/>
      <c r="BG62" s="6">
        <f t="shared" si="12"/>
        <v>1.6406094968746712</v>
      </c>
      <c r="BH62" s="9">
        <f t="shared" ca="1" si="13"/>
        <v>34.887174295810205</v>
      </c>
      <c r="BI62" s="9">
        <f t="shared" ca="1" si="14"/>
        <v>410.27187584030304</v>
      </c>
      <c r="BJ62">
        <f t="shared" ca="1" si="15"/>
        <v>411.75250701831465</v>
      </c>
      <c r="BK62" s="6">
        <f t="shared" ca="1" si="16"/>
        <v>8.4728504869208798E-2</v>
      </c>
      <c r="BL62" s="6">
        <f t="shared" ca="1" si="17"/>
        <v>0.99640407489262539</v>
      </c>
      <c r="BM62" s="6">
        <f t="shared" ca="1" si="18"/>
        <v>1.4859661165012845</v>
      </c>
      <c r="BN62" s="6">
        <f t="shared" ca="1" si="19"/>
        <v>3.0267464296038842</v>
      </c>
      <c r="BO62" s="9">
        <f t="shared" ca="1" si="20"/>
        <v>72.625839786286079</v>
      </c>
      <c r="BP62" s="9">
        <f t="shared" ca="1" si="21"/>
        <v>418.64229056627426</v>
      </c>
      <c r="BQ62">
        <f t="shared" ca="1" si="22"/>
        <v>424.89514007015907</v>
      </c>
      <c r="BR62">
        <f t="shared" ca="1" si="23"/>
        <v>0.17092650147585597</v>
      </c>
      <c r="BS62">
        <f t="shared" ca="1" si="24"/>
        <v>0.98528378201065714</v>
      </c>
      <c r="BT62">
        <f t="shared" ca="1" si="25"/>
        <v>1.3990263944932262</v>
      </c>
      <c r="BU62" s="39">
        <f t="shared" ca="1" si="26"/>
        <v>-3.4377175804382252</v>
      </c>
    </row>
    <row r="63" spans="1:73" x14ac:dyDescent="0.25">
      <c r="A63">
        <f t="shared" si="71"/>
        <v>2</v>
      </c>
      <c r="B63" s="1">
        <f t="shared" si="73"/>
        <v>0</v>
      </c>
      <c r="C63" s="1">
        <f t="shared" ca="1" si="73"/>
        <v>0</v>
      </c>
      <c r="D63" s="1">
        <f t="shared" si="73"/>
        <v>-11</v>
      </c>
      <c r="E63" s="1">
        <f t="shared" ref="E63" si="75">E16</f>
        <v>22</v>
      </c>
      <c r="F63" s="1">
        <f t="shared" ref="F63:F71" si="76">D63-$I$2</f>
        <v>-17</v>
      </c>
      <c r="G63" s="1">
        <f t="shared" ref="G63:G71" si="77">E63-$I$3</f>
        <v>10</v>
      </c>
      <c r="H63" s="6">
        <f t="shared" ref="H63:H71" si="78">F63*COS($B$27)+G63*SIN($B$27)</f>
        <v>4.3679087746863479</v>
      </c>
      <c r="I63" s="6">
        <f t="shared" ref="I63:I71" si="79">-1*F63*SIN($B$27)+G63*COS($B$27)</f>
        <v>-19.233340139872169</v>
      </c>
      <c r="J63" s="6">
        <f t="shared" ref="J63:J71" si="80">$G$38-I63</f>
        <v>38.339456943613413</v>
      </c>
      <c r="K63">
        <f t="shared" ref="K63:K71" ca="1" si="81">IF($B$28=0,-1,IF(C63=0,0,(($B$28-J63)/$B$28)*$B$30)*IF($B$28&lt;0,-1,1))</f>
        <v>0</v>
      </c>
      <c r="L63">
        <f t="shared" ref="L63:L71" ca="1" si="82">IF(AND(K63&gt;0,J63&lt;=$B$29),MIN((K63*B$13),B$12)-$B$31,MAX(K63*B$13,-1*B$12))</f>
        <v>0</v>
      </c>
      <c r="M63" s="6">
        <f t="shared" ref="M63:M71" ca="1" si="83">L63*C63</f>
        <v>0</v>
      </c>
      <c r="N63" s="6">
        <f t="shared" ref="N63:N71" ca="1" si="84">M63*I63</f>
        <v>0</v>
      </c>
      <c r="O63" s="6">
        <f t="shared" ref="O63:O71" ca="1" si="85">M63*H63*-1</f>
        <v>0</v>
      </c>
      <c r="Q63" t="e">
        <f t="shared" ref="Q63:Q71" si="86">IF($B63=0,NA(),H63)</f>
        <v>#N/A</v>
      </c>
      <c r="R63" t="e">
        <f t="shared" ref="R63:R71" si="87">IF($B63=0,NA(),I63)</f>
        <v>#N/A</v>
      </c>
      <c r="AS63">
        <v>2.1293016874330841</v>
      </c>
      <c r="AT63">
        <v>-204.43548058243221</v>
      </c>
      <c r="AU63">
        <v>320.87264591905728</v>
      </c>
      <c r="AV63" s="6">
        <f t="shared" si="0"/>
        <v>2.1380661521178395</v>
      </c>
      <c r="AW63" s="6">
        <f t="shared" si="1"/>
        <v>8.7644646847553354E-3</v>
      </c>
      <c r="AX63" s="6">
        <f t="shared" si="2"/>
        <v>2.6986778228136119</v>
      </c>
      <c r="AY63" s="6">
        <f t="shared" si="3"/>
        <v>2.6986778228136119</v>
      </c>
      <c r="BE63" s="39"/>
      <c r="BF63" s="39"/>
      <c r="BG63" s="6">
        <f t="shared" si="12"/>
        <v>1.6755160819145578</v>
      </c>
      <c r="BH63" s="9">
        <f t="shared" ca="1" si="13"/>
        <v>17.531980134551425</v>
      </c>
      <c r="BI63" s="9">
        <f t="shared" ca="1" si="14"/>
        <v>407.9792064556525</v>
      </c>
      <c r="BJ63">
        <f t="shared" ca="1" si="15"/>
        <v>408.35573122906237</v>
      </c>
      <c r="BK63" s="6">
        <f t="shared" ca="1" si="16"/>
        <v>4.2933106587689999E-2</v>
      </c>
      <c r="BL63" s="6">
        <f t="shared" ca="1" si="17"/>
        <v>0.99907794909042513</v>
      </c>
      <c r="BM63" s="6">
        <f t="shared" ca="1" si="18"/>
        <v>1.5278500198351856</v>
      </c>
      <c r="BN63" s="6">
        <f t="shared" ca="1" si="19"/>
        <v>3.0686303329377851</v>
      </c>
      <c r="BO63" s="9">
        <f t="shared" ca="1" si="20"/>
        <v>55.270645625027299</v>
      </c>
      <c r="BP63" s="9">
        <f t="shared" ca="1" si="21"/>
        <v>416.34962118162372</v>
      </c>
      <c r="BQ63">
        <f t="shared" ca="1" si="22"/>
        <v>420.00220395360896</v>
      </c>
      <c r="BR63">
        <f t="shared" ca="1" si="23"/>
        <v>0.13159608474609857</v>
      </c>
      <c r="BS63">
        <f t="shared" ca="1" si="24"/>
        <v>0.99130341998779448</v>
      </c>
      <c r="BT63">
        <f t="shared" ca="1" si="25"/>
        <v>1.4388174314331248</v>
      </c>
      <c r="BU63" s="39">
        <f t="shared" ca="1" si="26"/>
        <v>-3.3979265434983263</v>
      </c>
    </row>
    <row r="64" spans="1:73" x14ac:dyDescent="0.25">
      <c r="A64">
        <f t="shared" si="71"/>
        <v>3</v>
      </c>
      <c r="B64" s="1">
        <f t="shared" si="73"/>
        <v>0</v>
      </c>
      <c r="C64" s="1">
        <f t="shared" ca="1" si="73"/>
        <v>0</v>
      </c>
      <c r="D64" s="1">
        <f t="shared" si="73"/>
        <v>-1</v>
      </c>
      <c r="E64" s="1">
        <f t="shared" ref="E64" si="88">E17</f>
        <v>22</v>
      </c>
      <c r="F64" s="1">
        <f t="shared" si="76"/>
        <v>-7</v>
      </c>
      <c r="G64" s="1">
        <f t="shared" si="77"/>
        <v>10</v>
      </c>
      <c r="H64" s="6">
        <f t="shared" si="78"/>
        <v>-2.4852493376115863</v>
      </c>
      <c r="I64" s="6">
        <f t="shared" si="79"/>
        <v>-11.950880123652031</v>
      </c>
      <c r="J64" s="6">
        <f t="shared" si="80"/>
        <v>31.056996927393275</v>
      </c>
      <c r="K64">
        <f t="shared" ca="1" si="81"/>
        <v>0</v>
      </c>
      <c r="L64">
        <f t="shared" ca="1" si="82"/>
        <v>0</v>
      </c>
      <c r="M64" s="6">
        <f t="shared" ca="1" si="83"/>
        <v>0</v>
      </c>
      <c r="N64" s="6">
        <f t="shared" ca="1" si="84"/>
        <v>0</v>
      </c>
      <c r="O64" s="6">
        <f t="shared" ca="1" si="85"/>
        <v>0</v>
      </c>
      <c r="Q64" t="e">
        <f t="shared" si="86"/>
        <v>#N/A</v>
      </c>
      <c r="R64" t="e">
        <f t="shared" si="87"/>
        <v>#N/A</v>
      </c>
      <c r="AS64">
        <v>2.1642082724729708</v>
      </c>
      <c r="AT64">
        <v>-227.1826685609114</v>
      </c>
      <c r="AU64">
        <v>305.07402931409587</v>
      </c>
      <c r="AV64" s="6">
        <f t="shared" si="0"/>
        <v>2.2108842281585943</v>
      </c>
      <c r="AW64" s="6">
        <f t="shared" si="1"/>
        <v>4.6675955685623549E-2</v>
      </c>
      <c r="AX64" s="6">
        <f t="shared" si="2"/>
        <v>2.6258597467728571</v>
      </c>
      <c r="AY64" s="6">
        <f t="shared" si="3"/>
        <v>2.6258597467728571</v>
      </c>
      <c r="BE64" s="39"/>
      <c r="BF64" s="39"/>
      <c r="BG64" s="6">
        <f t="shared" si="12"/>
        <v>1.7104226669544444</v>
      </c>
      <c r="BH64" s="9">
        <f t="shared" ca="1" si="13"/>
        <v>-9.3837269931462686E-2</v>
      </c>
      <c r="BI64" s="9">
        <f t="shared" ca="1" si="14"/>
        <v>405.17712647452214</v>
      </c>
      <c r="BJ64">
        <f t="shared" ca="1" si="15"/>
        <v>405.1771373406749</v>
      </c>
      <c r="BK64" s="6">
        <f t="shared" ca="1" si="16"/>
        <v>-2.3159566837198874E-4</v>
      </c>
      <c r="BL64" s="6">
        <f t="shared" ca="1" si="17"/>
        <v>0.99999997318172285</v>
      </c>
      <c r="BM64" s="6">
        <f t="shared" ca="1" si="18"/>
        <v>1.5710279224653387</v>
      </c>
      <c r="BN64" s="6">
        <f t="shared" ca="1" si="19"/>
        <v>3.1118082355679384</v>
      </c>
      <c r="BO64" s="9">
        <f t="shared" ca="1" si="20"/>
        <v>37.644828220544412</v>
      </c>
      <c r="BP64" s="9">
        <f t="shared" ca="1" si="21"/>
        <v>413.54754120049336</v>
      </c>
      <c r="BQ64">
        <f t="shared" ca="1" si="22"/>
        <v>415.25739237818277</v>
      </c>
      <c r="BR64">
        <f t="shared" ca="1" si="23"/>
        <v>9.0654203661377691E-2</v>
      </c>
      <c r="BS64">
        <f t="shared" ca="1" si="24"/>
        <v>0.99588243048992553</v>
      </c>
      <c r="BT64">
        <f t="shared" ca="1" si="25"/>
        <v>1.4800174928448073</v>
      </c>
      <c r="BU64" s="39">
        <f t="shared" ca="1" si="26"/>
        <v>-3.356726482086644</v>
      </c>
    </row>
    <row r="65" spans="1:73" x14ac:dyDescent="0.25">
      <c r="A65">
        <f t="shared" si="71"/>
        <v>4</v>
      </c>
      <c r="B65" s="1">
        <f t="shared" si="73"/>
        <v>0</v>
      </c>
      <c r="C65" s="1">
        <f t="shared" ca="1" si="73"/>
        <v>0</v>
      </c>
      <c r="D65" s="1">
        <f t="shared" si="73"/>
        <v>9</v>
      </c>
      <c r="E65" s="1">
        <f t="shared" ref="E65" si="89">E18</f>
        <v>22</v>
      </c>
      <c r="F65" s="1">
        <f t="shared" si="76"/>
        <v>3</v>
      </c>
      <c r="G65" s="1">
        <f t="shared" si="77"/>
        <v>10</v>
      </c>
      <c r="H65" s="6">
        <f t="shared" si="78"/>
        <v>-9.3384074499095195</v>
      </c>
      <c r="I65" s="6">
        <f t="shared" si="79"/>
        <v>-4.6684201074318921</v>
      </c>
      <c r="J65" s="6">
        <f t="shared" si="80"/>
        <v>23.774536911173136</v>
      </c>
      <c r="K65">
        <f t="shared" ca="1" si="81"/>
        <v>0</v>
      </c>
      <c r="L65">
        <f t="shared" ca="1" si="82"/>
        <v>0</v>
      </c>
      <c r="M65" s="6">
        <f t="shared" ca="1" si="83"/>
        <v>0</v>
      </c>
      <c r="N65" s="6">
        <f t="shared" ca="1" si="84"/>
        <v>0</v>
      </c>
      <c r="O65" s="6">
        <f t="shared" ca="1" si="85"/>
        <v>0</v>
      </c>
      <c r="Q65" t="e">
        <f t="shared" si="86"/>
        <v>#N/A</v>
      </c>
      <c r="R65" t="e">
        <f t="shared" si="87"/>
        <v>#N/A</v>
      </c>
      <c r="AS65">
        <v>2.1991148575128574</v>
      </c>
      <c r="AT65">
        <v>-248.44929551889564</v>
      </c>
      <c r="AU65">
        <v>289.45565277336448</v>
      </c>
      <c r="AV65" s="6">
        <f t="shared" si="0"/>
        <v>2.2801081918206769</v>
      </c>
      <c r="AW65" s="6">
        <f t="shared" si="1"/>
        <v>8.099333430781952E-2</v>
      </c>
      <c r="AX65" s="6">
        <f t="shared" si="2"/>
        <v>2.5566357831107744</v>
      </c>
      <c r="AY65" s="6">
        <f t="shared" si="3"/>
        <v>2.5566357831107744</v>
      </c>
      <c r="BE65" s="39"/>
      <c r="BF65" s="39"/>
      <c r="BG65" s="6">
        <f t="shared" si="12"/>
        <v>1.7453292519943311</v>
      </c>
      <c r="BH65" s="9">
        <f t="shared" ca="1" si="13"/>
        <v>-17.925132441043971</v>
      </c>
      <c r="BI65" s="9">
        <f t="shared" ca="1" si="14"/>
        <v>401.90350182636661</v>
      </c>
      <c r="BJ65">
        <f t="shared" ca="1" si="15"/>
        <v>402.30303895611485</v>
      </c>
      <c r="BK65" s="6">
        <f t="shared" ca="1" si="16"/>
        <v>-4.455629390112395E-2</v>
      </c>
      <c r="BL65" s="6">
        <f t="shared" ca="1" si="17"/>
        <v>0.99900687518845255</v>
      </c>
      <c r="BM65" s="6">
        <f t="shared" ca="1" si="18"/>
        <v>1.6153673765449412</v>
      </c>
      <c r="BN65" s="6">
        <f t="shared" ca="1" si="19"/>
        <v>3.1561476896475407</v>
      </c>
      <c r="BO65" s="9">
        <f t="shared" ca="1" si="20"/>
        <v>19.813533049431904</v>
      </c>
      <c r="BP65" s="9">
        <f t="shared" ca="1" si="21"/>
        <v>410.27391655233782</v>
      </c>
      <c r="BQ65">
        <f t="shared" ca="1" si="22"/>
        <v>410.75206961754384</v>
      </c>
      <c r="BR65">
        <f t="shared" ca="1" si="23"/>
        <v>4.8237208075130385E-2</v>
      </c>
      <c r="BS65">
        <f t="shared" ca="1" si="24"/>
        <v>0.99883590832384306</v>
      </c>
      <c r="BT65">
        <f t="shared" ca="1" si="25"/>
        <v>1.5225403924890559</v>
      </c>
      <c r="BU65" s="39">
        <f t="shared" ca="1" si="26"/>
        <v>-3.3142035824423957</v>
      </c>
    </row>
    <row r="66" spans="1:73" x14ac:dyDescent="0.25">
      <c r="A66">
        <f t="shared" si="71"/>
        <v>5</v>
      </c>
      <c r="B66" s="1">
        <f t="shared" si="73"/>
        <v>8</v>
      </c>
      <c r="C66" s="1">
        <f t="shared" ca="1" si="73"/>
        <v>0.79</v>
      </c>
      <c r="D66" s="1">
        <f t="shared" si="73"/>
        <v>3</v>
      </c>
      <c r="E66" s="1">
        <f t="shared" ref="E66" si="90">E19</f>
        <v>22</v>
      </c>
      <c r="F66" s="1">
        <f t="shared" si="76"/>
        <v>-3</v>
      </c>
      <c r="G66" s="1">
        <f t="shared" si="77"/>
        <v>10</v>
      </c>
      <c r="H66" s="6">
        <f t="shared" si="78"/>
        <v>-5.2265125825307592</v>
      </c>
      <c r="I66" s="6">
        <f t="shared" si="79"/>
        <v>-9.0378961171639745</v>
      </c>
      <c r="J66" s="6">
        <f t="shared" si="80"/>
        <v>28.144012920905219</v>
      </c>
      <c r="K66">
        <f t="shared" ca="1" si="81"/>
        <v>-5.8571791108692024E-3</v>
      </c>
      <c r="L66">
        <f t="shared" ca="1" si="82"/>
        <v>-60</v>
      </c>
      <c r="M66" s="6">
        <f t="shared" ca="1" si="83"/>
        <v>-47.400000000000006</v>
      </c>
      <c r="N66" s="6">
        <f t="shared" ca="1" si="84"/>
        <v>428.39627595357246</v>
      </c>
      <c r="O66" s="6">
        <f t="shared" ca="1" si="85"/>
        <v>-247.73669641195801</v>
      </c>
      <c r="Q66">
        <f t="shared" si="86"/>
        <v>-5.2265125825307592</v>
      </c>
      <c r="R66">
        <f t="shared" si="87"/>
        <v>-9.0378961171639745</v>
      </c>
      <c r="AS66">
        <v>2.234021442552744</v>
      </c>
      <c r="AT66">
        <v>-267.36868633482999</v>
      </c>
      <c r="AU66">
        <v>274.71990772247199</v>
      </c>
      <c r="AV66" s="6">
        <f t="shared" si="0"/>
        <v>2.3426343989241341</v>
      </c>
      <c r="AW66" s="6">
        <f t="shared" si="1"/>
        <v>0.10861295637139001</v>
      </c>
      <c r="AX66" s="6">
        <f t="shared" si="2"/>
        <v>2.4941095760073173</v>
      </c>
      <c r="AY66" s="6">
        <f t="shared" si="3"/>
        <v>2.4941095760073173</v>
      </c>
      <c r="BE66" s="39"/>
      <c r="BF66" s="39"/>
      <c r="BG66" s="6">
        <f t="shared" si="12"/>
        <v>1.7802358370342177</v>
      </c>
      <c r="BH66" s="9">
        <f t="shared" ca="1" si="13"/>
        <v>-36.078855078322313</v>
      </c>
      <c r="BI66" s="9">
        <f t="shared" ca="1" si="14"/>
        <v>398.11814819514825</v>
      </c>
      <c r="BJ66">
        <f t="shared" ca="1" si="15"/>
        <v>399.74960125820837</v>
      </c>
      <c r="BK66" s="6">
        <f t="shared" ca="1" si="16"/>
        <v>-9.0253636188164871E-2</v>
      </c>
      <c r="BL66" s="6">
        <f t="shared" ca="1" si="17"/>
        <v>0.99591881253183212</v>
      </c>
      <c r="BM66" s="6">
        <f t="shared" ca="1" si="18"/>
        <v>1.6611729444403058</v>
      </c>
      <c r="BN66" s="6">
        <f t="shared" ca="1" si="19"/>
        <v>3.2019532575429053</v>
      </c>
      <c r="BO66" s="9">
        <f t="shared" ca="1" si="20"/>
        <v>1.6598104121535613</v>
      </c>
      <c r="BP66" s="9">
        <f t="shared" ca="1" si="21"/>
        <v>406.48856292111947</v>
      </c>
      <c r="BQ66">
        <f t="shared" ca="1" si="22"/>
        <v>406.49195165006796</v>
      </c>
      <c r="BR66">
        <f t="shared" ca="1" si="23"/>
        <v>4.0832552905805701E-3</v>
      </c>
      <c r="BS66">
        <f t="shared" ca="1" si="24"/>
        <v>0.99999166347836721</v>
      </c>
      <c r="BT66">
        <f t="shared" ca="1" si="25"/>
        <v>1.566713060157563</v>
      </c>
      <c r="BU66" s="39">
        <f t="shared" ca="1" si="26"/>
        <v>-3.2700309147738884</v>
      </c>
    </row>
    <row r="67" spans="1:73" x14ac:dyDescent="0.25">
      <c r="A67">
        <f t="shared" si="71"/>
        <v>6</v>
      </c>
      <c r="B67" s="1">
        <f t="shared" si="73"/>
        <v>8</v>
      </c>
      <c r="C67" s="1">
        <f t="shared" ca="1" si="73"/>
        <v>0.79</v>
      </c>
      <c r="D67" s="1">
        <f t="shared" si="73"/>
        <v>13</v>
      </c>
      <c r="E67" s="1">
        <f t="shared" ref="E67" si="91">E20</f>
        <v>22</v>
      </c>
      <c r="F67" s="1">
        <f t="shared" si="76"/>
        <v>7</v>
      </c>
      <c r="G67" s="1">
        <f t="shared" si="77"/>
        <v>10</v>
      </c>
      <c r="H67" s="6">
        <f t="shared" si="78"/>
        <v>-12.079670694828692</v>
      </c>
      <c r="I67" s="6">
        <f t="shared" si="79"/>
        <v>-1.755436100943836</v>
      </c>
      <c r="J67" s="6">
        <f t="shared" si="80"/>
        <v>20.86155290468508</v>
      </c>
      <c r="K67">
        <f t="shared" ca="1" si="81"/>
        <v>-3.565322121154227E-3</v>
      </c>
      <c r="L67">
        <f t="shared" ca="1" si="82"/>
        <v>-60</v>
      </c>
      <c r="M67" s="6">
        <f t="shared" ca="1" si="83"/>
        <v>-47.400000000000006</v>
      </c>
      <c r="N67" s="6">
        <f t="shared" ca="1" si="84"/>
        <v>83.207671184737833</v>
      </c>
      <c r="O67" s="6">
        <f t="shared" ca="1" si="85"/>
        <v>-572.57639093488012</v>
      </c>
      <c r="Q67">
        <f t="shared" si="86"/>
        <v>-12.079670694828692</v>
      </c>
      <c r="R67">
        <f t="shared" si="87"/>
        <v>-1.755436100943836</v>
      </c>
      <c r="AS67">
        <v>2.2689280275926307</v>
      </c>
      <c r="AT67">
        <v>-284.18666735071298</v>
      </c>
      <c r="AU67">
        <v>260.81755743153434</v>
      </c>
      <c r="AV67" s="6">
        <f t="shared" ref="AV67:AV130" si="92">IF(AS67&lt;&gt;"",IF(AND(AT67=0,AU67=0),0,MOD(ATAN2(AT67,AU67),2*PI())),NA())</f>
        <v>2.3990470087139015</v>
      </c>
      <c r="AW67" s="6">
        <f t="shared" ref="AW67:AW130" si="93">ABS(AS67-AV67)</f>
        <v>0.13011898112127085</v>
      </c>
      <c r="AX67" s="6">
        <f t="shared" ref="AX67:AX130" si="94">ATAN2(COS($U$13-AV67),SIN($U$13-AV67))</f>
        <v>2.4376969662175498</v>
      </c>
      <c r="AY67" s="6">
        <f t="shared" ref="AY67:AY130" si="95">ABS(AX67)</f>
        <v>2.4376969662175498</v>
      </c>
      <c r="BE67" s="39"/>
      <c r="BF67" s="39"/>
      <c r="BG67" s="6">
        <f t="shared" si="12"/>
        <v>1.8151424220741044</v>
      </c>
      <c r="BH67" s="9">
        <f t="shared" ca="1" si="13"/>
        <v>-54.669366603671698</v>
      </c>
      <c r="BI67" s="9">
        <f t="shared" ca="1" si="14"/>
        <v>393.77023183443157</v>
      </c>
      <c r="BJ67">
        <f t="shared" ca="1" si="15"/>
        <v>397.54714830292596</v>
      </c>
      <c r="BK67" s="6">
        <f t="shared" ca="1" si="16"/>
        <v>-0.13751668660446364</v>
      </c>
      <c r="BL67" s="6">
        <f t="shared" ca="1" si="17"/>
        <v>0.99049945022969599</v>
      </c>
      <c r="BM67" s="6">
        <f t="shared" ca="1" si="18"/>
        <v>1.708750169850547</v>
      </c>
      <c r="BN67" s="6">
        <f t="shared" ca="1" si="19"/>
        <v>3.2495304829531464</v>
      </c>
      <c r="BO67" s="9">
        <f t="shared" ca="1" si="20"/>
        <v>-16.930701113195823</v>
      </c>
      <c r="BP67" s="9">
        <f t="shared" ca="1" si="21"/>
        <v>402.14064656040279</v>
      </c>
      <c r="BQ67">
        <f t="shared" ca="1" si="22"/>
        <v>402.49689223173283</v>
      </c>
      <c r="BR67">
        <f t="shared" ca="1" si="23"/>
        <v>-4.2064178481776134E-2</v>
      </c>
      <c r="BS67">
        <f t="shared" ca="1" si="24"/>
        <v>0.99911491075283898</v>
      </c>
      <c r="BT67">
        <f t="shared" ca="1" si="25"/>
        <v>1.6128729198560097</v>
      </c>
      <c r="BU67" s="39">
        <f t="shared" ca="1" si="26"/>
        <v>-3.2238710550754419</v>
      </c>
    </row>
    <row r="68" spans="1:73" x14ac:dyDescent="0.25">
      <c r="A68">
        <f t="shared" si="71"/>
        <v>7</v>
      </c>
      <c r="B68" s="1">
        <f t="shared" ref="B68:D68" si="96">B21</f>
        <v>8</v>
      </c>
      <c r="C68" s="1">
        <f t="shared" ca="1" si="96"/>
        <v>0.79</v>
      </c>
      <c r="D68" s="1">
        <f t="shared" si="96"/>
        <v>23</v>
      </c>
      <c r="E68" s="1">
        <f>E21</f>
        <v>22</v>
      </c>
      <c r="F68" s="1">
        <f t="shared" si="76"/>
        <v>17</v>
      </c>
      <c r="G68" s="1">
        <f t="shared" si="77"/>
        <v>10</v>
      </c>
      <c r="H68" s="6">
        <f t="shared" si="78"/>
        <v>-18.932828807126626</v>
      </c>
      <c r="I68" s="6">
        <f t="shared" si="79"/>
        <v>5.5270239152763025</v>
      </c>
      <c r="J68" s="6">
        <f t="shared" si="80"/>
        <v>13.579092888464942</v>
      </c>
      <c r="K68">
        <f t="shared" ca="1" si="81"/>
        <v>-1.2734651314392515E-3</v>
      </c>
      <c r="L68">
        <f t="shared" ca="1" si="82"/>
        <v>-36.930488811738293</v>
      </c>
      <c r="M68" s="6">
        <f t="shared" ca="1" si="83"/>
        <v>-29.175086161273253</v>
      </c>
      <c r="N68" s="6">
        <f t="shared" ca="1" si="84"/>
        <v>-161.25139894360396</v>
      </c>
      <c r="O68" s="6">
        <f t="shared" ca="1" si="85"/>
        <v>-552.36691172455562</v>
      </c>
      <c r="Q68">
        <f t="shared" si="86"/>
        <v>-18.932828807126626</v>
      </c>
      <c r="R68">
        <f t="shared" si="87"/>
        <v>5.5270239152763025</v>
      </c>
      <c r="AS68">
        <v>2.3038346126325173</v>
      </c>
      <c r="AT68">
        <v>-299.05710823712502</v>
      </c>
      <c r="AU68">
        <v>247.76087877409611</v>
      </c>
      <c r="AV68" s="6">
        <f t="shared" si="92"/>
        <v>2.449729359842244</v>
      </c>
      <c r="AW68" s="6">
        <f t="shared" si="93"/>
        <v>0.14589474720972673</v>
      </c>
      <c r="AX68" s="6">
        <f t="shared" si="94"/>
        <v>2.3870146150892073</v>
      </c>
      <c r="AY68" s="6">
        <f t="shared" si="95"/>
        <v>2.3870146150892073</v>
      </c>
      <c r="BE68" s="39"/>
      <c r="BF68" s="39"/>
      <c r="BG68" s="6">
        <f t="shared" si="12"/>
        <v>1.850049007113991</v>
      </c>
      <c r="BH68" s="9">
        <f t="shared" ca="1" si="13"/>
        <v>-73.794976154367475</v>
      </c>
      <c r="BI68" s="9">
        <f t="shared" ca="1" si="14"/>
        <v>388.80932304698212</v>
      </c>
      <c r="BJ68">
        <f t="shared" ca="1" si="15"/>
        <v>395.75041148920639</v>
      </c>
      <c r="BK68" s="6">
        <f t="shared" ca="1" si="16"/>
        <v>-0.18646847612028356</v>
      </c>
      <c r="BL68" s="6">
        <f t="shared" ca="1" si="17"/>
        <v>0.98246094447228749</v>
      </c>
      <c r="BM68" s="6">
        <f t="shared" ca="1" si="18"/>
        <v>1.7583626693279746</v>
      </c>
      <c r="BN68" s="6">
        <f t="shared" ca="1" si="19"/>
        <v>3.299142982430574</v>
      </c>
      <c r="BO68" s="9">
        <f t="shared" ca="1" si="20"/>
        <v>-36.056310663891601</v>
      </c>
      <c r="BP68" s="9">
        <f t="shared" ca="1" si="21"/>
        <v>397.17973777295333</v>
      </c>
      <c r="BQ68">
        <f t="shared" ca="1" si="22"/>
        <v>398.8129908065722</v>
      </c>
      <c r="BR68">
        <f t="shared" ca="1" si="23"/>
        <v>-9.0409067645891281E-2</v>
      </c>
      <c r="BS68">
        <f t="shared" ca="1" si="24"/>
        <v>0.99590471456229213</v>
      </c>
      <c r="BT68">
        <f t="shared" ca="1" si="25"/>
        <v>1.6613290139467622</v>
      </c>
      <c r="BU68" s="39">
        <f t="shared" ca="1" si="26"/>
        <v>-3.1754149609846891</v>
      </c>
    </row>
    <row r="69" spans="1:73" x14ac:dyDescent="0.25">
      <c r="A69">
        <f t="shared" si="71"/>
        <v>8</v>
      </c>
      <c r="B69" s="1">
        <f t="shared" ref="B69:D71" si="97">B22</f>
        <v>8</v>
      </c>
      <c r="C69" s="1">
        <f t="shared" ca="1" si="97"/>
        <v>0.79</v>
      </c>
      <c r="D69" s="1">
        <f t="shared" si="97"/>
        <v>33</v>
      </c>
      <c r="E69" s="1">
        <f t="shared" ref="E69" si="98">E22</f>
        <v>22</v>
      </c>
      <c r="F69" s="1">
        <f t="shared" si="76"/>
        <v>27</v>
      </c>
      <c r="G69" s="1">
        <f t="shared" si="77"/>
        <v>10</v>
      </c>
      <c r="H69" s="6">
        <f t="shared" si="78"/>
        <v>-25.785986919424559</v>
      </c>
      <c r="I69" s="6">
        <f t="shared" si="79"/>
        <v>12.809483931496441</v>
      </c>
      <c r="J69" s="6">
        <f t="shared" si="80"/>
        <v>6.2966328722448033</v>
      </c>
      <c r="K69">
        <f t="shared" ca="1" si="81"/>
        <v>1.0183918582757237E-3</v>
      </c>
      <c r="L69">
        <f t="shared" ca="1" si="82"/>
        <v>25.283363889995989</v>
      </c>
      <c r="M69" s="6">
        <f t="shared" ca="1" si="83"/>
        <v>19.973857473096832</v>
      </c>
      <c r="N69" s="6">
        <f t="shared" ca="1" si="84"/>
        <v>255.85480635163398</v>
      </c>
      <c r="O69" s="6">
        <f t="shared" ca="1" si="85"/>
        <v>515.04562753172536</v>
      </c>
      <c r="Q69">
        <f t="shared" si="86"/>
        <v>-25.785986919424559</v>
      </c>
      <c r="R69">
        <f t="shared" si="87"/>
        <v>12.809483931496441</v>
      </c>
      <c r="AS69">
        <v>2.338741197672404</v>
      </c>
      <c r="AT69">
        <v>-312.04994760856073</v>
      </c>
      <c r="AU69">
        <v>235.63331858508252</v>
      </c>
      <c r="AV69" s="6">
        <f t="shared" si="92"/>
        <v>2.4948265406226415</v>
      </c>
      <c r="AW69" s="6">
        <f t="shared" si="93"/>
        <v>0.15608534295023757</v>
      </c>
      <c r="AX69" s="6">
        <f t="shared" si="94"/>
        <v>2.3419174343088098</v>
      </c>
      <c r="AY69" s="6">
        <f t="shared" si="95"/>
        <v>2.3419174343088098</v>
      </c>
      <c r="BE69" s="39"/>
      <c r="BF69" s="39"/>
      <c r="BG69" s="6">
        <f t="shared" si="12"/>
        <v>1.8849555921538776</v>
      </c>
      <c r="BH69" s="9">
        <f t="shared" ca="1" si="13"/>
        <v>-93.553602136428452</v>
      </c>
      <c r="BI69" s="9">
        <f t="shared" ca="1" si="14"/>
        <v>383.18026846235153</v>
      </c>
      <c r="BJ69">
        <f t="shared" ca="1" si="15"/>
        <v>394.43553923496921</v>
      </c>
      <c r="BK69" s="6">
        <f t="shared" ca="1" si="16"/>
        <v>-0.23718350105540981</v>
      </c>
      <c r="BL69" s="6">
        <f t="shared" ca="1" si="17"/>
        <v>0.97146486649137165</v>
      </c>
      <c r="BM69" s="6">
        <f t="shared" ca="1" si="18"/>
        <v>1.8102619181062505</v>
      </c>
      <c r="BN69" s="6">
        <f t="shared" ca="1" si="19"/>
        <v>3.3510422312088499</v>
      </c>
      <c r="BO69" s="9">
        <f t="shared" ca="1" si="20"/>
        <v>-55.814936645952578</v>
      </c>
      <c r="BP69" s="9">
        <f t="shared" ca="1" si="21"/>
        <v>391.55068318832275</v>
      </c>
      <c r="BQ69">
        <f t="shared" ca="1" si="22"/>
        <v>395.5088427052346</v>
      </c>
      <c r="BR69">
        <f t="shared" ca="1" si="23"/>
        <v>-0.14112184259695659</v>
      </c>
      <c r="BS69">
        <f t="shared" ca="1" si="24"/>
        <v>0.98999223509179091</v>
      </c>
      <c r="BT69">
        <f t="shared" ca="1" si="25"/>
        <v>1.7123908334667464</v>
      </c>
      <c r="BU69" s="39">
        <f t="shared" ca="1" si="26"/>
        <v>-3.124353141464705</v>
      </c>
    </row>
    <row r="70" spans="1:73" x14ac:dyDescent="0.25">
      <c r="A70">
        <f t="shared" si="71"/>
        <v>9</v>
      </c>
      <c r="B70" s="1">
        <f t="shared" si="97"/>
        <v>8</v>
      </c>
      <c r="C70" s="1">
        <f t="shared" ca="1" si="97"/>
        <v>0.79</v>
      </c>
      <c r="D70" s="1">
        <f t="shared" si="97"/>
        <v>6</v>
      </c>
      <c r="E70" s="1">
        <f t="shared" ref="E70" si="99">E23</f>
        <v>2</v>
      </c>
      <c r="F70" s="1">
        <f t="shared" si="76"/>
        <v>0</v>
      </c>
      <c r="G70" s="1">
        <f t="shared" si="77"/>
        <v>-10</v>
      </c>
      <c r="H70" s="6">
        <f t="shared" si="78"/>
        <v>7.2824600162201394</v>
      </c>
      <c r="I70" s="6">
        <f t="shared" si="79"/>
        <v>6.8531581122979333</v>
      </c>
      <c r="J70" s="6">
        <f t="shared" si="80"/>
        <v>12.252958691443311</v>
      </c>
      <c r="K70">
        <f t="shared" ca="1" si="81"/>
        <v>-8.5611853125543169E-4</v>
      </c>
      <c r="L70">
        <f t="shared" ca="1" si="82"/>
        <v>-24.827437406407519</v>
      </c>
      <c r="M70" s="6">
        <f t="shared" ca="1" si="83"/>
        <v>-19.613675551061942</v>
      </c>
      <c r="N70" s="6">
        <f t="shared" ca="1" si="84"/>
        <v>-134.41561971473979</v>
      </c>
      <c r="O70" s="6">
        <f t="shared" ca="1" si="85"/>
        <v>142.83580797172309</v>
      </c>
      <c r="Q70">
        <f t="shared" si="86"/>
        <v>7.2824600162201394</v>
      </c>
      <c r="R70">
        <f t="shared" si="87"/>
        <v>6.8531581122979333</v>
      </c>
      <c r="AS70">
        <v>2.3736477827122906</v>
      </c>
      <c r="AT70">
        <v>-323.14988164327758</v>
      </c>
      <c r="AU70">
        <v>224.60974675733522</v>
      </c>
      <c r="AV70" s="6">
        <f t="shared" si="92"/>
        <v>2.5341873425862635</v>
      </c>
      <c r="AW70" s="6">
        <f t="shared" si="93"/>
        <v>0.16053955987397295</v>
      </c>
      <c r="AX70" s="6">
        <f t="shared" si="94"/>
        <v>2.3025566323451878</v>
      </c>
      <c r="AY70" s="6">
        <f t="shared" si="95"/>
        <v>2.3025566323451878</v>
      </c>
      <c r="BE70" s="39"/>
      <c r="BF70" s="39"/>
      <c r="BG70" s="6">
        <f t="shared" si="12"/>
        <v>1.9198621771937643</v>
      </c>
      <c r="BH70" s="9">
        <f t="shared" ca="1" si="13"/>
        <v>-114.05013851354693</v>
      </c>
      <c r="BI70" s="9">
        <f t="shared" ca="1" si="14"/>
        <v>376.82012346822006</v>
      </c>
      <c r="BJ70">
        <f t="shared" ca="1" si="15"/>
        <v>393.70145992307909</v>
      </c>
      <c r="BK70" s="6">
        <f t="shared" ca="1" si="16"/>
        <v>-0.28968685697998148</v>
      </c>
      <c r="BL70" s="6">
        <f t="shared" ca="1" si="17"/>
        <v>0.95712147864994634</v>
      </c>
      <c r="BM70" s="6">
        <f t="shared" ca="1" si="18"/>
        <v>1.8646959766807341</v>
      </c>
      <c r="BN70" s="6">
        <f t="shared" ca="1" si="19"/>
        <v>3.4054762897833335</v>
      </c>
      <c r="BO70" s="9">
        <f t="shared" ca="1" si="20"/>
        <v>-76.311473023071045</v>
      </c>
      <c r="BP70" s="9">
        <f t="shared" ca="1" si="21"/>
        <v>385.19053819419128</v>
      </c>
      <c r="BQ70">
        <f t="shared" ca="1" si="22"/>
        <v>392.67695581645938</v>
      </c>
      <c r="BR70">
        <f t="shared" ca="1" si="23"/>
        <v>-0.1943365198612258</v>
      </c>
      <c r="BS70">
        <f t="shared" ca="1" si="24"/>
        <v>0.98093491988420289</v>
      </c>
      <c r="BT70">
        <f t="shared" ca="1" si="25"/>
        <v>1.7663773562962164</v>
      </c>
      <c r="BU70" s="39">
        <f t="shared" ca="1" si="26"/>
        <v>-3.070366618635235</v>
      </c>
    </row>
    <row r="71" spans="1:73" ht="15.75" thickBot="1" x14ac:dyDescent="0.3">
      <c r="A71">
        <f t="shared" si="71"/>
        <v>10</v>
      </c>
      <c r="B71" s="1">
        <f t="shared" si="97"/>
        <v>8</v>
      </c>
      <c r="C71" s="1">
        <f t="shared" ca="1" si="97"/>
        <v>0.79</v>
      </c>
      <c r="D71" s="1">
        <f t="shared" si="97"/>
        <v>10</v>
      </c>
      <c r="E71" s="1">
        <f t="shared" ref="E71" si="100">E24</f>
        <v>2</v>
      </c>
      <c r="F71" s="1">
        <f t="shared" si="76"/>
        <v>4</v>
      </c>
      <c r="G71" s="1">
        <f t="shared" si="77"/>
        <v>-10</v>
      </c>
      <c r="H71" s="6">
        <f t="shared" si="78"/>
        <v>4.5411967713009656</v>
      </c>
      <c r="I71" s="6">
        <f t="shared" si="79"/>
        <v>9.7661421187859894</v>
      </c>
      <c r="J71" s="6">
        <f t="shared" si="80"/>
        <v>9.339974684955255</v>
      </c>
      <c r="K71" s="12">
        <f t="shared" ca="1" si="81"/>
        <v>6.062426463055857E-5</v>
      </c>
      <c r="L71">
        <f t="shared" ca="1" si="82"/>
        <v>1.7581036742861986</v>
      </c>
      <c r="M71" s="11">
        <f t="shared" ca="1" si="83"/>
        <v>1.3889019026860969</v>
      </c>
      <c r="N71" s="11">
        <f t="shared" ca="1" si="84"/>
        <v>13.564213370684691</v>
      </c>
      <c r="O71" s="11">
        <f t="shared" ca="1" si="85"/>
        <v>-6.3072768361318712</v>
      </c>
      <c r="Q71">
        <f t="shared" si="86"/>
        <v>4.5411967713009656</v>
      </c>
      <c r="R71">
        <f t="shared" si="87"/>
        <v>9.7661421187859894</v>
      </c>
      <c r="AS71">
        <v>2.4085543677521772</v>
      </c>
      <c r="AT71">
        <v>-332.2443366531362</v>
      </c>
      <c r="AU71">
        <v>214.9928281159288</v>
      </c>
      <c r="AV71" s="6">
        <f t="shared" si="92"/>
        <v>2.5672640653958245</v>
      </c>
      <c r="AW71" s="6">
        <f t="shared" si="93"/>
        <v>0.15870969764364729</v>
      </c>
      <c r="AX71" s="6">
        <f t="shared" si="94"/>
        <v>2.2694799095356268</v>
      </c>
      <c r="AY71" s="6">
        <f t="shared" si="95"/>
        <v>2.2694799095356268</v>
      </c>
      <c r="BE71" s="39"/>
      <c r="BF71" s="39"/>
      <c r="BG71" s="6">
        <f t="shared" si="12"/>
        <v>1.9547687622336509</v>
      </c>
      <c r="BH71" s="9">
        <f t="shared" ca="1" si="13"/>
        <v>-135.40139275477722</v>
      </c>
      <c r="BI71" s="9">
        <f t="shared" ca="1" si="14"/>
        <v>369.65566041299576</v>
      </c>
      <c r="BJ71">
        <f t="shared" ca="1" si="15"/>
        <v>393.67352518972046</v>
      </c>
      <c r="BK71" s="6">
        <f t="shared" ca="1" si="16"/>
        <v>-0.34394335430487516</v>
      </c>
      <c r="BL71" s="6">
        <f t="shared" ca="1" si="17"/>
        <v>0.93899039879516932</v>
      </c>
      <c r="BM71" s="6">
        <f t="shared" ca="1" si="18"/>
        <v>1.9219095798554593</v>
      </c>
      <c r="BN71" s="6">
        <f t="shared" ca="1" si="19"/>
        <v>3.4626898929580587</v>
      </c>
      <c r="BO71" s="9">
        <f t="shared" ca="1" si="20"/>
        <v>-97.662727264301338</v>
      </c>
      <c r="BP71" s="9">
        <f t="shared" ca="1" si="21"/>
        <v>378.02607513896697</v>
      </c>
      <c r="BQ71">
        <f t="shared" ca="1" si="22"/>
        <v>390.43785905272199</v>
      </c>
      <c r="BR71">
        <f t="shared" ca="1" si="23"/>
        <v>-0.25013641735780967</v>
      </c>
      <c r="BS71">
        <f t="shared" ca="1" si="24"/>
        <v>0.96821060349048016</v>
      </c>
      <c r="BT71">
        <f t="shared" ca="1" si="25"/>
        <v>1.8236174757415173</v>
      </c>
      <c r="BU71" s="39">
        <f t="shared" ca="1" si="26"/>
        <v>-3.013126499189934</v>
      </c>
    </row>
    <row r="72" spans="1:73" ht="15.75" thickTop="1" x14ac:dyDescent="0.25">
      <c r="K72" s="13">
        <f ca="1">MIN(K62:K71)</f>
        <v>-5.8571791108692024E-3</v>
      </c>
      <c r="M72" s="9">
        <f ca="1">SUM(M62:M71)</f>
        <v>-122.22600233655228</v>
      </c>
      <c r="N72" s="9">
        <f t="shared" ref="N72:O72" ca="1" si="101">SUM(N62:N71)</f>
        <v>485.35594820228516</v>
      </c>
      <c r="O72" s="9">
        <f t="shared" ca="1" si="101"/>
        <v>-721.10584040407718</v>
      </c>
      <c r="AS72">
        <v>2.4434609527920639</v>
      </c>
      <c r="AT72">
        <v>-339.09329544156134</v>
      </c>
      <c r="AU72">
        <v>207.28022606555925</v>
      </c>
      <c r="AV72" s="6">
        <f t="shared" si="92"/>
        <v>2.5929218474852007</v>
      </c>
      <c r="AW72" s="6">
        <f t="shared" si="93"/>
        <v>0.14946089469313684</v>
      </c>
      <c r="AX72" s="6">
        <f t="shared" si="94"/>
        <v>2.2438221274462506</v>
      </c>
      <c r="AY72" s="6">
        <f t="shared" si="95"/>
        <v>2.2438221274462506</v>
      </c>
      <c r="BE72" s="39"/>
      <c r="BF72" s="39"/>
      <c r="BG72" s="6">
        <f t="shared" si="12"/>
        <v>1.9896753472735376</v>
      </c>
      <c r="BH72" s="9">
        <f t="shared" ca="1" si="13"/>
        <v>-157.74059094408466</v>
      </c>
      <c r="BI72" s="9">
        <f t="shared" ca="1" si="14"/>
        <v>361.60085085361487</v>
      </c>
      <c r="BJ72">
        <f t="shared" ca="1" si="15"/>
        <v>394.50889643891082</v>
      </c>
      <c r="BK72" s="6">
        <f t="shared" ca="1" si="16"/>
        <v>-0.3998403898313877</v>
      </c>
      <c r="BL72" s="6">
        <f t="shared" ca="1" si="17"/>
        <v>0.91658478203572857</v>
      </c>
      <c r="BM72" s="6">
        <f t="shared" ca="1" si="18"/>
        <v>1.9821390305078099</v>
      </c>
      <c r="BN72" s="6">
        <f t="shared" ca="1" si="19"/>
        <v>3.5229193436104094</v>
      </c>
      <c r="BO72" s="9">
        <f t="shared" ca="1" si="20"/>
        <v>-120.00192545360878</v>
      </c>
      <c r="BP72" s="9">
        <f t="shared" ca="1" si="21"/>
        <v>369.97126557958609</v>
      </c>
      <c r="BQ72">
        <f t="shared" ca="1" si="22"/>
        <v>388.9462680977079</v>
      </c>
      <c r="BR72">
        <f t="shared" ca="1" si="23"/>
        <v>-0.30853085707834293</v>
      </c>
      <c r="BS72">
        <f t="shared" ca="1" si="24"/>
        <v>0.95121433453796489</v>
      </c>
      <c r="BT72">
        <f t="shared" ca="1" si="25"/>
        <v>1.8844444795688213</v>
      </c>
      <c r="BU72" s="39">
        <f t="shared" ca="1" si="26"/>
        <v>-2.95229949536263</v>
      </c>
    </row>
    <row r="73" spans="1:73" x14ac:dyDescent="0.25">
      <c r="N73" s="47">
        <f ca="1">N72/12</f>
        <v>40.446329016857099</v>
      </c>
      <c r="O73" s="47">
        <f ca="1">O72/12</f>
        <v>-60.092153367006432</v>
      </c>
      <c r="AS73">
        <v>2.4783675378319505</v>
      </c>
      <c r="AT73">
        <v>-343.14982453380804</v>
      </c>
      <c r="AU73">
        <v>202.44367536556868</v>
      </c>
      <c r="AV73" s="6">
        <f t="shared" si="92"/>
        <v>2.6085903665357577</v>
      </c>
      <c r="AW73" s="6">
        <f t="shared" si="93"/>
        <v>0.13022282870380719</v>
      </c>
      <c r="AX73" s="6">
        <f t="shared" si="94"/>
        <v>2.2281536083956937</v>
      </c>
      <c r="AY73" s="6">
        <f t="shared" si="95"/>
        <v>2.2281536083956937</v>
      </c>
      <c r="BE73" s="39"/>
      <c r="BF73" s="39"/>
      <c r="BG73" s="6">
        <f t="shared" si="12"/>
        <v>2.0245819323134242</v>
      </c>
      <c r="BH73" s="9">
        <f t="shared" ca="1" si="13"/>
        <v>-178.65395829903062</v>
      </c>
      <c r="BI73" s="9">
        <f t="shared" ca="1" si="14"/>
        <v>352.4025571792879</v>
      </c>
      <c r="BJ73">
        <f t="shared" ca="1" si="15"/>
        <v>395.10099863504905</v>
      </c>
      <c r="BK73" s="6">
        <f t="shared" ca="1" si="16"/>
        <v>-0.4521728846958738</v>
      </c>
      <c r="BL73" s="6">
        <f t="shared" ca="1" si="17"/>
        <v>0.89193031249409394</v>
      </c>
      <c r="BM73" s="6">
        <f t="shared" ca="1" si="18"/>
        <v>2.0399963254437647</v>
      </c>
      <c r="BN73" s="6">
        <f t="shared" ca="1" si="19"/>
        <v>3.5807766385463644</v>
      </c>
      <c r="BO73" s="9">
        <f t="shared" ca="1" si="20"/>
        <v>-140.91529280855474</v>
      </c>
      <c r="BP73" s="9">
        <f t="shared" ca="1" si="21"/>
        <v>360.77297190525911</v>
      </c>
      <c r="BQ73">
        <f t="shared" ca="1" si="22"/>
        <v>387.31673989730109</v>
      </c>
      <c r="BR73">
        <f t="shared" ca="1" si="23"/>
        <v>-0.36382443177105928</v>
      </c>
      <c r="BS73">
        <f t="shared" ca="1" si="24"/>
        <v>0.93146754256198638</v>
      </c>
      <c r="BT73">
        <f t="shared" ca="1" si="25"/>
        <v>1.9431667579896237</v>
      </c>
      <c r="BU73" s="39">
        <f t="shared" ca="1" si="26"/>
        <v>-2.8935772169418277</v>
      </c>
    </row>
    <row r="74" spans="1:73" x14ac:dyDescent="0.25">
      <c r="AS74">
        <v>2.5132741228718372</v>
      </c>
      <c r="AT74">
        <v>-344.75483942853344</v>
      </c>
      <c r="AU74">
        <v>200.51437627224931</v>
      </c>
      <c r="AV74" s="6">
        <f t="shared" si="92"/>
        <v>2.6148016909732998</v>
      </c>
      <c r="AW74" s="6">
        <f t="shared" si="93"/>
        <v>0.10152756810146268</v>
      </c>
      <c r="AX74" s="6">
        <f t="shared" si="94"/>
        <v>2.2219422839581515</v>
      </c>
      <c r="AY74" s="6">
        <f t="shared" si="95"/>
        <v>2.2219422839581515</v>
      </c>
      <c r="BE74" s="39"/>
      <c r="BF74" s="39"/>
      <c r="BG74" s="6">
        <f t="shared" si="12"/>
        <v>2.0594885173533108</v>
      </c>
      <c r="BH74" s="9">
        <f t="shared" ca="1" si="13"/>
        <v>-199.71120947334148</v>
      </c>
      <c r="BI74" s="9">
        <f t="shared" ca="1" si="14"/>
        <v>340.0801667651329</v>
      </c>
      <c r="BJ74">
        <f t="shared" ca="1" si="15"/>
        <v>394.38444063667811</v>
      </c>
      <c r="BK74" s="6">
        <f t="shared" ca="1" si="16"/>
        <v>-0.50638714131555462</v>
      </c>
      <c r="BL74" s="6">
        <f t="shared" ca="1" si="17"/>
        <v>0.86230624670720124</v>
      </c>
      <c r="BM74" s="6">
        <f t="shared" ca="1" si="18"/>
        <v>2.1017861748616538</v>
      </c>
      <c r="BN74" s="6">
        <f t="shared" ca="1" si="19"/>
        <v>3.6425664879642534</v>
      </c>
      <c r="BO74" s="9">
        <f t="shared" ca="1" si="20"/>
        <v>-161.9725439828656</v>
      </c>
      <c r="BP74" s="9">
        <f t="shared" ca="1" si="21"/>
        <v>348.45058149110412</v>
      </c>
      <c r="BQ74">
        <f t="shared" ca="1" si="22"/>
        <v>384.25631126341949</v>
      </c>
      <c r="BR74">
        <f t="shared" ca="1" si="23"/>
        <v>-0.42152214351484901</v>
      </c>
      <c r="BS74">
        <f t="shared" ca="1" si="24"/>
        <v>0.90681810884358005</v>
      </c>
      <c r="BT74">
        <f t="shared" ca="1" si="25"/>
        <v>2.0059195477003087</v>
      </c>
      <c r="BU74" s="39">
        <f t="shared" ca="1" si="26"/>
        <v>-2.8308244272311427</v>
      </c>
    </row>
    <row r="75" spans="1:73" x14ac:dyDescent="0.25">
      <c r="A75" s="8" t="s">
        <v>63</v>
      </c>
      <c r="B75" s="9">
        <f ca="1">N57+M72</f>
        <v>111.11111111040779</v>
      </c>
      <c r="C75" t="s">
        <v>68</v>
      </c>
      <c r="E75">
        <f>((O59*COS(-1*B27))+(P59*SIN(-1*B27)))</f>
        <v>132.78130170815402</v>
      </c>
      <c r="F75">
        <f>(-1*(O59)*SIN(-1*B27))+((P59)*COS(-1*B27))</f>
        <v>-502.13460557448138</v>
      </c>
      <c r="AS75">
        <v>2.5481807079117238</v>
      </c>
      <c r="AT75">
        <v>-346.7995654831949</v>
      </c>
      <c r="AU75">
        <v>197.79311946589985</v>
      </c>
      <c r="AV75" s="6">
        <f t="shared" si="92"/>
        <v>2.6232687246931627</v>
      </c>
      <c r="AW75" s="6">
        <f t="shared" si="93"/>
        <v>7.5088016781438949E-2</v>
      </c>
      <c r="AX75" s="6">
        <f t="shared" si="94"/>
        <v>2.2134752502382886</v>
      </c>
      <c r="AY75" s="6">
        <f t="shared" si="95"/>
        <v>2.2134752502382886</v>
      </c>
      <c r="BE75" s="39"/>
      <c r="BF75" s="39"/>
      <c r="BG75" s="6">
        <f t="shared" si="12"/>
        <v>2.0943951023931975</v>
      </c>
      <c r="BH75" s="9">
        <f t="shared" ca="1" si="13"/>
        <v>-221.78953931018359</v>
      </c>
      <c r="BI75" s="9">
        <f t="shared" ca="1" si="14"/>
        <v>326.20693490289494</v>
      </c>
      <c r="BJ75">
        <f t="shared" ca="1" si="15"/>
        <v>394.46364106995338</v>
      </c>
      <c r="BK75" s="6">
        <f t="shared" ca="1" si="16"/>
        <v>-0.5622559755028268</v>
      </c>
      <c r="BL75" s="6">
        <f t="shared" ca="1" si="17"/>
        <v>0.82696325070184618</v>
      </c>
      <c r="BM75" s="6">
        <f t="shared" ca="1" si="18"/>
        <v>2.167907628772582</v>
      </c>
      <c r="BN75" s="6">
        <f t="shared" ca="1" si="19"/>
        <v>3.7086879418751817</v>
      </c>
      <c r="BO75" s="9">
        <f t="shared" ca="1" si="20"/>
        <v>-184.0508738197077</v>
      </c>
      <c r="BP75" s="9">
        <f t="shared" ca="1" si="21"/>
        <v>334.57734962886616</v>
      </c>
      <c r="BQ75">
        <f t="shared" ca="1" si="22"/>
        <v>381.85956455020806</v>
      </c>
      <c r="BR75">
        <f t="shared" ca="1" si="23"/>
        <v>-0.48198576363145706</v>
      </c>
      <c r="BS75">
        <f t="shared" ca="1" si="24"/>
        <v>0.87617904771604826</v>
      </c>
      <c r="BT75">
        <f t="shared" ca="1" si="25"/>
        <v>2.0737160203205005</v>
      </c>
      <c r="BU75" s="39">
        <f t="shared" ca="1" si="26"/>
        <v>-2.7630279546109509</v>
      </c>
    </row>
    <row r="76" spans="1:73" x14ac:dyDescent="0.25">
      <c r="A76" s="8" t="s">
        <v>66</v>
      </c>
      <c r="B76" s="9">
        <f ca="1">O57+N72</f>
        <v>3781.520667674984</v>
      </c>
      <c r="C76" t="s">
        <v>69</v>
      </c>
      <c r="E76">
        <f ca="1">((N73*COS(-1*B27))+(O73*SIN(-1*B27)))</f>
        <v>-71.480379199833834</v>
      </c>
      <c r="F76">
        <f ca="1">(-1*(N73)*SIN(-1*B27))+((O73)*COS(-1*B27))</f>
        <v>11.727225446440549</v>
      </c>
      <c r="AS76">
        <v>2.5830872929516104</v>
      </c>
      <c r="AT76">
        <v>-348.65313945777393</v>
      </c>
      <c r="AU76">
        <v>195.17623741384273</v>
      </c>
      <c r="AV76" s="6">
        <f t="shared" si="92"/>
        <v>2.6312561395206044</v>
      </c>
      <c r="AW76" s="6">
        <f t="shared" si="93"/>
        <v>4.8168846568994006E-2</v>
      </c>
      <c r="AX76" s="6">
        <f t="shared" si="94"/>
        <v>2.2054878354108469</v>
      </c>
      <c r="AY76" s="6">
        <f t="shared" si="95"/>
        <v>2.2054878354108469</v>
      </c>
      <c r="BE76" s="39"/>
      <c r="BF76" s="39"/>
      <c r="BG76" s="6">
        <f t="shared" si="12"/>
        <v>2.1293016874330841</v>
      </c>
      <c r="BH76" s="9">
        <f t="shared" ca="1" si="13"/>
        <v>-242.17414607290809</v>
      </c>
      <c r="BI76" s="9">
        <f t="shared" ca="1" si="14"/>
        <v>312.50223119308606</v>
      </c>
      <c r="BJ76">
        <f t="shared" ca="1" si="15"/>
        <v>395.3554875384927</v>
      </c>
      <c r="BK76" s="6">
        <f t="shared" ca="1" si="16"/>
        <v>-0.61254783025954451</v>
      </c>
      <c r="BL76" s="6">
        <f t="shared" ca="1" si="17"/>
        <v>0.79043352386163646</v>
      </c>
      <c r="BM76" s="6">
        <f t="shared" ca="1" si="18"/>
        <v>2.2300762402139584</v>
      </c>
      <c r="BN76" s="6">
        <f t="shared" ca="1" si="19"/>
        <v>3.7708565533165581</v>
      </c>
      <c r="BO76" s="9">
        <f t="shared" ca="1" si="20"/>
        <v>-204.43548058243221</v>
      </c>
      <c r="BP76" s="9">
        <f t="shared" ca="1" si="21"/>
        <v>320.87264591905728</v>
      </c>
      <c r="BQ76">
        <f t="shared" ca="1" si="22"/>
        <v>380.46434868469174</v>
      </c>
      <c r="BR76">
        <f t="shared" ca="1" si="23"/>
        <v>-0.53733150369854299</v>
      </c>
      <c r="BS76">
        <f t="shared" ca="1" si="24"/>
        <v>0.84337112538494152</v>
      </c>
      <c r="BT76">
        <f t="shared" ca="1" si="25"/>
        <v>2.1380661521178395</v>
      </c>
      <c r="BU76" s="39">
        <f t="shared" ca="1" si="26"/>
        <v>-2.6986778228136119</v>
      </c>
    </row>
    <row r="77" spans="1:73" x14ac:dyDescent="0.25">
      <c r="A77" s="8" t="s">
        <v>67</v>
      </c>
      <c r="B77" s="9">
        <f ca="1">P57+O72</f>
        <v>4568.7129990954127</v>
      </c>
      <c r="C77" t="s">
        <v>69</v>
      </c>
      <c r="AS77">
        <v>2.6179938779914971</v>
      </c>
      <c r="AT77">
        <v>-350.34029011056106</v>
      </c>
      <c r="AU77">
        <v>192.64992379091942</v>
      </c>
      <c r="AV77" s="6">
        <f t="shared" si="92"/>
        <v>2.6388310467679217</v>
      </c>
      <c r="AW77" s="6">
        <f t="shared" si="93"/>
        <v>2.0837168776424608E-2</v>
      </c>
      <c r="AX77" s="6">
        <f t="shared" si="94"/>
        <v>2.1979129281635297</v>
      </c>
      <c r="AY77" s="6">
        <f t="shared" si="95"/>
        <v>2.1979129281635297</v>
      </c>
      <c r="BE77" s="39"/>
      <c r="BF77" s="39"/>
      <c r="BG77" s="6">
        <f t="shared" si="12"/>
        <v>2.1642082724729708</v>
      </c>
      <c r="BH77" s="9">
        <f t="shared" ca="1" si="13"/>
        <v>-264.92133405138725</v>
      </c>
      <c r="BI77" s="9">
        <f t="shared" ca="1" si="14"/>
        <v>296.70361458812465</v>
      </c>
      <c r="BJ77">
        <f t="shared" ca="1" si="15"/>
        <v>397.76418660460769</v>
      </c>
      <c r="BK77" s="6">
        <f t="shared" ca="1" si="16"/>
        <v>-0.66602611037662085</v>
      </c>
      <c r="BL77" s="6">
        <f t="shared" ca="1" si="17"/>
        <v>0.74592842840086815</v>
      </c>
      <c r="BM77" s="6">
        <f t="shared" ca="1" si="18"/>
        <v>2.2996649165129206</v>
      </c>
      <c r="BN77" s="6">
        <f t="shared" ca="1" si="19"/>
        <v>3.8404452296155203</v>
      </c>
      <c r="BO77" s="9">
        <f t="shared" ca="1" si="20"/>
        <v>-227.18266856091137</v>
      </c>
      <c r="BP77" s="9">
        <f t="shared" ca="1" si="21"/>
        <v>305.07402931409587</v>
      </c>
      <c r="BQ77">
        <f t="shared" ca="1" si="22"/>
        <v>380.37104024412099</v>
      </c>
      <c r="BR77">
        <f t="shared" ca="1" si="23"/>
        <v>-0.59726594436607527</v>
      </c>
      <c r="BS77">
        <f t="shared" ca="1" si="24"/>
        <v>0.8020432604919141</v>
      </c>
      <c r="BT77">
        <f t="shared" ca="1" si="25"/>
        <v>2.2108842281585939</v>
      </c>
      <c r="BU77" s="39">
        <f t="shared" ca="1" si="26"/>
        <v>-2.6258597467728575</v>
      </c>
    </row>
    <row r="78" spans="1:73" x14ac:dyDescent="0.25">
      <c r="AS78">
        <v>2.6529004630313837</v>
      </c>
      <c r="AT78">
        <v>-351.88190803764587</v>
      </c>
      <c r="AU78">
        <v>190.20178282782811</v>
      </c>
      <c r="AV78" s="6">
        <f t="shared" si="92"/>
        <v>2.6460512154546114</v>
      </c>
      <c r="AW78" s="6">
        <f t="shared" si="93"/>
        <v>6.8492475767722993E-3</v>
      </c>
      <c r="AX78" s="6">
        <f t="shared" si="94"/>
        <v>2.1906927594768399</v>
      </c>
      <c r="AY78" s="6">
        <f t="shared" si="95"/>
        <v>2.1906927594768399</v>
      </c>
      <c r="BE78" s="39"/>
      <c r="BF78" s="39"/>
      <c r="BG78" s="6">
        <f t="shared" si="12"/>
        <v>2.1991148575128574</v>
      </c>
      <c r="BH78" s="9">
        <f t="shared" ca="1" si="13"/>
        <v>-286.18796100937152</v>
      </c>
      <c r="BI78" s="9">
        <f t="shared" ca="1" si="14"/>
        <v>281.08523804739326</v>
      </c>
      <c r="BJ78">
        <f t="shared" ca="1" si="15"/>
        <v>401.13895357452049</v>
      </c>
      <c r="BK78" s="6">
        <f t="shared" ca="1" si="16"/>
        <v>-0.71343846928644328</v>
      </c>
      <c r="BL78" s="6">
        <f t="shared" ca="1" si="17"/>
        <v>0.70071788227660969</v>
      </c>
      <c r="BM78" s="6">
        <f t="shared" ca="1" si="18"/>
        <v>2.365189424822149</v>
      </c>
      <c r="BN78" s="6">
        <f t="shared" ca="1" si="19"/>
        <v>3.9059697379247487</v>
      </c>
      <c r="BO78" s="9">
        <f t="shared" ca="1" si="20"/>
        <v>-248.44929551889564</v>
      </c>
      <c r="BP78" s="9">
        <f t="shared" ca="1" si="21"/>
        <v>289.45565277336448</v>
      </c>
      <c r="BQ78">
        <f t="shared" ca="1" si="22"/>
        <v>381.45986337528365</v>
      </c>
      <c r="BR78">
        <f t="shared" ca="1" si="23"/>
        <v>-0.6513117614014059</v>
      </c>
      <c r="BS78">
        <f t="shared" ca="1" si="24"/>
        <v>0.75881024601688019</v>
      </c>
      <c r="BT78">
        <f t="shared" ca="1" si="25"/>
        <v>2.2801081918206769</v>
      </c>
      <c r="BU78" s="39">
        <f t="shared" ca="1" si="26"/>
        <v>-2.5566357831107744</v>
      </c>
    </row>
    <row r="79" spans="1:73" x14ac:dyDescent="0.25">
      <c r="A79" s="8" t="s">
        <v>64</v>
      </c>
      <c r="B79">
        <f ca="1">((B76*COS(-1*B27))+(B77*SIN(-1*B27)))</f>
        <v>735.61107009984244</v>
      </c>
      <c r="C79" t="s">
        <v>69</v>
      </c>
      <c r="AS79">
        <v>2.6878070480712704</v>
      </c>
      <c r="AT79">
        <v>-353.29576333868096</v>
      </c>
      <c r="AU79">
        <v>187.82055987713503</v>
      </c>
      <c r="AV79" s="6">
        <f t="shared" si="92"/>
        <v>2.652966950676471</v>
      </c>
      <c r="AW79" s="6">
        <f t="shared" si="93"/>
        <v>3.4840097394799319E-2</v>
      </c>
      <c r="AX79" s="6">
        <f t="shared" si="94"/>
        <v>2.1837770242549803</v>
      </c>
      <c r="AY79" s="6">
        <f t="shared" si="95"/>
        <v>2.1837770242549803</v>
      </c>
      <c r="BE79" s="39"/>
      <c r="BF79" s="39"/>
      <c r="BG79" s="6">
        <f t="shared" si="12"/>
        <v>2.234021442552744</v>
      </c>
      <c r="BH79" s="9">
        <f t="shared" ca="1" si="13"/>
        <v>-305.10735182530584</v>
      </c>
      <c r="BI79" s="9">
        <f t="shared" ca="1" si="14"/>
        <v>266.34949299650077</v>
      </c>
      <c r="BJ79">
        <f t="shared" ca="1" si="15"/>
        <v>405.00931909938072</v>
      </c>
      <c r="BK79" s="6">
        <f t="shared" ca="1" si="16"/>
        <v>-0.7533341516777271</v>
      </c>
      <c r="BL79" s="6">
        <f t="shared" ca="1" si="17"/>
        <v>0.65763793679805238</v>
      </c>
      <c r="BM79" s="6">
        <f t="shared" ca="1" si="18"/>
        <v>2.423913679577502</v>
      </c>
      <c r="BN79" s="6">
        <f t="shared" ca="1" si="19"/>
        <v>3.9646939926801013</v>
      </c>
      <c r="BO79" s="9">
        <f t="shared" ca="1" si="20"/>
        <v>-267.36868633482999</v>
      </c>
      <c r="BP79" s="9">
        <f t="shared" ca="1" si="21"/>
        <v>274.71990772247199</v>
      </c>
      <c r="BQ79">
        <f t="shared" ca="1" si="22"/>
        <v>383.34976474683822</v>
      </c>
      <c r="BR79">
        <f t="shared" ca="1" si="23"/>
        <v>-0.69745363352811396</v>
      </c>
      <c r="BS79">
        <f t="shared" ca="1" si="24"/>
        <v>0.7166299108175932</v>
      </c>
      <c r="BT79">
        <f t="shared" ca="1" si="25"/>
        <v>2.3426343989241341</v>
      </c>
      <c r="BU79" s="39">
        <f t="shared" ca="1" si="26"/>
        <v>-2.4941095760073173</v>
      </c>
    </row>
    <row r="80" spans="1:73" x14ac:dyDescent="0.25">
      <c r="A80" s="8" t="s">
        <v>65</v>
      </c>
      <c r="B80">
        <f ca="1">(-1*(B76)*SIN(-1*B27))+((B77)*COS(-1*B27))</f>
        <v>-5884.8885615364907</v>
      </c>
      <c r="C80" t="s">
        <v>69</v>
      </c>
      <c r="AS80">
        <v>2.722713633111157</v>
      </c>
      <c r="AT80">
        <v>-354.59707691111294</v>
      </c>
      <c r="AU80">
        <v>185.49591073543945</v>
      </c>
      <c r="AV80" s="6">
        <f t="shared" si="92"/>
        <v>2.6596225991628399</v>
      </c>
      <c r="AW80" s="6">
        <f t="shared" si="93"/>
        <v>6.3091033948317055E-2</v>
      </c>
      <c r="AX80" s="6">
        <f t="shared" si="94"/>
        <v>2.1771213757686114</v>
      </c>
      <c r="AY80" s="6">
        <f t="shared" si="95"/>
        <v>2.1771213757686114</v>
      </c>
      <c r="BE80" s="39"/>
      <c r="BF80" s="39"/>
      <c r="BG80" s="6">
        <f t="shared" ref="BG80:BG143" si="102">AS67</f>
        <v>2.2689280275926307</v>
      </c>
      <c r="BH80" s="9">
        <f t="shared" ref="BH80:BH143" ca="1" si="103">AT67-$BG$5</f>
        <v>-321.92533284118883</v>
      </c>
      <c r="BI80" s="9">
        <f t="shared" ref="BI80:BI143" ca="1" si="104">AU67-$BH$5</f>
        <v>252.4471427055631</v>
      </c>
      <c r="BJ80">
        <f t="shared" ref="BJ80:BJ143" ca="1" si="105">SQRT(POWER(BH80,2)+POWER(BI80,2))</f>
        <v>409.10326298516998</v>
      </c>
      <c r="BK80" s="6">
        <f t="shared" ref="BK80:BK143" ca="1" si="106">BH80/BJ80</f>
        <v>-0.78690482811636397</v>
      </c>
      <c r="BL80" s="6">
        <f t="shared" ref="BL80:BL143" ca="1" si="107">BI80/BJ80</f>
        <v>0.61707438083844934</v>
      </c>
      <c r="BM80" s="6">
        <f t="shared" ref="BM80:BM143" ca="1" si="108">ATAN2(BK80,BL80)</f>
        <v>2.4765732764123114</v>
      </c>
      <c r="BN80" s="6">
        <f t="shared" ref="BN80:BN143" ca="1" si="109">BM80-$BJ$11</f>
        <v>4.0173535895149106</v>
      </c>
      <c r="BO80" s="9">
        <f t="shared" ref="BO80:BO143" ca="1" si="110">BH80+$BG$5</f>
        <v>-284.18666735071298</v>
      </c>
      <c r="BP80" s="9">
        <f t="shared" ref="BP80:BP143" ca="1" si="111">BI80+$BH$5</f>
        <v>260.81755743153434</v>
      </c>
      <c r="BQ80">
        <f t="shared" ref="BQ80:BQ143" ca="1" si="112">SQRT(POWER(BO80,2)+POWER(BP80,2))</f>
        <v>385.73029458995899</v>
      </c>
      <c r="BR80">
        <f t="shared" ref="BR80:BR143" ca="1" si="113">BO80/BQ80</f>
        <v>-0.7367496702658799</v>
      </c>
      <c r="BS80">
        <f t="shared" ref="BS80:BS143" ca="1" si="114">BP80/BQ80</f>
        <v>0.67616560350487886</v>
      </c>
      <c r="BT80">
        <f t="shared" ref="BT80:BT143" ca="1" si="115">ATAN2(BR80,BS80)</f>
        <v>2.3990470087139015</v>
      </c>
      <c r="BU80" s="39">
        <f t="shared" ref="BU80:BU143" ca="1" si="116">BT80-$U$13</f>
        <v>-2.4376969662175498</v>
      </c>
    </row>
    <row r="81" spans="1:73" x14ac:dyDescent="0.25">
      <c r="AS81">
        <v>2.7576202181510436</v>
      </c>
      <c r="AT81">
        <v>-355.79898015756316</v>
      </c>
      <c r="AU81">
        <v>183.21819908190264</v>
      </c>
      <c r="AV81" s="6">
        <f t="shared" si="92"/>
        <v>2.6660577794313904</v>
      </c>
      <c r="AW81" s="6">
        <f t="shared" si="93"/>
        <v>9.1562438719653194E-2</v>
      </c>
      <c r="AX81" s="6">
        <f t="shared" si="94"/>
        <v>2.1706861955000609</v>
      </c>
      <c r="AY81" s="6">
        <f t="shared" si="95"/>
        <v>2.1706861955000609</v>
      </c>
      <c r="BE81" s="39"/>
      <c r="BF81" s="39"/>
      <c r="BG81" s="6">
        <f t="shared" si="102"/>
        <v>2.3038346126325173</v>
      </c>
      <c r="BH81" s="9">
        <f t="shared" ca="1" si="103"/>
        <v>-336.79577372760087</v>
      </c>
      <c r="BI81" s="9">
        <f t="shared" ca="1" si="104"/>
        <v>239.39046404812487</v>
      </c>
      <c r="BJ81">
        <f t="shared" ca="1" si="105"/>
        <v>413.20598674020914</v>
      </c>
      <c r="BK81" s="6">
        <f t="shared" ca="1" si="106"/>
        <v>-0.81507960807777724</v>
      </c>
      <c r="BL81" s="6">
        <f t="shared" ca="1" si="107"/>
        <v>0.57934897298241339</v>
      </c>
      <c r="BM81" s="6">
        <f t="shared" ca="1" si="108"/>
        <v>2.5236629179988541</v>
      </c>
      <c r="BN81" s="6">
        <f t="shared" ca="1" si="109"/>
        <v>4.0644432311014533</v>
      </c>
      <c r="BO81" s="9">
        <f t="shared" ca="1" si="110"/>
        <v>-299.05710823712502</v>
      </c>
      <c r="BP81" s="9">
        <f t="shared" ca="1" si="111"/>
        <v>247.76087877409611</v>
      </c>
      <c r="BQ81">
        <f t="shared" ca="1" si="112"/>
        <v>388.35628878397716</v>
      </c>
      <c r="BR81">
        <f t="shared" ca="1" si="113"/>
        <v>-0.77005862110160206</v>
      </c>
      <c r="BS81">
        <f t="shared" ca="1" si="114"/>
        <v>0.63797313428317592</v>
      </c>
      <c r="BT81">
        <f t="shared" ca="1" si="115"/>
        <v>2.449729359842244</v>
      </c>
      <c r="BU81" s="39">
        <f t="shared" ca="1" si="116"/>
        <v>-2.3870146150892073</v>
      </c>
    </row>
    <row r="82" spans="1:73" x14ac:dyDescent="0.25">
      <c r="B82">
        <f>ATAN2(1,0)</f>
        <v>0</v>
      </c>
      <c r="AS82">
        <v>2.7925268031909303</v>
      </c>
      <c r="AT82">
        <v>-356.91288937023302</v>
      </c>
      <c r="AU82">
        <v>180.97831291983562</v>
      </c>
      <c r="AV82" s="6">
        <f t="shared" si="92"/>
        <v>2.6723084107152664</v>
      </c>
      <c r="AW82" s="6">
        <f t="shared" si="93"/>
        <v>0.1202183924756639</v>
      </c>
      <c r="AX82" s="6">
        <f t="shared" si="94"/>
        <v>2.164435564216185</v>
      </c>
      <c r="AY82" s="6">
        <f t="shared" si="95"/>
        <v>2.164435564216185</v>
      </c>
      <c r="BE82" s="39"/>
      <c r="BF82" s="39"/>
      <c r="BG82" s="6">
        <f t="shared" si="102"/>
        <v>2.338741197672404</v>
      </c>
      <c r="BH82" s="9">
        <f t="shared" ca="1" si="103"/>
        <v>-349.78861309903658</v>
      </c>
      <c r="BI82" s="9">
        <f t="shared" ca="1" si="104"/>
        <v>227.26290385911128</v>
      </c>
      <c r="BJ82">
        <f t="shared" ca="1" si="105"/>
        <v>417.13367320826927</v>
      </c>
      <c r="BK82" s="6">
        <f t="shared" ca="1" si="106"/>
        <v>-0.83855280828501177</v>
      </c>
      <c r="BL82" s="6">
        <f t="shared" ca="1" si="107"/>
        <v>0.54482032608679365</v>
      </c>
      <c r="BM82" s="6">
        <f t="shared" ca="1" si="108"/>
        <v>2.565417820436048</v>
      </c>
      <c r="BN82" s="6">
        <f t="shared" ca="1" si="109"/>
        <v>4.1061981335386477</v>
      </c>
      <c r="BO82" s="9">
        <f t="shared" ca="1" si="110"/>
        <v>-312.04994760856073</v>
      </c>
      <c r="BP82" s="9">
        <f t="shared" ca="1" si="111"/>
        <v>235.63331858508252</v>
      </c>
      <c r="BQ82">
        <f t="shared" ca="1" si="112"/>
        <v>391.02203343280348</v>
      </c>
      <c r="BR82">
        <f t="shared" ca="1" si="113"/>
        <v>-0.79803673687914067</v>
      </c>
      <c r="BS82">
        <f t="shared" ca="1" si="114"/>
        <v>0.60260880062549138</v>
      </c>
      <c r="BT82">
        <f t="shared" ca="1" si="115"/>
        <v>2.4948265406226415</v>
      </c>
      <c r="BU82" s="39">
        <f t="shared" ca="1" si="116"/>
        <v>-2.3419174343088098</v>
      </c>
    </row>
    <row r="83" spans="1:73" x14ac:dyDescent="0.25">
      <c r="A83" t="s">
        <v>74</v>
      </c>
      <c r="B83">
        <f ca="1">ATAN2(B79,B80)</f>
        <v>-1.4464413322635645</v>
      </c>
      <c r="AS83">
        <v>2.8274333882308169</v>
      </c>
      <c r="AT83">
        <v>-357.94881502601316</v>
      </c>
      <c r="AU83">
        <v>178.76749167546052</v>
      </c>
      <c r="AV83" s="6">
        <f t="shared" si="92"/>
        <v>2.6784075993880152</v>
      </c>
      <c r="AW83" s="6">
        <f t="shared" si="93"/>
        <v>0.14902578884280171</v>
      </c>
      <c r="AX83" s="6">
        <f t="shared" si="94"/>
        <v>2.1583363755434362</v>
      </c>
      <c r="AY83" s="6">
        <f t="shared" si="95"/>
        <v>2.1583363755434362</v>
      </c>
      <c r="BE83" s="39"/>
      <c r="BF83" s="39"/>
      <c r="BG83" s="6">
        <f t="shared" si="102"/>
        <v>2.3736477827122906</v>
      </c>
      <c r="BH83" s="9">
        <f t="shared" ca="1" si="103"/>
        <v>-360.88854713375343</v>
      </c>
      <c r="BI83" s="9">
        <f t="shared" ca="1" si="104"/>
        <v>216.23933203136397</v>
      </c>
      <c r="BJ83">
        <f t="shared" ca="1" si="105"/>
        <v>420.71367005325823</v>
      </c>
      <c r="BK83" s="6">
        <f t="shared" ca="1" si="106"/>
        <v>-0.85780085797561201</v>
      </c>
      <c r="BL83" s="6">
        <f t="shared" ca="1" si="107"/>
        <v>0.51398218651652128</v>
      </c>
      <c r="BM83" s="6">
        <f t="shared" ca="1" si="108"/>
        <v>2.6017719649053559</v>
      </c>
      <c r="BN83" s="6">
        <f t="shared" ca="1" si="109"/>
        <v>4.1425522780079556</v>
      </c>
      <c r="BO83" s="9">
        <f t="shared" ca="1" si="110"/>
        <v>-323.14988164327758</v>
      </c>
      <c r="BP83" s="9">
        <f t="shared" ca="1" si="111"/>
        <v>224.60974675733522</v>
      </c>
      <c r="BQ83">
        <f t="shared" ca="1" si="112"/>
        <v>393.54209983743618</v>
      </c>
      <c r="BR83">
        <f t="shared" ca="1" si="113"/>
        <v>-0.82113166997066867</v>
      </c>
      <c r="BS83">
        <f t="shared" ca="1" si="114"/>
        <v>0.57073880240542674</v>
      </c>
      <c r="BT83">
        <f t="shared" ca="1" si="115"/>
        <v>2.5341873425862635</v>
      </c>
      <c r="BU83" s="39">
        <f t="shared" ca="1" si="116"/>
        <v>-2.3025566323451878</v>
      </c>
    </row>
    <row r="84" spans="1:73" x14ac:dyDescent="0.25">
      <c r="AS84">
        <v>2.8623399732707036</v>
      </c>
      <c r="AT84">
        <v>-358.9156219016636</v>
      </c>
      <c r="AU84">
        <v>176.57715563856212</v>
      </c>
      <c r="AV84" s="6">
        <f t="shared" si="92"/>
        <v>2.6843864319307911</v>
      </c>
      <c r="AW84" s="6">
        <f t="shared" si="93"/>
        <v>0.17795354133991248</v>
      </c>
      <c r="AX84" s="6">
        <f t="shared" si="94"/>
        <v>2.1523575430006603</v>
      </c>
      <c r="AY84" s="6">
        <f t="shared" si="95"/>
        <v>2.1523575430006603</v>
      </c>
      <c r="BE84" s="39"/>
      <c r="BF84" s="39"/>
      <c r="BG84" s="6">
        <f t="shared" si="102"/>
        <v>2.4085543677521772</v>
      </c>
      <c r="BH84" s="9">
        <f t="shared" ca="1" si="103"/>
        <v>-369.98300214361205</v>
      </c>
      <c r="BI84" s="9">
        <f t="shared" ca="1" si="104"/>
        <v>206.62241338995756</v>
      </c>
      <c r="BJ84">
        <f t="shared" ca="1" si="105"/>
        <v>423.76909230179888</v>
      </c>
      <c r="BK84" s="6">
        <f t="shared" ca="1" si="106"/>
        <v>-0.87307689226216245</v>
      </c>
      <c r="BL84" s="6">
        <f t="shared" ca="1" si="107"/>
        <v>0.4875825470603356</v>
      </c>
      <c r="BM84" s="6">
        <f t="shared" ca="1" si="108"/>
        <v>2.6322739372532893</v>
      </c>
      <c r="BN84" s="6">
        <f t="shared" ca="1" si="109"/>
        <v>4.1730542503558885</v>
      </c>
      <c r="BO84" s="9">
        <f t="shared" ca="1" si="110"/>
        <v>-332.2443366531362</v>
      </c>
      <c r="BP84" s="9">
        <f t="shared" ca="1" si="111"/>
        <v>214.9928281159288</v>
      </c>
      <c r="BQ84">
        <f t="shared" ca="1" si="112"/>
        <v>395.73755871709704</v>
      </c>
      <c r="BR84">
        <f t="shared" ca="1" si="113"/>
        <v>-0.83955725034087414</v>
      </c>
      <c r="BS84">
        <f t="shared" ca="1" si="114"/>
        <v>0.54327122452792465</v>
      </c>
      <c r="BT84">
        <f t="shared" ca="1" si="115"/>
        <v>2.5672640653958245</v>
      </c>
      <c r="BU84" s="39">
        <f t="shared" ca="1" si="116"/>
        <v>-2.2694799095356268</v>
      </c>
    </row>
    <row r="85" spans="1:73" x14ac:dyDescent="0.25">
      <c r="AS85">
        <v>2.8972465583105902</v>
      </c>
      <c r="AT85">
        <v>-359.82125304898091</v>
      </c>
      <c r="AU85">
        <v>174.3987286126366</v>
      </c>
      <c r="AV85" s="6">
        <f t="shared" si="92"/>
        <v>2.6902747188527769</v>
      </c>
      <c r="AW85" s="6">
        <f t="shared" si="93"/>
        <v>0.20697183945781328</v>
      </c>
      <c r="AX85" s="6">
        <f t="shared" si="94"/>
        <v>2.1464692560786744</v>
      </c>
      <c r="AY85" s="6">
        <f t="shared" si="95"/>
        <v>2.1464692560786744</v>
      </c>
      <c r="BE85" s="39"/>
      <c r="BF85" s="39"/>
      <c r="BG85" s="6">
        <f t="shared" si="102"/>
        <v>2.4434609527920639</v>
      </c>
      <c r="BH85" s="9">
        <f t="shared" ca="1" si="103"/>
        <v>-376.83196093203719</v>
      </c>
      <c r="BI85" s="9">
        <f t="shared" ca="1" si="104"/>
        <v>198.909811339588</v>
      </c>
      <c r="BJ85">
        <f t="shared" ca="1" si="105"/>
        <v>426.10731022482457</v>
      </c>
      <c r="BK85" s="6">
        <f t="shared" ca="1" si="106"/>
        <v>-0.88435929609659003</v>
      </c>
      <c r="BL85" s="6">
        <f t="shared" ca="1" si="107"/>
        <v>0.46680685021488683</v>
      </c>
      <c r="BM85" s="6">
        <f t="shared" ca="1" si="108"/>
        <v>2.6559160236771699</v>
      </c>
      <c r="BN85" s="6">
        <f t="shared" ca="1" si="109"/>
        <v>4.1966963367797696</v>
      </c>
      <c r="BO85" s="9">
        <f t="shared" ca="1" si="110"/>
        <v>-339.09329544156134</v>
      </c>
      <c r="BP85" s="9">
        <f t="shared" ca="1" si="111"/>
        <v>207.28022606555925</v>
      </c>
      <c r="BQ85">
        <f t="shared" ca="1" si="112"/>
        <v>397.42842768378728</v>
      </c>
      <c r="BR85">
        <f t="shared" ca="1" si="113"/>
        <v>-0.85321852142735977</v>
      </c>
      <c r="BS85">
        <f t="shared" ca="1" si="114"/>
        <v>0.52155359714348648</v>
      </c>
      <c r="BT85">
        <f t="shared" ca="1" si="115"/>
        <v>2.5929218474852007</v>
      </c>
      <c r="BU85" s="39">
        <f t="shared" ca="1" si="116"/>
        <v>-2.2438221274462506</v>
      </c>
    </row>
    <row r="86" spans="1:73" x14ac:dyDescent="0.25">
      <c r="AS86">
        <v>2.9321531433504768</v>
      </c>
      <c r="AT86">
        <v>-360.6729288022666</v>
      </c>
      <c r="AU86">
        <v>172.22344272522747</v>
      </c>
      <c r="AV86" s="6">
        <f t="shared" si="92"/>
        <v>2.6961017340049853</v>
      </c>
      <c r="AW86" s="6">
        <f t="shared" si="93"/>
        <v>0.23605140934549151</v>
      </c>
      <c r="AX86" s="6">
        <f t="shared" si="94"/>
        <v>2.140642240926466</v>
      </c>
      <c r="AY86" s="6">
        <f t="shared" si="95"/>
        <v>2.140642240926466</v>
      </c>
      <c r="BE86" s="39"/>
      <c r="BF86" s="39"/>
      <c r="BG86" s="6">
        <f t="shared" si="102"/>
        <v>2.4783675378319505</v>
      </c>
      <c r="BH86" s="9">
        <f t="shared" ca="1" si="103"/>
        <v>-380.8884900242839</v>
      </c>
      <c r="BI86" s="9">
        <f t="shared" ca="1" si="104"/>
        <v>194.07326063959744</v>
      </c>
      <c r="BJ86">
        <f t="shared" ca="1" si="105"/>
        <v>427.48154618446881</v>
      </c>
      <c r="BK86" s="6">
        <f t="shared" ca="1" si="106"/>
        <v>-0.89100569000918028</v>
      </c>
      <c r="BL86" s="6">
        <f t="shared" ca="1" si="107"/>
        <v>0.45399213690466544</v>
      </c>
      <c r="BM86" s="6">
        <f t="shared" ca="1" si="108"/>
        <v>2.6703519181170958</v>
      </c>
      <c r="BN86" s="6">
        <f t="shared" ca="1" si="109"/>
        <v>4.211132231219695</v>
      </c>
      <c r="BO86" s="9">
        <f t="shared" ca="1" si="110"/>
        <v>-343.14982453380804</v>
      </c>
      <c r="BP86" s="9">
        <f t="shared" ca="1" si="111"/>
        <v>202.44367536556868</v>
      </c>
      <c r="BQ86">
        <f t="shared" ca="1" si="112"/>
        <v>398.41591807193527</v>
      </c>
      <c r="BR86">
        <f t="shared" ca="1" si="113"/>
        <v>-0.86128542803817199</v>
      </c>
      <c r="BS86">
        <f t="shared" ca="1" si="114"/>
        <v>0.50812145344307458</v>
      </c>
      <c r="BT86">
        <f t="shared" ca="1" si="115"/>
        <v>2.6085903665357577</v>
      </c>
      <c r="BU86" s="39">
        <f t="shared" ca="1" si="116"/>
        <v>-2.2281536083956937</v>
      </c>
    </row>
    <row r="87" spans="1:73" x14ac:dyDescent="0.25">
      <c r="A87" t="s">
        <v>119</v>
      </c>
      <c r="AS87">
        <v>2.9670597283903635</v>
      </c>
      <c r="AT87">
        <v>-361.47733123829408</v>
      </c>
      <c r="AU87">
        <v>170.04211080121451</v>
      </c>
      <c r="AV87" s="6">
        <f t="shared" si="92"/>
        <v>2.701896999479839</v>
      </c>
      <c r="AW87" s="6">
        <f t="shared" si="93"/>
        <v>0.2651627289105245</v>
      </c>
      <c r="AX87" s="6">
        <f t="shared" si="94"/>
        <v>2.1348469754516124</v>
      </c>
      <c r="AY87" s="6">
        <f t="shared" si="95"/>
        <v>2.1348469754516124</v>
      </c>
      <c r="BE87" s="39"/>
      <c r="BF87" s="39"/>
      <c r="BG87" s="6">
        <f t="shared" si="102"/>
        <v>2.5132741228718372</v>
      </c>
      <c r="BH87" s="9">
        <f t="shared" ca="1" si="103"/>
        <v>-382.4935049190093</v>
      </c>
      <c r="BI87" s="9">
        <f t="shared" ca="1" si="104"/>
        <v>192.14396154627806</v>
      </c>
      <c r="BJ87">
        <f t="shared" ca="1" si="105"/>
        <v>428.04273532431989</v>
      </c>
      <c r="BK87" s="6">
        <f t="shared" ca="1" si="106"/>
        <v>-0.89358718967441697</v>
      </c>
      <c r="BL87" s="6">
        <f t="shared" ca="1" si="107"/>
        <v>0.44888966845960887</v>
      </c>
      <c r="BM87" s="6">
        <f t="shared" ca="1" si="108"/>
        <v>2.6760702582485174</v>
      </c>
      <c r="BN87" s="6">
        <f t="shared" ca="1" si="109"/>
        <v>4.2168505713511166</v>
      </c>
      <c r="BO87" s="9">
        <f t="shared" ca="1" si="110"/>
        <v>-344.75483942853344</v>
      </c>
      <c r="BP87" s="9">
        <f t="shared" ca="1" si="111"/>
        <v>200.51437627224931</v>
      </c>
      <c r="BQ87">
        <f t="shared" ca="1" si="112"/>
        <v>398.82566918547639</v>
      </c>
      <c r="BR87">
        <f t="shared" ca="1" si="113"/>
        <v>-0.86442490056527188</v>
      </c>
      <c r="BS87">
        <f t="shared" ca="1" si="114"/>
        <v>0.50276196284396835</v>
      </c>
      <c r="BT87">
        <f t="shared" ca="1" si="115"/>
        <v>2.6148016909732998</v>
      </c>
      <c r="BU87" s="39">
        <f t="shared" ca="1" si="116"/>
        <v>-2.2219422839581515</v>
      </c>
    </row>
    <row r="88" spans="1:73" x14ac:dyDescent="0.25">
      <c r="A88" t="s">
        <v>120</v>
      </c>
      <c r="AS88">
        <v>3.0019663134302501</v>
      </c>
      <c r="AT88">
        <v>-362.24078474112366</v>
      </c>
      <c r="AU88">
        <v>167.84484556045919</v>
      </c>
      <c r="AV88" s="6">
        <f t="shared" si="92"/>
        <v>2.7076911796580818</v>
      </c>
      <c r="AW88" s="6">
        <f t="shared" si="93"/>
        <v>0.2942751337721683</v>
      </c>
      <c r="AX88" s="6">
        <f t="shared" si="94"/>
        <v>2.1290527952733695</v>
      </c>
      <c r="AY88" s="6">
        <f t="shared" si="95"/>
        <v>2.1290527952733695</v>
      </c>
      <c r="BE88" s="39"/>
      <c r="BF88" s="39"/>
      <c r="BG88" s="6">
        <f t="shared" si="102"/>
        <v>2.5481807079117238</v>
      </c>
      <c r="BH88" s="9">
        <f t="shared" ca="1" si="103"/>
        <v>-384.53823097367075</v>
      </c>
      <c r="BI88" s="9">
        <f t="shared" ca="1" si="104"/>
        <v>189.42270473992861</v>
      </c>
      <c r="BJ88">
        <f t="shared" ca="1" si="105"/>
        <v>428.66141901429654</v>
      </c>
      <c r="BK88" s="6">
        <f t="shared" ca="1" si="106"/>
        <v>-0.8970675080997802</v>
      </c>
      <c r="BL88" s="6">
        <f t="shared" ca="1" si="107"/>
        <v>0.44189352327416026</v>
      </c>
      <c r="BM88" s="6">
        <f t="shared" ca="1" si="108"/>
        <v>2.6838842824665732</v>
      </c>
      <c r="BN88" s="6">
        <f t="shared" ca="1" si="109"/>
        <v>4.2246645955691724</v>
      </c>
      <c r="BO88" s="9">
        <f t="shared" ca="1" si="110"/>
        <v>-346.7995654831949</v>
      </c>
      <c r="BP88" s="9">
        <f t="shared" ca="1" si="111"/>
        <v>197.79311946589985</v>
      </c>
      <c r="BQ88">
        <f t="shared" ca="1" si="112"/>
        <v>399.23934766927033</v>
      </c>
      <c r="BR88">
        <f t="shared" ca="1" si="113"/>
        <v>-0.86865076678384789</v>
      </c>
      <c r="BS88">
        <f t="shared" ca="1" si="114"/>
        <v>0.4954249139535003</v>
      </c>
      <c r="BT88">
        <f t="shared" ca="1" si="115"/>
        <v>2.6232687246931627</v>
      </c>
      <c r="BU88" s="39">
        <f t="shared" ca="1" si="116"/>
        <v>-2.2134752502382886</v>
      </c>
    </row>
    <row r="89" spans="1:73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3.0368728984701368</v>
      </c>
      <c r="AT89">
        <v>-362.96944505648469</v>
      </c>
      <c r="AU89">
        <v>165.62069432871337</v>
      </c>
      <c r="AV89" s="6">
        <f t="shared" si="92"/>
        <v>2.7135171736751098</v>
      </c>
      <c r="AW89" s="6">
        <f t="shared" si="93"/>
        <v>0.32335572479502694</v>
      </c>
      <c r="AX89" s="6">
        <f t="shared" si="94"/>
        <v>2.1232268012563416</v>
      </c>
      <c r="AY89" s="6">
        <f t="shared" si="95"/>
        <v>2.1232268012563416</v>
      </c>
      <c r="BE89" s="39"/>
      <c r="BF89" s="39"/>
      <c r="BG89" s="6">
        <f t="shared" si="102"/>
        <v>2.5830872929516104</v>
      </c>
      <c r="BH89" s="9">
        <f t="shared" ca="1" si="103"/>
        <v>-386.39180494824978</v>
      </c>
      <c r="BI89" s="9">
        <f t="shared" ca="1" si="104"/>
        <v>186.80582268787148</v>
      </c>
      <c r="BJ89">
        <f t="shared" ca="1" si="105"/>
        <v>429.17949895266293</v>
      </c>
      <c r="BK89" s="6">
        <f t="shared" ca="1" si="106"/>
        <v>-0.90030349979710356</v>
      </c>
      <c r="BL89" s="6">
        <f t="shared" ca="1" si="107"/>
        <v>0.43526268879044372</v>
      </c>
      <c r="BM89" s="6">
        <f t="shared" ca="1" si="108"/>
        <v>2.6912626193516687</v>
      </c>
      <c r="BN89" s="6">
        <f t="shared" ca="1" si="109"/>
        <v>4.2320429324542683</v>
      </c>
      <c r="BO89" s="9">
        <f t="shared" ca="1" si="110"/>
        <v>-348.65313945777393</v>
      </c>
      <c r="BP89" s="9">
        <f t="shared" ca="1" si="111"/>
        <v>195.17623741384273</v>
      </c>
      <c r="BQ89">
        <f t="shared" ca="1" si="112"/>
        <v>399.56573339662981</v>
      </c>
      <c r="BR89">
        <f t="shared" ca="1" si="113"/>
        <v>-0.87258017972147428</v>
      </c>
      <c r="BS89">
        <f t="shared" ca="1" si="114"/>
        <v>0.48847091004197951</v>
      </c>
      <c r="BT89">
        <f t="shared" ca="1" si="115"/>
        <v>2.6312561395206044</v>
      </c>
      <c r="BU89" s="39">
        <f t="shared" ca="1" si="116"/>
        <v>-2.2054878354108469</v>
      </c>
    </row>
    <row r="90" spans="1:73" x14ac:dyDescent="0.25">
      <c r="A90" s="6">
        <f>E3-$I$2</f>
        <v>-6</v>
      </c>
      <c r="B90" s="1">
        <f>F3-$I$3</f>
        <v>-12</v>
      </c>
      <c r="C90" s="1"/>
      <c r="AS90">
        <v>3.0717794835100234</v>
      </c>
      <c r="AT90">
        <v>-363.669512931589</v>
      </c>
      <c r="AU90">
        <v>163.35713943112015</v>
      </c>
      <c r="AV90" s="6">
        <f t="shared" si="92"/>
        <v>2.7194115422971312</v>
      </c>
      <c r="AW90" s="6">
        <f t="shared" si="93"/>
        <v>0.35236794121289217</v>
      </c>
      <c r="AX90" s="6">
        <f t="shared" si="94"/>
        <v>2.1173324326343197</v>
      </c>
      <c r="AY90" s="6">
        <f t="shared" si="95"/>
        <v>2.1173324326343197</v>
      </c>
      <c r="BE90" s="39"/>
      <c r="BF90" s="39"/>
      <c r="BG90" s="6">
        <f t="shared" si="102"/>
        <v>2.6179938779914971</v>
      </c>
      <c r="BH90" s="9">
        <f t="shared" ca="1" si="103"/>
        <v>-388.07895560103691</v>
      </c>
      <c r="BI90" s="9">
        <f t="shared" ca="1" si="104"/>
        <v>184.27950906494817</v>
      </c>
      <c r="BJ90">
        <f t="shared" ca="1" si="105"/>
        <v>429.60937285120991</v>
      </c>
      <c r="BK90" s="6">
        <f t="shared" ca="1" si="106"/>
        <v>-0.90332981570084003</v>
      </c>
      <c r="BL90" s="6">
        <f t="shared" ca="1" si="107"/>
        <v>0.42894666809043569</v>
      </c>
      <c r="BM90" s="6">
        <f t="shared" ca="1" si="108"/>
        <v>2.6982662545457012</v>
      </c>
      <c r="BN90" s="6">
        <f t="shared" ca="1" si="109"/>
        <v>4.2390465676483009</v>
      </c>
      <c r="BO90" s="9">
        <f t="shared" ca="1" si="110"/>
        <v>-350.34029011056106</v>
      </c>
      <c r="BP90" s="9">
        <f t="shared" ca="1" si="111"/>
        <v>192.64992379091942</v>
      </c>
      <c r="BQ90">
        <f t="shared" ca="1" si="112"/>
        <v>399.81534739351758</v>
      </c>
      <c r="BR90">
        <f t="shared" ca="1" si="113"/>
        <v>-0.87625523230787639</v>
      </c>
      <c r="BS90">
        <f t="shared" ca="1" si="114"/>
        <v>0.48184724535175</v>
      </c>
      <c r="BT90">
        <f t="shared" ca="1" si="115"/>
        <v>2.6388310467679217</v>
      </c>
      <c r="BU90" s="39">
        <f t="shared" ca="1" si="116"/>
        <v>-2.1979129281635297</v>
      </c>
    </row>
    <row r="91" spans="1:73" x14ac:dyDescent="0.25">
      <c r="A91" s="6">
        <f t="shared" ref="A91:A98" si="117">E4-$I$2</f>
        <v>6</v>
      </c>
      <c r="B91" s="1">
        <f t="shared" ref="B91:B98" si="118">F4-$I$3</f>
        <v>-12</v>
      </c>
      <c r="C91" s="1">
        <f>((A90*B91)-(A91*B90))*0.5</f>
        <v>72</v>
      </c>
      <c r="D91" s="6">
        <f>(A91+A90)*((A90*B91)-(A91*B90))*(1/6)</f>
        <v>0</v>
      </c>
      <c r="E91" s="6">
        <f>(B91+B90)*((A90*B91)-(A91*B90))*(1/6)</f>
        <v>-576</v>
      </c>
      <c r="AS91">
        <v>3.10668606854991</v>
      </c>
      <c r="AT91">
        <v>-364.34749579241566</v>
      </c>
      <c r="AU91">
        <v>161.03938084706624</v>
      </c>
      <c r="AV91" s="6">
        <f t="shared" si="92"/>
        <v>2.7254164913854457</v>
      </c>
      <c r="AW91" s="6">
        <f t="shared" si="93"/>
        <v>0.3812695771644643</v>
      </c>
      <c r="AX91" s="6">
        <f t="shared" si="94"/>
        <v>2.1113274835460052</v>
      </c>
      <c r="AY91" s="6">
        <f t="shared" si="95"/>
        <v>2.1113274835460052</v>
      </c>
      <c r="BE91" s="39"/>
      <c r="BF91" s="39"/>
      <c r="BG91" s="6">
        <f t="shared" si="102"/>
        <v>2.6529004630313837</v>
      </c>
      <c r="BH91" s="9">
        <f t="shared" ca="1" si="103"/>
        <v>-389.62057352812172</v>
      </c>
      <c r="BI91" s="9">
        <f t="shared" ca="1" si="104"/>
        <v>181.83136810185687</v>
      </c>
      <c r="BJ91">
        <f t="shared" ca="1" si="105"/>
        <v>429.96143750594132</v>
      </c>
      <c r="BK91" s="6">
        <f t="shared" ca="1" si="106"/>
        <v>-0.90617562307023836</v>
      </c>
      <c r="BL91" s="6">
        <f t="shared" ca="1" si="107"/>
        <v>0.42290157265404593</v>
      </c>
      <c r="BM91" s="6">
        <f t="shared" ca="1" si="108"/>
        <v>2.7049477187934503</v>
      </c>
      <c r="BN91" s="6">
        <f t="shared" ca="1" si="109"/>
        <v>4.24572803189605</v>
      </c>
      <c r="BO91" s="9">
        <f t="shared" ca="1" si="110"/>
        <v>-351.88190803764587</v>
      </c>
      <c r="BP91" s="9">
        <f t="shared" ca="1" si="111"/>
        <v>190.20178282782811</v>
      </c>
      <c r="BQ91">
        <f t="shared" ca="1" si="112"/>
        <v>399.99699423257988</v>
      </c>
      <c r="BR91">
        <f t="shared" ca="1" si="113"/>
        <v>-0.87971138061363208</v>
      </c>
      <c r="BS91">
        <f t="shared" ca="1" si="114"/>
        <v>0.47550803023593352</v>
      </c>
      <c r="BT91">
        <f t="shared" ca="1" si="115"/>
        <v>2.6460512154546114</v>
      </c>
      <c r="BU91" s="39">
        <f t="shared" ca="1" si="116"/>
        <v>-2.1906927594768399</v>
      </c>
    </row>
    <row r="92" spans="1:73" x14ac:dyDescent="0.25">
      <c r="A92" s="6">
        <f t="shared" si="117"/>
        <v>6</v>
      </c>
      <c r="B92" s="1">
        <f t="shared" si="118"/>
        <v>4</v>
      </c>
      <c r="C92" s="1">
        <f t="shared" ref="C92:C98" si="119">((A91*B92)-(A92*B91))*0.5</f>
        <v>48</v>
      </c>
      <c r="D92" s="6">
        <f t="shared" ref="D92:D98" si="120">(A92+A91)*((A91*B92)-(A92*B91))*(1/6)</f>
        <v>192</v>
      </c>
      <c r="E92" s="6">
        <f t="shared" ref="E92:E98" si="121">(B92+B91)*((A91*B92)-(A92*B91))*(1/6)</f>
        <v>-128</v>
      </c>
      <c r="AS92">
        <v>3.1415926535897967</v>
      </c>
      <c r="AT92">
        <v>-365.01055471159776</v>
      </c>
      <c r="AU92">
        <v>158.64925390514512</v>
      </c>
      <c r="AV92" s="6">
        <f t="shared" si="92"/>
        <v>2.731582798360956</v>
      </c>
      <c r="AW92" s="6">
        <f t="shared" si="93"/>
        <v>0.4100098552288407</v>
      </c>
      <c r="AX92" s="6">
        <f t="shared" si="94"/>
        <v>2.105161176570495</v>
      </c>
      <c r="AY92" s="6">
        <f t="shared" si="95"/>
        <v>2.105161176570495</v>
      </c>
      <c r="BE92" s="39"/>
      <c r="BF92" s="39"/>
      <c r="BG92" s="6">
        <f t="shared" si="102"/>
        <v>2.6878070480712704</v>
      </c>
      <c r="BH92" s="9">
        <f t="shared" ca="1" si="103"/>
        <v>-391.03442882915681</v>
      </c>
      <c r="BI92" s="9">
        <f t="shared" ca="1" si="104"/>
        <v>179.45014515116378</v>
      </c>
      <c r="BJ92">
        <f t="shared" ca="1" si="105"/>
        <v>430.24444113145569</v>
      </c>
      <c r="BK92" s="6">
        <f t="shared" ca="1" si="106"/>
        <v>-0.90886573177056162</v>
      </c>
      <c r="BL92" s="6">
        <f t="shared" ca="1" si="107"/>
        <v>0.41708881741562137</v>
      </c>
      <c r="BM92" s="6">
        <f t="shared" ca="1" si="108"/>
        <v>2.7113527908878972</v>
      </c>
      <c r="BN92" s="6">
        <f t="shared" ca="1" si="109"/>
        <v>4.2521331039904968</v>
      </c>
      <c r="BO92" s="9">
        <f t="shared" ca="1" si="110"/>
        <v>-353.29576333868096</v>
      </c>
      <c r="BP92" s="9">
        <f t="shared" ca="1" si="111"/>
        <v>187.82055987713503</v>
      </c>
      <c r="BQ92">
        <f t="shared" ca="1" si="112"/>
        <v>400.11805646036737</v>
      </c>
      <c r="BR92">
        <f t="shared" ca="1" si="113"/>
        <v>-0.88297880496596814</v>
      </c>
      <c r="BS92">
        <f t="shared" ca="1" si="114"/>
        <v>0.46941285664207233</v>
      </c>
      <c r="BT92">
        <f t="shared" ca="1" si="115"/>
        <v>2.652966950676471</v>
      </c>
      <c r="BU92" s="39">
        <f t="shared" ca="1" si="116"/>
        <v>-2.1837770242549803</v>
      </c>
    </row>
    <row r="93" spans="1:73" x14ac:dyDescent="0.25">
      <c r="A93" s="6">
        <f t="shared" si="117"/>
        <v>30</v>
      </c>
      <c r="B93" s="1">
        <f t="shared" si="118"/>
        <v>4</v>
      </c>
      <c r="C93" s="1">
        <f t="shared" si="119"/>
        <v>-48</v>
      </c>
      <c r="D93" s="6">
        <f t="shared" si="120"/>
        <v>-576</v>
      </c>
      <c r="E93" s="6">
        <f t="shared" si="121"/>
        <v>-128</v>
      </c>
      <c r="AS93">
        <v>3.1764992386296833</v>
      </c>
      <c r="AT93">
        <v>-364.83367105224795</v>
      </c>
      <c r="AU93">
        <v>156.92088849441825</v>
      </c>
      <c r="AV93" s="6">
        <f t="shared" si="92"/>
        <v>2.7353964944282314</v>
      </c>
      <c r="AW93" s="6">
        <f t="shared" si="93"/>
        <v>0.4411027442014519</v>
      </c>
      <c r="AX93" s="6">
        <f t="shared" si="94"/>
        <v>2.10134748050322</v>
      </c>
      <c r="AY93" s="6">
        <f t="shared" si="95"/>
        <v>2.10134748050322</v>
      </c>
      <c r="BE93" s="39"/>
      <c r="BF93" s="39"/>
      <c r="BG93" s="6">
        <f t="shared" si="102"/>
        <v>2.722713633111157</v>
      </c>
      <c r="BH93" s="9">
        <f t="shared" ca="1" si="103"/>
        <v>-392.33574240158879</v>
      </c>
      <c r="BI93" s="9">
        <f t="shared" ca="1" si="104"/>
        <v>177.12549600946821</v>
      </c>
      <c r="BJ93">
        <f t="shared" ca="1" si="105"/>
        <v>430.46576646976933</v>
      </c>
      <c r="BK93" s="6">
        <f t="shared" ca="1" si="106"/>
        <v>-0.91142147172147236</v>
      </c>
      <c r="BL93" s="6">
        <f t="shared" ca="1" si="107"/>
        <v>0.41147405858093328</v>
      </c>
      <c r="BM93" s="6">
        <f t="shared" ca="1" si="108"/>
        <v>2.7175218624684239</v>
      </c>
      <c r="BN93" s="6">
        <f t="shared" ca="1" si="109"/>
        <v>4.2583021755710231</v>
      </c>
      <c r="BO93" s="9">
        <f t="shared" ca="1" si="110"/>
        <v>-354.59707691111294</v>
      </c>
      <c r="BP93" s="9">
        <f t="shared" ca="1" si="111"/>
        <v>185.49591073543945</v>
      </c>
      <c r="BQ93">
        <f t="shared" ca="1" si="112"/>
        <v>400.18473215938144</v>
      </c>
      <c r="BR93">
        <f t="shared" ca="1" si="113"/>
        <v>-0.88608347199484783</v>
      </c>
      <c r="BS93">
        <f t="shared" ca="1" si="114"/>
        <v>0.46352570657683678</v>
      </c>
      <c r="BT93">
        <f t="shared" ca="1" si="115"/>
        <v>2.6596225991628399</v>
      </c>
      <c r="BU93" s="39">
        <f t="shared" ca="1" si="116"/>
        <v>-2.1771213757686114</v>
      </c>
    </row>
    <row r="94" spans="1:73" x14ac:dyDescent="0.25">
      <c r="A94" s="6">
        <f t="shared" si="117"/>
        <v>30</v>
      </c>
      <c r="B94" s="1">
        <f t="shared" si="118"/>
        <v>12</v>
      </c>
      <c r="C94" s="1">
        <f t="shared" si="119"/>
        <v>120</v>
      </c>
      <c r="D94" s="6">
        <f t="shared" si="120"/>
        <v>2400</v>
      </c>
      <c r="E94" s="6">
        <f t="shared" si="121"/>
        <v>640</v>
      </c>
      <c r="AS94">
        <v>3.2114058236695699</v>
      </c>
      <c r="AT94">
        <v>-364.61086878101219</v>
      </c>
      <c r="AU94">
        <v>155.20222837941344</v>
      </c>
      <c r="AV94" s="6">
        <f t="shared" si="92"/>
        <v>2.7391585481781413</v>
      </c>
      <c r="AW94" s="6">
        <f t="shared" si="93"/>
        <v>0.47224727549142864</v>
      </c>
      <c r="AX94" s="6">
        <f t="shared" si="94"/>
        <v>2.0975854267533101</v>
      </c>
      <c r="AY94" s="6">
        <f t="shared" si="95"/>
        <v>2.0975854267533101</v>
      </c>
      <c r="BE94" s="39"/>
      <c r="BF94" s="39"/>
      <c r="BG94" s="6">
        <f t="shared" si="102"/>
        <v>2.7576202181510436</v>
      </c>
      <c r="BH94" s="9">
        <f t="shared" ca="1" si="103"/>
        <v>-393.53764564803902</v>
      </c>
      <c r="BI94" s="9">
        <f t="shared" ca="1" si="104"/>
        <v>174.8477843559314</v>
      </c>
      <c r="BJ94">
        <f t="shared" ca="1" si="105"/>
        <v>430.63165958435968</v>
      </c>
      <c r="BK94" s="6">
        <f t="shared" ca="1" si="106"/>
        <v>-0.91386138684711815</v>
      </c>
      <c r="BL94" s="6">
        <f t="shared" ca="1" si="107"/>
        <v>0.40602631149946639</v>
      </c>
      <c r="BM94" s="6">
        <f t="shared" ca="1" si="108"/>
        <v>2.7234910533585386</v>
      </c>
      <c r="BN94" s="6">
        <f t="shared" ca="1" si="109"/>
        <v>4.2642713664611378</v>
      </c>
      <c r="BO94" s="9">
        <f t="shared" ca="1" si="110"/>
        <v>-355.79898015756316</v>
      </c>
      <c r="BP94" s="9">
        <f t="shared" ca="1" si="111"/>
        <v>183.21819908190264</v>
      </c>
      <c r="BQ94">
        <f t="shared" ca="1" si="112"/>
        <v>400.20222732510842</v>
      </c>
      <c r="BR94">
        <f t="shared" ca="1" si="113"/>
        <v>-0.88904797590875517</v>
      </c>
      <c r="BS94">
        <f t="shared" ca="1" si="114"/>
        <v>0.45781404143226678</v>
      </c>
      <c r="BT94">
        <f t="shared" ca="1" si="115"/>
        <v>2.6660577794313904</v>
      </c>
      <c r="BU94" s="39">
        <f t="shared" ca="1" si="116"/>
        <v>-2.1706861955000609</v>
      </c>
    </row>
    <row r="95" spans="1:73" x14ac:dyDescent="0.25">
      <c r="A95" s="6">
        <f t="shared" si="117"/>
        <v>-14</v>
      </c>
      <c r="B95" s="1">
        <f t="shared" si="118"/>
        <v>12</v>
      </c>
      <c r="C95" s="1">
        <f t="shared" si="119"/>
        <v>264</v>
      </c>
      <c r="D95" s="6">
        <f t="shared" si="120"/>
        <v>1408</v>
      </c>
      <c r="E95" s="6">
        <f t="shared" si="121"/>
        <v>2112</v>
      </c>
      <c r="AS95">
        <v>3.2463124087094566</v>
      </c>
      <c r="AT95">
        <v>-364.33990493445691</v>
      </c>
      <c r="AU95">
        <v>153.48698394683262</v>
      </c>
      <c r="AV95" s="6">
        <f t="shared" si="92"/>
        <v>2.7428820620485093</v>
      </c>
      <c r="AW95" s="6">
        <f t="shared" si="93"/>
        <v>0.50343034666094733</v>
      </c>
      <c r="AX95" s="6">
        <f t="shared" si="94"/>
        <v>2.0938619128829421</v>
      </c>
      <c r="AY95" s="6">
        <f t="shared" si="95"/>
        <v>2.0938619128829421</v>
      </c>
      <c r="BE95" s="39"/>
      <c r="BF95" s="39"/>
      <c r="BG95" s="6">
        <f t="shared" si="102"/>
        <v>2.7925268031909303</v>
      </c>
      <c r="BH95" s="9">
        <f t="shared" ca="1" si="103"/>
        <v>-394.65155486070887</v>
      </c>
      <c r="BI95" s="9">
        <f t="shared" ca="1" si="104"/>
        <v>172.60789819386437</v>
      </c>
      <c r="BJ95">
        <f t="shared" ca="1" si="105"/>
        <v>430.74741586326269</v>
      </c>
      <c r="BK95" s="6">
        <f t="shared" ca="1" si="106"/>
        <v>-0.91620179327085705</v>
      </c>
      <c r="BL95" s="6">
        <f t="shared" ca="1" si="107"/>
        <v>0.40071719954010676</v>
      </c>
      <c r="BM95" s="6">
        <f t="shared" ca="1" si="108"/>
        <v>2.7292931449180906</v>
      </c>
      <c r="BN95" s="6">
        <f t="shared" ca="1" si="109"/>
        <v>4.2700734580206898</v>
      </c>
      <c r="BO95" s="9">
        <f t="shared" ca="1" si="110"/>
        <v>-356.91288937023302</v>
      </c>
      <c r="BP95" s="9">
        <f t="shared" ca="1" si="111"/>
        <v>180.97831291983562</v>
      </c>
      <c r="BQ95">
        <f t="shared" ca="1" si="112"/>
        <v>400.17491218955513</v>
      </c>
      <c r="BR95">
        <f t="shared" ca="1" si="113"/>
        <v>-0.89189221637454941</v>
      </c>
      <c r="BS95">
        <f t="shared" ca="1" si="114"/>
        <v>0.45224802306974626</v>
      </c>
      <c r="BT95">
        <f t="shared" ca="1" si="115"/>
        <v>2.6723084107152664</v>
      </c>
      <c r="BU95" s="39">
        <f t="shared" ca="1" si="116"/>
        <v>-2.164435564216185</v>
      </c>
    </row>
    <row r="96" spans="1:73" x14ac:dyDescent="0.25">
      <c r="A96" s="6">
        <f t="shared" si="117"/>
        <v>-14</v>
      </c>
      <c r="B96" s="1">
        <f t="shared" si="118"/>
        <v>4</v>
      </c>
      <c r="C96" s="1">
        <f t="shared" si="119"/>
        <v>56</v>
      </c>
      <c r="D96" s="6">
        <f t="shared" si="120"/>
        <v>-522.66666666666663</v>
      </c>
      <c r="E96" s="6">
        <f t="shared" si="121"/>
        <v>298.66666666666663</v>
      </c>
      <c r="AS96">
        <v>3.2812189937493432</v>
      </c>
      <c r="AT96">
        <v>-364.01820380879701</v>
      </c>
      <c r="AU96">
        <v>151.76928946954587</v>
      </c>
      <c r="AV96" s="6">
        <f t="shared" si="92"/>
        <v>2.74657909579035</v>
      </c>
      <c r="AW96" s="6">
        <f t="shared" si="93"/>
        <v>0.53463989795899325</v>
      </c>
      <c r="AX96" s="6">
        <f t="shared" si="94"/>
        <v>2.0901648791411009</v>
      </c>
      <c r="AY96" s="6">
        <f t="shared" si="95"/>
        <v>2.0901648791411009</v>
      </c>
      <c r="BE96" s="39"/>
      <c r="BF96" s="39"/>
      <c r="BG96" s="6">
        <f t="shared" si="102"/>
        <v>2.8274333882308169</v>
      </c>
      <c r="BH96" s="9">
        <f t="shared" ca="1" si="103"/>
        <v>-395.68748051648902</v>
      </c>
      <c r="BI96" s="9">
        <f t="shared" ca="1" si="104"/>
        <v>170.39707694948927</v>
      </c>
      <c r="BJ96">
        <f t="shared" ca="1" si="105"/>
        <v>430.81753222265348</v>
      </c>
      <c r="BK96" s="6">
        <f t="shared" ca="1" si="106"/>
        <v>-0.91845723751091757</v>
      </c>
      <c r="BL96" s="6">
        <f t="shared" ca="1" si="107"/>
        <v>0.39552029387101478</v>
      </c>
      <c r="BM96" s="6">
        <f t="shared" ca="1" si="108"/>
        <v>2.734958384815378</v>
      </c>
      <c r="BN96" s="6">
        <f t="shared" ca="1" si="109"/>
        <v>4.2757386979179772</v>
      </c>
      <c r="BO96" s="9">
        <f t="shared" ca="1" si="110"/>
        <v>-357.94881502601316</v>
      </c>
      <c r="BP96" s="9">
        <f t="shared" ca="1" si="111"/>
        <v>178.76749167546052</v>
      </c>
      <c r="BQ96">
        <f t="shared" ca="1" si="112"/>
        <v>400.10644865893232</v>
      </c>
      <c r="BR96">
        <f t="shared" ca="1" si="113"/>
        <v>-0.89463395610287677</v>
      </c>
      <c r="BS96">
        <f t="shared" ca="1" si="114"/>
        <v>0.44679982608290697</v>
      </c>
      <c r="BT96">
        <f t="shared" ca="1" si="115"/>
        <v>2.6784075993880152</v>
      </c>
      <c r="BU96" s="39">
        <f t="shared" ca="1" si="116"/>
        <v>-2.1583363755434362</v>
      </c>
    </row>
    <row r="97" spans="1:73" x14ac:dyDescent="0.25">
      <c r="A97" s="6">
        <f t="shared" si="117"/>
        <v>-6</v>
      </c>
      <c r="B97" s="1">
        <f t="shared" si="118"/>
        <v>4</v>
      </c>
      <c r="C97" s="1">
        <f t="shared" si="119"/>
        <v>-16</v>
      </c>
      <c r="D97" s="6">
        <f t="shared" si="120"/>
        <v>106.66666666666666</v>
      </c>
      <c r="E97" s="6">
        <f t="shared" si="121"/>
        <v>-42.666666666666664</v>
      </c>
      <c r="AS97">
        <v>3.3161255787892299</v>
      </c>
      <c r="AT97">
        <v>-363.64277725170439</v>
      </c>
      <c r="AU97">
        <v>150.04353389789412</v>
      </c>
      <c r="AV97" s="6">
        <f t="shared" si="92"/>
        <v>2.7502609878638244</v>
      </c>
      <c r="AW97" s="6">
        <f t="shared" si="93"/>
        <v>0.56586459092540542</v>
      </c>
      <c r="AX97" s="6">
        <f t="shared" si="94"/>
        <v>2.0864829870676269</v>
      </c>
      <c r="AY97" s="6">
        <f t="shared" si="95"/>
        <v>2.0864829870676269</v>
      </c>
      <c r="BE97" s="39"/>
      <c r="BF97" s="39"/>
      <c r="BG97" s="6">
        <f t="shared" si="102"/>
        <v>2.8623399732707036</v>
      </c>
      <c r="BH97" s="9">
        <f t="shared" ca="1" si="103"/>
        <v>-396.65428739213945</v>
      </c>
      <c r="BI97" s="9">
        <f t="shared" ca="1" si="104"/>
        <v>168.20674091259087</v>
      </c>
      <c r="BJ97">
        <f t="shared" ca="1" si="105"/>
        <v>430.84583251437101</v>
      </c>
      <c r="BK97" s="6">
        <f t="shared" ca="1" si="106"/>
        <v>-0.92064088232513863</v>
      </c>
      <c r="BL97" s="6">
        <f t="shared" ca="1" si="107"/>
        <v>0.39041050932523591</v>
      </c>
      <c r="BM97" s="6">
        <f t="shared" ca="1" si="108"/>
        <v>2.7405152078496817</v>
      </c>
      <c r="BN97" s="6">
        <f t="shared" ca="1" si="109"/>
        <v>4.2812955209522814</v>
      </c>
      <c r="BO97" s="9">
        <f t="shared" ca="1" si="110"/>
        <v>-358.9156219016636</v>
      </c>
      <c r="BP97" s="9">
        <f t="shared" ca="1" si="111"/>
        <v>176.57715563856212</v>
      </c>
      <c r="BQ97">
        <f t="shared" ca="1" si="112"/>
        <v>399.99989442306475</v>
      </c>
      <c r="BR97">
        <f t="shared" ca="1" si="113"/>
        <v>-0.8972892915867926</v>
      </c>
      <c r="BS97">
        <f t="shared" ca="1" si="114"/>
        <v>0.44144300561190436</v>
      </c>
      <c r="BT97">
        <f t="shared" ca="1" si="115"/>
        <v>2.6843864319307911</v>
      </c>
      <c r="BU97" s="39">
        <f t="shared" ca="1" si="116"/>
        <v>-2.1523575430006603</v>
      </c>
    </row>
    <row r="98" spans="1:73" x14ac:dyDescent="0.25">
      <c r="A98" s="6">
        <f t="shared" si="117"/>
        <v>-6</v>
      </c>
      <c r="B98" s="1">
        <f t="shared" si="118"/>
        <v>-12</v>
      </c>
      <c r="C98" s="1">
        <f t="shared" si="119"/>
        <v>48</v>
      </c>
      <c r="D98" s="6">
        <f t="shared" si="120"/>
        <v>-192</v>
      </c>
      <c r="E98" s="6">
        <f t="shared" si="121"/>
        <v>-128</v>
      </c>
      <c r="AS98">
        <v>3.3510321638291165</v>
      </c>
      <c r="AT98">
        <v>-363.2101439987544</v>
      </c>
      <c r="AU98">
        <v>148.30422678190828</v>
      </c>
      <c r="AV98" s="6">
        <f t="shared" si="92"/>
        <v>2.7539386073517544</v>
      </c>
      <c r="AW98" s="6">
        <f t="shared" si="93"/>
        <v>0.59709355647736206</v>
      </c>
      <c r="AX98" s="6">
        <f t="shared" si="94"/>
        <v>2.0828053675796969</v>
      </c>
      <c r="AY98" s="6">
        <f t="shared" si="95"/>
        <v>2.0828053675796969</v>
      </c>
      <c r="BE98" s="39"/>
      <c r="BF98" s="39"/>
      <c r="BG98" s="6">
        <f t="shared" si="102"/>
        <v>2.8972465583105902</v>
      </c>
      <c r="BH98" s="9">
        <f t="shared" ca="1" si="103"/>
        <v>-397.55991853945676</v>
      </c>
      <c r="BI98" s="9">
        <f t="shared" ca="1" si="104"/>
        <v>166.02831388666536</v>
      </c>
      <c r="BJ98">
        <f t="shared" ca="1" si="105"/>
        <v>430.8355716989355</v>
      </c>
      <c r="BK98" s="6">
        <f t="shared" ca="1" si="106"/>
        <v>-0.92276484267939807</v>
      </c>
      <c r="BL98" s="6">
        <f t="shared" ca="1" si="107"/>
        <v>0.3853635233320164</v>
      </c>
      <c r="BM98" s="6">
        <f t="shared" ca="1" si="108"/>
        <v>2.7459909132945461</v>
      </c>
      <c r="BN98" s="6">
        <f t="shared" ca="1" si="109"/>
        <v>4.2867712263971454</v>
      </c>
      <c r="BO98" s="9">
        <f t="shared" ca="1" si="110"/>
        <v>-359.82125304898091</v>
      </c>
      <c r="BP98" s="9">
        <f t="shared" ca="1" si="111"/>
        <v>174.3987286126366</v>
      </c>
      <c r="BQ98">
        <f t="shared" ca="1" si="112"/>
        <v>399.85778807901545</v>
      </c>
      <c r="BR98">
        <f t="shared" ca="1" si="113"/>
        <v>-0.89987306431524861</v>
      </c>
      <c r="BS98">
        <f t="shared" ca="1" si="114"/>
        <v>0.43615188652565112</v>
      </c>
      <c r="BT98">
        <f t="shared" ca="1" si="115"/>
        <v>2.6902747188527769</v>
      </c>
      <c r="BU98" s="39">
        <f t="shared" ca="1" si="116"/>
        <v>-2.1464692560786744</v>
      </c>
    </row>
    <row r="99" spans="1:73" x14ac:dyDescent="0.25">
      <c r="C99" s="1">
        <f>SUM(C91:C98)</f>
        <v>544</v>
      </c>
      <c r="D99" s="6">
        <f>SUM(D91:D98)/C99</f>
        <v>5.1764705882352944</v>
      </c>
      <c r="E99" s="6">
        <f>SUM(E91:E98)/C99</f>
        <v>3.7647058823529411</v>
      </c>
      <c r="AS99">
        <v>3.3859387488690031</v>
      </c>
      <c r="AT99">
        <v>-362.7162429946253</v>
      </c>
      <c r="AU99">
        <v>146.54588603467511</v>
      </c>
      <c r="AV99" s="6">
        <f t="shared" si="92"/>
        <v>2.7576225613931609</v>
      </c>
      <c r="AW99" s="6">
        <f t="shared" si="93"/>
        <v>0.62831618747584228</v>
      </c>
      <c r="AX99" s="6">
        <f t="shared" si="94"/>
        <v>2.0791214135382905</v>
      </c>
      <c r="AY99" s="6">
        <f t="shared" si="95"/>
        <v>2.0791214135382905</v>
      </c>
      <c r="BE99" s="39"/>
      <c r="BF99" s="39"/>
      <c r="BG99" s="6">
        <f t="shared" si="102"/>
        <v>2.9321531433504768</v>
      </c>
      <c r="BH99" s="9">
        <f t="shared" ca="1" si="103"/>
        <v>-398.41159429274245</v>
      </c>
      <c r="BI99" s="9">
        <f t="shared" ca="1" si="104"/>
        <v>163.85302799925623</v>
      </c>
      <c r="BJ99">
        <f t="shared" ca="1" si="105"/>
        <v>430.78952314489948</v>
      </c>
      <c r="BK99" s="6">
        <f t="shared" ca="1" si="106"/>
        <v>-0.9248404914404883</v>
      </c>
      <c r="BL99" s="6">
        <f t="shared" ca="1" si="107"/>
        <v>0.3803551832065864</v>
      </c>
      <c r="BM99" s="6">
        <f t="shared" ca="1" si="108"/>
        <v>2.7514123393598409</v>
      </c>
      <c r="BN99" s="6">
        <f t="shared" ca="1" si="109"/>
        <v>4.2921926524624405</v>
      </c>
      <c r="BO99" s="9">
        <f t="shared" ca="1" si="110"/>
        <v>-360.6729288022666</v>
      </c>
      <c r="BP99" s="9">
        <f t="shared" ca="1" si="111"/>
        <v>172.22344272522747</v>
      </c>
      <c r="BQ99">
        <f t="shared" ca="1" si="112"/>
        <v>399.68221851232585</v>
      </c>
      <c r="BR99">
        <f t="shared" ca="1" si="113"/>
        <v>-0.90239923643524256</v>
      </c>
      <c r="BS99">
        <f t="shared" ca="1" si="114"/>
        <v>0.43090093766559756</v>
      </c>
      <c r="BT99">
        <f t="shared" ca="1" si="115"/>
        <v>2.6961017340049853</v>
      </c>
      <c r="BU99" s="39">
        <f t="shared" ca="1" si="116"/>
        <v>-2.140642240926466</v>
      </c>
    </row>
    <row r="100" spans="1:73" x14ac:dyDescent="0.25">
      <c r="A100" s="8" t="s">
        <v>124</v>
      </c>
      <c r="B100" s="1">
        <f>B31*C99*0.65</f>
        <v>1502.8</v>
      </c>
      <c r="C100" t="s">
        <v>68</v>
      </c>
      <c r="AS100">
        <v>3.4208453339088898</v>
      </c>
      <c r="AT100">
        <v>-362.1563360994985</v>
      </c>
      <c r="AU100">
        <v>144.76293851926658</v>
      </c>
      <c r="AV100" s="6">
        <f t="shared" si="92"/>
        <v>2.761323374892632</v>
      </c>
      <c r="AW100" s="6">
        <f t="shared" si="93"/>
        <v>0.65952195901625776</v>
      </c>
      <c r="AX100" s="6">
        <f t="shared" si="94"/>
        <v>2.0754206000388189</v>
      </c>
      <c r="AY100" s="6">
        <f t="shared" si="95"/>
        <v>2.0754206000388189</v>
      </c>
      <c r="BE100" s="39"/>
      <c r="BF100" s="39"/>
      <c r="BG100" s="6">
        <f t="shared" si="102"/>
        <v>2.9670597283903635</v>
      </c>
      <c r="BH100" s="9">
        <f t="shared" ca="1" si="103"/>
        <v>-399.21599672876994</v>
      </c>
      <c r="BI100" s="9">
        <f t="shared" ca="1" si="104"/>
        <v>161.67169607524326</v>
      </c>
      <c r="BJ100">
        <f t="shared" ca="1" si="105"/>
        <v>430.71005253649594</v>
      </c>
      <c r="BK100" s="6">
        <f t="shared" ca="1" si="106"/>
        <v>-0.92687875376426843</v>
      </c>
      <c r="BL100" s="6">
        <f t="shared" ca="1" si="107"/>
        <v>0.3753608607998396</v>
      </c>
      <c r="BM100" s="6">
        <f t="shared" ca="1" si="108"/>
        <v>2.7568065807485844</v>
      </c>
      <c r="BN100" s="6">
        <f t="shared" ca="1" si="109"/>
        <v>4.2975868938511841</v>
      </c>
      <c r="BO100" s="9">
        <f t="shared" ca="1" si="110"/>
        <v>-361.47733123829408</v>
      </c>
      <c r="BP100" s="9">
        <f t="shared" ca="1" si="111"/>
        <v>170.04211080121451</v>
      </c>
      <c r="BQ100">
        <f t="shared" ca="1" si="112"/>
        <v>399.47488086848699</v>
      </c>
      <c r="BR100">
        <f t="shared" ca="1" si="113"/>
        <v>-0.90488125424160959</v>
      </c>
      <c r="BS100">
        <f t="shared" ca="1" si="114"/>
        <v>0.42566408789341342</v>
      </c>
      <c r="BT100">
        <f t="shared" ca="1" si="115"/>
        <v>2.701896999479839</v>
      </c>
      <c r="BU100" s="39">
        <f t="shared" ca="1" si="116"/>
        <v>-2.1348469754516124</v>
      </c>
    </row>
    <row r="101" spans="1:73" x14ac:dyDescent="0.25">
      <c r="A101" s="8" t="s">
        <v>77</v>
      </c>
      <c r="B101" s="1">
        <f>B100*E99</f>
        <v>5657.5999999999995</v>
      </c>
      <c r="C101" t="s">
        <v>69</v>
      </c>
      <c r="AS101">
        <v>3.4557519189487764</v>
      </c>
      <c r="AT101">
        <v>-361.52489555473733</v>
      </c>
      <c r="AU101">
        <v>142.94962696656751</v>
      </c>
      <c r="AV101" s="6">
        <f t="shared" si="92"/>
        <v>2.7650516543895578</v>
      </c>
      <c r="AW101" s="6">
        <f t="shared" si="93"/>
        <v>0.69070026455921862</v>
      </c>
      <c r="AX101" s="6">
        <f t="shared" si="94"/>
        <v>2.0716923205418936</v>
      </c>
      <c r="AY101" s="6">
        <f t="shared" si="95"/>
        <v>2.0716923205418936</v>
      </c>
      <c r="BE101" s="39"/>
      <c r="BF101" s="39"/>
      <c r="BG101" s="6">
        <f t="shared" si="102"/>
        <v>3.0019663134302501</v>
      </c>
      <c r="BH101" s="9">
        <f t="shared" ca="1" si="103"/>
        <v>-399.97945023159951</v>
      </c>
      <c r="BI101" s="9">
        <f t="shared" ca="1" si="104"/>
        <v>159.47443083448795</v>
      </c>
      <c r="BJ101">
        <f t="shared" ca="1" si="105"/>
        <v>430.59918102285849</v>
      </c>
      <c r="BK101" s="6">
        <f t="shared" ca="1" si="106"/>
        <v>-0.92889041098841874</v>
      </c>
      <c r="BL101" s="6">
        <f t="shared" ca="1" si="107"/>
        <v>0.37035470075829569</v>
      </c>
      <c r="BM101" s="6">
        <f t="shared" ca="1" si="108"/>
        <v>2.7622018076907588</v>
      </c>
      <c r="BN101" s="6">
        <f t="shared" ca="1" si="109"/>
        <v>4.3029821207933585</v>
      </c>
      <c r="BO101" s="9">
        <f t="shared" ca="1" si="110"/>
        <v>-362.24078474112366</v>
      </c>
      <c r="BP101" s="9">
        <f t="shared" ca="1" si="111"/>
        <v>167.84484556045919</v>
      </c>
      <c r="BQ101">
        <f t="shared" ca="1" si="112"/>
        <v>399.23712040725809</v>
      </c>
      <c r="BR101">
        <f t="shared" ca="1" si="113"/>
        <v>-0.90733242533060354</v>
      </c>
      <c r="BS101">
        <f t="shared" ca="1" si="114"/>
        <v>0.4204139269145169</v>
      </c>
      <c r="BT101">
        <f t="shared" ca="1" si="115"/>
        <v>2.7076911796580818</v>
      </c>
      <c r="BU101" s="39">
        <f t="shared" ca="1" si="116"/>
        <v>-2.1290527952733695</v>
      </c>
    </row>
    <row r="102" spans="1:73" x14ac:dyDescent="0.25">
      <c r="A102" s="8" t="s">
        <v>125</v>
      </c>
      <c r="B102" s="1">
        <f>B100*D99*-1</f>
        <v>-7779.2</v>
      </c>
      <c r="C102" t="s">
        <v>69</v>
      </c>
      <c r="J102" t="s">
        <v>127</v>
      </c>
      <c r="AS102">
        <v>3.4906585039886631</v>
      </c>
      <c r="AT102">
        <v>-360.81547117784635</v>
      </c>
      <c r="AU102">
        <v>141.09991819817887</v>
      </c>
      <c r="AV102" s="6">
        <f t="shared" si="92"/>
        <v>2.7688182451540477</v>
      </c>
      <c r="AW102" s="6">
        <f t="shared" si="93"/>
        <v>0.72184025883461533</v>
      </c>
      <c r="AX102" s="6">
        <f t="shared" si="94"/>
        <v>2.0679257297774036</v>
      </c>
      <c r="AY102" s="6">
        <f t="shared" si="95"/>
        <v>2.0679257297774036</v>
      </c>
      <c r="BE102" s="39"/>
      <c r="BF102" s="39"/>
      <c r="BG102" s="6">
        <f t="shared" si="102"/>
        <v>3.0368728984701368</v>
      </c>
      <c r="BH102" s="9">
        <f t="shared" ca="1" si="103"/>
        <v>-400.70811054696054</v>
      </c>
      <c r="BI102" s="9">
        <f t="shared" ca="1" si="104"/>
        <v>157.25027960274213</v>
      </c>
      <c r="BJ102">
        <f t="shared" ca="1" si="105"/>
        <v>430.45863946871333</v>
      </c>
      <c r="BK102" s="6">
        <f t="shared" ca="1" si="106"/>
        <v>-0.9308864401967355</v>
      </c>
      <c r="BL102" s="6">
        <f t="shared" ca="1" si="107"/>
        <v>0.3653086851661887</v>
      </c>
      <c r="BM102" s="6">
        <f t="shared" ca="1" si="108"/>
        <v>2.7676282686197706</v>
      </c>
      <c r="BN102" s="6">
        <f t="shared" ca="1" si="109"/>
        <v>4.3084085817223698</v>
      </c>
      <c r="BO102" s="9">
        <f t="shared" ca="1" si="110"/>
        <v>-362.96944505648469</v>
      </c>
      <c r="BP102" s="9">
        <f t="shared" ca="1" si="111"/>
        <v>165.62069432871337</v>
      </c>
      <c r="BQ102">
        <f t="shared" ca="1" si="112"/>
        <v>398.96996432631056</v>
      </c>
      <c r="BR102">
        <f t="shared" ca="1" si="113"/>
        <v>-0.90976634210894713</v>
      </c>
      <c r="BS102">
        <f t="shared" ca="1" si="114"/>
        <v>0.41512070866882372</v>
      </c>
      <c r="BT102">
        <f t="shared" ca="1" si="115"/>
        <v>2.7135171736751098</v>
      </c>
      <c r="BU102" s="39">
        <f t="shared" ca="1" si="116"/>
        <v>-2.1232268012563416</v>
      </c>
    </row>
    <row r="103" spans="1:73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3.5255650890285497</v>
      </c>
      <c r="AT103">
        <v>-350.56465720445385</v>
      </c>
      <c r="AU103">
        <v>124.14320608857642</v>
      </c>
      <c r="AV103" s="6">
        <f t="shared" si="92"/>
        <v>2.8012490134966099</v>
      </c>
      <c r="AW103" s="6">
        <f t="shared" si="93"/>
        <v>0.72431607553193977</v>
      </c>
      <c r="AX103" s="6">
        <f t="shared" si="94"/>
        <v>2.0354949614348414</v>
      </c>
      <c r="AY103" s="6">
        <f t="shared" si="95"/>
        <v>2.0354949614348414</v>
      </c>
      <c r="BE103" s="39"/>
      <c r="BF103" s="39"/>
      <c r="BG103" s="6">
        <f t="shared" si="102"/>
        <v>3.0717794835100234</v>
      </c>
      <c r="BH103" s="9">
        <f t="shared" ca="1" si="103"/>
        <v>-401.40817842206485</v>
      </c>
      <c r="BI103" s="9">
        <f t="shared" ca="1" si="104"/>
        <v>154.9867247051489</v>
      </c>
      <c r="BJ103">
        <f t="shared" ca="1" si="105"/>
        <v>430.28991452153497</v>
      </c>
      <c r="BK103" s="6">
        <f t="shared" ca="1" si="106"/>
        <v>-0.93287842655669617</v>
      </c>
      <c r="BL103" s="6">
        <f t="shared" ca="1" si="107"/>
        <v>0.36019139532351785</v>
      </c>
      <c r="BM103" s="6">
        <f t="shared" ca="1" si="108"/>
        <v>2.7731196018611421</v>
      </c>
      <c r="BN103" s="6">
        <f t="shared" ca="1" si="109"/>
        <v>4.3138999149637414</v>
      </c>
      <c r="BO103" s="9">
        <f t="shared" ca="1" si="110"/>
        <v>-363.669512931589</v>
      </c>
      <c r="BP103" s="9">
        <f t="shared" ca="1" si="111"/>
        <v>163.35713943112015</v>
      </c>
      <c r="BQ103">
        <f t="shared" ca="1" si="112"/>
        <v>398.67413966674286</v>
      </c>
      <c r="BR103">
        <f t="shared" ca="1" si="113"/>
        <v>-0.91219739819488987</v>
      </c>
      <c r="BS103">
        <f t="shared" ca="1" si="114"/>
        <v>0.40975103017133896</v>
      </c>
      <c r="BT103">
        <f t="shared" ca="1" si="115"/>
        <v>2.7194115422971312</v>
      </c>
      <c r="BU103" s="39">
        <f t="shared" ca="1" si="116"/>
        <v>-2.1173324326343201</v>
      </c>
    </row>
    <row r="104" spans="1:73" x14ac:dyDescent="0.25">
      <c r="A104">
        <f>A15</f>
        <v>1</v>
      </c>
      <c r="B104">
        <f t="shared" ref="B104:C104" si="122">B15</f>
        <v>0</v>
      </c>
      <c r="C104">
        <f t="shared" ca="1" si="122"/>
        <v>0</v>
      </c>
      <c r="D104" s="9">
        <f>D15-$I$2</f>
        <v>-27</v>
      </c>
      <c r="E104" s="5">
        <f>E15-$I$3</f>
        <v>10</v>
      </c>
      <c r="F104" s="5">
        <f ca="1">($B$12-$B$31)*C104*0.65</f>
        <v>0</v>
      </c>
      <c r="G104">
        <f ca="1">E104*F104</f>
        <v>0</v>
      </c>
      <c r="H104">
        <f ca="1">D104*F104*-1</f>
        <v>0</v>
      </c>
      <c r="J104">
        <f ca="1">-1*C104*$B$12*0.9</f>
        <v>0</v>
      </c>
      <c r="K104">
        <f ca="1">E104*J104</f>
        <v>0</v>
      </c>
      <c r="L104">
        <f ca="1">D104*J104*-1</f>
        <v>0</v>
      </c>
      <c r="AS104">
        <v>3.5604716740684363</v>
      </c>
      <c r="AT104">
        <v>-331.93727808386632</v>
      </c>
      <c r="AU104">
        <v>89.388928225639177</v>
      </c>
      <c r="AV104" s="6">
        <f t="shared" si="92"/>
        <v>2.8785383733115699</v>
      </c>
      <c r="AW104" s="6">
        <f t="shared" si="93"/>
        <v>0.68193330075686642</v>
      </c>
      <c r="AX104" s="6">
        <f t="shared" si="94"/>
        <v>1.9582056016198812</v>
      </c>
      <c r="AY104" s="6">
        <f t="shared" si="95"/>
        <v>1.9582056016198812</v>
      </c>
      <c r="BE104" s="39"/>
      <c r="BF104" s="39"/>
      <c r="BG104" s="6">
        <f t="shared" si="102"/>
        <v>3.10668606854991</v>
      </c>
      <c r="BH104" s="9">
        <f t="shared" ca="1" si="103"/>
        <v>-402.08616128289151</v>
      </c>
      <c r="BI104" s="9">
        <f t="shared" ca="1" si="104"/>
        <v>152.668966121095</v>
      </c>
      <c r="BJ104">
        <f t="shared" ca="1" si="105"/>
        <v>430.0942853743764</v>
      </c>
      <c r="BK104" s="6">
        <f t="shared" ca="1" si="106"/>
        <v>-0.93487910664261642</v>
      </c>
      <c r="BL104" s="6">
        <f t="shared" ca="1" si="107"/>
        <v>0.35496627440237666</v>
      </c>
      <c r="BM104" s="6">
        <f t="shared" ca="1" si="108"/>
        <v>2.7787146613882578</v>
      </c>
      <c r="BN104" s="6">
        <f t="shared" ca="1" si="109"/>
        <v>4.3194949744908575</v>
      </c>
      <c r="BO104" s="9">
        <f t="shared" ca="1" si="110"/>
        <v>-364.34749579241566</v>
      </c>
      <c r="BP104" s="9">
        <f t="shared" ca="1" si="111"/>
        <v>161.03938084706624</v>
      </c>
      <c r="BQ104">
        <f t="shared" ca="1" si="112"/>
        <v>398.35007201431603</v>
      </c>
      <c r="BR104">
        <f t="shared" ca="1" si="113"/>
        <v>-0.91464147088022019</v>
      </c>
      <c r="BS104">
        <f t="shared" ca="1" si="114"/>
        <v>0.40426597648833551</v>
      </c>
      <c r="BT104">
        <f t="shared" ca="1" si="115"/>
        <v>2.7254164913854457</v>
      </c>
      <c r="BU104" s="39">
        <f t="shared" ca="1" si="116"/>
        <v>-2.1113274835460056</v>
      </c>
    </row>
    <row r="105" spans="1:73" x14ac:dyDescent="0.25">
      <c r="A105">
        <f t="shared" ref="A105:C113" si="123">A16</f>
        <v>2</v>
      </c>
      <c r="B105">
        <f t="shared" si="123"/>
        <v>0</v>
      </c>
      <c r="C105">
        <f t="shared" ca="1" si="123"/>
        <v>0</v>
      </c>
      <c r="D105" s="9">
        <f t="shared" ref="D105:D113" si="124">D16-$I$2</f>
        <v>-17</v>
      </c>
      <c r="E105" s="5">
        <f t="shared" ref="E105:E113" si="125">E16-$I$3</f>
        <v>10</v>
      </c>
      <c r="F105" s="5">
        <f t="shared" ref="F105:F113" ca="1" si="126">($B$12-$B$31)*C105*0.65</f>
        <v>0</v>
      </c>
      <c r="G105">
        <f t="shared" ref="G105:G113" ca="1" si="127">E105*F105</f>
        <v>0</v>
      </c>
      <c r="H105">
        <f t="shared" ref="H105:H113" ca="1" si="128">D105*F105*-1</f>
        <v>0</v>
      </c>
      <c r="J105">
        <f t="shared" ref="J105:J113" ca="1" si="129">-1*C105*$B$12*0.9</f>
        <v>0</v>
      </c>
      <c r="K105">
        <f t="shared" ref="K105:K113" ca="1" si="130">E105*J105</f>
        <v>0</v>
      </c>
      <c r="L105">
        <f t="shared" ref="L105:L113" ca="1" si="131">D105*J105*-1</f>
        <v>0</v>
      </c>
      <c r="AS105">
        <v>3.595378259108323</v>
      </c>
      <c r="AT105">
        <v>-307.81287438560366</v>
      </c>
      <c r="AU105">
        <v>44.482922222034126</v>
      </c>
      <c r="AV105" s="6">
        <f t="shared" si="92"/>
        <v>2.9980733628225513</v>
      </c>
      <c r="AW105" s="6">
        <f t="shared" si="93"/>
        <v>0.59730489628577166</v>
      </c>
      <c r="AX105" s="6">
        <f t="shared" si="94"/>
        <v>1.8386706121088998</v>
      </c>
      <c r="AY105" s="6">
        <f t="shared" si="95"/>
        <v>1.8386706121088998</v>
      </c>
      <c r="BE105" s="39"/>
      <c r="BF105" s="39"/>
      <c r="BG105" s="6">
        <f t="shared" si="102"/>
        <v>3.1415926535897967</v>
      </c>
      <c r="BH105" s="9">
        <f t="shared" ca="1" si="103"/>
        <v>-402.74922020207362</v>
      </c>
      <c r="BI105" s="9">
        <f t="shared" ca="1" si="104"/>
        <v>150.27883917917387</v>
      </c>
      <c r="BJ105">
        <f t="shared" ca="1" si="105"/>
        <v>429.87284617479435</v>
      </c>
      <c r="BK105" s="6">
        <f t="shared" ca="1" si="106"/>
        <v>-0.93690314190794044</v>
      </c>
      <c r="BL105" s="6">
        <f t="shared" ca="1" si="107"/>
        <v>0.34958904828817144</v>
      </c>
      <c r="BM105" s="6">
        <f t="shared" ca="1" si="108"/>
        <v>2.7844602136028858</v>
      </c>
      <c r="BN105" s="6">
        <f t="shared" ca="1" si="109"/>
        <v>4.3252405267054854</v>
      </c>
      <c r="BO105" s="9">
        <f t="shared" ca="1" si="110"/>
        <v>-365.01055471159776</v>
      </c>
      <c r="BP105" s="9">
        <f t="shared" ca="1" si="111"/>
        <v>158.64925390514512</v>
      </c>
      <c r="BQ105">
        <f t="shared" ca="1" si="112"/>
        <v>397.99785277753381</v>
      </c>
      <c r="BR105">
        <f t="shared" ca="1" si="113"/>
        <v>-0.91711689438592336</v>
      </c>
      <c r="BS105">
        <f t="shared" ca="1" si="114"/>
        <v>0.39861836640064546</v>
      </c>
      <c r="BT105">
        <f t="shared" ca="1" si="115"/>
        <v>2.731582798360956</v>
      </c>
      <c r="BU105" s="39">
        <f t="shared" ca="1" si="116"/>
        <v>-2.1051611765704954</v>
      </c>
    </row>
    <row r="106" spans="1:73" x14ac:dyDescent="0.25">
      <c r="A106">
        <f t="shared" si="123"/>
        <v>3</v>
      </c>
      <c r="B106">
        <f t="shared" si="123"/>
        <v>0</v>
      </c>
      <c r="C106">
        <f t="shared" ca="1" si="123"/>
        <v>0</v>
      </c>
      <c r="D106" s="9">
        <f t="shared" si="124"/>
        <v>-7</v>
      </c>
      <c r="E106" s="5">
        <f t="shared" si="125"/>
        <v>10</v>
      </c>
      <c r="F106" s="5">
        <f t="shared" ca="1" si="126"/>
        <v>0</v>
      </c>
      <c r="G106">
        <f t="shared" ca="1" si="127"/>
        <v>0</v>
      </c>
      <c r="H106">
        <f t="shared" ca="1" si="128"/>
        <v>0</v>
      </c>
      <c r="J106">
        <f t="shared" ca="1" si="129"/>
        <v>0</v>
      </c>
      <c r="K106">
        <f t="shared" ca="1" si="130"/>
        <v>0</v>
      </c>
      <c r="L106">
        <f t="shared" ca="1" si="131"/>
        <v>0</v>
      </c>
      <c r="AS106">
        <v>3.6302848441482096</v>
      </c>
      <c r="AT106">
        <v>-278.56466079766562</v>
      </c>
      <c r="AU106">
        <v>-7.5327967287649642</v>
      </c>
      <c r="AV106" s="6">
        <f t="shared" si="92"/>
        <v>3.1686275309359786</v>
      </c>
      <c r="AW106" s="6">
        <f t="shared" si="93"/>
        <v>0.46165731321223102</v>
      </c>
      <c r="AX106" s="6">
        <f t="shared" si="94"/>
        <v>1.6681164439954725</v>
      </c>
      <c r="AY106" s="6">
        <f t="shared" si="95"/>
        <v>1.6681164439954725</v>
      </c>
      <c r="BE106" s="39"/>
      <c r="BF106" s="39"/>
      <c r="BG106" s="6">
        <f t="shared" si="102"/>
        <v>3.1764992386296833</v>
      </c>
      <c r="BH106" s="9">
        <f t="shared" ca="1" si="103"/>
        <v>-402.5723365427238</v>
      </c>
      <c r="BI106" s="9">
        <f t="shared" ca="1" si="104"/>
        <v>148.55047376844701</v>
      </c>
      <c r="BJ106">
        <f t="shared" ca="1" si="105"/>
        <v>429.10573219930092</v>
      </c>
      <c r="BK106" s="6">
        <f t="shared" ca="1" si="106"/>
        <v>-0.93816583264785303</v>
      </c>
      <c r="BL106" s="6">
        <f t="shared" ca="1" si="107"/>
        <v>0.34618617888668002</v>
      </c>
      <c r="BM106" s="6">
        <f t="shared" ca="1" si="108"/>
        <v>2.7880898034600108</v>
      </c>
      <c r="BN106" s="6">
        <f t="shared" ca="1" si="109"/>
        <v>4.3288701165626104</v>
      </c>
      <c r="BO106" s="9">
        <f t="shared" ca="1" si="110"/>
        <v>-364.83367105224795</v>
      </c>
      <c r="BP106" s="9">
        <f t="shared" ca="1" si="111"/>
        <v>156.92088849441825</v>
      </c>
      <c r="BQ106">
        <f t="shared" ca="1" si="112"/>
        <v>397.14955971187669</v>
      </c>
      <c r="BR106">
        <f t="shared" ca="1" si="113"/>
        <v>-0.91863043060384297</v>
      </c>
      <c r="BS106">
        <f t="shared" ca="1" si="114"/>
        <v>0.39511787098105033</v>
      </c>
      <c r="BT106">
        <f t="shared" ca="1" si="115"/>
        <v>2.7353964944282314</v>
      </c>
      <c r="BU106" s="39">
        <f t="shared" ca="1" si="116"/>
        <v>-2.10134748050322</v>
      </c>
    </row>
    <row r="107" spans="1:73" x14ac:dyDescent="0.25">
      <c r="A107">
        <f t="shared" si="123"/>
        <v>4</v>
      </c>
      <c r="B107">
        <f t="shared" si="123"/>
        <v>0</v>
      </c>
      <c r="C107">
        <f t="shared" ca="1" si="123"/>
        <v>0</v>
      </c>
      <c r="D107" s="9">
        <f t="shared" si="124"/>
        <v>3</v>
      </c>
      <c r="E107" s="5">
        <f t="shared" si="125"/>
        <v>10</v>
      </c>
      <c r="F107" s="5">
        <f t="shared" ca="1" si="126"/>
        <v>0</v>
      </c>
      <c r="G107">
        <f t="shared" ca="1" si="127"/>
        <v>0</v>
      </c>
      <c r="H107">
        <f t="shared" ca="1" si="128"/>
        <v>0</v>
      </c>
      <c r="J107">
        <f t="shared" ca="1" si="129"/>
        <v>0</v>
      </c>
      <c r="K107">
        <f t="shared" ca="1" si="130"/>
        <v>0</v>
      </c>
      <c r="L107">
        <f t="shared" ca="1" si="131"/>
        <v>0</v>
      </c>
      <c r="AS107">
        <v>3.6651914291880963</v>
      </c>
      <c r="AT107">
        <v>-245.01405964389608</v>
      </c>
      <c r="AU107">
        <v>-63.815977307558093</v>
      </c>
      <c r="AV107" s="6">
        <f t="shared" si="92"/>
        <v>3.39639006659774</v>
      </c>
      <c r="AW107" s="6">
        <f t="shared" si="93"/>
        <v>0.26880136259035625</v>
      </c>
      <c r="AX107" s="6">
        <f t="shared" si="94"/>
        <v>1.4403539083337114</v>
      </c>
      <c r="AY107" s="6">
        <f t="shared" si="95"/>
        <v>1.4403539083337114</v>
      </c>
      <c r="BE107" s="39"/>
      <c r="BF107" s="39"/>
      <c r="BG107" s="6">
        <f t="shared" si="102"/>
        <v>3.2114058236695699</v>
      </c>
      <c r="BH107" s="9">
        <f t="shared" ca="1" si="103"/>
        <v>-402.34953427148804</v>
      </c>
      <c r="BI107" s="9">
        <f t="shared" ca="1" si="104"/>
        <v>146.8318136534422</v>
      </c>
      <c r="BJ107">
        <f t="shared" ca="1" si="105"/>
        <v>428.30448191589414</v>
      </c>
      <c r="BK107" s="6">
        <f t="shared" ca="1" si="106"/>
        <v>-0.93940070968133638</v>
      </c>
      <c r="BL107" s="6">
        <f t="shared" ca="1" si="107"/>
        <v>0.34282110006561983</v>
      </c>
      <c r="BM107" s="6">
        <f t="shared" ca="1" si="108"/>
        <v>2.7916743104717452</v>
      </c>
      <c r="BN107" s="6">
        <f t="shared" ca="1" si="109"/>
        <v>4.3324546235743444</v>
      </c>
      <c r="BO107" s="9">
        <f t="shared" ca="1" si="110"/>
        <v>-364.61086878101219</v>
      </c>
      <c r="BP107" s="9">
        <f t="shared" ca="1" si="111"/>
        <v>155.20222837941344</v>
      </c>
      <c r="BQ107">
        <f t="shared" ca="1" si="112"/>
        <v>396.26861764108963</v>
      </c>
      <c r="BR107">
        <f t="shared" ca="1" si="113"/>
        <v>-0.92011038106290144</v>
      </c>
      <c r="BS107">
        <f t="shared" ca="1" si="114"/>
        <v>0.39165914601893598</v>
      </c>
      <c r="BT107">
        <f t="shared" ca="1" si="115"/>
        <v>2.7391585481781413</v>
      </c>
      <c r="BU107" s="39">
        <f t="shared" ca="1" si="116"/>
        <v>-2.0975854267533101</v>
      </c>
    </row>
    <row r="108" spans="1:73" x14ac:dyDescent="0.25">
      <c r="A108">
        <f t="shared" si="123"/>
        <v>5</v>
      </c>
      <c r="B108">
        <f t="shared" si="123"/>
        <v>8</v>
      </c>
      <c r="C108">
        <f t="shared" ca="1" si="123"/>
        <v>0.79</v>
      </c>
      <c r="D108" s="9">
        <f t="shared" si="124"/>
        <v>-3</v>
      </c>
      <c r="E108" s="5">
        <f t="shared" si="125"/>
        <v>10</v>
      </c>
      <c r="F108" s="5">
        <f t="shared" ca="1" si="126"/>
        <v>28.627625000000002</v>
      </c>
      <c r="G108">
        <f t="shared" ca="1" si="127"/>
        <v>286.27625</v>
      </c>
      <c r="H108">
        <f t="shared" ca="1" si="128"/>
        <v>85.882875000000013</v>
      </c>
      <c r="J108">
        <f t="shared" ca="1" si="129"/>
        <v>-42.660000000000004</v>
      </c>
      <c r="K108">
        <f t="shared" ca="1" si="130"/>
        <v>-426.6</v>
      </c>
      <c r="L108">
        <f t="shared" ca="1" si="131"/>
        <v>-127.98000000000002</v>
      </c>
      <c r="AS108">
        <v>3.7000980142279829</v>
      </c>
      <c r="AT108">
        <v>-209.18021679181311</v>
      </c>
      <c r="AU108">
        <v>-120.20754664899631</v>
      </c>
      <c r="AV108" s="6">
        <f t="shared" si="92"/>
        <v>3.6631715323329872</v>
      </c>
      <c r="AW108" s="6">
        <f t="shared" si="93"/>
        <v>3.69264818949957E-2</v>
      </c>
      <c r="AX108" s="6">
        <f t="shared" si="94"/>
        <v>1.1735724425984642</v>
      </c>
      <c r="AY108" s="6">
        <f t="shared" si="95"/>
        <v>1.1735724425984642</v>
      </c>
      <c r="BE108" s="39"/>
      <c r="BF108" s="39"/>
      <c r="BG108" s="6">
        <f t="shared" si="102"/>
        <v>3.2463124087094566</v>
      </c>
      <c r="BH108" s="9">
        <f t="shared" ca="1" si="103"/>
        <v>-402.07857042493276</v>
      </c>
      <c r="BI108" s="9">
        <f t="shared" ca="1" si="104"/>
        <v>145.11656922086138</v>
      </c>
      <c r="BJ108">
        <f t="shared" ca="1" si="105"/>
        <v>427.46461310544834</v>
      </c>
      <c r="BK108" s="6">
        <f t="shared" ca="1" si="106"/>
        <v>-0.94061252814334539</v>
      </c>
      <c r="BL108" s="6">
        <f t="shared" ca="1" si="107"/>
        <v>0.33948206417980981</v>
      </c>
      <c r="BM108" s="6">
        <f t="shared" ca="1" si="108"/>
        <v>2.7952264475607009</v>
      </c>
      <c r="BN108" s="6">
        <f t="shared" ca="1" si="109"/>
        <v>4.3360067606633006</v>
      </c>
      <c r="BO108" s="9">
        <f t="shared" ca="1" si="110"/>
        <v>-364.33990493445691</v>
      </c>
      <c r="BP108" s="9">
        <f t="shared" ca="1" si="111"/>
        <v>153.48698394683262</v>
      </c>
      <c r="BQ108">
        <f t="shared" ca="1" si="112"/>
        <v>395.35025049788999</v>
      </c>
      <c r="BR108">
        <f t="shared" ca="1" si="113"/>
        <v>-0.9215623475022976</v>
      </c>
      <c r="BS108">
        <f t="shared" ca="1" si="114"/>
        <v>0.3882303950826807</v>
      </c>
      <c r="BT108">
        <f t="shared" ca="1" si="115"/>
        <v>2.7428820620485093</v>
      </c>
      <c r="BU108" s="39">
        <f t="shared" ca="1" si="116"/>
        <v>-2.0938619128829421</v>
      </c>
    </row>
    <row r="109" spans="1:73" x14ac:dyDescent="0.25">
      <c r="A109">
        <f t="shared" si="123"/>
        <v>6</v>
      </c>
      <c r="B109">
        <f t="shared" si="123"/>
        <v>8</v>
      </c>
      <c r="C109">
        <f t="shared" ca="1" si="123"/>
        <v>0.79</v>
      </c>
      <c r="D109" s="9">
        <f t="shared" si="124"/>
        <v>7</v>
      </c>
      <c r="E109" s="5">
        <f t="shared" si="125"/>
        <v>10</v>
      </c>
      <c r="F109" s="5">
        <f t="shared" ca="1" si="126"/>
        <v>28.627625000000002</v>
      </c>
      <c r="G109">
        <f t="shared" ca="1" si="127"/>
        <v>286.27625</v>
      </c>
      <c r="H109">
        <f t="shared" ca="1" si="128"/>
        <v>-200.39337500000002</v>
      </c>
      <c r="J109">
        <f t="shared" ca="1" si="129"/>
        <v>-42.660000000000004</v>
      </c>
      <c r="K109">
        <f t="shared" ca="1" si="130"/>
        <v>-426.6</v>
      </c>
      <c r="L109">
        <f t="shared" ca="1" si="131"/>
        <v>298.62</v>
      </c>
      <c r="AS109">
        <v>3.7350045992678695</v>
      </c>
      <c r="AT109">
        <v>-172.48657122722233</v>
      </c>
      <c r="AU109">
        <v>-174.05140901820721</v>
      </c>
      <c r="AV109" s="6">
        <f t="shared" si="92"/>
        <v>3.9315064177125709</v>
      </c>
      <c r="AW109" s="6">
        <f t="shared" si="93"/>
        <v>0.19650181844470138</v>
      </c>
      <c r="AX109" s="6">
        <f t="shared" si="94"/>
        <v>0.90523755721888044</v>
      </c>
      <c r="AY109" s="6">
        <f t="shared" si="95"/>
        <v>0.90523755721888044</v>
      </c>
      <c r="BE109" s="39"/>
      <c r="BF109" s="39"/>
      <c r="BG109" s="6">
        <f t="shared" si="102"/>
        <v>3.2812189937493432</v>
      </c>
      <c r="BH109" s="9">
        <f t="shared" ca="1" si="103"/>
        <v>-401.75686929927286</v>
      </c>
      <c r="BI109" s="9">
        <f t="shared" ca="1" si="104"/>
        <v>143.39887474357462</v>
      </c>
      <c r="BJ109">
        <f t="shared" ca="1" si="105"/>
        <v>426.58155059364253</v>
      </c>
      <c r="BK109" s="6">
        <f t="shared" ca="1" si="106"/>
        <v>-0.94180554395795368</v>
      </c>
      <c r="BL109" s="6">
        <f t="shared" ca="1" si="107"/>
        <v>0.33615817314184554</v>
      </c>
      <c r="BM109" s="6">
        <f t="shared" ca="1" si="108"/>
        <v>2.7987579559250961</v>
      </c>
      <c r="BN109" s="6">
        <f t="shared" ca="1" si="109"/>
        <v>4.3395382690276953</v>
      </c>
      <c r="BO109" s="9">
        <f t="shared" ca="1" si="110"/>
        <v>-364.01820380879701</v>
      </c>
      <c r="BP109" s="9">
        <f t="shared" ca="1" si="111"/>
        <v>151.76928946954587</v>
      </c>
      <c r="BQ109">
        <f t="shared" ca="1" si="112"/>
        <v>394.38961691488998</v>
      </c>
      <c r="BR109">
        <f t="shared" ca="1" si="113"/>
        <v>-0.92299134712603959</v>
      </c>
      <c r="BS109">
        <f t="shared" ca="1" si="114"/>
        <v>0.38482070257518458</v>
      </c>
      <c r="BT109">
        <f t="shared" ca="1" si="115"/>
        <v>2.74657909579035</v>
      </c>
      <c r="BU109" s="39">
        <f t="shared" ca="1" si="116"/>
        <v>-2.0901648791411014</v>
      </c>
    </row>
    <row r="110" spans="1:73" x14ac:dyDescent="0.25">
      <c r="A110">
        <f t="shared" si="123"/>
        <v>7</v>
      </c>
      <c r="B110">
        <f t="shared" si="123"/>
        <v>8</v>
      </c>
      <c r="C110">
        <f t="shared" ca="1" si="123"/>
        <v>0.79</v>
      </c>
      <c r="D110" s="9">
        <f t="shared" si="124"/>
        <v>17</v>
      </c>
      <c r="E110" s="5">
        <f t="shared" si="125"/>
        <v>10</v>
      </c>
      <c r="F110" s="5">
        <f t="shared" ca="1" si="126"/>
        <v>28.627625000000002</v>
      </c>
      <c r="G110">
        <f t="shared" ca="1" si="127"/>
        <v>286.27625</v>
      </c>
      <c r="H110">
        <f t="shared" ca="1" si="128"/>
        <v>-486.66962500000005</v>
      </c>
      <c r="J110">
        <f t="shared" ca="1" si="129"/>
        <v>-42.660000000000004</v>
      </c>
      <c r="K110">
        <f t="shared" ca="1" si="130"/>
        <v>-426.6</v>
      </c>
      <c r="L110">
        <f t="shared" ca="1" si="131"/>
        <v>725.22</v>
      </c>
      <c r="AS110">
        <v>3.7699111843077562</v>
      </c>
      <c r="AT110">
        <v>-129.20876245895846</v>
      </c>
      <c r="AU110">
        <v>-233.14611042953698</v>
      </c>
      <c r="AV110" s="6">
        <f t="shared" si="92"/>
        <v>4.2063295853771345</v>
      </c>
      <c r="AW110" s="6">
        <f t="shared" si="93"/>
        <v>0.43641840106937835</v>
      </c>
      <c r="AX110" s="6">
        <f t="shared" si="94"/>
        <v>0.63041438955431683</v>
      </c>
      <c r="AY110" s="6">
        <f t="shared" si="95"/>
        <v>0.63041438955431683</v>
      </c>
      <c r="BE110" s="39"/>
      <c r="BF110" s="39"/>
      <c r="BG110" s="6">
        <f t="shared" si="102"/>
        <v>3.3161255787892299</v>
      </c>
      <c r="BH110" s="9">
        <f t="shared" ca="1" si="103"/>
        <v>-401.38144274218024</v>
      </c>
      <c r="BI110" s="9">
        <f t="shared" ca="1" si="104"/>
        <v>141.67311917192288</v>
      </c>
      <c r="BJ110">
        <f t="shared" ca="1" si="105"/>
        <v>425.6504848742639</v>
      </c>
      <c r="BK110" s="6">
        <f t="shared" ca="1" si="106"/>
        <v>-0.94298363799761054</v>
      </c>
      <c r="BL110" s="6">
        <f t="shared" ca="1" si="107"/>
        <v>0.33283908795210881</v>
      </c>
      <c r="BM110" s="6">
        <f t="shared" ca="1" si="108"/>
        <v>2.8022799219790362</v>
      </c>
      <c r="BN110" s="6">
        <f t="shared" ca="1" si="109"/>
        <v>4.3430602350816354</v>
      </c>
      <c r="BO110" s="9">
        <f t="shared" ca="1" si="110"/>
        <v>-363.64277725170439</v>
      </c>
      <c r="BP110" s="9">
        <f t="shared" ca="1" si="111"/>
        <v>150.04353389789412</v>
      </c>
      <c r="BQ110">
        <f t="shared" ca="1" si="112"/>
        <v>393.38166138230338</v>
      </c>
      <c r="BR110">
        <f t="shared" ca="1" si="113"/>
        <v>-0.92440195603908037</v>
      </c>
      <c r="BS110">
        <f t="shared" ca="1" si="114"/>
        <v>0.38141974735338785</v>
      </c>
      <c r="BT110">
        <f t="shared" ca="1" si="115"/>
        <v>2.7502609878638244</v>
      </c>
      <c r="BU110" s="39">
        <f t="shared" ca="1" si="116"/>
        <v>-2.0864829870676269</v>
      </c>
    </row>
    <row r="111" spans="1:73" x14ac:dyDescent="0.25">
      <c r="A111">
        <f t="shared" si="123"/>
        <v>8</v>
      </c>
      <c r="B111">
        <f t="shared" si="123"/>
        <v>8</v>
      </c>
      <c r="C111">
        <f t="shared" ca="1" si="123"/>
        <v>0.79</v>
      </c>
      <c r="D111" s="9">
        <f t="shared" si="124"/>
        <v>27</v>
      </c>
      <c r="E111" s="5">
        <f t="shared" si="125"/>
        <v>10</v>
      </c>
      <c r="F111" s="5">
        <f t="shared" ca="1" si="126"/>
        <v>28.627625000000002</v>
      </c>
      <c r="G111">
        <f t="shared" ca="1" si="127"/>
        <v>286.27625</v>
      </c>
      <c r="H111">
        <f t="shared" ca="1" si="128"/>
        <v>-772.945875</v>
      </c>
      <c r="J111">
        <f t="shared" ca="1" si="129"/>
        <v>-42.660000000000004</v>
      </c>
      <c r="K111">
        <f t="shared" ca="1" si="130"/>
        <v>-426.6</v>
      </c>
      <c r="L111">
        <f t="shared" ca="1" si="131"/>
        <v>1151.8200000000002</v>
      </c>
      <c r="AS111">
        <v>3.8048177693476428</v>
      </c>
      <c r="AT111">
        <v>-88.309523996044533</v>
      </c>
      <c r="AU111">
        <v>-286.51742574838096</v>
      </c>
      <c r="AV111" s="6">
        <f t="shared" si="92"/>
        <v>4.4134108615120953</v>
      </c>
      <c r="AW111" s="6">
        <f t="shared" si="93"/>
        <v>0.60859309216445245</v>
      </c>
      <c r="AX111" s="6">
        <f t="shared" si="94"/>
        <v>0.42333311341935609</v>
      </c>
      <c r="AY111" s="6">
        <f t="shared" si="95"/>
        <v>0.42333311341935609</v>
      </c>
      <c r="BE111" s="39"/>
      <c r="BF111" s="39"/>
      <c r="BG111" s="6">
        <f t="shared" si="102"/>
        <v>3.3510321638291165</v>
      </c>
      <c r="BH111" s="9">
        <f t="shared" ca="1" si="103"/>
        <v>-400.94880948923026</v>
      </c>
      <c r="BI111" s="9">
        <f t="shared" ca="1" si="104"/>
        <v>139.93381205593704</v>
      </c>
      <c r="BJ111">
        <f t="shared" ca="1" si="105"/>
        <v>424.66624493516946</v>
      </c>
      <c r="BK111" s="6">
        <f t="shared" ca="1" si="106"/>
        <v>-0.94415041051930093</v>
      </c>
      <c r="BL111" s="6">
        <f t="shared" ca="1" si="107"/>
        <v>0.32951479832662389</v>
      </c>
      <c r="BM111" s="6">
        <f t="shared" ca="1" si="108"/>
        <v>2.8058030274940871</v>
      </c>
      <c r="BN111" s="6">
        <f t="shared" ca="1" si="109"/>
        <v>4.3465833405966867</v>
      </c>
      <c r="BO111" s="9">
        <f t="shared" ca="1" si="110"/>
        <v>-363.2101439987544</v>
      </c>
      <c r="BP111" s="9">
        <f t="shared" ca="1" si="111"/>
        <v>148.30422678190828</v>
      </c>
      <c r="BQ111">
        <f t="shared" ca="1" si="112"/>
        <v>392.32098132138634</v>
      </c>
      <c r="BR111">
        <f t="shared" ca="1" si="113"/>
        <v>-0.92579841836502608</v>
      </c>
      <c r="BS111">
        <f t="shared" ca="1" si="114"/>
        <v>0.37801757704214806</v>
      </c>
      <c r="BT111">
        <f t="shared" ca="1" si="115"/>
        <v>2.7539386073517544</v>
      </c>
      <c r="BU111" s="39">
        <f t="shared" ca="1" si="116"/>
        <v>-2.0828053675796969</v>
      </c>
    </row>
    <row r="112" spans="1:73" x14ac:dyDescent="0.25">
      <c r="A112">
        <f t="shared" si="123"/>
        <v>9</v>
      </c>
      <c r="B112">
        <f t="shared" si="123"/>
        <v>8</v>
      </c>
      <c r="C112">
        <f t="shared" ca="1" si="123"/>
        <v>0.79</v>
      </c>
      <c r="D112" s="9">
        <f t="shared" si="124"/>
        <v>0</v>
      </c>
      <c r="E112" s="5">
        <f t="shared" si="125"/>
        <v>-10</v>
      </c>
      <c r="F112" s="5">
        <f t="shared" ca="1" si="126"/>
        <v>28.627625000000002</v>
      </c>
      <c r="G112">
        <f t="shared" ca="1" si="127"/>
        <v>-286.27625</v>
      </c>
      <c r="H112">
        <f t="shared" ca="1" si="128"/>
        <v>0</v>
      </c>
      <c r="J112">
        <f t="shared" ca="1" si="129"/>
        <v>-42.660000000000004</v>
      </c>
      <c r="K112">
        <f t="shared" ca="1" si="130"/>
        <v>426.6</v>
      </c>
      <c r="L112">
        <f t="shared" ca="1" si="131"/>
        <v>0</v>
      </c>
      <c r="AS112">
        <v>3.8397243543875295</v>
      </c>
      <c r="AT112">
        <v>-45.808104723270617</v>
      </c>
      <c r="AU112">
        <v>-335.05779298235404</v>
      </c>
      <c r="AV112" s="6">
        <f t="shared" si="92"/>
        <v>4.5765143453167898</v>
      </c>
      <c r="AW112" s="6">
        <f t="shared" si="93"/>
        <v>0.73678999092926034</v>
      </c>
      <c r="AX112" s="6">
        <f t="shared" si="94"/>
        <v>0.26022962961466156</v>
      </c>
      <c r="AY112" s="6">
        <f t="shared" si="95"/>
        <v>0.26022962961466156</v>
      </c>
      <c r="BE112" s="39"/>
      <c r="BF112" s="39"/>
      <c r="BG112" s="6">
        <f t="shared" si="102"/>
        <v>3.3859387488690031</v>
      </c>
      <c r="BH112" s="9">
        <f t="shared" ca="1" si="103"/>
        <v>-400.45490848510116</v>
      </c>
      <c r="BI112" s="9">
        <f t="shared" ca="1" si="104"/>
        <v>138.17547130870386</v>
      </c>
      <c r="BJ112">
        <f t="shared" ca="1" si="105"/>
        <v>423.62317524091287</v>
      </c>
      <c r="BK112" s="6">
        <f t="shared" ca="1" si="106"/>
        <v>-0.94530925570199031</v>
      </c>
      <c r="BL112" s="6">
        <f t="shared" ca="1" si="107"/>
        <v>0.32617542992099996</v>
      </c>
      <c r="BM112" s="6">
        <f t="shared" ca="1" si="108"/>
        <v>2.8093377575424658</v>
      </c>
      <c r="BN112" s="6">
        <f t="shared" ca="1" si="109"/>
        <v>4.3501180706450651</v>
      </c>
      <c r="BO112" s="9">
        <f t="shared" ca="1" si="110"/>
        <v>-362.7162429946253</v>
      </c>
      <c r="BP112" s="9">
        <f t="shared" ca="1" si="111"/>
        <v>146.54588603467511</v>
      </c>
      <c r="BQ112">
        <f t="shared" ca="1" si="112"/>
        <v>391.2016994413803</v>
      </c>
      <c r="BR112">
        <f t="shared" ca="1" si="113"/>
        <v>-0.9271847323581901</v>
      </c>
      <c r="BS112">
        <f t="shared" ca="1" si="114"/>
        <v>0.37460442079862261</v>
      </c>
      <c r="BT112">
        <f t="shared" ca="1" si="115"/>
        <v>2.7576225613931609</v>
      </c>
      <c r="BU112" s="39">
        <f t="shared" ca="1" si="116"/>
        <v>-2.0791214135382905</v>
      </c>
    </row>
    <row r="113" spans="1:73" x14ac:dyDescent="0.25">
      <c r="A113">
        <f t="shared" si="123"/>
        <v>10</v>
      </c>
      <c r="B113">
        <f t="shared" si="123"/>
        <v>8</v>
      </c>
      <c r="C113">
        <f t="shared" ca="1" si="123"/>
        <v>0.79</v>
      </c>
      <c r="D113" s="9">
        <f t="shared" si="124"/>
        <v>4</v>
      </c>
      <c r="E113" s="5">
        <f t="shared" si="125"/>
        <v>-10</v>
      </c>
      <c r="F113" s="5">
        <f t="shared" ca="1" si="126"/>
        <v>28.627625000000002</v>
      </c>
      <c r="G113">
        <f t="shared" ca="1" si="127"/>
        <v>-286.27625</v>
      </c>
      <c r="H113">
        <f t="shared" ca="1" si="128"/>
        <v>-114.51050000000001</v>
      </c>
      <c r="J113">
        <f t="shared" ca="1" si="129"/>
        <v>-42.660000000000004</v>
      </c>
      <c r="K113">
        <f t="shared" ca="1" si="130"/>
        <v>426.6</v>
      </c>
      <c r="L113">
        <f t="shared" ca="1" si="131"/>
        <v>170.64000000000001</v>
      </c>
      <c r="AS113">
        <v>3.8746309394274161</v>
      </c>
      <c r="AT113">
        <v>-13.495729609872377</v>
      </c>
      <c r="AU113">
        <v>-370.15446197889128</v>
      </c>
      <c r="AV113" s="6">
        <f t="shared" si="92"/>
        <v>4.6759453987152391</v>
      </c>
      <c r="AW113" s="6">
        <f t="shared" si="93"/>
        <v>0.80131445928782297</v>
      </c>
      <c r="AX113" s="6">
        <f t="shared" si="94"/>
        <v>0.1607985762162123</v>
      </c>
      <c r="AY113" s="6">
        <f t="shared" si="95"/>
        <v>0.1607985762162123</v>
      </c>
      <c r="BE113" s="39"/>
      <c r="BF113" s="39"/>
      <c r="BG113" s="6">
        <f t="shared" si="102"/>
        <v>3.4208453339088898</v>
      </c>
      <c r="BH113" s="9">
        <f t="shared" ca="1" si="103"/>
        <v>-399.89500158997436</v>
      </c>
      <c r="BI113" s="9">
        <f t="shared" ca="1" si="104"/>
        <v>136.39252379329534</v>
      </c>
      <c r="BJ113">
        <f t="shared" ca="1" si="105"/>
        <v>422.51500901547888</v>
      </c>
      <c r="BK113" s="6">
        <f t="shared" ca="1" si="106"/>
        <v>-0.94646342273565043</v>
      </c>
      <c r="BL113" s="6">
        <f t="shared" ca="1" si="107"/>
        <v>0.32281107388613167</v>
      </c>
      <c r="BM113" s="6">
        <f t="shared" ca="1" si="108"/>
        <v>2.8128945828696739</v>
      </c>
      <c r="BN113" s="6">
        <f t="shared" ca="1" si="109"/>
        <v>4.3536748959722731</v>
      </c>
      <c r="BO113" s="9">
        <f t="shared" ca="1" si="110"/>
        <v>-362.1563360994985</v>
      </c>
      <c r="BP113" s="9">
        <f t="shared" ca="1" si="111"/>
        <v>144.76293851926658</v>
      </c>
      <c r="BQ113">
        <f t="shared" ca="1" si="112"/>
        <v>390.01733313501063</v>
      </c>
      <c r="BR113">
        <f t="shared" ca="1" si="113"/>
        <v>-0.92856472092775522</v>
      </c>
      <c r="BS113">
        <f t="shared" ca="1" si="114"/>
        <v>0.37117052556521796</v>
      </c>
      <c r="BT113">
        <f t="shared" ca="1" si="115"/>
        <v>2.761323374892632</v>
      </c>
      <c r="BU113" s="39">
        <f t="shared" ca="1" si="116"/>
        <v>-2.0754206000388193</v>
      </c>
    </row>
    <row r="114" spans="1:73" x14ac:dyDescent="0.25">
      <c r="F114" s="5">
        <f ca="1">SUM(F104:F113)</f>
        <v>171.76575</v>
      </c>
      <c r="G114" s="5">
        <f t="shared" ref="G114:H114" ca="1" si="132">SUM(G104:G113)</f>
        <v>572.55250000000001</v>
      </c>
      <c r="H114" s="5">
        <f t="shared" ca="1" si="132"/>
        <v>-1488.6365000000003</v>
      </c>
      <c r="J114">
        <f ca="1">SUM(J104:J113)</f>
        <v>-255.96</v>
      </c>
      <c r="K114">
        <f t="shared" ref="K114:L114" ca="1" si="133">SUM(K104:K113)</f>
        <v>-853.20000000000016</v>
      </c>
      <c r="L114">
        <f t="shared" ca="1" si="133"/>
        <v>2218.3200000000002</v>
      </c>
      <c r="AS114">
        <v>3.9095375244673027</v>
      </c>
      <c r="AT114">
        <v>18.820386821331205</v>
      </c>
      <c r="AU114">
        <v>-404.22438276122455</v>
      </c>
      <c r="AV114" s="6">
        <f t="shared" si="92"/>
        <v>4.7589146376584281</v>
      </c>
      <c r="AW114" s="6">
        <f t="shared" si="93"/>
        <v>0.84937711319112541</v>
      </c>
      <c r="AX114" s="6">
        <f t="shared" si="94"/>
        <v>7.78293372730232E-2</v>
      </c>
      <c r="AY114" s="6">
        <f t="shared" si="95"/>
        <v>7.78293372730232E-2</v>
      </c>
      <c r="BE114" s="39"/>
      <c r="BF114" s="39"/>
      <c r="BG114" s="6">
        <f t="shared" si="102"/>
        <v>3.4557519189487764</v>
      </c>
      <c r="BH114" s="9">
        <f t="shared" ca="1" si="103"/>
        <v>-399.26356104521318</v>
      </c>
      <c r="BI114" s="9">
        <f t="shared" ca="1" si="104"/>
        <v>134.57921224059626</v>
      </c>
      <c r="BJ114">
        <f t="shared" ca="1" si="105"/>
        <v>421.33473099876795</v>
      </c>
      <c r="BK114" s="6">
        <f t="shared" ca="1" si="106"/>
        <v>-0.94761606786785557</v>
      </c>
      <c r="BL114" s="6">
        <f t="shared" ca="1" si="107"/>
        <v>0.31941162771361897</v>
      </c>
      <c r="BM114" s="6">
        <f t="shared" ca="1" si="108"/>
        <v>2.8164841286509006</v>
      </c>
      <c r="BN114" s="6">
        <f t="shared" ca="1" si="109"/>
        <v>4.3572644417535003</v>
      </c>
      <c r="BO114" s="9">
        <f t="shared" ca="1" si="110"/>
        <v>-361.52489555473733</v>
      </c>
      <c r="BP114" s="9">
        <f t="shared" ca="1" si="111"/>
        <v>142.94962696656751</v>
      </c>
      <c r="BQ114">
        <f t="shared" ca="1" si="112"/>
        <v>388.76065381638676</v>
      </c>
      <c r="BR114">
        <f t="shared" ca="1" si="113"/>
        <v>-0.92994209163329322</v>
      </c>
      <c r="BS114">
        <f t="shared" ca="1" si="114"/>
        <v>0.36770600513004381</v>
      </c>
      <c r="BT114">
        <f t="shared" ca="1" si="115"/>
        <v>2.7650516543895578</v>
      </c>
      <c r="BU114" s="39">
        <f t="shared" ca="1" si="116"/>
        <v>-2.0716923205418936</v>
      </c>
    </row>
    <row r="115" spans="1:73" x14ac:dyDescent="0.25">
      <c r="A115" s="8" t="s">
        <v>99</v>
      </c>
      <c r="B115" s="5">
        <f ca="1">B100+F114</f>
        <v>1674.56575</v>
      </c>
      <c r="J115">
        <f ca="1">J114</f>
        <v>-255.96</v>
      </c>
      <c r="AS115">
        <v>3.9444441095071894</v>
      </c>
      <c r="AT115">
        <v>46.272972475844696</v>
      </c>
      <c r="AU115">
        <v>-432.34954198216178</v>
      </c>
      <c r="AV115" s="6">
        <f t="shared" si="92"/>
        <v>4.8190098762410081</v>
      </c>
      <c r="AW115" s="6">
        <f t="shared" si="93"/>
        <v>0.87456576673381869</v>
      </c>
      <c r="AX115" s="6">
        <f t="shared" si="94"/>
        <v>1.773409869044329E-2</v>
      </c>
      <c r="AY115" s="6">
        <f t="shared" si="95"/>
        <v>1.773409869044329E-2</v>
      </c>
      <c r="BE115" s="39"/>
      <c r="BF115" s="39"/>
      <c r="BG115" s="6">
        <f t="shared" si="102"/>
        <v>3.4906585039886631</v>
      </c>
      <c r="BH115" s="9">
        <f t="shared" ca="1" si="103"/>
        <v>-398.5541366683222</v>
      </c>
      <c r="BI115" s="9">
        <f t="shared" ca="1" si="104"/>
        <v>132.72950347220763</v>
      </c>
      <c r="BJ115">
        <f t="shared" ca="1" si="105"/>
        <v>420.07442310549027</v>
      </c>
      <c r="BK115" s="6">
        <f t="shared" ca="1" si="106"/>
        <v>-0.94877030056227962</v>
      </c>
      <c r="BL115" s="6">
        <f t="shared" ca="1" si="107"/>
        <v>0.31596663869934355</v>
      </c>
      <c r="BM115" s="6">
        <f t="shared" ca="1" si="108"/>
        <v>2.8201173389313312</v>
      </c>
      <c r="BN115" s="6">
        <f t="shared" ca="1" si="109"/>
        <v>4.3608976520339304</v>
      </c>
      <c r="BO115" s="9">
        <f t="shared" ca="1" si="110"/>
        <v>-360.81547117784635</v>
      </c>
      <c r="BP115" s="9">
        <f t="shared" ca="1" si="111"/>
        <v>141.09991819817887</v>
      </c>
      <c r="BQ115">
        <f t="shared" ca="1" si="112"/>
        <v>387.42352943106596</v>
      </c>
      <c r="BR115">
        <f t="shared" ca="1" si="113"/>
        <v>-0.93132048976918436</v>
      </c>
      <c r="BS115">
        <f t="shared" ca="1" si="114"/>
        <v>0.36420069376112763</v>
      </c>
      <c r="BT115">
        <f t="shared" ca="1" si="115"/>
        <v>2.7688182451540477</v>
      </c>
      <c r="BU115" s="39">
        <f t="shared" ca="1" si="116"/>
        <v>-2.0679257297774036</v>
      </c>
    </row>
    <row r="116" spans="1:73" x14ac:dyDescent="0.25">
      <c r="A116" s="8" t="s">
        <v>100</v>
      </c>
      <c r="B116" s="5">
        <f ca="1">B101+G114</f>
        <v>6230.1524999999992</v>
      </c>
      <c r="C116">
        <f ca="1">B116/12</f>
        <v>519.17937499999994</v>
      </c>
      <c r="J116">
        <f ca="1">K114</f>
        <v>-853.20000000000016</v>
      </c>
      <c r="K116">
        <f ca="1">J116/12</f>
        <v>-71.100000000000009</v>
      </c>
      <c r="AS116">
        <v>3.979350694547076</v>
      </c>
      <c r="AT116">
        <v>68.689712855531695</v>
      </c>
      <c r="AU116">
        <v>-455.09699509795524</v>
      </c>
      <c r="AV116" s="6">
        <f t="shared" si="92"/>
        <v>4.8621924713109417</v>
      </c>
      <c r="AW116" s="6">
        <f t="shared" si="93"/>
        <v>0.88284177676386566</v>
      </c>
      <c r="AX116" s="6">
        <f t="shared" si="94"/>
        <v>-2.5448496379490315E-2</v>
      </c>
      <c r="AY116" s="6">
        <f t="shared" si="95"/>
        <v>2.5448496379490315E-2</v>
      </c>
      <c r="BE116" s="39"/>
      <c r="BF116" s="39"/>
      <c r="BG116" s="6">
        <f t="shared" si="102"/>
        <v>3.5255650890285497</v>
      </c>
      <c r="BH116" s="9">
        <f t="shared" ca="1" si="103"/>
        <v>-388.3033226949297</v>
      </c>
      <c r="BI116" s="9">
        <f t="shared" ca="1" si="104"/>
        <v>115.77279136260519</v>
      </c>
      <c r="BJ116">
        <f t="shared" ca="1" si="105"/>
        <v>405.19477987236212</v>
      </c>
      <c r="BK116" s="6">
        <f t="shared" ca="1" si="106"/>
        <v>-0.95831274730944638</v>
      </c>
      <c r="BL116" s="6">
        <f t="shared" ca="1" si="107"/>
        <v>0.28572132987269494</v>
      </c>
      <c r="BM116" s="6">
        <f t="shared" ca="1" si="108"/>
        <v>2.8518336015777357</v>
      </c>
      <c r="BN116" s="6">
        <f t="shared" ca="1" si="109"/>
        <v>4.3926139146803349</v>
      </c>
      <c r="BO116" s="9">
        <f t="shared" ca="1" si="110"/>
        <v>-350.56465720445385</v>
      </c>
      <c r="BP116" s="9">
        <f t="shared" ca="1" si="111"/>
        <v>124.14320608857642</v>
      </c>
      <c r="BQ116">
        <f t="shared" ca="1" si="112"/>
        <v>371.89664491472223</v>
      </c>
      <c r="BR116">
        <f t="shared" ca="1" si="113"/>
        <v>-0.94264001033093503</v>
      </c>
      <c r="BS116">
        <f t="shared" ca="1" si="114"/>
        <v>0.33381104074505186</v>
      </c>
      <c r="BT116">
        <f t="shared" ca="1" si="115"/>
        <v>2.8012490134966099</v>
      </c>
      <c r="BU116" s="39">
        <f t="shared" ca="1" si="116"/>
        <v>-2.0354949614348414</v>
      </c>
    </row>
    <row r="117" spans="1:73" x14ac:dyDescent="0.25">
      <c r="A117" s="8" t="s">
        <v>101</v>
      </c>
      <c r="B117" s="5">
        <f ca="1">B102+H114</f>
        <v>-9267.8364999999994</v>
      </c>
      <c r="C117">
        <f ca="1">B117/12</f>
        <v>-772.31970833333332</v>
      </c>
      <c r="J117">
        <f ca="1">L114</f>
        <v>2218.3200000000002</v>
      </c>
      <c r="K117">
        <f ca="1">J117/12</f>
        <v>184.86</v>
      </c>
      <c r="AS117">
        <v>4.0142572795869622</v>
      </c>
      <c r="AT117">
        <v>85.463700982369417</v>
      </c>
      <c r="AU117">
        <v>-472.75823275048947</v>
      </c>
      <c r="AV117" s="6">
        <f t="shared" si="92"/>
        <v>4.8912341981667131</v>
      </c>
      <c r="AW117" s="6">
        <f t="shared" si="93"/>
        <v>0.87697691857975091</v>
      </c>
      <c r="AX117" s="6">
        <f t="shared" si="94"/>
        <v>-5.4490223235261759E-2</v>
      </c>
      <c r="AY117" s="6">
        <f t="shared" si="95"/>
        <v>5.4490223235261759E-2</v>
      </c>
      <c r="BE117" s="39"/>
      <c r="BF117" s="39"/>
      <c r="BG117" s="6">
        <f t="shared" si="102"/>
        <v>3.5604716740684363</v>
      </c>
      <c r="BH117" s="9">
        <f t="shared" ca="1" si="103"/>
        <v>-369.67594357434217</v>
      </c>
      <c r="BI117" s="9">
        <f t="shared" ca="1" si="104"/>
        <v>81.018513499667947</v>
      </c>
      <c r="BJ117">
        <f t="shared" ca="1" si="105"/>
        <v>378.44986826167093</v>
      </c>
      <c r="BK117" s="6">
        <f t="shared" ca="1" si="106"/>
        <v>-0.97681615076884576</v>
      </c>
      <c r="BL117" s="6">
        <f t="shared" ca="1" si="107"/>
        <v>0.21407990937296206</v>
      </c>
      <c r="BM117" s="6">
        <f t="shared" ca="1" si="108"/>
        <v>2.9258428492774096</v>
      </c>
      <c r="BN117" s="6">
        <f t="shared" ca="1" si="109"/>
        <v>4.4666231623800092</v>
      </c>
      <c r="BO117" s="9">
        <f t="shared" ca="1" si="110"/>
        <v>-331.93727808386632</v>
      </c>
      <c r="BP117" s="9">
        <f t="shared" ca="1" si="111"/>
        <v>89.388928225639177</v>
      </c>
      <c r="BQ117">
        <f t="shared" ca="1" si="112"/>
        <v>343.76261732633822</v>
      </c>
      <c r="BR117">
        <f t="shared" ca="1" si="113"/>
        <v>-0.96560027575294505</v>
      </c>
      <c r="BS117">
        <f t="shared" ca="1" si="114"/>
        <v>0.26003097405085535</v>
      </c>
      <c r="BT117">
        <f t="shared" ca="1" si="115"/>
        <v>2.8785383733115699</v>
      </c>
      <c r="BU117" s="39">
        <f t="shared" ca="1" si="116"/>
        <v>-1.9582056016198814</v>
      </c>
    </row>
    <row r="118" spans="1:73" x14ac:dyDescent="0.25">
      <c r="AS118">
        <v>4.0491638646268484</v>
      </c>
      <c r="AT118">
        <v>99.271551168853478</v>
      </c>
      <c r="AU118">
        <v>-487.83209837169721</v>
      </c>
      <c r="AV118" s="6">
        <f t="shared" si="92"/>
        <v>4.9131431589687544</v>
      </c>
      <c r="AW118" s="6">
        <f t="shared" si="93"/>
        <v>0.86397929434190601</v>
      </c>
      <c r="AX118" s="6">
        <f t="shared" si="94"/>
        <v>-7.6399184037303058E-2</v>
      </c>
      <c r="AY118" s="6">
        <f t="shared" si="95"/>
        <v>7.6399184037303058E-2</v>
      </c>
      <c r="BE118" s="39"/>
      <c r="BF118" s="39"/>
      <c r="BG118" s="6">
        <f t="shared" si="102"/>
        <v>3.595378259108323</v>
      </c>
      <c r="BH118" s="9">
        <f t="shared" ca="1" si="103"/>
        <v>-345.55153987607952</v>
      </c>
      <c r="BI118" s="9">
        <f t="shared" ca="1" si="104"/>
        <v>36.112507496062889</v>
      </c>
      <c r="BJ118">
        <f t="shared" ca="1" si="105"/>
        <v>347.43341794994762</v>
      </c>
      <c r="BK118" s="6">
        <f t="shared" ca="1" si="106"/>
        <v>-0.99458348570793143</v>
      </c>
      <c r="BL118" s="6">
        <f t="shared" ca="1" si="107"/>
        <v>0.10394080025216622</v>
      </c>
      <c r="BM118" s="6">
        <f t="shared" ca="1" si="108"/>
        <v>3.0374637801840736</v>
      </c>
      <c r="BN118" s="6">
        <f t="shared" ca="1" si="109"/>
        <v>4.5782440932866733</v>
      </c>
      <c r="BO118" s="9">
        <f t="shared" ca="1" si="110"/>
        <v>-307.81287438560366</v>
      </c>
      <c r="BP118" s="9">
        <f t="shared" ca="1" si="111"/>
        <v>44.482922222034126</v>
      </c>
      <c r="BQ118">
        <f t="shared" ca="1" si="112"/>
        <v>311.01044356570884</v>
      </c>
      <c r="BR118">
        <f t="shared" ca="1" si="113"/>
        <v>-0.98971877232338146</v>
      </c>
      <c r="BS118">
        <f t="shared" ca="1" si="114"/>
        <v>0.14302710131544499</v>
      </c>
      <c r="BT118">
        <f t="shared" ca="1" si="115"/>
        <v>2.9980733628225513</v>
      </c>
      <c r="BU118" s="39">
        <f t="shared" ca="1" si="116"/>
        <v>-1.8386706121089</v>
      </c>
    </row>
    <row r="119" spans="1:73" x14ac:dyDescent="0.25">
      <c r="A119" s="8" t="s">
        <v>8</v>
      </c>
      <c r="B119">
        <f ca="1">B117/B115</f>
        <v>-5.5344715488179546</v>
      </c>
      <c r="J119">
        <f ca="1">J117/J115</f>
        <v>-8.6666666666666679</v>
      </c>
      <c r="AS119">
        <v>4.0840704496667346</v>
      </c>
      <c r="AT119">
        <v>112.43633717772553</v>
      </c>
      <c r="AU119">
        <v>-502.07820560594502</v>
      </c>
      <c r="AV119" s="6">
        <f t="shared" si="92"/>
        <v>4.932696060775112</v>
      </c>
      <c r="AW119" s="6">
        <f t="shared" si="93"/>
        <v>0.84862561110837742</v>
      </c>
      <c r="AX119" s="6">
        <f t="shared" si="94"/>
        <v>-9.5952085843660676E-2</v>
      </c>
      <c r="AY119" s="6">
        <f t="shared" si="95"/>
        <v>9.5952085843660676E-2</v>
      </c>
      <c r="BE119" s="39"/>
      <c r="BF119" s="39"/>
      <c r="BG119" s="6">
        <f t="shared" si="102"/>
        <v>3.6302848441482096</v>
      </c>
      <c r="BH119" s="9">
        <f t="shared" ca="1" si="103"/>
        <v>-316.30332628814148</v>
      </c>
      <c r="BI119" s="9">
        <f t="shared" ca="1" si="104"/>
        <v>-15.9032114547362</v>
      </c>
      <c r="BJ119">
        <f t="shared" ca="1" si="105"/>
        <v>316.70286761492474</v>
      </c>
      <c r="BK119" s="6">
        <f t="shared" ca="1" si="106"/>
        <v>-0.99873843476760349</v>
      </c>
      <c r="BL119" s="6">
        <f t="shared" ca="1" si="107"/>
        <v>-5.0214927242378887E-2</v>
      </c>
      <c r="BM119" s="6">
        <f t="shared" ca="1" si="108"/>
        <v>-3.0913565992169429</v>
      </c>
      <c r="BN119" s="6">
        <f t="shared" ca="1" si="109"/>
        <v>-1.5505762861143435</v>
      </c>
      <c r="BO119" s="9">
        <f t="shared" ca="1" si="110"/>
        <v>-278.56466079766562</v>
      </c>
      <c r="BP119" s="9">
        <f t="shared" ca="1" si="111"/>
        <v>-7.5327967287649642</v>
      </c>
      <c r="BQ119">
        <f t="shared" ca="1" si="112"/>
        <v>278.66649111774348</v>
      </c>
      <c r="BR119">
        <f t="shared" ca="1" si="113"/>
        <v>-0.9996345799609081</v>
      </c>
      <c r="BS119">
        <f t="shared" ca="1" si="114"/>
        <v>-2.7031584237310297E-2</v>
      </c>
      <c r="BT119">
        <f t="shared" ca="1" si="115"/>
        <v>-3.1145577762436076</v>
      </c>
      <c r="BU119" s="39">
        <f t="shared" ca="1" si="116"/>
        <v>-7.951301751175059</v>
      </c>
    </row>
    <row r="120" spans="1:73" x14ac:dyDescent="0.25">
      <c r="A120" s="8" t="s">
        <v>9</v>
      </c>
      <c r="B120">
        <f ca="1">B116/B115</f>
        <v>3.7204585726180053</v>
      </c>
      <c r="J120">
        <f ca="1">J116/J115</f>
        <v>3.3333333333333339</v>
      </c>
      <c r="AS120">
        <v>4.1189770347066208</v>
      </c>
      <c r="AT120">
        <v>125.02987258896752</v>
      </c>
      <c r="AU120">
        <v>-515.59258502581531</v>
      </c>
      <c r="AV120" s="6">
        <f t="shared" si="92"/>
        <v>4.9502940241033428</v>
      </c>
      <c r="AW120" s="6">
        <f t="shared" si="93"/>
        <v>0.83131698939672205</v>
      </c>
      <c r="AX120" s="6">
        <f t="shared" si="94"/>
        <v>-0.11355004917189149</v>
      </c>
      <c r="AY120" s="6">
        <f t="shared" si="95"/>
        <v>0.11355004917189149</v>
      </c>
      <c r="BE120" s="39"/>
      <c r="BF120" s="39"/>
      <c r="BG120" s="6">
        <f t="shared" si="102"/>
        <v>3.6651914291880963</v>
      </c>
      <c r="BH120" s="9">
        <f t="shared" ca="1" si="103"/>
        <v>-282.75272513437193</v>
      </c>
      <c r="BI120" s="9">
        <f t="shared" ca="1" si="104"/>
        <v>-72.18639203352933</v>
      </c>
      <c r="BJ120">
        <f t="shared" ca="1" si="105"/>
        <v>291.82182708929105</v>
      </c>
      <c r="BK120" s="6">
        <f t="shared" ca="1" si="106"/>
        <v>-0.96892246873588328</v>
      </c>
      <c r="BL120" s="6">
        <f t="shared" ca="1" si="107"/>
        <v>-0.24736460858166681</v>
      </c>
      <c r="BM120" s="6">
        <f t="shared" ca="1" si="108"/>
        <v>-2.89163326661936</v>
      </c>
      <c r="BN120" s="6">
        <f t="shared" ca="1" si="109"/>
        <v>-1.3508529535167606</v>
      </c>
      <c r="BO120" s="9">
        <f t="shared" ca="1" si="110"/>
        <v>-245.01405964389605</v>
      </c>
      <c r="BP120" s="9">
        <f t="shared" ca="1" si="111"/>
        <v>-63.815977307558093</v>
      </c>
      <c r="BQ120">
        <f t="shared" ca="1" si="112"/>
        <v>253.18840491401144</v>
      </c>
      <c r="BR120">
        <f t="shared" ca="1" si="113"/>
        <v>-0.96771437746964917</v>
      </c>
      <c r="BS120">
        <f t="shared" ca="1" si="114"/>
        <v>-0.25204936746306156</v>
      </c>
      <c r="BT120">
        <f t="shared" ca="1" si="115"/>
        <v>-2.8867952405818462</v>
      </c>
      <c r="BU120" s="39">
        <f t="shared" ca="1" si="116"/>
        <v>-7.7235392155132976</v>
      </c>
    </row>
    <row r="121" spans="1:73" x14ac:dyDescent="0.25">
      <c r="AS121">
        <v>4.153883619746507</v>
      </c>
      <c r="AT121">
        <v>137.11561332264625</v>
      </c>
      <c r="AU121">
        <v>-528.45872536451543</v>
      </c>
      <c r="AV121" s="6">
        <f t="shared" si="92"/>
        <v>4.9662542010885025</v>
      </c>
      <c r="AW121" s="6">
        <f t="shared" si="93"/>
        <v>0.81237058134199547</v>
      </c>
      <c r="AX121" s="6">
        <f t="shared" si="94"/>
        <v>-0.1295102261570511</v>
      </c>
      <c r="AY121" s="6">
        <f t="shared" si="95"/>
        <v>0.1295102261570511</v>
      </c>
      <c r="BE121" s="39"/>
      <c r="BF121" s="39"/>
      <c r="BG121" s="6">
        <f t="shared" si="102"/>
        <v>3.7000980142279829</v>
      </c>
      <c r="BH121" s="9">
        <f t="shared" ca="1" si="103"/>
        <v>-246.91888228228899</v>
      </c>
      <c r="BI121" s="9">
        <f t="shared" ca="1" si="104"/>
        <v>-128.57796137496754</v>
      </c>
      <c r="BJ121">
        <f t="shared" ca="1" si="105"/>
        <v>278.39042113348211</v>
      </c>
      <c r="BK121" s="6">
        <f t="shared" ca="1" si="106"/>
        <v>-0.88695178978121803</v>
      </c>
      <c r="BL121" s="6">
        <f t="shared" ca="1" si="107"/>
        <v>-0.46186201684474348</v>
      </c>
      <c r="BM121" s="6">
        <f t="shared" ca="1" si="108"/>
        <v>-2.6614992558539834</v>
      </c>
      <c r="BN121" s="6">
        <f t="shared" ca="1" si="109"/>
        <v>-1.120718942751384</v>
      </c>
      <c r="BO121" s="9">
        <f t="shared" ca="1" si="110"/>
        <v>-209.18021679181311</v>
      </c>
      <c r="BP121" s="9">
        <f t="shared" ca="1" si="111"/>
        <v>-120.20754664899631</v>
      </c>
      <c r="BQ121">
        <f t="shared" ca="1" si="112"/>
        <v>241.25964720284358</v>
      </c>
      <c r="BR121">
        <f t="shared" ca="1" si="113"/>
        <v>-0.86703358484123505</v>
      </c>
      <c r="BS121">
        <f t="shared" ca="1" si="114"/>
        <v>-0.4982496992044822</v>
      </c>
      <c r="BT121">
        <f t="shared" ca="1" si="115"/>
        <v>-2.620013774846599</v>
      </c>
      <c r="BU121" s="39">
        <f t="shared" ca="1" si="116"/>
        <v>-7.4567577497780508</v>
      </c>
    </row>
    <row r="122" spans="1:73" x14ac:dyDescent="0.25">
      <c r="AS122">
        <v>4.1887902047863932</v>
      </c>
      <c r="AT122">
        <v>147.29508848807723</v>
      </c>
      <c r="AU122">
        <v>-538.99899614209653</v>
      </c>
      <c r="AV122" s="6">
        <f t="shared" si="92"/>
        <v>4.9791510042340885</v>
      </c>
      <c r="AW122" s="6">
        <f t="shared" si="93"/>
        <v>0.79036079944769533</v>
      </c>
      <c r="AX122" s="6">
        <f t="shared" si="94"/>
        <v>-0.14240702930263718</v>
      </c>
      <c r="AY122" s="6">
        <f t="shared" si="95"/>
        <v>0.14240702930263718</v>
      </c>
      <c r="BE122" s="39"/>
      <c r="BF122" s="39"/>
      <c r="BG122" s="6">
        <f t="shared" si="102"/>
        <v>3.7350045992678695</v>
      </c>
      <c r="BH122" s="9">
        <f t="shared" ca="1" si="103"/>
        <v>-210.22523671769821</v>
      </c>
      <c r="BI122" s="9">
        <f t="shared" ca="1" si="104"/>
        <v>-182.42182374417845</v>
      </c>
      <c r="BJ122">
        <f t="shared" ca="1" si="105"/>
        <v>278.33859224183118</v>
      </c>
      <c r="BK122" s="6">
        <f t="shared" ca="1" si="106"/>
        <v>-0.75528598109401412</v>
      </c>
      <c r="BL122" s="6">
        <f t="shared" ca="1" si="107"/>
        <v>-0.65539536675418486</v>
      </c>
      <c r="BM122" s="6">
        <f t="shared" ca="1" si="108"/>
        <v>-2.4268866856290008</v>
      </c>
      <c r="BN122" s="6">
        <f t="shared" ca="1" si="109"/>
        <v>-0.88610637252640134</v>
      </c>
      <c r="BO122" s="9">
        <f t="shared" ca="1" si="110"/>
        <v>-172.48657122722233</v>
      </c>
      <c r="BP122" s="9">
        <f t="shared" ca="1" si="111"/>
        <v>-174.05140901820721</v>
      </c>
      <c r="BQ122">
        <f t="shared" ca="1" si="112"/>
        <v>245.04185404731763</v>
      </c>
      <c r="BR122">
        <f t="shared" ca="1" si="113"/>
        <v>-0.7039065709726271</v>
      </c>
      <c r="BS122">
        <f t="shared" ca="1" si="114"/>
        <v>-0.7102925730581432</v>
      </c>
      <c r="BT122">
        <f t="shared" ca="1" si="115"/>
        <v>-2.3516788894670153</v>
      </c>
      <c r="BU122" s="39">
        <f t="shared" ca="1" si="116"/>
        <v>-7.1884228643984667</v>
      </c>
    </row>
    <row r="123" spans="1:73" x14ac:dyDescent="0.25">
      <c r="A123" t="s">
        <v>128</v>
      </c>
      <c r="AS123">
        <v>4.2236967898262794</v>
      </c>
      <c r="AT123">
        <v>154.16670986163757</v>
      </c>
      <c r="AU123">
        <v>-545.54490047779586</v>
      </c>
      <c r="AV123" s="6">
        <f t="shared" si="92"/>
        <v>4.9877997680538346</v>
      </c>
      <c r="AW123" s="6">
        <f t="shared" si="93"/>
        <v>0.76410297822755524</v>
      </c>
      <c r="AX123" s="6">
        <f t="shared" si="94"/>
        <v>-0.15105579312238326</v>
      </c>
      <c r="AY123" s="6">
        <f t="shared" si="95"/>
        <v>0.15105579312238326</v>
      </c>
      <c r="BE123" s="39"/>
      <c r="BF123" s="39"/>
      <c r="BG123" s="6">
        <f t="shared" si="102"/>
        <v>3.7699111843077562</v>
      </c>
      <c r="BH123" s="9">
        <f t="shared" ca="1" si="103"/>
        <v>-166.94742794943434</v>
      </c>
      <c r="BI123" s="9">
        <f t="shared" ca="1" si="104"/>
        <v>-241.51652515550822</v>
      </c>
      <c r="BJ123">
        <f t="shared" ca="1" si="105"/>
        <v>293.60121869999585</v>
      </c>
      <c r="BK123" s="6">
        <f t="shared" ca="1" si="106"/>
        <v>-0.56861966952535914</v>
      </c>
      <c r="BL123" s="6">
        <f t="shared" ca="1" si="107"/>
        <v>-0.82260055399256293</v>
      </c>
      <c r="BM123" s="6">
        <f t="shared" ca="1" si="108"/>
        <v>-2.1756231987131387</v>
      </c>
      <c r="BN123" s="6">
        <f t="shared" ca="1" si="109"/>
        <v>-0.63484288561053925</v>
      </c>
      <c r="BO123" s="9">
        <f t="shared" ca="1" si="110"/>
        <v>-129.20876245895846</v>
      </c>
      <c r="BP123" s="9">
        <f t="shared" ca="1" si="111"/>
        <v>-233.14611042953698</v>
      </c>
      <c r="BQ123">
        <f t="shared" ca="1" si="112"/>
        <v>266.55583487254108</v>
      </c>
      <c r="BR123">
        <f t="shared" ca="1" si="113"/>
        <v>-0.48473432412665879</v>
      </c>
      <c r="BS123">
        <f t="shared" ca="1" si="114"/>
        <v>-0.87466144022328518</v>
      </c>
      <c r="BT123">
        <f t="shared" ca="1" si="115"/>
        <v>-2.0768557218024517</v>
      </c>
      <c r="BU123" s="39">
        <f t="shared" ca="1" si="116"/>
        <v>-6.9135996967339031</v>
      </c>
    </row>
    <row r="124" spans="1:73" x14ac:dyDescent="0.25">
      <c r="AS124">
        <v>4.2586033748661656</v>
      </c>
      <c r="AT124">
        <v>160.89726648917065</v>
      </c>
      <c r="AU124">
        <v>-551.91458330710975</v>
      </c>
      <c r="AV124" s="6">
        <f t="shared" si="92"/>
        <v>4.996053138479879</v>
      </c>
      <c r="AW124" s="6">
        <f t="shared" si="93"/>
        <v>0.73744976361371339</v>
      </c>
      <c r="AX124" s="6">
        <f t="shared" si="94"/>
        <v>-0.15930916354842761</v>
      </c>
      <c r="AY124" s="6">
        <f t="shared" si="95"/>
        <v>0.15930916354842761</v>
      </c>
      <c r="BE124" s="39"/>
      <c r="BF124" s="39"/>
      <c r="BG124" s="6">
        <f t="shared" si="102"/>
        <v>3.8048177693476428</v>
      </c>
      <c r="BH124" s="9">
        <f t="shared" ca="1" si="103"/>
        <v>-126.04818948652041</v>
      </c>
      <c r="BI124" s="9">
        <f t="shared" ca="1" si="104"/>
        <v>-294.88784047435217</v>
      </c>
      <c r="BJ124">
        <f t="shared" ca="1" si="105"/>
        <v>320.69765283278383</v>
      </c>
      <c r="BK124" s="6">
        <f t="shared" ca="1" si="106"/>
        <v>-0.39304369200433054</v>
      </c>
      <c r="BL124" s="6">
        <f t="shared" ca="1" si="107"/>
        <v>-0.91951979651098581</v>
      </c>
      <c r="BM124" s="6">
        <f t="shared" ca="1" si="108"/>
        <v>-1.9747356757504435</v>
      </c>
      <c r="BN124" s="6">
        <f t="shared" ca="1" si="109"/>
        <v>-0.43395536264784407</v>
      </c>
      <c r="BO124" s="9">
        <f t="shared" ca="1" si="110"/>
        <v>-88.309523996044533</v>
      </c>
      <c r="BP124" s="9">
        <f t="shared" ca="1" si="111"/>
        <v>-286.51742574838096</v>
      </c>
      <c r="BQ124">
        <f t="shared" ca="1" si="112"/>
        <v>299.81795691033409</v>
      </c>
      <c r="BR124">
        <f t="shared" ca="1" si="113"/>
        <v>-0.29454381220553466</v>
      </c>
      <c r="BS124">
        <f t="shared" ca="1" si="114"/>
        <v>-0.95563797679426221</v>
      </c>
      <c r="BT124">
        <f t="shared" ca="1" si="115"/>
        <v>-1.8697744456674907</v>
      </c>
      <c r="BU124" s="39">
        <f t="shared" ca="1" si="116"/>
        <v>-6.7065184205989423</v>
      </c>
    </row>
    <row r="125" spans="1:73" x14ac:dyDescent="0.25">
      <c r="A125" s="8" t="s">
        <v>77</v>
      </c>
      <c r="B125" s="3">
        <f ca="1">B116</f>
        <v>6230.1524999999992</v>
      </c>
      <c r="C125" s="1" t="str">
        <f>"+ t ( "</f>
        <v xml:space="preserve">+ t ( </v>
      </c>
      <c r="D125" s="1">
        <f ca="1">J116</f>
        <v>-853.20000000000016</v>
      </c>
      <c r="E125" s="1" t="s">
        <v>129</v>
      </c>
      <c r="F125" s="3">
        <f ca="1">B116</f>
        <v>6230.1524999999992</v>
      </c>
      <c r="G125" s="1" t="s">
        <v>130</v>
      </c>
      <c r="AS125">
        <v>4.2935099599060518</v>
      </c>
      <c r="AT125">
        <v>167.50585907170944</v>
      </c>
      <c r="AU125">
        <v>-558.12987848642206</v>
      </c>
      <c r="AV125" s="6">
        <f t="shared" si="92"/>
        <v>5.00395573137921</v>
      </c>
      <c r="AW125" s="6">
        <f t="shared" si="93"/>
        <v>0.71044577147315824</v>
      </c>
      <c r="AX125" s="6">
        <f t="shared" si="94"/>
        <v>-0.16721175644775865</v>
      </c>
      <c r="AY125" s="6">
        <f t="shared" si="95"/>
        <v>0.16721175644775865</v>
      </c>
      <c r="BE125" s="39"/>
      <c r="BF125" s="39"/>
      <c r="BG125" s="6">
        <f t="shared" si="102"/>
        <v>3.8397243543875295</v>
      </c>
      <c r="BH125" s="9">
        <f t="shared" ca="1" si="103"/>
        <v>-83.546770213746498</v>
      </c>
      <c r="BI125" s="9">
        <f t="shared" ca="1" si="104"/>
        <v>-343.42820770832526</v>
      </c>
      <c r="BJ125">
        <f t="shared" ca="1" si="105"/>
        <v>353.44447465323481</v>
      </c>
      <c r="BK125" s="6">
        <f t="shared" ca="1" si="106"/>
        <v>-0.23637877009030747</v>
      </c>
      <c r="BL125" s="6">
        <f t="shared" ca="1" si="107"/>
        <v>-0.97166098874586582</v>
      </c>
      <c r="BM125" s="6">
        <f t="shared" ca="1" si="108"/>
        <v>-1.809433633189012</v>
      </c>
      <c r="BN125" s="6">
        <f t="shared" ca="1" si="109"/>
        <v>-0.26865332008641252</v>
      </c>
      <c r="BO125" s="9">
        <f t="shared" ca="1" si="110"/>
        <v>-45.808104723270624</v>
      </c>
      <c r="BP125" s="9">
        <f t="shared" ca="1" si="111"/>
        <v>-335.05779298235404</v>
      </c>
      <c r="BQ125">
        <f t="shared" ca="1" si="112"/>
        <v>338.17466950755517</v>
      </c>
      <c r="BR125">
        <f t="shared" ca="1" si="113"/>
        <v>-0.13545693647006646</v>
      </c>
      <c r="BS125">
        <f t="shared" ca="1" si="114"/>
        <v>-0.99078323480070263</v>
      </c>
      <c r="BT125">
        <f t="shared" ca="1" si="115"/>
        <v>-1.706670961862796</v>
      </c>
      <c r="BU125" s="39">
        <f t="shared" ca="1" si="116"/>
        <v>-6.5434149367942478</v>
      </c>
    </row>
    <row r="126" spans="1:73" x14ac:dyDescent="0.25">
      <c r="A126" s="8" t="s">
        <v>125</v>
      </c>
      <c r="B126" s="3">
        <f ca="1">B117</f>
        <v>-9267.8364999999994</v>
      </c>
      <c r="D126" s="1">
        <f ca="1">J117</f>
        <v>2218.3200000000002</v>
      </c>
      <c r="F126" s="3">
        <f ca="1">B117</f>
        <v>-9267.8364999999994</v>
      </c>
      <c r="AS126">
        <v>4.328416544945938</v>
      </c>
      <c r="AT126">
        <v>174.01041784716716</v>
      </c>
      <c r="AU126">
        <v>-564.2108252670397</v>
      </c>
      <c r="AV126" s="6">
        <f t="shared" si="92"/>
        <v>5.0115468926175195</v>
      </c>
      <c r="AW126" s="6">
        <f t="shared" si="93"/>
        <v>0.68313034767158154</v>
      </c>
      <c r="AX126" s="6">
        <f t="shared" si="94"/>
        <v>-0.17480291768606812</v>
      </c>
      <c r="AY126" s="6">
        <f t="shared" si="95"/>
        <v>0.17480291768606812</v>
      </c>
      <c r="BE126" s="39"/>
      <c r="BF126" s="39"/>
      <c r="BG126" s="6">
        <f t="shared" si="102"/>
        <v>3.8746309394274161</v>
      </c>
      <c r="BH126" s="9">
        <f t="shared" ca="1" si="103"/>
        <v>-51.234395100348252</v>
      </c>
      <c r="BI126" s="9">
        <f t="shared" ca="1" si="104"/>
        <v>-378.52487670486249</v>
      </c>
      <c r="BJ126">
        <f t="shared" ca="1" si="105"/>
        <v>381.97649865630473</v>
      </c>
      <c r="BK126" s="6">
        <f t="shared" ca="1" si="106"/>
        <v>-0.13412970504881244</v>
      </c>
      <c r="BL126" s="6">
        <f t="shared" ca="1" si="107"/>
        <v>-0.99096378451662825</v>
      </c>
      <c r="BM126" s="6">
        <f t="shared" ca="1" si="108"/>
        <v>-1.7053315061099881</v>
      </c>
      <c r="BN126" s="6">
        <f t="shared" ca="1" si="109"/>
        <v>-0.16455119300738863</v>
      </c>
      <c r="BO126" s="9">
        <f t="shared" ca="1" si="110"/>
        <v>-13.495729609872377</v>
      </c>
      <c r="BP126" s="9">
        <f t="shared" ca="1" si="111"/>
        <v>-370.15446197889128</v>
      </c>
      <c r="BQ126">
        <f t="shared" ca="1" si="112"/>
        <v>370.40040556212307</v>
      </c>
      <c r="BR126">
        <f t="shared" ca="1" si="113"/>
        <v>-3.643551520790355E-2</v>
      </c>
      <c r="BS126">
        <f t="shared" ca="1" si="114"/>
        <v>-0.99933600617186547</v>
      </c>
      <c r="BT126">
        <f t="shared" ca="1" si="115"/>
        <v>-1.6072399084643474</v>
      </c>
      <c r="BU126" s="39">
        <f t="shared" ca="1" si="116"/>
        <v>-6.4439838833957985</v>
      </c>
    </row>
    <row r="127" spans="1:73" x14ac:dyDescent="0.25">
      <c r="A127" s="8" t="s">
        <v>75</v>
      </c>
      <c r="B127" s="3">
        <f ca="1">B115</f>
        <v>1674.56575</v>
      </c>
      <c r="D127" s="1">
        <f ca="1">J115</f>
        <v>-255.96</v>
      </c>
      <c r="F127" s="3">
        <f ca="1">B115</f>
        <v>1674.56575</v>
      </c>
      <c r="AS127">
        <v>4.3633231299858242</v>
      </c>
      <c r="AT127">
        <v>178.34240716228663</v>
      </c>
      <c r="AU127">
        <v>-568.24451374474643</v>
      </c>
      <c r="AV127" s="6">
        <f t="shared" si="92"/>
        <v>5.0165014530246355</v>
      </c>
      <c r="AW127" s="6">
        <f t="shared" si="93"/>
        <v>0.65317832303881129</v>
      </c>
      <c r="AX127" s="6">
        <f t="shared" si="94"/>
        <v>-0.17975747809318413</v>
      </c>
      <c r="AY127" s="6">
        <f t="shared" si="95"/>
        <v>0.17975747809318413</v>
      </c>
      <c r="BE127" s="39"/>
      <c r="BF127" s="39"/>
      <c r="BG127" s="6">
        <f t="shared" si="102"/>
        <v>3.9095375244673027</v>
      </c>
      <c r="BH127" s="9">
        <f t="shared" ca="1" si="103"/>
        <v>-18.918278669144669</v>
      </c>
      <c r="BI127" s="9">
        <f t="shared" ca="1" si="104"/>
        <v>-412.59479748719576</v>
      </c>
      <c r="BJ127">
        <f t="shared" ca="1" si="105"/>
        <v>413.02828980749428</v>
      </c>
      <c r="BK127" s="6">
        <f t="shared" ca="1" si="106"/>
        <v>-4.5803832657472857E-2</v>
      </c>
      <c r="BL127" s="6">
        <f t="shared" ca="1" si="107"/>
        <v>-0.99895045368320756</v>
      </c>
      <c r="BM127" s="6">
        <f t="shared" ca="1" si="108"/>
        <v>-1.6166161905973631</v>
      </c>
      <c r="BN127" s="6">
        <f t="shared" ca="1" si="109"/>
        <v>-7.5835877494763615E-2</v>
      </c>
      <c r="BO127" s="9">
        <f t="shared" ca="1" si="110"/>
        <v>18.820386821331205</v>
      </c>
      <c r="BP127" s="9">
        <f t="shared" ca="1" si="111"/>
        <v>-404.22438276122455</v>
      </c>
      <c r="BQ127">
        <f t="shared" ca="1" si="112"/>
        <v>404.66227718777731</v>
      </c>
      <c r="BR127">
        <f t="shared" ca="1" si="113"/>
        <v>4.6508873898808943E-2</v>
      </c>
      <c r="BS127">
        <f t="shared" ca="1" si="114"/>
        <v>-0.99891787682905375</v>
      </c>
      <c r="BT127">
        <f t="shared" ca="1" si="115"/>
        <v>-1.5242706695211579</v>
      </c>
      <c r="BU127" s="39">
        <f t="shared" ca="1" si="116"/>
        <v>-6.3610146444526094</v>
      </c>
    </row>
    <row r="128" spans="1:73" x14ac:dyDescent="0.25">
      <c r="AS128">
        <v>4.3982297150257104</v>
      </c>
      <c r="AT128">
        <v>178.96389909898008</v>
      </c>
      <c r="AU128">
        <v>-568.82483925412225</v>
      </c>
      <c r="AV128" s="6">
        <f t="shared" si="92"/>
        <v>5.0172044342603481</v>
      </c>
      <c r="AW128" s="6">
        <f t="shared" si="93"/>
        <v>0.61897471923463776</v>
      </c>
      <c r="AX128" s="6">
        <f t="shared" si="94"/>
        <v>-0.18046045932889679</v>
      </c>
      <c r="AY128" s="6">
        <f t="shared" si="95"/>
        <v>0.18046045932889679</v>
      </c>
      <c r="BE128" s="39"/>
      <c r="BF128" s="39"/>
      <c r="BG128" s="6">
        <f t="shared" si="102"/>
        <v>3.9444441095071894</v>
      </c>
      <c r="BH128" s="9">
        <f t="shared" ca="1" si="103"/>
        <v>8.534306985368822</v>
      </c>
      <c r="BI128" s="9">
        <f t="shared" ca="1" si="104"/>
        <v>-440.719956708133</v>
      </c>
      <c r="BJ128">
        <f t="shared" ca="1" si="105"/>
        <v>440.80258011556504</v>
      </c>
      <c r="BK128" s="6">
        <f t="shared" ca="1" si="106"/>
        <v>1.9360837187321785E-2</v>
      </c>
      <c r="BL128" s="6">
        <f t="shared" ca="1" si="107"/>
        <v>-0.99981256142509334</v>
      </c>
      <c r="BM128" s="6">
        <f t="shared" ca="1" si="108"/>
        <v>-1.5514342798609626</v>
      </c>
      <c r="BN128" s="6">
        <f t="shared" ca="1" si="109"/>
        <v>-1.0653966758363165E-2</v>
      </c>
      <c r="BO128" s="9">
        <f t="shared" ca="1" si="110"/>
        <v>46.272972475844696</v>
      </c>
      <c r="BP128" s="9">
        <f t="shared" ca="1" si="111"/>
        <v>-432.34954198216178</v>
      </c>
      <c r="BQ128">
        <f t="shared" ca="1" si="112"/>
        <v>434.81871444768262</v>
      </c>
      <c r="BR128">
        <f t="shared" ca="1" si="113"/>
        <v>0.10641899931704125</v>
      </c>
      <c r="BS128">
        <f t="shared" ca="1" si="114"/>
        <v>-0.99432137490067041</v>
      </c>
      <c r="BT128">
        <f t="shared" ca="1" si="115"/>
        <v>-1.4641754309385786</v>
      </c>
      <c r="BU128" s="39">
        <f t="shared" ca="1" si="116"/>
        <v>-6.3009194058700295</v>
      </c>
    </row>
    <row r="129" spans="1:73" x14ac:dyDescent="0.25">
      <c r="A129" s="15" t="s">
        <v>131</v>
      </c>
      <c r="AS129">
        <v>4.4331363000655966</v>
      </c>
      <c r="AT129">
        <v>179.57383156376551</v>
      </c>
      <c r="AU129">
        <v>-569.38649058002761</v>
      </c>
      <c r="AV129" s="6">
        <f t="shared" si="92"/>
        <v>5.0178966158366993</v>
      </c>
      <c r="AW129" s="6">
        <f t="shared" si="93"/>
        <v>0.58476031577110277</v>
      </c>
      <c r="AX129" s="6">
        <f t="shared" si="94"/>
        <v>-0.18115264090524796</v>
      </c>
      <c r="AY129" s="6">
        <f t="shared" si="95"/>
        <v>0.18115264090524796</v>
      </c>
      <c r="BE129" s="39"/>
      <c r="BF129" s="39"/>
      <c r="BG129" s="6">
        <f t="shared" si="102"/>
        <v>3.979350694547076</v>
      </c>
      <c r="BH129" s="9">
        <f t="shared" ca="1" si="103"/>
        <v>30.951047365055821</v>
      </c>
      <c r="BI129" s="9">
        <f t="shared" ca="1" si="104"/>
        <v>-463.46740982392646</v>
      </c>
      <c r="BJ129">
        <f t="shared" ca="1" si="105"/>
        <v>464.49973875331011</v>
      </c>
      <c r="BK129" s="6">
        <f t="shared" ca="1" si="106"/>
        <v>6.6633078089831876E-2</v>
      </c>
      <c r="BL129" s="6">
        <f t="shared" ca="1" si="107"/>
        <v>-0.99777754680303077</v>
      </c>
      <c r="BM129" s="6">
        <f t="shared" ca="1" si="108"/>
        <v>-1.5041138418146653</v>
      </c>
      <c r="BN129" s="6">
        <f t="shared" ca="1" si="109"/>
        <v>3.6666471287934099E-2</v>
      </c>
      <c r="BO129" s="9">
        <f t="shared" ca="1" si="110"/>
        <v>68.689712855531695</v>
      </c>
      <c r="BP129" s="9">
        <f t="shared" ca="1" si="111"/>
        <v>-455.09699509795524</v>
      </c>
      <c r="BQ129">
        <f t="shared" ca="1" si="112"/>
        <v>460.2516177042333</v>
      </c>
      <c r="BR129">
        <f t="shared" ca="1" si="113"/>
        <v>0.14924382710083825</v>
      </c>
      <c r="BS129">
        <f t="shared" ca="1" si="114"/>
        <v>-0.98880042479374719</v>
      </c>
      <c r="BT129">
        <f t="shared" ca="1" si="115"/>
        <v>-1.4209928358686443</v>
      </c>
      <c r="BU129" s="39">
        <f t="shared" ca="1" si="116"/>
        <v>-6.2577368108000959</v>
      </c>
    </row>
    <row r="130" spans="1:73" x14ac:dyDescent="0.25">
      <c r="A130" s="8" t="s">
        <v>133</v>
      </c>
      <c r="B130" s="1">
        <f>U10</f>
        <v>100</v>
      </c>
      <c r="AS130">
        <v>4.4680428851054828</v>
      </c>
      <c r="AT130">
        <v>180.17406224529907</v>
      </c>
      <c r="AU130">
        <v>-569.9324306008798</v>
      </c>
      <c r="AV130" s="6">
        <f t="shared" si="92"/>
        <v>5.0185795792099244</v>
      </c>
      <c r="AW130" s="6">
        <f t="shared" si="93"/>
        <v>0.55053669410444162</v>
      </c>
      <c r="AX130" s="6">
        <f t="shared" si="94"/>
        <v>-0.18183560427847298</v>
      </c>
      <c r="AY130" s="6">
        <f t="shared" si="95"/>
        <v>0.18183560427847298</v>
      </c>
      <c r="BE130" s="39"/>
      <c r="BF130" s="39"/>
      <c r="BG130" s="6">
        <f t="shared" si="102"/>
        <v>4.0142572795869622</v>
      </c>
      <c r="BH130" s="9">
        <f t="shared" ca="1" si="103"/>
        <v>47.725035491893543</v>
      </c>
      <c r="BI130" s="9">
        <f t="shared" ca="1" si="104"/>
        <v>-481.12864747646069</v>
      </c>
      <c r="BJ130">
        <f t="shared" ca="1" si="105"/>
        <v>483.48987004406916</v>
      </c>
      <c r="BK130" s="6">
        <f t="shared" ca="1" si="106"/>
        <v>9.8709483794445371E-2</v>
      </c>
      <c r="BL130" s="6">
        <f t="shared" ca="1" si="107"/>
        <v>-0.99511629361046749</v>
      </c>
      <c r="BM130" s="6">
        <f t="shared" ca="1" si="108"/>
        <v>-1.4719258390592125</v>
      </c>
      <c r="BN130" s="6">
        <f t="shared" ca="1" si="109"/>
        <v>6.885447404338696E-2</v>
      </c>
      <c r="BO130" s="9">
        <f t="shared" ca="1" si="110"/>
        <v>85.463700982369417</v>
      </c>
      <c r="BP130" s="9">
        <f t="shared" ca="1" si="111"/>
        <v>-472.75823275048947</v>
      </c>
      <c r="BQ130">
        <f t="shared" ca="1" si="112"/>
        <v>480.42105576147452</v>
      </c>
      <c r="BR130">
        <f t="shared" ca="1" si="113"/>
        <v>0.17789332910671074</v>
      </c>
      <c r="BS130">
        <f t="shared" ca="1" si="114"/>
        <v>-0.9840497769215395</v>
      </c>
      <c r="BT130">
        <f t="shared" ca="1" si="115"/>
        <v>-1.3919511090128729</v>
      </c>
      <c r="BU130" s="39">
        <f t="shared" ca="1" si="116"/>
        <v>-6.2286950839443245</v>
      </c>
    </row>
    <row r="131" spans="1:73" x14ac:dyDescent="0.25">
      <c r="A131" s="8" t="s">
        <v>132</v>
      </c>
      <c r="B131">
        <f ca="1">(U10-B127)/(D127-F127)</f>
        <v>0.81561499503438373</v>
      </c>
      <c r="AS131">
        <v>4.5029494701453689</v>
      </c>
      <c r="AT131">
        <v>180.76634208281035</v>
      </c>
      <c r="AU131">
        <v>-570.46540591283565</v>
      </c>
      <c r="AV131" s="6">
        <f t="shared" ref="AV131:AV194" si="134">IF(AS131&lt;&gt;"",IF(AND(AT131=0,AU131=0),0,MOD(ATAN2(AT131,AU131),2*PI())),NA())</f>
        <v>5.0192548202751794</v>
      </c>
      <c r="AW131" s="6">
        <f t="shared" ref="AW131:AW194" si="135">ABS(AS131-AV131)</f>
        <v>0.51630535012981049</v>
      </c>
      <c r="AX131" s="6">
        <f t="shared" ref="AX131:AX194" si="136">ATAN2(COS($U$13-AV131),SIN($U$13-AV131))</f>
        <v>-0.18251084534372805</v>
      </c>
      <c r="AY131" s="6">
        <f t="shared" ref="AY131:AY194" si="137">ABS(AX131)</f>
        <v>0.18251084534372805</v>
      </c>
      <c r="BE131" s="39"/>
      <c r="BF131" s="39"/>
      <c r="BG131" s="6">
        <f t="shared" si="102"/>
        <v>4.0491638646268484</v>
      </c>
      <c r="BH131" s="9">
        <f t="shared" ca="1" si="103"/>
        <v>61.532885678377603</v>
      </c>
      <c r="BI131" s="9">
        <f t="shared" ca="1" si="104"/>
        <v>-496.20251309766843</v>
      </c>
      <c r="BJ131">
        <f t="shared" ca="1" si="105"/>
        <v>500.00323001391706</v>
      </c>
      <c r="BK131" s="6">
        <f t="shared" ca="1" si="106"/>
        <v>0.12306497635358256</v>
      </c>
      <c r="BL131" s="6">
        <f t="shared" ca="1" si="107"/>
        <v>-0.9923986152726596</v>
      </c>
      <c r="BM131" s="6">
        <f t="shared" ca="1" si="108"/>
        <v>-1.4474185778217732</v>
      </c>
      <c r="BN131" s="6">
        <f t="shared" ca="1" si="109"/>
        <v>9.3361735280826252E-2</v>
      </c>
      <c r="BO131" s="9">
        <f t="shared" ca="1" si="110"/>
        <v>99.271551168853478</v>
      </c>
      <c r="BP131" s="9">
        <f t="shared" ca="1" si="111"/>
        <v>-487.83209837169721</v>
      </c>
      <c r="BQ131">
        <f t="shared" ca="1" si="112"/>
        <v>497.83028942924273</v>
      </c>
      <c r="BR131">
        <f t="shared" ca="1" si="113"/>
        <v>0.19940841944885934</v>
      </c>
      <c r="BS131">
        <f t="shared" ca="1" si="114"/>
        <v>-0.97991646697711321</v>
      </c>
      <c r="BT131">
        <f t="shared" ca="1" si="115"/>
        <v>-1.3700421482108316</v>
      </c>
      <c r="BU131" s="39">
        <f t="shared" ca="1" si="116"/>
        <v>-6.2067861231422832</v>
      </c>
    </row>
    <row r="132" spans="1:73" x14ac:dyDescent="0.25">
      <c r="A132" s="8" t="s">
        <v>77</v>
      </c>
      <c r="B132">
        <f ca="1">(B125+(B131*(D125-F125)))/12</f>
        <v>37.738665490475874</v>
      </c>
      <c r="AS132">
        <v>4.5378560551852551</v>
      </c>
      <c r="AT132">
        <v>181.35233710670346</v>
      </c>
      <c r="AU132">
        <v>-570.98799930262055</v>
      </c>
      <c r="AV132" s="6">
        <f t="shared" si="134"/>
        <v>5.0199237603011397</v>
      </c>
      <c r="AW132" s="6">
        <f t="shared" si="135"/>
        <v>0.48206770511588459</v>
      </c>
      <c r="AX132" s="6">
        <f t="shared" si="136"/>
        <v>-0.18317978536968837</v>
      </c>
      <c r="AY132" s="6">
        <f t="shared" si="137"/>
        <v>0.18317978536968837</v>
      </c>
      <c r="BE132" s="39"/>
      <c r="BF132" s="39"/>
      <c r="BG132" s="6">
        <f t="shared" si="102"/>
        <v>4.0840704496667346</v>
      </c>
      <c r="BH132" s="9">
        <f t="shared" ca="1" si="103"/>
        <v>74.697671687249652</v>
      </c>
      <c r="BI132" s="9">
        <f t="shared" ca="1" si="104"/>
        <v>-510.44862033191623</v>
      </c>
      <c r="BJ132">
        <f t="shared" ca="1" si="105"/>
        <v>515.88519668066931</v>
      </c>
      <c r="BK132" s="6">
        <f t="shared" ca="1" si="106"/>
        <v>0.14479514467147461</v>
      </c>
      <c r="BL132" s="6">
        <f t="shared" ca="1" si="107"/>
        <v>-0.98946165467872826</v>
      </c>
      <c r="BM132" s="6">
        <f t="shared" ca="1" si="108"/>
        <v>-1.4254903945859798</v>
      </c>
      <c r="BN132" s="6">
        <f t="shared" ca="1" si="109"/>
        <v>0.11528991851661963</v>
      </c>
      <c r="BO132" s="9">
        <f t="shared" ca="1" si="110"/>
        <v>112.43633717772553</v>
      </c>
      <c r="BP132" s="9">
        <f t="shared" ca="1" si="111"/>
        <v>-502.07820560594502</v>
      </c>
      <c r="BQ132">
        <f t="shared" ca="1" si="112"/>
        <v>514.51380395712295</v>
      </c>
      <c r="BR132">
        <f t="shared" ca="1" si="113"/>
        <v>0.21852929175656369</v>
      </c>
      <c r="BS132">
        <f t="shared" ca="1" si="114"/>
        <v>-0.97583038928103427</v>
      </c>
      <c r="BT132">
        <f t="shared" ca="1" si="115"/>
        <v>-1.3504892464044742</v>
      </c>
      <c r="BU132" s="39">
        <f t="shared" ca="1" si="116"/>
        <v>-6.1872332213359256</v>
      </c>
    </row>
    <row r="133" spans="1:73" x14ac:dyDescent="0.25">
      <c r="A133" s="8" t="s">
        <v>125</v>
      </c>
      <c r="B133">
        <f ca="1">(B126+(B131*(D126-F126)))/12</f>
        <v>8.3704147259712354</v>
      </c>
      <c r="AS133">
        <v>4.5727626402251413</v>
      </c>
      <c r="AT133">
        <v>181.93364830171708</v>
      </c>
      <c r="AU133">
        <v>-571.50267767513867</v>
      </c>
      <c r="AV133" s="6">
        <f t="shared" si="134"/>
        <v>5.0205877553498057</v>
      </c>
      <c r="AW133" s="6">
        <f t="shared" si="135"/>
        <v>0.44782511512466439</v>
      </c>
      <c r="AX133" s="6">
        <f t="shared" si="136"/>
        <v>-0.18384378041835439</v>
      </c>
      <c r="AY133" s="6">
        <f t="shared" si="137"/>
        <v>0.18384378041835439</v>
      </c>
      <c r="BE133" s="39"/>
      <c r="BF133" s="39"/>
      <c r="BG133" s="6">
        <f t="shared" si="102"/>
        <v>4.1189770347066208</v>
      </c>
      <c r="BH133" s="9">
        <f t="shared" ca="1" si="103"/>
        <v>87.29120709849164</v>
      </c>
      <c r="BI133" s="9">
        <f t="shared" ca="1" si="104"/>
        <v>-523.96299975178658</v>
      </c>
      <c r="BJ133">
        <f t="shared" ca="1" si="105"/>
        <v>531.18450649995668</v>
      </c>
      <c r="BK133" s="6">
        <f t="shared" ca="1" si="106"/>
        <v>0.16433311971703518</v>
      </c>
      <c r="BL133" s="6">
        <f t="shared" ca="1" si="107"/>
        <v>-0.98640489950327515</v>
      </c>
      <c r="BM133" s="6">
        <f t="shared" ca="1" si="108"/>
        <v>-1.4057144251584368</v>
      </c>
      <c r="BN133" s="6">
        <f t="shared" ca="1" si="109"/>
        <v>0.13506588794416263</v>
      </c>
      <c r="BO133" s="9">
        <f t="shared" ca="1" si="110"/>
        <v>125.02987258896752</v>
      </c>
      <c r="BP133" s="9">
        <f t="shared" ca="1" si="111"/>
        <v>-515.59258502581531</v>
      </c>
      <c r="BQ133">
        <f t="shared" ca="1" si="112"/>
        <v>530.5357507022652</v>
      </c>
      <c r="BR133">
        <f t="shared" ca="1" si="113"/>
        <v>0.2356671957044679</v>
      </c>
      <c r="BS133">
        <f t="shared" ca="1" si="114"/>
        <v>-0.97183381957451542</v>
      </c>
      <c r="BT133">
        <f t="shared" ca="1" si="115"/>
        <v>-1.3328912830762432</v>
      </c>
      <c r="BU133" s="39">
        <f t="shared" ca="1" si="116"/>
        <v>-6.1696352580076947</v>
      </c>
    </row>
    <row r="134" spans="1:73" x14ac:dyDescent="0.25">
      <c r="AS134">
        <v>4.6076692252650275</v>
      </c>
      <c r="AT134">
        <v>182.51183000375983</v>
      </c>
      <c r="AU134">
        <v>-572.01183719863388</v>
      </c>
      <c r="AV134" s="6">
        <f t="shared" si="134"/>
        <v>5.0212481041931625</v>
      </c>
      <c r="AW134" s="6">
        <f t="shared" si="135"/>
        <v>0.41357887892813494</v>
      </c>
      <c r="AX134" s="6">
        <f t="shared" si="136"/>
        <v>-0.18450412926171111</v>
      </c>
      <c r="AY134" s="6">
        <f t="shared" si="137"/>
        <v>0.18450412926171111</v>
      </c>
      <c r="BE134" s="39"/>
      <c r="BF134" s="39"/>
      <c r="BG134" s="6">
        <f t="shared" si="102"/>
        <v>4.153883619746507</v>
      </c>
      <c r="BH134" s="9">
        <f t="shared" ca="1" si="103"/>
        <v>99.376947832170373</v>
      </c>
      <c r="BI134" s="9">
        <f t="shared" ca="1" si="104"/>
        <v>-536.8291400904867</v>
      </c>
      <c r="BJ134">
        <f t="shared" ca="1" si="105"/>
        <v>545.94990925059176</v>
      </c>
      <c r="BK134" s="6">
        <f t="shared" ca="1" si="106"/>
        <v>0.18202576124352138</v>
      </c>
      <c r="BL134" s="6">
        <f t="shared" ca="1" si="107"/>
        <v>-0.98329376192657514</v>
      </c>
      <c r="BM134" s="6">
        <f t="shared" ca="1" si="108"/>
        <v>-1.3877500877091931</v>
      </c>
      <c r="BN134" s="6">
        <f t="shared" ca="1" si="109"/>
        <v>0.15303022539340638</v>
      </c>
      <c r="BO134" s="9">
        <f t="shared" ca="1" si="110"/>
        <v>137.11561332264625</v>
      </c>
      <c r="BP134" s="9">
        <f t="shared" ca="1" si="111"/>
        <v>-528.45872536451543</v>
      </c>
      <c r="BQ134">
        <f t="shared" ca="1" si="112"/>
        <v>545.95724725543641</v>
      </c>
      <c r="BR134">
        <f t="shared" ca="1" si="113"/>
        <v>0.25114716218519967</v>
      </c>
      <c r="BS134">
        <f t="shared" ca="1" si="114"/>
        <v>-0.9679489154528359</v>
      </c>
      <c r="BT134">
        <f t="shared" ca="1" si="115"/>
        <v>-1.3169311060910838</v>
      </c>
      <c r="BU134" s="39">
        <f t="shared" ca="1" si="116"/>
        <v>-6.1536750810225351</v>
      </c>
    </row>
    <row r="135" spans="1:73" x14ac:dyDescent="0.25">
      <c r="A135" s="8"/>
      <c r="AS135">
        <v>4.6425758103049137</v>
      </c>
      <c r="AT135">
        <v>183.08840730470394</v>
      </c>
      <c r="AU135">
        <v>-572.51784737047785</v>
      </c>
      <c r="AV135" s="6">
        <f t="shared" si="134"/>
        <v>5.0219060546820486</v>
      </c>
      <c r="AW135" s="6">
        <f t="shared" si="135"/>
        <v>0.37933024437713492</v>
      </c>
      <c r="AX135" s="6">
        <f t="shared" si="136"/>
        <v>-0.18516207975059729</v>
      </c>
      <c r="AY135" s="6">
        <f t="shared" si="137"/>
        <v>0.18516207975059729</v>
      </c>
      <c r="BE135" s="39"/>
      <c r="BF135" s="39"/>
      <c r="BG135" s="6">
        <f t="shared" si="102"/>
        <v>4.1887902047863932</v>
      </c>
      <c r="BH135" s="9">
        <f t="shared" ca="1" si="103"/>
        <v>109.55642299760135</v>
      </c>
      <c r="BI135" s="9">
        <f t="shared" ca="1" si="104"/>
        <v>-547.3694108680678</v>
      </c>
      <c r="BJ135">
        <f t="shared" ca="1" si="105"/>
        <v>558.22565488705823</v>
      </c>
      <c r="BK135" s="6">
        <f t="shared" ca="1" si="106"/>
        <v>0.19625830887290036</v>
      </c>
      <c r="BL135" s="6">
        <f t="shared" ca="1" si="107"/>
        <v>-0.98055223022455518</v>
      </c>
      <c r="BM135" s="6">
        <f t="shared" ca="1" si="108"/>
        <v>-1.3732557755127286</v>
      </c>
      <c r="BN135" s="6">
        <f t="shared" ca="1" si="109"/>
        <v>0.16752453758987085</v>
      </c>
      <c r="BO135" s="9">
        <f t="shared" ca="1" si="110"/>
        <v>147.29508848807723</v>
      </c>
      <c r="BP135" s="9">
        <f t="shared" ca="1" si="111"/>
        <v>-538.99899614209653</v>
      </c>
      <c r="BQ135">
        <f t="shared" ca="1" si="112"/>
        <v>558.76270539013092</v>
      </c>
      <c r="BR135">
        <f t="shared" ca="1" si="113"/>
        <v>0.26360937669459356</v>
      </c>
      <c r="BS135">
        <f t="shared" ca="1" si="114"/>
        <v>-0.96462951256878304</v>
      </c>
      <c r="BT135">
        <f t="shared" ca="1" si="115"/>
        <v>-1.3040343029454977</v>
      </c>
      <c r="BU135" s="39">
        <f t="shared" ca="1" si="116"/>
        <v>-6.1407782778769491</v>
      </c>
    </row>
    <row r="136" spans="1:73" x14ac:dyDescent="0.25">
      <c r="A136" s="8"/>
      <c r="AS136">
        <v>4.6774823953447999</v>
      </c>
      <c r="AT136">
        <v>183.66489290693767</v>
      </c>
      <c r="AU136">
        <v>-573.02309571085198</v>
      </c>
      <c r="AV136" s="6">
        <f t="shared" si="134"/>
        <v>5.0225628084444862</v>
      </c>
      <c r="AW136" s="6">
        <f t="shared" si="135"/>
        <v>0.34508041309968629</v>
      </c>
      <c r="AX136" s="6">
        <f t="shared" si="136"/>
        <v>-0.18581883351303485</v>
      </c>
      <c r="AY136" s="6">
        <f t="shared" si="137"/>
        <v>0.18581883351303485</v>
      </c>
      <c r="BE136" s="39"/>
      <c r="BF136" s="39"/>
      <c r="BG136" s="6">
        <f t="shared" si="102"/>
        <v>4.2236967898262794</v>
      </c>
      <c r="BH136" s="9">
        <f t="shared" ca="1" si="103"/>
        <v>116.42804437116169</v>
      </c>
      <c r="BI136" s="9">
        <f t="shared" ca="1" si="104"/>
        <v>-553.91531520376714</v>
      </c>
      <c r="BJ136">
        <f t="shared" ca="1" si="105"/>
        <v>566.01913919352762</v>
      </c>
      <c r="BK136" s="6">
        <f t="shared" ca="1" si="106"/>
        <v>0.20569630302086617</v>
      </c>
      <c r="BL136" s="6">
        <f t="shared" ca="1" si="107"/>
        <v>-0.9786158750620938</v>
      </c>
      <c r="BM136" s="6">
        <f t="shared" ca="1" si="108"/>
        <v>-1.3636211544561256</v>
      </c>
      <c r="BN136" s="6">
        <f t="shared" ca="1" si="109"/>
        <v>0.1771591586464738</v>
      </c>
      <c r="BO136" s="9">
        <f t="shared" ca="1" si="110"/>
        <v>154.16670986163757</v>
      </c>
      <c r="BP136" s="9">
        <f t="shared" ca="1" si="111"/>
        <v>-545.54490047779586</v>
      </c>
      <c r="BQ136">
        <f t="shared" ca="1" si="112"/>
        <v>566.9097043329657</v>
      </c>
      <c r="BR136">
        <f t="shared" ca="1" si="113"/>
        <v>0.27194226643735514</v>
      </c>
      <c r="BS136">
        <f t="shared" ca="1" si="114"/>
        <v>-0.96231356829513448</v>
      </c>
      <c r="BT136">
        <f t="shared" ca="1" si="115"/>
        <v>-1.2953855391257518</v>
      </c>
      <c r="BU136" s="39">
        <f t="shared" ca="1" si="116"/>
        <v>-6.132129514057203</v>
      </c>
    </row>
    <row r="137" spans="1:73" x14ac:dyDescent="0.25">
      <c r="AS137">
        <v>4.7123889803846861</v>
      </c>
      <c r="AT137">
        <v>184.1341636998244</v>
      </c>
      <c r="AU137">
        <v>-573.07886749997124</v>
      </c>
      <c r="AV137" s="6">
        <f t="shared" si="134"/>
        <v>5.0232769306493044</v>
      </c>
      <c r="AW137" s="6">
        <f t="shared" si="135"/>
        <v>0.31088795026461824</v>
      </c>
      <c r="AX137" s="6">
        <f t="shared" si="136"/>
        <v>-0.186532955717853</v>
      </c>
      <c r="AY137" s="6">
        <f t="shared" si="137"/>
        <v>0.186532955717853</v>
      </c>
      <c r="BE137" s="39"/>
      <c r="BF137" s="39"/>
      <c r="BG137" s="6">
        <f t="shared" si="102"/>
        <v>4.2586033748661656</v>
      </c>
      <c r="BH137" s="9">
        <f t="shared" ca="1" si="103"/>
        <v>123.15860099869477</v>
      </c>
      <c r="BI137" s="9">
        <f t="shared" ca="1" si="104"/>
        <v>-560.28499803308102</v>
      </c>
      <c r="BJ137">
        <f t="shared" ca="1" si="105"/>
        <v>573.66132867824138</v>
      </c>
      <c r="BK137" s="6">
        <f t="shared" ca="1" si="106"/>
        <v>0.21468869320939132</v>
      </c>
      <c r="BL137" s="6">
        <f t="shared" ca="1" si="107"/>
        <v>-0.97668253030759378</v>
      </c>
      <c r="BM137" s="6">
        <f t="shared" ca="1" si="108"/>
        <v>-1.3544232471021727</v>
      </c>
      <c r="BN137" s="6">
        <f t="shared" ca="1" si="109"/>
        <v>0.18635706600042679</v>
      </c>
      <c r="BO137" s="9">
        <f t="shared" ca="1" si="110"/>
        <v>160.89726648917065</v>
      </c>
      <c r="BP137" s="9">
        <f t="shared" ca="1" si="111"/>
        <v>-551.91458330710975</v>
      </c>
      <c r="BQ137">
        <f t="shared" ca="1" si="112"/>
        <v>574.88923944595433</v>
      </c>
      <c r="BR137">
        <f t="shared" ca="1" si="113"/>
        <v>0.27987524456751761</v>
      </c>
      <c r="BS137">
        <f t="shared" ca="1" si="114"/>
        <v>-0.96003637820567622</v>
      </c>
      <c r="BT137">
        <f t="shared" ca="1" si="115"/>
        <v>-1.287132168699707</v>
      </c>
      <c r="BU137" s="39">
        <f t="shared" ca="1" si="116"/>
        <v>-6.1238761436311586</v>
      </c>
    </row>
    <row r="138" spans="1:73" x14ac:dyDescent="0.25">
      <c r="AS138">
        <v>4.7472955654245723</v>
      </c>
      <c r="AT138">
        <v>184.72632147692411</v>
      </c>
      <c r="AU138">
        <v>-572.78369981452079</v>
      </c>
      <c r="AV138" s="6">
        <f t="shared" si="134"/>
        <v>5.0243637145696516</v>
      </c>
      <c r="AW138" s="6">
        <f t="shared" si="135"/>
        <v>0.27706814914507927</v>
      </c>
      <c r="AX138" s="6">
        <f t="shared" si="136"/>
        <v>-0.18761973963820022</v>
      </c>
      <c r="AY138" s="6">
        <f t="shared" si="137"/>
        <v>0.18761973963820022</v>
      </c>
      <c r="BE138" s="39"/>
      <c r="BF138" s="39"/>
      <c r="BG138" s="6">
        <f t="shared" si="102"/>
        <v>4.2935099599060518</v>
      </c>
      <c r="BH138" s="9">
        <f t="shared" ca="1" si="103"/>
        <v>129.76719358123356</v>
      </c>
      <c r="BI138" s="9">
        <f t="shared" ca="1" si="104"/>
        <v>-566.50029321239333</v>
      </c>
      <c r="BJ138">
        <f t="shared" ca="1" si="105"/>
        <v>581.17304371389844</v>
      </c>
      <c r="BK138" s="6">
        <f t="shared" ca="1" si="106"/>
        <v>0.22328494926739192</v>
      </c>
      <c r="BL138" s="6">
        <f t="shared" ca="1" si="107"/>
        <v>-0.97475321565545936</v>
      </c>
      <c r="BM138" s="6">
        <f t="shared" ca="1" si="108"/>
        <v>-1.3456131179719404</v>
      </c>
      <c r="BN138" s="6">
        <f t="shared" ca="1" si="109"/>
        <v>0.19516719513065905</v>
      </c>
      <c r="BO138" s="9">
        <f t="shared" ca="1" si="110"/>
        <v>167.50585907170944</v>
      </c>
      <c r="BP138" s="9">
        <f t="shared" ca="1" si="111"/>
        <v>-558.12987848642206</v>
      </c>
      <c r="BQ138">
        <f t="shared" ca="1" si="112"/>
        <v>582.72392612850524</v>
      </c>
      <c r="BR138">
        <f t="shared" ca="1" si="113"/>
        <v>0.28745320307093447</v>
      </c>
      <c r="BS138">
        <f t="shared" ca="1" si="114"/>
        <v>-0.95779468365838205</v>
      </c>
      <c r="BT138">
        <f t="shared" ca="1" si="115"/>
        <v>-1.2792295758003762</v>
      </c>
      <c r="BU138" s="39">
        <f t="shared" ca="1" si="116"/>
        <v>-6.1159735507318276</v>
      </c>
    </row>
    <row r="139" spans="1:73" x14ac:dyDescent="0.25">
      <c r="AS139">
        <v>4.7822021504644585</v>
      </c>
      <c r="AT139">
        <v>185.31740474919695</v>
      </c>
      <c r="AU139">
        <v>-572.47602437074272</v>
      </c>
      <c r="AV139" s="6">
        <f t="shared" si="134"/>
        <v>5.0254555594667423</v>
      </c>
      <c r="AW139" s="6">
        <f t="shared" si="135"/>
        <v>0.24325340900228376</v>
      </c>
      <c r="AX139" s="6">
        <f t="shared" si="136"/>
        <v>-0.18871158453529091</v>
      </c>
      <c r="AY139" s="6">
        <f t="shared" si="137"/>
        <v>0.18871158453529091</v>
      </c>
      <c r="BE139" s="39"/>
      <c r="BF139" s="39"/>
      <c r="BG139" s="6">
        <f t="shared" si="102"/>
        <v>4.328416544945938</v>
      </c>
      <c r="BH139" s="9">
        <f t="shared" ca="1" si="103"/>
        <v>136.27175235669128</v>
      </c>
      <c r="BI139" s="9">
        <f t="shared" ca="1" si="104"/>
        <v>-572.58123999301097</v>
      </c>
      <c r="BJ139">
        <f t="shared" ca="1" si="105"/>
        <v>588.57392643770538</v>
      </c>
      <c r="BK139" s="6">
        <f t="shared" ca="1" si="106"/>
        <v>0.2315286937385499</v>
      </c>
      <c r="BL139" s="6">
        <f t="shared" ca="1" si="107"/>
        <v>-0.97282807524028658</v>
      </c>
      <c r="BM139" s="6">
        <f t="shared" ca="1" si="108"/>
        <v>-1.3371475455445638</v>
      </c>
      <c r="BN139" s="6">
        <f t="shared" ca="1" si="109"/>
        <v>0.20363276755803561</v>
      </c>
      <c r="BO139" s="9">
        <f t="shared" ca="1" si="110"/>
        <v>174.01041784716716</v>
      </c>
      <c r="BP139" s="9">
        <f t="shared" ca="1" si="111"/>
        <v>-564.2108252670397</v>
      </c>
      <c r="BQ139">
        <f t="shared" ca="1" si="112"/>
        <v>590.4349929228955</v>
      </c>
      <c r="BR139">
        <f t="shared" ca="1" si="113"/>
        <v>0.29471562480696512</v>
      </c>
      <c r="BS139">
        <f t="shared" ca="1" si="114"/>
        <v>-0.955585004327004</v>
      </c>
      <c r="BT139">
        <f t="shared" ca="1" si="115"/>
        <v>-1.2716384145620669</v>
      </c>
      <c r="BU139" s="39">
        <f t="shared" ca="1" si="116"/>
        <v>-6.1083823894935181</v>
      </c>
    </row>
    <row r="140" spans="1:73" x14ac:dyDescent="0.25">
      <c r="AS140">
        <v>4.8171087355043447</v>
      </c>
      <c r="AT140">
        <v>185.90890560399987</v>
      </c>
      <c r="AU140">
        <v>-572.15487736881437</v>
      </c>
      <c r="AV140" s="6">
        <f t="shared" si="134"/>
        <v>5.0265553860128973</v>
      </c>
      <c r="AW140" s="6">
        <f t="shared" si="135"/>
        <v>0.2094466505085526</v>
      </c>
      <c r="AX140" s="6">
        <f t="shared" si="136"/>
        <v>-0.18981141108144592</v>
      </c>
      <c r="AY140" s="6">
        <f t="shared" si="137"/>
        <v>0.18981141108144592</v>
      </c>
      <c r="BE140" s="39"/>
      <c r="BF140" s="39"/>
      <c r="BG140" s="6">
        <f t="shared" si="102"/>
        <v>4.3633231299858242</v>
      </c>
      <c r="BH140" s="9">
        <f t="shared" ca="1" si="103"/>
        <v>140.60374167181075</v>
      </c>
      <c r="BI140" s="9">
        <f t="shared" ca="1" si="104"/>
        <v>-576.6149284707177</v>
      </c>
      <c r="BJ140">
        <f t="shared" ca="1" si="105"/>
        <v>593.51005712405936</v>
      </c>
      <c r="BK140" s="6">
        <f t="shared" ca="1" si="106"/>
        <v>0.23690203726812473</v>
      </c>
      <c r="BL140" s="6">
        <f t="shared" ca="1" si="107"/>
        <v>-0.97153354277565318</v>
      </c>
      <c r="BM140" s="6">
        <f t="shared" ca="1" si="108"/>
        <v>-1.3316204565496781</v>
      </c>
      <c r="BN140" s="6">
        <f t="shared" ca="1" si="109"/>
        <v>0.20915985655292135</v>
      </c>
      <c r="BO140" s="9">
        <f t="shared" ca="1" si="110"/>
        <v>178.34240716228663</v>
      </c>
      <c r="BP140" s="9">
        <f t="shared" ca="1" si="111"/>
        <v>-568.24451374474643</v>
      </c>
      <c r="BQ140">
        <f t="shared" ca="1" si="112"/>
        <v>595.57354003803937</v>
      </c>
      <c r="BR140">
        <f t="shared" ca="1" si="113"/>
        <v>0.29944649178151178</v>
      </c>
      <c r="BS140">
        <f t="shared" ca="1" si="114"/>
        <v>-0.95411309526687937</v>
      </c>
      <c r="BT140">
        <f t="shared" ca="1" si="115"/>
        <v>-1.2666838541549508</v>
      </c>
      <c r="BU140" s="39">
        <f t="shared" ca="1" si="116"/>
        <v>-6.1034278290864021</v>
      </c>
    </row>
    <row r="141" spans="1:73" x14ac:dyDescent="0.25">
      <c r="AS141">
        <v>4.8520153205442309</v>
      </c>
      <c r="AT141">
        <v>186.50232016455212</v>
      </c>
      <c r="AU141">
        <v>-571.81915766373356</v>
      </c>
      <c r="AV141" s="6">
        <f t="shared" si="134"/>
        <v>5.0276661985747531</v>
      </c>
      <c r="AW141" s="6">
        <f t="shared" si="135"/>
        <v>0.17565087803052215</v>
      </c>
      <c r="AX141" s="6">
        <f t="shared" si="136"/>
        <v>-0.19092222364330166</v>
      </c>
      <c r="AY141" s="6">
        <f t="shared" si="137"/>
        <v>0.19092222364330166</v>
      </c>
      <c r="BE141" s="39"/>
      <c r="BF141" s="39"/>
      <c r="BG141" s="6">
        <f t="shared" si="102"/>
        <v>4.3982297150257104</v>
      </c>
      <c r="BH141" s="9">
        <f t="shared" ca="1" si="103"/>
        <v>141.2252336085042</v>
      </c>
      <c r="BI141" s="9">
        <f t="shared" ca="1" si="104"/>
        <v>-577.19525398009353</v>
      </c>
      <c r="BJ141">
        <f t="shared" ca="1" si="105"/>
        <v>594.22127850231118</v>
      </c>
      <c r="BK141" s="6">
        <f t="shared" ca="1" si="106"/>
        <v>0.23766438314772484</v>
      </c>
      <c r="BL141" s="6">
        <f t="shared" ca="1" si="107"/>
        <v>-0.97134733282333741</v>
      </c>
      <c r="BM141" s="6">
        <f t="shared" ca="1" si="108"/>
        <v>-1.3308356983588383</v>
      </c>
      <c r="BN141" s="6">
        <f t="shared" ca="1" si="109"/>
        <v>0.20994461474376114</v>
      </c>
      <c r="BO141" s="9">
        <f t="shared" ca="1" si="110"/>
        <v>178.96389909898008</v>
      </c>
      <c r="BP141" s="9">
        <f t="shared" ca="1" si="111"/>
        <v>-568.82483925412225</v>
      </c>
      <c r="BQ141">
        <f t="shared" ca="1" si="112"/>
        <v>596.31348713003968</v>
      </c>
      <c r="BR141">
        <f t="shared" ca="1" si="113"/>
        <v>0.30011714133836609</v>
      </c>
      <c r="BS141">
        <f t="shared" ca="1" si="114"/>
        <v>-0.95390235426635106</v>
      </c>
      <c r="BT141">
        <f t="shared" ca="1" si="115"/>
        <v>-1.2659808729192383</v>
      </c>
      <c r="BU141" s="39">
        <f t="shared" ca="1" si="116"/>
        <v>-6.1027248478506895</v>
      </c>
    </row>
    <row r="142" spans="1:73" x14ac:dyDescent="0.25">
      <c r="AS142">
        <v>4.8869219055841171</v>
      </c>
      <c r="AT142">
        <v>187.09916397963016</v>
      </c>
      <c r="AU142">
        <v>-571.46761133212203</v>
      </c>
      <c r="AV142" s="6">
        <f t="shared" si="134"/>
        <v>5.0287911194602168</v>
      </c>
      <c r="AW142" s="6">
        <f t="shared" si="135"/>
        <v>0.14186921387609974</v>
      </c>
      <c r="AX142" s="6">
        <f t="shared" si="136"/>
        <v>-0.19204714452876548</v>
      </c>
      <c r="AY142" s="6">
        <f t="shared" si="137"/>
        <v>0.19204714452876548</v>
      </c>
      <c r="BE142" s="39"/>
      <c r="BF142" s="39"/>
      <c r="BG142" s="6">
        <f t="shared" si="102"/>
        <v>4.4331363000655966</v>
      </c>
      <c r="BH142" s="9">
        <f t="shared" ca="1" si="103"/>
        <v>141.83516607328963</v>
      </c>
      <c r="BI142" s="9">
        <f t="shared" ca="1" si="104"/>
        <v>-577.75690530599888</v>
      </c>
      <c r="BJ142">
        <f t="shared" ca="1" si="105"/>
        <v>594.91197329000079</v>
      </c>
      <c r="BK142" s="6">
        <f t="shared" ca="1" si="106"/>
        <v>0.238413702264065</v>
      </c>
      <c r="BL142" s="6">
        <f t="shared" ca="1" si="107"/>
        <v>-0.97116368680709109</v>
      </c>
      <c r="BM142" s="6">
        <f t="shared" ca="1" si="108"/>
        <v>-1.330064203040046</v>
      </c>
      <c r="BN142" s="6">
        <f t="shared" ca="1" si="109"/>
        <v>0.21071611006255342</v>
      </c>
      <c r="BO142" s="9">
        <f t="shared" ca="1" si="110"/>
        <v>179.57383156376551</v>
      </c>
      <c r="BP142" s="9">
        <f t="shared" ca="1" si="111"/>
        <v>-569.38649058002761</v>
      </c>
      <c r="BQ142">
        <f t="shared" ca="1" si="112"/>
        <v>597.03244186353186</v>
      </c>
      <c r="BR142">
        <f t="shared" ca="1" si="113"/>
        <v>0.30077734302554371</v>
      </c>
      <c r="BS142">
        <f t="shared" ca="1" si="114"/>
        <v>-0.95369439021234381</v>
      </c>
      <c r="BT142">
        <f t="shared" ca="1" si="115"/>
        <v>-1.2652886913428867</v>
      </c>
      <c r="BU142" s="39">
        <f t="shared" ca="1" si="116"/>
        <v>-6.1020326662743383</v>
      </c>
    </row>
    <row r="143" spans="1:73" x14ac:dyDescent="0.25">
      <c r="AS143">
        <v>4.9218284906240033</v>
      </c>
      <c r="AT143">
        <v>187.70098783561286</v>
      </c>
      <c r="AU143">
        <v>-571.09881274809175</v>
      </c>
      <c r="AV143" s="6">
        <f t="shared" si="134"/>
        <v>5.0299334259360267</v>
      </c>
      <c r="AW143" s="6">
        <f t="shared" si="135"/>
        <v>0.10810493531202336</v>
      </c>
      <c r="AX143" s="6">
        <f t="shared" si="136"/>
        <v>-0.19318945100457532</v>
      </c>
      <c r="AY143" s="6">
        <f t="shared" si="137"/>
        <v>0.19318945100457532</v>
      </c>
      <c r="BE143" s="39"/>
      <c r="BF143" s="39"/>
      <c r="BG143" s="6">
        <f t="shared" si="102"/>
        <v>4.4680428851054828</v>
      </c>
      <c r="BH143" s="9">
        <f t="shared" ca="1" si="103"/>
        <v>142.43539675482319</v>
      </c>
      <c r="BI143" s="9">
        <f t="shared" ca="1" si="104"/>
        <v>-578.30284532685107</v>
      </c>
      <c r="BJ143">
        <f t="shared" ca="1" si="105"/>
        <v>595.58544572700544</v>
      </c>
      <c r="BK143" s="6">
        <f t="shared" ca="1" si="106"/>
        <v>0.23915190973305006</v>
      </c>
      <c r="BL143" s="6">
        <f t="shared" ca="1" si="107"/>
        <v>-0.970982164651357</v>
      </c>
      <c r="BM143" s="6">
        <f t="shared" ca="1" si="108"/>
        <v>-1.3293040053104266</v>
      </c>
      <c r="BN143" s="6">
        <f t="shared" ca="1" si="109"/>
        <v>0.21147630779217286</v>
      </c>
      <c r="BO143" s="9">
        <f t="shared" ca="1" si="110"/>
        <v>180.17406224529907</v>
      </c>
      <c r="BP143" s="9">
        <f t="shared" ca="1" si="111"/>
        <v>-569.9324306008798</v>
      </c>
      <c r="BQ143">
        <f t="shared" ca="1" si="112"/>
        <v>597.73377699156299</v>
      </c>
      <c r="BR143">
        <f t="shared" ca="1" si="113"/>
        <v>0.30142861116553937</v>
      </c>
      <c r="BS143">
        <f t="shared" ca="1" si="114"/>
        <v>-0.9534887478994255</v>
      </c>
      <c r="BT143">
        <f t="shared" ca="1" si="115"/>
        <v>-1.2646057279696621</v>
      </c>
      <c r="BU143" s="39">
        <f t="shared" ca="1" si="116"/>
        <v>-6.1013497029011132</v>
      </c>
    </row>
    <row r="144" spans="1:73" x14ac:dyDescent="0.25">
      <c r="AS144">
        <v>4.9567350756638895</v>
      </c>
      <c r="AT144">
        <v>188.29402938209515</v>
      </c>
      <c r="AU144">
        <v>-570.65211846339571</v>
      </c>
      <c r="AV144" s="6">
        <f t="shared" si="134"/>
        <v>5.0311030862006225</v>
      </c>
      <c r="AW144" s="6">
        <f t="shared" si="135"/>
        <v>7.4368010536733031E-2</v>
      </c>
      <c r="AX144" s="6">
        <f t="shared" si="136"/>
        <v>-0.19435911126917116</v>
      </c>
      <c r="AY144" s="6">
        <f t="shared" si="137"/>
        <v>0.19435911126917116</v>
      </c>
      <c r="BE144" s="39"/>
      <c r="BF144" s="39"/>
      <c r="BG144" s="6">
        <f t="shared" ref="BG144:BG207" si="138">AS131</f>
        <v>4.5029494701453689</v>
      </c>
      <c r="BH144" s="9">
        <f t="shared" ref="BH144:BH207" ca="1" si="139">AT131-$BG$5</f>
        <v>143.02767659233447</v>
      </c>
      <c r="BI144" s="9">
        <f t="shared" ref="BI144:BI207" ca="1" si="140">AU131-$BH$5</f>
        <v>-578.83582063880692</v>
      </c>
      <c r="BJ144">
        <f t="shared" ref="BJ144:BJ207" ca="1" si="141">SQRT(POWER(BH144,2)+POWER(BI144,2))</f>
        <v>596.24476813302306</v>
      </c>
      <c r="BK144" s="6">
        <f t="shared" ref="BK144:BK207" ca="1" si="142">BH144/BJ144</f>
        <v>0.2398808077430791</v>
      </c>
      <c r="BL144" s="6">
        <f t="shared" ref="BL144:BL207" ca="1" si="143">BI144/BJ144</f>
        <v>-0.97080234758499018</v>
      </c>
      <c r="BM144" s="6">
        <f t="shared" ref="BM144:BM207" ca="1" si="144">ATAN2(BK144,BL144)</f>
        <v>-1.3285532546774905</v>
      </c>
      <c r="BN144" s="6">
        <f t="shared" ref="BN144:BN207" ca="1" si="145">BM144-$BJ$11</f>
        <v>0.21222705842510892</v>
      </c>
      <c r="BO144" s="9">
        <f t="shared" ref="BO144:BO207" ca="1" si="146">BH144+$BG$5</f>
        <v>180.76634208281035</v>
      </c>
      <c r="BP144" s="9">
        <f t="shared" ref="BP144:BP207" ca="1" si="147">BI144+$BH$5</f>
        <v>-570.46540591283565</v>
      </c>
      <c r="BQ144">
        <f t="shared" ref="BQ144:BQ207" ca="1" si="148">SQRT(POWER(BO144,2)+POWER(BP144,2))</f>
        <v>598.42062946834983</v>
      </c>
      <c r="BR144">
        <f t="shared" ref="BR144:BR207" ca="1" si="149">BO144/BQ144</f>
        <v>0.30207237715619395</v>
      </c>
      <c r="BS144">
        <f t="shared" ref="BS144:BS207" ca="1" si="150">BP144/BQ144</f>
        <v>-0.95328499356656504</v>
      </c>
      <c r="BT144">
        <f t="shared" ref="BT144:BT207" ca="1" si="151">ATAN2(BR144,BS144)</f>
        <v>-1.2639304869044068</v>
      </c>
      <c r="BU144" s="39">
        <f t="shared" ref="BU144:BU207" ca="1" si="152">BT144-$U$13</f>
        <v>-6.1006744618358582</v>
      </c>
    </row>
    <row r="145" spans="45:73" x14ac:dyDescent="0.25">
      <c r="AS145">
        <v>4.9916416607037757</v>
      </c>
      <c r="AT145">
        <v>188.89386302266053</v>
      </c>
      <c r="AU145">
        <v>-570.18041121495901</v>
      </c>
      <c r="AV145" s="6">
        <f t="shared" si="134"/>
        <v>5.0322975038554763</v>
      </c>
      <c r="AW145" s="6">
        <f t="shared" si="135"/>
        <v>4.0655843151700566E-2</v>
      </c>
      <c r="AX145" s="6">
        <f t="shared" si="136"/>
        <v>-0.19555352892402489</v>
      </c>
      <c r="AY145" s="6">
        <f t="shared" si="137"/>
        <v>0.19555352892402489</v>
      </c>
      <c r="BE145" s="39"/>
      <c r="BF145" s="39"/>
      <c r="BG145" s="6">
        <f t="shared" si="138"/>
        <v>4.5378560551852551</v>
      </c>
      <c r="BH145" s="9">
        <f t="shared" ca="1" si="139"/>
        <v>143.61367161622758</v>
      </c>
      <c r="BI145" s="9">
        <f t="shared" ca="1" si="140"/>
        <v>-579.35841402859182</v>
      </c>
      <c r="BJ145">
        <f t="shared" ca="1" si="141"/>
        <v>596.8928367645392</v>
      </c>
      <c r="BK145" s="6">
        <f t="shared" ca="1" si="142"/>
        <v>0.24060210270688831</v>
      </c>
      <c r="BL145" s="6">
        <f t="shared" ca="1" si="143"/>
        <v>-0.97062383453788326</v>
      </c>
      <c r="BM145" s="6">
        <f t="shared" ca="1" si="144"/>
        <v>-1.3278101979110128</v>
      </c>
      <c r="BN145" s="6">
        <f t="shared" ca="1" si="145"/>
        <v>0.2129701151915866</v>
      </c>
      <c r="BO145" s="9">
        <f t="shared" ca="1" si="146"/>
        <v>181.35233710670346</v>
      </c>
      <c r="BP145" s="9">
        <f t="shared" ca="1" si="147"/>
        <v>-570.98799930262055</v>
      </c>
      <c r="BQ145">
        <f t="shared" ca="1" si="148"/>
        <v>599.09595685638942</v>
      </c>
      <c r="BR145">
        <f t="shared" ca="1" si="149"/>
        <v>0.30271000001119325</v>
      </c>
      <c r="BS145">
        <f t="shared" ca="1" si="150"/>
        <v>-0.95308271198948069</v>
      </c>
      <c r="BT145">
        <f t="shared" ca="1" si="151"/>
        <v>-1.2632615468784465</v>
      </c>
      <c r="BU145" s="39">
        <f t="shared" ca="1" si="152"/>
        <v>-6.1000055218098979</v>
      </c>
    </row>
    <row r="146" spans="45:73" x14ac:dyDescent="0.25">
      <c r="AS146">
        <v>5.0265482457436619</v>
      </c>
      <c r="AT146">
        <v>189.50381514186421</v>
      </c>
      <c r="AU146">
        <v>-569.68763085737851</v>
      </c>
      <c r="AV146" s="6">
        <f t="shared" si="134"/>
        <v>5.0335200225584877</v>
      </c>
      <c r="AW146" s="6">
        <f t="shared" si="135"/>
        <v>6.9717768148258585E-3</v>
      </c>
      <c r="AX146" s="6">
        <f t="shared" si="136"/>
        <v>-0.19677604762703638</v>
      </c>
      <c r="AY146" s="6">
        <f t="shared" si="137"/>
        <v>0.19677604762703638</v>
      </c>
      <c r="BE146" s="39"/>
      <c r="BF146" s="39"/>
      <c r="BG146" s="6">
        <f t="shared" si="138"/>
        <v>4.5727626402251413</v>
      </c>
      <c r="BH146" s="9">
        <f t="shared" ca="1" si="139"/>
        <v>144.1949828112412</v>
      </c>
      <c r="BI146" s="9">
        <f t="shared" ca="1" si="140"/>
        <v>-579.87309240110994</v>
      </c>
      <c r="BJ146">
        <f t="shared" ca="1" si="141"/>
        <v>597.53242285148042</v>
      </c>
      <c r="BK146" s="6">
        <f t="shared" ca="1" si="142"/>
        <v>0.24131742027173908</v>
      </c>
      <c r="BL146" s="6">
        <f t="shared" ca="1" si="143"/>
        <v>-0.97044623894030968</v>
      </c>
      <c r="BM146" s="6">
        <f t="shared" ca="1" si="144"/>
        <v>-1.3270731636923689</v>
      </c>
      <c r="BN146" s="6">
        <f t="shared" ca="1" si="145"/>
        <v>0.2137071494102305</v>
      </c>
      <c r="BO146" s="9">
        <f t="shared" ca="1" si="146"/>
        <v>181.93364830171708</v>
      </c>
      <c r="BP146" s="9">
        <f t="shared" ca="1" si="147"/>
        <v>-571.50267767513867</v>
      </c>
      <c r="BQ146">
        <f t="shared" ca="1" si="148"/>
        <v>599.76258884180697</v>
      </c>
      <c r="BR146">
        <f t="shared" ca="1" si="149"/>
        <v>0.30334277543560456</v>
      </c>
      <c r="BS146">
        <f t="shared" ca="1" si="150"/>
        <v>-0.95288150396102467</v>
      </c>
      <c r="BT146">
        <f t="shared" ca="1" si="151"/>
        <v>-1.2625975518297807</v>
      </c>
      <c r="BU146" s="39">
        <f t="shared" ca="1" si="152"/>
        <v>-6.0993415267612319</v>
      </c>
    </row>
    <row r="147" spans="45:73" x14ac:dyDescent="0.25">
      <c r="AS147">
        <v>5.0614548307835481</v>
      </c>
      <c r="AT147">
        <v>190.12572096790259</v>
      </c>
      <c r="AU147">
        <v>-569.17121405877401</v>
      </c>
      <c r="AV147" s="6">
        <f t="shared" si="134"/>
        <v>5.0347750341844382</v>
      </c>
      <c r="AW147" s="6">
        <f t="shared" si="135"/>
        <v>2.6679796599109906E-2</v>
      </c>
      <c r="AX147" s="6">
        <f t="shared" si="136"/>
        <v>-0.19803105925298681</v>
      </c>
      <c r="AY147" s="6">
        <f t="shared" si="137"/>
        <v>0.19803105925298681</v>
      </c>
      <c r="BE147" s="39"/>
      <c r="BF147" s="39"/>
      <c r="BG147" s="6">
        <f t="shared" si="138"/>
        <v>4.6076692252650275</v>
      </c>
      <c r="BH147" s="9">
        <f t="shared" ca="1" si="139"/>
        <v>144.77316451328394</v>
      </c>
      <c r="BI147" s="9">
        <f t="shared" ca="1" si="140"/>
        <v>-580.38225192460516</v>
      </c>
      <c r="BJ147">
        <f t="shared" ca="1" si="141"/>
        <v>598.16622063793125</v>
      </c>
      <c r="BK147" s="6">
        <f t="shared" ca="1" si="142"/>
        <v>0.24202831841438074</v>
      </c>
      <c r="BL147" s="6">
        <f t="shared" ca="1" si="143"/>
        <v>-0.9702691858888991</v>
      </c>
      <c r="BM147" s="6">
        <f t="shared" ca="1" si="144"/>
        <v>-1.3263405492124196</v>
      </c>
      <c r="BN147" s="6">
        <f t="shared" ca="1" si="145"/>
        <v>0.21443976389017982</v>
      </c>
      <c r="BO147" s="9">
        <f t="shared" ca="1" si="146"/>
        <v>182.51183000375983</v>
      </c>
      <c r="BP147" s="9">
        <f t="shared" ca="1" si="147"/>
        <v>-572.01183719863388</v>
      </c>
      <c r="BQ147">
        <f t="shared" ca="1" si="148"/>
        <v>600.42327568697544</v>
      </c>
      <c r="BR147">
        <f t="shared" ca="1" si="149"/>
        <v>0.30397194345095729</v>
      </c>
      <c r="BS147">
        <f t="shared" ca="1" si="150"/>
        <v>-0.95268098416765312</v>
      </c>
      <c r="BT147">
        <f t="shared" ca="1" si="151"/>
        <v>-1.261937202986424</v>
      </c>
      <c r="BU147" s="39">
        <f t="shared" ca="1" si="152"/>
        <v>-6.0986811779178751</v>
      </c>
    </row>
    <row r="148" spans="45:73" x14ac:dyDescent="0.25">
      <c r="AS148">
        <v>5.0963614158234343</v>
      </c>
      <c r="AT148">
        <v>190.7615510144156</v>
      </c>
      <c r="AU148">
        <v>-568.6282659532975</v>
      </c>
      <c r="AV148" s="6">
        <f t="shared" si="134"/>
        <v>5.0360673494013328</v>
      </c>
      <c r="AW148" s="6">
        <f t="shared" si="135"/>
        <v>6.0294066422101444E-2</v>
      </c>
      <c r="AX148" s="6">
        <f t="shared" si="136"/>
        <v>-0.19932337446988146</v>
      </c>
      <c r="AY148" s="6">
        <f t="shared" si="137"/>
        <v>0.19932337446988146</v>
      </c>
      <c r="BE148" s="39"/>
      <c r="BF148" s="39"/>
      <c r="BG148" s="6">
        <f t="shared" si="138"/>
        <v>4.6425758103049137</v>
      </c>
      <c r="BH148" s="9">
        <f t="shared" ca="1" si="139"/>
        <v>145.34974181422805</v>
      </c>
      <c r="BI148" s="9">
        <f t="shared" ca="1" si="140"/>
        <v>-580.88826209644913</v>
      </c>
      <c r="BJ148">
        <f t="shared" ca="1" si="141"/>
        <v>598.79689418608018</v>
      </c>
      <c r="BK148" s="6">
        <f t="shared" ca="1" si="142"/>
        <v>0.2427362987775612</v>
      </c>
      <c r="BL148" s="6">
        <f t="shared" ca="1" si="143"/>
        <v>-0.97009230965706073</v>
      </c>
      <c r="BM148" s="6">
        <f t="shared" ca="1" si="144"/>
        <v>-1.3256108085600848</v>
      </c>
      <c r="BN148" s="6">
        <f t="shared" ca="1" si="145"/>
        <v>0.2151695045425146</v>
      </c>
      <c r="BO148" s="9">
        <f t="shared" ca="1" si="146"/>
        <v>183.08840730470394</v>
      </c>
      <c r="BP148" s="9">
        <f t="shared" ca="1" si="147"/>
        <v>-572.51784737047785</v>
      </c>
      <c r="BQ148">
        <f t="shared" ca="1" si="148"/>
        <v>601.08073538177791</v>
      </c>
      <c r="BR148">
        <f t="shared" ca="1" si="149"/>
        <v>0.30459869453046917</v>
      </c>
      <c r="BS148">
        <f t="shared" ca="1" si="150"/>
        <v>-0.95248077948603982</v>
      </c>
      <c r="BT148">
        <f t="shared" ca="1" si="151"/>
        <v>-1.2612792524975376</v>
      </c>
      <c r="BU148" s="39">
        <f t="shared" ca="1" si="152"/>
        <v>-6.0980232274289889</v>
      </c>
    </row>
    <row r="149" spans="45:73" x14ac:dyDescent="0.25">
      <c r="AS149">
        <v>5.1312680008633205</v>
      </c>
      <c r="AT149">
        <v>191.41343836317688</v>
      </c>
      <c r="AU149">
        <v>-568.05549850355908</v>
      </c>
      <c r="AV149" s="6">
        <f t="shared" si="134"/>
        <v>5.0374022801441614</v>
      </c>
      <c r="AW149" s="6">
        <f t="shared" si="135"/>
        <v>9.3865720719159107E-2</v>
      </c>
      <c r="AX149" s="6">
        <f t="shared" si="136"/>
        <v>-0.20065830521271003</v>
      </c>
      <c r="AY149" s="6">
        <f t="shared" si="137"/>
        <v>0.20065830521271003</v>
      </c>
      <c r="BE149" s="39"/>
      <c r="BF149" s="39"/>
      <c r="BG149" s="6">
        <f t="shared" si="138"/>
        <v>4.6774823953447999</v>
      </c>
      <c r="BH149" s="9">
        <f t="shared" ca="1" si="139"/>
        <v>145.92622741646178</v>
      </c>
      <c r="BI149" s="9">
        <f t="shared" ca="1" si="140"/>
        <v>-581.39351043682325</v>
      </c>
      <c r="BJ149">
        <f t="shared" ca="1" si="141"/>
        <v>599.42712469995331</v>
      </c>
      <c r="BK149" s="6">
        <f t="shared" ca="1" si="142"/>
        <v>0.2434428163215103</v>
      </c>
      <c r="BL149" s="6">
        <f t="shared" ca="1" si="143"/>
        <v>-0.96991525154595415</v>
      </c>
      <c r="BM149" s="6">
        <f t="shared" ca="1" si="144"/>
        <v>-1.3248824428291017</v>
      </c>
      <c r="BN149" s="6">
        <f t="shared" ca="1" si="145"/>
        <v>0.21589787027349772</v>
      </c>
      <c r="BO149" s="9">
        <f t="shared" ca="1" si="146"/>
        <v>183.66489290693767</v>
      </c>
      <c r="BP149" s="9">
        <f t="shared" ca="1" si="147"/>
        <v>-573.02309571085198</v>
      </c>
      <c r="BQ149">
        <f t="shared" ca="1" si="148"/>
        <v>601.73770124911164</v>
      </c>
      <c r="BR149">
        <f t="shared" ca="1" si="149"/>
        <v>0.30522417413048675</v>
      </c>
      <c r="BS149">
        <f t="shared" ca="1" si="150"/>
        <v>-0.95228052774713512</v>
      </c>
      <c r="BT149">
        <f t="shared" ca="1" si="151"/>
        <v>-1.2606224987351</v>
      </c>
      <c r="BU149" s="39">
        <f t="shared" ca="1" si="152"/>
        <v>-6.0973664736665514</v>
      </c>
    </row>
    <row r="150" spans="45:73" x14ac:dyDescent="0.25">
      <c r="AS150">
        <v>5.1661745859032067</v>
      </c>
      <c r="AT150">
        <v>192.08371022826114</v>
      </c>
      <c r="AU150">
        <v>-567.44915584880346</v>
      </c>
      <c r="AV150" s="6">
        <f t="shared" si="134"/>
        <v>5.0387857376112297</v>
      </c>
      <c r="AW150" s="6">
        <f t="shared" si="135"/>
        <v>0.12738884829197694</v>
      </c>
      <c r="AX150" s="6">
        <f t="shared" si="136"/>
        <v>-0.20204176267977836</v>
      </c>
      <c r="AY150" s="6">
        <f t="shared" si="137"/>
        <v>0.20204176267977836</v>
      </c>
      <c r="BE150" s="39"/>
      <c r="BF150" s="39"/>
      <c r="BG150" s="6">
        <f t="shared" si="138"/>
        <v>4.7123889803846861</v>
      </c>
      <c r="BH150" s="9">
        <f t="shared" ca="1" si="139"/>
        <v>146.39549820934852</v>
      </c>
      <c r="BI150" s="9">
        <f t="shared" ca="1" si="140"/>
        <v>-581.44928222594251</v>
      </c>
      <c r="BJ150">
        <f t="shared" ca="1" si="141"/>
        <v>599.59562181275726</v>
      </c>
      <c r="BK150" s="6">
        <f t="shared" ca="1" si="142"/>
        <v>0.24415704999104404</v>
      </c>
      <c r="BL150" s="6">
        <f t="shared" ca="1" si="143"/>
        <v>-0.96973570365315054</v>
      </c>
      <c r="BM150" s="6">
        <f t="shared" ca="1" si="144"/>
        <v>-1.3241459869885932</v>
      </c>
      <c r="BN150" s="6">
        <f t="shared" ca="1" si="145"/>
        <v>0.21663432611400624</v>
      </c>
      <c r="BO150" s="9">
        <f t="shared" ca="1" si="146"/>
        <v>184.1341636998244</v>
      </c>
      <c r="BP150" s="9">
        <f t="shared" ca="1" si="147"/>
        <v>-573.07886749997124</v>
      </c>
      <c r="BQ150">
        <f t="shared" ca="1" si="148"/>
        <v>601.93419791243241</v>
      </c>
      <c r="BR150">
        <f t="shared" ca="1" si="149"/>
        <v>0.30590414091510332</v>
      </c>
      <c r="BS150">
        <f t="shared" ca="1" si="150"/>
        <v>-0.95206231758797832</v>
      </c>
      <c r="BT150">
        <f t="shared" ca="1" si="151"/>
        <v>-1.2599083765302823</v>
      </c>
      <c r="BU150" s="39">
        <f t="shared" ca="1" si="152"/>
        <v>-6.0966523514617332</v>
      </c>
    </row>
    <row r="151" spans="45:73" x14ac:dyDescent="0.25">
      <c r="AS151">
        <v>5.2010811709430929</v>
      </c>
      <c r="AT151">
        <v>192.77492483850679</v>
      </c>
      <c r="AU151">
        <v>-566.804923167114</v>
      </c>
      <c r="AV151" s="6">
        <f t="shared" si="134"/>
        <v>5.0402243498468424</v>
      </c>
      <c r="AW151" s="6">
        <f t="shared" si="135"/>
        <v>0.16085682109625044</v>
      </c>
      <c r="AX151" s="6">
        <f t="shared" si="136"/>
        <v>-0.20348037491539106</v>
      </c>
      <c r="AY151" s="6">
        <f t="shared" si="137"/>
        <v>0.20348037491539106</v>
      </c>
      <c r="BE151" s="39"/>
      <c r="BF151" s="39"/>
      <c r="BG151" s="6">
        <f t="shared" si="138"/>
        <v>4.7472955654245723</v>
      </c>
      <c r="BH151" s="9">
        <f t="shared" ca="1" si="139"/>
        <v>146.98765598644823</v>
      </c>
      <c r="BI151" s="9">
        <f t="shared" ca="1" si="140"/>
        <v>-581.15411454049206</v>
      </c>
      <c r="BJ151">
        <f t="shared" ca="1" si="141"/>
        <v>599.45431507307865</v>
      </c>
      <c r="BK151" s="6">
        <f t="shared" ca="1" si="142"/>
        <v>0.24520243209614592</v>
      </c>
      <c r="BL151" s="6">
        <f t="shared" ca="1" si="143"/>
        <v>-0.96947190124012095</v>
      </c>
      <c r="BM151" s="6">
        <f t="shared" ca="1" si="144"/>
        <v>-1.3230678332094927</v>
      </c>
      <c r="BN151" s="6">
        <f t="shared" ca="1" si="145"/>
        <v>0.21771247989310671</v>
      </c>
      <c r="BO151" s="9">
        <f t="shared" ca="1" si="146"/>
        <v>184.72632147692411</v>
      </c>
      <c r="BP151" s="9">
        <f t="shared" ca="1" si="147"/>
        <v>-572.78369981452079</v>
      </c>
      <c r="BQ151">
        <f t="shared" ca="1" si="148"/>
        <v>601.83467881105605</v>
      </c>
      <c r="BR151">
        <f t="shared" ca="1" si="149"/>
        <v>0.30693864607778493</v>
      </c>
      <c r="BS151">
        <f t="shared" ca="1" si="150"/>
        <v>-0.95172930371189901</v>
      </c>
      <c r="BT151">
        <f t="shared" ca="1" si="151"/>
        <v>-1.2588215926099349</v>
      </c>
      <c r="BU151" s="39">
        <f t="shared" ca="1" si="152"/>
        <v>-6.095565567541386</v>
      </c>
    </row>
    <row r="152" spans="45:73" x14ac:dyDescent="0.25">
      <c r="AS152">
        <v>5.2359877559829791</v>
      </c>
      <c r="AT152">
        <v>193.48991495707349</v>
      </c>
      <c r="AU152">
        <v>-566.11781459666304</v>
      </c>
      <c r="AV152" s="6">
        <f t="shared" si="134"/>
        <v>5.0417256041547311</v>
      </c>
      <c r="AW152" s="6">
        <f t="shared" si="135"/>
        <v>0.19426215182824791</v>
      </c>
      <c r="AX152" s="6">
        <f t="shared" si="136"/>
        <v>-0.20498162922327978</v>
      </c>
      <c r="AY152" s="6">
        <f t="shared" si="137"/>
        <v>0.20498162922327978</v>
      </c>
      <c r="BE152" s="39"/>
      <c r="BF152" s="39"/>
      <c r="BG152" s="6">
        <f t="shared" si="138"/>
        <v>4.7822021504644585</v>
      </c>
      <c r="BH152" s="9">
        <f t="shared" ca="1" si="139"/>
        <v>147.57873925872107</v>
      </c>
      <c r="BI152" s="9">
        <f t="shared" ca="1" si="140"/>
        <v>-580.84643909671399</v>
      </c>
      <c r="BJ152">
        <f t="shared" ca="1" si="141"/>
        <v>599.30131828031733</v>
      </c>
      <c r="BK152" s="6">
        <f t="shared" ca="1" si="142"/>
        <v>0.24625131758794591</v>
      </c>
      <c r="BL152" s="6">
        <f t="shared" ca="1" si="143"/>
        <v>-0.96920600936343804</v>
      </c>
      <c r="BM152" s="6">
        <f t="shared" ca="1" si="144"/>
        <v>-1.3219857706515799</v>
      </c>
      <c r="BN152" s="6">
        <f t="shared" ca="1" si="145"/>
        <v>0.21879454245101959</v>
      </c>
      <c r="BO152" s="9">
        <f t="shared" ca="1" si="146"/>
        <v>185.31740474919695</v>
      </c>
      <c r="BP152" s="9">
        <f t="shared" ca="1" si="147"/>
        <v>-572.47602437074272</v>
      </c>
      <c r="BQ152">
        <f t="shared" ca="1" si="148"/>
        <v>601.72364003943608</v>
      </c>
      <c r="BR152">
        <f t="shared" ca="1" si="149"/>
        <v>0.3079776037003491</v>
      </c>
      <c r="BS152">
        <f t="shared" ca="1" si="150"/>
        <v>-0.95139360709382048</v>
      </c>
      <c r="BT152">
        <f t="shared" ca="1" si="151"/>
        <v>-1.2577297477128437</v>
      </c>
      <c r="BU152" s="39">
        <f t="shared" ca="1" si="152"/>
        <v>-6.0944737226442953</v>
      </c>
    </row>
    <row r="153" spans="45:73" x14ac:dyDescent="0.25">
      <c r="AS153">
        <v>5.2708943410228652</v>
      </c>
      <c r="AT153">
        <v>194.23183973324674</v>
      </c>
      <c r="AU153">
        <v>-565.38203444564613</v>
      </c>
      <c r="AV153" s="6">
        <f t="shared" si="134"/>
        <v>5.0432980211793002</v>
      </c>
      <c r="AW153" s="6">
        <f t="shared" si="135"/>
        <v>0.2275963198435651</v>
      </c>
      <c r="AX153" s="6">
        <f t="shared" si="136"/>
        <v>-0.20655404624784879</v>
      </c>
      <c r="AY153" s="6">
        <f t="shared" si="137"/>
        <v>0.20655404624784879</v>
      </c>
      <c r="BE153" s="39"/>
      <c r="BF153" s="39"/>
      <c r="BG153" s="6">
        <f t="shared" si="138"/>
        <v>4.8171087355043447</v>
      </c>
      <c r="BH153" s="9">
        <f t="shared" ca="1" si="139"/>
        <v>148.17024011352399</v>
      </c>
      <c r="BI153" s="9">
        <f t="shared" ca="1" si="140"/>
        <v>-580.52529209478564</v>
      </c>
      <c r="BJ153">
        <f t="shared" ca="1" si="141"/>
        <v>599.13607370699651</v>
      </c>
      <c r="BK153" s="6">
        <f t="shared" ca="1" si="142"/>
        <v>0.24730649115610698</v>
      </c>
      <c r="BL153" s="6">
        <f t="shared" ca="1" si="143"/>
        <v>-0.96893730418023138</v>
      </c>
      <c r="BM153" s="6">
        <f t="shared" ca="1" si="144"/>
        <v>-1.3208969208678338</v>
      </c>
      <c r="BN153" s="6">
        <f t="shared" ca="1" si="145"/>
        <v>0.21988339223476561</v>
      </c>
      <c r="BO153" s="9">
        <f t="shared" ca="1" si="146"/>
        <v>185.90890560399987</v>
      </c>
      <c r="BP153" s="9">
        <f t="shared" ca="1" si="147"/>
        <v>-572.15487736881437</v>
      </c>
      <c r="BQ153">
        <f t="shared" ca="1" si="148"/>
        <v>601.60063570428508</v>
      </c>
      <c r="BR153">
        <f t="shared" ca="1" si="149"/>
        <v>0.30902378516664802</v>
      </c>
      <c r="BS153">
        <f t="shared" ca="1" si="150"/>
        <v>-0.95105430980637351</v>
      </c>
      <c r="BT153">
        <f t="shared" ca="1" si="151"/>
        <v>-1.2566299211666887</v>
      </c>
      <c r="BU153" s="39">
        <f t="shared" ca="1" si="152"/>
        <v>-6.0933738960981403</v>
      </c>
    </row>
    <row r="154" spans="45:73" x14ac:dyDescent="0.25">
      <c r="AS154">
        <v>5.3058009260627514</v>
      </c>
      <c r="AT154">
        <v>195.00424699769349</v>
      </c>
      <c r="AU154">
        <v>-564.59080391547445</v>
      </c>
      <c r="AV154" s="6">
        <f t="shared" si="134"/>
        <v>5.044951369643238</v>
      </c>
      <c r="AW154" s="6">
        <f t="shared" si="135"/>
        <v>0.26084955641951346</v>
      </c>
      <c r="AX154" s="6">
        <f t="shared" si="136"/>
        <v>-0.20820739471178662</v>
      </c>
      <c r="AY154" s="6">
        <f t="shared" si="137"/>
        <v>0.20820739471178662</v>
      </c>
      <c r="BE154" s="39"/>
      <c r="BF154" s="39"/>
      <c r="BG154" s="6">
        <f t="shared" si="138"/>
        <v>4.8520153205442309</v>
      </c>
      <c r="BH154" s="9">
        <f t="shared" ca="1" si="139"/>
        <v>148.76365467407624</v>
      </c>
      <c r="BI154" s="9">
        <f t="shared" ca="1" si="140"/>
        <v>-580.18957238970484</v>
      </c>
      <c r="BJ154">
        <f t="shared" ca="1" si="141"/>
        <v>598.95789907282835</v>
      </c>
      <c r="BK154" s="6">
        <f t="shared" ca="1" si="142"/>
        <v>0.24837080353119745</v>
      </c>
      <c r="BL154" s="6">
        <f t="shared" ca="1" si="143"/>
        <v>-0.96866503186254593</v>
      </c>
      <c r="BM154" s="6">
        <f t="shared" ca="1" si="144"/>
        <v>-1.3197983339718027</v>
      </c>
      <c r="BN154" s="6">
        <f t="shared" ca="1" si="145"/>
        <v>0.22098197913079676</v>
      </c>
      <c r="BO154" s="9">
        <f t="shared" ca="1" si="146"/>
        <v>186.50232016455212</v>
      </c>
      <c r="BP154" s="9">
        <f t="shared" ca="1" si="147"/>
        <v>-571.81915766373356</v>
      </c>
      <c r="BQ154">
        <f t="shared" ca="1" si="148"/>
        <v>601.46509832077777</v>
      </c>
      <c r="BR154">
        <f t="shared" ca="1" si="149"/>
        <v>0.31008003737082235</v>
      </c>
      <c r="BS154">
        <f t="shared" ca="1" si="150"/>
        <v>-0.95071045561943279</v>
      </c>
      <c r="BT154">
        <f t="shared" ca="1" si="151"/>
        <v>-1.255519108604833</v>
      </c>
      <c r="BU154" s="39">
        <f t="shared" ca="1" si="152"/>
        <v>-6.0922630835362845</v>
      </c>
    </row>
    <row r="155" spans="45:73" x14ac:dyDescent="0.25">
      <c r="AS155">
        <v>5.3407075111026376</v>
      </c>
      <c r="AT155">
        <v>195.81114876263297</v>
      </c>
      <c r="AU155">
        <v>-563.73614304795501</v>
      </c>
      <c r="AV155" s="6">
        <f t="shared" si="134"/>
        <v>5.04669693371281</v>
      </c>
      <c r="AW155" s="6">
        <f t="shared" si="135"/>
        <v>0.29401057738982761</v>
      </c>
      <c r="AX155" s="6">
        <f t="shared" si="136"/>
        <v>-0.20995295878135867</v>
      </c>
      <c r="AY155" s="6">
        <f t="shared" si="137"/>
        <v>0.20995295878135867</v>
      </c>
      <c r="BE155" s="39"/>
      <c r="BF155" s="39"/>
      <c r="BG155" s="6">
        <f t="shared" si="138"/>
        <v>4.8869219055841171</v>
      </c>
      <c r="BH155" s="9">
        <f t="shared" ca="1" si="139"/>
        <v>149.36049848915428</v>
      </c>
      <c r="BI155" s="9">
        <f t="shared" ca="1" si="140"/>
        <v>-579.83802605809331</v>
      </c>
      <c r="BJ155">
        <f t="shared" ca="1" si="141"/>
        <v>598.7659767988448</v>
      </c>
      <c r="BK155" s="6">
        <f t="shared" ca="1" si="142"/>
        <v>0.24944720354298267</v>
      </c>
      <c r="BL155" s="6">
        <f t="shared" ca="1" si="143"/>
        <v>-0.96838839968505708</v>
      </c>
      <c r="BM155" s="6">
        <f t="shared" ca="1" si="144"/>
        <v>-1.3186869553350955</v>
      </c>
      <c r="BN155" s="6">
        <f t="shared" ca="1" si="145"/>
        <v>0.22209335776750394</v>
      </c>
      <c r="BO155" s="9">
        <f t="shared" ca="1" si="146"/>
        <v>187.09916397963016</v>
      </c>
      <c r="BP155" s="9">
        <f t="shared" ca="1" si="147"/>
        <v>-571.46761133212203</v>
      </c>
      <c r="BQ155">
        <f t="shared" ca="1" si="148"/>
        <v>601.31632936709593</v>
      </c>
      <c r="BR155">
        <f t="shared" ca="1" si="149"/>
        <v>0.31114931499791104</v>
      </c>
      <c r="BS155">
        <f t="shared" ca="1" si="150"/>
        <v>-0.95036103864601418</v>
      </c>
      <c r="BT155">
        <f t="shared" ca="1" si="151"/>
        <v>-1.2543941877193694</v>
      </c>
      <c r="BU155" s="39">
        <f t="shared" ca="1" si="152"/>
        <v>-6.0911381626508208</v>
      </c>
    </row>
    <row r="156" spans="45:73" x14ac:dyDescent="0.25">
      <c r="AS156">
        <v>5.3756140961425238</v>
      </c>
      <c r="AT156">
        <v>196.65711351285358</v>
      </c>
      <c r="AU156">
        <v>-562.80859397843597</v>
      </c>
      <c r="AV156" s="6">
        <f t="shared" si="134"/>
        <v>5.0485478491010705</v>
      </c>
      <c r="AW156" s="6">
        <f t="shared" si="135"/>
        <v>0.32706624704145337</v>
      </c>
      <c r="AX156" s="6">
        <f t="shared" si="136"/>
        <v>-0.2118038741696191</v>
      </c>
      <c r="AY156" s="6">
        <f t="shared" si="137"/>
        <v>0.2118038741696191</v>
      </c>
      <c r="BE156" s="39"/>
      <c r="BF156" s="39"/>
      <c r="BG156" s="6">
        <f t="shared" si="138"/>
        <v>4.9218284906240033</v>
      </c>
      <c r="BH156" s="9">
        <f t="shared" ca="1" si="139"/>
        <v>149.96232234513698</v>
      </c>
      <c r="BI156" s="9">
        <f t="shared" ca="1" si="140"/>
        <v>-579.46922747406302</v>
      </c>
      <c r="BJ156">
        <f t="shared" ca="1" si="141"/>
        <v>598.559340176506</v>
      </c>
      <c r="BK156" s="6">
        <f t="shared" ca="1" si="142"/>
        <v>0.25053877248146422</v>
      </c>
      <c r="BL156" s="6">
        <f t="shared" ca="1" si="143"/>
        <v>-0.96810656618136881</v>
      </c>
      <c r="BM156" s="6">
        <f t="shared" ca="1" si="144"/>
        <v>-1.317559589819449</v>
      </c>
      <c r="BN156" s="6">
        <f t="shared" ca="1" si="145"/>
        <v>0.22322072328315046</v>
      </c>
      <c r="BO156" s="9">
        <f t="shared" ca="1" si="146"/>
        <v>187.70098783561286</v>
      </c>
      <c r="BP156" s="9">
        <f t="shared" ca="1" si="147"/>
        <v>-571.09881274809175</v>
      </c>
      <c r="BQ156">
        <f t="shared" ca="1" si="148"/>
        <v>601.15348685401875</v>
      </c>
      <c r="BR156">
        <f t="shared" ca="1" si="149"/>
        <v>0.31223471532685843</v>
      </c>
      <c r="BS156">
        <f t="shared" ca="1" si="150"/>
        <v>-0.95000499079991974</v>
      </c>
      <c r="BT156">
        <f t="shared" ca="1" si="151"/>
        <v>-1.2532518812435598</v>
      </c>
      <c r="BU156" s="39">
        <f t="shared" ca="1" si="152"/>
        <v>-6.0899958561750109</v>
      </c>
    </row>
    <row r="157" spans="45:73" x14ac:dyDescent="0.25">
      <c r="AS157">
        <v>5.41052068118241</v>
      </c>
      <c r="AT157">
        <v>197.54738001372436</v>
      </c>
      <c r="AU157">
        <v>-561.79686652323676</v>
      </c>
      <c r="AV157" s="6">
        <f t="shared" si="134"/>
        <v>5.0505195298548848</v>
      </c>
      <c r="AW157" s="6">
        <f t="shared" si="135"/>
        <v>0.36000115132752519</v>
      </c>
      <c r="AX157" s="6">
        <f t="shared" si="136"/>
        <v>-0.21377555492343348</v>
      </c>
      <c r="AY157" s="6">
        <f t="shared" si="137"/>
        <v>0.21377555492343348</v>
      </c>
      <c r="BE157" s="39"/>
      <c r="BF157" s="39"/>
      <c r="BG157" s="6">
        <f t="shared" si="138"/>
        <v>4.9567350756638895</v>
      </c>
      <c r="BH157" s="9">
        <f t="shared" ca="1" si="139"/>
        <v>150.55536389161927</v>
      </c>
      <c r="BI157" s="9">
        <f t="shared" ca="1" si="140"/>
        <v>-579.02253318936698</v>
      </c>
      <c r="BJ157">
        <f t="shared" ca="1" si="141"/>
        <v>598.275865748878</v>
      </c>
      <c r="BK157" s="6">
        <f t="shared" ca="1" si="142"/>
        <v>0.25164873348712646</v>
      </c>
      <c r="BL157" s="6">
        <f t="shared" ca="1" si="143"/>
        <v>-0.96781863741835694</v>
      </c>
      <c r="BM157" s="6">
        <f t="shared" ca="1" si="144"/>
        <v>-1.316412891711513</v>
      </c>
      <c r="BN157" s="6">
        <f t="shared" ca="1" si="145"/>
        <v>0.22436742139108645</v>
      </c>
      <c r="BO157" s="9">
        <f t="shared" ca="1" si="146"/>
        <v>188.29402938209515</v>
      </c>
      <c r="BP157" s="9">
        <f t="shared" ca="1" si="147"/>
        <v>-570.65211846339571</v>
      </c>
      <c r="BQ157">
        <f t="shared" ca="1" si="148"/>
        <v>600.9147042698379</v>
      </c>
      <c r="BR157">
        <f t="shared" ca="1" si="149"/>
        <v>0.31334568457746143</v>
      </c>
      <c r="BS157">
        <f t="shared" ca="1" si="150"/>
        <v>-0.94963913249016962</v>
      </c>
      <c r="BT157">
        <f t="shared" ca="1" si="151"/>
        <v>-1.2520822209789639</v>
      </c>
      <c r="BU157" s="39">
        <f t="shared" ca="1" si="152"/>
        <v>-6.0888261959104151</v>
      </c>
    </row>
    <row r="158" spans="45:73" x14ac:dyDescent="0.25">
      <c r="AS158">
        <v>5.4454272662222962</v>
      </c>
      <c r="AT158">
        <v>198.48799890134387</v>
      </c>
      <c r="AU158">
        <v>-560.68737986208305</v>
      </c>
      <c r="AV158" s="6">
        <f t="shared" si="134"/>
        <v>5.0526302161003009</v>
      </c>
      <c r="AW158" s="6">
        <f t="shared" si="135"/>
        <v>0.39279705012199528</v>
      </c>
      <c r="AX158" s="6">
        <f t="shared" si="136"/>
        <v>-0.21588624116884961</v>
      </c>
      <c r="AY158" s="6">
        <f t="shared" si="137"/>
        <v>0.21588624116884961</v>
      </c>
      <c r="BE158" s="39"/>
      <c r="BF158" s="39"/>
      <c r="BG158" s="6">
        <f t="shared" si="138"/>
        <v>4.9916416607037757</v>
      </c>
      <c r="BH158" s="9">
        <f t="shared" ca="1" si="139"/>
        <v>151.15519753218464</v>
      </c>
      <c r="BI158" s="9">
        <f t="shared" ca="1" si="140"/>
        <v>-578.55082594093028</v>
      </c>
      <c r="BJ158">
        <f t="shared" ca="1" si="141"/>
        <v>597.9706948822211</v>
      </c>
      <c r="BK158" s="6">
        <f t="shared" ca="1" si="142"/>
        <v>0.25278027640126549</v>
      </c>
      <c r="BL158" s="6">
        <f t="shared" ca="1" si="143"/>
        <v>-0.96752371126629233</v>
      </c>
      <c r="BM158" s="6">
        <f t="shared" ca="1" si="144"/>
        <v>-1.3152435453310429</v>
      </c>
      <c r="BN158" s="6">
        <f t="shared" ca="1" si="145"/>
        <v>0.22553676777155651</v>
      </c>
      <c r="BO158" s="9">
        <f t="shared" ca="1" si="146"/>
        <v>188.89386302266053</v>
      </c>
      <c r="BP158" s="9">
        <f t="shared" ca="1" si="147"/>
        <v>-570.18041121495901</v>
      </c>
      <c r="BQ158">
        <f t="shared" ca="1" si="148"/>
        <v>600.65513634770775</v>
      </c>
      <c r="BR158">
        <f t="shared" ca="1" si="149"/>
        <v>0.31447972653864642</v>
      </c>
      <c r="BS158">
        <f t="shared" ca="1" si="150"/>
        <v>-0.94926418956799274</v>
      </c>
      <c r="BT158">
        <f t="shared" ca="1" si="151"/>
        <v>-1.2508878033241104</v>
      </c>
      <c r="BU158" s="39">
        <f t="shared" ca="1" si="152"/>
        <v>-6.0876317782555613</v>
      </c>
    </row>
    <row r="159" spans="45:73" x14ac:dyDescent="0.25">
      <c r="AS159">
        <v>5.4803338512621824</v>
      </c>
      <c r="AT159">
        <v>199.48601050194503</v>
      </c>
      <c r="AU159">
        <v>-559.46366370364535</v>
      </c>
      <c r="AV159" s="6">
        <f t="shared" si="134"/>
        <v>5.0549016850965263</v>
      </c>
      <c r="AW159" s="6">
        <f t="shared" si="135"/>
        <v>0.42543216616565616</v>
      </c>
      <c r="AX159" s="6">
        <f t="shared" si="136"/>
        <v>-0.21815771016507488</v>
      </c>
      <c r="AY159" s="6">
        <f t="shared" si="137"/>
        <v>0.21815771016507488</v>
      </c>
      <c r="BE159" s="39"/>
      <c r="BF159" s="39"/>
      <c r="BG159" s="6">
        <f t="shared" si="138"/>
        <v>5.0265482457436619</v>
      </c>
      <c r="BH159" s="9">
        <f t="shared" ca="1" si="139"/>
        <v>151.76514965138833</v>
      </c>
      <c r="BI159" s="9">
        <f t="shared" ca="1" si="140"/>
        <v>-578.05804558334978</v>
      </c>
      <c r="BJ159">
        <f t="shared" ca="1" si="141"/>
        <v>597.64852941536662</v>
      </c>
      <c r="BK159" s="6">
        <f t="shared" ca="1" si="142"/>
        <v>0.25393712555412534</v>
      </c>
      <c r="BL159" s="6">
        <f t="shared" ca="1" si="143"/>
        <v>-0.96722072778932344</v>
      </c>
      <c r="BM159" s="6">
        <f t="shared" ca="1" si="144"/>
        <v>-1.3140476778132046</v>
      </c>
      <c r="BN159" s="6">
        <f t="shared" ca="1" si="145"/>
        <v>0.2267326352893948</v>
      </c>
      <c r="BO159" s="9">
        <f t="shared" ca="1" si="146"/>
        <v>189.50381514186421</v>
      </c>
      <c r="BP159" s="9">
        <f t="shared" ca="1" si="147"/>
        <v>-569.68763085737851</v>
      </c>
      <c r="BQ159">
        <f t="shared" ca="1" si="148"/>
        <v>600.37962382580463</v>
      </c>
      <c r="BR159">
        <f t="shared" ca="1" si="149"/>
        <v>0.31563998447230318</v>
      </c>
      <c r="BS159">
        <f t="shared" ca="1" si="150"/>
        <v>-0.94887902295409821</v>
      </c>
      <c r="BT159">
        <f t="shared" ca="1" si="151"/>
        <v>-1.2496652846210989</v>
      </c>
      <c r="BU159" s="39">
        <f t="shared" ca="1" si="152"/>
        <v>-6.0864092595525499</v>
      </c>
    </row>
    <row r="160" spans="45:73" x14ac:dyDescent="0.25">
      <c r="AS160">
        <v>5.5152404363020686</v>
      </c>
      <c r="AT160">
        <v>200.54967038808331</v>
      </c>
      <c r="AU160">
        <v>-558.10556711439381</v>
      </c>
      <c r="AV160" s="6">
        <f t="shared" si="134"/>
        <v>5.0573601857228994</v>
      </c>
      <c r="AW160" s="6">
        <f t="shared" si="135"/>
        <v>0.45788025057916926</v>
      </c>
      <c r="AX160" s="6">
        <f t="shared" si="136"/>
        <v>-0.220616210791448</v>
      </c>
      <c r="AY160" s="6">
        <f t="shared" si="137"/>
        <v>0.220616210791448</v>
      </c>
      <c r="BE160" s="39"/>
      <c r="BF160" s="39"/>
      <c r="BG160" s="6">
        <f t="shared" si="138"/>
        <v>5.0614548307835481</v>
      </c>
      <c r="BH160" s="9">
        <f t="shared" ca="1" si="139"/>
        <v>152.38705547742671</v>
      </c>
      <c r="BI160" s="9">
        <f t="shared" ca="1" si="140"/>
        <v>-577.54162878474528</v>
      </c>
      <c r="BJ160">
        <f t="shared" ca="1" si="141"/>
        <v>597.30741470068563</v>
      </c>
      <c r="BK160" s="6">
        <f t="shared" ca="1" si="142"/>
        <v>0.2551233279998521</v>
      </c>
      <c r="BL160" s="6">
        <f t="shared" ca="1" si="143"/>
        <v>-0.9669085207558572</v>
      </c>
      <c r="BM160" s="6">
        <f t="shared" ca="1" si="144"/>
        <v>-1.3128210769561068</v>
      </c>
      <c r="BN160" s="6">
        <f t="shared" ca="1" si="145"/>
        <v>0.22795923614649261</v>
      </c>
      <c r="BO160" s="9">
        <f t="shared" ca="1" si="146"/>
        <v>190.12572096790259</v>
      </c>
      <c r="BP160" s="9">
        <f t="shared" ca="1" si="147"/>
        <v>-569.17121405877401</v>
      </c>
      <c r="BQ160">
        <f t="shared" ca="1" si="148"/>
        <v>600.08637768799872</v>
      </c>
      <c r="BR160">
        <f t="shared" ca="1" si="149"/>
        <v>0.31683058979011541</v>
      </c>
      <c r="BS160">
        <f t="shared" ca="1" si="150"/>
        <v>-0.94848214394012065</v>
      </c>
      <c r="BT160">
        <f t="shared" ca="1" si="151"/>
        <v>-1.2484102729951481</v>
      </c>
      <c r="BU160" s="39">
        <f t="shared" ca="1" si="152"/>
        <v>-6.0851542479265994</v>
      </c>
    </row>
    <row r="161" spans="45:73" x14ac:dyDescent="0.25">
      <c r="AS161">
        <v>5.5501470213419548</v>
      </c>
      <c r="AT161">
        <v>201.820792546577</v>
      </c>
      <c r="AU161">
        <v>-555.38476985775242</v>
      </c>
      <c r="AV161" s="6">
        <f t="shared" si="134"/>
        <v>5.0609416136975565</v>
      </c>
      <c r="AW161" s="6">
        <f t="shared" si="135"/>
        <v>0.48920540764439835</v>
      </c>
      <c r="AX161" s="6">
        <f t="shared" si="136"/>
        <v>-0.2241976387661051</v>
      </c>
      <c r="AY161" s="6">
        <f t="shared" si="137"/>
        <v>0.2241976387661051</v>
      </c>
      <c r="BE161" s="39"/>
      <c r="BF161" s="39"/>
      <c r="BG161" s="6">
        <f t="shared" si="138"/>
        <v>5.0963614158234343</v>
      </c>
      <c r="BH161" s="9">
        <f t="shared" ca="1" si="139"/>
        <v>153.02288552393972</v>
      </c>
      <c r="BI161" s="9">
        <f t="shared" ca="1" si="140"/>
        <v>-576.99868067926877</v>
      </c>
      <c r="BJ161">
        <f t="shared" ca="1" si="141"/>
        <v>596.9451239433065</v>
      </c>
      <c r="BK161" s="6">
        <f t="shared" ca="1" si="142"/>
        <v>0.25634330424394708</v>
      </c>
      <c r="BL161" s="6">
        <f t="shared" ca="1" si="143"/>
        <v>-0.96658580083161527</v>
      </c>
      <c r="BM161" s="6">
        <f t="shared" ca="1" si="144"/>
        <v>-1.3115591378145495</v>
      </c>
      <c r="BN161" s="6">
        <f t="shared" ca="1" si="145"/>
        <v>0.22922117528804997</v>
      </c>
      <c r="BO161" s="9">
        <f t="shared" ca="1" si="146"/>
        <v>190.7615510144156</v>
      </c>
      <c r="BP161" s="9">
        <f t="shared" ca="1" si="147"/>
        <v>-568.6282659532975</v>
      </c>
      <c r="BQ161">
        <f t="shared" ca="1" si="148"/>
        <v>599.77335234776774</v>
      </c>
      <c r="BR161">
        <f t="shared" ca="1" si="149"/>
        <v>0.31805606279054222</v>
      </c>
      <c r="BS161">
        <f t="shared" ca="1" si="150"/>
        <v>-0.94807190704195987</v>
      </c>
      <c r="BT161">
        <f t="shared" ca="1" si="151"/>
        <v>-1.2471179577782534</v>
      </c>
      <c r="BU161" s="39">
        <f t="shared" ca="1" si="152"/>
        <v>-6.0838619327097048</v>
      </c>
    </row>
    <row r="162" spans="45:73" x14ac:dyDescent="0.25">
      <c r="AS162">
        <v>5.585053606381841</v>
      </c>
      <c r="AT162">
        <v>203.25651751855298</v>
      </c>
      <c r="AU162">
        <v>-551.77225555904533</v>
      </c>
      <c r="AV162" s="6">
        <f t="shared" si="134"/>
        <v>5.0653346903071963</v>
      </c>
      <c r="AW162" s="6">
        <f t="shared" si="135"/>
        <v>0.51971891607464471</v>
      </c>
      <c r="AX162" s="6">
        <f t="shared" si="136"/>
        <v>-0.22859071537574494</v>
      </c>
      <c r="AY162" s="6">
        <f t="shared" si="137"/>
        <v>0.22859071537574494</v>
      </c>
      <c r="BE162" s="39"/>
      <c r="BF162" s="39"/>
      <c r="BG162" s="6">
        <f t="shared" si="138"/>
        <v>5.1312680008633205</v>
      </c>
      <c r="BH162" s="9">
        <f t="shared" ca="1" si="139"/>
        <v>153.674772872701</v>
      </c>
      <c r="BI162" s="9">
        <f t="shared" ca="1" si="140"/>
        <v>-576.42591322953035</v>
      </c>
      <c r="BJ162">
        <f t="shared" ca="1" si="141"/>
        <v>596.55910793480837</v>
      </c>
      <c r="BK162" s="6">
        <f t="shared" ca="1" si="142"/>
        <v>0.25760192213760397</v>
      </c>
      <c r="BL162" s="6">
        <f t="shared" ca="1" si="143"/>
        <v>-0.96625113180322419</v>
      </c>
      <c r="BM162" s="6">
        <f t="shared" ca="1" si="144"/>
        <v>-1.310256785097144</v>
      </c>
      <c r="BN162" s="6">
        <f t="shared" ca="1" si="145"/>
        <v>0.23052352800545539</v>
      </c>
      <c r="BO162" s="9">
        <f t="shared" ca="1" si="146"/>
        <v>191.41343836317688</v>
      </c>
      <c r="BP162" s="9">
        <f t="shared" ca="1" si="147"/>
        <v>-568.05549850355908</v>
      </c>
      <c r="BQ162">
        <f t="shared" ca="1" si="148"/>
        <v>599.43819845430323</v>
      </c>
      <c r="BR162">
        <f t="shared" ca="1" si="149"/>
        <v>0.31932138935548471</v>
      </c>
      <c r="BS162">
        <f t="shared" ca="1" si="150"/>
        <v>-0.94764647960095494</v>
      </c>
      <c r="BT162">
        <f t="shared" ca="1" si="151"/>
        <v>-1.2457830270354251</v>
      </c>
      <c r="BU162" s="39">
        <f t="shared" ca="1" si="152"/>
        <v>-6.0825270019668762</v>
      </c>
    </row>
    <row r="163" spans="45:73" x14ac:dyDescent="0.25">
      <c r="AS163">
        <v>5.6199601914217272</v>
      </c>
      <c r="AT163">
        <v>204.80641654394697</v>
      </c>
      <c r="AU163">
        <v>-547.81786259502758</v>
      </c>
      <c r="AV163" s="6">
        <f t="shared" si="134"/>
        <v>5.0701585916894336</v>
      </c>
      <c r="AW163" s="6">
        <f t="shared" si="135"/>
        <v>0.54980159973229359</v>
      </c>
      <c r="AX163" s="6">
        <f t="shared" si="136"/>
        <v>-0.23341461675798228</v>
      </c>
      <c r="AY163" s="6">
        <f t="shared" si="137"/>
        <v>0.23341461675798228</v>
      </c>
      <c r="BE163" s="39"/>
      <c r="BF163" s="39"/>
      <c r="BG163" s="6">
        <f t="shared" si="138"/>
        <v>5.1661745859032067</v>
      </c>
      <c r="BH163" s="9">
        <f t="shared" ca="1" si="139"/>
        <v>154.34504473778526</v>
      </c>
      <c r="BI163" s="9">
        <f t="shared" ca="1" si="140"/>
        <v>-575.81957057477473</v>
      </c>
      <c r="BJ163">
        <f t="shared" ca="1" si="141"/>
        <v>596.1464339338338</v>
      </c>
      <c r="BK163" s="6">
        <f t="shared" ca="1" si="142"/>
        <v>0.25890458443120701</v>
      </c>
      <c r="BL163" s="6">
        <f t="shared" ca="1" si="143"/>
        <v>-0.96590290203544993</v>
      </c>
      <c r="BM163" s="6">
        <f t="shared" ca="1" si="144"/>
        <v>-1.3089083811154587</v>
      </c>
      <c r="BN163" s="6">
        <f t="shared" ca="1" si="145"/>
        <v>0.23187193198714073</v>
      </c>
      <c r="BO163" s="9">
        <f t="shared" ca="1" si="146"/>
        <v>192.08371022826114</v>
      </c>
      <c r="BP163" s="9">
        <f t="shared" ca="1" si="147"/>
        <v>-567.44915584880346</v>
      </c>
      <c r="BQ163">
        <f t="shared" ca="1" si="148"/>
        <v>599.07820541943795</v>
      </c>
      <c r="BR163">
        <f t="shared" ca="1" si="149"/>
        <v>0.32063211195235497</v>
      </c>
      <c r="BS163">
        <f t="shared" ca="1" si="150"/>
        <v>-0.94720380530536952</v>
      </c>
      <c r="BT163">
        <f t="shared" ca="1" si="151"/>
        <v>-1.244399569568357</v>
      </c>
      <c r="BU163" s="39">
        <f t="shared" ca="1" si="152"/>
        <v>-6.0811435444998079</v>
      </c>
    </row>
    <row r="164" spans="45:73" x14ac:dyDescent="0.25">
      <c r="AS164">
        <v>5.6548667764616134</v>
      </c>
      <c r="AT164">
        <v>206.48924142859278</v>
      </c>
      <c r="AU164">
        <v>-543.45677723741983</v>
      </c>
      <c r="AV164" s="6">
        <f t="shared" si="134"/>
        <v>5.0754968634071416</v>
      </c>
      <c r="AW164" s="6">
        <f t="shared" si="135"/>
        <v>0.57936991305447183</v>
      </c>
      <c r="AX164" s="6">
        <f t="shared" si="136"/>
        <v>-0.23875288847569021</v>
      </c>
      <c r="AY164" s="6">
        <f t="shared" si="137"/>
        <v>0.23875288847569021</v>
      </c>
      <c r="BE164" s="39"/>
      <c r="BF164" s="39"/>
      <c r="BG164" s="6">
        <f t="shared" si="138"/>
        <v>5.2010811709430929</v>
      </c>
      <c r="BH164" s="9">
        <f t="shared" ca="1" si="139"/>
        <v>155.03625934803091</v>
      </c>
      <c r="BI164" s="9">
        <f t="shared" ca="1" si="140"/>
        <v>-575.17533789308527</v>
      </c>
      <c r="BJ164">
        <f t="shared" ca="1" si="141"/>
        <v>595.70371077663663</v>
      </c>
      <c r="BK164" s="6">
        <f t="shared" ca="1" si="142"/>
        <v>0.2602573335423839</v>
      </c>
      <c r="BL164" s="6">
        <f t="shared" ca="1" si="143"/>
        <v>-0.96553928989834914</v>
      </c>
      <c r="BM164" s="6">
        <f t="shared" ca="1" si="144"/>
        <v>-1.3075076155159129</v>
      </c>
      <c r="BN164" s="6">
        <f t="shared" ca="1" si="145"/>
        <v>0.23327269758668656</v>
      </c>
      <c r="BO164" s="9">
        <f t="shared" ca="1" si="146"/>
        <v>192.77492483850679</v>
      </c>
      <c r="BP164" s="9">
        <f t="shared" ca="1" si="147"/>
        <v>-566.804923167114</v>
      </c>
      <c r="BQ164">
        <f t="shared" ca="1" si="148"/>
        <v>598.69023089822497</v>
      </c>
      <c r="BR164">
        <f t="shared" ca="1" si="149"/>
        <v>0.32199443867537864</v>
      </c>
      <c r="BS164">
        <f t="shared" ca="1" si="150"/>
        <v>-0.94674156001631615</v>
      </c>
      <c r="BT164">
        <f t="shared" ca="1" si="151"/>
        <v>-1.2429609573327438</v>
      </c>
      <c r="BU164" s="39">
        <f t="shared" ca="1" si="152"/>
        <v>-6.0797049322641952</v>
      </c>
    </row>
    <row r="165" spans="45:73" x14ac:dyDescent="0.25">
      <c r="AS165">
        <v>5.6897733615014996</v>
      </c>
      <c r="AT165">
        <v>208.32792868297486</v>
      </c>
      <c r="AU165">
        <v>-538.60704436537367</v>
      </c>
      <c r="AV165" s="6">
        <f t="shared" si="134"/>
        <v>5.0814559917691007</v>
      </c>
      <c r="AW165" s="6">
        <f t="shared" si="135"/>
        <v>0.60831736973239892</v>
      </c>
      <c r="AX165" s="6">
        <f t="shared" si="136"/>
        <v>-0.24471201683764932</v>
      </c>
      <c r="AY165" s="6">
        <f t="shared" si="137"/>
        <v>0.24471201683764932</v>
      </c>
      <c r="BE165" s="39"/>
      <c r="BF165" s="39"/>
      <c r="BG165" s="6">
        <f t="shared" si="138"/>
        <v>5.2359877559829791</v>
      </c>
      <c r="BH165" s="9">
        <f t="shared" ca="1" si="139"/>
        <v>155.75124946659761</v>
      </c>
      <c r="BI165" s="9">
        <f t="shared" ca="1" si="140"/>
        <v>-574.48822932263431</v>
      </c>
      <c r="BJ165">
        <f t="shared" ca="1" si="141"/>
        <v>595.22699648173045</v>
      </c>
      <c r="BK165" s="6">
        <f t="shared" ca="1" si="142"/>
        <v>0.26166697812298934</v>
      </c>
      <c r="BL165" s="6">
        <f t="shared" ca="1" si="143"/>
        <v>-0.96515822151602848</v>
      </c>
      <c r="BM165" s="6">
        <f t="shared" ca="1" si="144"/>
        <v>-1.3060473719285171</v>
      </c>
      <c r="BN165" s="6">
        <f t="shared" ca="1" si="145"/>
        <v>0.23473294117408239</v>
      </c>
      <c r="BO165" s="9">
        <f t="shared" ca="1" si="146"/>
        <v>193.48991495707349</v>
      </c>
      <c r="BP165" s="9">
        <f t="shared" ca="1" si="147"/>
        <v>-566.11781459666304</v>
      </c>
      <c r="BQ165">
        <f t="shared" ca="1" si="148"/>
        <v>598.27061368062971</v>
      </c>
      <c r="BR165">
        <f t="shared" ca="1" si="149"/>
        <v>0.32341537513718294</v>
      </c>
      <c r="BS165">
        <f t="shared" ca="1" si="150"/>
        <v>-0.94625709779365741</v>
      </c>
      <c r="BT165">
        <f t="shared" ca="1" si="151"/>
        <v>-1.2414597030248546</v>
      </c>
      <c r="BU165" s="39">
        <f t="shared" ca="1" si="152"/>
        <v>-6.0782036779563064</v>
      </c>
    </row>
    <row r="166" spans="45:73" x14ac:dyDescent="0.25">
      <c r="AS166">
        <v>5.7246799465413858</v>
      </c>
      <c r="AT166">
        <v>210.35086804393814</v>
      </c>
      <c r="AU166">
        <v>-533.16342840023083</v>
      </c>
      <c r="AV166" s="6">
        <f t="shared" si="134"/>
        <v>5.0881740488387504</v>
      </c>
      <c r="AW166" s="6">
        <f t="shared" si="135"/>
        <v>0.63650589770263544</v>
      </c>
      <c r="AX166" s="6">
        <f t="shared" si="136"/>
        <v>-0.25143007390729899</v>
      </c>
      <c r="AY166" s="6">
        <f t="shared" si="137"/>
        <v>0.25143007390729899</v>
      </c>
      <c r="BE166" s="39"/>
      <c r="BF166" s="39"/>
      <c r="BG166" s="6">
        <f t="shared" si="138"/>
        <v>5.2708943410228652</v>
      </c>
      <c r="BH166" s="9">
        <f t="shared" ca="1" si="139"/>
        <v>156.49317424277086</v>
      </c>
      <c r="BI166" s="9">
        <f t="shared" ca="1" si="140"/>
        <v>-573.7524491716174</v>
      </c>
      <c r="BJ166">
        <f t="shared" ca="1" si="141"/>
        <v>594.71168351984454</v>
      </c>
      <c r="BK166" s="6">
        <f t="shared" ca="1" si="142"/>
        <v>0.26314124739664535</v>
      </c>
      <c r="BL166" s="6">
        <f t="shared" ca="1" si="143"/>
        <v>-0.96475731866544412</v>
      </c>
      <c r="BM166" s="6">
        <f t="shared" ca="1" si="144"/>
        <v>-1.3045195651865202</v>
      </c>
      <c r="BN166" s="6">
        <f t="shared" ca="1" si="145"/>
        <v>0.23626074791607921</v>
      </c>
      <c r="BO166" s="9">
        <f t="shared" ca="1" si="146"/>
        <v>194.23183973324674</v>
      </c>
      <c r="BP166" s="9">
        <f t="shared" ca="1" si="147"/>
        <v>-565.38203444564613</v>
      </c>
      <c r="BQ166">
        <f t="shared" ca="1" si="148"/>
        <v>597.81506541744113</v>
      </c>
      <c r="BR166">
        <f t="shared" ca="1" si="149"/>
        <v>0.32490288547281576</v>
      </c>
      <c r="BS166">
        <f t="shared" ca="1" si="150"/>
        <v>-0.94574738435347439</v>
      </c>
      <c r="BT166">
        <f t="shared" ca="1" si="151"/>
        <v>-1.2398872860002859</v>
      </c>
      <c r="BU166" s="39">
        <f t="shared" ca="1" si="152"/>
        <v>-6.0766312609317374</v>
      </c>
    </row>
    <row r="167" spans="45:73" x14ac:dyDescent="0.25">
      <c r="AS167">
        <v>5.759586531581272</v>
      </c>
      <c r="AT167">
        <v>212.5936658904792</v>
      </c>
      <c r="AU167">
        <v>-526.98844884158984</v>
      </c>
      <c r="AV167" s="6">
        <f t="shared" si="134"/>
        <v>5.0958336010160821</v>
      </c>
      <c r="AW167" s="6">
        <f t="shared" si="135"/>
        <v>0.66375293056518991</v>
      </c>
      <c r="AX167" s="6">
        <f t="shared" si="136"/>
        <v>-0.25908962608463071</v>
      </c>
      <c r="AY167" s="6">
        <f t="shared" si="137"/>
        <v>0.25908962608463071</v>
      </c>
      <c r="BE167" s="39"/>
      <c r="BF167" s="39"/>
      <c r="BG167" s="6">
        <f t="shared" si="138"/>
        <v>5.3058009260627514</v>
      </c>
      <c r="BH167" s="9">
        <f t="shared" ca="1" si="139"/>
        <v>157.2655815072176</v>
      </c>
      <c r="BI167" s="9">
        <f t="shared" ca="1" si="140"/>
        <v>-572.96121864144573</v>
      </c>
      <c r="BJ167">
        <f t="shared" ca="1" si="141"/>
        <v>594.15235520352337</v>
      </c>
      <c r="BK167" s="6">
        <f t="shared" ca="1" si="142"/>
        <v>0.26468898108355932</v>
      </c>
      <c r="BL167" s="6">
        <f t="shared" ca="1" si="143"/>
        <v>-0.96433383394597716</v>
      </c>
      <c r="BM167" s="6">
        <f t="shared" ca="1" si="144"/>
        <v>-1.3029149407987881</v>
      </c>
      <c r="BN167" s="6">
        <f t="shared" ca="1" si="145"/>
        <v>0.23786537230381133</v>
      </c>
      <c r="BO167" s="9">
        <f t="shared" ca="1" si="146"/>
        <v>195.00424699769349</v>
      </c>
      <c r="BP167" s="9">
        <f t="shared" ca="1" si="147"/>
        <v>-564.59080391547445</v>
      </c>
      <c r="BQ167">
        <f t="shared" ca="1" si="148"/>
        <v>597.31853496527231</v>
      </c>
      <c r="BR167">
        <f t="shared" ca="1" si="149"/>
        <v>0.32646609067477023</v>
      </c>
      <c r="BS167">
        <f t="shared" ca="1" si="150"/>
        <v>-0.94520891428272757</v>
      </c>
      <c r="BT167">
        <f t="shared" ca="1" si="151"/>
        <v>-1.2382339375363485</v>
      </c>
      <c r="BU167" s="39">
        <f t="shared" ca="1" si="152"/>
        <v>-6.0749779124677996</v>
      </c>
    </row>
    <row r="168" spans="45:73" x14ac:dyDescent="0.25">
      <c r="AS168">
        <v>5.7944931166211582</v>
      </c>
      <c r="AT168">
        <v>215.01886480890906</v>
      </c>
      <c r="AU168">
        <v>-520.08336400355029</v>
      </c>
      <c r="AV168" s="6">
        <f t="shared" si="134"/>
        <v>5.1044203775954307</v>
      </c>
      <c r="AW168" s="6">
        <f t="shared" si="135"/>
        <v>0.69007273902572752</v>
      </c>
      <c r="AX168" s="6">
        <f t="shared" si="136"/>
        <v>-0.2676764026639793</v>
      </c>
      <c r="AY168" s="6">
        <f t="shared" si="137"/>
        <v>0.2676764026639793</v>
      </c>
      <c r="BE168" s="39"/>
      <c r="BF168" s="39"/>
      <c r="BG168" s="6">
        <f t="shared" si="138"/>
        <v>5.3407075111026376</v>
      </c>
      <c r="BH168" s="9">
        <f t="shared" ca="1" si="139"/>
        <v>158.07248327215709</v>
      </c>
      <c r="BI168" s="9">
        <f t="shared" ca="1" si="140"/>
        <v>-572.10655777392628</v>
      </c>
      <c r="BJ168">
        <f t="shared" ca="1" si="141"/>
        <v>593.54260454979749</v>
      </c>
      <c r="BK168" s="6">
        <f t="shared" ca="1" si="142"/>
        <v>0.26632036531236908</v>
      </c>
      <c r="BL168" s="6">
        <f t="shared" ca="1" si="143"/>
        <v>-0.96388456934421674</v>
      </c>
      <c r="BM168" s="6">
        <f t="shared" ca="1" si="144"/>
        <v>-1.3012228255936116</v>
      </c>
      <c r="BN168" s="6">
        <f t="shared" ca="1" si="145"/>
        <v>0.23955748750898787</v>
      </c>
      <c r="BO168" s="9">
        <f t="shared" ca="1" si="146"/>
        <v>195.81114876263297</v>
      </c>
      <c r="BP168" s="9">
        <f t="shared" ca="1" si="147"/>
        <v>-563.73614304795501</v>
      </c>
      <c r="BQ168">
        <f t="shared" ca="1" si="148"/>
        <v>596.77503714408692</v>
      </c>
      <c r="BR168">
        <f t="shared" ca="1" si="149"/>
        <v>0.3281155151859273</v>
      </c>
      <c r="BS168">
        <f t="shared" ca="1" si="150"/>
        <v>-0.9446376070717668</v>
      </c>
      <c r="BT168">
        <f t="shared" ca="1" si="151"/>
        <v>-1.236488373466776</v>
      </c>
      <c r="BU168" s="39">
        <f t="shared" ca="1" si="152"/>
        <v>-6.0732323483982276</v>
      </c>
    </row>
    <row r="169" spans="45:73" x14ac:dyDescent="0.25">
      <c r="AS169">
        <v>5.8293997016610444</v>
      </c>
      <c r="AT169">
        <v>217.38265627878167</v>
      </c>
      <c r="AU169">
        <v>-512.92120361079355</v>
      </c>
      <c r="AV169" s="6">
        <f t="shared" si="134"/>
        <v>5.113253769298475</v>
      </c>
      <c r="AW169" s="6">
        <f t="shared" si="135"/>
        <v>0.7161459323625694</v>
      </c>
      <c r="AX169" s="6">
        <f t="shared" si="136"/>
        <v>-0.27650979436702355</v>
      </c>
      <c r="AY169" s="6">
        <f t="shared" si="137"/>
        <v>0.27650979436702355</v>
      </c>
      <c r="BE169" s="39"/>
      <c r="BF169" s="39"/>
      <c r="BG169" s="6">
        <f t="shared" si="138"/>
        <v>5.3756140961425238</v>
      </c>
      <c r="BH169" s="9">
        <f t="shared" ca="1" si="139"/>
        <v>158.9184480223777</v>
      </c>
      <c r="BI169" s="9">
        <f t="shared" ca="1" si="140"/>
        <v>-571.17900870440724</v>
      </c>
      <c r="BJ169">
        <f t="shared" ca="1" si="141"/>
        <v>592.87480390584187</v>
      </c>
      <c r="BK169" s="6">
        <f t="shared" ca="1" si="142"/>
        <v>0.2680472284796514</v>
      </c>
      <c r="BL169" s="6">
        <f t="shared" ca="1" si="143"/>
        <v>-0.96340577292456453</v>
      </c>
      <c r="BM169" s="6">
        <f t="shared" ca="1" si="144"/>
        <v>-1.2994308146367923</v>
      </c>
      <c r="BN169" s="6">
        <f t="shared" ca="1" si="145"/>
        <v>0.24134949846580711</v>
      </c>
      <c r="BO169" s="9">
        <f t="shared" ca="1" si="146"/>
        <v>196.65711351285358</v>
      </c>
      <c r="BP169" s="9">
        <f t="shared" ca="1" si="147"/>
        <v>-562.80859397843597</v>
      </c>
      <c r="BQ169">
        <f t="shared" ca="1" si="148"/>
        <v>596.17743478866373</v>
      </c>
      <c r="BR169">
        <f t="shared" ca="1" si="149"/>
        <v>0.3298633964275513</v>
      </c>
      <c r="BS169">
        <f t="shared" ca="1" si="150"/>
        <v>-0.94402867525159428</v>
      </c>
      <c r="BT169">
        <f t="shared" ca="1" si="151"/>
        <v>-1.2346374580785158</v>
      </c>
      <c r="BU169" s="39">
        <f t="shared" ca="1" si="152"/>
        <v>-6.0713814330099671</v>
      </c>
    </row>
    <row r="170" spans="45:73" x14ac:dyDescent="0.25">
      <c r="AS170">
        <v>5.8643062867009306</v>
      </c>
      <c r="AT170">
        <v>219.67608944885961</v>
      </c>
      <c r="AU170">
        <v>-505.48053958644346</v>
      </c>
      <c r="AV170" s="6">
        <f t="shared" si="134"/>
        <v>5.1223531603255932</v>
      </c>
      <c r="AW170" s="6">
        <f t="shared" si="135"/>
        <v>0.74195312637533739</v>
      </c>
      <c r="AX170" s="6">
        <f t="shared" si="136"/>
        <v>-0.28560918539414182</v>
      </c>
      <c r="AY170" s="6">
        <f t="shared" si="137"/>
        <v>0.28560918539414182</v>
      </c>
      <c r="BE170" s="39"/>
      <c r="BF170" s="39"/>
      <c r="BG170" s="6">
        <f t="shared" si="138"/>
        <v>5.41052068118241</v>
      </c>
      <c r="BH170" s="9">
        <f t="shared" ca="1" si="139"/>
        <v>159.80871452324848</v>
      </c>
      <c r="BI170" s="9">
        <f t="shared" ca="1" si="140"/>
        <v>-570.16728124920803</v>
      </c>
      <c r="BJ170">
        <f t="shared" ca="1" si="141"/>
        <v>592.13980937333258</v>
      </c>
      <c r="BK170" s="6">
        <f t="shared" ca="1" si="142"/>
        <v>0.26988341603374993</v>
      </c>
      <c r="BL170" s="6">
        <f t="shared" ca="1" si="143"/>
        <v>-0.96289300638749775</v>
      </c>
      <c r="BM170" s="6">
        <f t="shared" ca="1" si="144"/>
        <v>-1.2975243741430527</v>
      </c>
      <c r="BN170" s="6">
        <f t="shared" ca="1" si="145"/>
        <v>0.24325593895954678</v>
      </c>
      <c r="BO170" s="9">
        <f t="shared" ca="1" si="146"/>
        <v>197.54738001372436</v>
      </c>
      <c r="BP170" s="9">
        <f t="shared" ca="1" si="147"/>
        <v>-561.79686652323676</v>
      </c>
      <c r="BQ170">
        <f t="shared" ca="1" si="148"/>
        <v>595.51715893466439</v>
      </c>
      <c r="BR170">
        <f t="shared" ca="1" si="149"/>
        <v>0.33172407721571251</v>
      </c>
      <c r="BS170">
        <f t="shared" ca="1" si="150"/>
        <v>-0.94337645539592729</v>
      </c>
      <c r="BT170">
        <f t="shared" ca="1" si="151"/>
        <v>-1.2326657773247014</v>
      </c>
      <c r="BU170" s="39">
        <f t="shared" ca="1" si="152"/>
        <v>-6.0694097522561528</v>
      </c>
    </row>
    <row r="171" spans="45:73" x14ac:dyDescent="0.25">
      <c r="AS171">
        <v>5.8992128717408168</v>
      </c>
      <c r="AT171">
        <v>221.91185714620008</v>
      </c>
      <c r="AU171">
        <v>-497.67596361019042</v>
      </c>
      <c r="AV171" s="6">
        <f t="shared" si="134"/>
        <v>5.1318250078429513</v>
      </c>
      <c r="AW171" s="6">
        <f t="shared" si="135"/>
        <v>0.76738786389786551</v>
      </c>
      <c r="AX171" s="6">
        <f t="shared" si="136"/>
        <v>-0.2950810329114999</v>
      </c>
      <c r="AY171" s="6">
        <f t="shared" si="137"/>
        <v>0.2950810329114999</v>
      </c>
      <c r="BE171" s="39"/>
      <c r="BF171" s="39"/>
      <c r="BG171" s="6">
        <f t="shared" si="138"/>
        <v>5.4454272662222962</v>
      </c>
      <c r="BH171" s="9">
        <f t="shared" ca="1" si="139"/>
        <v>160.74933341086799</v>
      </c>
      <c r="BI171" s="9">
        <f t="shared" ca="1" si="140"/>
        <v>-569.05779458805432</v>
      </c>
      <c r="BJ171">
        <f t="shared" ca="1" si="141"/>
        <v>591.32657793596479</v>
      </c>
      <c r="BK171" s="6">
        <f t="shared" ca="1" si="142"/>
        <v>0.27184527029372874</v>
      </c>
      <c r="BL171" s="6">
        <f t="shared" ca="1" si="143"/>
        <v>-0.96234097336595281</v>
      </c>
      <c r="BM171" s="6">
        <f t="shared" ca="1" si="144"/>
        <v>-1.2954863324280768</v>
      </c>
      <c r="BN171" s="6">
        <f t="shared" ca="1" si="145"/>
        <v>0.24529398067452268</v>
      </c>
      <c r="BO171" s="9">
        <f t="shared" ca="1" si="146"/>
        <v>198.48799890134387</v>
      </c>
      <c r="BP171" s="9">
        <f t="shared" ca="1" si="147"/>
        <v>-560.68737986208305</v>
      </c>
      <c r="BQ171">
        <f t="shared" ca="1" si="148"/>
        <v>594.78384615292612</v>
      </c>
      <c r="BR171">
        <f t="shared" ca="1" si="149"/>
        <v>0.33371450853140722</v>
      </c>
      <c r="BS171">
        <f t="shared" ca="1" si="150"/>
        <v>-0.94267418910015854</v>
      </c>
      <c r="BT171">
        <f t="shared" ca="1" si="151"/>
        <v>-1.2305550910792857</v>
      </c>
      <c r="BU171" s="39">
        <f t="shared" ca="1" si="152"/>
        <v>-6.0672990660107367</v>
      </c>
    </row>
    <row r="172" spans="45:73" x14ac:dyDescent="0.25">
      <c r="AS172">
        <v>5.934119456780703</v>
      </c>
      <c r="AT172">
        <v>224.10312238607264</v>
      </c>
      <c r="AU172">
        <v>-489.39653726405732</v>
      </c>
      <c r="AV172" s="6">
        <f t="shared" si="134"/>
        <v>5.1418073644435296</v>
      </c>
      <c r="AW172" s="6">
        <f t="shared" si="135"/>
        <v>0.79231209233717337</v>
      </c>
      <c r="AX172" s="6">
        <f t="shared" si="136"/>
        <v>-0.30506338951207823</v>
      </c>
      <c r="AY172" s="6">
        <f t="shared" si="137"/>
        <v>0.30506338951207823</v>
      </c>
      <c r="BE172" s="39"/>
      <c r="BF172" s="39"/>
      <c r="BG172" s="6">
        <f t="shared" si="138"/>
        <v>5.4803338512621824</v>
      </c>
      <c r="BH172" s="9">
        <f t="shared" ca="1" si="139"/>
        <v>161.74734501146915</v>
      </c>
      <c r="BI172" s="9">
        <f t="shared" ca="1" si="140"/>
        <v>-567.83407842961662</v>
      </c>
      <c r="BJ172">
        <f t="shared" ca="1" si="141"/>
        <v>590.42166647597821</v>
      </c>
      <c r="BK172" s="6">
        <f t="shared" ca="1" si="142"/>
        <v>0.27395225174726878</v>
      </c>
      <c r="BL172" s="6">
        <f t="shared" ca="1" si="143"/>
        <v>-0.96174329410846482</v>
      </c>
      <c r="BM172" s="6">
        <f t="shared" ca="1" si="144"/>
        <v>-1.2932962198150662</v>
      </c>
      <c r="BN172" s="6">
        <f t="shared" ca="1" si="145"/>
        <v>0.24748409328753329</v>
      </c>
      <c r="BO172" s="9">
        <f t="shared" ca="1" si="146"/>
        <v>199.48601050194503</v>
      </c>
      <c r="BP172" s="9">
        <f t="shared" ca="1" si="147"/>
        <v>-559.46366370364535</v>
      </c>
      <c r="BQ172">
        <f t="shared" ca="1" si="148"/>
        <v>593.96486376778864</v>
      </c>
      <c r="BR172">
        <f t="shared" ca="1" si="149"/>
        <v>0.33585490097261772</v>
      </c>
      <c r="BS172">
        <f t="shared" ca="1" si="150"/>
        <v>-0.94191373569593573</v>
      </c>
      <c r="BT172">
        <f t="shared" ca="1" si="151"/>
        <v>-1.2282836220830595</v>
      </c>
      <c r="BU172" s="39">
        <f t="shared" ca="1" si="152"/>
        <v>-6.0650275970145113</v>
      </c>
    </row>
    <row r="173" spans="45:73" x14ac:dyDescent="0.25">
      <c r="AS173">
        <v>5.9690260418205892</v>
      </c>
      <c r="AT173">
        <v>226.26439560774742</v>
      </c>
      <c r="AU173">
        <v>-480.49218435406885</v>
      </c>
      <c r="AV173" s="6">
        <f t="shared" si="134"/>
        <v>5.1524878396928395</v>
      </c>
      <c r="AW173" s="6">
        <f t="shared" si="135"/>
        <v>0.81653820212774963</v>
      </c>
      <c r="AX173" s="6">
        <f t="shared" si="136"/>
        <v>-0.31574386476138816</v>
      </c>
      <c r="AY173" s="6">
        <f t="shared" si="137"/>
        <v>0.31574386476138816</v>
      </c>
      <c r="BE173" s="39"/>
      <c r="BF173" s="39"/>
      <c r="BG173" s="6">
        <f t="shared" si="138"/>
        <v>5.5152404363020686</v>
      </c>
      <c r="BH173" s="9">
        <f t="shared" ca="1" si="139"/>
        <v>162.81100489760743</v>
      </c>
      <c r="BI173" s="9">
        <f t="shared" ca="1" si="140"/>
        <v>-566.47598184036508</v>
      </c>
      <c r="BJ173">
        <f t="shared" ca="1" si="141"/>
        <v>589.40856909089337</v>
      </c>
      <c r="BK173" s="6">
        <f t="shared" ca="1" si="142"/>
        <v>0.27622775343888861</v>
      </c>
      <c r="BL173" s="6">
        <f t="shared" ca="1" si="143"/>
        <v>-0.96109220589395294</v>
      </c>
      <c r="BM173" s="6">
        <f t="shared" ca="1" si="144"/>
        <v>-1.2909294020302169</v>
      </c>
      <c r="BN173" s="6">
        <f t="shared" ca="1" si="145"/>
        <v>0.24985091107238255</v>
      </c>
      <c r="BO173" s="9">
        <f t="shared" ca="1" si="146"/>
        <v>200.54967038808331</v>
      </c>
      <c r="BP173" s="9">
        <f t="shared" ca="1" si="147"/>
        <v>-558.10556711439381</v>
      </c>
      <c r="BQ173">
        <f t="shared" ca="1" si="148"/>
        <v>593.04468156863857</v>
      </c>
      <c r="BR173">
        <f t="shared" ca="1" si="149"/>
        <v>0.33816957915821361</v>
      </c>
      <c r="BS173">
        <f t="shared" ca="1" si="150"/>
        <v>-0.94108519047531336</v>
      </c>
      <c r="BT173">
        <f t="shared" ca="1" si="151"/>
        <v>-1.2258251214566864</v>
      </c>
      <c r="BU173" s="39">
        <f t="shared" ca="1" si="152"/>
        <v>-6.0625690963881382</v>
      </c>
    </row>
    <row r="174" spans="45:73" x14ac:dyDescent="0.25">
      <c r="AS174">
        <v>6.0039326268604754</v>
      </c>
      <c r="AT174">
        <v>228.45272097684463</v>
      </c>
      <c r="AU174">
        <v>-469.13973350245425</v>
      </c>
      <c r="AV174" s="6">
        <f t="shared" si="134"/>
        <v>5.1655510269771998</v>
      </c>
      <c r="AW174" s="6">
        <f t="shared" si="135"/>
        <v>0.83838159988327554</v>
      </c>
      <c r="AX174" s="6">
        <f t="shared" si="136"/>
        <v>-0.32880705204574845</v>
      </c>
      <c r="AY174" s="6">
        <f t="shared" si="137"/>
        <v>0.32880705204574845</v>
      </c>
      <c r="BE174" s="39"/>
      <c r="BF174" s="39"/>
      <c r="BG174" s="6">
        <f t="shared" si="138"/>
        <v>5.5501470213419548</v>
      </c>
      <c r="BH174" s="9">
        <f t="shared" ca="1" si="139"/>
        <v>164.08212705610111</v>
      </c>
      <c r="BI174" s="9">
        <f t="shared" ca="1" si="140"/>
        <v>-563.75518458372369</v>
      </c>
      <c r="BJ174">
        <f t="shared" ca="1" si="141"/>
        <v>587.14806698505174</v>
      </c>
      <c r="BK174" s="6">
        <f t="shared" ca="1" si="142"/>
        <v>0.27945613088474752</v>
      </c>
      <c r="BL174" s="6">
        <f t="shared" ca="1" si="143"/>
        <v>-0.960158461354649</v>
      </c>
      <c r="BM174" s="6">
        <f t="shared" ca="1" si="144"/>
        <v>-1.2875687011468107</v>
      </c>
      <c r="BN174" s="6">
        <f t="shared" ca="1" si="145"/>
        <v>0.25321161195578878</v>
      </c>
      <c r="BO174" s="9">
        <f t="shared" ca="1" si="146"/>
        <v>201.820792546577</v>
      </c>
      <c r="BP174" s="9">
        <f t="shared" ca="1" si="147"/>
        <v>-555.38476985775242</v>
      </c>
      <c r="BQ174">
        <f t="shared" ca="1" si="148"/>
        <v>590.91782414653653</v>
      </c>
      <c r="BR174">
        <f t="shared" ca="1" si="149"/>
        <v>0.34153783199561977</v>
      </c>
      <c r="BS174">
        <f t="shared" ca="1" si="150"/>
        <v>-0.93986802760586119</v>
      </c>
      <c r="BT174">
        <f t="shared" ca="1" si="151"/>
        <v>-1.2222436934820293</v>
      </c>
      <c r="BU174" s="39">
        <f t="shared" ca="1" si="152"/>
        <v>-6.0589876684134811</v>
      </c>
    </row>
    <row r="175" spans="45:73" x14ac:dyDescent="0.25">
      <c r="AS175">
        <v>6.0388392119003615</v>
      </c>
      <c r="AT175">
        <v>230.7061913640803</v>
      </c>
      <c r="AU175">
        <v>-452.39560104269106</v>
      </c>
      <c r="AV175" s="6">
        <f t="shared" si="134"/>
        <v>5.1839772436062823</v>
      </c>
      <c r="AW175" s="6">
        <f t="shared" si="135"/>
        <v>0.85486196829407923</v>
      </c>
      <c r="AX175" s="6">
        <f t="shared" si="136"/>
        <v>-0.34723326867483095</v>
      </c>
      <c r="AY175" s="6">
        <f t="shared" si="137"/>
        <v>0.34723326867483095</v>
      </c>
      <c r="BE175" s="39"/>
      <c r="BF175" s="39"/>
      <c r="BG175" s="6">
        <f t="shared" si="138"/>
        <v>5.585053606381841</v>
      </c>
      <c r="BH175" s="9">
        <f t="shared" ca="1" si="139"/>
        <v>165.5178520280771</v>
      </c>
      <c r="BI175" s="9">
        <f t="shared" ca="1" si="140"/>
        <v>-560.14267028501661</v>
      </c>
      <c r="BJ175">
        <f t="shared" ca="1" si="141"/>
        <v>584.08558483668924</v>
      </c>
      <c r="BK175" s="6">
        <f t="shared" ca="1" si="142"/>
        <v>0.28337945041796575</v>
      </c>
      <c r="BL175" s="6">
        <f t="shared" ca="1" si="143"/>
        <v>-0.95900786601612997</v>
      </c>
      <c r="BM175" s="6">
        <f t="shared" ca="1" si="144"/>
        <v>-1.2834801403879317</v>
      </c>
      <c r="BN175" s="6">
        <f t="shared" ca="1" si="145"/>
        <v>0.25730017271466776</v>
      </c>
      <c r="BO175" s="9">
        <f t="shared" ca="1" si="146"/>
        <v>203.25651751855298</v>
      </c>
      <c r="BP175" s="9">
        <f t="shared" ca="1" si="147"/>
        <v>-551.77225555904533</v>
      </c>
      <c r="BQ175">
        <f t="shared" ca="1" si="148"/>
        <v>588.01856596410823</v>
      </c>
      <c r="BR175">
        <f t="shared" ca="1" si="149"/>
        <v>0.34566343527826543</v>
      </c>
      <c r="BS175">
        <f t="shared" ca="1" si="150"/>
        <v>-0.93835856127155803</v>
      </c>
      <c r="BT175">
        <f t="shared" ca="1" si="151"/>
        <v>-1.2178506168723897</v>
      </c>
      <c r="BU175" s="39">
        <f t="shared" ca="1" si="152"/>
        <v>-6.0545945918038413</v>
      </c>
    </row>
    <row r="176" spans="45:73" x14ac:dyDescent="0.25">
      <c r="AS176">
        <v>6.0737457969402477</v>
      </c>
      <c r="AT176">
        <v>232.91875906803261</v>
      </c>
      <c r="AU176">
        <v>-433.98795045797948</v>
      </c>
      <c r="AV176" s="6">
        <f t="shared" si="134"/>
        <v>5.2049591443477681</v>
      </c>
      <c r="AW176" s="6">
        <f t="shared" si="135"/>
        <v>0.86878665259247967</v>
      </c>
      <c r="AX176" s="6">
        <f t="shared" si="136"/>
        <v>-0.36821516941631671</v>
      </c>
      <c r="AY176" s="6">
        <f t="shared" si="137"/>
        <v>0.36821516941631671</v>
      </c>
      <c r="BE176" s="39"/>
      <c r="BF176" s="39"/>
      <c r="BG176" s="6">
        <f t="shared" si="138"/>
        <v>5.6199601914217272</v>
      </c>
      <c r="BH176" s="9">
        <f t="shared" ca="1" si="139"/>
        <v>167.06775105347108</v>
      </c>
      <c r="BI176" s="9">
        <f t="shared" ca="1" si="140"/>
        <v>-556.18827732099885</v>
      </c>
      <c r="BJ176">
        <f t="shared" ca="1" si="141"/>
        <v>580.73835181720597</v>
      </c>
      <c r="BK176" s="6">
        <f t="shared" ca="1" si="142"/>
        <v>0.28768162207764364</v>
      </c>
      <c r="BL176" s="6">
        <f t="shared" ca="1" si="143"/>
        <v>-0.9577261008862481</v>
      </c>
      <c r="BM176" s="6">
        <f t="shared" ca="1" si="144"/>
        <v>-1.2789910829503175</v>
      </c>
      <c r="BN176" s="6">
        <f t="shared" ca="1" si="145"/>
        <v>0.26178923015228195</v>
      </c>
      <c r="BO176" s="9">
        <f t="shared" ca="1" si="146"/>
        <v>204.80641654394697</v>
      </c>
      <c r="BP176" s="9">
        <f t="shared" ca="1" si="147"/>
        <v>-547.81786259502758</v>
      </c>
      <c r="BQ176">
        <f t="shared" ca="1" si="148"/>
        <v>584.85047562240834</v>
      </c>
      <c r="BR176">
        <f t="shared" ca="1" si="149"/>
        <v>0.35018594509303991</v>
      </c>
      <c r="BS176">
        <f t="shared" ca="1" si="150"/>
        <v>-0.93668020362303717</v>
      </c>
      <c r="BT176">
        <f t="shared" ca="1" si="151"/>
        <v>-1.2130267154901528</v>
      </c>
      <c r="BU176" s="39">
        <f t="shared" ca="1" si="152"/>
        <v>-6.049770690421604</v>
      </c>
    </row>
    <row r="177" spans="45:73" x14ac:dyDescent="0.25">
      <c r="AS177">
        <v>6.1086523819801339</v>
      </c>
      <c r="AT177">
        <v>235.12939662403929</v>
      </c>
      <c r="AU177">
        <v>-413.15863370832699</v>
      </c>
      <c r="AV177" s="6">
        <f t="shared" si="134"/>
        <v>5.2297794451102453</v>
      </c>
      <c r="AW177" s="6">
        <f t="shared" si="135"/>
        <v>0.87887293686988865</v>
      </c>
      <c r="AX177" s="6">
        <f t="shared" si="136"/>
        <v>-0.39303547017879392</v>
      </c>
      <c r="AY177" s="6">
        <f t="shared" si="137"/>
        <v>0.39303547017879392</v>
      </c>
      <c r="BE177" s="39"/>
      <c r="BF177" s="39"/>
      <c r="BG177" s="6">
        <f t="shared" si="138"/>
        <v>5.6548667764616134</v>
      </c>
      <c r="BH177" s="9">
        <f t="shared" ca="1" si="139"/>
        <v>168.7505759381169</v>
      </c>
      <c r="BI177" s="9">
        <f t="shared" ca="1" si="140"/>
        <v>-551.8271919633911</v>
      </c>
      <c r="BJ177">
        <f t="shared" ca="1" si="141"/>
        <v>577.05286297673581</v>
      </c>
      <c r="BK177" s="6">
        <f t="shared" ca="1" si="142"/>
        <v>0.29243521133854972</v>
      </c>
      <c r="BL177" s="6">
        <f t="shared" ca="1" si="143"/>
        <v>-0.956285337736273</v>
      </c>
      <c r="BM177" s="6">
        <f t="shared" ca="1" si="144"/>
        <v>-1.2740239449370134</v>
      </c>
      <c r="BN177" s="6">
        <f t="shared" ca="1" si="145"/>
        <v>0.26675636816558601</v>
      </c>
      <c r="BO177" s="9">
        <f t="shared" ca="1" si="146"/>
        <v>206.48924142859278</v>
      </c>
      <c r="BP177" s="9">
        <f t="shared" ca="1" si="147"/>
        <v>-543.45677723741983</v>
      </c>
      <c r="BQ177">
        <f t="shared" ca="1" si="148"/>
        <v>581.36311849913409</v>
      </c>
      <c r="BR177">
        <f t="shared" ca="1" si="149"/>
        <v>0.35518118514582092</v>
      </c>
      <c r="BS177">
        <f t="shared" ca="1" si="150"/>
        <v>-0.93479747845103334</v>
      </c>
      <c r="BT177">
        <f t="shared" ca="1" si="151"/>
        <v>-1.2076884437724449</v>
      </c>
      <c r="BU177" s="39">
        <f t="shared" ca="1" si="152"/>
        <v>-6.044432418703896</v>
      </c>
    </row>
    <row r="178" spans="45:73" x14ac:dyDescent="0.25">
      <c r="AS178">
        <v>6.1435589670200201</v>
      </c>
      <c r="AT178">
        <v>237.41180775295732</v>
      </c>
      <c r="AU178">
        <v>-388.48956471478215</v>
      </c>
      <c r="AV178" s="6">
        <f t="shared" si="134"/>
        <v>5.2609412281827161</v>
      </c>
      <c r="AW178" s="6">
        <f t="shared" si="135"/>
        <v>0.88261773883730399</v>
      </c>
      <c r="AX178" s="6">
        <f t="shared" si="136"/>
        <v>-0.42419725325126478</v>
      </c>
      <c r="AY178" s="6">
        <f t="shared" si="137"/>
        <v>0.42419725325126478</v>
      </c>
      <c r="BE178" s="39"/>
      <c r="BF178" s="39"/>
      <c r="BG178" s="6">
        <f t="shared" si="138"/>
        <v>5.6897733615014996</v>
      </c>
      <c r="BH178" s="9">
        <f t="shared" ca="1" si="139"/>
        <v>170.58926319249898</v>
      </c>
      <c r="BI178" s="9">
        <f t="shared" ca="1" si="140"/>
        <v>-546.97745909134494</v>
      </c>
      <c r="BJ178">
        <f t="shared" ca="1" si="141"/>
        <v>572.96163699726321</v>
      </c>
      <c r="BK178" s="6">
        <f t="shared" ca="1" si="142"/>
        <v>0.29773243473421906</v>
      </c>
      <c r="BL178" s="6">
        <f t="shared" ca="1" si="143"/>
        <v>-0.95464935830242614</v>
      </c>
      <c r="BM178" s="6">
        <f t="shared" ca="1" si="144"/>
        <v>-1.2684798414799876</v>
      </c>
      <c r="BN178" s="6">
        <f t="shared" ca="1" si="145"/>
        <v>0.27230047162261184</v>
      </c>
      <c r="BO178" s="9">
        <f t="shared" ca="1" si="146"/>
        <v>208.32792868297486</v>
      </c>
      <c r="BP178" s="9">
        <f t="shared" ca="1" si="147"/>
        <v>-538.60704436537367</v>
      </c>
      <c r="BQ178">
        <f t="shared" ca="1" si="148"/>
        <v>577.49292126340583</v>
      </c>
      <c r="BR178">
        <f t="shared" ca="1" si="149"/>
        <v>0.36074542390442982</v>
      </c>
      <c r="BS178">
        <f t="shared" ca="1" si="150"/>
        <v>-0.93266432285791512</v>
      </c>
      <c r="BT178">
        <f t="shared" ca="1" si="151"/>
        <v>-1.2017293154104858</v>
      </c>
      <c r="BU178" s="39">
        <f t="shared" ca="1" si="152"/>
        <v>-6.0384732903419369</v>
      </c>
    </row>
    <row r="179" spans="45:73" x14ac:dyDescent="0.25">
      <c r="AS179">
        <v>6.1784655520599063</v>
      </c>
      <c r="AT179">
        <v>239.92991622308858</v>
      </c>
      <c r="AU179">
        <v>-356.8091400158047</v>
      </c>
      <c r="AV179" s="6">
        <f t="shared" si="134"/>
        <v>5.3043724178247258</v>
      </c>
      <c r="AW179" s="6">
        <f t="shared" si="135"/>
        <v>0.87409313423518054</v>
      </c>
      <c r="AX179" s="6">
        <f t="shared" si="136"/>
        <v>-0.46762844289327443</v>
      </c>
      <c r="AY179" s="6">
        <f t="shared" si="137"/>
        <v>0.46762844289327443</v>
      </c>
      <c r="BE179" s="39"/>
      <c r="BF179" s="39"/>
      <c r="BG179" s="6">
        <f t="shared" si="138"/>
        <v>5.7246799465413858</v>
      </c>
      <c r="BH179" s="9">
        <f t="shared" ca="1" si="139"/>
        <v>172.61220255346225</v>
      </c>
      <c r="BI179" s="9">
        <f t="shared" ca="1" si="140"/>
        <v>-541.5338431262021</v>
      </c>
      <c r="BJ179">
        <f t="shared" ca="1" si="141"/>
        <v>568.37828575816616</v>
      </c>
      <c r="BK179" s="6">
        <f t="shared" ca="1" si="142"/>
        <v>0.30369246482246048</v>
      </c>
      <c r="BL179" s="6">
        <f t="shared" ca="1" si="143"/>
        <v>-0.9527701122569171</v>
      </c>
      <c r="BM179" s="6">
        <f t="shared" ca="1" si="144"/>
        <v>-1.2622305494039912</v>
      </c>
      <c r="BN179" s="6">
        <f t="shared" ca="1" si="145"/>
        <v>0.27854976369860829</v>
      </c>
      <c r="BO179" s="9">
        <f t="shared" ca="1" si="146"/>
        <v>210.35086804393814</v>
      </c>
      <c r="BP179" s="9">
        <f t="shared" ca="1" si="147"/>
        <v>-533.16342840023083</v>
      </c>
      <c r="BQ179">
        <f t="shared" ca="1" si="148"/>
        <v>573.15855491332093</v>
      </c>
      <c r="BR179">
        <f t="shared" ca="1" si="149"/>
        <v>0.36700292831841203</v>
      </c>
      <c r="BS179">
        <f t="shared" ca="1" si="150"/>
        <v>-0.93021978618265833</v>
      </c>
      <c r="BT179">
        <f t="shared" ca="1" si="151"/>
        <v>-1.1950112583408363</v>
      </c>
      <c r="BU179" s="39">
        <f t="shared" ca="1" si="152"/>
        <v>-6.0317552332722872</v>
      </c>
    </row>
    <row r="180" spans="45:73" x14ac:dyDescent="0.25">
      <c r="AS180">
        <v>6.2133721370997925</v>
      </c>
      <c r="AT180">
        <v>243.1381992261073</v>
      </c>
      <c r="AU180">
        <v>-308.64963621722563</v>
      </c>
      <c r="AV180" s="6">
        <f t="shared" si="134"/>
        <v>5.3796145456246496</v>
      </c>
      <c r="AW180" s="6">
        <f t="shared" si="135"/>
        <v>0.83375759147514295</v>
      </c>
      <c r="AX180" s="6">
        <f t="shared" si="136"/>
        <v>-0.54287057069319811</v>
      </c>
      <c r="AY180" s="6">
        <f t="shared" si="137"/>
        <v>0.54287057069319811</v>
      </c>
      <c r="BE180" s="39"/>
      <c r="BF180" s="39"/>
      <c r="BG180" s="6">
        <f t="shared" si="138"/>
        <v>5.759586531581272</v>
      </c>
      <c r="BH180" s="9">
        <f t="shared" ca="1" si="139"/>
        <v>174.85500040000332</v>
      </c>
      <c r="BI180" s="9">
        <f t="shared" ca="1" si="140"/>
        <v>-535.35886356756112</v>
      </c>
      <c r="BJ180">
        <f t="shared" ca="1" si="141"/>
        <v>563.19036210258048</v>
      </c>
      <c r="BK180" s="6">
        <f t="shared" ca="1" si="142"/>
        <v>0.3104722881748373</v>
      </c>
      <c r="BL180" s="6">
        <f t="shared" ca="1" si="143"/>
        <v>-0.95058243107869433</v>
      </c>
      <c r="BM180" s="6">
        <f t="shared" ca="1" si="144"/>
        <v>-1.2551064937981462</v>
      </c>
      <c r="BN180" s="6">
        <f t="shared" ca="1" si="145"/>
        <v>0.28567381930445324</v>
      </c>
      <c r="BO180" s="9">
        <f t="shared" ca="1" si="146"/>
        <v>212.5936658904792</v>
      </c>
      <c r="BP180" s="9">
        <f t="shared" ca="1" si="147"/>
        <v>-526.98844884158984</v>
      </c>
      <c r="BQ180">
        <f t="shared" ca="1" si="148"/>
        <v>568.25424942468987</v>
      </c>
      <c r="BR180">
        <f t="shared" ca="1" si="149"/>
        <v>0.37411715989051131</v>
      </c>
      <c r="BS180">
        <f t="shared" ca="1" si="150"/>
        <v>-0.92738144831318337</v>
      </c>
      <c r="BT180">
        <f t="shared" ca="1" si="151"/>
        <v>-1.1873517061635042</v>
      </c>
      <c r="BU180" s="39">
        <f t="shared" ca="1" si="152"/>
        <v>-6.0240956810949555</v>
      </c>
    </row>
    <row r="181" spans="45:73" x14ac:dyDescent="0.25">
      <c r="AS181">
        <v>6.2482787221396787</v>
      </c>
      <c r="AT181">
        <v>247.72610207209166</v>
      </c>
      <c r="AU181">
        <v>-219.30811496892946</v>
      </c>
      <c r="AV181" s="6">
        <f t="shared" si="134"/>
        <v>5.5585599773625445</v>
      </c>
      <c r="AW181" s="6">
        <f t="shared" si="135"/>
        <v>0.68971874477713424</v>
      </c>
      <c r="AX181" s="6">
        <f t="shared" si="136"/>
        <v>-0.72181600243109312</v>
      </c>
      <c r="AY181" s="6">
        <f t="shared" si="137"/>
        <v>0.72181600243109312</v>
      </c>
      <c r="BE181" s="39"/>
      <c r="BF181" s="39"/>
      <c r="BG181" s="6">
        <f t="shared" si="138"/>
        <v>5.7944931166211582</v>
      </c>
      <c r="BH181" s="9">
        <f t="shared" ca="1" si="139"/>
        <v>177.28019931843318</v>
      </c>
      <c r="BI181" s="9">
        <f t="shared" ca="1" si="140"/>
        <v>-528.45377872952156</v>
      </c>
      <c r="BJ181">
        <f t="shared" ca="1" si="141"/>
        <v>557.39722400088567</v>
      </c>
      <c r="BK181" s="6">
        <f t="shared" ca="1" si="142"/>
        <v>0.31805002193220733</v>
      </c>
      <c r="BL181" s="6">
        <f t="shared" ca="1" si="143"/>
        <v>-0.94807393358794678</v>
      </c>
      <c r="BM181" s="6">
        <f t="shared" ca="1" si="144"/>
        <v>-1.2471243295015728</v>
      </c>
      <c r="BN181" s="6">
        <f t="shared" ca="1" si="145"/>
        <v>0.29365598360102663</v>
      </c>
      <c r="BO181" s="9">
        <f t="shared" ca="1" si="146"/>
        <v>215.01886480890906</v>
      </c>
      <c r="BP181" s="9">
        <f t="shared" ca="1" si="147"/>
        <v>-520.08336400355029</v>
      </c>
      <c r="BQ181">
        <f t="shared" ca="1" si="148"/>
        <v>562.77865785489882</v>
      </c>
      <c r="BR181">
        <f t="shared" ca="1" si="149"/>
        <v>0.38206648707767338</v>
      </c>
      <c r="BS181">
        <f t="shared" ca="1" si="150"/>
        <v>-0.92413483834997046</v>
      </c>
      <c r="BT181">
        <f t="shared" ca="1" si="151"/>
        <v>-1.1787649295841554</v>
      </c>
      <c r="BU181" s="39">
        <f t="shared" ca="1" si="152"/>
        <v>-6.0155089045156069</v>
      </c>
    </row>
    <row r="182" spans="45:73" x14ac:dyDescent="0.25">
      <c r="AS182">
        <v>6.2831853071795649</v>
      </c>
      <c r="AT182">
        <v>250.71326135581722</v>
      </c>
      <c r="AU182">
        <v>-94.789947112686548</v>
      </c>
      <c r="AV182" s="6">
        <f t="shared" si="134"/>
        <v>5.9217161334459067</v>
      </c>
      <c r="AW182" s="6">
        <f t="shared" si="135"/>
        <v>0.36146917373365817</v>
      </c>
      <c r="AX182" s="6">
        <f t="shared" si="136"/>
        <v>-1.0849721585144554</v>
      </c>
      <c r="AY182" s="6">
        <f t="shared" si="137"/>
        <v>1.0849721585144554</v>
      </c>
      <c r="BE182" s="39"/>
      <c r="BF182" s="39"/>
      <c r="BG182" s="6">
        <f t="shared" si="138"/>
        <v>5.8293997016610444</v>
      </c>
      <c r="BH182" s="9">
        <f t="shared" ca="1" si="139"/>
        <v>179.64399078830579</v>
      </c>
      <c r="BI182" s="9">
        <f t="shared" ca="1" si="140"/>
        <v>-521.29161833676483</v>
      </c>
      <c r="BJ182">
        <f t="shared" ca="1" si="141"/>
        <v>551.37728895422617</v>
      </c>
      <c r="BK182" s="6">
        <f t="shared" ca="1" si="142"/>
        <v>0.32580955796897054</v>
      </c>
      <c r="BL182" s="6">
        <f t="shared" ca="1" si="143"/>
        <v>-0.94543541923077112</v>
      </c>
      <c r="BM182" s="6">
        <f t="shared" ca="1" si="144"/>
        <v>-1.2389284443431261</v>
      </c>
      <c r="BN182" s="6">
        <f t="shared" ca="1" si="145"/>
        <v>0.30185186875947334</v>
      </c>
      <c r="BO182" s="9">
        <f t="shared" ca="1" si="146"/>
        <v>217.38265627878167</v>
      </c>
      <c r="BP182" s="9">
        <f t="shared" ca="1" si="147"/>
        <v>-512.92120361079355</v>
      </c>
      <c r="BQ182">
        <f t="shared" ca="1" si="148"/>
        <v>557.08471560828525</v>
      </c>
      <c r="BR182">
        <f t="shared" ca="1" si="149"/>
        <v>0.39021471993073764</v>
      </c>
      <c r="BS182">
        <f t="shared" ca="1" si="150"/>
        <v>-0.92072388496735325</v>
      </c>
      <c r="BT182">
        <f t="shared" ca="1" si="151"/>
        <v>-1.169931537881111</v>
      </c>
      <c r="BU182" s="39">
        <f t="shared" ca="1" si="152"/>
        <v>-6.0066755128125626</v>
      </c>
    </row>
    <row r="183" spans="45:73" x14ac:dyDescent="0.25">
      <c r="AS183"/>
      <c r="AT183"/>
      <c r="AU183"/>
      <c r="AV183" s="6" t="e">
        <f t="shared" si="134"/>
        <v>#N/A</v>
      </c>
      <c r="AW183" s="6" t="e">
        <f t="shared" si="135"/>
        <v>#N/A</v>
      </c>
      <c r="AX183" s="6" t="e">
        <f t="shared" si="136"/>
        <v>#N/A</v>
      </c>
      <c r="AY183" s="6" t="e">
        <f t="shared" si="137"/>
        <v>#N/A</v>
      </c>
      <c r="BF183" s="39"/>
      <c r="BG183" s="6">
        <f t="shared" si="138"/>
        <v>5.8643062867009306</v>
      </c>
      <c r="BH183" s="9">
        <f t="shared" ca="1" si="139"/>
        <v>181.93742395838373</v>
      </c>
      <c r="BI183" s="9">
        <f t="shared" ca="1" si="140"/>
        <v>-513.85095431241473</v>
      </c>
      <c r="BJ183">
        <f t="shared" ca="1" si="141"/>
        <v>545.10919042370949</v>
      </c>
      <c r="BK183" s="6">
        <f t="shared" ca="1" si="142"/>
        <v>0.33376326643285004</v>
      </c>
      <c r="BL183" s="6">
        <f t="shared" ca="1" si="143"/>
        <v>-0.94265692697824821</v>
      </c>
      <c r="BM183" s="6">
        <f t="shared" ca="1" si="144"/>
        <v>-1.2305033676435282</v>
      </c>
      <c r="BN183" s="6">
        <f t="shared" ca="1" si="145"/>
        <v>0.31027694545907125</v>
      </c>
      <c r="BO183" s="9">
        <f t="shared" ca="1" si="146"/>
        <v>219.67608944885961</v>
      </c>
      <c r="BP183" s="9">
        <f t="shared" ca="1" si="147"/>
        <v>-505.48053958644351</v>
      </c>
      <c r="BQ183">
        <f t="shared" ca="1" si="148"/>
        <v>551.15166712634141</v>
      </c>
      <c r="BR183">
        <f t="shared" ca="1" si="149"/>
        <v>0.39857647640663474</v>
      </c>
      <c r="BS183">
        <f t="shared" ca="1" si="150"/>
        <v>-0.91713510043791879</v>
      </c>
      <c r="BT183">
        <f t="shared" ca="1" si="151"/>
        <v>-1.1608321468539933</v>
      </c>
      <c r="BU183" s="39">
        <f t="shared" ca="1" si="152"/>
        <v>-5.9975761217854444</v>
      </c>
    </row>
    <row r="184" spans="45:73" x14ac:dyDescent="0.25">
      <c r="AS184"/>
      <c r="AT184"/>
      <c r="AU184"/>
      <c r="AV184" s="6" t="e">
        <f t="shared" si="134"/>
        <v>#N/A</v>
      </c>
      <c r="AW184" s="6" t="e">
        <f t="shared" si="135"/>
        <v>#N/A</v>
      </c>
      <c r="AX184" s="6" t="e">
        <f t="shared" si="136"/>
        <v>#N/A</v>
      </c>
      <c r="AY184" s="6" t="e">
        <f t="shared" si="137"/>
        <v>#N/A</v>
      </c>
      <c r="BF184" s="39"/>
      <c r="BG184" s="6">
        <f t="shared" si="138"/>
        <v>5.8992128717408168</v>
      </c>
      <c r="BH184" s="9">
        <f t="shared" ca="1" si="139"/>
        <v>184.1731916557242</v>
      </c>
      <c r="BI184" s="9">
        <f t="shared" ca="1" si="140"/>
        <v>-506.04637833616164</v>
      </c>
      <c r="BJ184">
        <f t="shared" ca="1" si="141"/>
        <v>538.5189890354859</v>
      </c>
      <c r="BK184" s="6">
        <f t="shared" ca="1" si="142"/>
        <v>0.3419994380989006</v>
      </c>
      <c r="BL184" s="6">
        <f t="shared" ca="1" si="143"/>
        <v>-0.93970015661381912</v>
      </c>
      <c r="BM184" s="6">
        <f t="shared" ca="1" si="144"/>
        <v>-1.2217525103497804</v>
      </c>
      <c r="BN184" s="6">
        <f t="shared" ca="1" si="145"/>
        <v>0.31902780275281906</v>
      </c>
      <c r="BO184" s="9">
        <f t="shared" ca="1" si="146"/>
        <v>221.91185714620008</v>
      </c>
      <c r="BP184" s="9">
        <f t="shared" ca="1" si="147"/>
        <v>-497.67596361019042</v>
      </c>
      <c r="BQ184">
        <f t="shared" ca="1" si="148"/>
        <v>544.9093842992678</v>
      </c>
      <c r="BR184">
        <f t="shared" ca="1" si="149"/>
        <v>0.40724543114919937</v>
      </c>
      <c r="BS184">
        <f t="shared" ca="1" si="150"/>
        <v>-0.91331876078842411</v>
      </c>
      <c r="BT184">
        <f t="shared" ca="1" si="151"/>
        <v>-1.1513602993366348</v>
      </c>
      <c r="BU184" s="39">
        <f t="shared" ca="1" si="152"/>
        <v>-5.9881042742680863</v>
      </c>
    </row>
    <row r="185" spans="45:73" x14ac:dyDescent="0.25">
      <c r="AS185"/>
      <c r="AT185"/>
      <c r="AU185"/>
      <c r="AV185" s="6" t="e">
        <f t="shared" si="134"/>
        <v>#N/A</v>
      </c>
      <c r="AW185" s="6" t="e">
        <f t="shared" si="135"/>
        <v>#N/A</v>
      </c>
      <c r="AX185" s="6" t="e">
        <f t="shared" si="136"/>
        <v>#N/A</v>
      </c>
      <c r="AY185" s="6" t="e">
        <f t="shared" si="137"/>
        <v>#N/A</v>
      </c>
      <c r="BF185" s="39"/>
      <c r="BG185" s="6">
        <f t="shared" si="138"/>
        <v>5.934119456780703</v>
      </c>
      <c r="BH185" s="9">
        <f t="shared" ca="1" si="139"/>
        <v>186.36445689559676</v>
      </c>
      <c r="BI185" s="9">
        <f t="shared" ca="1" si="140"/>
        <v>-497.76695199002853</v>
      </c>
      <c r="BJ185">
        <f t="shared" ca="1" si="141"/>
        <v>531.51072358648992</v>
      </c>
      <c r="BK185" s="6">
        <f t="shared" ca="1" si="142"/>
        <v>0.35063160276063682</v>
      </c>
      <c r="BL185" s="6">
        <f t="shared" ca="1" si="143"/>
        <v>-0.93651346981530759</v>
      </c>
      <c r="BM185" s="6">
        <f t="shared" ca="1" si="144"/>
        <v>-1.2125508889213279</v>
      </c>
      <c r="BN185" s="6">
        <f t="shared" ca="1" si="145"/>
        <v>0.32822942418127155</v>
      </c>
      <c r="BO185" s="9">
        <f t="shared" ca="1" si="146"/>
        <v>224.10312238607264</v>
      </c>
      <c r="BP185" s="9">
        <f t="shared" ca="1" si="147"/>
        <v>-489.39653726405732</v>
      </c>
      <c r="BQ185">
        <f t="shared" ca="1" si="148"/>
        <v>538.26682988015978</v>
      </c>
      <c r="BR185">
        <f t="shared" ca="1" si="149"/>
        <v>0.41634206298011556</v>
      </c>
      <c r="BS185">
        <f t="shared" ca="1" si="150"/>
        <v>-0.90920805462416665</v>
      </c>
      <c r="BT185">
        <f t="shared" ca="1" si="151"/>
        <v>-1.1413779427360569</v>
      </c>
      <c r="BU185" s="39">
        <f t="shared" ca="1" si="152"/>
        <v>-5.978121917667508</v>
      </c>
    </row>
    <row r="186" spans="45:73" x14ac:dyDescent="0.25">
      <c r="AS186"/>
      <c r="AT186"/>
      <c r="AU186"/>
      <c r="AV186" s="6" t="e">
        <f t="shared" si="134"/>
        <v>#N/A</v>
      </c>
      <c r="AW186" s="6" t="e">
        <f t="shared" si="135"/>
        <v>#N/A</v>
      </c>
      <c r="AX186" s="6" t="e">
        <f t="shared" si="136"/>
        <v>#N/A</v>
      </c>
      <c r="AY186" s="6" t="e">
        <f t="shared" si="137"/>
        <v>#N/A</v>
      </c>
      <c r="BF186" s="39"/>
      <c r="BG186" s="6">
        <f t="shared" si="138"/>
        <v>5.9690260418205892</v>
      </c>
      <c r="BH186" s="9">
        <f t="shared" ca="1" si="139"/>
        <v>188.52573011727154</v>
      </c>
      <c r="BI186" s="9">
        <f t="shared" ca="1" si="140"/>
        <v>-488.86259908004007</v>
      </c>
      <c r="BJ186">
        <f t="shared" ca="1" si="141"/>
        <v>523.95476111544428</v>
      </c>
      <c r="BK186" s="6">
        <f t="shared" ca="1" si="142"/>
        <v>0.3598129917092846</v>
      </c>
      <c r="BL186" s="6">
        <f t="shared" ca="1" si="143"/>
        <v>-0.933024442872326</v>
      </c>
      <c r="BM186" s="6">
        <f t="shared" ca="1" si="144"/>
        <v>-1.2027288734660826</v>
      </c>
      <c r="BN186" s="6">
        <f t="shared" ca="1" si="145"/>
        <v>0.33805143963651685</v>
      </c>
      <c r="BO186" s="9">
        <f t="shared" ca="1" si="146"/>
        <v>226.26439560774742</v>
      </c>
      <c r="BP186" s="9">
        <f t="shared" ca="1" si="147"/>
        <v>-480.49218435406885</v>
      </c>
      <c r="BQ186">
        <f t="shared" ca="1" si="148"/>
        <v>531.10104118245124</v>
      </c>
      <c r="BR186">
        <f t="shared" ca="1" si="149"/>
        <v>0.42602890610793948</v>
      </c>
      <c r="BS186">
        <f t="shared" ca="1" si="150"/>
        <v>-0.90470955071805903</v>
      </c>
      <c r="BT186">
        <f t="shared" ca="1" si="151"/>
        <v>-1.1306974674867467</v>
      </c>
      <c r="BU186" s="39">
        <f t="shared" ca="1" si="152"/>
        <v>-5.9674414424181981</v>
      </c>
    </row>
    <row r="187" spans="45:73" x14ac:dyDescent="0.25">
      <c r="AS187"/>
      <c r="AT187"/>
      <c r="AU187"/>
      <c r="AV187" s="6" t="e">
        <f t="shared" si="134"/>
        <v>#N/A</v>
      </c>
      <c r="AW187" s="6" t="e">
        <f t="shared" si="135"/>
        <v>#N/A</v>
      </c>
      <c r="AX187" s="6" t="e">
        <f t="shared" si="136"/>
        <v>#N/A</v>
      </c>
      <c r="AY187" s="6" t="e">
        <f t="shared" si="137"/>
        <v>#N/A</v>
      </c>
      <c r="BF187" s="39"/>
      <c r="BG187" s="6">
        <f t="shared" si="138"/>
        <v>6.0039326268604754</v>
      </c>
      <c r="BH187" s="9">
        <f t="shared" ca="1" si="139"/>
        <v>190.71405548636875</v>
      </c>
      <c r="BI187" s="9">
        <f t="shared" ca="1" si="140"/>
        <v>-477.51014822842546</v>
      </c>
      <c r="BJ187">
        <f t="shared" ca="1" si="141"/>
        <v>514.18653485013647</v>
      </c>
      <c r="BK187" s="6">
        <f t="shared" ca="1" si="142"/>
        <v>0.37090441417715031</v>
      </c>
      <c r="BL187" s="6">
        <f t="shared" ca="1" si="143"/>
        <v>-0.92867104808102252</v>
      </c>
      <c r="BM187" s="6">
        <f t="shared" ca="1" si="144"/>
        <v>-1.1908136152538147</v>
      </c>
      <c r="BN187" s="6">
        <f t="shared" ca="1" si="145"/>
        <v>0.34996669784878476</v>
      </c>
      <c r="BO187" s="9">
        <f t="shared" ca="1" si="146"/>
        <v>228.45272097684463</v>
      </c>
      <c r="BP187" s="9">
        <f t="shared" ca="1" si="147"/>
        <v>-469.13973350245425</v>
      </c>
      <c r="BQ187">
        <f t="shared" ca="1" si="148"/>
        <v>521.80718208211533</v>
      </c>
      <c r="BR187">
        <f t="shared" ca="1" si="149"/>
        <v>0.43781061055018916</v>
      </c>
      <c r="BS187">
        <f t="shared" ca="1" si="150"/>
        <v>-0.89906722178581866</v>
      </c>
      <c r="BT187">
        <f t="shared" ca="1" si="151"/>
        <v>-1.117634280202386</v>
      </c>
      <c r="BU187" s="39">
        <f t="shared" ca="1" si="152"/>
        <v>-5.9543782551338378</v>
      </c>
    </row>
    <row r="188" spans="45:73" x14ac:dyDescent="0.25">
      <c r="AS188"/>
      <c r="AT188"/>
      <c r="AU188"/>
      <c r="AV188" s="6" t="e">
        <f t="shared" si="134"/>
        <v>#N/A</v>
      </c>
      <c r="AW188" s="6" t="e">
        <f t="shared" si="135"/>
        <v>#N/A</v>
      </c>
      <c r="AX188" s="6" t="e">
        <f t="shared" si="136"/>
        <v>#N/A</v>
      </c>
      <c r="AY188" s="6" t="e">
        <f t="shared" si="137"/>
        <v>#N/A</v>
      </c>
      <c r="BF188" s="39"/>
      <c r="BG188" s="6">
        <f t="shared" si="138"/>
        <v>6.0388392119003615</v>
      </c>
      <c r="BH188" s="9">
        <f t="shared" ca="1" si="139"/>
        <v>192.96752587360442</v>
      </c>
      <c r="BI188" s="9">
        <f t="shared" ca="1" si="140"/>
        <v>-460.76601576866227</v>
      </c>
      <c r="BJ188">
        <f t="shared" ca="1" si="141"/>
        <v>499.54157717762325</v>
      </c>
      <c r="BK188" s="6">
        <f t="shared" ca="1" si="142"/>
        <v>0.38628921933557187</v>
      </c>
      <c r="BL188" s="6">
        <f t="shared" ca="1" si="143"/>
        <v>-0.92237770952311848</v>
      </c>
      <c r="BM188" s="6">
        <f t="shared" ca="1" si="144"/>
        <v>-1.1741911996070915</v>
      </c>
      <c r="BN188" s="6">
        <f t="shared" ca="1" si="145"/>
        <v>0.36658911349550793</v>
      </c>
      <c r="BO188" s="9">
        <f t="shared" ca="1" si="146"/>
        <v>230.7061913640803</v>
      </c>
      <c r="BP188" s="9">
        <f t="shared" ca="1" si="147"/>
        <v>-452.39560104269106</v>
      </c>
      <c r="BQ188">
        <f t="shared" ca="1" si="148"/>
        <v>507.8258821451476</v>
      </c>
      <c r="BR188">
        <f t="shared" ca="1" si="149"/>
        <v>0.45430175868456324</v>
      </c>
      <c r="BS188">
        <f t="shared" ca="1" si="150"/>
        <v>-0.89084786134115679</v>
      </c>
      <c r="BT188">
        <f t="shared" ca="1" si="151"/>
        <v>-1.0992080635733035</v>
      </c>
      <c r="BU188" s="39">
        <f t="shared" ca="1" si="152"/>
        <v>-5.9359520385047553</v>
      </c>
    </row>
    <row r="189" spans="45:73" x14ac:dyDescent="0.25">
      <c r="AS189"/>
      <c r="AT189"/>
      <c r="AU189"/>
      <c r="AV189" s="6" t="e">
        <f t="shared" si="134"/>
        <v>#N/A</v>
      </c>
      <c r="AW189" s="6" t="e">
        <f t="shared" si="135"/>
        <v>#N/A</v>
      </c>
      <c r="AX189" s="6" t="e">
        <f t="shared" si="136"/>
        <v>#N/A</v>
      </c>
      <c r="AY189" s="6" t="e">
        <f t="shared" si="137"/>
        <v>#N/A</v>
      </c>
      <c r="BF189" s="39"/>
      <c r="BG189" s="6">
        <f t="shared" si="138"/>
        <v>6.0737457969402477</v>
      </c>
      <c r="BH189" s="9">
        <f t="shared" ca="1" si="139"/>
        <v>195.18009357755673</v>
      </c>
      <c r="BI189" s="9">
        <f t="shared" ca="1" si="140"/>
        <v>-442.3583651839507</v>
      </c>
      <c r="BJ189">
        <f t="shared" ca="1" si="141"/>
        <v>483.50407669135666</v>
      </c>
      <c r="BK189" s="6">
        <f t="shared" ca="1" si="142"/>
        <v>0.40367827901924669</v>
      </c>
      <c r="BL189" s="6">
        <f t="shared" ca="1" si="143"/>
        <v>-0.91490100396057017</v>
      </c>
      <c r="BM189" s="6">
        <f t="shared" ca="1" si="144"/>
        <v>-1.1552626175064631</v>
      </c>
      <c r="BN189" s="6">
        <f t="shared" ca="1" si="145"/>
        <v>0.38551769559613636</v>
      </c>
      <c r="BO189" s="9">
        <f t="shared" ca="1" si="146"/>
        <v>232.91875906803261</v>
      </c>
      <c r="BP189" s="9">
        <f t="shared" ca="1" si="147"/>
        <v>-433.98795045797948</v>
      </c>
      <c r="BQ189">
        <f t="shared" ca="1" si="148"/>
        <v>492.54105358691663</v>
      </c>
      <c r="BR189">
        <f t="shared" ca="1" si="149"/>
        <v>0.47289207137518424</v>
      </c>
      <c r="BS189">
        <f t="shared" ca="1" si="150"/>
        <v>-0.88112036001359517</v>
      </c>
      <c r="BT189">
        <f t="shared" ca="1" si="151"/>
        <v>-1.0782261628318179</v>
      </c>
      <c r="BU189" s="39">
        <f t="shared" ca="1" si="152"/>
        <v>-5.9149701377632695</v>
      </c>
    </row>
    <row r="190" spans="45:73" x14ac:dyDescent="0.25">
      <c r="AS190"/>
      <c r="AT190"/>
      <c r="AU190"/>
      <c r="AV190" s="6" t="e">
        <f t="shared" si="134"/>
        <v>#N/A</v>
      </c>
      <c r="AW190" s="6" t="e">
        <f t="shared" si="135"/>
        <v>#N/A</v>
      </c>
      <c r="AX190" s="6" t="e">
        <f t="shared" si="136"/>
        <v>#N/A</v>
      </c>
      <c r="AY190" s="6" t="e">
        <f t="shared" si="137"/>
        <v>#N/A</v>
      </c>
      <c r="BF190" s="39"/>
      <c r="BG190" s="6">
        <f t="shared" si="138"/>
        <v>6.1086523819801339</v>
      </c>
      <c r="BH190" s="9">
        <f t="shared" ca="1" si="139"/>
        <v>197.39073113356341</v>
      </c>
      <c r="BI190" s="9">
        <f t="shared" ca="1" si="140"/>
        <v>-421.5290484342982</v>
      </c>
      <c r="BJ190">
        <f t="shared" ca="1" si="141"/>
        <v>465.45659240295186</v>
      </c>
      <c r="BK190" s="6">
        <f t="shared" ca="1" si="142"/>
        <v>0.42407978392683215</v>
      </c>
      <c r="BL190" s="6">
        <f t="shared" ca="1" si="143"/>
        <v>-0.90562483229236335</v>
      </c>
      <c r="BM190" s="6">
        <f t="shared" ca="1" si="144"/>
        <v>-1.1328507950114906</v>
      </c>
      <c r="BN190" s="6">
        <f t="shared" ca="1" si="145"/>
        <v>0.40792951809110889</v>
      </c>
      <c r="BO190" s="9">
        <f t="shared" ca="1" si="146"/>
        <v>235.12939662403929</v>
      </c>
      <c r="BP190" s="9">
        <f t="shared" ca="1" si="147"/>
        <v>-413.15863370832699</v>
      </c>
      <c r="BQ190">
        <f t="shared" ca="1" si="148"/>
        <v>475.37973217683174</v>
      </c>
      <c r="BR190">
        <f t="shared" ca="1" si="149"/>
        <v>0.4946138438577265</v>
      </c>
      <c r="BS190">
        <f t="shared" ca="1" si="150"/>
        <v>-0.86911284967159741</v>
      </c>
      <c r="BT190">
        <f t="shared" ca="1" si="151"/>
        <v>-1.0534058620693412</v>
      </c>
      <c r="BU190" s="39">
        <f t="shared" ca="1" si="152"/>
        <v>-5.8901498370007923</v>
      </c>
    </row>
    <row r="191" spans="45:73" x14ac:dyDescent="0.25">
      <c r="AS191"/>
      <c r="AT191"/>
      <c r="AU191"/>
      <c r="AV191" s="6" t="e">
        <f t="shared" si="134"/>
        <v>#N/A</v>
      </c>
      <c r="AW191" s="6" t="e">
        <f t="shared" si="135"/>
        <v>#N/A</v>
      </c>
      <c r="AX191" s="6" t="e">
        <f t="shared" si="136"/>
        <v>#N/A</v>
      </c>
      <c r="AY191" s="6" t="e">
        <f t="shared" si="137"/>
        <v>#N/A</v>
      </c>
      <c r="BF191" s="39"/>
      <c r="BG191" s="6">
        <f t="shared" si="138"/>
        <v>6.1435589670200201</v>
      </c>
      <c r="BH191" s="9">
        <f t="shared" ca="1" si="139"/>
        <v>199.67314226248143</v>
      </c>
      <c r="BI191" s="9">
        <f t="shared" ca="1" si="140"/>
        <v>-396.85997944075336</v>
      </c>
      <c r="BJ191">
        <f t="shared" ca="1" si="141"/>
        <v>444.26029197159664</v>
      </c>
      <c r="BK191" s="6">
        <f t="shared" ca="1" si="142"/>
        <v>0.44945079691085094</v>
      </c>
      <c r="BL191" s="6">
        <f t="shared" ca="1" si="143"/>
        <v>-0.89330508850907209</v>
      </c>
      <c r="BM191" s="6">
        <f t="shared" ca="1" si="144"/>
        <v>-1.1046458819179568</v>
      </c>
      <c r="BN191" s="6">
        <f t="shared" ca="1" si="145"/>
        <v>0.43613443118464268</v>
      </c>
      <c r="BO191" s="9">
        <f t="shared" ca="1" si="146"/>
        <v>237.41180775295732</v>
      </c>
      <c r="BP191" s="9">
        <f t="shared" ca="1" si="147"/>
        <v>-388.48956471478215</v>
      </c>
      <c r="BQ191">
        <f t="shared" ca="1" si="148"/>
        <v>455.28947753358858</v>
      </c>
      <c r="BR191">
        <f t="shared" ca="1" si="149"/>
        <v>0.52145243733519508</v>
      </c>
      <c r="BS191">
        <f t="shared" ca="1" si="150"/>
        <v>-0.85328034994202495</v>
      </c>
      <c r="BT191">
        <f t="shared" ca="1" si="151"/>
        <v>-1.0222440789968701</v>
      </c>
      <c r="BU191" s="39">
        <f t="shared" ca="1" si="152"/>
        <v>-5.8589880539283214</v>
      </c>
    </row>
    <row r="192" spans="45:73" x14ac:dyDescent="0.25">
      <c r="AS192"/>
      <c r="AT192"/>
      <c r="AU192"/>
      <c r="AV192" s="6" t="e">
        <f t="shared" si="134"/>
        <v>#N/A</v>
      </c>
      <c r="AW192" s="6" t="e">
        <f t="shared" si="135"/>
        <v>#N/A</v>
      </c>
      <c r="AX192" s="6" t="e">
        <f t="shared" si="136"/>
        <v>#N/A</v>
      </c>
      <c r="AY192" s="6" t="e">
        <f t="shared" si="137"/>
        <v>#N/A</v>
      </c>
      <c r="BF192" s="39"/>
      <c r="BG192" s="6">
        <f t="shared" si="138"/>
        <v>6.1784655520599063</v>
      </c>
      <c r="BH192" s="9">
        <f t="shared" ca="1" si="139"/>
        <v>202.1912507326127</v>
      </c>
      <c r="BI192" s="9">
        <f t="shared" ca="1" si="140"/>
        <v>-365.17955474177592</v>
      </c>
      <c r="BJ192">
        <f t="shared" ca="1" si="141"/>
        <v>417.41754763572169</v>
      </c>
      <c r="BK192" s="6">
        <f t="shared" ca="1" si="142"/>
        <v>0.48438608265952454</v>
      </c>
      <c r="BL192" s="6">
        <f t="shared" ca="1" si="143"/>
        <v>-0.87485434383430949</v>
      </c>
      <c r="BM192" s="6">
        <f t="shared" ca="1" si="144"/>
        <v>-1.0651350321825572</v>
      </c>
      <c r="BN192" s="6">
        <f t="shared" ca="1" si="145"/>
        <v>0.47564528092004221</v>
      </c>
      <c r="BO192" s="9">
        <f t="shared" ca="1" si="146"/>
        <v>239.92991622308858</v>
      </c>
      <c r="BP192" s="9">
        <f t="shared" ca="1" si="147"/>
        <v>-356.8091400158047</v>
      </c>
      <c r="BQ192">
        <f t="shared" ca="1" si="148"/>
        <v>429.97572849829146</v>
      </c>
      <c r="BR192">
        <f t="shared" ca="1" si="149"/>
        <v>0.55800804631706546</v>
      </c>
      <c r="BS192">
        <f t="shared" ca="1" si="150"/>
        <v>-0.82983553807089483</v>
      </c>
      <c r="BT192">
        <f t="shared" ca="1" si="151"/>
        <v>-0.97881288935486055</v>
      </c>
      <c r="BU192" s="39">
        <f t="shared" ca="1" si="152"/>
        <v>-5.8155568642863118</v>
      </c>
    </row>
    <row r="193" spans="45:73" x14ac:dyDescent="0.25">
      <c r="AS193"/>
      <c r="AT193"/>
      <c r="AU193"/>
      <c r="AV193" s="6" t="e">
        <f t="shared" si="134"/>
        <v>#N/A</v>
      </c>
      <c r="AW193" s="6" t="e">
        <f t="shared" si="135"/>
        <v>#N/A</v>
      </c>
      <c r="AX193" s="6" t="e">
        <f t="shared" si="136"/>
        <v>#N/A</v>
      </c>
      <c r="AY193" s="6" t="e">
        <f t="shared" si="137"/>
        <v>#N/A</v>
      </c>
      <c r="BF193" s="39"/>
      <c r="BG193" s="6">
        <f t="shared" si="138"/>
        <v>6.2133721370997925</v>
      </c>
      <c r="BH193" s="9">
        <f t="shared" ca="1" si="139"/>
        <v>205.39953373563142</v>
      </c>
      <c r="BI193" s="9">
        <f t="shared" ca="1" si="140"/>
        <v>-317.02005094319685</v>
      </c>
      <c r="BJ193">
        <f t="shared" ca="1" si="141"/>
        <v>377.74420069518197</v>
      </c>
      <c r="BK193" s="6">
        <f t="shared" ca="1" si="142"/>
        <v>0.5437529771671521</v>
      </c>
      <c r="BL193" s="6">
        <f t="shared" ca="1" si="143"/>
        <v>-0.83924531563891291</v>
      </c>
      <c r="BM193" s="6">
        <f t="shared" ca="1" si="144"/>
        <v>-0.99589381450077907</v>
      </c>
      <c r="BN193" s="6">
        <f t="shared" ca="1" si="145"/>
        <v>0.54488649860182037</v>
      </c>
      <c r="BO193" s="9">
        <f t="shared" ca="1" si="146"/>
        <v>243.1381992261073</v>
      </c>
      <c r="BP193" s="9">
        <f t="shared" ca="1" si="147"/>
        <v>-308.64963621722563</v>
      </c>
      <c r="BQ193">
        <f t="shared" ca="1" si="148"/>
        <v>392.91319888741327</v>
      </c>
      <c r="BR193">
        <f t="shared" ca="1" si="149"/>
        <v>0.61880893773633949</v>
      </c>
      <c r="BS193">
        <f t="shared" ca="1" si="150"/>
        <v>-0.785541532051376</v>
      </c>
      <c r="BT193">
        <f t="shared" ca="1" si="151"/>
        <v>-0.90357076155493699</v>
      </c>
      <c r="BU193" s="39">
        <f t="shared" ca="1" si="152"/>
        <v>-5.740314736486388</v>
      </c>
    </row>
    <row r="194" spans="45:73" x14ac:dyDescent="0.25">
      <c r="AS194"/>
      <c r="AT194"/>
      <c r="AU194"/>
      <c r="AV194" s="6" t="e">
        <f t="shared" si="134"/>
        <v>#N/A</v>
      </c>
      <c r="AW194" s="6" t="e">
        <f t="shared" si="135"/>
        <v>#N/A</v>
      </c>
      <c r="AX194" s="6" t="e">
        <f t="shared" si="136"/>
        <v>#N/A</v>
      </c>
      <c r="AY194" s="6" t="e">
        <f t="shared" si="137"/>
        <v>#N/A</v>
      </c>
      <c r="BF194" s="39"/>
      <c r="BG194" s="6">
        <f t="shared" si="138"/>
        <v>6.2482787221396787</v>
      </c>
      <c r="BH194" s="9">
        <f t="shared" ca="1" si="139"/>
        <v>209.98743658161578</v>
      </c>
      <c r="BI194" s="9">
        <f t="shared" ca="1" si="140"/>
        <v>-227.6785296949007</v>
      </c>
      <c r="BJ194">
        <f t="shared" ca="1" si="141"/>
        <v>309.72929536314433</v>
      </c>
      <c r="BK194" s="6">
        <f t="shared" ca="1" si="142"/>
        <v>0.67797085947396263</v>
      </c>
      <c r="BL194" s="6">
        <f t="shared" ca="1" si="143"/>
        <v>-0.73508877947098084</v>
      </c>
      <c r="BM194" s="6">
        <f t="shared" ca="1" si="144"/>
        <v>-0.8257976204921289</v>
      </c>
      <c r="BN194" s="6">
        <f t="shared" ca="1" si="145"/>
        <v>0.71498269261047054</v>
      </c>
      <c r="BO194" s="9">
        <f t="shared" ca="1" si="146"/>
        <v>247.72610207209166</v>
      </c>
      <c r="BP194" s="9">
        <f t="shared" ca="1" si="147"/>
        <v>-219.30811496892946</v>
      </c>
      <c r="BQ194">
        <f t="shared" ca="1" si="148"/>
        <v>330.85385132873631</v>
      </c>
      <c r="BR194">
        <f t="shared" ca="1" si="149"/>
        <v>0.74874782650165095</v>
      </c>
      <c r="BS194">
        <f t="shared" ca="1" si="150"/>
        <v>-0.66285495570980968</v>
      </c>
      <c r="BT194">
        <f t="shared" ca="1" si="151"/>
        <v>-0.72462532981704142</v>
      </c>
      <c r="BU194" s="39">
        <f t="shared" ca="1" si="152"/>
        <v>-5.5613693047484931</v>
      </c>
    </row>
    <row r="195" spans="45:73" x14ac:dyDescent="0.25">
      <c r="AS195"/>
      <c r="AT195"/>
      <c r="AU195"/>
      <c r="AV195" s="6" t="e">
        <f t="shared" ref="AV195:AV258" si="153">IF(AS195&lt;&gt;"",IF(AND(AT195=0,AU195=0),0,MOD(ATAN2(AT195,AU195),2*PI())),NA())</f>
        <v>#N/A</v>
      </c>
      <c r="AW195" s="6" t="e">
        <f t="shared" ref="AW195:AW258" si="154">ABS(AS195-AV195)</f>
        <v>#N/A</v>
      </c>
      <c r="AX195" s="6" t="e">
        <f t="shared" ref="AX195:AX258" si="155">ATAN2(COS($U$13-AV195),SIN($U$13-AV195))</f>
        <v>#N/A</v>
      </c>
      <c r="AY195" s="6" t="e">
        <f t="shared" ref="AY195:AY258" si="156">ABS(AX195)</f>
        <v>#N/A</v>
      </c>
      <c r="BF195" s="39"/>
      <c r="BG195" s="6">
        <f t="shared" si="138"/>
        <v>6.2831853071795649</v>
      </c>
      <c r="BH195" s="9">
        <f t="shared" ca="1" si="139"/>
        <v>212.97459586534134</v>
      </c>
      <c r="BI195" s="9">
        <f t="shared" ca="1" si="140"/>
        <v>-103.16036183865778</v>
      </c>
      <c r="BJ195">
        <f t="shared" ca="1" si="141"/>
        <v>236.64369575099244</v>
      </c>
      <c r="BK195" s="6">
        <f t="shared" ca="1" si="142"/>
        <v>0.89998001083216339</v>
      </c>
      <c r="BL195" s="6">
        <f t="shared" ca="1" si="143"/>
        <v>-0.43593116440848667</v>
      </c>
      <c r="BM195" s="6">
        <f t="shared" ca="1" si="144"/>
        <v>-0.4510726679215124</v>
      </c>
      <c r="BN195" s="6">
        <f t="shared" ca="1" si="145"/>
        <v>1.089707645181087</v>
      </c>
      <c r="BO195" s="9">
        <f t="shared" ca="1" si="146"/>
        <v>250.71326135581722</v>
      </c>
      <c r="BP195" s="9">
        <f t="shared" ca="1" si="147"/>
        <v>-94.789947112686548</v>
      </c>
      <c r="BQ195">
        <f t="shared" ca="1" si="148"/>
        <v>268.03409017006817</v>
      </c>
      <c r="BR195">
        <f t="shared" ca="1" si="149"/>
        <v>0.93537826176043193</v>
      </c>
      <c r="BS195">
        <f t="shared" ca="1" si="150"/>
        <v>-0.35364884762435306</v>
      </c>
      <c r="BT195">
        <f t="shared" ca="1" si="151"/>
        <v>-0.36146917373367965</v>
      </c>
      <c r="BU195" s="39">
        <f t="shared" ca="1" si="152"/>
        <v>-5.1982131486651308</v>
      </c>
    </row>
    <row r="196" spans="45:73" x14ac:dyDescent="0.25">
      <c r="AS196"/>
      <c r="AT196"/>
      <c r="AU196"/>
      <c r="AV196" s="6" t="e">
        <f t="shared" si="153"/>
        <v>#N/A</v>
      </c>
      <c r="AW196" s="6" t="e">
        <f t="shared" si="154"/>
        <v>#N/A</v>
      </c>
      <c r="AX196" s="6" t="e">
        <f t="shared" si="155"/>
        <v>#N/A</v>
      </c>
      <c r="AY196" s="6" t="e">
        <f t="shared" si="156"/>
        <v>#N/A</v>
      </c>
      <c r="BF196" s="39"/>
      <c r="BG196" s="6">
        <f t="shared" si="138"/>
        <v>0</v>
      </c>
      <c r="BH196" s="9">
        <f t="shared" ca="1" si="139"/>
        <v>-37.738665490475874</v>
      </c>
      <c r="BI196" s="9">
        <f t="shared" ca="1" si="140"/>
        <v>-8.3704147259712354</v>
      </c>
      <c r="BJ196">
        <f t="shared" ca="1" si="141"/>
        <v>38.655797956927373</v>
      </c>
      <c r="BK196" s="6">
        <f t="shared" ca="1" si="142"/>
        <v>-0.97627438793338528</v>
      </c>
      <c r="BL196" s="6">
        <f t="shared" ca="1" si="143"/>
        <v>-0.21653710874881066</v>
      </c>
      <c r="BM196" s="6">
        <f t="shared" ca="1" si="144"/>
        <v>-2.923326634047537</v>
      </c>
      <c r="BN196" s="6">
        <f t="shared" ca="1" si="145"/>
        <v>-1.3825463209449376</v>
      </c>
      <c r="BO196" s="9">
        <f t="shared" ca="1" si="146"/>
        <v>0</v>
      </c>
      <c r="BP196" s="9">
        <f t="shared" ca="1" si="147"/>
        <v>0</v>
      </c>
      <c r="BQ196">
        <f t="shared" ca="1" si="148"/>
        <v>0</v>
      </c>
      <c r="BR196" t="e">
        <f t="shared" ca="1" si="149"/>
        <v>#DIV/0!</v>
      </c>
      <c r="BS196" t="e">
        <f t="shared" ca="1" si="150"/>
        <v>#DIV/0!</v>
      </c>
      <c r="BT196" t="e">
        <f t="shared" ca="1" si="151"/>
        <v>#DIV/0!</v>
      </c>
      <c r="BU196" s="39" t="e">
        <f t="shared" ca="1" si="152"/>
        <v>#DIV/0!</v>
      </c>
    </row>
    <row r="197" spans="45:73" x14ac:dyDescent="0.25">
      <c r="AS197"/>
      <c r="AT197"/>
      <c r="AU197"/>
      <c r="AV197" s="6" t="e">
        <f t="shared" si="153"/>
        <v>#N/A</v>
      </c>
      <c r="AW197" s="6" t="e">
        <f t="shared" si="154"/>
        <v>#N/A</v>
      </c>
      <c r="AX197" s="6" t="e">
        <f t="shared" si="155"/>
        <v>#N/A</v>
      </c>
      <c r="AY197" s="6" t="e">
        <f t="shared" si="156"/>
        <v>#N/A</v>
      </c>
      <c r="BF197" s="39"/>
      <c r="BG197" s="6">
        <f t="shared" si="138"/>
        <v>0</v>
      </c>
      <c r="BH197" s="9">
        <f t="shared" ca="1" si="139"/>
        <v>-37.738665490475874</v>
      </c>
      <c r="BI197" s="9">
        <f t="shared" ca="1" si="140"/>
        <v>-8.3704147259712354</v>
      </c>
      <c r="BJ197">
        <f t="shared" ca="1" si="141"/>
        <v>38.655797956927373</v>
      </c>
      <c r="BK197" s="6">
        <f t="shared" ca="1" si="142"/>
        <v>-0.97627438793338528</v>
      </c>
      <c r="BL197" s="6">
        <f t="shared" ca="1" si="143"/>
        <v>-0.21653710874881066</v>
      </c>
      <c r="BM197" s="6">
        <f t="shared" ca="1" si="144"/>
        <v>-2.923326634047537</v>
      </c>
      <c r="BN197" s="6">
        <f t="shared" ca="1" si="145"/>
        <v>-1.3825463209449376</v>
      </c>
      <c r="BO197" s="9">
        <f t="shared" ca="1" si="146"/>
        <v>0</v>
      </c>
      <c r="BP197" s="9">
        <f t="shared" ca="1" si="147"/>
        <v>0</v>
      </c>
      <c r="BQ197">
        <f t="shared" ca="1" si="148"/>
        <v>0</v>
      </c>
      <c r="BR197" t="e">
        <f t="shared" ca="1" si="149"/>
        <v>#DIV/0!</v>
      </c>
      <c r="BS197" t="e">
        <f t="shared" ca="1" si="150"/>
        <v>#DIV/0!</v>
      </c>
      <c r="BT197" t="e">
        <f t="shared" ca="1" si="151"/>
        <v>#DIV/0!</v>
      </c>
      <c r="BU197" s="39" t="e">
        <f t="shared" ca="1" si="152"/>
        <v>#DIV/0!</v>
      </c>
    </row>
    <row r="198" spans="45:73" x14ac:dyDescent="0.25">
      <c r="AS198"/>
      <c r="AT198"/>
      <c r="AU198"/>
      <c r="AV198" s="6" t="e">
        <f t="shared" si="153"/>
        <v>#N/A</v>
      </c>
      <c r="AW198" s="6" t="e">
        <f t="shared" si="154"/>
        <v>#N/A</v>
      </c>
      <c r="AX198" s="6" t="e">
        <f t="shared" si="155"/>
        <v>#N/A</v>
      </c>
      <c r="AY198" s="6" t="e">
        <f t="shared" si="156"/>
        <v>#N/A</v>
      </c>
      <c r="BF198" s="39"/>
      <c r="BG198" s="6">
        <f t="shared" si="138"/>
        <v>0</v>
      </c>
      <c r="BH198" s="9">
        <f t="shared" ca="1" si="139"/>
        <v>-37.738665490475874</v>
      </c>
      <c r="BI198" s="9">
        <f t="shared" ca="1" si="140"/>
        <v>-8.3704147259712354</v>
      </c>
      <c r="BJ198">
        <f t="shared" ca="1" si="141"/>
        <v>38.655797956927373</v>
      </c>
      <c r="BK198" s="6">
        <f t="shared" ca="1" si="142"/>
        <v>-0.97627438793338528</v>
      </c>
      <c r="BL198" s="6">
        <f t="shared" ca="1" si="143"/>
        <v>-0.21653710874881066</v>
      </c>
      <c r="BM198" s="6">
        <f t="shared" ca="1" si="144"/>
        <v>-2.923326634047537</v>
      </c>
      <c r="BN198" s="6">
        <f t="shared" ca="1" si="145"/>
        <v>-1.3825463209449376</v>
      </c>
      <c r="BO198" s="9">
        <f t="shared" ca="1" si="146"/>
        <v>0</v>
      </c>
      <c r="BP198" s="9">
        <f t="shared" ca="1" si="147"/>
        <v>0</v>
      </c>
      <c r="BQ198">
        <f t="shared" ca="1" si="148"/>
        <v>0</v>
      </c>
      <c r="BR198" t="e">
        <f t="shared" ca="1" si="149"/>
        <v>#DIV/0!</v>
      </c>
      <c r="BS198" t="e">
        <f t="shared" ca="1" si="150"/>
        <v>#DIV/0!</v>
      </c>
      <c r="BT198" t="e">
        <f t="shared" ca="1" si="151"/>
        <v>#DIV/0!</v>
      </c>
      <c r="BU198" s="39" t="e">
        <f t="shared" ca="1" si="152"/>
        <v>#DIV/0!</v>
      </c>
    </row>
    <row r="199" spans="45:73" x14ac:dyDescent="0.25">
      <c r="AS199"/>
      <c r="AT199"/>
      <c r="AU199"/>
      <c r="AV199" s="6" t="e">
        <f t="shared" si="153"/>
        <v>#N/A</v>
      </c>
      <c r="AW199" s="6" t="e">
        <f t="shared" si="154"/>
        <v>#N/A</v>
      </c>
      <c r="AX199" s="6" t="e">
        <f t="shared" si="155"/>
        <v>#N/A</v>
      </c>
      <c r="AY199" s="6" t="e">
        <f t="shared" si="156"/>
        <v>#N/A</v>
      </c>
      <c r="BF199" s="39"/>
      <c r="BG199" s="6">
        <f t="shared" si="138"/>
        <v>0</v>
      </c>
      <c r="BH199" s="9">
        <f t="shared" ca="1" si="139"/>
        <v>-37.738665490475874</v>
      </c>
      <c r="BI199" s="9">
        <f t="shared" ca="1" si="140"/>
        <v>-8.3704147259712354</v>
      </c>
      <c r="BJ199">
        <f t="shared" ca="1" si="141"/>
        <v>38.655797956927373</v>
      </c>
      <c r="BK199" s="6">
        <f t="shared" ca="1" si="142"/>
        <v>-0.97627438793338528</v>
      </c>
      <c r="BL199" s="6">
        <f t="shared" ca="1" si="143"/>
        <v>-0.21653710874881066</v>
      </c>
      <c r="BM199" s="6">
        <f t="shared" ca="1" si="144"/>
        <v>-2.923326634047537</v>
      </c>
      <c r="BN199" s="6">
        <f t="shared" ca="1" si="145"/>
        <v>-1.3825463209449376</v>
      </c>
      <c r="BO199" s="9">
        <f t="shared" ca="1" si="146"/>
        <v>0</v>
      </c>
      <c r="BP199" s="9">
        <f t="shared" ca="1" si="147"/>
        <v>0</v>
      </c>
      <c r="BQ199">
        <f t="shared" ca="1" si="148"/>
        <v>0</v>
      </c>
      <c r="BR199" t="e">
        <f t="shared" ca="1" si="149"/>
        <v>#DIV/0!</v>
      </c>
      <c r="BS199" t="e">
        <f t="shared" ca="1" si="150"/>
        <v>#DIV/0!</v>
      </c>
      <c r="BT199" t="e">
        <f t="shared" ca="1" si="151"/>
        <v>#DIV/0!</v>
      </c>
      <c r="BU199" s="39" t="e">
        <f t="shared" ca="1" si="152"/>
        <v>#DIV/0!</v>
      </c>
    </row>
    <row r="200" spans="45:73" x14ac:dyDescent="0.25">
      <c r="AS200"/>
      <c r="AT200"/>
      <c r="AU200"/>
      <c r="AV200" s="6" t="e">
        <f t="shared" si="153"/>
        <v>#N/A</v>
      </c>
      <c r="AW200" s="6" t="e">
        <f t="shared" si="154"/>
        <v>#N/A</v>
      </c>
      <c r="AX200" s="6" t="e">
        <f t="shared" si="155"/>
        <v>#N/A</v>
      </c>
      <c r="AY200" s="6" t="e">
        <f t="shared" si="156"/>
        <v>#N/A</v>
      </c>
      <c r="BF200" s="39"/>
      <c r="BG200" s="6">
        <f t="shared" si="138"/>
        <v>0</v>
      </c>
      <c r="BH200" s="9">
        <f t="shared" ca="1" si="139"/>
        <v>-37.738665490475874</v>
      </c>
      <c r="BI200" s="9">
        <f t="shared" ca="1" si="140"/>
        <v>-8.3704147259712354</v>
      </c>
      <c r="BJ200">
        <f t="shared" ca="1" si="141"/>
        <v>38.655797956927373</v>
      </c>
      <c r="BK200" s="6">
        <f t="shared" ca="1" si="142"/>
        <v>-0.97627438793338528</v>
      </c>
      <c r="BL200" s="6">
        <f t="shared" ca="1" si="143"/>
        <v>-0.21653710874881066</v>
      </c>
      <c r="BM200" s="6">
        <f t="shared" ca="1" si="144"/>
        <v>-2.923326634047537</v>
      </c>
      <c r="BN200" s="6">
        <f t="shared" ca="1" si="145"/>
        <v>-1.3825463209449376</v>
      </c>
      <c r="BO200" s="9">
        <f t="shared" ca="1" si="146"/>
        <v>0</v>
      </c>
      <c r="BP200" s="9">
        <f t="shared" ca="1" si="147"/>
        <v>0</v>
      </c>
      <c r="BQ200">
        <f t="shared" ca="1" si="148"/>
        <v>0</v>
      </c>
      <c r="BR200" t="e">
        <f t="shared" ca="1" si="149"/>
        <v>#DIV/0!</v>
      </c>
      <c r="BS200" t="e">
        <f t="shared" ca="1" si="150"/>
        <v>#DIV/0!</v>
      </c>
      <c r="BT200" t="e">
        <f t="shared" ca="1" si="151"/>
        <v>#DIV/0!</v>
      </c>
      <c r="BU200" s="39" t="e">
        <f t="shared" ca="1" si="152"/>
        <v>#DIV/0!</v>
      </c>
    </row>
    <row r="201" spans="45:73" x14ac:dyDescent="0.25">
      <c r="AS201"/>
      <c r="AT201"/>
      <c r="AU201"/>
      <c r="AV201" s="6" t="e">
        <f t="shared" si="153"/>
        <v>#N/A</v>
      </c>
      <c r="AW201" s="6" t="e">
        <f t="shared" si="154"/>
        <v>#N/A</v>
      </c>
      <c r="AX201" s="6" t="e">
        <f t="shared" si="155"/>
        <v>#N/A</v>
      </c>
      <c r="AY201" s="6" t="e">
        <f t="shared" si="156"/>
        <v>#N/A</v>
      </c>
      <c r="BF201" s="39"/>
      <c r="BG201" s="6">
        <f t="shared" si="138"/>
        <v>0</v>
      </c>
      <c r="BH201" s="9">
        <f t="shared" ca="1" si="139"/>
        <v>-37.738665490475874</v>
      </c>
      <c r="BI201" s="9">
        <f t="shared" ca="1" si="140"/>
        <v>-8.3704147259712354</v>
      </c>
      <c r="BJ201">
        <f t="shared" ca="1" si="141"/>
        <v>38.655797956927373</v>
      </c>
      <c r="BK201" s="6">
        <f t="shared" ca="1" si="142"/>
        <v>-0.97627438793338528</v>
      </c>
      <c r="BL201" s="6">
        <f t="shared" ca="1" si="143"/>
        <v>-0.21653710874881066</v>
      </c>
      <c r="BM201" s="6">
        <f t="shared" ca="1" si="144"/>
        <v>-2.923326634047537</v>
      </c>
      <c r="BN201" s="6">
        <f t="shared" ca="1" si="145"/>
        <v>-1.3825463209449376</v>
      </c>
      <c r="BO201" s="9">
        <f t="shared" ca="1" si="146"/>
        <v>0</v>
      </c>
      <c r="BP201" s="9">
        <f t="shared" ca="1" si="147"/>
        <v>0</v>
      </c>
      <c r="BQ201">
        <f t="shared" ca="1" si="148"/>
        <v>0</v>
      </c>
      <c r="BR201" t="e">
        <f t="shared" ca="1" si="149"/>
        <v>#DIV/0!</v>
      </c>
      <c r="BS201" t="e">
        <f t="shared" ca="1" si="150"/>
        <v>#DIV/0!</v>
      </c>
      <c r="BT201" t="e">
        <f t="shared" ca="1" si="151"/>
        <v>#DIV/0!</v>
      </c>
      <c r="BU201" s="39" t="e">
        <f t="shared" ca="1" si="152"/>
        <v>#DIV/0!</v>
      </c>
    </row>
    <row r="202" spans="45:73" x14ac:dyDescent="0.25">
      <c r="AS202"/>
      <c r="AT202"/>
      <c r="AU202"/>
      <c r="AV202" s="6" t="e">
        <f t="shared" si="153"/>
        <v>#N/A</v>
      </c>
      <c r="AW202" s="6" t="e">
        <f t="shared" si="154"/>
        <v>#N/A</v>
      </c>
      <c r="AX202" s="6" t="e">
        <f t="shared" si="155"/>
        <v>#N/A</v>
      </c>
      <c r="AY202" s="6" t="e">
        <f t="shared" si="156"/>
        <v>#N/A</v>
      </c>
      <c r="BF202" s="39"/>
      <c r="BG202" s="6">
        <f t="shared" si="138"/>
        <v>0</v>
      </c>
      <c r="BH202" s="9">
        <f t="shared" ca="1" si="139"/>
        <v>-37.738665490475874</v>
      </c>
      <c r="BI202" s="9">
        <f t="shared" ca="1" si="140"/>
        <v>-8.3704147259712354</v>
      </c>
      <c r="BJ202">
        <f t="shared" ca="1" si="141"/>
        <v>38.655797956927373</v>
      </c>
      <c r="BK202" s="6">
        <f t="shared" ca="1" si="142"/>
        <v>-0.97627438793338528</v>
      </c>
      <c r="BL202" s="6">
        <f t="shared" ca="1" si="143"/>
        <v>-0.21653710874881066</v>
      </c>
      <c r="BM202" s="6">
        <f t="shared" ca="1" si="144"/>
        <v>-2.923326634047537</v>
      </c>
      <c r="BN202" s="6">
        <f t="shared" ca="1" si="145"/>
        <v>-1.3825463209449376</v>
      </c>
      <c r="BO202" s="9">
        <f t="shared" ca="1" si="146"/>
        <v>0</v>
      </c>
      <c r="BP202" s="9">
        <f t="shared" ca="1" si="147"/>
        <v>0</v>
      </c>
      <c r="BQ202">
        <f t="shared" ca="1" si="148"/>
        <v>0</v>
      </c>
      <c r="BR202" t="e">
        <f t="shared" ca="1" si="149"/>
        <v>#DIV/0!</v>
      </c>
      <c r="BS202" t="e">
        <f t="shared" ca="1" si="150"/>
        <v>#DIV/0!</v>
      </c>
      <c r="BT202" t="e">
        <f t="shared" ca="1" si="151"/>
        <v>#DIV/0!</v>
      </c>
      <c r="BU202" s="39" t="e">
        <f t="shared" ca="1" si="152"/>
        <v>#DIV/0!</v>
      </c>
    </row>
    <row r="203" spans="45:73" x14ac:dyDescent="0.25">
      <c r="AS203"/>
      <c r="AT203"/>
      <c r="AU203"/>
      <c r="AV203" s="6" t="e">
        <f t="shared" si="153"/>
        <v>#N/A</v>
      </c>
      <c r="AW203" s="6" t="e">
        <f t="shared" si="154"/>
        <v>#N/A</v>
      </c>
      <c r="AX203" s="6" t="e">
        <f t="shared" si="155"/>
        <v>#N/A</v>
      </c>
      <c r="AY203" s="6" t="e">
        <f t="shared" si="156"/>
        <v>#N/A</v>
      </c>
      <c r="BF203" s="39"/>
      <c r="BG203" s="6">
        <f t="shared" si="138"/>
        <v>0</v>
      </c>
      <c r="BH203" s="9">
        <f t="shared" ca="1" si="139"/>
        <v>-37.738665490475874</v>
      </c>
      <c r="BI203" s="9">
        <f t="shared" ca="1" si="140"/>
        <v>-8.3704147259712354</v>
      </c>
      <c r="BJ203">
        <f t="shared" ca="1" si="141"/>
        <v>38.655797956927373</v>
      </c>
      <c r="BK203" s="6">
        <f t="shared" ca="1" si="142"/>
        <v>-0.97627438793338528</v>
      </c>
      <c r="BL203" s="6">
        <f t="shared" ca="1" si="143"/>
        <v>-0.21653710874881066</v>
      </c>
      <c r="BM203" s="6">
        <f t="shared" ca="1" si="144"/>
        <v>-2.923326634047537</v>
      </c>
      <c r="BN203" s="6">
        <f t="shared" ca="1" si="145"/>
        <v>-1.3825463209449376</v>
      </c>
      <c r="BO203" s="9">
        <f t="shared" ca="1" si="146"/>
        <v>0</v>
      </c>
      <c r="BP203" s="9">
        <f t="shared" ca="1" si="147"/>
        <v>0</v>
      </c>
      <c r="BQ203">
        <f t="shared" ca="1" si="148"/>
        <v>0</v>
      </c>
      <c r="BR203" t="e">
        <f t="shared" ca="1" si="149"/>
        <v>#DIV/0!</v>
      </c>
      <c r="BS203" t="e">
        <f t="shared" ca="1" si="150"/>
        <v>#DIV/0!</v>
      </c>
      <c r="BT203" t="e">
        <f t="shared" ca="1" si="151"/>
        <v>#DIV/0!</v>
      </c>
      <c r="BU203" s="39" t="e">
        <f t="shared" ca="1" si="152"/>
        <v>#DIV/0!</v>
      </c>
    </row>
    <row r="204" spans="45:73" x14ac:dyDescent="0.25">
      <c r="AS204"/>
      <c r="AT204"/>
      <c r="AU204"/>
      <c r="AV204" s="6" t="e">
        <f t="shared" si="153"/>
        <v>#N/A</v>
      </c>
      <c r="AW204" s="6" t="e">
        <f t="shared" si="154"/>
        <v>#N/A</v>
      </c>
      <c r="AX204" s="6" t="e">
        <f t="shared" si="155"/>
        <v>#N/A</v>
      </c>
      <c r="AY204" s="6" t="e">
        <f t="shared" si="156"/>
        <v>#N/A</v>
      </c>
      <c r="BF204" s="39"/>
      <c r="BG204" s="6">
        <f t="shared" si="138"/>
        <v>0</v>
      </c>
      <c r="BH204" s="9">
        <f t="shared" ca="1" si="139"/>
        <v>-37.738665490475874</v>
      </c>
      <c r="BI204" s="9">
        <f t="shared" ca="1" si="140"/>
        <v>-8.3704147259712354</v>
      </c>
      <c r="BJ204">
        <f t="shared" ca="1" si="141"/>
        <v>38.655797956927373</v>
      </c>
      <c r="BK204" s="6">
        <f t="shared" ca="1" si="142"/>
        <v>-0.97627438793338528</v>
      </c>
      <c r="BL204" s="6">
        <f t="shared" ca="1" si="143"/>
        <v>-0.21653710874881066</v>
      </c>
      <c r="BM204" s="6">
        <f t="shared" ca="1" si="144"/>
        <v>-2.923326634047537</v>
      </c>
      <c r="BN204" s="6">
        <f t="shared" ca="1" si="145"/>
        <v>-1.3825463209449376</v>
      </c>
      <c r="BO204" s="9">
        <f t="shared" ca="1" si="146"/>
        <v>0</v>
      </c>
      <c r="BP204" s="9">
        <f t="shared" ca="1" si="147"/>
        <v>0</v>
      </c>
      <c r="BQ204">
        <f t="shared" ca="1" si="148"/>
        <v>0</v>
      </c>
      <c r="BR204" t="e">
        <f t="shared" ca="1" si="149"/>
        <v>#DIV/0!</v>
      </c>
      <c r="BS204" t="e">
        <f t="shared" ca="1" si="150"/>
        <v>#DIV/0!</v>
      </c>
      <c r="BT204" t="e">
        <f t="shared" ca="1" si="151"/>
        <v>#DIV/0!</v>
      </c>
      <c r="BU204" s="39" t="e">
        <f t="shared" ca="1" si="152"/>
        <v>#DIV/0!</v>
      </c>
    </row>
    <row r="205" spans="45:73" x14ac:dyDescent="0.25">
      <c r="AS205"/>
      <c r="AT205"/>
      <c r="AU205"/>
      <c r="AV205" s="6" t="e">
        <f t="shared" si="153"/>
        <v>#N/A</v>
      </c>
      <c r="AW205" s="6" t="e">
        <f t="shared" si="154"/>
        <v>#N/A</v>
      </c>
      <c r="AX205" s="6" t="e">
        <f t="shared" si="155"/>
        <v>#N/A</v>
      </c>
      <c r="AY205" s="6" t="e">
        <f t="shared" si="156"/>
        <v>#N/A</v>
      </c>
      <c r="BF205" s="39"/>
      <c r="BG205" s="6">
        <f t="shared" si="138"/>
        <v>0</v>
      </c>
      <c r="BH205" s="9">
        <f t="shared" ca="1" si="139"/>
        <v>-37.738665490475874</v>
      </c>
      <c r="BI205" s="9">
        <f t="shared" ca="1" si="140"/>
        <v>-8.3704147259712354</v>
      </c>
      <c r="BJ205">
        <f t="shared" ca="1" si="141"/>
        <v>38.655797956927373</v>
      </c>
      <c r="BK205" s="6">
        <f t="shared" ca="1" si="142"/>
        <v>-0.97627438793338528</v>
      </c>
      <c r="BL205" s="6">
        <f t="shared" ca="1" si="143"/>
        <v>-0.21653710874881066</v>
      </c>
      <c r="BM205" s="6">
        <f t="shared" ca="1" si="144"/>
        <v>-2.923326634047537</v>
      </c>
      <c r="BN205" s="6">
        <f t="shared" ca="1" si="145"/>
        <v>-1.3825463209449376</v>
      </c>
      <c r="BO205" s="9">
        <f t="shared" ca="1" si="146"/>
        <v>0</v>
      </c>
      <c r="BP205" s="9">
        <f t="shared" ca="1" si="147"/>
        <v>0</v>
      </c>
      <c r="BQ205">
        <f t="shared" ca="1" si="148"/>
        <v>0</v>
      </c>
      <c r="BR205" t="e">
        <f t="shared" ca="1" si="149"/>
        <v>#DIV/0!</v>
      </c>
      <c r="BS205" t="e">
        <f t="shared" ca="1" si="150"/>
        <v>#DIV/0!</v>
      </c>
      <c r="BT205" t="e">
        <f t="shared" ca="1" si="151"/>
        <v>#DIV/0!</v>
      </c>
      <c r="BU205" s="39" t="e">
        <f t="shared" ca="1" si="152"/>
        <v>#DIV/0!</v>
      </c>
    </row>
    <row r="206" spans="45:73" x14ac:dyDescent="0.25">
      <c r="AS206"/>
      <c r="AT206"/>
      <c r="AU206"/>
      <c r="AV206" s="6" t="e">
        <f t="shared" si="153"/>
        <v>#N/A</v>
      </c>
      <c r="AW206" s="6" t="e">
        <f t="shared" si="154"/>
        <v>#N/A</v>
      </c>
      <c r="AX206" s="6" t="e">
        <f t="shared" si="155"/>
        <v>#N/A</v>
      </c>
      <c r="AY206" s="6" t="e">
        <f t="shared" si="156"/>
        <v>#N/A</v>
      </c>
      <c r="BF206" s="39"/>
      <c r="BG206" s="6">
        <f t="shared" si="138"/>
        <v>0</v>
      </c>
      <c r="BH206" s="9">
        <f t="shared" ca="1" si="139"/>
        <v>-37.738665490475874</v>
      </c>
      <c r="BI206" s="9">
        <f t="shared" ca="1" si="140"/>
        <v>-8.3704147259712354</v>
      </c>
      <c r="BJ206">
        <f t="shared" ca="1" si="141"/>
        <v>38.655797956927373</v>
      </c>
      <c r="BK206" s="6">
        <f t="shared" ca="1" si="142"/>
        <v>-0.97627438793338528</v>
      </c>
      <c r="BL206" s="6">
        <f t="shared" ca="1" si="143"/>
        <v>-0.21653710874881066</v>
      </c>
      <c r="BM206" s="6">
        <f t="shared" ca="1" si="144"/>
        <v>-2.923326634047537</v>
      </c>
      <c r="BN206" s="6">
        <f t="shared" ca="1" si="145"/>
        <v>-1.3825463209449376</v>
      </c>
      <c r="BO206" s="9">
        <f t="shared" ca="1" si="146"/>
        <v>0</v>
      </c>
      <c r="BP206" s="9">
        <f t="shared" ca="1" si="147"/>
        <v>0</v>
      </c>
      <c r="BQ206">
        <f t="shared" ca="1" si="148"/>
        <v>0</v>
      </c>
      <c r="BR206" t="e">
        <f t="shared" ca="1" si="149"/>
        <v>#DIV/0!</v>
      </c>
      <c r="BS206" t="e">
        <f t="shared" ca="1" si="150"/>
        <v>#DIV/0!</v>
      </c>
      <c r="BT206" t="e">
        <f t="shared" ca="1" si="151"/>
        <v>#DIV/0!</v>
      </c>
      <c r="BU206" s="39" t="e">
        <f t="shared" ca="1" si="152"/>
        <v>#DIV/0!</v>
      </c>
    </row>
    <row r="207" spans="45:73" x14ac:dyDescent="0.25">
      <c r="AS207"/>
      <c r="AT207"/>
      <c r="AU207"/>
      <c r="AV207" s="6" t="e">
        <f t="shared" si="153"/>
        <v>#N/A</v>
      </c>
      <c r="AW207" s="6" t="e">
        <f t="shared" si="154"/>
        <v>#N/A</v>
      </c>
      <c r="AX207" s="6" t="e">
        <f t="shared" si="155"/>
        <v>#N/A</v>
      </c>
      <c r="AY207" s="6" t="e">
        <f t="shared" si="156"/>
        <v>#N/A</v>
      </c>
      <c r="BF207" s="39"/>
      <c r="BG207" s="6">
        <f t="shared" si="138"/>
        <v>0</v>
      </c>
      <c r="BH207" s="9">
        <f t="shared" ca="1" si="139"/>
        <v>-37.738665490475874</v>
      </c>
      <c r="BI207" s="9">
        <f t="shared" ca="1" si="140"/>
        <v>-8.3704147259712354</v>
      </c>
      <c r="BJ207">
        <f t="shared" ca="1" si="141"/>
        <v>38.655797956927373</v>
      </c>
      <c r="BK207" s="6">
        <f t="shared" ca="1" si="142"/>
        <v>-0.97627438793338528</v>
      </c>
      <c r="BL207" s="6">
        <f t="shared" ca="1" si="143"/>
        <v>-0.21653710874881066</v>
      </c>
      <c r="BM207" s="6">
        <f t="shared" ca="1" si="144"/>
        <v>-2.923326634047537</v>
      </c>
      <c r="BN207" s="6">
        <f t="shared" ca="1" si="145"/>
        <v>-1.3825463209449376</v>
      </c>
      <c r="BO207" s="9">
        <f t="shared" ca="1" si="146"/>
        <v>0</v>
      </c>
      <c r="BP207" s="9">
        <f t="shared" ca="1" si="147"/>
        <v>0</v>
      </c>
      <c r="BQ207">
        <f t="shared" ca="1" si="148"/>
        <v>0</v>
      </c>
      <c r="BR207" t="e">
        <f t="shared" ca="1" si="149"/>
        <v>#DIV/0!</v>
      </c>
      <c r="BS207" t="e">
        <f t="shared" ca="1" si="150"/>
        <v>#DIV/0!</v>
      </c>
      <c r="BT207" t="e">
        <f t="shared" ca="1" si="151"/>
        <v>#DIV/0!</v>
      </c>
      <c r="BU207" s="39" t="e">
        <f t="shared" ca="1" si="152"/>
        <v>#DIV/0!</v>
      </c>
    </row>
    <row r="208" spans="45:73" x14ac:dyDescent="0.25">
      <c r="AS208"/>
      <c r="AT208"/>
      <c r="AU208"/>
      <c r="AV208" s="6" t="e">
        <f t="shared" si="153"/>
        <v>#N/A</v>
      </c>
      <c r="AW208" s="6" t="e">
        <f t="shared" si="154"/>
        <v>#N/A</v>
      </c>
      <c r="AX208" s="6" t="e">
        <f t="shared" si="155"/>
        <v>#N/A</v>
      </c>
      <c r="AY208" s="6" t="e">
        <f t="shared" si="156"/>
        <v>#N/A</v>
      </c>
      <c r="BF208" s="39"/>
      <c r="BG208" s="6">
        <f t="shared" ref="BG208:BG271" si="157">AS195</f>
        <v>0</v>
      </c>
      <c r="BH208" s="9">
        <f t="shared" ref="BH208:BH271" ca="1" si="158">AT195-$BG$5</f>
        <v>-37.738665490475874</v>
      </c>
      <c r="BI208" s="9">
        <f t="shared" ref="BI208:BI271" ca="1" si="159">AU195-$BH$5</f>
        <v>-8.3704147259712354</v>
      </c>
      <c r="BJ208">
        <f t="shared" ref="BJ208:BJ271" ca="1" si="160">SQRT(POWER(BH208,2)+POWER(BI208,2))</f>
        <v>38.655797956927373</v>
      </c>
      <c r="BK208" s="6">
        <f t="shared" ref="BK208:BK271" ca="1" si="161">BH208/BJ208</f>
        <v>-0.97627438793338528</v>
      </c>
      <c r="BL208" s="6">
        <f t="shared" ref="BL208:BL271" ca="1" si="162">BI208/BJ208</f>
        <v>-0.21653710874881066</v>
      </c>
      <c r="BM208" s="6">
        <f t="shared" ref="BM208:BM271" ca="1" si="163">ATAN2(BK208,BL208)</f>
        <v>-2.923326634047537</v>
      </c>
      <c r="BN208" s="6">
        <f t="shared" ref="BN208:BN271" ca="1" si="164">BM208-$BJ$11</f>
        <v>-1.3825463209449376</v>
      </c>
      <c r="BO208" s="9">
        <f t="shared" ref="BO208:BO271" ca="1" si="165">BH208+$BG$5</f>
        <v>0</v>
      </c>
      <c r="BP208" s="9">
        <f t="shared" ref="BP208:BP271" ca="1" si="166">BI208+$BH$5</f>
        <v>0</v>
      </c>
      <c r="BQ208">
        <f t="shared" ref="BQ208:BQ271" ca="1" si="167">SQRT(POWER(BO208,2)+POWER(BP208,2))</f>
        <v>0</v>
      </c>
      <c r="BR208" t="e">
        <f t="shared" ref="BR208:BR271" ca="1" si="168">BO208/BQ208</f>
        <v>#DIV/0!</v>
      </c>
      <c r="BS208" t="e">
        <f t="shared" ref="BS208:BS271" ca="1" si="169">BP208/BQ208</f>
        <v>#DIV/0!</v>
      </c>
      <c r="BT208" t="e">
        <f t="shared" ref="BT208:BT271" ca="1" si="170">ATAN2(BR208,BS208)</f>
        <v>#DIV/0!</v>
      </c>
      <c r="BU208" s="39" t="e">
        <f t="shared" ref="BU208:BU271" ca="1" si="171">BT208-$U$13</f>
        <v>#DIV/0!</v>
      </c>
    </row>
    <row r="209" spans="45:73" x14ac:dyDescent="0.25">
      <c r="AS209"/>
      <c r="AT209"/>
      <c r="AU209"/>
      <c r="AV209" s="6" t="e">
        <f t="shared" si="153"/>
        <v>#N/A</v>
      </c>
      <c r="AW209" s="6" t="e">
        <f t="shared" si="154"/>
        <v>#N/A</v>
      </c>
      <c r="AX209" s="6" t="e">
        <f t="shared" si="155"/>
        <v>#N/A</v>
      </c>
      <c r="AY209" s="6" t="e">
        <f t="shared" si="156"/>
        <v>#N/A</v>
      </c>
      <c r="BF209" s="39"/>
      <c r="BG209" s="6">
        <f t="shared" si="157"/>
        <v>0</v>
      </c>
      <c r="BH209" s="9">
        <f t="shared" ca="1" si="158"/>
        <v>-37.738665490475874</v>
      </c>
      <c r="BI209" s="9">
        <f t="shared" ca="1" si="159"/>
        <v>-8.3704147259712354</v>
      </c>
      <c r="BJ209">
        <f t="shared" ca="1" si="160"/>
        <v>38.655797956927373</v>
      </c>
      <c r="BK209" s="6">
        <f t="shared" ca="1" si="161"/>
        <v>-0.97627438793338528</v>
      </c>
      <c r="BL209" s="6">
        <f t="shared" ca="1" si="162"/>
        <v>-0.21653710874881066</v>
      </c>
      <c r="BM209" s="6">
        <f t="shared" ca="1" si="163"/>
        <v>-2.923326634047537</v>
      </c>
      <c r="BN209" s="6">
        <f t="shared" ca="1" si="164"/>
        <v>-1.3825463209449376</v>
      </c>
      <c r="BO209" s="9">
        <f t="shared" ca="1" si="165"/>
        <v>0</v>
      </c>
      <c r="BP209" s="9">
        <f t="shared" ca="1" si="166"/>
        <v>0</v>
      </c>
      <c r="BQ209">
        <f t="shared" ca="1" si="167"/>
        <v>0</v>
      </c>
      <c r="BR209" t="e">
        <f t="shared" ca="1" si="168"/>
        <v>#DIV/0!</v>
      </c>
      <c r="BS209" t="e">
        <f t="shared" ca="1" si="169"/>
        <v>#DIV/0!</v>
      </c>
      <c r="BT209" t="e">
        <f t="shared" ca="1" si="170"/>
        <v>#DIV/0!</v>
      </c>
      <c r="BU209" s="39" t="e">
        <f t="shared" ca="1" si="171"/>
        <v>#DIV/0!</v>
      </c>
    </row>
    <row r="210" spans="45:73" x14ac:dyDescent="0.25">
      <c r="AS210"/>
      <c r="AT210"/>
      <c r="AU210"/>
      <c r="AV210" s="6" t="e">
        <f t="shared" si="153"/>
        <v>#N/A</v>
      </c>
      <c r="AW210" s="6" t="e">
        <f t="shared" si="154"/>
        <v>#N/A</v>
      </c>
      <c r="AX210" s="6" t="e">
        <f t="shared" si="155"/>
        <v>#N/A</v>
      </c>
      <c r="AY210" s="6" t="e">
        <f t="shared" si="156"/>
        <v>#N/A</v>
      </c>
      <c r="BF210" s="39"/>
      <c r="BG210" s="6">
        <f t="shared" si="157"/>
        <v>0</v>
      </c>
      <c r="BH210" s="9">
        <f t="shared" ca="1" si="158"/>
        <v>-37.738665490475874</v>
      </c>
      <c r="BI210" s="9">
        <f t="shared" ca="1" si="159"/>
        <v>-8.3704147259712354</v>
      </c>
      <c r="BJ210">
        <f t="shared" ca="1" si="160"/>
        <v>38.655797956927373</v>
      </c>
      <c r="BK210" s="6">
        <f t="shared" ca="1" si="161"/>
        <v>-0.97627438793338528</v>
      </c>
      <c r="BL210" s="6">
        <f t="shared" ca="1" si="162"/>
        <v>-0.21653710874881066</v>
      </c>
      <c r="BM210" s="6">
        <f t="shared" ca="1" si="163"/>
        <v>-2.923326634047537</v>
      </c>
      <c r="BN210" s="6">
        <f t="shared" ca="1" si="164"/>
        <v>-1.3825463209449376</v>
      </c>
      <c r="BO210" s="9">
        <f t="shared" ca="1" si="165"/>
        <v>0</v>
      </c>
      <c r="BP210" s="9">
        <f t="shared" ca="1" si="166"/>
        <v>0</v>
      </c>
      <c r="BQ210">
        <f t="shared" ca="1" si="167"/>
        <v>0</v>
      </c>
      <c r="BR210" t="e">
        <f t="shared" ca="1" si="168"/>
        <v>#DIV/0!</v>
      </c>
      <c r="BS210" t="e">
        <f t="shared" ca="1" si="169"/>
        <v>#DIV/0!</v>
      </c>
      <c r="BT210" t="e">
        <f t="shared" ca="1" si="170"/>
        <v>#DIV/0!</v>
      </c>
      <c r="BU210" s="39" t="e">
        <f t="shared" ca="1" si="171"/>
        <v>#DIV/0!</v>
      </c>
    </row>
    <row r="211" spans="45:73" x14ac:dyDescent="0.25">
      <c r="AS211"/>
      <c r="AT211"/>
      <c r="AU211"/>
      <c r="AV211" s="6" t="e">
        <f t="shared" si="153"/>
        <v>#N/A</v>
      </c>
      <c r="AW211" s="6" t="e">
        <f t="shared" si="154"/>
        <v>#N/A</v>
      </c>
      <c r="AX211" s="6" t="e">
        <f t="shared" si="155"/>
        <v>#N/A</v>
      </c>
      <c r="AY211" s="6" t="e">
        <f t="shared" si="156"/>
        <v>#N/A</v>
      </c>
      <c r="BF211" s="39"/>
      <c r="BG211" s="6">
        <f t="shared" si="157"/>
        <v>0</v>
      </c>
      <c r="BH211" s="9">
        <f t="shared" ca="1" si="158"/>
        <v>-37.738665490475874</v>
      </c>
      <c r="BI211" s="9">
        <f t="shared" ca="1" si="159"/>
        <v>-8.3704147259712354</v>
      </c>
      <c r="BJ211">
        <f t="shared" ca="1" si="160"/>
        <v>38.655797956927373</v>
      </c>
      <c r="BK211" s="6">
        <f t="shared" ca="1" si="161"/>
        <v>-0.97627438793338528</v>
      </c>
      <c r="BL211" s="6">
        <f t="shared" ca="1" si="162"/>
        <v>-0.21653710874881066</v>
      </c>
      <c r="BM211" s="6">
        <f t="shared" ca="1" si="163"/>
        <v>-2.923326634047537</v>
      </c>
      <c r="BN211" s="6">
        <f t="shared" ca="1" si="164"/>
        <v>-1.3825463209449376</v>
      </c>
      <c r="BO211" s="9">
        <f t="shared" ca="1" si="165"/>
        <v>0</v>
      </c>
      <c r="BP211" s="9">
        <f t="shared" ca="1" si="166"/>
        <v>0</v>
      </c>
      <c r="BQ211">
        <f t="shared" ca="1" si="167"/>
        <v>0</v>
      </c>
      <c r="BR211" t="e">
        <f t="shared" ca="1" si="168"/>
        <v>#DIV/0!</v>
      </c>
      <c r="BS211" t="e">
        <f t="shared" ca="1" si="169"/>
        <v>#DIV/0!</v>
      </c>
      <c r="BT211" t="e">
        <f t="shared" ca="1" si="170"/>
        <v>#DIV/0!</v>
      </c>
      <c r="BU211" s="39" t="e">
        <f t="shared" ca="1" si="171"/>
        <v>#DIV/0!</v>
      </c>
    </row>
    <row r="212" spans="45:73" x14ac:dyDescent="0.25">
      <c r="AS212"/>
      <c r="AT212"/>
      <c r="AU212"/>
      <c r="AV212" s="6" t="e">
        <f t="shared" si="153"/>
        <v>#N/A</v>
      </c>
      <c r="AW212" s="6" t="e">
        <f t="shared" si="154"/>
        <v>#N/A</v>
      </c>
      <c r="AX212" s="6" t="e">
        <f t="shared" si="155"/>
        <v>#N/A</v>
      </c>
      <c r="AY212" s="6" t="e">
        <f t="shared" si="156"/>
        <v>#N/A</v>
      </c>
      <c r="BF212" s="39"/>
      <c r="BG212" s="6">
        <f t="shared" si="157"/>
        <v>0</v>
      </c>
      <c r="BH212" s="9">
        <f t="shared" ca="1" si="158"/>
        <v>-37.738665490475874</v>
      </c>
      <c r="BI212" s="9">
        <f t="shared" ca="1" si="159"/>
        <v>-8.3704147259712354</v>
      </c>
      <c r="BJ212">
        <f t="shared" ca="1" si="160"/>
        <v>38.655797956927373</v>
      </c>
      <c r="BK212" s="6">
        <f t="shared" ca="1" si="161"/>
        <v>-0.97627438793338528</v>
      </c>
      <c r="BL212" s="6">
        <f t="shared" ca="1" si="162"/>
        <v>-0.21653710874881066</v>
      </c>
      <c r="BM212" s="6">
        <f t="shared" ca="1" si="163"/>
        <v>-2.923326634047537</v>
      </c>
      <c r="BN212" s="6">
        <f t="shared" ca="1" si="164"/>
        <v>-1.3825463209449376</v>
      </c>
      <c r="BO212" s="9">
        <f t="shared" ca="1" si="165"/>
        <v>0</v>
      </c>
      <c r="BP212" s="9">
        <f t="shared" ca="1" si="166"/>
        <v>0</v>
      </c>
      <c r="BQ212">
        <f t="shared" ca="1" si="167"/>
        <v>0</v>
      </c>
      <c r="BR212" t="e">
        <f t="shared" ca="1" si="168"/>
        <v>#DIV/0!</v>
      </c>
      <c r="BS212" t="e">
        <f t="shared" ca="1" si="169"/>
        <v>#DIV/0!</v>
      </c>
      <c r="BT212" t="e">
        <f t="shared" ca="1" si="170"/>
        <v>#DIV/0!</v>
      </c>
      <c r="BU212" s="39" t="e">
        <f t="shared" ca="1" si="171"/>
        <v>#DIV/0!</v>
      </c>
    </row>
    <row r="213" spans="45:73" x14ac:dyDescent="0.25">
      <c r="AS213"/>
      <c r="AT213"/>
      <c r="AU213"/>
      <c r="AV213" s="6" t="e">
        <f t="shared" si="153"/>
        <v>#N/A</v>
      </c>
      <c r="AW213" s="6" t="e">
        <f t="shared" si="154"/>
        <v>#N/A</v>
      </c>
      <c r="AX213" s="6" t="e">
        <f t="shared" si="155"/>
        <v>#N/A</v>
      </c>
      <c r="AY213" s="6" t="e">
        <f t="shared" si="156"/>
        <v>#N/A</v>
      </c>
      <c r="BF213" s="39"/>
      <c r="BG213" s="6">
        <f t="shared" si="157"/>
        <v>0</v>
      </c>
      <c r="BH213" s="9">
        <f t="shared" ca="1" si="158"/>
        <v>-37.738665490475874</v>
      </c>
      <c r="BI213" s="9">
        <f t="shared" ca="1" si="159"/>
        <v>-8.3704147259712354</v>
      </c>
      <c r="BJ213">
        <f t="shared" ca="1" si="160"/>
        <v>38.655797956927373</v>
      </c>
      <c r="BK213" s="6">
        <f t="shared" ca="1" si="161"/>
        <v>-0.97627438793338528</v>
      </c>
      <c r="BL213" s="6">
        <f t="shared" ca="1" si="162"/>
        <v>-0.21653710874881066</v>
      </c>
      <c r="BM213" s="6">
        <f t="shared" ca="1" si="163"/>
        <v>-2.923326634047537</v>
      </c>
      <c r="BN213" s="6">
        <f t="shared" ca="1" si="164"/>
        <v>-1.3825463209449376</v>
      </c>
      <c r="BO213" s="9">
        <f t="shared" ca="1" si="165"/>
        <v>0</v>
      </c>
      <c r="BP213" s="9">
        <f t="shared" ca="1" si="166"/>
        <v>0</v>
      </c>
      <c r="BQ213">
        <f t="shared" ca="1" si="167"/>
        <v>0</v>
      </c>
      <c r="BR213" t="e">
        <f t="shared" ca="1" si="168"/>
        <v>#DIV/0!</v>
      </c>
      <c r="BS213" t="e">
        <f t="shared" ca="1" si="169"/>
        <v>#DIV/0!</v>
      </c>
      <c r="BT213" t="e">
        <f t="shared" ca="1" si="170"/>
        <v>#DIV/0!</v>
      </c>
      <c r="BU213" s="39" t="e">
        <f t="shared" ca="1" si="171"/>
        <v>#DIV/0!</v>
      </c>
    </row>
    <row r="214" spans="45:73" x14ac:dyDescent="0.25">
      <c r="AS214"/>
      <c r="AT214"/>
      <c r="AU214"/>
      <c r="AV214" s="6" t="e">
        <f t="shared" si="153"/>
        <v>#N/A</v>
      </c>
      <c r="AW214" s="6" t="e">
        <f t="shared" si="154"/>
        <v>#N/A</v>
      </c>
      <c r="AX214" s="6" t="e">
        <f t="shared" si="155"/>
        <v>#N/A</v>
      </c>
      <c r="AY214" s="6" t="e">
        <f t="shared" si="156"/>
        <v>#N/A</v>
      </c>
      <c r="BF214" s="39"/>
      <c r="BG214" s="6">
        <f t="shared" si="157"/>
        <v>0</v>
      </c>
      <c r="BH214" s="9">
        <f t="shared" ca="1" si="158"/>
        <v>-37.738665490475874</v>
      </c>
      <c r="BI214" s="9">
        <f t="shared" ca="1" si="159"/>
        <v>-8.3704147259712354</v>
      </c>
      <c r="BJ214">
        <f t="shared" ca="1" si="160"/>
        <v>38.655797956927373</v>
      </c>
      <c r="BK214" s="6">
        <f t="shared" ca="1" si="161"/>
        <v>-0.97627438793338528</v>
      </c>
      <c r="BL214" s="6">
        <f t="shared" ca="1" si="162"/>
        <v>-0.21653710874881066</v>
      </c>
      <c r="BM214" s="6">
        <f t="shared" ca="1" si="163"/>
        <v>-2.923326634047537</v>
      </c>
      <c r="BN214" s="6">
        <f t="shared" ca="1" si="164"/>
        <v>-1.3825463209449376</v>
      </c>
      <c r="BO214" s="9">
        <f t="shared" ca="1" si="165"/>
        <v>0</v>
      </c>
      <c r="BP214" s="9">
        <f t="shared" ca="1" si="166"/>
        <v>0</v>
      </c>
      <c r="BQ214">
        <f t="shared" ca="1" si="167"/>
        <v>0</v>
      </c>
      <c r="BR214" t="e">
        <f t="shared" ca="1" si="168"/>
        <v>#DIV/0!</v>
      </c>
      <c r="BS214" t="e">
        <f t="shared" ca="1" si="169"/>
        <v>#DIV/0!</v>
      </c>
      <c r="BT214" t="e">
        <f t="shared" ca="1" si="170"/>
        <v>#DIV/0!</v>
      </c>
      <c r="BU214" s="39" t="e">
        <f t="shared" ca="1" si="171"/>
        <v>#DIV/0!</v>
      </c>
    </row>
    <row r="215" spans="45:73" x14ac:dyDescent="0.25">
      <c r="AS215"/>
      <c r="AT215"/>
      <c r="AU215"/>
      <c r="AV215" s="6" t="e">
        <f t="shared" si="153"/>
        <v>#N/A</v>
      </c>
      <c r="AW215" s="6" t="e">
        <f t="shared" si="154"/>
        <v>#N/A</v>
      </c>
      <c r="AX215" s="6" t="e">
        <f t="shared" si="155"/>
        <v>#N/A</v>
      </c>
      <c r="AY215" s="6" t="e">
        <f t="shared" si="156"/>
        <v>#N/A</v>
      </c>
      <c r="BF215" s="39"/>
      <c r="BG215" s="6">
        <f t="shared" si="157"/>
        <v>0</v>
      </c>
      <c r="BH215" s="9">
        <f t="shared" ca="1" si="158"/>
        <v>-37.738665490475874</v>
      </c>
      <c r="BI215" s="9">
        <f t="shared" ca="1" si="159"/>
        <v>-8.3704147259712354</v>
      </c>
      <c r="BJ215">
        <f t="shared" ca="1" si="160"/>
        <v>38.655797956927373</v>
      </c>
      <c r="BK215" s="6">
        <f t="shared" ca="1" si="161"/>
        <v>-0.97627438793338528</v>
      </c>
      <c r="BL215" s="6">
        <f t="shared" ca="1" si="162"/>
        <v>-0.21653710874881066</v>
      </c>
      <c r="BM215" s="6">
        <f t="shared" ca="1" si="163"/>
        <v>-2.923326634047537</v>
      </c>
      <c r="BN215" s="6">
        <f t="shared" ca="1" si="164"/>
        <v>-1.3825463209449376</v>
      </c>
      <c r="BO215" s="9">
        <f t="shared" ca="1" si="165"/>
        <v>0</v>
      </c>
      <c r="BP215" s="9">
        <f t="shared" ca="1" si="166"/>
        <v>0</v>
      </c>
      <c r="BQ215">
        <f t="shared" ca="1" si="167"/>
        <v>0</v>
      </c>
      <c r="BR215" t="e">
        <f t="shared" ca="1" si="168"/>
        <v>#DIV/0!</v>
      </c>
      <c r="BS215" t="e">
        <f t="shared" ca="1" si="169"/>
        <v>#DIV/0!</v>
      </c>
      <c r="BT215" t="e">
        <f t="shared" ca="1" si="170"/>
        <v>#DIV/0!</v>
      </c>
      <c r="BU215" s="39" t="e">
        <f t="shared" ca="1" si="171"/>
        <v>#DIV/0!</v>
      </c>
    </row>
    <row r="216" spans="45:73" x14ac:dyDescent="0.25">
      <c r="AS216"/>
      <c r="AT216"/>
      <c r="AU216"/>
      <c r="AV216" s="6" t="e">
        <f t="shared" si="153"/>
        <v>#N/A</v>
      </c>
      <c r="AW216" s="6" t="e">
        <f t="shared" si="154"/>
        <v>#N/A</v>
      </c>
      <c r="AX216" s="6" t="e">
        <f t="shared" si="155"/>
        <v>#N/A</v>
      </c>
      <c r="AY216" s="6" t="e">
        <f t="shared" si="156"/>
        <v>#N/A</v>
      </c>
      <c r="BF216" s="39"/>
      <c r="BG216" s="6">
        <f t="shared" si="157"/>
        <v>0</v>
      </c>
      <c r="BH216" s="9">
        <f t="shared" ca="1" si="158"/>
        <v>-37.738665490475874</v>
      </c>
      <c r="BI216" s="9">
        <f t="shared" ca="1" si="159"/>
        <v>-8.3704147259712354</v>
      </c>
      <c r="BJ216">
        <f t="shared" ca="1" si="160"/>
        <v>38.655797956927373</v>
      </c>
      <c r="BK216" s="6">
        <f t="shared" ca="1" si="161"/>
        <v>-0.97627438793338528</v>
      </c>
      <c r="BL216" s="6">
        <f t="shared" ca="1" si="162"/>
        <v>-0.21653710874881066</v>
      </c>
      <c r="BM216" s="6">
        <f t="shared" ca="1" si="163"/>
        <v>-2.923326634047537</v>
      </c>
      <c r="BN216" s="6">
        <f t="shared" ca="1" si="164"/>
        <v>-1.3825463209449376</v>
      </c>
      <c r="BO216" s="9">
        <f t="shared" ca="1" si="165"/>
        <v>0</v>
      </c>
      <c r="BP216" s="9">
        <f t="shared" ca="1" si="166"/>
        <v>0</v>
      </c>
      <c r="BQ216">
        <f t="shared" ca="1" si="167"/>
        <v>0</v>
      </c>
      <c r="BR216" t="e">
        <f t="shared" ca="1" si="168"/>
        <v>#DIV/0!</v>
      </c>
      <c r="BS216" t="e">
        <f t="shared" ca="1" si="169"/>
        <v>#DIV/0!</v>
      </c>
      <c r="BT216" t="e">
        <f t="shared" ca="1" si="170"/>
        <v>#DIV/0!</v>
      </c>
      <c r="BU216" s="39" t="e">
        <f t="shared" ca="1" si="171"/>
        <v>#DIV/0!</v>
      </c>
    </row>
    <row r="217" spans="45:73" x14ac:dyDescent="0.25">
      <c r="AS217"/>
      <c r="AT217"/>
      <c r="AU217"/>
      <c r="AV217" s="6" t="e">
        <f t="shared" si="153"/>
        <v>#N/A</v>
      </c>
      <c r="AW217" s="6" t="e">
        <f t="shared" si="154"/>
        <v>#N/A</v>
      </c>
      <c r="AX217" s="6" t="e">
        <f t="shared" si="155"/>
        <v>#N/A</v>
      </c>
      <c r="AY217" s="6" t="e">
        <f t="shared" si="156"/>
        <v>#N/A</v>
      </c>
      <c r="BF217" s="39"/>
      <c r="BG217" s="6">
        <f t="shared" si="157"/>
        <v>0</v>
      </c>
      <c r="BH217" s="9">
        <f t="shared" ca="1" si="158"/>
        <v>-37.738665490475874</v>
      </c>
      <c r="BI217" s="9">
        <f t="shared" ca="1" si="159"/>
        <v>-8.3704147259712354</v>
      </c>
      <c r="BJ217">
        <f t="shared" ca="1" si="160"/>
        <v>38.655797956927373</v>
      </c>
      <c r="BK217" s="6">
        <f t="shared" ca="1" si="161"/>
        <v>-0.97627438793338528</v>
      </c>
      <c r="BL217" s="6">
        <f t="shared" ca="1" si="162"/>
        <v>-0.21653710874881066</v>
      </c>
      <c r="BM217" s="6">
        <f t="shared" ca="1" si="163"/>
        <v>-2.923326634047537</v>
      </c>
      <c r="BN217" s="6">
        <f t="shared" ca="1" si="164"/>
        <v>-1.3825463209449376</v>
      </c>
      <c r="BO217" s="9">
        <f t="shared" ca="1" si="165"/>
        <v>0</v>
      </c>
      <c r="BP217" s="9">
        <f t="shared" ca="1" si="166"/>
        <v>0</v>
      </c>
      <c r="BQ217">
        <f t="shared" ca="1" si="167"/>
        <v>0</v>
      </c>
      <c r="BR217" t="e">
        <f t="shared" ca="1" si="168"/>
        <v>#DIV/0!</v>
      </c>
      <c r="BS217" t="e">
        <f t="shared" ca="1" si="169"/>
        <v>#DIV/0!</v>
      </c>
      <c r="BT217" t="e">
        <f t="shared" ca="1" si="170"/>
        <v>#DIV/0!</v>
      </c>
      <c r="BU217" s="39" t="e">
        <f t="shared" ca="1" si="171"/>
        <v>#DIV/0!</v>
      </c>
    </row>
    <row r="218" spans="45:73" x14ac:dyDescent="0.25">
      <c r="AS218"/>
      <c r="AT218"/>
      <c r="AU218"/>
      <c r="AV218" s="6" t="e">
        <f t="shared" si="153"/>
        <v>#N/A</v>
      </c>
      <c r="AW218" s="6" t="e">
        <f t="shared" si="154"/>
        <v>#N/A</v>
      </c>
      <c r="AX218" s="6" t="e">
        <f t="shared" si="155"/>
        <v>#N/A</v>
      </c>
      <c r="AY218" s="6" t="e">
        <f t="shared" si="156"/>
        <v>#N/A</v>
      </c>
      <c r="BF218" s="39"/>
      <c r="BG218" s="6">
        <f t="shared" si="157"/>
        <v>0</v>
      </c>
      <c r="BH218" s="9">
        <f t="shared" ca="1" si="158"/>
        <v>-37.738665490475874</v>
      </c>
      <c r="BI218" s="9">
        <f t="shared" ca="1" si="159"/>
        <v>-8.3704147259712354</v>
      </c>
      <c r="BJ218">
        <f t="shared" ca="1" si="160"/>
        <v>38.655797956927373</v>
      </c>
      <c r="BK218" s="6">
        <f t="shared" ca="1" si="161"/>
        <v>-0.97627438793338528</v>
      </c>
      <c r="BL218" s="6">
        <f t="shared" ca="1" si="162"/>
        <v>-0.21653710874881066</v>
      </c>
      <c r="BM218" s="6">
        <f t="shared" ca="1" si="163"/>
        <v>-2.923326634047537</v>
      </c>
      <c r="BN218" s="6">
        <f t="shared" ca="1" si="164"/>
        <v>-1.3825463209449376</v>
      </c>
      <c r="BO218" s="9">
        <f t="shared" ca="1" si="165"/>
        <v>0</v>
      </c>
      <c r="BP218" s="9">
        <f t="shared" ca="1" si="166"/>
        <v>0</v>
      </c>
      <c r="BQ218">
        <f t="shared" ca="1" si="167"/>
        <v>0</v>
      </c>
      <c r="BR218" t="e">
        <f t="shared" ca="1" si="168"/>
        <v>#DIV/0!</v>
      </c>
      <c r="BS218" t="e">
        <f t="shared" ca="1" si="169"/>
        <v>#DIV/0!</v>
      </c>
      <c r="BT218" t="e">
        <f t="shared" ca="1" si="170"/>
        <v>#DIV/0!</v>
      </c>
      <c r="BU218" s="39" t="e">
        <f t="shared" ca="1" si="171"/>
        <v>#DIV/0!</v>
      </c>
    </row>
    <row r="219" spans="45:73" x14ac:dyDescent="0.25">
      <c r="AS219"/>
      <c r="AT219"/>
      <c r="AU219"/>
      <c r="AV219" s="6" t="e">
        <f t="shared" si="153"/>
        <v>#N/A</v>
      </c>
      <c r="AW219" s="6" t="e">
        <f t="shared" si="154"/>
        <v>#N/A</v>
      </c>
      <c r="AX219" s="6" t="e">
        <f t="shared" si="155"/>
        <v>#N/A</v>
      </c>
      <c r="AY219" s="6" t="e">
        <f t="shared" si="156"/>
        <v>#N/A</v>
      </c>
      <c r="BF219" s="39"/>
      <c r="BG219" s="6">
        <f t="shared" si="157"/>
        <v>0</v>
      </c>
      <c r="BH219" s="9">
        <f t="shared" ca="1" si="158"/>
        <v>-37.738665490475874</v>
      </c>
      <c r="BI219" s="9">
        <f t="shared" ca="1" si="159"/>
        <v>-8.3704147259712354</v>
      </c>
      <c r="BJ219">
        <f t="shared" ca="1" si="160"/>
        <v>38.655797956927373</v>
      </c>
      <c r="BK219" s="6">
        <f t="shared" ca="1" si="161"/>
        <v>-0.97627438793338528</v>
      </c>
      <c r="BL219" s="6">
        <f t="shared" ca="1" si="162"/>
        <v>-0.21653710874881066</v>
      </c>
      <c r="BM219" s="6">
        <f t="shared" ca="1" si="163"/>
        <v>-2.923326634047537</v>
      </c>
      <c r="BN219" s="6">
        <f t="shared" ca="1" si="164"/>
        <v>-1.3825463209449376</v>
      </c>
      <c r="BO219" s="9">
        <f t="shared" ca="1" si="165"/>
        <v>0</v>
      </c>
      <c r="BP219" s="9">
        <f t="shared" ca="1" si="166"/>
        <v>0</v>
      </c>
      <c r="BQ219">
        <f t="shared" ca="1" si="167"/>
        <v>0</v>
      </c>
      <c r="BR219" t="e">
        <f t="shared" ca="1" si="168"/>
        <v>#DIV/0!</v>
      </c>
      <c r="BS219" t="e">
        <f t="shared" ca="1" si="169"/>
        <v>#DIV/0!</v>
      </c>
      <c r="BT219" t="e">
        <f t="shared" ca="1" si="170"/>
        <v>#DIV/0!</v>
      </c>
      <c r="BU219" s="39" t="e">
        <f t="shared" ca="1" si="171"/>
        <v>#DIV/0!</v>
      </c>
    </row>
    <row r="220" spans="45:73" x14ac:dyDescent="0.25">
      <c r="AS220"/>
      <c r="AT220"/>
      <c r="AU220"/>
      <c r="AV220" s="6" t="e">
        <f t="shared" si="153"/>
        <v>#N/A</v>
      </c>
      <c r="AW220" s="6" t="e">
        <f t="shared" si="154"/>
        <v>#N/A</v>
      </c>
      <c r="AX220" s="6" t="e">
        <f t="shared" si="155"/>
        <v>#N/A</v>
      </c>
      <c r="AY220" s="6" t="e">
        <f t="shared" si="156"/>
        <v>#N/A</v>
      </c>
      <c r="BF220" s="39"/>
      <c r="BG220" s="6">
        <f t="shared" si="157"/>
        <v>0</v>
      </c>
      <c r="BH220" s="9">
        <f t="shared" ca="1" si="158"/>
        <v>-37.738665490475874</v>
      </c>
      <c r="BI220" s="9">
        <f t="shared" ca="1" si="159"/>
        <v>-8.3704147259712354</v>
      </c>
      <c r="BJ220">
        <f t="shared" ca="1" si="160"/>
        <v>38.655797956927373</v>
      </c>
      <c r="BK220" s="6">
        <f t="shared" ca="1" si="161"/>
        <v>-0.97627438793338528</v>
      </c>
      <c r="BL220" s="6">
        <f t="shared" ca="1" si="162"/>
        <v>-0.21653710874881066</v>
      </c>
      <c r="BM220" s="6">
        <f t="shared" ca="1" si="163"/>
        <v>-2.923326634047537</v>
      </c>
      <c r="BN220" s="6">
        <f t="shared" ca="1" si="164"/>
        <v>-1.3825463209449376</v>
      </c>
      <c r="BO220" s="9">
        <f t="shared" ca="1" si="165"/>
        <v>0</v>
      </c>
      <c r="BP220" s="9">
        <f t="shared" ca="1" si="166"/>
        <v>0</v>
      </c>
      <c r="BQ220">
        <f t="shared" ca="1" si="167"/>
        <v>0</v>
      </c>
      <c r="BR220" t="e">
        <f t="shared" ca="1" si="168"/>
        <v>#DIV/0!</v>
      </c>
      <c r="BS220" t="e">
        <f t="shared" ca="1" si="169"/>
        <v>#DIV/0!</v>
      </c>
      <c r="BT220" t="e">
        <f t="shared" ca="1" si="170"/>
        <v>#DIV/0!</v>
      </c>
      <c r="BU220" s="39" t="e">
        <f t="shared" ca="1" si="171"/>
        <v>#DIV/0!</v>
      </c>
    </row>
    <row r="221" spans="45:73" x14ac:dyDescent="0.25">
      <c r="AS221"/>
      <c r="AT221"/>
      <c r="AU221"/>
      <c r="AV221" s="6" t="e">
        <f t="shared" si="153"/>
        <v>#N/A</v>
      </c>
      <c r="AW221" s="6" t="e">
        <f t="shared" si="154"/>
        <v>#N/A</v>
      </c>
      <c r="AX221" s="6" t="e">
        <f t="shared" si="155"/>
        <v>#N/A</v>
      </c>
      <c r="AY221" s="6" t="e">
        <f t="shared" si="156"/>
        <v>#N/A</v>
      </c>
      <c r="BF221" s="39"/>
      <c r="BG221" s="6">
        <f t="shared" si="157"/>
        <v>0</v>
      </c>
      <c r="BH221" s="9">
        <f t="shared" ca="1" si="158"/>
        <v>-37.738665490475874</v>
      </c>
      <c r="BI221" s="9">
        <f t="shared" ca="1" si="159"/>
        <v>-8.3704147259712354</v>
      </c>
      <c r="BJ221">
        <f t="shared" ca="1" si="160"/>
        <v>38.655797956927373</v>
      </c>
      <c r="BK221" s="6">
        <f t="shared" ca="1" si="161"/>
        <v>-0.97627438793338528</v>
      </c>
      <c r="BL221" s="6">
        <f t="shared" ca="1" si="162"/>
        <v>-0.21653710874881066</v>
      </c>
      <c r="BM221" s="6">
        <f t="shared" ca="1" si="163"/>
        <v>-2.923326634047537</v>
      </c>
      <c r="BN221" s="6">
        <f t="shared" ca="1" si="164"/>
        <v>-1.3825463209449376</v>
      </c>
      <c r="BO221" s="9">
        <f t="shared" ca="1" si="165"/>
        <v>0</v>
      </c>
      <c r="BP221" s="9">
        <f t="shared" ca="1" si="166"/>
        <v>0</v>
      </c>
      <c r="BQ221">
        <f t="shared" ca="1" si="167"/>
        <v>0</v>
      </c>
      <c r="BR221" t="e">
        <f t="shared" ca="1" si="168"/>
        <v>#DIV/0!</v>
      </c>
      <c r="BS221" t="e">
        <f t="shared" ca="1" si="169"/>
        <v>#DIV/0!</v>
      </c>
      <c r="BT221" t="e">
        <f t="shared" ca="1" si="170"/>
        <v>#DIV/0!</v>
      </c>
      <c r="BU221" s="39" t="e">
        <f t="shared" ca="1" si="171"/>
        <v>#DIV/0!</v>
      </c>
    </row>
    <row r="222" spans="45:73" x14ac:dyDescent="0.25">
      <c r="AS222"/>
      <c r="AT222"/>
      <c r="AU222"/>
      <c r="AV222" s="6" t="e">
        <f t="shared" si="153"/>
        <v>#N/A</v>
      </c>
      <c r="AW222" s="6" t="e">
        <f t="shared" si="154"/>
        <v>#N/A</v>
      </c>
      <c r="AX222" s="6" t="e">
        <f t="shared" si="155"/>
        <v>#N/A</v>
      </c>
      <c r="AY222" s="6" t="e">
        <f t="shared" si="156"/>
        <v>#N/A</v>
      </c>
      <c r="BF222" s="39"/>
      <c r="BG222" s="6">
        <f t="shared" si="157"/>
        <v>0</v>
      </c>
      <c r="BH222" s="9">
        <f t="shared" ca="1" si="158"/>
        <v>-37.738665490475874</v>
      </c>
      <c r="BI222" s="9">
        <f t="shared" ca="1" si="159"/>
        <v>-8.3704147259712354</v>
      </c>
      <c r="BJ222">
        <f t="shared" ca="1" si="160"/>
        <v>38.655797956927373</v>
      </c>
      <c r="BK222" s="6">
        <f t="shared" ca="1" si="161"/>
        <v>-0.97627438793338528</v>
      </c>
      <c r="BL222" s="6">
        <f t="shared" ca="1" si="162"/>
        <v>-0.21653710874881066</v>
      </c>
      <c r="BM222" s="6">
        <f t="shared" ca="1" si="163"/>
        <v>-2.923326634047537</v>
      </c>
      <c r="BN222" s="6">
        <f t="shared" ca="1" si="164"/>
        <v>-1.3825463209449376</v>
      </c>
      <c r="BO222" s="9">
        <f t="shared" ca="1" si="165"/>
        <v>0</v>
      </c>
      <c r="BP222" s="9">
        <f t="shared" ca="1" si="166"/>
        <v>0</v>
      </c>
      <c r="BQ222">
        <f t="shared" ca="1" si="167"/>
        <v>0</v>
      </c>
      <c r="BR222" t="e">
        <f t="shared" ca="1" si="168"/>
        <v>#DIV/0!</v>
      </c>
      <c r="BS222" t="e">
        <f t="shared" ca="1" si="169"/>
        <v>#DIV/0!</v>
      </c>
      <c r="BT222" t="e">
        <f t="shared" ca="1" si="170"/>
        <v>#DIV/0!</v>
      </c>
      <c r="BU222" s="39" t="e">
        <f t="shared" ca="1" si="171"/>
        <v>#DIV/0!</v>
      </c>
    </row>
    <row r="223" spans="45:73" x14ac:dyDescent="0.25">
      <c r="AS223"/>
      <c r="AT223"/>
      <c r="AU223"/>
      <c r="AV223" s="6" t="e">
        <f t="shared" si="153"/>
        <v>#N/A</v>
      </c>
      <c r="AW223" s="6" t="e">
        <f t="shared" si="154"/>
        <v>#N/A</v>
      </c>
      <c r="AX223" s="6" t="e">
        <f t="shared" si="155"/>
        <v>#N/A</v>
      </c>
      <c r="AY223" s="6" t="e">
        <f t="shared" si="156"/>
        <v>#N/A</v>
      </c>
      <c r="BF223" s="39"/>
      <c r="BG223" s="6">
        <f t="shared" si="157"/>
        <v>0</v>
      </c>
      <c r="BH223" s="9">
        <f t="shared" ca="1" si="158"/>
        <v>-37.738665490475874</v>
      </c>
      <c r="BI223" s="9">
        <f t="shared" ca="1" si="159"/>
        <v>-8.3704147259712354</v>
      </c>
      <c r="BJ223">
        <f t="shared" ca="1" si="160"/>
        <v>38.655797956927373</v>
      </c>
      <c r="BK223" s="6">
        <f t="shared" ca="1" si="161"/>
        <v>-0.97627438793338528</v>
      </c>
      <c r="BL223" s="6">
        <f t="shared" ca="1" si="162"/>
        <v>-0.21653710874881066</v>
      </c>
      <c r="BM223" s="6">
        <f t="shared" ca="1" si="163"/>
        <v>-2.923326634047537</v>
      </c>
      <c r="BN223" s="6">
        <f t="shared" ca="1" si="164"/>
        <v>-1.3825463209449376</v>
      </c>
      <c r="BO223" s="9">
        <f t="shared" ca="1" si="165"/>
        <v>0</v>
      </c>
      <c r="BP223" s="9">
        <f t="shared" ca="1" si="166"/>
        <v>0</v>
      </c>
      <c r="BQ223">
        <f t="shared" ca="1" si="167"/>
        <v>0</v>
      </c>
      <c r="BR223" t="e">
        <f t="shared" ca="1" si="168"/>
        <v>#DIV/0!</v>
      </c>
      <c r="BS223" t="e">
        <f t="shared" ca="1" si="169"/>
        <v>#DIV/0!</v>
      </c>
      <c r="BT223" t="e">
        <f t="shared" ca="1" si="170"/>
        <v>#DIV/0!</v>
      </c>
      <c r="BU223" s="39" t="e">
        <f t="shared" ca="1" si="171"/>
        <v>#DIV/0!</v>
      </c>
    </row>
    <row r="224" spans="45:73" x14ac:dyDescent="0.25">
      <c r="AS224"/>
      <c r="AT224"/>
      <c r="AU224"/>
      <c r="AV224" s="6" t="e">
        <f t="shared" si="153"/>
        <v>#N/A</v>
      </c>
      <c r="AW224" s="6" t="e">
        <f t="shared" si="154"/>
        <v>#N/A</v>
      </c>
      <c r="AX224" s="6" t="e">
        <f t="shared" si="155"/>
        <v>#N/A</v>
      </c>
      <c r="AY224" s="6" t="e">
        <f t="shared" si="156"/>
        <v>#N/A</v>
      </c>
      <c r="BF224" s="39"/>
      <c r="BG224" s="6">
        <f t="shared" si="157"/>
        <v>0</v>
      </c>
      <c r="BH224" s="9">
        <f t="shared" ca="1" si="158"/>
        <v>-37.738665490475874</v>
      </c>
      <c r="BI224" s="9">
        <f t="shared" ca="1" si="159"/>
        <v>-8.3704147259712354</v>
      </c>
      <c r="BJ224">
        <f t="shared" ca="1" si="160"/>
        <v>38.655797956927373</v>
      </c>
      <c r="BK224" s="6">
        <f t="shared" ca="1" si="161"/>
        <v>-0.97627438793338528</v>
      </c>
      <c r="BL224" s="6">
        <f t="shared" ca="1" si="162"/>
        <v>-0.21653710874881066</v>
      </c>
      <c r="BM224" s="6">
        <f t="shared" ca="1" si="163"/>
        <v>-2.923326634047537</v>
      </c>
      <c r="BN224" s="6">
        <f t="shared" ca="1" si="164"/>
        <v>-1.3825463209449376</v>
      </c>
      <c r="BO224" s="9">
        <f t="shared" ca="1" si="165"/>
        <v>0</v>
      </c>
      <c r="BP224" s="9">
        <f t="shared" ca="1" si="166"/>
        <v>0</v>
      </c>
      <c r="BQ224">
        <f t="shared" ca="1" si="167"/>
        <v>0</v>
      </c>
      <c r="BR224" t="e">
        <f t="shared" ca="1" si="168"/>
        <v>#DIV/0!</v>
      </c>
      <c r="BS224" t="e">
        <f t="shared" ca="1" si="169"/>
        <v>#DIV/0!</v>
      </c>
      <c r="BT224" t="e">
        <f t="shared" ca="1" si="170"/>
        <v>#DIV/0!</v>
      </c>
      <c r="BU224" s="39" t="e">
        <f t="shared" ca="1" si="171"/>
        <v>#DIV/0!</v>
      </c>
    </row>
    <row r="225" spans="45:73" x14ac:dyDescent="0.25">
      <c r="AS225"/>
      <c r="AT225"/>
      <c r="AU225"/>
      <c r="AV225" s="6" t="e">
        <f t="shared" si="153"/>
        <v>#N/A</v>
      </c>
      <c r="AW225" s="6" t="e">
        <f t="shared" si="154"/>
        <v>#N/A</v>
      </c>
      <c r="AX225" s="6" t="e">
        <f t="shared" si="155"/>
        <v>#N/A</v>
      </c>
      <c r="AY225" s="6" t="e">
        <f t="shared" si="156"/>
        <v>#N/A</v>
      </c>
      <c r="BF225" s="39"/>
      <c r="BG225" s="6">
        <f t="shared" si="157"/>
        <v>0</v>
      </c>
      <c r="BH225" s="9">
        <f t="shared" ca="1" si="158"/>
        <v>-37.738665490475874</v>
      </c>
      <c r="BI225" s="9">
        <f t="shared" ca="1" si="159"/>
        <v>-8.3704147259712354</v>
      </c>
      <c r="BJ225">
        <f t="shared" ca="1" si="160"/>
        <v>38.655797956927373</v>
      </c>
      <c r="BK225" s="6">
        <f t="shared" ca="1" si="161"/>
        <v>-0.97627438793338528</v>
      </c>
      <c r="BL225" s="6">
        <f t="shared" ca="1" si="162"/>
        <v>-0.21653710874881066</v>
      </c>
      <c r="BM225" s="6">
        <f t="shared" ca="1" si="163"/>
        <v>-2.923326634047537</v>
      </c>
      <c r="BN225" s="6">
        <f t="shared" ca="1" si="164"/>
        <v>-1.3825463209449376</v>
      </c>
      <c r="BO225" s="9">
        <f t="shared" ca="1" si="165"/>
        <v>0</v>
      </c>
      <c r="BP225" s="9">
        <f t="shared" ca="1" si="166"/>
        <v>0</v>
      </c>
      <c r="BQ225">
        <f t="shared" ca="1" si="167"/>
        <v>0</v>
      </c>
      <c r="BR225" t="e">
        <f t="shared" ca="1" si="168"/>
        <v>#DIV/0!</v>
      </c>
      <c r="BS225" t="e">
        <f t="shared" ca="1" si="169"/>
        <v>#DIV/0!</v>
      </c>
      <c r="BT225" t="e">
        <f t="shared" ca="1" si="170"/>
        <v>#DIV/0!</v>
      </c>
      <c r="BU225" s="39" t="e">
        <f t="shared" ca="1" si="171"/>
        <v>#DIV/0!</v>
      </c>
    </row>
    <row r="226" spans="45:73" x14ac:dyDescent="0.25">
      <c r="AS226"/>
      <c r="AT226"/>
      <c r="AU226"/>
      <c r="AV226" s="6" t="e">
        <f t="shared" si="153"/>
        <v>#N/A</v>
      </c>
      <c r="AW226" s="6" t="e">
        <f t="shared" si="154"/>
        <v>#N/A</v>
      </c>
      <c r="AX226" s="6" t="e">
        <f t="shared" si="155"/>
        <v>#N/A</v>
      </c>
      <c r="AY226" s="6" t="e">
        <f t="shared" si="156"/>
        <v>#N/A</v>
      </c>
      <c r="BF226" s="39"/>
      <c r="BG226" s="6">
        <f t="shared" si="157"/>
        <v>0</v>
      </c>
      <c r="BH226" s="9">
        <f t="shared" ca="1" si="158"/>
        <v>-37.738665490475874</v>
      </c>
      <c r="BI226" s="9">
        <f t="shared" ca="1" si="159"/>
        <v>-8.3704147259712354</v>
      </c>
      <c r="BJ226">
        <f t="shared" ca="1" si="160"/>
        <v>38.655797956927373</v>
      </c>
      <c r="BK226" s="6">
        <f t="shared" ca="1" si="161"/>
        <v>-0.97627438793338528</v>
      </c>
      <c r="BL226" s="6">
        <f t="shared" ca="1" si="162"/>
        <v>-0.21653710874881066</v>
      </c>
      <c r="BM226" s="6">
        <f t="shared" ca="1" si="163"/>
        <v>-2.923326634047537</v>
      </c>
      <c r="BN226" s="6">
        <f t="shared" ca="1" si="164"/>
        <v>-1.3825463209449376</v>
      </c>
      <c r="BO226" s="9">
        <f t="shared" ca="1" si="165"/>
        <v>0</v>
      </c>
      <c r="BP226" s="9">
        <f t="shared" ca="1" si="166"/>
        <v>0</v>
      </c>
      <c r="BQ226">
        <f t="shared" ca="1" si="167"/>
        <v>0</v>
      </c>
      <c r="BR226" t="e">
        <f t="shared" ca="1" si="168"/>
        <v>#DIV/0!</v>
      </c>
      <c r="BS226" t="e">
        <f t="shared" ca="1" si="169"/>
        <v>#DIV/0!</v>
      </c>
      <c r="BT226" t="e">
        <f t="shared" ca="1" si="170"/>
        <v>#DIV/0!</v>
      </c>
      <c r="BU226" s="39" t="e">
        <f t="shared" ca="1" si="171"/>
        <v>#DIV/0!</v>
      </c>
    </row>
    <row r="227" spans="45:73" x14ac:dyDescent="0.25">
      <c r="AS227"/>
      <c r="AT227"/>
      <c r="AU227"/>
      <c r="AV227" s="6" t="e">
        <f t="shared" si="153"/>
        <v>#N/A</v>
      </c>
      <c r="AW227" s="6" t="e">
        <f t="shared" si="154"/>
        <v>#N/A</v>
      </c>
      <c r="AX227" s="6" t="e">
        <f t="shared" si="155"/>
        <v>#N/A</v>
      </c>
      <c r="AY227" s="6" t="e">
        <f t="shared" si="156"/>
        <v>#N/A</v>
      </c>
      <c r="BF227" s="39"/>
      <c r="BG227" s="6">
        <f t="shared" si="157"/>
        <v>0</v>
      </c>
      <c r="BH227" s="9">
        <f t="shared" ca="1" si="158"/>
        <v>-37.738665490475874</v>
      </c>
      <c r="BI227" s="9">
        <f t="shared" ca="1" si="159"/>
        <v>-8.3704147259712354</v>
      </c>
      <c r="BJ227">
        <f t="shared" ca="1" si="160"/>
        <v>38.655797956927373</v>
      </c>
      <c r="BK227" s="6">
        <f t="shared" ca="1" si="161"/>
        <v>-0.97627438793338528</v>
      </c>
      <c r="BL227" s="6">
        <f t="shared" ca="1" si="162"/>
        <v>-0.21653710874881066</v>
      </c>
      <c r="BM227" s="6">
        <f t="shared" ca="1" si="163"/>
        <v>-2.923326634047537</v>
      </c>
      <c r="BN227" s="6">
        <f t="shared" ca="1" si="164"/>
        <v>-1.3825463209449376</v>
      </c>
      <c r="BO227" s="9">
        <f t="shared" ca="1" si="165"/>
        <v>0</v>
      </c>
      <c r="BP227" s="9">
        <f t="shared" ca="1" si="166"/>
        <v>0</v>
      </c>
      <c r="BQ227">
        <f t="shared" ca="1" si="167"/>
        <v>0</v>
      </c>
      <c r="BR227" t="e">
        <f t="shared" ca="1" si="168"/>
        <v>#DIV/0!</v>
      </c>
      <c r="BS227" t="e">
        <f t="shared" ca="1" si="169"/>
        <v>#DIV/0!</v>
      </c>
      <c r="BT227" t="e">
        <f t="shared" ca="1" si="170"/>
        <v>#DIV/0!</v>
      </c>
      <c r="BU227" s="39" t="e">
        <f t="shared" ca="1" si="171"/>
        <v>#DIV/0!</v>
      </c>
    </row>
    <row r="228" spans="45:73" x14ac:dyDescent="0.25">
      <c r="AS228"/>
      <c r="AT228"/>
      <c r="AU228"/>
      <c r="AV228" s="6" t="e">
        <f t="shared" si="153"/>
        <v>#N/A</v>
      </c>
      <c r="AW228" s="6" t="e">
        <f t="shared" si="154"/>
        <v>#N/A</v>
      </c>
      <c r="AX228" s="6" t="e">
        <f t="shared" si="155"/>
        <v>#N/A</v>
      </c>
      <c r="AY228" s="6" t="e">
        <f t="shared" si="156"/>
        <v>#N/A</v>
      </c>
      <c r="BF228" s="39"/>
      <c r="BG228" s="6">
        <f t="shared" si="157"/>
        <v>0</v>
      </c>
      <c r="BH228" s="9">
        <f t="shared" ca="1" si="158"/>
        <v>-37.738665490475874</v>
      </c>
      <c r="BI228" s="9">
        <f t="shared" ca="1" si="159"/>
        <v>-8.3704147259712354</v>
      </c>
      <c r="BJ228">
        <f t="shared" ca="1" si="160"/>
        <v>38.655797956927373</v>
      </c>
      <c r="BK228" s="6">
        <f t="shared" ca="1" si="161"/>
        <v>-0.97627438793338528</v>
      </c>
      <c r="BL228" s="6">
        <f t="shared" ca="1" si="162"/>
        <v>-0.21653710874881066</v>
      </c>
      <c r="BM228" s="6">
        <f t="shared" ca="1" si="163"/>
        <v>-2.923326634047537</v>
      </c>
      <c r="BN228" s="6">
        <f t="shared" ca="1" si="164"/>
        <v>-1.3825463209449376</v>
      </c>
      <c r="BO228" s="9">
        <f t="shared" ca="1" si="165"/>
        <v>0</v>
      </c>
      <c r="BP228" s="9">
        <f t="shared" ca="1" si="166"/>
        <v>0</v>
      </c>
      <c r="BQ228">
        <f t="shared" ca="1" si="167"/>
        <v>0</v>
      </c>
      <c r="BR228" t="e">
        <f t="shared" ca="1" si="168"/>
        <v>#DIV/0!</v>
      </c>
      <c r="BS228" t="e">
        <f t="shared" ca="1" si="169"/>
        <v>#DIV/0!</v>
      </c>
      <c r="BT228" t="e">
        <f t="shared" ca="1" si="170"/>
        <v>#DIV/0!</v>
      </c>
      <c r="BU228" s="39" t="e">
        <f t="shared" ca="1" si="171"/>
        <v>#DIV/0!</v>
      </c>
    </row>
    <row r="229" spans="45:73" x14ac:dyDescent="0.25">
      <c r="AS229"/>
      <c r="AT229"/>
      <c r="AU229"/>
      <c r="AV229" s="6" t="e">
        <f t="shared" si="153"/>
        <v>#N/A</v>
      </c>
      <c r="AW229" s="6" t="e">
        <f t="shared" si="154"/>
        <v>#N/A</v>
      </c>
      <c r="AX229" s="6" t="e">
        <f t="shared" si="155"/>
        <v>#N/A</v>
      </c>
      <c r="AY229" s="6" t="e">
        <f t="shared" si="156"/>
        <v>#N/A</v>
      </c>
      <c r="BF229" s="39"/>
      <c r="BG229" s="6">
        <f t="shared" si="157"/>
        <v>0</v>
      </c>
      <c r="BH229" s="9">
        <f t="shared" ca="1" si="158"/>
        <v>-37.738665490475874</v>
      </c>
      <c r="BI229" s="9">
        <f t="shared" ca="1" si="159"/>
        <v>-8.3704147259712354</v>
      </c>
      <c r="BJ229">
        <f t="shared" ca="1" si="160"/>
        <v>38.655797956927373</v>
      </c>
      <c r="BK229" s="6">
        <f t="shared" ca="1" si="161"/>
        <v>-0.97627438793338528</v>
      </c>
      <c r="BL229" s="6">
        <f t="shared" ca="1" si="162"/>
        <v>-0.21653710874881066</v>
      </c>
      <c r="BM229" s="6">
        <f t="shared" ca="1" si="163"/>
        <v>-2.923326634047537</v>
      </c>
      <c r="BN229" s="6">
        <f t="shared" ca="1" si="164"/>
        <v>-1.3825463209449376</v>
      </c>
      <c r="BO229" s="9">
        <f t="shared" ca="1" si="165"/>
        <v>0</v>
      </c>
      <c r="BP229" s="9">
        <f t="shared" ca="1" si="166"/>
        <v>0</v>
      </c>
      <c r="BQ229">
        <f t="shared" ca="1" si="167"/>
        <v>0</v>
      </c>
      <c r="BR229" t="e">
        <f t="shared" ca="1" si="168"/>
        <v>#DIV/0!</v>
      </c>
      <c r="BS229" t="e">
        <f t="shared" ca="1" si="169"/>
        <v>#DIV/0!</v>
      </c>
      <c r="BT229" t="e">
        <f t="shared" ca="1" si="170"/>
        <v>#DIV/0!</v>
      </c>
      <c r="BU229" s="39" t="e">
        <f t="shared" ca="1" si="171"/>
        <v>#DIV/0!</v>
      </c>
    </row>
    <row r="230" spans="45:73" x14ac:dyDescent="0.25">
      <c r="AS230"/>
      <c r="AT230"/>
      <c r="AU230"/>
      <c r="AV230" s="6" t="e">
        <f t="shared" si="153"/>
        <v>#N/A</v>
      </c>
      <c r="AW230" s="6" t="e">
        <f t="shared" si="154"/>
        <v>#N/A</v>
      </c>
      <c r="AX230" s="6" t="e">
        <f t="shared" si="155"/>
        <v>#N/A</v>
      </c>
      <c r="AY230" s="6" t="e">
        <f t="shared" si="156"/>
        <v>#N/A</v>
      </c>
      <c r="BF230" s="39"/>
      <c r="BG230" s="6">
        <f t="shared" si="157"/>
        <v>0</v>
      </c>
      <c r="BH230" s="9">
        <f t="shared" ca="1" si="158"/>
        <v>-37.738665490475874</v>
      </c>
      <c r="BI230" s="9">
        <f t="shared" ca="1" si="159"/>
        <v>-8.3704147259712354</v>
      </c>
      <c r="BJ230">
        <f t="shared" ca="1" si="160"/>
        <v>38.655797956927373</v>
      </c>
      <c r="BK230" s="6">
        <f t="shared" ca="1" si="161"/>
        <v>-0.97627438793338528</v>
      </c>
      <c r="BL230" s="6">
        <f t="shared" ca="1" si="162"/>
        <v>-0.21653710874881066</v>
      </c>
      <c r="BM230" s="6">
        <f t="shared" ca="1" si="163"/>
        <v>-2.923326634047537</v>
      </c>
      <c r="BN230" s="6">
        <f t="shared" ca="1" si="164"/>
        <v>-1.3825463209449376</v>
      </c>
      <c r="BO230" s="9">
        <f t="shared" ca="1" si="165"/>
        <v>0</v>
      </c>
      <c r="BP230" s="9">
        <f t="shared" ca="1" si="166"/>
        <v>0</v>
      </c>
      <c r="BQ230">
        <f t="shared" ca="1" si="167"/>
        <v>0</v>
      </c>
      <c r="BR230" t="e">
        <f t="shared" ca="1" si="168"/>
        <v>#DIV/0!</v>
      </c>
      <c r="BS230" t="e">
        <f t="shared" ca="1" si="169"/>
        <v>#DIV/0!</v>
      </c>
      <c r="BT230" t="e">
        <f t="shared" ca="1" si="170"/>
        <v>#DIV/0!</v>
      </c>
      <c r="BU230" s="39" t="e">
        <f t="shared" ca="1" si="171"/>
        <v>#DIV/0!</v>
      </c>
    </row>
    <row r="231" spans="45:73" x14ac:dyDescent="0.25">
      <c r="AS231"/>
      <c r="AT231"/>
      <c r="AU231"/>
      <c r="AV231" s="6" t="e">
        <f t="shared" si="153"/>
        <v>#N/A</v>
      </c>
      <c r="AW231" s="6" t="e">
        <f t="shared" si="154"/>
        <v>#N/A</v>
      </c>
      <c r="AX231" s="6" t="e">
        <f t="shared" si="155"/>
        <v>#N/A</v>
      </c>
      <c r="AY231" s="6" t="e">
        <f t="shared" si="156"/>
        <v>#N/A</v>
      </c>
      <c r="BF231" s="39"/>
      <c r="BG231" s="6">
        <f t="shared" si="157"/>
        <v>0</v>
      </c>
      <c r="BH231" s="9">
        <f t="shared" ca="1" si="158"/>
        <v>-37.738665490475874</v>
      </c>
      <c r="BI231" s="9">
        <f t="shared" ca="1" si="159"/>
        <v>-8.3704147259712354</v>
      </c>
      <c r="BJ231">
        <f t="shared" ca="1" si="160"/>
        <v>38.655797956927373</v>
      </c>
      <c r="BK231" s="6">
        <f t="shared" ca="1" si="161"/>
        <v>-0.97627438793338528</v>
      </c>
      <c r="BL231" s="6">
        <f t="shared" ca="1" si="162"/>
        <v>-0.21653710874881066</v>
      </c>
      <c r="BM231" s="6">
        <f t="shared" ca="1" si="163"/>
        <v>-2.923326634047537</v>
      </c>
      <c r="BN231" s="6">
        <f t="shared" ca="1" si="164"/>
        <v>-1.3825463209449376</v>
      </c>
      <c r="BO231" s="9">
        <f t="shared" ca="1" si="165"/>
        <v>0</v>
      </c>
      <c r="BP231" s="9">
        <f t="shared" ca="1" si="166"/>
        <v>0</v>
      </c>
      <c r="BQ231">
        <f t="shared" ca="1" si="167"/>
        <v>0</v>
      </c>
      <c r="BR231" t="e">
        <f t="shared" ca="1" si="168"/>
        <v>#DIV/0!</v>
      </c>
      <c r="BS231" t="e">
        <f t="shared" ca="1" si="169"/>
        <v>#DIV/0!</v>
      </c>
      <c r="BT231" t="e">
        <f t="shared" ca="1" si="170"/>
        <v>#DIV/0!</v>
      </c>
      <c r="BU231" s="39" t="e">
        <f t="shared" ca="1" si="171"/>
        <v>#DIV/0!</v>
      </c>
    </row>
    <row r="232" spans="45:73" x14ac:dyDescent="0.25">
      <c r="AS232"/>
      <c r="AT232"/>
      <c r="AU232"/>
      <c r="AV232" s="6" t="e">
        <f t="shared" si="153"/>
        <v>#N/A</v>
      </c>
      <c r="AW232" s="6" t="e">
        <f t="shared" si="154"/>
        <v>#N/A</v>
      </c>
      <c r="AX232" s="6" t="e">
        <f t="shared" si="155"/>
        <v>#N/A</v>
      </c>
      <c r="AY232" s="6" t="e">
        <f t="shared" si="156"/>
        <v>#N/A</v>
      </c>
      <c r="BF232" s="39"/>
      <c r="BG232" s="6">
        <f t="shared" si="157"/>
        <v>0</v>
      </c>
      <c r="BH232" s="9">
        <f t="shared" ca="1" si="158"/>
        <v>-37.738665490475874</v>
      </c>
      <c r="BI232" s="9">
        <f t="shared" ca="1" si="159"/>
        <v>-8.3704147259712354</v>
      </c>
      <c r="BJ232">
        <f t="shared" ca="1" si="160"/>
        <v>38.655797956927373</v>
      </c>
      <c r="BK232" s="6">
        <f t="shared" ca="1" si="161"/>
        <v>-0.97627438793338528</v>
      </c>
      <c r="BL232" s="6">
        <f t="shared" ca="1" si="162"/>
        <v>-0.21653710874881066</v>
      </c>
      <c r="BM232" s="6">
        <f t="shared" ca="1" si="163"/>
        <v>-2.923326634047537</v>
      </c>
      <c r="BN232" s="6">
        <f t="shared" ca="1" si="164"/>
        <v>-1.3825463209449376</v>
      </c>
      <c r="BO232" s="9">
        <f t="shared" ca="1" si="165"/>
        <v>0</v>
      </c>
      <c r="BP232" s="9">
        <f t="shared" ca="1" si="166"/>
        <v>0</v>
      </c>
      <c r="BQ232">
        <f t="shared" ca="1" si="167"/>
        <v>0</v>
      </c>
      <c r="BR232" t="e">
        <f t="shared" ca="1" si="168"/>
        <v>#DIV/0!</v>
      </c>
      <c r="BS232" t="e">
        <f t="shared" ca="1" si="169"/>
        <v>#DIV/0!</v>
      </c>
      <c r="BT232" t="e">
        <f t="shared" ca="1" si="170"/>
        <v>#DIV/0!</v>
      </c>
      <c r="BU232" s="39" t="e">
        <f t="shared" ca="1" si="171"/>
        <v>#DIV/0!</v>
      </c>
    </row>
    <row r="233" spans="45:73" x14ac:dyDescent="0.25">
      <c r="AS233"/>
      <c r="AT233"/>
      <c r="AU233"/>
      <c r="AV233" s="6" t="e">
        <f t="shared" si="153"/>
        <v>#N/A</v>
      </c>
      <c r="AW233" s="6" t="e">
        <f t="shared" si="154"/>
        <v>#N/A</v>
      </c>
      <c r="AX233" s="6" t="e">
        <f t="shared" si="155"/>
        <v>#N/A</v>
      </c>
      <c r="AY233" s="6" t="e">
        <f t="shared" si="156"/>
        <v>#N/A</v>
      </c>
      <c r="BF233" s="39"/>
      <c r="BG233" s="6">
        <f t="shared" si="157"/>
        <v>0</v>
      </c>
      <c r="BH233" s="9">
        <f t="shared" ca="1" si="158"/>
        <v>-37.738665490475874</v>
      </c>
      <c r="BI233" s="9">
        <f t="shared" ca="1" si="159"/>
        <v>-8.3704147259712354</v>
      </c>
      <c r="BJ233">
        <f t="shared" ca="1" si="160"/>
        <v>38.655797956927373</v>
      </c>
      <c r="BK233" s="6">
        <f t="shared" ca="1" si="161"/>
        <v>-0.97627438793338528</v>
      </c>
      <c r="BL233" s="6">
        <f t="shared" ca="1" si="162"/>
        <v>-0.21653710874881066</v>
      </c>
      <c r="BM233" s="6">
        <f t="shared" ca="1" si="163"/>
        <v>-2.923326634047537</v>
      </c>
      <c r="BN233" s="6">
        <f t="shared" ca="1" si="164"/>
        <v>-1.3825463209449376</v>
      </c>
      <c r="BO233" s="9">
        <f t="shared" ca="1" si="165"/>
        <v>0</v>
      </c>
      <c r="BP233" s="9">
        <f t="shared" ca="1" si="166"/>
        <v>0</v>
      </c>
      <c r="BQ233">
        <f t="shared" ca="1" si="167"/>
        <v>0</v>
      </c>
      <c r="BR233" t="e">
        <f t="shared" ca="1" si="168"/>
        <v>#DIV/0!</v>
      </c>
      <c r="BS233" t="e">
        <f t="shared" ca="1" si="169"/>
        <v>#DIV/0!</v>
      </c>
      <c r="BT233" t="e">
        <f t="shared" ca="1" si="170"/>
        <v>#DIV/0!</v>
      </c>
      <c r="BU233" s="39" t="e">
        <f t="shared" ca="1" si="171"/>
        <v>#DIV/0!</v>
      </c>
    </row>
    <row r="234" spans="45:73" x14ac:dyDescent="0.25">
      <c r="AS234"/>
      <c r="AT234"/>
      <c r="AU234"/>
      <c r="AV234" s="6" t="e">
        <f t="shared" si="153"/>
        <v>#N/A</v>
      </c>
      <c r="AW234" s="6" t="e">
        <f t="shared" si="154"/>
        <v>#N/A</v>
      </c>
      <c r="AX234" s="6" t="e">
        <f t="shared" si="155"/>
        <v>#N/A</v>
      </c>
      <c r="AY234" s="6" t="e">
        <f t="shared" si="156"/>
        <v>#N/A</v>
      </c>
      <c r="BF234" s="39"/>
      <c r="BG234" s="6">
        <f t="shared" si="157"/>
        <v>0</v>
      </c>
      <c r="BH234" s="9">
        <f t="shared" ca="1" si="158"/>
        <v>-37.738665490475874</v>
      </c>
      <c r="BI234" s="9">
        <f t="shared" ca="1" si="159"/>
        <v>-8.3704147259712354</v>
      </c>
      <c r="BJ234">
        <f t="shared" ca="1" si="160"/>
        <v>38.655797956927373</v>
      </c>
      <c r="BK234" s="6">
        <f t="shared" ca="1" si="161"/>
        <v>-0.97627438793338528</v>
      </c>
      <c r="BL234" s="6">
        <f t="shared" ca="1" si="162"/>
        <v>-0.21653710874881066</v>
      </c>
      <c r="BM234" s="6">
        <f t="shared" ca="1" si="163"/>
        <v>-2.923326634047537</v>
      </c>
      <c r="BN234" s="6">
        <f t="shared" ca="1" si="164"/>
        <v>-1.3825463209449376</v>
      </c>
      <c r="BO234" s="9">
        <f t="shared" ca="1" si="165"/>
        <v>0</v>
      </c>
      <c r="BP234" s="9">
        <f t="shared" ca="1" si="166"/>
        <v>0</v>
      </c>
      <c r="BQ234">
        <f t="shared" ca="1" si="167"/>
        <v>0</v>
      </c>
      <c r="BR234" t="e">
        <f t="shared" ca="1" si="168"/>
        <v>#DIV/0!</v>
      </c>
      <c r="BS234" t="e">
        <f t="shared" ca="1" si="169"/>
        <v>#DIV/0!</v>
      </c>
      <c r="BT234" t="e">
        <f t="shared" ca="1" si="170"/>
        <v>#DIV/0!</v>
      </c>
      <c r="BU234" s="39" t="e">
        <f t="shared" ca="1" si="171"/>
        <v>#DIV/0!</v>
      </c>
    </row>
    <row r="235" spans="45:73" x14ac:dyDescent="0.25">
      <c r="AS235"/>
      <c r="AT235"/>
      <c r="AU235"/>
      <c r="AV235" s="6" t="e">
        <f t="shared" si="153"/>
        <v>#N/A</v>
      </c>
      <c r="AW235" s="6" t="e">
        <f t="shared" si="154"/>
        <v>#N/A</v>
      </c>
      <c r="AX235" s="6" t="e">
        <f t="shared" si="155"/>
        <v>#N/A</v>
      </c>
      <c r="AY235" s="6" t="e">
        <f t="shared" si="156"/>
        <v>#N/A</v>
      </c>
      <c r="BF235" s="39"/>
      <c r="BG235" s="6">
        <f t="shared" si="157"/>
        <v>0</v>
      </c>
      <c r="BH235" s="9">
        <f t="shared" ca="1" si="158"/>
        <v>-37.738665490475874</v>
      </c>
      <c r="BI235" s="9">
        <f t="shared" ca="1" si="159"/>
        <v>-8.3704147259712354</v>
      </c>
      <c r="BJ235">
        <f t="shared" ca="1" si="160"/>
        <v>38.655797956927373</v>
      </c>
      <c r="BK235" s="6">
        <f t="shared" ca="1" si="161"/>
        <v>-0.97627438793338528</v>
      </c>
      <c r="BL235" s="6">
        <f t="shared" ca="1" si="162"/>
        <v>-0.21653710874881066</v>
      </c>
      <c r="BM235" s="6">
        <f t="shared" ca="1" si="163"/>
        <v>-2.923326634047537</v>
      </c>
      <c r="BN235" s="6">
        <f t="shared" ca="1" si="164"/>
        <v>-1.3825463209449376</v>
      </c>
      <c r="BO235" s="9">
        <f t="shared" ca="1" si="165"/>
        <v>0</v>
      </c>
      <c r="BP235" s="9">
        <f t="shared" ca="1" si="166"/>
        <v>0</v>
      </c>
      <c r="BQ235">
        <f t="shared" ca="1" si="167"/>
        <v>0</v>
      </c>
      <c r="BR235" t="e">
        <f t="shared" ca="1" si="168"/>
        <v>#DIV/0!</v>
      </c>
      <c r="BS235" t="e">
        <f t="shared" ca="1" si="169"/>
        <v>#DIV/0!</v>
      </c>
      <c r="BT235" t="e">
        <f t="shared" ca="1" si="170"/>
        <v>#DIV/0!</v>
      </c>
      <c r="BU235" s="39" t="e">
        <f t="shared" ca="1" si="171"/>
        <v>#DIV/0!</v>
      </c>
    </row>
    <row r="236" spans="45:73" x14ac:dyDescent="0.25">
      <c r="AS236"/>
      <c r="AT236"/>
      <c r="AU236"/>
      <c r="AV236" s="6" t="e">
        <f t="shared" si="153"/>
        <v>#N/A</v>
      </c>
      <c r="AW236" s="6" t="e">
        <f t="shared" si="154"/>
        <v>#N/A</v>
      </c>
      <c r="AX236" s="6" t="e">
        <f t="shared" si="155"/>
        <v>#N/A</v>
      </c>
      <c r="AY236" s="6" t="e">
        <f t="shared" si="156"/>
        <v>#N/A</v>
      </c>
      <c r="BF236" s="39"/>
      <c r="BG236" s="6">
        <f t="shared" si="157"/>
        <v>0</v>
      </c>
      <c r="BH236" s="9">
        <f t="shared" ca="1" si="158"/>
        <v>-37.738665490475874</v>
      </c>
      <c r="BI236" s="9">
        <f t="shared" ca="1" si="159"/>
        <v>-8.3704147259712354</v>
      </c>
      <c r="BJ236">
        <f t="shared" ca="1" si="160"/>
        <v>38.655797956927373</v>
      </c>
      <c r="BK236" s="6">
        <f t="shared" ca="1" si="161"/>
        <v>-0.97627438793338528</v>
      </c>
      <c r="BL236" s="6">
        <f t="shared" ca="1" si="162"/>
        <v>-0.21653710874881066</v>
      </c>
      <c r="BM236" s="6">
        <f t="shared" ca="1" si="163"/>
        <v>-2.923326634047537</v>
      </c>
      <c r="BN236" s="6">
        <f t="shared" ca="1" si="164"/>
        <v>-1.3825463209449376</v>
      </c>
      <c r="BO236" s="9">
        <f t="shared" ca="1" si="165"/>
        <v>0</v>
      </c>
      <c r="BP236" s="9">
        <f t="shared" ca="1" si="166"/>
        <v>0</v>
      </c>
      <c r="BQ236">
        <f t="shared" ca="1" si="167"/>
        <v>0</v>
      </c>
      <c r="BR236" t="e">
        <f t="shared" ca="1" si="168"/>
        <v>#DIV/0!</v>
      </c>
      <c r="BS236" t="e">
        <f t="shared" ca="1" si="169"/>
        <v>#DIV/0!</v>
      </c>
      <c r="BT236" t="e">
        <f t="shared" ca="1" si="170"/>
        <v>#DIV/0!</v>
      </c>
      <c r="BU236" s="39" t="e">
        <f t="shared" ca="1" si="171"/>
        <v>#DIV/0!</v>
      </c>
    </row>
    <row r="237" spans="45:73" x14ac:dyDescent="0.25">
      <c r="AS237"/>
      <c r="AT237"/>
      <c r="AU237"/>
      <c r="AV237" s="6" t="e">
        <f t="shared" si="153"/>
        <v>#N/A</v>
      </c>
      <c r="AW237" s="6" t="e">
        <f t="shared" si="154"/>
        <v>#N/A</v>
      </c>
      <c r="AX237" s="6" t="e">
        <f t="shared" si="155"/>
        <v>#N/A</v>
      </c>
      <c r="AY237" s="6" t="e">
        <f t="shared" si="156"/>
        <v>#N/A</v>
      </c>
      <c r="BF237" s="39"/>
      <c r="BG237" s="6">
        <f t="shared" si="157"/>
        <v>0</v>
      </c>
      <c r="BH237" s="9">
        <f t="shared" ca="1" si="158"/>
        <v>-37.738665490475874</v>
      </c>
      <c r="BI237" s="9">
        <f t="shared" ca="1" si="159"/>
        <v>-8.3704147259712354</v>
      </c>
      <c r="BJ237">
        <f t="shared" ca="1" si="160"/>
        <v>38.655797956927373</v>
      </c>
      <c r="BK237" s="6">
        <f t="shared" ca="1" si="161"/>
        <v>-0.97627438793338528</v>
      </c>
      <c r="BL237" s="6">
        <f t="shared" ca="1" si="162"/>
        <v>-0.21653710874881066</v>
      </c>
      <c r="BM237" s="6">
        <f t="shared" ca="1" si="163"/>
        <v>-2.923326634047537</v>
      </c>
      <c r="BN237" s="6">
        <f t="shared" ca="1" si="164"/>
        <v>-1.3825463209449376</v>
      </c>
      <c r="BO237" s="9">
        <f t="shared" ca="1" si="165"/>
        <v>0</v>
      </c>
      <c r="BP237" s="9">
        <f t="shared" ca="1" si="166"/>
        <v>0</v>
      </c>
      <c r="BQ237">
        <f t="shared" ca="1" si="167"/>
        <v>0</v>
      </c>
      <c r="BR237" t="e">
        <f t="shared" ca="1" si="168"/>
        <v>#DIV/0!</v>
      </c>
      <c r="BS237" t="e">
        <f t="shared" ca="1" si="169"/>
        <v>#DIV/0!</v>
      </c>
      <c r="BT237" t="e">
        <f t="shared" ca="1" si="170"/>
        <v>#DIV/0!</v>
      </c>
      <c r="BU237" s="39" t="e">
        <f t="shared" ca="1" si="171"/>
        <v>#DIV/0!</v>
      </c>
    </row>
    <row r="238" spans="45:73" x14ac:dyDescent="0.25">
      <c r="AS238"/>
      <c r="AT238"/>
      <c r="AU238"/>
      <c r="AV238" s="6" t="e">
        <f t="shared" si="153"/>
        <v>#N/A</v>
      </c>
      <c r="AW238" s="6" t="e">
        <f t="shared" si="154"/>
        <v>#N/A</v>
      </c>
      <c r="AX238" s="6" t="e">
        <f t="shared" si="155"/>
        <v>#N/A</v>
      </c>
      <c r="AY238" s="6" t="e">
        <f t="shared" si="156"/>
        <v>#N/A</v>
      </c>
      <c r="BF238" s="39"/>
      <c r="BG238" s="6">
        <f t="shared" si="157"/>
        <v>0</v>
      </c>
      <c r="BH238" s="9">
        <f t="shared" ca="1" si="158"/>
        <v>-37.738665490475874</v>
      </c>
      <c r="BI238" s="9">
        <f t="shared" ca="1" si="159"/>
        <v>-8.3704147259712354</v>
      </c>
      <c r="BJ238">
        <f t="shared" ca="1" si="160"/>
        <v>38.655797956927373</v>
      </c>
      <c r="BK238" s="6">
        <f t="shared" ca="1" si="161"/>
        <v>-0.97627438793338528</v>
      </c>
      <c r="BL238" s="6">
        <f t="shared" ca="1" si="162"/>
        <v>-0.21653710874881066</v>
      </c>
      <c r="BM238" s="6">
        <f t="shared" ca="1" si="163"/>
        <v>-2.923326634047537</v>
      </c>
      <c r="BN238" s="6">
        <f t="shared" ca="1" si="164"/>
        <v>-1.3825463209449376</v>
      </c>
      <c r="BO238" s="9">
        <f t="shared" ca="1" si="165"/>
        <v>0</v>
      </c>
      <c r="BP238" s="9">
        <f t="shared" ca="1" si="166"/>
        <v>0</v>
      </c>
      <c r="BQ238">
        <f t="shared" ca="1" si="167"/>
        <v>0</v>
      </c>
      <c r="BR238" t="e">
        <f t="shared" ca="1" si="168"/>
        <v>#DIV/0!</v>
      </c>
      <c r="BS238" t="e">
        <f t="shared" ca="1" si="169"/>
        <v>#DIV/0!</v>
      </c>
      <c r="BT238" t="e">
        <f t="shared" ca="1" si="170"/>
        <v>#DIV/0!</v>
      </c>
      <c r="BU238" s="39" t="e">
        <f t="shared" ca="1" si="171"/>
        <v>#DIV/0!</v>
      </c>
    </row>
    <row r="239" spans="45:73" x14ac:dyDescent="0.25">
      <c r="AS239"/>
      <c r="AT239"/>
      <c r="AU239"/>
      <c r="AV239" s="6" t="e">
        <f t="shared" si="153"/>
        <v>#N/A</v>
      </c>
      <c r="AW239" s="6" t="e">
        <f t="shared" si="154"/>
        <v>#N/A</v>
      </c>
      <c r="AX239" s="6" t="e">
        <f t="shared" si="155"/>
        <v>#N/A</v>
      </c>
      <c r="AY239" s="6" t="e">
        <f t="shared" si="156"/>
        <v>#N/A</v>
      </c>
      <c r="BF239" s="39"/>
      <c r="BG239" s="6">
        <f t="shared" si="157"/>
        <v>0</v>
      </c>
      <c r="BH239" s="9">
        <f t="shared" ca="1" si="158"/>
        <v>-37.738665490475874</v>
      </c>
      <c r="BI239" s="9">
        <f t="shared" ca="1" si="159"/>
        <v>-8.3704147259712354</v>
      </c>
      <c r="BJ239">
        <f t="shared" ca="1" si="160"/>
        <v>38.655797956927373</v>
      </c>
      <c r="BK239" s="6">
        <f t="shared" ca="1" si="161"/>
        <v>-0.97627438793338528</v>
      </c>
      <c r="BL239" s="6">
        <f t="shared" ca="1" si="162"/>
        <v>-0.21653710874881066</v>
      </c>
      <c r="BM239" s="6">
        <f t="shared" ca="1" si="163"/>
        <v>-2.923326634047537</v>
      </c>
      <c r="BN239" s="6">
        <f t="shared" ca="1" si="164"/>
        <v>-1.3825463209449376</v>
      </c>
      <c r="BO239" s="9">
        <f t="shared" ca="1" si="165"/>
        <v>0</v>
      </c>
      <c r="BP239" s="9">
        <f t="shared" ca="1" si="166"/>
        <v>0</v>
      </c>
      <c r="BQ239">
        <f t="shared" ca="1" si="167"/>
        <v>0</v>
      </c>
      <c r="BR239" t="e">
        <f t="shared" ca="1" si="168"/>
        <v>#DIV/0!</v>
      </c>
      <c r="BS239" t="e">
        <f t="shared" ca="1" si="169"/>
        <v>#DIV/0!</v>
      </c>
      <c r="BT239" t="e">
        <f t="shared" ca="1" si="170"/>
        <v>#DIV/0!</v>
      </c>
      <c r="BU239" s="39" t="e">
        <f t="shared" ca="1" si="171"/>
        <v>#DIV/0!</v>
      </c>
    </row>
    <row r="240" spans="45:73" x14ac:dyDescent="0.25">
      <c r="AS240"/>
      <c r="AT240"/>
      <c r="AU240"/>
      <c r="AV240" s="6" t="e">
        <f t="shared" si="153"/>
        <v>#N/A</v>
      </c>
      <c r="AW240" s="6" t="e">
        <f t="shared" si="154"/>
        <v>#N/A</v>
      </c>
      <c r="AX240" s="6" t="e">
        <f t="shared" si="155"/>
        <v>#N/A</v>
      </c>
      <c r="AY240" s="6" t="e">
        <f t="shared" si="156"/>
        <v>#N/A</v>
      </c>
      <c r="BF240" s="39"/>
      <c r="BG240" s="6">
        <f t="shared" si="157"/>
        <v>0</v>
      </c>
      <c r="BH240" s="9">
        <f t="shared" ca="1" si="158"/>
        <v>-37.738665490475874</v>
      </c>
      <c r="BI240" s="9">
        <f t="shared" ca="1" si="159"/>
        <v>-8.3704147259712354</v>
      </c>
      <c r="BJ240">
        <f t="shared" ca="1" si="160"/>
        <v>38.655797956927373</v>
      </c>
      <c r="BK240" s="6">
        <f t="shared" ca="1" si="161"/>
        <v>-0.97627438793338528</v>
      </c>
      <c r="BL240" s="6">
        <f t="shared" ca="1" si="162"/>
        <v>-0.21653710874881066</v>
      </c>
      <c r="BM240" s="6">
        <f t="shared" ca="1" si="163"/>
        <v>-2.923326634047537</v>
      </c>
      <c r="BN240" s="6">
        <f t="shared" ca="1" si="164"/>
        <v>-1.3825463209449376</v>
      </c>
      <c r="BO240" s="9">
        <f t="shared" ca="1" si="165"/>
        <v>0</v>
      </c>
      <c r="BP240" s="9">
        <f t="shared" ca="1" si="166"/>
        <v>0</v>
      </c>
      <c r="BQ240">
        <f t="shared" ca="1" si="167"/>
        <v>0</v>
      </c>
      <c r="BR240" t="e">
        <f t="shared" ca="1" si="168"/>
        <v>#DIV/0!</v>
      </c>
      <c r="BS240" t="e">
        <f t="shared" ca="1" si="169"/>
        <v>#DIV/0!</v>
      </c>
      <c r="BT240" t="e">
        <f t="shared" ca="1" si="170"/>
        <v>#DIV/0!</v>
      </c>
      <c r="BU240" s="39" t="e">
        <f t="shared" ca="1" si="171"/>
        <v>#DIV/0!</v>
      </c>
    </row>
    <row r="241" spans="45:73" x14ac:dyDescent="0.25">
      <c r="AS241"/>
      <c r="AT241"/>
      <c r="AU241"/>
      <c r="AV241" s="6" t="e">
        <f t="shared" si="153"/>
        <v>#N/A</v>
      </c>
      <c r="AW241" s="6" t="e">
        <f t="shared" si="154"/>
        <v>#N/A</v>
      </c>
      <c r="AX241" s="6" t="e">
        <f t="shared" si="155"/>
        <v>#N/A</v>
      </c>
      <c r="AY241" s="6" t="e">
        <f t="shared" si="156"/>
        <v>#N/A</v>
      </c>
      <c r="BF241" s="39"/>
      <c r="BG241" s="6">
        <f t="shared" si="157"/>
        <v>0</v>
      </c>
      <c r="BH241" s="9">
        <f t="shared" ca="1" si="158"/>
        <v>-37.738665490475874</v>
      </c>
      <c r="BI241" s="9">
        <f t="shared" ca="1" si="159"/>
        <v>-8.3704147259712354</v>
      </c>
      <c r="BJ241">
        <f t="shared" ca="1" si="160"/>
        <v>38.655797956927373</v>
      </c>
      <c r="BK241" s="6">
        <f t="shared" ca="1" si="161"/>
        <v>-0.97627438793338528</v>
      </c>
      <c r="BL241" s="6">
        <f t="shared" ca="1" si="162"/>
        <v>-0.21653710874881066</v>
      </c>
      <c r="BM241" s="6">
        <f t="shared" ca="1" si="163"/>
        <v>-2.923326634047537</v>
      </c>
      <c r="BN241" s="6">
        <f t="shared" ca="1" si="164"/>
        <v>-1.3825463209449376</v>
      </c>
      <c r="BO241" s="9">
        <f t="shared" ca="1" si="165"/>
        <v>0</v>
      </c>
      <c r="BP241" s="9">
        <f t="shared" ca="1" si="166"/>
        <v>0</v>
      </c>
      <c r="BQ241">
        <f t="shared" ca="1" si="167"/>
        <v>0</v>
      </c>
      <c r="BR241" t="e">
        <f t="shared" ca="1" si="168"/>
        <v>#DIV/0!</v>
      </c>
      <c r="BS241" t="e">
        <f t="shared" ca="1" si="169"/>
        <v>#DIV/0!</v>
      </c>
      <c r="BT241" t="e">
        <f t="shared" ca="1" si="170"/>
        <v>#DIV/0!</v>
      </c>
      <c r="BU241" s="39" t="e">
        <f t="shared" ca="1" si="171"/>
        <v>#DIV/0!</v>
      </c>
    </row>
    <row r="242" spans="45:73" x14ac:dyDescent="0.25">
      <c r="AS242"/>
      <c r="AT242"/>
      <c r="AU242"/>
      <c r="AV242" s="6" t="e">
        <f t="shared" si="153"/>
        <v>#N/A</v>
      </c>
      <c r="AW242" s="6" t="e">
        <f t="shared" si="154"/>
        <v>#N/A</v>
      </c>
      <c r="AX242" s="6" t="e">
        <f t="shared" si="155"/>
        <v>#N/A</v>
      </c>
      <c r="AY242" s="6" t="e">
        <f t="shared" si="156"/>
        <v>#N/A</v>
      </c>
      <c r="BF242" s="39"/>
      <c r="BG242" s="6">
        <f t="shared" si="157"/>
        <v>0</v>
      </c>
      <c r="BH242" s="9">
        <f t="shared" ca="1" si="158"/>
        <v>-37.738665490475874</v>
      </c>
      <c r="BI242" s="9">
        <f t="shared" ca="1" si="159"/>
        <v>-8.3704147259712354</v>
      </c>
      <c r="BJ242">
        <f t="shared" ca="1" si="160"/>
        <v>38.655797956927373</v>
      </c>
      <c r="BK242" s="6">
        <f t="shared" ca="1" si="161"/>
        <v>-0.97627438793338528</v>
      </c>
      <c r="BL242" s="6">
        <f t="shared" ca="1" si="162"/>
        <v>-0.21653710874881066</v>
      </c>
      <c r="BM242" s="6">
        <f t="shared" ca="1" si="163"/>
        <v>-2.923326634047537</v>
      </c>
      <c r="BN242" s="6">
        <f t="shared" ca="1" si="164"/>
        <v>-1.3825463209449376</v>
      </c>
      <c r="BO242" s="9">
        <f t="shared" ca="1" si="165"/>
        <v>0</v>
      </c>
      <c r="BP242" s="9">
        <f t="shared" ca="1" si="166"/>
        <v>0</v>
      </c>
      <c r="BQ242">
        <f t="shared" ca="1" si="167"/>
        <v>0</v>
      </c>
      <c r="BR242" t="e">
        <f t="shared" ca="1" si="168"/>
        <v>#DIV/0!</v>
      </c>
      <c r="BS242" t="e">
        <f t="shared" ca="1" si="169"/>
        <v>#DIV/0!</v>
      </c>
      <c r="BT242" t="e">
        <f t="shared" ca="1" si="170"/>
        <v>#DIV/0!</v>
      </c>
      <c r="BU242" s="39" t="e">
        <f t="shared" ca="1" si="171"/>
        <v>#DIV/0!</v>
      </c>
    </row>
    <row r="243" spans="45:73" x14ac:dyDescent="0.25">
      <c r="AS243"/>
      <c r="AT243"/>
      <c r="AU243"/>
      <c r="AV243" s="6" t="e">
        <f t="shared" si="153"/>
        <v>#N/A</v>
      </c>
      <c r="AW243" s="6" t="e">
        <f t="shared" si="154"/>
        <v>#N/A</v>
      </c>
      <c r="AX243" s="6" t="e">
        <f t="shared" si="155"/>
        <v>#N/A</v>
      </c>
      <c r="AY243" s="6" t="e">
        <f t="shared" si="156"/>
        <v>#N/A</v>
      </c>
      <c r="BF243" s="39"/>
      <c r="BG243" s="6">
        <f t="shared" si="157"/>
        <v>0</v>
      </c>
      <c r="BH243" s="9">
        <f t="shared" ca="1" si="158"/>
        <v>-37.738665490475874</v>
      </c>
      <c r="BI243" s="9">
        <f t="shared" ca="1" si="159"/>
        <v>-8.3704147259712354</v>
      </c>
      <c r="BJ243">
        <f t="shared" ca="1" si="160"/>
        <v>38.655797956927373</v>
      </c>
      <c r="BK243" s="6">
        <f t="shared" ca="1" si="161"/>
        <v>-0.97627438793338528</v>
      </c>
      <c r="BL243" s="6">
        <f t="shared" ca="1" si="162"/>
        <v>-0.21653710874881066</v>
      </c>
      <c r="BM243" s="6">
        <f t="shared" ca="1" si="163"/>
        <v>-2.923326634047537</v>
      </c>
      <c r="BN243" s="6">
        <f t="shared" ca="1" si="164"/>
        <v>-1.3825463209449376</v>
      </c>
      <c r="BO243" s="9">
        <f t="shared" ca="1" si="165"/>
        <v>0</v>
      </c>
      <c r="BP243" s="9">
        <f t="shared" ca="1" si="166"/>
        <v>0</v>
      </c>
      <c r="BQ243">
        <f t="shared" ca="1" si="167"/>
        <v>0</v>
      </c>
      <c r="BR243" t="e">
        <f t="shared" ca="1" si="168"/>
        <v>#DIV/0!</v>
      </c>
      <c r="BS243" t="e">
        <f t="shared" ca="1" si="169"/>
        <v>#DIV/0!</v>
      </c>
      <c r="BT243" t="e">
        <f t="shared" ca="1" si="170"/>
        <v>#DIV/0!</v>
      </c>
      <c r="BU243" s="39" t="e">
        <f t="shared" ca="1" si="171"/>
        <v>#DIV/0!</v>
      </c>
    </row>
    <row r="244" spans="45:73" x14ac:dyDescent="0.25">
      <c r="AS244"/>
      <c r="AT244"/>
      <c r="AU244"/>
      <c r="AV244" s="6" t="e">
        <f t="shared" si="153"/>
        <v>#N/A</v>
      </c>
      <c r="AW244" s="6" t="e">
        <f t="shared" si="154"/>
        <v>#N/A</v>
      </c>
      <c r="AX244" s="6" t="e">
        <f t="shared" si="155"/>
        <v>#N/A</v>
      </c>
      <c r="AY244" s="6" t="e">
        <f t="shared" si="156"/>
        <v>#N/A</v>
      </c>
      <c r="BF244" s="39"/>
      <c r="BG244" s="6">
        <f t="shared" si="157"/>
        <v>0</v>
      </c>
      <c r="BH244" s="9">
        <f t="shared" ca="1" si="158"/>
        <v>-37.738665490475874</v>
      </c>
      <c r="BI244" s="9">
        <f t="shared" ca="1" si="159"/>
        <v>-8.3704147259712354</v>
      </c>
      <c r="BJ244">
        <f t="shared" ca="1" si="160"/>
        <v>38.655797956927373</v>
      </c>
      <c r="BK244" s="6">
        <f t="shared" ca="1" si="161"/>
        <v>-0.97627438793338528</v>
      </c>
      <c r="BL244" s="6">
        <f t="shared" ca="1" si="162"/>
        <v>-0.21653710874881066</v>
      </c>
      <c r="BM244" s="6">
        <f t="shared" ca="1" si="163"/>
        <v>-2.923326634047537</v>
      </c>
      <c r="BN244" s="6">
        <f t="shared" ca="1" si="164"/>
        <v>-1.3825463209449376</v>
      </c>
      <c r="BO244" s="9">
        <f t="shared" ca="1" si="165"/>
        <v>0</v>
      </c>
      <c r="BP244" s="9">
        <f t="shared" ca="1" si="166"/>
        <v>0</v>
      </c>
      <c r="BQ244">
        <f t="shared" ca="1" si="167"/>
        <v>0</v>
      </c>
      <c r="BR244" t="e">
        <f t="shared" ca="1" si="168"/>
        <v>#DIV/0!</v>
      </c>
      <c r="BS244" t="e">
        <f t="shared" ca="1" si="169"/>
        <v>#DIV/0!</v>
      </c>
      <c r="BT244" t="e">
        <f t="shared" ca="1" si="170"/>
        <v>#DIV/0!</v>
      </c>
      <c r="BU244" s="39" t="e">
        <f t="shared" ca="1" si="171"/>
        <v>#DIV/0!</v>
      </c>
    </row>
    <row r="245" spans="45:73" x14ac:dyDescent="0.25">
      <c r="AS245"/>
      <c r="AT245"/>
      <c r="AU245"/>
      <c r="AV245" s="6" t="e">
        <f t="shared" si="153"/>
        <v>#N/A</v>
      </c>
      <c r="AW245" s="6" t="e">
        <f t="shared" si="154"/>
        <v>#N/A</v>
      </c>
      <c r="AX245" s="6" t="e">
        <f t="shared" si="155"/>
        <v>#N/A</v>
      </c>
      <c r="AY245" s="6" t="e">
        <f t="shared" si="156"/>
        <v>#N/A</v>
      </c>
      <c r="BF245" s="39"/>
      <c r="BG245" s="6">
        <f t="shared" si="157"/>
        <v>0</v>
      </c>
      <c r="BH245" s="9">
        <f t="shared" ca="1" si="158"/>
        <v>-37.738665490475874</v>
      </c>
      <c r="BI245" s="9">
        <f t="shared" ca="1" si="159"/>
        <v>-8.3704147259712354</v>
      </c>
      <c r="BJ245">
        <f t="shared" ca="1" si="160"/>
        <v>38.655797956927373</v>
      </c>
      <c r="BK245" s="6">
        <f t="shared" ca="1" si="161"/>
        <v>-0.97627438793338528</v>
      </c>
      <c r="BL245" s="6">
        <f t="shared" ca="1" si="162"/>
        <v>-0.21653710874881066</v>
      </c>
      <c r="BM245" s="6">
        <f t="shared" ca="1" si="163"/>
        <v>-2.923326634047537</v>
      </c>
      <c r="BN245" s="6">
        <f t="shared" ca="1" si="164"/>
        <v>-1.3825463209449376</v>
      </c>
      <c r="BO245" s="9">
        <f t="shared" ca="1" si="165"/>
        <v>0</v>
      </c>
      <c r="BP245" s="9">
        <f t="shared" ca="1" si="166"/>
        <v>0</v>
      </c>
      <c r="BQ245">
        <f t="shared" ca="1" si="167"/>
        <v>0</v>
      </c>
      <c r="BR245" t="e">
        <f t="shared" ca="1" si="168"/>
        <v>#DIV/0!</v>
      </c>
      <c r="BS245" t="e">
        <f t="shared" ca="1" si="169"/>
        <v>#DIV/0!</v>
      </c>
      <c r="BT245" t="e">
        <f t="shared" ca="1" si="170"/>
        <v>#DIV/0!</v>
      </c>
      <c r="BU245" s="39" t="e">
        <f t="shared" ca="1" si="171"/>
        <v>#DIV/0!</v>
      </c>
    </row>
    <row r="246" spans="45:73" x14ac:dyDescent="0.25">
      <c r="AS246"/>
      <c r="AT246"/>
      <c r="AU246"/>
      <c r="AV246" s="6" t="e">
        <f t="shared" si="153"/>
        <v>#N/A</v>
      </c>
      <c r="AW246" s="6" t="e">
        <f t="shared" si="154"/>
        <v>#N/A</v>
      </c>
      <c r="AX246" s="6" t="e">
        <f t="shared" si="155"/>
        <v>#N/A</v>
      </c>
      <c r="AY246" s="6" t="e">
        <f t="shared" si="156"/>
        <v>#N/A</v>
      </c>
      <c r="BF246" s="39"/>
      <c r="BG246" s="6">
        <f t="shared" si="157"/>
        <v>0</v>
      </c>
      <c r="BH246" s="9">
        <f t="shared" ca="1" si="158"/>
        <v>-37.738665490475874</v>
      </c>
      <c r="BI246" s="9">
        <f t="shared" ca="1" si="159"/>
        <v>-8.3704147259712354</v>
      </c>
      <c r="BJ246">
        <f t="shared" ca="1" si="160"/>
        <v>38.655797956927373</v>
      </c>
      <c r="BK246" s="6">
        <f t="shared" ca="1" si="161"/>
        <v>-0.97627438793338528</v>
      </c>
      <c r="BL246" s="6">
        <f t="shared" ca="1" si="162"/>
        <v>-0.21653710874881066</v>
      </c>
      <c r="BM246" s="6">
        <f t="shared" ca="1" si="163"/>
        <v>-2.923326634047537</v>
      </c>
      <c r="BN246" s="6">
        <f t="shared" ca="1" si="164"/>
        <v>-1.3825463209449376</v>
      </c>
      <c r="BO246" s="9">
        <f t="shared" ca="1" si="165"/>
        <v>0</v>
      </c>
      <c r="BP246" s="9">
        <f t="shared" ca="1" si="166"/>
        <v>0</v>
      </c>
      <c r="BQ246">
        <f t="shared" ca="1" si="167"/>
        <v>0</v>
      </c>
      <c r="BR246" t="e">
        <f t="shared" ca="1" si="168"/>
        <v>#DIV/0!</v>
      </c>
      <c r="BS246" t="e">
        <f t="shared" ca="1" si="169"/>
        <v>#DIV/0!</v>
      </c>
      <c r="BT246" t="e">
        <f t="shared" ca="1" si="170"/>
        <v>#DIV/0!</v>
      </c>
      <c r="BU246" s="39" t="e">
        <f t="shared" ca="1" si="171"/>
        <v>#DIV/0!</v>
      </c>
    </row>
    <row r="247" spans="45:73" x14ac:dyDescent="0.25">
      <c r="AS247"/>
      <c r="AT247"/>
      <c r="AU247"/>
      <c r="AV247" s="6" t="e">
        <f t="shared" si="153"/>
        <v>#N/A</v>
      </c>
      <c r="AW247" s="6" t="e">
        <f t="shared" si="154"/>
        <v>#N/A</v>
      </c>
      <c r="AX247" s="6" t="e">
        <f t="shared" si="155"/>
        <v>#N/A</v>
      </c>
      <c r="AY247" s="6" t="e">
        <f t="shared" si="156"/>
        <v>#N/A</v>
      </c>
      <c r="BF247" s="39"/>
      <c r="BG247" s="6">
        <f t="shared" si="157"/>
        <v>0</v>
      </c>
      <c r="BH247" s="9">
        <f t="shared" ca="1" si="158"/>
        <v>-37.738665490475874</v>
      </c>
      <c r="BI247" s="9">
        <f t="shared" ca="1" si="159"/>
        <v>-8.3704147259712354</v>
      </c>
      <c r="BJ247">
        <f t="shared" ca="1" si="160"/>
        <v>38.655797956927373</v>
      </c>
      <c r="BK247" s="6">
        <f t="shared" ca="1" si="161"/>
        <v>-0.97627438793338528</v>
      </c>
      <c r="BL247" s="6">
        <f t="shared" ca="1" si="162"/>
        <v>-0.21653710874881066</v>
      </c>
      <c r="BM247" s="6">
        <f t="shared" ca="1" si="163"/>
        <v>-2.923326634047537</v>
      </c>
      <c r="BN247" s="6">
        <f t="shared" ca="1" si="164"/>
        <v>-1.3825463209449376</v>
      </c>
      <c r="BO247" s="9">
        <f t="shared" ca="1" si="165"/>
        <v>0</v>
      </c>
      <c r="BP247" s="9">
        <f t="shared" ca="1" si="166"/>
        <v>0</v>
      </c>
      <c r="BQ247">
        <f t="shared" ca="1" si="167"/>
        <v>0</v>
      </c>
      <c r="BR247" t="e">
        <f t="shared" ca="1" si="168"/>
        <v>#DIV/0!</v>
      </c>
      <c r="BS247" t="e">
        <f t="shared" ca="1" si="169"/>
        <v>#DIV/0!</v>
      </c>
      <c r="BT247" t="e">
        <f t="shared" ca="1" si="170"/>
        <v>#DIV/0!</v>
      </c>
      <c r="BU247" s="39" t="e">
        <f t="shared" ca="1" si="171"/>
        <v>#DIV/0!</v>
      </c>
    </row>
    <row r="248" spans="45:73" x14ac:dyDescent="0.25">
      <c r="AS248"/>
      <c r="AT248"/>
      <c r="AU248"/>
      <c r="AV248" s="6" t="e">
        <f t="shared" si="153"/>
        <v>#N/A</v>
      </c>
      <c r="AW248" s="6" t="e">
        <f t="shared" si="154"/>
        <v>#N/A</v>
      </c>
      <c r="AX248" s="6" t="e">
        <f t="shared" si="155"/>
        <v>#N/A</v>
      </c>
      <c r="AY248" s="6" t="e">
        <f t="shared" si="156"/>
        <v>#N/A</v>
      </c>
      <c r="BF248" s="39"/>
      <c r="BG248" s="6">
        <f t="shared" si="157"/>
        <v>0</v>
      </c>
      <c r="BH248" s="9">
        <f t="shared" ca="1" si="158"/>
        <v>-37.738665490475874</v>
      </c>
      <c r="BI248" s="9">
        <f t="shared" ca="1" si="159"/>
        <v>-8.3704147259712354</v>
      </c>
      <c r="BJ248">
        <f t="shared" ca="1" si="160"/>
        <v>38.655797956927373</v>
      </c>
      <c r="BK248" s="6">
        <f t="shared" ca="1" si="161"/>
        <v>-0.97627438793338528</v>
      </c>
      <c r="BL248" s="6">
        <f t="shared" ca="1" si="162"/>
        <v>-0.21653710874881066</v>
      </c>
      <c r="BM248" s="6">
        <f t="shared" ca="1" si="163"/>
        <v>-2.923326634047537</v>
      </c>
      <c r="BN248" s="6">
        <f t="shared" ca="1" si="164"/>
        <v>-1.3825463209449376</v>
      </c>
      <c r="BO248" s="9">
        <f t="shared" ca="1" si="165"/>
        <v>0</v>
      </c>
      <c r="BP248" s="9">
        <f t="shared" ca="1" si="166"/>
        <v>0</v>
      </c>
      <c r="BQ248">
        <f t="shared" ca="1" si="167"/>
        <v>0</v>
      </c>
      <c r="BR248" t="e">
        <f t="shared" ca="1" si="168"/>
        <v>#DIV/0!</v>
      </c>
      <c r="BS248" t="e">
        <f t="shared" ca="1" si="169"/>
        <v>#DIV/0!</v>
      </c>
      <c r="BT248" t="e">
        <f t="shared" ca="1" si="170"/>
        <v>#DIV/0!</v>
      </c>
      <c r="BU248" s="39" t="e">
        <f t="shared" ca="1" si="171"/>
        <v>#DIV/0!</v>
      </c>
    </row>
    <row r="249" spans="45:73" x14ac:dyDescent="0.25">
      <c r="AS249"/>
      <c r="AT249"/>
      <c r="AU249"/>
      <c r="AV249" s="6" t="e">
        <f t="shared" si="153"/>
        <v>#N/A</v>
      </c>
      <c r="AW249" s="6" t="e">
        <f t="shared" si="154"/>
        <v>#N/A</v>
      </c>
      <c r="AX249" s="6" t="e">
        <f t="shared" si="155"/>
        <v>#N/A</v>
      </c>
      <c r="AY249" s="6" t="e">
        <f t="shared" si="156"/>
        <v>#N/A</v>
      </c>
      <c r="BF249" s="39"/>
      <c r="BG249" s="6">
        <f t="shared" si="157"/>
        <v>0</v>
      </c>
      <c r="BH249" s="9">
        <f t="shared" ca="1" si="158"/>
        <v>-37.738665490475874</v>
      </c>
      <c r="BI249" s="9">
        <f t="shared" ca="1" si="159"/>
        <v>-8.3704147259712354</v>
      </c>
      <c r="BJ249">
        <f t="shared" ca="1" si="160"/>
        <v>38.655797956927373</v>
      </c>
      <c r="BK249" s="6">
        <f t="shared" ca="1" si="161"/>
        <v>-0.97627438793338528</v>
      </c>
      <c r="BL249" s="6">
        <f t="shared" ca="1" si="162"/>
        <v>-0.21653710874881066</v>
      </c>
      <c r="BM249" s="6">
        <f t="shared" ca="1" si="163"/>
        <v>-2.923326634047537</v>
      </c>
      <c r="BN249" s="6">
        <f t="shared" ca="1" si="164"/>
        <v>-1.3825463209449376</v>
      </c>
      <c r="BO249" s="9">
        <f t="shared" ca="1" si="165"/>
        <v>0</v>
      </c>
      <c r="BP249" s="9">
        <f t="shared" ca="1" si="166"/>
        <v>0</v>
      </c>
      <c r="BQ249">
        <f t="shared" ca="1" si="167"/>
        <v>0</v>
      </c>
      <c r="BR249" t="e">
        <f t="shared" ca="1" si="168"/>
        <v>#DIV/0!</v>
      </c>
      <c r="BS249" t="e">
        <f t="shared" ca="1" si="169"/>
        <v>#DIV/0!</v>
      </c>
      <c r="BT249" t="e">
        <f t="shared" ca="1" si="170"/>
        <v>#DIV/0!</v>
      </c>
      <c r="BU249" s="39" t="e">
        <f t="shared" ca="1" si="171"/>
        <v>#DIV/0!</v>
      </c>
    </row>
    <row r="250" spans="45:73" x14ac:dyDescent="0.25">
      <c r="AS250"/>
      <c r="AT250"/>
      <c r="AU250"/>
      <c r="AV250" s="6" t="e">
        <f t="shared" si="153"/>
        <v>#N/A</v>
      </c>
      <c r="AW250" s="6" t="e">
        <f t="shared" si="154"/>
        <v>#N/A</v>
      </c>
      <c r="AX250" s="6" t="e">
        <f t="shared" si="155"/>
        <v>#N/A</v>
      </c>
      <c r="AY250" s="6" t="e">
        <f t="shared" si="156"/>
        <v>#N/A</v>
      </c>
      <c r="BF250" s="39"/>
      <c r="BG250" s="6">
        <f t="shared" si="157"/>
        <v>0</v>
      </c>
      <c r="BH250" s="9">
        <f t="shared" ca="1" si="158"/>
        <v>-37.738665490475874</v>
      </c>
      <c r="BI250" s="9">
        <f t="shared" ca="1" si="159"/>
        <v>-8.3704147259712354</v>
      </c>
      <c r="BJ250">
        <f t="shared" ca="1" si="160"/>
        <v>38.655797956927373</v>
      </c>
      <c r="BK250" s="6">
        <f t="shared" ca="1" si="161"/>
        <v>-0.97627438793338528</v>
      </c>
      <c r="BL250" s="6">
        <f t="shared" ca="1" si="162"/>
        <v>-0.21653710874881066</v>
      </c>
      <c r="BM250" s="6">
        <f t="shared" ca="1" si="163"/>
        <v>-2.923326634047537</v>
      </c>
      <c r="BN250" s="6">
        <f t="shared" ca="1" si="164"/>
        <v>-1.3825463209449376</v>
      </c>
      <c r="BO250" s="9">
        <f t="shared" ca="1" si="165"/>
        <v>0</v>
      </c>
      <c r="BP250" s="9">
        <f t="shared" ca="1" si="166"/>
        <v>0</v>
      </c>
      <c r="BQ250">
        <f t="shared" ca="1" si="167"/>
        <v>0</v>
      </c>
      <c r="BR250" t="e">
        <f t="shared" ca="1" si="168"/>
        <v>#DIV/0!</v>
      </c>
      <c r="BS250" t="e">
        <f t="shared" ca="1" si="169"/>
        <v>#DIV/0!</v>
      </c>
      <c r="BT250" t="e">
        <f t="shared" ca="1" si="170"/>
        <v>#DIV/0!</v>
      </c>
      <c r="BU250" s="39" t="e">
        <f t="shared" ca="1" si="171"/>
        <v>#DIV/0!</v>
      </c>
    </row>
    <row r="251" spans="45:73" x14ac:dyDescent="0.25">
      <c r="AS251"/>
      <c r="AT251"/>
      <c r="AU251"/>
      <c r="AV251" s="6" t="e">
        <f t="shared" si="153"/>
        <v>#N/A</v>
      </c>
      <c r="AW251" s="6" t="e">
        <f t="shared" si="154"/>
        <v>#N/A</v>
      </c>
      <c r="AX251" s="6" t="e">
        <f t="shared" si="155"/>
        <v>#N/A</v>
      </c>
      <c r="AY251" s="6" t="e">
        <f t="shared" si="156"/>
        <v>#N/A</v>
      </c>
      <c r="BF251" s="39"/>
      <c r="BG251" s="6">
        <f t="shared" si="157"/>
        <v>0</v>
      </c>
      <c r="BH251" s="9">
        <f t="shared" ca="1" si="158"/>
        <v>-37.738665490475874</v>
      </c>
      <c r="BI251" s="9">
        <f t="shared" ca="1" si="159"/>
        <v>-8.3704147259712354</v>
      </c>
      <c r="BJ251">
        <f t="shared" ca="1" si="160"/>
        <v>38.655797956927373</v>
      </c>
      <c r="BK251" s="6">
        <f t="shared" ca="1" si="161"/>
        <v>-0.97627438793338528</v>
      </c>
      <c r="BL251" s="6">
        <f t="shared" ca="1" si="162"/>
        <v>-0.21653710874881066</v>
      </c>
      <c r="BM251" s="6">
        <f t="shared" ca="1" si="163"/>
        <v>-2.923326634047537</v>
      </c>
      <c r="BN251" s="6">
        <f t="shared" ca="1" si="164"/>
        <v>-1.3825463209449376</v>
      </c>
      <c r="BO251" s="9">
        <f t="shared" ca="1" si="165"/>
        <v>0</v>
      </c>
      <c r="BP251" s="9">
        <f t="shared" ca="1" si="166"/>
        <v>0</v>
      </c>
      <c r="BQ251">
        <f t="shared" ca="1" si="167"/>
        <v>0</v>
      </c>
      <c r="BR251" t="e">
        <f t="shared" ca="1" si="168"/>
        <v>#DIV/0!</v>
      </c>
      <c r="BS251" t="e">
        <f t="shared" ca="1" si="169"/>
        <v>#DIV/0!</v>
      </c>
      <c r="BT251" t="e">
        <f t="shared" ca="1" si="170"/>
        <v>#DIV/0!</v>
      </c>
      <c r="BU251" s="39" t="e">
        <f t="shared" ca="1" si="171"/>
        <v>#DIV/0!</v>
      </c>
    </row>
    <row r="252" spans="45:73" x14ac:dyDescent="0.25">
      <c r="AS252"/>
      <c r="AT252"/>
      <c r="AU252"/>
      <c r="AV252" s="6" t="e">
        <f t="shared" si="153"/>
        <v>#N/A</v>
      </c>
      <c r="AW252" s="6" t="e">
        <f t="shared" si="154"/>
        <v>#N/A</v>
      </c>
      <c r="AX252" s="6" t="e">
        <f t="shared" si="155"/>
        <v>#N/A</v>
      </c>
      <c r="AY252" s="6" t="e">
        <f t="shared" si="156"/>
        <v>#N/A</v>
      </c>
      <c r="BF252" s="39"/>
      <c r="BG252" s="6">
        <f t="shared" si="157"/>
        <v>0</v>
      </c>
      <c r="BH252" s="9">
        <f t="shared" ca="1" si="158"/>
        <v>-37.738665490475874</v>
      </c>
      <c r="BI252" s="9">
        <f t="shared" ca="1" si="159"/>
        <v>-8.3704147259712354</v>
      </c>
      <c r="BJ252">
        <f t="shared" ca="1" si="160"/>
        <v>38.655797956927373</v>
      </c>
      <c r="BK252" s="6">
        <f t="shared" ca="1" si="161"/>
        <v>-0.97627438793338528</v>
      </c>
      <c r="BL252" s="6">
        <f t="shared" ca="1" si="162"/>
        <v>-0.21653710874881066</v>
      </c>
      <c r="BM252" s="6">
        <f t="shared" ca="1" si="163"/>
        <v>-2.923326634047537</v>
      </c>
      <c r="BN252" s="6">
        <f t="shared" ca="1" si="164"/>
        <v>-1.3825463209449376</v>
      </c>
      <c r="BO252" s="9">
        <f t="shared" ca="1" si="165"/>
        <v>0</v>
      </c>
      <c r="BP252" s="9">
        <f t="shared" ca="1" si="166"/>
        <v>0</v>
      </c>
      <c r="BQ252">
        <f t="shared" ca="1" si="167"/>
        <v>0</v>
      </c>
      <c r="BR252" t="e">
        <f t="shared" ca="1" si="168"/>
        <v>#DIV/0!</v>
      </c>
      <c r="BS252" t="e">
        <f t="shared" ca="1" si="169"/>
        <v>#DIV/0!</v>
      </c>
      <c r="BT252" t="e">
        <f t="shared" ca="1" si="170"/>
        <v>#DIV/0!</v>
      </c>
      <c r="BU252" s="39" t="e">
        <f t="shared" ca="1" si="171"/>
        <v>#DIV/0!</v>
      </c>
    </row>
    <row r="253" spans="45:73" x14ac:dyDescent="0.25">
      <c r="AS253"/>
      <c r="AT253"/>
      <c r="AU253"/>
      <c r="AV253" s="6" t="e">
        <f t="shared" si="153"/>
        <v>#N/A</v>
      </c>
      <c r="AW253" s="6" t="e">
        <f t="shared" si="154"/>
        <v>#N/A</v>
      </c>
      <c r="AX253" s="6" t="e">
        <f t="shared" si="155"/>
        <v>#N/A</v>
      </c>
      <c r="AY253" s="6" t="e">
        <f t="shared" si="156"/>
        <v>#N/A</v>
      </c>
      <c r="BF253" s="39"/>
      <c r="BG253" s="6">
        <f t="shared" si="157"/>
        <v>0</v>
      </c>
      <c r="BH253" s="9">
        <f t="shared" ca="1" si="158"/>
        <v>-37.738665490475874</v>
      </c>
      <c r="BI253" s="9">
        <f t="shared" ca="1" si="159"/>
        <v>-8.3704147259712354</v>
      </c>
      <c r="BJ253">
        <f t="shared" ca="1" si="160"/>
        <v>38.655797956927373</v>
      </c>
      <c r="BK253" s="6">
        <f t="shared" ca="1" si="161"/>
        <v>-0.97627438793338528</v>
      </c>
      <c r="BL253" s="6">
        <f t="shared" ca="1" si="162"/>
        <v>-0.21653710874881066</v>
      </c>
      <c r="BM253" s="6">
        <f t="shared" ca="1" si="163"/>
        <v>-2.923326634047537</v>
      </c>
      <c r="BN253" s="6">
        <f t="shared" ca="1" si="164"/>
        <v>-1.3825463209449376</v>
      </c>
      <c r="BO253" s="9">
        <f t="shared" ca="1" si="165"/>
        <v>0</v>
      </c>
      <c r="BP253" s="9">
        <f t="shared" ca="1" si="166"/>
        <v>0</v>
      </c>
      <c r="BQ253">
        <f t="shared" ca="1" si="167"/>
        <v>0</v>
      </c>
      <c r="BR253" t="e">
        <f t="shared" ca="1" si="168"/>
        <v>#DIV/0!</v>
      </c>
      <c r="BS253" t="e">
        <f t="shared" ca="1" si="169"/>
        <v>#DIV/0!</v>
      </c>
      <c r="BT253" t="e">
        <f t="shared" ca="1" si="170"/>
        <v>#DIV/0!</v>
      </c>
      <c r="BU253" s="39" t="e">
        <f t="shared" ca="1" si="171"/>
        <v>#DIV/0!</v>
      </c>
    </row>
    <row r="254" spans="45:73" x14ac:dyDescent="0.25">
      <c r="AS254"/>
      <c r="AT254"/>
      <c r="AU254"/>
      <c r="AV254" s="6" t="e">
        <f t="shared" si="153"/>
        <v>#N/A</v>
      </c>
      <c r="AW254" s="6" t="e">
        <f t="shared" si="154"/>
        <v>#N/A</v>
      </c>
      <c r="AX254" s="6" t="e">
        <f t="shared" si="155"/>
        <v>#N/A</v>
      </c>
      <c r="AY254" s="6" t="e">
        <f t="shared" si="156"/>
        <v>#N/A</v>
      </c>
      <c r="BF254" s="39"/>
      <c r="BG254" s="6">
        <f t="shared" si="157"/>
        <v>0</v>
      </c>
      <c r="BH254" s="9">
        <f t="shared" ca="1" si="158"/>
        <v>-37.738665490475874</v>
      </c>
      <c r="BI254" s="9">
        <f t="shared" ca="1" si="159"/>
        <v>-8.3704147259712354</v>
      </c>
      <c r="BJ254">
        <f t="shared" ca="1" si="160"/>
        <v>38.655797956927373</v>
      </c>
      <c r="BK254" s="6">
        <f t="shared" ca="1" si="161"/>
        <v>-0.97627438793338528</v>
      </c>
      <c r="BL254" s="6">
        <f t="shared" ca="1" si="162"/>
        <v>-0.21653710874881066</v>
      </c>
      <c r="BM254" s="6">
        <f t="shared" ca="1" si="163"/>
        <v>-2.923326634047537</v>
      </c>
      <c r="BN254" s="6">
        <f t="shared" ca="1" si="164"/>
        <v>-1.3825463209449376</v>
      </c>
      <c r="BO254" s="9">
        <f t="shared" ca="1" si="165"/>
        <v>0</v>
      </c>
      <c r="BP254" s="9">
        <f t="shared" ca="1" si="166"/>
        <v>0</v>
      </c>
      <c r="BQ254">
        <f t="shared" ca="1" si="167"/>
        <v>0</v>
      </c>
      <c r="BR254" t="e">
        <f t="shared" ca="1" si="168"/>
        <v>#DIV/0!</v>
      </c>
      <c r="BS254" t="e">
        <f t="shared" ca="1" si="169"/>
        <v>#DIV/0!</v>
      </c>
      <c r="BT254" t="e">
        <f t="shared" ca="1" si="170"/>
        <v>#DIV/0!</v>
      </c>
      <c r="BU254" s="39" t="e">
        <f t="shared" ca="1" si="171"/>
        <v>#DIV/0!</v>
      </c>
    </row>
    <row r="255" spans="45:73" x14ac:dyDescent="0.25">
      <c r="AS255"/>
      <c r="AT255"/>
      <c r="AU255"/>
      <c r="AV255" s="6" t="e">
        <f t="shared" si="153"/>
        <v>#N/A</v>
      </c>
      <c r="AW255" s="6" t="e">
        <f t="shared" si="154"/>
        <v>#N/A</v>
      </c>
      <c r="AX255" s="6" t="e">
        <f t="shared" si="155"/>
        <v>#N/A</v>
      </c>
      <c r="AY255" s="6" t="e">
        <f t="shared" si="156"/>
        <v>#N/A</v>
      </c>
      <c r="BF255" s="39"/>
      <c r="BG255" s="6">
        <f t="shared" si="157"/>
        <v>0</v>
      </c>
      <c r="BH255" s="9">
        <f t="shared" ca="1" si="158"/>
        <v>-37.738665490475874</v>
      </c>
      <c r="BI255" s="9">
        <f t="shared" ca="1" si="159"/>
        <v>-8.3704147259712354</v>
      </c>
      <c r="BJ255">
        <f t="shared" ca="1" si="160"/>
        <v>38.655797956927373</v>
      </c>
      <c r="BK255" s="6">
        <f t="shared" ca="1" si="161"/>
        <v>-0.97627438793338528</v>
      </c>
      <c r="BL255" s="6">
        <f t="shared" ca="1" si="162"/>
        <v>-0.21653710874881066</v>
      </c>
      <c r="BM255" s="6">
        <f t="shared" ca="1" si="163"/>
        <v>-2.923326634047537</v>
      </c>
      <c r="BN255" s="6">
        <f t="shared" ca="1" si="164"/>
        <v>-1.3825463209449376</v>
      </c>
      <c r="BO255" s="9">
        <f t="shared" ca="1" si="165"/>
        <v>0</v>
      </c>
      <c r="BP255" s="9">
        <f t="shared" ca="1" si="166"/>
        <v>0</v>
      </c>
      <c r="BQ255">
        <f t="shared" ca="1" si="167"/>
        <v>0</v>
      </c>
      <c r="BR255" t="e">
        <f t="shared" ca="1" si="168"/>
        <v>#DIV/0!</v>
      </c>
      <c r="BS255" t="e">
        <f t="shared" ca="1" si="169"/>
        <v>#DIV/0!</v>
      </c>
      <c r="BT255" t="e">
        <f t="shared" ca="1" si="170"/>
        <v>#DIV/0!</v>
      </c>
      <c r="BU255" s="39" t="e">
        <f t="shared" ca="1" si="171"/>
        <v>#DIV/0!</v>
      </c>
    </row>
    <row r="256" spans="45:73" x14ac:dyDescent="0.25">
      <c r="AS256"/>
      <c r="AT256"/>
      <c r="AU256"/>
      <c r="AV256" s="6" t="e">
        <f t="shared" si="153"/>
        <v>#N/A</v>
      </c>
      <c r="AW256" s="6" t="e">
        <f t="shared" si="154"/>
        <v>#N/A</v>
      </c>
      <c r="AX256" s="6" t="e">
        <f t="shared" si="155"/>
        <v>#N/A</v>
      </c>
      <c r="AY256" s="6" t="e">
        <f t="shared" si="156"/>
        <v>#N/A</v>
      </c>
      <c r="BF256" s="39"/>
      <c r="BG256" s="6">
        <f t="shared" si="157"/>
        <v>0</v>
      </c>
      <c r="BH256" s="9">
        <f t="shared" ca="1" si="158"/>
        <v>-37.738665490475874</v>
      </c>
      <c r="BI256" s="9">
        <f t="shared" ca="1" si="159"/>
        <v>-8.3704147259712354</v>
      </c>
      <c r="BJ256">
        <f t="shared" ca="1" si="160"/>
        <v>38.655797956927373</v>
      </c>
      <c r="BK256" s="6">
        <f t="shared" ca="1" si="161"/>
        <v>-0.97627438793338528</v>
      </c>
      <c r="BL256" s="6">
        <f t="shared" ca="1" si="162"/>
        <v>-0.21653710874881066</v>
      </c>
      <c r="BM256" s="6">
        <f t="shared" ca="1" si="163"/>
        <v>-2.923326634047537</v>
      </c>
      <c r="BN256" s="6">
        <f t="shared" ca="1" si="164"/>
        <v>-1.3825463209449376</v>
      </c>
      <c r="BO256" s="9">
        <f t="shared" ca="1" si="165"/>
        <v>0</v>
      </c>
      <c r="BP256" s="9">
        <f t="shared" ca="1" si="166"/>
        <v>0</v>
      </c>
      <c r="BQ256">
        <f t="shared" ca="1" si="167"/>
        <v>0</v>
      </c>
      <c r="BR256" t="e">
        <f t="shared" ca="1" si="168"/>
        <v>#DIV/0!</v>
      </c>
      <c r="BS256" t="e">
        <f t="shared" ca="1" si="169"/>
        <v>#DIV/0!</v>
      </c>
      <c r="BT256" t="e">
        <f t="shared" ca="1" si="170"/>
        <v>#DIV/0!</v>
      </c>
      <c r="BU256" s="39" t="e">
        <f t="shared" ca="1" si="171"/>
        <v>#DIV/0!</v>
      </c>
    </row>
    <row r="257" spans="45:73" x14ac:dyDescent="0.25">
      <c r="AS257"/>
      <c r="AT257"/>
      <c r="AU257"/>
      <c r="AV257" s="6" t="e">
        <f t="shared" si="153"/>
        <v>#N/A</v>
      </c>
      <c r="AW257" s="6" t="e">
        <f t="shared" si="154"/>
        <v>#N/A</v>
      </c>
      <c r="AX257" s="6" t="e">
        <f t="shared" si="155"/>
        <v>#N/A</v>
      </c>
      <c r="AY257" s="6" t="e">
        <f t="shared" si="156"/>
        <v>#N/A</v>
      </c>
      <c r="BF257" s="39"/>
      <c r="BG257" s="6">
        <f t="shared" si="157"/>
        <v>0</v>
      </c>
      <c r="BH257" s="9">
        <f t="shared" ca="1" si="158"/>
        <v>-37.738665490475874</v>
      </c>
      <c r="BI257" s="9">
        <f t="shared" ca="1" si="159"/>
        <v>-8.3704147259712354</v>
      </c>
      <c r="BJ257">
        <f t="shared" ca="1" si="160"/>
        <v>38.655797956927373</v>
      </c>
      <c r="BK257" s="6">
        <f t="shared" ca="1" si="161"/>
        <v>-0.97627438793338528</v>
      </c>
      <c r="BL257" s="6">
        <f t="shared" ca="1" si="162"/>
        <v>-0.21653710874881066</v>
      </c>
      <c r="BM257" s="6">
        <f t="shared" ca="1" si="163"/>
        <v>-2.923326634047537</v>
      </c>
      <c r="BN257" s="6">
        <f t="shared" ca="1" si="164"/>
        <v>-1.3825463209449376</v>
      </c>
      <c r="BO257" s="9">
        <f t="shared" ca="1" si="165"/>
        <v>0</v>
      </c>
      <c r="BP257" s="9">
        <f t="shared" ca="1" si="166"/>
        <v>0</v>
      </c>
      <c r="BQ257">
        <f t="shared" ca="1" si="167"/>
        <v>0</v>
      </c>
      <c r="BR257" t="e">
        <f t="shared" ca="1" si="168"/>
        <v>#DIV/0!</v>
      </c>
      <c r="BS257" t="e">
        <f t="shared" ca="1" si="169"/>
        <v>#DIV/0!</v>
      </c>
      <c r="BT257" t="e">
        <f t="shared" ca="1" si="170"/>
        <v>#DIV/0!</v>
      </c>
      <c r="BU257" s="39" t="e">
        <f t="shared" ca="1" si="171"/>
        <v>#DIV/0!</v>
      </c>
    </row>
    <row r="258" spans="45:73" x14ac:dyDescent="0.25">
      <c r="AS258"/>
      <c r="AT258"/>
      <c r="AU258"/>
      <c r="AV258" s="6" t="e">
        <f t="shared" si="153"/>
        <v>#N/A</v>
      </c>
      <c r="AW258" s="6" t="e">
        <f t="shared" si="154"/>
        <v>#N/A</v>
      </c>
      <c r="AX258" s="6" t="e">
        <f t="shared" si="155"/>
        <v>#N/A</v>
      </c>
      <c r="AY258" s="6" t="e">
        <f t="shared" si="156"/>
        <v>#N/A</v>
      </c>
      <c r="BF258" s="39"/>
      <c r="BG258" s="6">
        <f t="shared" si="157"/>
        <v>0</v>
      </c>
      <c r="BH258" s="9">
        <f t="shared" ca="1" si="158"/>
        <v>-37.738665490475874</v>
      </c>
      <c r="BI258" s="9">
        <f t="shared" ca="1" si="159"/>
        <v>-8.3704147259712354</v>
      </c>
      <c r="BJ258">
        <f t="shared" ca="1" si="160"/>
        <v>38.655797956927373</v>
      </c>
      <c r="BK258" s="6">
        <f t="shared" ca="1" si="161"/>
        <v>-0.97627438793338528</v>
      </c>
      <c r="BL258" s="6">
        <f t="shared" ca="1" si="162"/>
        <v>-0.21653710874881066</v>
      </c>
      <c r="BM258" s="6">
        <f t="shared" ca="1" si="163"/>
        <v>-2.923326634047537</v>
      </c>
      <c r="BN258" s="6">
        <f t="shared" ca="1" si="164"/>
        <v>-1.3825463209449376</v>
      </c>
      <c r="BO258" s="9">
        <f t="shared" ca="1" si="165"/>
        <v>0</v>
      </c>
      <c r="BP258" s="9">
        <f t="shared" ca="1" si="166"/>
        <v>0</v>
      </c>
      <c r="BQ258">
        <f t="shared" ca="1" si="167"/>
        <v>0</v>
      </c>
      <c r="BR258" t="e">
        <f t="shared" ca="1" si="168"/>
        <v>#DIV/0!</v>
      </c>
      <c r="BS258" t="e">
        <f t="shared" ca="1" si="169"/>
        <v>#DIV/0!</v>
      </c>
      <c r="BT258" t="e">
        <f t="shared" ca="1" si="170"/>
        <v>#DIV/0!</v>
      </c>
      <c r="BU258" s="39" t="e">
        <f t="shared" ca="1" si="171"/>
        <v>#DIV/0!</v>
      </c>
    </row>
    <row r="259" spans="45:73" x14ac:dyDescent="0.25">
      <c r="AS259"/>
      <c r="AT259"/>
      <c r="AU259"/>
      <c r="AV259" s="6" t="e">
        <f t="shared" ref="AV259:AV322" si="172">IF(AS259&lt;&gt;"",IF(AND(AT259=0,AU259=0),0,MOD(ATAN2(AT259,AU259),2*PI())),NA())</f>
        <v>#N/A</v>
      </c>
      <c r="AW259" s="6" t="e">
        <f t="shared" ref="AW259:AW322" si="173">ABS(AS259-AV259)</f>
        <v>#N/A</v>
      </c>
      <c r="AX259" s="6" t="e">
        <f t="shared" ref="AX259:AX322" si="174">ATAN2(COS($U$13-AV259),SIN($U$13-AV259))</f>
        <v>#N/A</v>
      </c>
      <c r="AY259" s="6" t="e">
        <f t="shared" ref="AY259:AY322" si="175">ABS(AX259)</f>
        <v>#N/A</v>
      </c>
      <c r="BF259" s="39"/>
      <c r="BG259" s="6">
        <f t="shared" si="157"/>
        <v>0</v>
      </c>
      <c r="BH259" s="9">
        <f t="shared" ca="1" si="158"/>
        <v>-37.738665490475874</v>
      </c>
      <c r="BI259" s="9">
        <f t="shared" ca="1" si="159"/>
        <v>-8.3704147259712354</v>
      </c>
      <c r="BJ259">
        <f t="shared" ca="1" si="160"/>
        <v>38.655797956927373</v>
      </c>
      <c r="BK259" s="6">
        <f t="shared" ca="1" si="161"/>
        <v>-0.97627438793338528</v>
      </c>
      <c r="BL259" s="6">
        <f t="shared" ca="1" si="162"/>
        <v>-0.21653710874881066</v>
      </c>
      <c r="BM259" s="6">
        <f t="shared" ca="1" si="163"/>
        <v>-2.923326634047537</v>
      </c>
      <c r="BN259" s="6">
        <f t="shared" ca="1" si="164"/>
        <v>-1.3825463209449376</v>
      </c>
      <c r="BO259" s="9">
        <f t="shared" ca="1" si="165"/>
        <v>0</v>
      </c>
      <c r="BP259" s="9">
        <f t="shared" ca="1" si="166"/>
        <v>0</v>
      </c>
      <c r="BQ259">
        <f t="shared" ca="1" si="167"/>
        <v>0</v>
      </c>
      <c r="BR259" t="e">
        <f t="shared" ca="1" si="168"/>
        <v>#DIV/0!</v>
      </c>
      <c r="BS259" t="e">
        <f t="shared" ca="1" si="169"/>
        <v>#DIV/0!</v>
      </c>
      <c r="BT259" t="e">
        <f t="shared" ca="1" si="170"/>
        <v>#DIV/0!</v>
      </c>
      <c r="BU259" s="39" t="e">
        <f t="shared" ca="1" si="171"/>
        <v>#DIV/0!</v>
      </c>
    </row>
    <row r="260" spans="45:73" x14ac:dyDescent="0.25">
      <c r="AS260"/>
      <c r="AT260"/>
      <c r="AU260"/>
      <c r="AV260" s="6" t="e">
        <f t="shared" si="172"/>
        <v>#N/A</v>
      </c>
      <c r="AW260" s="6" t="e">
        <f t="shared" si="173"/>
        <v>#N/A</v>
      </c>
      <c r="AX260" s="6" t="e">
        <f t="shared" si="174"/>
        <v>#N/A</v>
      </c>
      <c r="AY260" s="6" t="e">
        <f t="shared" si="175"/>
        <v>#N/A</v>
      </c>
      <c r="BF260" s="39"/>
      <c r="BG260" s="6">
        <f t="shared" si="157"/>
        <v>0</v>
      </c>
      <c r="BH260" s="9">
        <f t="shared" ca="1" si="158"/>
        <v>-37.738665490475874</v>
      </c>
      <c r="BI260" s="9">
        <f t="shared" ca="1" si="159"/>
        <v>-8.3704147259712354</v>
      </c>
      <c r="BJ260">
        <f t="shared" ca="1" si="160"/>
        <v>38.655797956927373</v>
      </c>
      <c r="BK260" s="6">
        <f t="shared" ca="1" si="161"/>
        <v>-0.97627438793338528</v>
      </c>
      <c r="BL260" s="6">
        <f t="shared" ca="1" si="162"/>
        <v>-0.21653710874881066</v>
      </c>
      <c r="BM260" s="6">
        <f t="shared" ca="1" si="163"/>
        <v>-2.923326634047537</v>
      </c>
      <c r="BN260" s="6">
        <f t="shared" ca="1" si="164"/>
        <v>-1.3825463209449376</v>
      </c>
      <c r="BO260" s="9">
        <f t="shared" ca="1" si="165"/>
        <v>0</v>
      </c>
      <c r="BP260" s="9">
        <f t="shared" ca="1" si="166"/>
        <v>0</v>
      </c>
      <c r="BQ260">
        <f t="shared" ca="1" si="167"/>
        <v>0</v>
      </c>
      <c r="BR260" t="e">
        <f t="shared" ca="1" si="168"/>
        <v>#DIV/0!</v>
      </c>
      <c r="BS260" t="e">
        <f t="shared" ca="1" si="169"/>
        <v>#DIV/0!</v>
      </c>
      <c r="BT260" t="e">
        <f t="shared" ca="1" si="170"/>
        <v>#DIV/0!</v>
      </c>
      <c r="BU260" s="39" t="e">
        <f t="shared" ca="1" si="171"/>
        <v>#DIV/0!</v>
      </c>
    </row>
    <row r="261" spans="45:73" x14ac:dyDescent="0.25">
      <c r="AS261"/>
      <c r="AT261"/>
      <c r="AU261"/>
      <c r="AV261" s="6" t="e">
        <f t="shared" si="172"/>
        <v>#N/A</v>
      </c>
      <c r="AW261" s="6" t="e">
        <f t="shared" si="173"/>
        <v>#N/A</v>
      </c>
      <c r="AX261" s="6" t="e">
        <f t="shared" si="174"/>
        <v>#N/A</v>
      </c>
      <c r="AY261" s="6" t="e">
        <f t="shared" si="175"/>
        <v>#N/A</v>
      </c>
      <c r="BF261" s="39"/>
      <c r="BG261" s="6">
        <f t="shared" si="157"/>
        <v>0</v>
      </c>
      <c r="BH261" s="9">
        <f t="shared" ca="1" si="158"/>
        <v>-37.738665490475874</v>
      </c>
      <c r="BI261" s="9">
        <f t="shared" ca="1" si="159"/>
        <v>-8.3704147259712354</v>
      </c>
      <c r="BJ261">
        <f t="shared" ca="1" si="160"/>
        <v>38.655797956927373</v>
      </c>
      <c r="BK261" s="6">
        <f t="shared" ca="1" si="161"/>
        <v>-0.97627438793338528</v>
      </c>
      <c r="BL261" s="6">
        <f t="shared" ca="1" si="162"/>
        <v>-0.21653710874881066</v>
      </c>
      <c r="BM261" s="6">
        <f t="shared" ca="1" si="163"/>
        <v>-2.923326634047537</v>
      </c>
      <c r="BN261" s="6">
        <f t="shared" ca="1" si="164"/>
        <v>-1.3825463209449376</v>
      </c>
      <c r="BO261" s="9">
        <f t="shared" ca="1" si="165"/>
        <v>0</v>
      </c>
      <c r="BP261" s="9">
        <f t="shared" ca="1" si="166"/>
        <v>0</v>
      </c>
      <c r="BQ261">
        <f t="shared" ca="1" si="167"/>
        <v>0</v>
      </c>
      <c r="BR261" t="e">
        <f t="shared" ca="1" si="168"/>
        <v>#DIV/0!</v>
      </c>
      <c r="BS261" t="e">
        <f t="shared" ca="1" si="169"/>
        <v>#DIV/0!</v>
      </c>
      <c r="BT261" t="e">
        <f t="shared" ca="1" si="170"/>
        <v>#DIV/0!</v>
      </c>
      <c r="BU261" s="39" t="e">
        <f t="shared" ca="1" si="171"/>
        <v>#DIV/0!</v>
      </c>
    </row>
    <row r="262" spans="45:73" x14ac:dyDescent="0.25">
      <c r="AS262"/>
      <c r="AT262"/>
      <c r="AU262"/>
      <c r="AV262" s="6" t="e">
        <f t="shared" si="172"/>
        <v>#N/A</v>
      </c>
      <c r="AW262" s="6" t="e">
        <f t="shared" si="173"/>
        <v>#N/A</v>
      </c>
      <c r="AX262" s="6" t="e">
        <f t="shared" si="174"/>
        <v>#N/A</v>
      </c>
      <c r="AY262" s="6" t="e">
        <f t="shared" si="175"/>
        <v>#N/A</v>
      </c>
      <c r="BF262" s="39"/>
      <c r="BG262" s="6">
        <f t="shared" si="157"/>
        <v>0</v>
      </c>
      <c r="BH262" s="9">
        <f t="shared" ca="1" si="158"/>
        <v>-37.738665490475874</v>
      </c>
      <c r="BI262" s="9">
        <f t="shared" ca="1" si="159"/>
        <v>-8.3704147259712354</v>
      </c>
      <c r="BJ262">
        <f t="shared" ca="1" si="160"/>
        <v>38.655797956927373</v>
      </c>
      <c r="BK262" s="6">
        <f t="shared" ca="1" si="161"/>
        <v>-0.97627438793338528</v>
      </c>
      <c r="BL262" s="6">
        <f t="shared" ca="1" si="162"/>
        <v>-0.21653710874881066</v>
      </c>
      <c r="BM262" s="6">
        <f t="shared" ca="1" si="163"/>
        <v>-2.923326634047537</v>
      </c>
      <c r="BN262" s="6">
        <f t="shared" ca="1" si="164"/>
        <v>-1.3825463209449376</v>
      </c>
      <c r="BO262" s="9">
        <f t="shared" ca="1" si="165"/>
        <v>0</v>
      </c>
      <c r="BP262" s="9">
        <f t="shared" ca="1" si="166"/>
        <v>0</v>
      </c>
      <c r="BQ262">
        <f t="shared" ca="1" si="167"/>
        <v>0</v>
      </c>
      <c r="BR262" t="e">
        <f t="shared" ca="1" si="168"/>
        <v>#DIV/0!</v>
      </c>
      <c r="BS262" t="e">
        <f t="shared" ca="1" si="169"/>
        <v>#DIV/0!</v>
      </c>
      <c r="BT262" t="e">
        <f t="shared" ca="1" si="170"/>
        <v>#DIV/0!</v>
      </c>
      <c r="BU262" s="39" t="e">
        <f t="shared" ca="1" si="171"/>
        <v>#DIV/0!</v>
      </c>
    </row>
    <row r="263" spans="45:73" x14ac:dyDescent="0.25">
      <c r="AS263"/>
      <c r="AT263"/>
      <c r="AU263"/>
      <c r="AV263" s="6" t="e">
        <f t="shared" si="172"/>
        <v>#N/A</v>
      </c>
      <c r="AW263" s="6" t="e">
        <f t="shared" si="173"/>
        <v>#N/A</v>
      </c>
      <c r="AX263" s="6" t="e">
        <f t="shared" si="174"/>
        <v>#N/A</v>
      </c>
      <c r="AY263" s="6" t="e">
        <f t="shared" si="175"/>
        <v>#N/A</v>
      </c>
      <c r="BF263" s="39"/>
      <c r="BG263" s="6">
        <f t="shared" si="157"/>
        <v>0</v>
      </c>
      <c r="BH263" s="9">
        <f t="shared" ca="1" si="158"/>
        <v>-37.738665490475874</v>
      </c>
      <c r="BI263" s="9">
        <f t="shared" ca="1" si="159"/>
        <v>-8.3704147259712354</v>
      </c>
      <c r="BJ263">
        <f t="shared" ca="1" si="160"/>
        <v>38.655797956927373</v>
      </c>
      <c r="BK263" s="6">
        <f t="shared" ca="1" si="161"/>
        <v>-0.97627438793338528</v>
      </c>
      <c r="BL263" s="6">
        <f t="shared" ca="1" si="162"/>
        <v>-0.21653710874881066</v>
      </c>
      <c r="BM263" s="6">
        <f t="shared" ca="1" si="163"/>
        <v>-2.923326634047537</v>
      </c>
      <c r="BN263" s="6">
        <f t="shared" ca="1" si="164"/>
        <v>-1.3825463209449376</v>
      </c>
      <c r="BO263" s="9">
        <f t="shared" ca="1" si="165"/>
        <v>0</v>
      </c>
      <c r="BP263" s="9">
        <f t="shared" ca="1" si="166"/>
        <v>0</v>
      </c>
      <c r="BQ263">
        <f t="shared" ca="1" si="167"/>
        <v>0</v>
      </c>
      <c r="BR263" t="e">
        <f t="shared" ca="1" si="168"/>
        <v>#DIV/0!</v>
      </c>
      <c r="BS263" t="e">
        <f t="shared" ca="1" si="169"/>
        <v>#DIV/0!</v>
      </c>
      <c r="BT263" t="e">
        <f t="shared" ca="1" si="170"/>
        <v>#DIV/0!</v>
      </c>
      <c r="BU263" s="39" t="e">
        <f t="shared" ca="1" si="171"/>
        <v>#DIV/0!</v>
      </c>
    </row>
    <row r="264" spans="45:73" x14ac:dyDescent="0.25">
      <c r="AS264"/>
      <c r="AT264"/>
      <c r="AU264"/>
      <c r="AV264" s="6" t="e">
        <f t="shared" si="172"/>
        <v>#N/A</v>
      </c>
      <c r="AW264" s="6" t="e">
        <f t="shared" si="173"/>
        <v>#N/A</v>
      </c>
      <c r="AX264" s="6" t="e">
        <f t="shared" si="174"/>
        <v>#N/A</v>
      </c>
      <c r="AY264" s="6" t="e">
        <f t="shared" si="175"/>
        <v>#N/A</v>
      </c>
      <c r="BF264" s="39"/>
      <c r="BG264" s="6">
        <f t="shared" si="157"/>
        <v>0</v>
      </c>
      <c r="BH264" s="9">
        <f t="shared" ca="1" si="158"/>
        <v>-37.738665490475874</v>
      </c>
      <c r="BI264" s="9">
        <f t="shared" ca="1" si="159"/>
        <v>-8.3704147259712354</v>
      </c>
      <c r="BJ264">
        <f t="shared" ca="1" si="160"/>
        <v>38.655797956927373</v>
      </c>
      <c r="BK264" s="6">
        <f t="shared" ca="1" si="161"/>
        <v>-0.97627438793338528</v>
      </c>
      <c r="BL264" s="6">
        <f t="shared" ca="1" si="162"/>
        <v>-0.21653710874881066</v>
      </c>
      <c r="BM264" s="6">
        <f t="shared" ca="1" si="163"/>
        <v>-2.923326634047537</v>
      </c>
      <c r="BN264" s="6">
        <f t="shared" ca="1" si="164"/>
        <v>-1.3825463209449376</v>
      </c>
      <c r="BO264" s="9">
        <f t="shared" ca="1" si="165"/>
        <v>0</v>
      </c>
      <c r="BP264" s="9">
        <f t="shared" ca="1" si="166"/>
        <v>0</v>
      </c>
      <c r="BQ264">
        <f t="shared" ca="1" si="167"/>
        <v>0</v>
      </c>
      <c r="BR264" t="e">
        <f t="shared" ca="1" si="168"/>
        <v>#DIV/0!</v>
      </c>
      <c r="BS264" t="e">
        <f t="shared" ca="1" si="169"/>
        <v>#DIV/0!</v>
      </c>
      <c r="BT264" t="e">
        <f t="shared" ca="1" si="170"/>
        <v>#DIV/0!</v>
      </c>
      <c r="BU264" s="39" t="e">
        <f t="shared" ca="1" si="171"/>
        <v>#DIV/0!</v>
      </c>
    </row>
    <row r="265" spans="45:73" x14ac:dyDescent="0.25">
      <c r="AS265"/>
      <c r="AT265"/>
      <c r="AU265"/>
      <c r="AV265" s="6" t="e">
        <f t="shared" si="172"/>
        <v>#N/A</v>
      </c>
      <c r="AW265" s="6" t="e">
        <f t="shared" si="173"/>
        <v>#N/A</v>
      </c>
      <c r="AX265" s="6" t="e">
        <f t="shared" si="174"/>
        <v>#N/A</v>
      </c>
      <c r="AY265" s="6" t="e">
        <f t="shared" si="175"/>
        <v>#N/A</v>
      </c>
      <c r="BF265" s="39"/>
      <c r="BG265" s="6">
        <f t="shared" si="157"/>
        <v>0</v>
      </c>
      <c r="BH265" s="9">
        <f t="shared" ca="1" si="158"/>
        <v>-37.738665490475874</v>
      </c>
      <c r="BI265" s="9">
        <f t="shared" ca="1" si="159"/>
        <v>-8.3704147259712354</v>
      </c>
      <c r="BJ265">
        <f t="shared" ca="1" si="160"/>
        <v>38.655797956927373</v>
      </c>
      <c r="BK265" s="6">
        <f t="shared" ca="1" si="161"/>
        <v>-0.97627438793338528</v>
      </c>
      <c r="BL265" s="6">
        <f t="shared" ca="1" si="162"/>
        <v>-0.21653710874881066</v>
      </c>
      <c r="BM265" s="6">
        <f t="shared" ca="1" si="163"/>
        <v>-2.923326634047537</v>
      </c>
      <c r="BN265" s="6">
        <f t="shared" ca="1" si="164"/>
        <v>-1.3825463209449376</v>
      </c>
      <c r="BO265" s="9">
        <f t="shared" ca="1" si="165"/>
        <v>0</v>
      </c>
      <c r="BP265" s="9">
        <f t="shared" ca="1" si="166"/>
        <v>0</v>
      </c>
      <c r="BQ265">
        <f t="shared" ca="1" si="167"/>
        <v>0</v>
      </c>
      <c r="BR265" t="e">
        <f t="shared" ca="1" si="168"/>
        <v>#DIV/0!</v>
      </c>
      <c r="BS265" t="e">
        <f t="shared" ca="1" si="169"/>
        <v>#DIV/0!</v>
      </c>
      <c r="BT265" t="e">
        <f t="shared" ca="1" si="170"/>
        <v>#DIV/0!</v>
      </c>
      <c r="BU265" s="39" t="e">
        <f t="shared" ca="1" si="171"/>
        <v>#DIV/0!</v>
      </c>
    </row>
    <row r="266" spans="45:73" x14ac:dyDescent="0.25">
      <c r="AS266"/>
      <c r="AT266"/>
      <c r="AU266"/>
      <c r="AV266" s="6" t="e">
        <f t="shared" si="172"/>
        <v>#N/A</v>
      </c>
      <c r="AW266" s="6" t="e">
        <f t="shared" si="173"/>
        <v>#N/A</v>
      </c>
      <c r="AX266" s="6" t="e">
        <f t="shared" si="174"/>
        <v>#N/A</v>
      </c>
      <c r="AY266" s="6" t="e">
        <f t="shared" si="175"/>
        <v>#N/A</v>
      </c>
      <c r="BF266" s="39"/>
      <c r="BG266" s="6">
        <f t="shared" si="157"/>
        <v>0</v>
      </c>
      <c r="BH266" s="9">
        <f t="shared" ca="1" si="158"/>
        <v>-37.738665490475874</v>
      </c>
      <c r="BI266" s="9">
        <f t="shared" ca="1" si="159"/>
        <v>-8.3704147259712354</v>
      </c>
      <c r="BJ266">
        <f t="shared" ca="1" si="160"/>
        <v>38.655797956927373</v>
      </c>
      <c r="BK266" s="6">
        <f t="shared" ca="1" si="161"/>
        <v>-0.97627438793338528</v>
      </c>
      <c r="BL266" s="6">
        <f t="shared" ca="1" si="162"/>
        <v>-0.21653710874881066</v>
      </c>
      <c r="BM266" s="6">
        <f t="shared" ca="1" si="163"/>
        <v>-2.923326634047537</v>
      </c>
      <c r="BN266" s="6">
        <f t="shared" ca="1" si="164"/>
        <v>-1.3825463209449376</v>
      </c>
      <c r="BO266" s="9">
        <f t="shared" ca="1" si="165"/>
        <v>0</v>
      </c>
      <c r="BP266" s="9">
        <f t="shared" ca="1" si="166"/>
        <v>0</v>
      </c>
      <c r="BQ266">
        <f t="shared" ca="1" si="167"/>
        <v>0</v>
      </c>
      <c r="BR266" t="e">
        <f t="shared" ca="1" si="168"/>
        <v>#DIV/0!</v>
      </c>
      <c r="BS266" t="e">
        <f t="shared" ca="1" si="169"/>
        <v>#DIV/0!</v>
      </c>
      <c r="BT266" t="e">
        <f t="shared" ca="1" si="170"/>
        <v>#DIV/0!</v>
      </c>
      <c r="BU266" s="39" t="e">
        <f t="shared" ca="1" si="171"/>
        <v>#DIV/0!</v>
      </c>
    </row>
    <row r="267" spans="45:73" x14ac:dyDescent="0.25">
      <c r="AS267"/>
      <c r="AT267"/>
      <c r="AU267"/>
      <c r="AV267" s="6" t="e">
        <f t="shared" si="172"/>
        <v>#N/A</v>
      </c>
      <c r="AW267" s="6" t="e">
        <f t="shared" si="173"/>
        <v>#N/A</v>
      </c>
      <c r="AX267" s="6" t="e">
        <f t="shared" si="174"/>
        <v>#N/A</v>
      </c>
      <c r="AY267" s="6" t="e">
        <f t="shared" si="175"/>
        <v>#N/A</v>
      </c>
      <c r="BF267" s="39"/>
      <c r="BG267" s="6">
        <f t="shared" si="157"/>
        <v>0</v>
      </c>
      <c r="BH267" s="9">
        <f t="shared" ca="1" si="158"/>
        <v>-37.738665490475874</v>
      </c>
      <c r="BI267" s="9">
        <f t="shared" ca="1" si="159"/>
        <v>-8.3704147259712354</v>
      </c>
      <c r="BJ267">
        <f t="shared" ca="1" si="160"/>
        <v>38.655797956927373</v>
      </c>
      <c r="BK267" s="6">
        <f t="shared" ca="1" si="161"/>
        <v>-0.97627438793338528</v>
      </c>
      <c r="BL267" s="6">
        <f t="shared" ca="1" si="162"/>
        <v>-0.21653710874881066</v>
      </c>
      <c r="BM267" s="6">
        <f t="shared" ca="1" si="163"/>
        <v>-2.923326634047537</v>
      </c>
      <c r="BN267" s="6">
        <f t="shared" ca="1" si="164"/>
        <v>-1.3825463209449376</v>
      </c>
      <c r="BO267" s="9">
        <f t="shared" ca="1" si="165"/>
        <v>0</v>
      </c>
      <c r="BP267" s="9">
        <f t="shared" ca="1" si="166"/>
        <v>0</v>
      </c>
      <c r="BQ267">
        <f t="shared" ca="1" si="167"/>
        <v>0</v>
      </c>
      <c r="BR267" t="e">
        <f t="shared" ca="1" si="168"/>
        <v>#DIV/0!</v>
      </c>
      <c r="BS267" t="e">
        <f t="shared" ca="1" si="169"/>
        <v>#DIV/0!</v>
      </c>
      <c r="BT267" t="e">
        <f t="shared" ca="1" si="170"/>
        <v>#DIV/0!</v>
      </c>
      <c r="BU267" s="39" t="e">
        <f t="shared" ca="1" si="171"/>
        <v>#DIV/0!</v>
      </c>
    </row>
    <row r="268" spans="45:73" x14ac:dyDescent="0.25">
      <c r="AS268"/>
      <c r="AT268"/>
      <c r="AU268"/>
      <c r="AV268" s="6" t="e">
        <f t="shared" si="172"/>
        <v>#N/A</v>
      </c>
      <c r="AW268" s="6" t="e">
        <f t="shared" si="173"/>
        <v>#N/A</v>
      </c>
      <c r="AX268" s="6" t="e">
        <f t="shared" si="174"/>
        <v>#N/A</v>
      </c>
      <c r="AY268" s="6" t="e">
        <f t="shared" si="175"/>
        <v>#N/A</v>
      </c>
      <c r="BF268" s="39"/>
      <c r="BG268" s="6">
        <f t="shared" si="157"/>
        <v>0</v>
      </c>
      <c r="BH268" s="9">
        <f t="shared" ca="1" si="158"/>
        <v>-37.738665490475874</v>
      </c>
      <c r="BI268" s="9">
        <f t="shared" ca="1" si="159"/>
        <v>-8.3704147259712354</v>
      </c>
      <c r="BJ268">
        <f t="shared" ca="1" si="160"/>
        <v>38.655797956927373</v>
      </c>
      <c r="BK268" s="6">
        <f t="shared" ca="1" si="161"/>
        <v>-0.97627438793338528</v>
      </c>
      <c r="BL268" s="6">
        <f t="shared" ca="1" si="162"/>
        <v>-0.21653710874881066</v>
      </c>
      <c r="BM268" s="6">
        <f t="shared" ca="1" si="163"/>
        <v>-2.923326634047537</v>
      </c>
      <c r="BN268" s="6">
        <f t="shared" ca="1" si="164"/>
        <v>-1.3825463209449376</v>
      </c>
      <c r="BO268" s="9">
        <f t="shared" ca="1" si="165"/>
        <v>0</v>
      </c>
      <c r="BP268" s="9">
        <f t="shared" ca="1" si="166"/>
        <v>0</v>
      </c>
      <c r="BQ268">
        <f t="shared" ca="1" si="167"/>
        <v>0</v>
      </c>
      <c r="BR268" t="e">
        <f t="shared" ca="1" si="168"/>
        <v>#DIV/0!</v>
      </c>
      <c r="BS268" t="e">
        <f t="shared" ca="1" si="169"/>
        <v>#DIV/0!</v>
      </c>
      <c r="BT268" t="e">
        <f t="shared" ca="1" si="170"/>
        <v>#DIV/0!</v>
      </c>
      <c r="BU268" s="39" t="e">
        <f t="shared" ca="1" si="171"/>
        <v>#DIV/0!</v>
      </c>
    </row>
    <row r="269" spans="45:73" x14ac:dyDescent="0.25">
      <c r="AS269"/>
      <c r="AT269"/>
      <c r="AU269"/>
      <c r="AV269" s="6" t="e">
        <f t="shared" si="172"/>
        <v>#N/A</v>
      </c>
      <c r="AW269" s="6" t="e">
        <f t="shared" si="173"/>
        <v>#N/A</v>
      </c>
      <c r="AX269" s="6" t="e">
        <f t="shared" si="174"/>
        <v>#N/A</v>
      </c>
      <c r="AY269" s="6" t="e">
        <f t="shared" si="175"/>
        <v>#N/A</v>
      </c>
      <c r="BF269" s="39"/>
      <c r="BG269" s="6">
        <f t="shared" si="157"/>
        <v>0</v>
      </c>
      <c r="BH269" s="9">
        <f t="shared" ca="1" si="158"/>
        <v>-37.738665490475874</v>
      </c>
      <c r="BI269" s="9">
        <f t="shared" ca="1" si="159"/>
        <v>-8.3704147259712354</v>
      </c>
      <c r="BJ269">
        <f t="shared" ca="1" si="160"/>
        <v>38.655797956927373</v>
      </c>
      <c r="BK269" s="6">
        <f t="shared" ca="1" si="161"/>
        <v>-0.97627438793338528</v>
      </c>
      <c r="BL269" s="6">
        <f t="shared" ca="1" si="162"/>
        <v>-0.21653710874881066</v>
      </c>
      <c r="BM269" s="6">
        <f t="shared" ca="1" si="163"/>
        <v>-2.923326634047537</v>
      </c>
      <c r="BN269" s="6">
        <f t="shared" ca="1" si="164"/>
        <v>-1.3825463209449376</v>
      </c>
      <c r="BO269" s="9">
        <f t="shared" ca="1" si="165"/>
        <v>0</v>
      </c>
      <c r="BP269" s="9">
        <f t="shared" ca="1" si="166"/>
        <v>0</v>
      </c>
      <c r="BQ269">
        <f t="shared" ca="1" si="167"/>
        <v>0</v>
      </c>
      <c r="BR269" t="e">
        <f t="shared" ca="1" si="168"/>
        <v>#DIV/0!</v>
      </c>
      <c r="BS269" t="e">
        <f t="shared" ca="1" si="169"/>
        <v>#DIV/0!</v>
      </c>
      <c r="BT269" t="e">
        <f t="shared" ca="1" si="170"/>
        <v>#DIV/0!</v>
      </c>
      <c r="BU269" s="39" t="e">
        <f t="shared" ca="1" si="171"/>
        <v>#DIV/0!</v>
      </c>
    </row>
    <row r="270" spans="45:73" x14ac:dyDescent="0.25">
      <c r="AS270"/>
      <c r="AT270"/>
      <c r="AU270"/>
      <c r="AV270" s="6" t="e">
        <f t="shared" si="172"/>
        <v>#N/A</v>
      </c>
      <c r="AW270" s="6" t="e">
        <f t="shared" si="173"/>
        <v>#N/A</v>
      </c>
      <c r="AX270" s="6" t="e">
        <f t="shared" si="174"/>
        <v>#N/A</v>
      </c>
      <c r="AY270" s="6" t="e">
        <f t="shared" si="175"/>
        <v>#N/A</v>
      </c>
      <c r="BF270" s="39"/>
      <c r="BG270" s="6">
        <f t="shared" si="157"/>
        <v>0</v>
      </c>
      <c r="BH270" s="9">
        <f t="shared" ca="1" si="158"/>
        <v>-37.738665490475874</v>
      </c>
      <c r="BI270" s="9">
        <f t="shared" ca="1" si="159"/>
        <v>-8.3704147259712354</v>
      </c>
      <c r="BJ270">
        <f t="shared" ca="1" si="160"/>
        <v>38.655797956927373</v>
      </c>
      <c r="BK270" s="6">
        <f t="shared" ca="1" si="161"/>
        <v>-0.97627438793338528</v>
      </c>
      <c r="BL270" s="6">
        <f t="shared" ca="1" si="162"/>
        <v>-0.21653710874881066</v>
      </c>
      <c r="BM270" s="6">
        <f t="shared" ca="1" si="163"/>
        <v>-2.923326634047537</v>
      </c>
      <c r="BN270" s="6">
        <f t="shared" ca="1" si="164"/>
        <v>-1.3825463209449376</v>
      </c>
      <c r="BO270" s="9">
        <f t="shared" ca="1" si="165"/>
        <v>0</v>
      </c>
      <c r="BP270" s="9">
        <f t="shared" ca="1" si="166"/>
        <v>0</v>
      </c>
      <c r="BQ270">
        <f t="shared" ca="1" si="167"/>
        <v>0</v>
      </c>
      <c r="BR270" t="e">
        <f t="shared" ca="1" si="168"/>
        <v>#DIV/0!</v>
      </c>
      <c r="BS270" t="e">
        <f t="shared" ca="1" si="169"/>
        <v>#DIV/0!</v>
      </c>
      <c r="BT270" t="e">
        <f t="shared" ca="1" si="170"/>
        <v>#DIV/0!</v>
      </c>
      <c r="BU270" s="39" t="e">
        <f t="shared" ca="1" si="171"/>
        <v>#DIV/0!</v>
      </c>
    </row>
    <row r="271" spans="45:73" x14ac:dyDescent="0.25">
      <c r="AS271"/>
      <c r="AT271"/>
      <c r="AU271"/>
      <c r="AV271" s="6" t="e">
        <f t="shared" si="172"/>
        <v>#N/A</v>
      </c>
      <c r="AW271" s="6" t="e">
        <f t="shared" si="173"/>
        <v>#N/A</v>
      </c>
      <c r="AX271" s="6" t="e">
        <f t="shared" si="174"/>
        <v>#N/A</v>
      </c>
      <c r="AY271" s="6" t="e">
        <f t="shared" si="175"/>
        <v>#N/A</v>
      </c>
      <c r="BF271" s="39"/>
      <c r="BG271" s="6">
        <f t="shared" si="157"/>
        <v>0</v>
      </c>
      <c r="BH271" s="9">
        <f t="shared" ca="1" si="158"/>
        <v>-37.738665490475874</v>
      </c>
      <c r="BI271" s="9">
        <f t="shared" ca="1" si="159"/>
        <v>-8.3704147259712354</v>
      </c>
      <c r="BJ271">
        <f t="shared" ca="1" si="160"/>
        <v>38.655797956927373</v>
      </c>
      <c r="BK271" s="6">
        <f t="shared" ca="1" si="161"/>
        <v>-0.97627438793338528</v>
      </c>
      <c r="BL271" s="6">
        <f t="shared" ca="1" si="162"/>
        <v>-0.21653710874881066</v>
      </c>
      <c r="BM271" s="6">
        <f t="shared" ca="1" si="163"/>
        <v>-2.923326634047537</v>
      </c>
      <c r="BN271" s="6">
        <f t="shared" ca="1" si="164"/>
        <v>-1.3825463209449376</v>
      </c>
      <c r="BO271" s="9">
        <f t="shared" ca="1" si="165"/>
        <v>0</v>
      </c>
      <c r="BP271" s="9">
        <f t="shared" ca="1" si="166"/>
        <v>0</v>
      </c>
      <c r="BQ271">
        <f t="shared" ca="1" si="167"/>
        <v>0</v>
      </c>
      <c r="BR271" t="e">
        <f t="shared" ca="1" si="168"/>
        <v>#DIV/0!</v>
      </c>
      <c r="BS271" t="e">
        <f t="shared" ca="1" si="169"/>
        <v>#DIV/0!</v>
      </c>
      <c r="BT271" t="e">
        <f t="shared" ca="1" si="170"/>
        <v>#DIV/0!</v>
      </c>
      <c r="BU271" s="39" t="e">
        <f t="shared" ca="1" si="171"/>
        <v>#DIV/0!</v>
      </c>
    </row>
    <row r="272" spans="45:73" x14ac:dyDescent="0.25">
      <c r="AS272"/>
      <c r="AT272"/>
      <c r="AU272"/>
      <c r="AV272" s="6" t="e">
        <f t="shared" si="172"/>
        <v>#N/A</v>
      </c>
      <c r="AW272" s="6" t="e">
        <f t="shared" si="173"/>
        <v>#N/A</v>
      </c>
      <c r="AX272" s="6" t="e">
        <f t="shared" si="174"/>
        <v>#N/A</v>
      </c>
      <c r="AY272" s="6" t="e">
        <f t="shared" si="175"/>
        <v>#N/A</v>
      </c>
      <c r="BF272" s="39"/>
      <c r="BG272" s="6">
        <f t="shared" ref="BG272:BG335" si="176">AS259</f>
        <v>0</v>
      </c>
      <c r="BH272" s="9">
        <f t="shared" ref="BH272:BH335" ca="1" si="177">AT259-$BG$5</f>
        <v>-37.738665490475874</v>
      </c>
      <c r="BI272" s="9">
        <f t="shared" ref="BI272:BI335" ca="1" si="178">AU259-$BH$5</f>
        <v>-8.3704147259712354</v>
      </c>
      <c r="BJ272">
        <f t="shared" ref="BJ272:BJ335" ca="1" si="179">SQRT(POWER(BH272,2)+POWER(BI272,2))</f>
        <v>38.655797956927373</v>
      </c>
      <c r="BK272" s="6">
        <f t="shared" ref="BK272:BK335" ca="1" si="180">BH272/BJ272</f>
        <v>-0.97627438793338528</v>
      </c>
      <c r="BL272" s="6">
        <f t="shared" ref="BL272:BL335" ca="1" si="181">BI272/BJ272</f>
        <v>-0.21653710874881066</v>
      </c>
      <c r="BM272" s="6">
        <f t="shared" ref="BM272:BM335" ca="1" si="182">ATAN2(BK272,BL272)</f>
        <v>-2.923326634047537</v>
      </c>
      <c r="BN272" s="6">
        <f t="shared" ref="BN272:BN335" ca="1" si="183">BM272-$BJ$11</f>
        <v>-1.3825463209449376</v>
      </c>
      <c r="BO272" s="9">
        <f t="shared" ref="BO272:BO335" ca="1" si="184">BH272+$BG$5</f>
        <v>0</v>
      </c>
      <c r="BP272" s="9">
        <f t="shared" ref="BP272:BP335" ca="1" si="185">BI272+$BH$5</f>
        <v>0</v>
      </c>
      <c r="BQ272">
        <f t="shared" ref="BQ272:BQ335" ca="1" si="186">SQRT(POWER(BO272,2)+POWER(BP272,2))</f>
        <v>0</v>
      </c>
      <c r="BR272" t="e">
        <f t="shared" ref="BR272:BR335" ca="1" si="187">BO272/BQ272</f>
        <v>#DIV/0!</v>
      </c>
      <c r="BS272" t="e">
        <f t="shared" ref="BS272:BS335" ca="1" si="188">BP272/BQ272</f>
        <v>#DIV/0!</v>
      </c>
      <c r="BT272" t="e">
        <f t="shared" ref="BT272:BT335" ca="1" si="189">ATAN2(BR272,BS272)</f>
        <v>#DIV/0!</v>
      </c>
      <c r="BU272" s="39" t="e">
        <f t="shared" ref="BU272:BU335" ca="1" si="190">BT272-$U$13</f>
        <v>#DIV/0!</v>
      </c>
    </row>
    <row r="273" spans="45:73" x14ac:dyDescent="0.25">
      <c r="AS273"/>
      <c r="AT273"/>
      <c r="AU273"/>
      <c r="AV273" s="6" t="e">
        <f t="shared" si="172"/>
        <v>#N/A</v>
      </c>
      <c r="AW273" s="6" t="e">
        <f t="shared" si="173"/>
        <v>#N/A</v>
      </c>
      <c r="AX273" s="6" t="e">
        <f t="shared" si="174"/>
        <v>#N/A</v>
      </c>
      <c r="AY273" s="6" t="e">
        <f t="shared" si="175"/>
        <v>#N/A</v>
      </c>
      <c r="BF273" s="39"/>
      <c r="BG273" s="6">
        <f t="shared" si="176"/>
        <v>0</v>
      </c>
      <c r="BH273" s="9">
        <f t="shared" ca="1" si="177"/>
        <v>-37.738665490475874</v>
      </c>
      <c r="BI273" s="9">
        <f t="shared" ca="1" si="178"/>
        <v>-8.3704147259712354</v>
      </c>
      <c r="BJ273">
        <f t="shared" ca="1" si="179"/>
        <v>38.655797956927373</v>
      </c>
      <c r="BK273" s="6">
        <f t="shared" ca="1" si="180"/>
        <v>-0.97627438793338528</v>
      </c>
      <c r="BL273" s="6">
        <f t="shared" ca="1" si="181"/>
        <v>-0.21653710874881066</v>
      </c>
      <c r="BM273" s="6">
        <f t="shared" ca="1" si="182"/>
        <v>-2.923326634047537</v>
      </c>
      <c r="BN273" s="6">
        <f t="shared" ca="1" si="183"/>
        <v>-1.3825463209449376</v>
      </c>
      <c r="BO273" s="9">
        <f t="shared" ca="1" si="184"/>
        <v>0</v>
      </c>
      <c r="BP273" s="9">
        <f t="shared" ca="1" si="185"/>
        <v>0</v>
      </c>
      <c r="BQ273">
        <f t="shared" ca="1" si="186"/>
        <v>0</v>
      </c>
      <c r="BR273" t="e">
        <f t="shared" ca="1" si="187"/>
        <v>#DIV/0!</v>
      </c>
      <c r="BS273" t="e">
        <f t="shared" ca="1" si="188"/>
        <v>#DIV/0!</v>
      </c>
      <c r="BT273" t="e">
        <f t="shared" ca="1" si="189"/>
        <v>#DIV/0!</v>
      </c>
      <c r="BU273" s="39" t="e">
        <f t="shared" ca="1" si="190"/>
        <v>#DIV/0!</v>
      </c>
    </row>
    <row r="274" spans="45:73" x14ac:dyDescent="0.25">
      <c r="AS274"/>
      <c r="AT274"/>
      <c r="AU274"/>
      <c r="AV274" s="6" t="e">
        <f t="shared" si="172"/>
        <v>#N/A</v>
      </c>
      <c r="AW274" s="6" t="e">
        <f t="shared" si="173"/>
        <v>#N/A</v>
      </c>
      <c r="AX274" s="6" t="e">
        <f t="shared" si="174"/>
        <v>#N/A</v>
      </c>
      <c r="AY274" s="6" t="e">
        <f t="shared" si="175"/>
        <v>#N/A</v>
      </c>
      <c r="BF274" s="39"/>
      <c r="BG274" s="6">
        <f t="shared" si="176"/>
        <v>0</v>
      </c>
      <c r="BH274" s="9">
        <f t="shared" ca="1" si="177"/>
        <v>-37.738665490475874</v>
      </c>
      <c r="BI274" s="9">
        <f t="shared" ca="1" si="178"/>
        <v>-8.3704147259712354</v>
      </c>
      <c r="BJ274">
        <f t="shared" ca="1" si="179"/>
        <v>38.655797956927373</v>
      </c>
      <c r="BK274" s="6">
        <f t="shared" ca="1" si="180"/>
        <v>-0.97627438793338528</v>
      </c>
      <c r="BL274" s="6">
        <f t="shared" ca="1" si="181"/>
        <v>-0.21653710874881066</v>
      </c>
      <c r="BM274" s="6">
        <f t="shared" ca="1" si="182"/>
        <v>-2.923326634047537</v>
      </c>
      <c r="BN274" s="6">
        <f t="shared" ca="1" si="183"/>
        <v>-1.3825463209449376</v>
      </c>
      <c r="BO274" s="9">
        <f t="shared" ca="1" si="184"/>
        <v>0</v>
      </c>
      <c r="BP274" s="9">
        <f t="shared" ca="1" si="185"/>
        <v>0</v>
      </c>
      <c r="BQ274">
        <f t="shared" ca="1" si="186"/>
        <v>0</v>
      </c>
      <c r="BR274" t="e">
        <f t="shared" ca="1" si="187"/>
        <v>#DIV/0!</v>
      </c>
      <c r="BS274" t="e">
        <f t="shared" ca="1" si="188"/>
        <v>#DIV/0!</v>
      </c>
      <c r="BT274" t="e">
        <f t="shared" ca="1" si="189"/>
        <v>#DIV/0!</v>
      </c>
      <c r="BU274" s="39" t="e">
        <f t="shared" ca="1" si="190"/>
        <v>#DIV/0!</v>
      </c>
    </row>
    <row r="275" spans="45:73" x14ac:dyDescent="0.25">
      <c r="AS275"/>
      <c r="AT275"/>
      <c r="AU275"/>
      <c r="AV275" s="6" t="e">
        <f t="shared" si="172"/>
        <v>#N/A</v>
      </c>
      <c r="AW275" s="6" t="e">
        <f t="shared" si="173"/>
        <v>#N/A</v>
      </c>
      <c r="AX275" s="6" t="e">
        <f t="shared" si="174"/>
        <v>#N/A</v>
      </c>
      <c r="AY275" s="6" t="e">
        <f t="shared" si="175"/>
        <v>#N/A</v>
      </c>
      <c r="BF275" s="39"/>
      <c r="BG275" s="6">
        <f t="shared" si="176"/>
        <v>0</v>
      </c>
      <c r="BH275" s="9">
        <f t="shared" ca="1" si="177"/>
        <v>-37.738665490475874</v>
      </c>
      <c r="BI275" s="9">
        <f t="shared" ca="1" si="178"/>
        <v>-8.3704147259712354</v>
      </c>
      <c r="BJ275">
        <f t="shared" ca="1" si="179"/>
        <v>38.655797956927373</v>
      </c>
      <c r="BK275" s="6">
        <f t="shared" ca="1" si="180"/>
        <v>-0.97627438793338528</v>
      </c>
      <c r="BL275" s="6">
        <f t="shared" ca="1" si="181"/>
        <v>-0.21653710874881066</v>
      </c>
      <c r="BM275" s="6">
        <f t="shared" ca="1" si="182"/>
        <v>-2.923326634047537</v>
      </c>
      <c r="BN275" s="6">
        <f t="shared" ca="1" si="183"/>
        <v>-1.3825463209449376</v>
      </c>
      <c r="BO275" s="9">
        <f t="shared" ca="1" si="184"/>
        <v>0</v>
      </c>
      <c r="BP275" s="9">
        <f t="shared" ca="1" si="185"/>
        <v>0</v>
      </c>
      <c r="BQ275">
        <f t="shared" ca="1" si="186"/>
        <v>0</v>
      </c>
      <c r="BR275" t="e">
        <f t="shared" ca="1" si="187"/>
        <v>#DIV/0!</v>
      </c>
      <c r="BS275" t="e">
        <f t="shared" ca="1" si="188"/>
        <v>#DIV/0!</v>
      </c>
      <c r="BT275" t="e">
        <f t="shared" ca="1" si="189"/>
        <v>#DIV/0!</v>
      </c>
      <c r="BU275" s="39" t="e">
        <f t="shared" ca="1" si="190"/>
        <v>#DIV/0!</v>
      </c>
    </row>
    <row r="276" spans="45:73" x14ac:dyDescent="0.25">
      <c r="AS276"/>
      <c r="AT276"/>
      <c r="AU276"/>
      <c r="AV276" s="6" t="e">
        <f t="shared" si="172"/>
        <v>#N/A</v>
      </c>
      <c r="AW276" s="6" t="e">
        <f t="shared" si="173"/>
        <v>#N/A</v>
      </c>
      <c r="AX276" s="6" t="e">
        <f t="shared" si="174"/>
        <v>#N/A</v>
      </c>
      <c r="AY276" s="6" t="e">
        <f t="shared" si="175"/>
        <v>#N/A</v>
      </c>
      <c r="BF276" s="39"/>
      <c r="BG276" s="6">
        <f t="shared" si="176"/>
        <v>0</v>
      </c>
      <c r="BH276" s="9">
        <f t="shared" ca="1" si="177"/>
        <v>-37.738665490475874</v>
      </c>
      <c r="BI276" s="9">
        <f t="shared" ca="1" si="178"/>
        <v>-8.3704147259712354</v>
      </c>
      <c r="BJ276">
        <f t="shared" ca="1" si="179"/>
        <v>38.655797956927373</v>
      </c>
      <c r="BK276" s="6">
        <f t="shared" ca="1" si="180"/>
        <v>-0.97627438793338528</v>
      </c>
      <c r="BL276" s="6">
        <f t="shared" ca="1" si="181"/>
        <v>-0.21653710874881066</v>
      </c>
      <c r="BM276" s="6">
        <f t="shared" ca="1" si="182"/>
        <v>-2.923326634047537</v>
      </c>
      <c r="BN276" s="6">
        <f t="shared" ca="1" si="183"/>
        <v>-1.3825463209449376</v>
      </c>
      <c r="BO276" s="9">
        <f t="shared" ca="1" si="184"/>
        <v>0</v>
      </c>
      <c r="BP276" s="9">
        <f t="shared" ca="1" si="185"/>
        <v>0</v>
      </c>
      <c r="BQ276">
        <f t="shared" ca="1" si="186"/>
        <v>0</v>
      </c>
      <c r="BR276" t="e">
        <f t="shared" ca="1" si="187"/>
        <v>#DIV/0!</v>
      </c>
      <c r="BS276" t="e">
        <f t="shared" ca="1" si="188"/>
        <v>#DIV/0!</v>
      </c>
      <c r="BT276" t="e">
        <f t="shared" ca="1" si="189"/>
        <v>#DIV/0!</v>
      </c>
      <c r="BU276" s="39" t="e">
        <f t="shared" ca="1" si="190"/>
        <v>#DIV/0!</v>
      </c>
    </row>
    <row r="277" spans="45:73" x14ac:dyDescent="0.25">
      <c r="AS277"/>
      <c r="AT277"/>
      <c r="AU277"/>
      <c r="AV277" s="6" t="e">
        <f t="shared" si="172"/>
        <v>#N/A</v>
      </c>
      <c r="AW277" s="6" t="e">
        <f t="shared" si="173"/>
        <v>#N/A</v>
      </c>
      <c r="AX277" s="6" t="e">
        <f t="shared" si="174"/>
        <v>#N/A</v>
      </c>
      <c r="AY277" s="6" t="e">
        <f t="shared" si="175"/>
        <v>#N/A</v>
      </c>
      <c r="BF277" s="39"/>
      <c r="BG277" s="6">
        <f t="shared" si="176"/>
        <v>0</v>
      </c>
      <c r="BH277" s="9">
        <f t="shared" ca="1" si="177"/>
        <v>-37.738665490475874</v>
      </c>
      <c r="BI277" s="9">
        <f t="shared" ca="1" si="178"/>
        <v>-8.3704147259712354</v>
      </c>
      <c r="BJ277">
        <f t="shared" ca="1" si="179"/>
        <v>38.655797956927373</v>
      </c>
      <c r="BK277" s="6">
        <f t="shared" ca="1" si="180"/>
        <v>-0.97627438793338528</v>
      </c>
      <c r="BL277" s="6">
        <f t="shared" ca="1" si="181"/>
        <v>-0.21653710874881066</v>
      </c>
      <c r="BM277" s="6">
        <f t="shared" ca="1" si="182"/>
        <v>-2.923326634047537</v>
      </c>
      <c r="BN277" s="6">
        <f t="shared" ca="1" si="183"/>
        <v>-1.3825463209449376</v>
      </c>
      <c r="BO277" s="9">
        <f t="shared" ca="1" si="184"/>
        <v>0</v>
      </c>
      <c r="BP277" s="9">
        <f t="shared" ca="1" si="185"/>
        <v>0</v>
      </c>
      <c r="BQ277">
        <f t="shared" ca="1" si="186"/>
        <v>0</v>
      </c>
      <c r="BR277" t="e">
        <f t="shared" ca="1" si="187"/>
        <v>#DIV/0!</v>
      </c>
      <c r="BS277" t="e">
        <f t="shared" ca="1" si="188"/>
        <v>#DIV/0!</v>
      </c>
      <c r="BT277" t="e">
        <f t="shared" ca="1" si="189"/>
        <v>#DIV/0!</v>
      </c>
      <c r="BU277" s="39" t="e">
        <f t="shared" ca="1" si="190"/>
        <v>#DIV/0!</v>
      </c>
    </row>
    <row r="278" spans="45:73" x14ac:dyDescent="0.25">
      <c r="AS278"/>
      <c r="AT278"/>
      <c r="AU278"/>
      <c r="AV278" s="6" t="e">
        <f t="shared" si="172"/>
        <v>#N/A</v>
      </c>
      <c r="AW278" s="6" t="e">
        <f t="shared" si="173"/>
        <v>#N/A</v>
      </c>
      <c r="AX278" s="6" t="e">
        <f t="shared" si="174"/>
        <v>#N/A</v>
      </c>
      <c r="AY278" s="6" t="e">
        <f t="shared" si="175"/>
        <v>#N/A</v>
      </c>
      <c r="BF278" s="39"/>
      <c r="BG278" s="6">
        <f t="shared" si="176"/>
        <v>0</v>
      </c>
      <c r="BH278" s="9">
        <f t="shared" ca="1" si="177"/>
        <v>-37.738665490475874</v>
      </c>
      <c r="BI278" s="9">
        <f t="shared" ca="1" si="178"/>
        <v>-8.3704147259712354</v>
      </c>
      <c r="BJ278">
        <f t="shared" ca="1" si="179"/>
        <v>38.655797956927373</v>
      </c>
      <c r="BK278" s="6">
        <f t="shared" ca="1" si="180"/>
        <v>-0.97627438793338528</v>
      </c>
      <c r="BL278" s="6">
        <f t="shared" ca="1" si="181"/>
        <v>-0.21653710874881066</v>
      </c>
      <c r="BM278" s="6">
        <f t="shared" ca="1" si="182"/>
        <v>-2.923326634047537</v>
      </c>
      <c r="BN278" s="6">
        <f t="shared" ca="1" si="183"/>
        <v>-1.3825463209449376</v>
      </c>
      <c r="BO278" s="9">
        <f t="shared" ca="1" si="184"/>
        <v>0</v>
      </c>
      <c r="BP278" s="9">
        <f t="shared" ca="1" si="185"/>
        <v>0</v>
      </c>
      <c r="BQ278">
        <f t="shared" ca="1" si="186"/>
        <v>0</v>
      </c>
      <c r="BR278" t="e">
        <f t="shared" ca="1" si="187"/>
        <v>#DIV/0!</v>
      </c>
      <c r="BS278" t="e">
        <f t="shared" ca="1" si="188"/>
        <v>#DIV/0!</v>
      </c>
      <c r="BT278" t="e">
        <f t="shared" ca="1" si="189"/>
        <v>#DIV/0!</v>
      </c>
      <c r="BU278" s="39" t="e">
        <f t="shared" ca="1" si="190"/>
        <v>#DIV/0!</v>
      </c>
    </row>
    <row r="279" spans="45:73" x14ac:dyDescent="0.25">
      <c r="AS279"/>
      <c r="AT279"/>
      <c r="AU279"/>
      <c r="AV279" s="6" t="e">
        <f t="shared" si="172"/>
        <v>#N/A</v>
      </c>
      <c r="AW279" s="6" t="e">
        <f t="shared" si="173"/>
        <v>#N/A</v>
      </c>
      <c r="AX279" s="6" t="e">
        <f t="shared" si="174"/>
        <v>#N/A</v>
      </c>
      <c r="AY279" s="6" t="e">
        <f t="shared" si="175"/>
        <v>#N/A</v>
      </c>
      <c r="BF279" s="39"/>
      <c r="BG279" s="6">
        <f t="shared" si="176"/>
        <v>0</v>
      </c>
      <c r="BH279" s="9">
        <f t="shared" ca="1" si="177"/>
        <v>-37.738665490475874</v>
      </c>
      <c r="BI279" s="9">
        <f t="shared" ca="1" si="178"/>
        <v>-8.3704147259712354</v>
      </c>
      <c r="BJ279">
        <f t="shared" ca="1" si="179"/>
        <v>38.655797956927373</v>
      </c>
      <c r="BK279" s="6">
        <f t="shared" ca="1" si="180"/>
        <v>-0.97627438793338528</v>
      </c>
      <c r="BL279" s="6">
        <f t="shared" ca="1" si="181"/>
        <v>-0.21653710874881066</v>
      </c>
      <c r="BM279" s="6">
        <f t="shared" ca="1" si="182"/>
        <v>-2.923326634047537</v>
      </c>
      <c r="BN279" s="6">
        <f t="shared" ca="1" si="183"/>
        <v>-1.3825463209449376</v>
      </c>
      <c r="BO279" s="9">
        <f t="shared" ca="1" si="184"/>
        <v>0</v>
      </c>
      <c r="BP279" s="9">
        <f t="shared" ca="1" si="185"/>
        <v>0</v>
      </c>
      <c r="BQ279">
        <f t="shared" ca="1" si="186"/>
        <v>0</v>
      </c>
      <c r="BR279" t="e">
        <f t="shared" ca="1" si="187"/>
        <v>#DIV/0!</v>
      </c>
      <c r="BS279" t="e">
        <f t="shared" ca="1" si="188"/>
        <v>#DIV/0!</v>
      </c>
      <c r="BT279" t="e">
        <f t="shared" ca="1" si="189"/>
        <v>#DIV/0!</v>
      </c>
      <c r="BU279" s="39" t="e">
        <f t="shared" ca="1" si="190"/>
        <v>#DIV/0!</v>
      </c>
    </row>
    <row r="280" spans="45:73" x14ac:dyDescent="0.25">
      <c r="AS280"/>
      <c r="AT280"/>
      <c r="AU280"/>
      <c r="AV280" s="6" t="e">
        <f t="shared" si="172"/>
        <v>#N/A</v>
      </c>
      <c r="AW280" s="6" t="e">
        <f t="shared" si="173"/>
        <v>#N/A</v>
      </c>
      <c r="AX280" s="6" t="e">
        <f t="shared" si="174"/>
        <v>#N/A</v>
      </c>
      <c r="AY280" s="6" t="e">
        <f t="shared" si="175"/>
        <v>#N/A</v>
      </c>
      <c r="BF280" s="39"/>
      <c r="BG280" s="6">
        <f t="shared" si="176"/>
        <v>0</v>
      </c>
      <c r="BH280" s="9">
        <f t="shared" ca="1" si="177"/>
        <v>-37.738665490475874</v>
      </c>
      <c r="BI280" s="9">
        <f t="shared" ca="1" si="178"/>
        <v>-8.3704147259712354</v>
      </c>
      <c r="BJ280">
        <f t="shared" ca="1" si="179"/>
        <v>38.655797956927373</v>
      </c>
      <c r="BK280" s="6">
        <f t="shared" ca="1" si="180"/>
        <v>-0.97627438793338528</v>
      </c>
      <c r="BL280" s="6">
        <f t="shared" ca="1" si="181"/>
        <v>-0.21653710874881066</v>
      </c>
      <c r="BM280" s="6">
        <f t="shared" ca="1" si="182"/>
        <v>-2.923326634047537</v>
      </c>
      <c r="BN280" s="6">
        <f t="shared" ca="1" si="183"/>
        <v>-1.3825463209449376</v>
      </c>
      <c r="BO280" s="9">
        <f t="shared" ca="1" si="184"/>
        <v>0</v>
      </c>
      <c r="BP280" s="9">
        <f t="shared" ca="1" si="185"/>
        <v>0</v>
      </c>
      <c r="BQ280">
        <f t="shared" ca="1" si="186"/>
        <v>0</v>
      </c>
      <c r="BR280" t="e">
        <f t="shared" ca="1" si="187"/>
        <v>#DIV/0!</v>
      </c>
      <c r="BS280" t="e">
        <f t="shared" ca="1" si="188"/>
        <v>#DIV/0!</v>
      </c>
      <c r="BT280" t="e">
        <f t="shared" ca="1" si="189"/>
        <v>#DIV/0!</v>
      </c>
      <c r="BU280" s="39" t="e">
        <f t="shared" ca="1" si="190"/>
        <v>#DIV/0!</v>
      </c>
    </row>
    <row r="281" spans="45:73" x14ac:dyDescent="0.25">
      <c r="AS281"/>
      <c r="AT281"/>
      <c r="AU281"/>
      <c r="AV281" s="6" t="e">
        <f t="shared" si="172"/>
        <v>#N/A</v>
      </c>
      <c r="AW281" s="6" t="e">
        <f t="shared" si="173"/>
        <v>#N/A</v>
      </c>
      <c r="AX281" s="6" t="e">
        <f t="shared" si="174"/>
        <v>#N/A</v>
      </c>
      <c r="AY281" s="6" t="e">
        <f t="shared" si="175"/>
        <v>#N/A</v>
      </c>
      <c r="BF281" s="39"/>
      <c r="BG281" s="6">
        <f t="shared" si="176"/>
        <v>0</v>
      </c>
      <c r="BH281" s="9">
        <f t="shared" ca="1" si="177"/>
        <v>-37.738665490475874</v>
      </c>
      <c r="BI281" s="9">
        <f t="shared" ca="1" si="178"/>
        <v>-8.3704147259712354</v>
      </c>
      <c r="BJ281">
        <f t="shared" ca="1" si="179"/>
        <v>38.655797956927373</v>
      </c>
      <c r="BK281" s="6">
        <f t="shared" ca="1" si="180"/>
        <v>-0.97627438793338528</v>
      </c>
      <c r="BL281" s="6">
        <f t="shared" ca="1" si="181"/>
        <v>-0.21653710874881066</v>
      </c>
      <c r="BM281" s="6">
        <f t="shared" ca="1" si="182"/>
        <v>-2.923326634047537</v>
      </c>
      <c r="BN281" s="6">
        <f t="shared" ca="1" si="183"/>
        <v>-1.3825463209449376</v>
      </c>
      <c r="BO281" s="9">
        <f t="shared" ca="1" si="184"/>
        <v>0</v>
      </c>
      <c r="BP281" s="9">
        <f t="shared" ca="1" si="185"/>
        <v>0</v>
      </c>
      <c r="BQ281">
        <f t="shared" ca="1" si="186"/>
        <v>0</v>
      </c>
      <c r="BR281" t="e">
        <f t="shared" ca="1" si="187"/>
        <v>#DIV/0!</v>
      </c>
      <c r="BS281" t="e">
        <f t="shared" ca="1" si="188"/>
        <v>#DIV/0!</v>
      </c>
      <c r="BT281" t="e">
        <f t="shared" ca="1" si="189"/>
        <v>#DIV/0!</v>
      </c>
      <c r="BU281" s="39" t="e">
        <f t="shared" ca="1" si="190"/>
        <v>#DIV/0!</v>
      </c>
    </row>
    <row r="282" spans="45:73" x14ac:dyDescent="0.25">
      <c r="AS282"/>
      <c r="AT282"/>
      <c r="AU282"/>
      <c r="AV282" s="6" t="e">
        <f t="shared" si="172"/>
        <v>#N/A</v>
      </c>
      <c r="AW282" s="6" t="e">
        <f t="shared" si="173"/>
        <v>#N/A</v>
      </c>
      <c r="AX282" s="6" t="e">
        <f t="shared" si="174"/>
        <v>#N/A</v>
      </c>
      <c r="AY282" s="6" t="e">
        <f t="shared" si="175"/>
        <v>#N/A</v>
      </c>
      <c r="BF282" s="39"/>
      <c r="BG282" s="6">
        <f t="shared" si="176"/>
        <v>0</v>
      </c>
      <c r="BH282" s="9">
        <f t="shared" ca="1" si="177"/>
        <v>-37.738665490475874</v>
      </c>
      <c r="BI282" s="9">
        <f t="shared" ca="1" si="178"/>
        <v>-8.3704147259712354</v>
      </c>
      <c r="BJ282">
        <f t="shared" ca="1" si="179"/>
        <v>38.655797956927373</v>
      </c>
      <c r="BK282" s="6">
        <f t="shared" ca="1" si="180"/>
        <v>-0.97627438793338528</v>
      </c>
      <c r="BL282" s="6">
        <f t="shared" ca="1" si="181"/>
        <v>-0.21653710874881066</v>
      </c>
      <c r="BM282" s="6">
        <f t="shared" ca="1" si="182"/>
        <v>-2.923326634047537</v>
      </c>
      <c r="BN282" s="6">
        <f t="shared" ca="1" si="183"/>
        <v>-1.3825463209449376</v>
      </c>
      <c r="BO282" s="9">
        <f t="shared" ca="1" si="184"/>
        <v>0</v>
      </c>
      <c r="BP282" s="9">
        <f t="shared" ca="1" si="185"/>
        <v>0</v>
      </c>
      <c r="BQ282">
        <f t="shared" ca="1" si="186"/>
        <v>0</v>
      </c>
      <c r="BR282" t="e">
        <f t="shared" ca="1" si="187"/>
        <v>#DIV/0!</v>
      </c>
      <c r="BS282" t="e">
        <f t="shared" ca="1" si="188"/>
        <v>#DIV/0!</v>
      </c>
      <c r="BT282" t="e">
        <f t="shared" ca="1" si="189"/>
        <v>#DIV/0!</v>
      </c>
      <c r="BU282" s="39" t="e">
        <f t="shared" ca="1" si="190"/>
        <v>#DIV/0!</v>
      </c>
    </row>
    <row r="283" spans="45:73" x14ac:dyDescent="0.25">
      <c r="AS283"/>
      <c r="AT283"/>
      <c r="AU283"/>
      <c r="AV283" s="6" t="e">
        <f t="shared" si="172"/>
        <v>#N/A</v>
      </c>
      <c r="AW283" s="6" t="e">
        <f t="shared" si="173"/>
        <v>#N/A</v>
      </c>
      <c r="AX283" s="6" t="e">
        <f t="shared" si="174"/>
        <v>#N/A</v>
      </c>
      <c r="AY283" s="6" t="e">
        <f t="shared" si="175"/>
        <v>#N/A</v>
      </c>
      <c r="BF283" s="39"/>
      <c r="BG283" s="6">
        <f t="shared" si="176"/>
        <v>0</v>
      </c>
      <c r="BH283" s="9">
        <f t="shared" ca="1" si="177"/>
        <v>-37.738665490475874</v>
      </c>
      <c r="BI283" s="9">
        <f t="shared" ca="1" si="178"/>
        <v>-8.3704147259712354</v>
      </c>
      <c r="BJ283">
        <f t="shared" ca="1" si="179"/>
        <v>38.655797956927373</v>
      </c>
      <c r="BK283" s="6">
        <f t="shared" ca="1" si="180"/>
        <v>-0.97627438793338528</v>
      </c>
      <c r="BL283" s="6">
        <f t="shared" ca="1" si="181"/>
        <v>-0.21653710874881066</v>
      </c>
      <c r="BM283" s="6">
        <f t="shared" ca="1" si="182"/>
        <v>-2.923326634047537</v>
      </c>
      <c r="BN283" s="6">
        <f t="shared" ca="1" si="183"/>
        <v>-1.3825463209449376</v>
      </c>
      <c r="BO283" s="9">
        <f t="shared" ca="1" si="184"/>
        <v>0</v>
      </c>
      <c r="BP283" s="9">
        <f t="shared" ca="1" si="185"/>
        <v>0</v>
      </c>
      <c r="BQ283">
        <f t="shared" ca="1" si="186"/>
        <v>0</v>
      </c>
      <c r="BR283" t="e">
        <f t="shared" ca="1" si="187"/>
        <v>#DIV/0!</v>
      </c>
      <c r="BS283" t="e">
        <f t="shared" ca="1" si="188"/>
        <v>#DIV/0!</v>
      </c>
      <c r="BT283" t="e">
        <f t="shared" ca="1" si="189"/>
        <v>#DIV/0!</v>
      </c>
      <c r="BU283" s="39" t="e">
        <f t="shared" ca="1" si="190"/>
        <v>#DIV/0!</v>
      </c>
    </row>
    <row r="284" spans="45:73" x14ac:dyDescent="0.25">
      <c r="AS284"/>
      <c r="AT284"/>
      <c r="AU284"/>
      <c r="AV284" s="6" t="e">
        <f t="shared" si="172"/>
        <v>#N/A</v>
      </c>
      <c r="AW284" s="6" t="e">
        <f t="shared" si="173"/>
        <v>#N/A</v>
      </c>
      <c r="AX284" s="6" t="e">
        <f t="shared" si="174"/>
        <v>#N/A</v>
      </c>
      <c r="AY284" s="6" t="e">
        <f t="shared" si="175"/>
        <v>#N/A</v>
      </c>
      <c r="BF284" s="39"/>
      <c r="BG284" s="6">
        <f t="shared" si="176"/>
        <v>0</v>
      </c>
      <c r="BH284" s="9">
        <f t="shared" ca="1" si="177"/>
        <v>-37.738665490475874</v>
      </c>
      <c r="BI284" s="9">
        <f t="shared" ca="1" si="178"/>
        <v>-8.3704147259712354</v>
      </c>
      <c r="BJ284">
        <f t="shared" ca="1" si="179"/>
        <v>38.655797956927373</v>
      </c>
      <c r="BK284" s="6">
        <f t="shared" ca="1" si="180"/>
        <v>-0.97627438793338528</v>
      </c>
      <c r="BL284" s="6">
        <f t="shared" ca="1" si="181"/>
        <v>-0.21653710874881066</v>
      </c>
      <c r="BM284" s="6">
        <f t="shared" ca="1" si="182"/>
        <v>-2.923326634047537</v>
      </c>
      <c r="BN284" s="6">
        <f t="shared" ca="1" si="183"/>
        <v>-1.3825463209449376</v>
      </c>
      <c r="BO284" s="9">
        <f t="shared" ca="1" si="184"/>
        <v>0</v>
      </c>
      <c r="BP284" s="9">
        <f t="shared" ca="1" si="185"/>
        <v>0</v>
      </c>
      <c r="BQ284">
        <f t="shared" ca="1" si="186"/>
        <v>0</v>
      </c>
      <c r="BR284" t="e">
        <f t="shared" ca="1" si="187"/>
        <v>#DIV/0!</v>
      </c>
      <c r="BS284" t="e">
        <f t="shared" ca="1" si="188"/>
        <v>#DIV/0!</v>
      </c>
      <c r="BT284" t="e">
        <f t="shared" ca="1" si="189"/>
        <v>#DIV/0!</v>
      </c>
      <c r="BU284" s="39" t="e">
        <f t="shared" ca="1" si="190"/>
        <v>#DIV/0!</v>
      </c>
    </row>
    <row r="285" spans="45:73" x14ac:dyDescent="0.25">
      <c r="AS285"/>
      <c r="AT285"/>
      <c r="AU285"/>
      <c r="AV285" s="6" t="e">
        <f t="shared" si="172"/>
        <v>#N/A</v>
      </c>
      <c r="AW285" s="6" t="e">
        <f t="shared" si="173"/>
        <v>#N/A</v>
      </c>
      <c r="AX285" s="6" t="e">
        <f t="shared" si="174"/>
        <v>#N/A</v>
      </c>
      <c r="AY285" s="6" t="e">
        <f t="shared" si="175"/>
        <v>#N/A</v>
      </c>
      <c r="BF285" s="39"/>
      <c r="BG285" s="6">
        <f t="shared" si="176"/>
        <v>0</v>
      </c>
      <c r="BH285" s="9">
        <f t="shared" ca="1" si="177"/>
        <v>-37.738665490475874</v>
      </c>
      <c r="BI285" s="9">
        <f t="shared" ca="1" si="178"/>
        <v>-8.3704147259712354</v>
      </c>
      <c r="BJ285">
        <f t="shared" ca="1" si="179"/>
        <v>38.655797956927373</v>
      </c>
      <c r="BK285" s="6">
        <f t="shared" ca="1" si="180"/>
        <v>-0.97627438793338528</v>
      </c>
      <c r="BL285" s="6">
        <f t="shared" ca="1" si="181"/>
        <v>-0.21653710874881066</v>
      </c>
      <c r="BM285" s="6">
        <f t="shared" ca="1" si="182"/>
        <v>-2.923326634047537</v>
      </c>
      <c r="BN285" s="6">
        <f t="shared" ca="1" si="183"/>
        <v>-1.3825463209449376</v>
      </c>
      <c r="BO285" s="9">
        <f t="shared" ca="1" si="184"/>
        <v>0</v>
      </c>
      <c r="BP285" s="9">
        <f t="shared" ca="1" si="185"/>
        <v>0</v>
      </c>
      <c r="BQ285">
        <f t="shared" ca="1" si="186"/>
        <v>0</v>
      </c>
      <c r="BR285" t="e">
        <f t="shared" ca="1" si="187"/>
        <v>#DIV/0!</v>
      </c>
      <c r="BS285" t="e">
        <f t="shared" ca="1" si="188"/>
        <v>#DIV/0!</v>
      </c>
      <c r="BT285" t="e">
        <f t="shared" ca="1" si="189"/>
        <v>#DIV/0!</v>
      </c>
      <c r="BU285" s="39" t="e">
        <f t="shared" ca="1" si="190"/>
        <v>#DIV/0!</v>
      </c>
    </row>
    <row r="286" spans="45:73" x14ac:dyDescent="0.25">
      <c r="AS286"/>
      <c r="AT286"/>
      <c r="AU286"/>
      <c r="AV286" s="6" t="e">
        <f t="shared" si="172"/>
        <v>#N/A</v>
      </c>
      <c r="AW286" s="6" t="e">
        <f t="shared" si="173"/>
        <v>#N/A</v>
      </c>
      <c r="AX286" s="6" t="e">
        <f t="shared" si="174"/>
        <v>#N/A</v>
      </c>
      <c r="AY286" s="6" t="e">
        <f t="shared" si="175"/>
        <v>#N/A</v>
      </c>
      <c r="BF286" s="39"/>
      <c r="BG286" s="6">
        <f t="shared" si="176"/>
        <v>0</v>
      </c>
      <c r="BH286" s="9">
        <f t="shared" ca="1" si="177"/>
        <v>-37.738665490475874</v>
      </c>
      <c r="BI286" s="9">
        <f t="shared" ca="1" si="178"/>
        <v>-8.3704147259712354</v>
      </c>
      <c r="BJ286">
        <f t="shared" ca="1" si="179"/>
        <v>38.655797956927373</v>
      </c>
      <c r="BK286" s="6">
        <f t="shared" ca="1" si="180"/>
        <v>-0.97627438793338528</v>
      </c>
      <c r="BL286" s="6">
        <f t="shared" ca="1" si="181"/>
        <v>-0.21653710874881066</v>
      </c>
      <c r="BM286" s="6">
        <f t="shared" ca="1" si="182"/>
        <v>-2.923326634047537</v>
      </c>
      <c r="BN286" s="6">
        <f t="shared" ca="1" si="183"/>
        <v>-1.3825463209449376</v>
      </c>
      <c r="BO286" s="9">
        <f t="shared" ca="1" si="184"/>
        <v>0</v>
      </c>
      <c r="BP286" s="9">
        <f t="shared" ca="1" si="185"/>
        <v>0</v>
      </c>
      <c r="BQ286">
        <f t="shared" ca="1" si="186"/>
        <v>0</v>
      </c>
      <c r="BR286" t="e">
        <f t="shared" ca="1" si="187"/>
        <v>#DIV/0!</v>
      </c>
      <c r="BS286" t="e">
        <f t="shared" ca="1" si="188"/>
        <v>#DIV/0!</v>
      </c>
      <c r="BT286" t="e">
        <f t="shared" ca="1" si="189"/>
        <v>#DIV/0!</v>
      </c>
      <c r="BU286" s="39" t="e">
        <f t="shared" ca="1" si="190"/>
        <v>#DIV/0!</v>
      </c>
    </row>
    <row r="287" spans="45:73" x14ac:dyDescent="0.25">
      <c r="AS287"/>
      <c r="AT287"/>
      <c r="AU287"/>
      <c r="AV287" s="6" t="e">
        <f t="shared" si="172"/>
        <v>#N/A</v>
      </c>
      <c r="AW287" s="6" t="e">
        <f t="shared" si="173"/>
        <v>#N/A</v>
      </c>
      <c r="AX287" s="6" t="e">
        <f t="shared" si="174"/>
        <v>#N/A</v>
      </c>
      <c r="AY287" s="6" t="e">
        <f t="shared" si="175"/>
        <v>#N/A</v>
      </c>
      <c r="BF287" s="39"/>
      <c r="BG287" s="6">
        <f t="shared" si="176"/>
        <v>0</v>
      </c>
      <c r="BH287" s="9">
        <f t="shared" ca="1" si="177"/>
        <v>-37.738665490475874</v>
      </c>
      <c r="BI287" s="9">
        <f t="shared" ca="1" si="178"/>
        <v>-8.3704147259712354</v>
      </c>
      <c r="BJ287">
        <f t="shared" ca="1" si="179"/>
        <v>38.655797956927373</v>
      </c>
      <c r="BK287" s="6">
        <f t="shared" ca="1" si="180"/>
        <v>-0.97627438793338528</v>
      </c>
      <c r="BL287" s="6">
        <f t="shared" ca="1" si="181"/>
        <v>-0.21653710874881066</v>
      </c>
      <c r="BM287" s="6">
        <f t="shared" ca="1" si="182"/>
        <v>-2.923326634047537</v>
      </c>
      <c r="BN287" s="6">
        <f t="shared" ca="1" si="183"/>
        <v>-1.3825463209449376</v>
      </c>
      <c r="BO287" s="9">
        <f t="shared" ca="1" si="184"/>
        <v>0</v>
      </c>
      <c r="BP287" s="9">
        <f t="shared" ca="1" si="185"/>
        <v>0</v>
      </c>
      <c r="BQ287">
        <f t="shared" ca="1" si="186"/>
        <v>0</v>
      </c>
      <c r="BR287" t="e">
        <f t="shared" ca="1" si="187"/>
        <v>#DIV/0!</v>
      </c>
      <c r="BS287" t="e">
        <f t="shared" ca="1" si="188"/>
        <v>#DIV/0!</v>
      </c>
      <c r="BT287" t="e">
        <f t="shared" ca="1" si="189"/>
        <v>#DIV/0!</v>
      </c>
      <c r="BU287" s="39" t="e">
        <f t="shared" ca="1" si="190"/>
        <v>#DIV/0!</v>
      </c>
    </row>
    <row r="288" spans="45:73" x14ac:dyDescent="0.25">
      <c r="AS288"/>
      <c r="AT288"/>
      <c r="AU288"/>
      <c r="AV288" s="6" t="e">
        <f t="shared" si="172"/>
        <v>#N/A</v>
      </c>
      <c r="AW288" s="6" t="e">
        <f t="shared" si="173"/>
        <v>#N/A</v>
      </c>
      <c r="AX288" s="6" t="e">
        <f t="shared" si="174"/>
        <v>#N/A</v>
      </c>
      <c r="AY288" s="6" t="e">
        <f t="shared" si="175"/>
        <v>#N/A</v>
      </c>
      <c r="BF288" s="39"/>
      <c r="BG288" s="6">
        <f t="shared" si="176"/>
        <v>0</v>
      </c>
      <c r="BH288" s="9">
        <f t="shared" ca="1" si="177"/>
        <v>-37.738665490475874</v>
      </c>
      <c r="BI288" s="9">
        <f t="shared" ca="1" si="178"/>
        <v>-8.3704147259712354</v>
      </c>
      <c r="BJ288">
        <f t="shared" ca="1" si="179"/>
        <v>38.655797956927373</v>
      </c>
      <c r="BK288" s="6">
        <f t="shared" ca="1" si="180"/>
        <v>-0.97627438793338528</v>
      </c>
      <c r="BL288" s="6">
        <f t="shared" ca="1" si="181"/>
        <v>-0.21653710874881066</v>
      </c>
      <c r="BM288" s="6">
        <f t="shared" ca="1" si="182"/>
        <v>-2.923326634047537</v>
      </c>
      <c r="BN288" s="6">
        <f t="shared" ca="1" si="183"/>
        <v>-1.3825463209449376</v>
      </c>
      <c r="BO288" s="9">
        <f t="shared" ca="1" si="184"/>
        <v>0</v>
      </c>
      <c r="BP288" s="9">
        <f t="shared" ca="1" si="185"/>
        <v>0</v>
      </c>
      <c r="BQ288">
        <f t="shared" ca="1" si="186"/>
        <v>0</v>
      </c>
      <c r="BR288" t="e">
        <f t="shared" ca="1" si="187"/>
        <v>#DIV/0!</v>
      </c>
      <c r="BS288" t="e">
        <f t="shared" ca="1" si="188"/>
        <v>#DIV/0!</v>
      </c>
      <c r="BT288" t="e">
        <f t="shared" ca="1" si="189"/>
        <v>#DIV/0!</v>
      </c>
      <c r="BU288" s="39" t="e">
        <f t="shared" ca="1" si="190"/>
        <v>#DIV/0!</v>
      </c>
    </row>
    <row r="289" spans="45:73" x14ac:dyDescent="0.25">
      <c r="AS289"/>
      <c r="AT289"/>
      <c r="AU289"/>
      <c r="AV289" s="6" t="e">
        <f t="shared" si="172"/>
        <v>#N/A</v>
      </c>
      <c r="AW289" s="6" t="e">
        <f t="shared" si="173"/>
        <v>#N/A</v>
      </c>
      <c r="AX289" s="6" t="e">
        <f t="shared" si="174"/>
        <v>#N/A</v>
      </c>
      <c r="AY289" s="6" t="e">
        <f t="shared" si="175"/>
        <v>#N/A</v>
      </c>
      <c r="BF289" s="39"/>
      <c r="BG289" s="6">
        <f t="shared" si="176"/>
        <v>0</v>
      </c>
      <c r="BH289" s="9">
        <f t="shared" ca="1" si="177"/>
        <v>-37.738665490475874</v>
      </c>
      <c r="BI289" s="9">
        <f t="shared" ca="1" si="178"/>
        <v>-8.3704147259712354</v>
      </c>
      <c r="BJ289">
        <f t="shared" ca="1" si="179"/>
        <v>38.655797956927373</v>
      </c>
      <c r="BK289" s="6">
        <f t="shared" ca="1" si="180"/>
        <v>-0.97627438793338528</v>
      </c>
      <c r="BL289" s="6">
        <f t="shared" ca="1" si="181"/>
        <v>-0.21653710874881066</v>
      </c>
      <c r="BM289" s="6">
        <f t="shared" ca="1" si="182"/>
        <v>-2.923326634047537</v>
      </c>
      <c r="BN289" s="6">
        <f t="shared" ca="1" si="183"/>
        <v>-1.3825463209449376</v>
      </c>
      <c r="BO289" s="9">
        <f t="shared" ca="1" si="184"/>
        <v>0</v>
      </c>
      <c r="BP289" s="9">
        <f t="shared" ca="1" si="185"/>
        <v>0</v>
      </c>
      <c r="BQ289">
        <f t="shared" ca="1" si="186"/>
        <v>0</v>
      </c>
      <c r="BR289" t="e">
        <f t="shared" ca="1" si="187"/>
        <v>#DIV/0!</v>
      </c>
      <c r="BS289" t="e">
        <f t="shared" ca="1" si="188"/>
        <v>#DIV/0!</v>
      </c>
      <c r="BT289" t="e">
        <f t="shared" ca="1" si="189"/>
        <v>#DIV/0!</v>
      </c>
      <c r="BU289" s="39" t="e">
        <f t="shared" ca="1" si="190"/>
        <v>#DIV/0!</v>
      </c>
    </row>
    <row r="290" spans="45:73" x14ac:dyDescent="0.25">
      <c r="AS290"/>
      <c r="AT290"/>
      <c r="AU290"/>
      <c r="AV290" s="6" t="e">
        <f t="shared" si="172"/>
        <v>#N/A</v>
      </c>
      <c r="AW290" s="6" t="e">
        <f t="shared" si="173"/>
        <v>#N/A</v>
      </c>
      <c r="AX290" s="6" t="e">
        <f t="shared" si="174"/>
        <v>#N/A</v>
      </c>
      <c r="AY290" s="6" t="e">
        <f t="shared" si="175"/>
        <v>#N/A</v>
      </c>
      <c r="BF290" s="39"/>
      <c r="BG290" s="6">
        <f t="shared" si="176"/>
        <v>0</v>
      </c>
      <c r="BH290" s="9">
        <f t="shared" ca="1" si="177"/>
        <v>-37.738665490475874</v>
      </c>
      <c r="BI290" s="9">
        <f t="shared" ca="1" si="178"/>
        <v>-8.3704147259712354</v>
      </c>
      <c r="BJ290">
        <f t="shared" ca="1" si="179"/>
        <v>38.655797956927373</v>
      </c>
      <c r="BK290" s="6">
        <f t="shared" ca="1" si="180"/>
        <v>-0.97627438793338528</v>
      </c>
      <c r="BL290" s="6">
        <f t="shared" ca="1" si="181"/>
        <v>-0.21653710874881066</v>
      </c>
      <c r="BM290" s="6">
        <f t="shared" ca="1" si="182"/>
        <v>-2.923326634047537</v>
      </c>
      <c r="BN290" s="6">
        <f t="shared" ca="1" si="183"/>
        <v>-1.3825463209449376</v>
      </c>
      <c r="BO290" s="9">
        <f t="shared" ca="1" si="184"/>
        <v>0</v>
      </c>
      <c r="BP290" s="9">
        <f t="shared" ca="1" si="185"/>
        <v>0</v>
      </c>
      <c r="BQ290">
        <f t="shared" ca="1" si="186"/>
        <v>0</v>
      </c>
      <c r="BR290" t="e">
        <f t="shared" ca="1" si="187"/>
        <v>#DIV/0!</v>
      </c>
      <c r="BS290" t="e">
        <f t="shared" ca="1" si="188"/>
        <v>#DIV/0!</v>
      </c>
      <c r="BT290" t="e">
        <f t="shared" ca="1" si="189"/>
        <v>#DIV/0!</v>
      </c>
      <c r="BU290" s="39" t="e">
        <f t="shared" ca="1" si="190"/>
        <v>#DIV/0!</v>
      </c>
    </row>
    <row r="291" spans="45:73" x14ac:dyDescent="0.25">
      <c r="AS291"/>
      <c r="AT291"/>
      <c r="AU291"/>
      <c r="AV291" s="6" t="e">
        <f t="shared" si="172"/>
        <v>#N/A</v>
      </c>
      <c r="AW291" s="6" t="e">
        <f t="shared" si="173"/>
        <v>#N/A</v>
      </c>
      <c r="AX291" s="6" t="e">
        <f t="shared" si="174"/>
        <v>#N/A</v>
      </c>
      <c r="AY291" s="6" t="e">
        <f t="shared" si="175"/>
        <v>#N/A</v>
      </c>
      <c r="BF291" s="39"/>
      <c r="BG291" s="6">
        <f t="shared" si="176"/>
        <v>0</v>
      </c>
      <c r="BH291" s="9">
        <f t="shared" ca="1" si="177"/>
        <v>-37.738665490475874</v>
      </c>
      <c r="BI291" s="9">
        <f t="shared" ca="1" si="178"/>
        <v>-8.3704147259712354</v>
      </c>
      <c r="BJ291">
        <f t="shared" ca="1" si="179"/>
        <v>38.655797956927373</v>
      </c>
      <c r="BK291" s="6">
        <f t="shared" ca="1" si="180"/>
        <v>-0.97627438793338528</v>
      </c>
      <c r="BL291" s="6">
        <f t="shared" ca="1" si="181"/>
        <v>-0.21653710874881066</v>
      </c>
      <c r="BM291" s="6">
        <f t="shared" ca="1" si="182"/>
        <v>-2.923326634047537</v>
      </c>
      <c r="BN291" s="6">
        <f t="shared" ca="1" si="183"/>
        <v>-1.3825463209449376</v>
      </c>
      <c r="BO291" s="9">
        <f t="shared" ca="1" si="184"/>
        <v>0</v>
      </c>
      <c r="BP291" s="9">
        <f t="shared" ca="1" si="185"/>
        <v>0</v>
      </c>
      <c r="BQ291">
        <f t="shared" ca="1" si="186"/>
        <v>0</v>
      </c>
      <c r="BR291" t="e">
        <f t="shared" ca="1" si="187"/>
        <v>#DIV/0!</v>
      </c>
      <c r="BS291" t="e">
        <f t="shared" ca="1" si="188"/>
        <v>#DIV/0!</v>
      </c>
      <c r="BT291" t="e">
        <f t="shared" ca="1" si="189"/>
        <v>#DIV/0!</v>
      </c>
      <c r="BU291" s="39" t="e">
        <f t="shared" ca="1" si="190"/>
        <v>#DIV/0!</v>
      </c>
    </row>
    <row r="292" spans="45:73" x14ac:dyDescent="0.25">
      <c r="AS292"/>
      <c r="AT292"/>
      <c r="AU292"/>
      <c r="AV292" s="6" t="e">
        <f t="shared" si="172"/>
        <v>#N/A</v>
      </c>
      <c r="AW292" s="6" t="e">
        <f t="shared" si="173"/>
        <v>#N/A</v>
      </c>
      <c r="AX292" s="6" t="e">
        <f t="shared" si="174"/>
        <v>#N/A</v>
      </c>
      <c r="AY292" s="6" t="e">
        <f t="shared" si="175"/>
        <v>#N/A</v>
      </c>
      <c r="BF292" s="39"/>
      <c r="BG292" s="6">
        <f t="shared" si="176"/>
        <v>0</v>
      </c>
      <c r="BH292" s="9">
        <f t="shared" ca="1" si="177"/>
        <v>-37.738665490475874</v>
      </c>
      <c r="BI292" s="9">
        <f t="shared" ca="1" si="178"/>
        <v>-8.3704147259712354</v>
      </c>
      <c r="BJ292">
        <f t="shared" ca="1" si="179"/>
        <v>38.655797956927373</v>
      </c>
      <c r="BK292" s="6">
        <f t="shared" ca="1" si="180"/>
        <v>-0.97627438793338528</v>
      </c>
      <c r="BL292" s="6">
        <f t="shared" ca="1" si="181"/>
        <v>-0.21653710874881066</v>
      </c>
      <c r="BM292" s="6">
        <f t="shared" ca="1" si="182"/>
        <v>-2.923326634047537</v>
      </c>
      <c r="BN292" s="6">
        <f t="shared" ca="1" si="183"/>
        <v>-1.3825463209449376</v>
      </c>
      <c r="BO292" s="9">
        <f t="shared" ca="1" si="184"/>
        <v>0</v>
      </c>
      <c r="BP292" s="9">
        <f t="shared" ca="1" si="185"/>
        <v>0</v>
      </c>
      <c r="BQ292">
        <f t="shared" ca="1" si="186"/>
        <v>0</v>
      </c>
      <c r="BR292" t="e">
        <f t="shared" ca="1" si="187"/>
        <v>#DIV/0!</v>
      </c>
      <c r="BS292" t="e">
        <f t="shared" ca="1" si="188"/>
        <v>#DIV/0!</v>
      </c>
      <c r="BT292" t="e">
        <f t="shared" ca="1" si="189"/>
        <v>#DIV/0!</v>
      </c>
      <c r="BU292" s="39" t="e">
        <f t="shared" ca="1" si="190"/>
        <v>#DIV/0!</v>
      </c>
    </row>
    <row r="293" spans="45:73" x14ac:dyDescent="0.25">
      <c r="AS293"/>
      <c r="AT293"/>
      <c r="AU293"/>
      <c r="AV293" s="6" t="e">
        <f t="shared" si="172"/>
        <v>#N/A</v>
      </c>
      <c r="AW293" s="6" t="e">
        <f t="shared" si="173"/>
        <v>#N/A</v>
      </c>
      <c r="AX293" s="6" t="e">
        <f t="shared" si="174"/>
        <v>#N/A</v>
      </c>
      <c r="AY293" s="6" t="e">
        <f t="shared" si="175"/>
        <v>#N/A</v>
      </c>
      <c r="BF293" s="39"/>
      <c r="BG293" s="6">
        <f t="shared" si="176"/>
        <v>0</v>
      </c>
      <c r="BH293" s="9">
        <f t="shared" ca="1" si="177"/>
        <v>-37.738665490475874</v>
      </c>
      <c r="BI293" s="9">
        <f t="shared" ca="1" si="178"/>
        <v>-8.3704147259712354</v>
      </c>
      <c r="BJ293">
        <f t="shared" ca="1" si="179"/>
        <v>38.655797956927373</v>
      </c>
      <c r="BK293" s="6">
        <f t="shared" ca="1" si="180"/>
        <v>-0.97627438793338528</v>
      </c>
      <c r="BL293" s="6">
        <f t="shared" ca="1" si="181"/>
        <v>-0.21653710874881066</v>
      </c>
      <c r="BM293" s="6">
        <f t="shared" ca="1" si="182"/>
        <v>-2.923326634047537</v>
      </c>
      <c r="BN293" s="6">
        <f t="shared" ca="1" si="183"/>
        <v>-1.3825463209449376</v>
      </c>
      <c r="BO293" s="9">
        <f t="shared" ca="1" si="184"/>
        <v>0</v>
      </c>
      <c r="BP293" s="9">
        <f t="shared" ca="1" si="185"/>
        <v>0</v>
      </c>
      <c r="BQ293">
        <f t="shared" ca="1" si="186"/>
        <v>0</v>
      </c>
      <c r="BR293" t="e">
        <f t="shared" ca="1" si="187"/>
        <v>#DIV/0!</v>
      </c>
      <c r="BS293" t="e">
        <f t="shared" ca="1" si="188"/>
        <v>#DIV/0!</v>
      </c>
      <c r="BT293" t="e">
        <f t="shared" ca="1" si="189"/>
        <v>#DIV/0!</v>
      </c>
      <c r="BU293" s="39" t="e">
        <f t="shared" ca="1" si="190"/>
        <v>#DIV/0!</v>
      </c>
    </row>
    <row r="294" spans="45:73" x14ac:dyDescent="0.25">
      <c r="AS294"/>
      <c r="AT294"/>
      <c r="AU294"/>
      <c r="AV294" s="6" t="e">
        <f t="shared" si="172"/>
        <v>#N/A</v>
      </c>
      <c r="AW294" s="6" t="e">
        <f t="shared" si="173"/>
        <v>#N/A</v>
      </c>
      <c r="AX294" s="6" t="e">
        <f t="shared" si="174"/>
        <v>#N/A</v>
      </c>
      <c r="AY294" s="6" t="e">
        <f t="shared" si="175"/>
        <v>#N/A</v>
      </c>
      <c r="BF294" s="39"/>
      <c r="BG294" s="6">
        <f t="shared" si="176"/>
        <v>0</v>
      </c>
      <c r="BH294" s="9">
        <f t="shared" ca="1" si="177"/>
        <v>-37.738665490475874</v>
      </c>
      <c r="BI294" s="9">
        <f t="shared" ca="1" si="178"/>
        <v>-8.3704147259712354</v>
      </c>
      <c r="BJ294">
        <f t="shared" ca="1" si="179"/>
        <v>38.655797956927373</v>
      </c>
      <c r="BK294" s="6">
        <f t="shared" ca="1" si="180"/>
        <v>-0.97627438793338528</v>
      </c>
      <c r="BL294" s="6">
        <f t="shared" ca="1" si="181"/>
        <v>-0.21653710874881066</v>
      </c>
      <c r="BM294" s="6">
        <f t="shared" ca="1" si="182"/>
        <v>-2.923326634047537</v>
      </c>
      <c r="BN294" s="6">
        <f t="shared" ca="1" si="183"/>
        <v>-1.3825463209449376</v>
      </c>
      <c r="BO294" s="9">
        <f t="shared" ca="1" si="184"/>
        <v>0</v>
      </c>
      <c r="BP294" s="9">
        <f t="shared" ca="1" si="185"/>
        <v>0</v>
      </c>
      <c r="BQ294">
        <f t="shared" ca="1" si="186"/>
        <v>0</v>
      </c>
      <c r="BR294" t="e">
        <f t="shared" ca="1" si="187"/>
        <v>#DIV/0!</v>
      </c>
      <c r="BS294" t="e">
        <f t="shared" ca="1" si="188"/>
        <v>#DIV/0!</v>
      </c>
      <c r="BT294" t="e">
        <f t="shared" ca="1" si="189"/>
        <v>#DIV/0!</v>
      </c>
      <c r="BU294" s="39" t="e">
        <f t="shared" ca="1" si="190"/>
        <v>#DIV/0!</v>
      </c>
    </row>
    <row r="295" spans="45:73" x14ac:dyDescent="0.25">
      <c r="AS295"/>
      <c r="AT295"/>
      <c r="AU295"/>
      <c r="AV295" s="6" t="e">
        <f t="shared" si="172"/>
        <v>#N/A</v>
      </c>
      <c r="AW295" s="6" t="e">
        <f t="shared" si="173"/>
        <v>#N/A</v>
      </c>
      <c r="AX295" s="6" t="e">
        <f t="shared" si="174"/>
        <v>#N/A</v>
      </c>
      <c r="AY295" s="6" t="e">
        <f t="shared" si="175"/>
        <v>#N/A</v>
      </c>
      <c r="BF295" s="39"/>
      <c r="BG295" s="6">
        <f t="shared" si="176"/>
        <v>0</v>
      </c>
      <c r="BH295" s="9">
        <f t="shared" ca="1" si="177"/>
        <v>-37.738665490475874</v>
      </c>
      <c r="BI295" s="9">
        <f t="shared" ca="1" si="178"/>
        <v>-8.3704147259712354</v>
      </c>
      <c r="BJ295">
        <f t="shared" ca="1" si="179"/>
        <v>38.655797956927373</v>
      </c>
      <c r="BK295" s="6">
        <f t="shared" ca="1" si="180"/>
        <v>-0.97627438793338528</v>
      </c>
      <c r="BL295" s="6">
        <f t="shared" ca="1" si="181"/>
        <v>-0.21653710874881066</v>
      </c>
      <c r="BM295" s="6">
        <f t="shared" ca="1" si="182"/>
        <v>-2.923326634047537</v>
      </c>
      <c r="BN295" s="6">
        <f t="shared" ca="1" si="183"/>
        <v>-1.3825463209449376</v>
      </c>
      <c r="BO295" s="9">
        <f t="shared" ca="1" si="184"/>
        <v>0</v>
      </c>
      <c r="BP295" s="9">
        <f t="shared" ca="1" si="185"/>
        <v>0</v>
      </c>
      <c r="BQ295">
        <f t="shared" ca="1" si="186"/>
        <v>0</v>
      </c>
      <c r="BR295" t="e">
        <f t="shared" ca="1" si="187"/>
        <v>#DIV/0!</v>
      </c>
      <c r="BS295" t="e">
        <f t="shared" ca="1" si="188"/>
        <v>#DIV/0!</v>
      </c>
      <c r="BT295" t="e">
        <f t="shared" ca="1" si="189"/>
        <v>#DIV/0!</v>
      </c>
      <c r="BU295" s="39" t="e">
        <f t="shared" ca="1" si="190"/>
        <v>#DIV/0!</v>
      </c>
    </row>
    <row r="296" spans="45:73" x14ac:dyDescent="0.25">
      <c r="AS296"/>
      <c r="AT296"/>
      <c r="AU296"/>
      <c r="AV296" s="6" t="e">
        <f t="shared" si="172"/>
        <v>#N/A</v>
      </c>
      <c r="AW296" s="6" t="e">
        <f t="shared" si="173"/>
        <v>#N/A</v>
      </c>
      <c r="AX296" s="6" t="e">
        <f t="shared" si="174"/>
        <v>#N/A</v>
      </c>
      <c r="AY296" s="6" t="e">
        <f t="shared" si="175"/>
        <v>#N/A</v>
      </c>
      <c r="BF296" s="39"/>
      <c r="BG296" s="6">
        <f t="shared" si="176"/>
        <v>0</v>
      </c>
      <c r="BH296" s="9">
        <f t="shared" ca="1" si="177"/>
        <v>-37.738665490475874</v>
      </c>
      <c r="BI296" s="9">
        <f t="shared" ca="1" si="178"/>
        <v>-8.3704147259712354</v>
      </c>
      <c r="BJ296">
        <f t="shared" ca="1" si="179"/>
        <v>38.655797956927373</v>
      </c>
      <c r="BK296" s="6">
        <f t="shared" ca="1" si="180"/>
        <v>-0.97627438793338528</v>
      </c>
      <c r="BL296" s="6">
        <f t="shared" ca="1" si="181"/>
        <v>-0.21653710874881066</v>
      </c>
      <c r="BM296" s="6">
        <f t="shared" ca="1" si="182"/>
        <v>-2.923326634047537</v>
      </c>
      <c r="BN296" s="6">
        <f t="shared" ca="1" si="183"/>
        <v>-1.3825463209449376</v>
      </c>
      <c r="BO296" s="9">
        <f t="shared" ca="1" si="184"/>
        <v>0</v>
      </c>
      <c r="BP296" s="9">
        <f t="shared" ca="1" si="185"/>
        <v>0</v>
      </c>
      <c r="BQ296">
        <f t="shared" ca="1" si="186"/>
        <v>0</v>
      </c>
      <c r="BR296" t="e">
        <f t="shared" ca="1" si="187"/>
        <v>#DIV/0!</v>
      </c>
      <c r="BS296" t="e">
        <f t="shared" ca="1" si="188"/>
        <v>#DIV/0!</v>
      </c>
      <c r="BT296" t="e">
        <f t="shared" ca="1" si="189"/>
        <v>#DIV/0!</v>
      </c>
      <c r="BU296" s="39" t="e">
        <f t="shared" ca="1" si="190"/>
        <v>#DIV/0!</v>
      </c>
    </row>
    <row r="297" spans="45:73" x14ac:dyDescent="0.25">
      <c r="AS297"/>
      <c r="AT297"/>
      <c r="AU297"/>
      <c r="AV297" s="6" t="e">
        <f t="shared" si="172"/>
        <v>#N/A</v>
      </c>
      <c r="AW297" s="6" t="e">
        <f t="shared" si="173"/>
        <v>#N/A</v>
      </c>
      <c r="AX297" s="6" t="e">
        <f t="shared" si="174"/>
        <v>#N/A</v>
      </c>
      <c r="AY297" s="6" t="e">
        <f t="shared" si="175"/>
        <v>#N/A</v>
      </c>
      <c r="BF297" s="39"/>
      <c r="BG297" s="6">
        <f t="shared" si="176"/>
        <v>0</v>
      </c>
      <c r="BH297" s="9">
        <f t="shared" ca="1" si="177"/>
        <v>-37.738665490475874</v>
      </c>
      <c r="BI297" s="9">
        <f t="shared" ca="1" si="178"/>
        <v>-8.3704147259712354</v>
      </c>
      <c r="BJ297">
        <f t="shared" ca="1" si="179"/>
        <v>38.655797956927373</v>
      </c>
      <c r="BK297" s="6">
        <f t="shared" ca="1" si="180"/>
        <v>-0.97627438793338528</v>
      </c>
      <c r="BL297" s="6">
        <f t="shared" ca="1" si="181"/>
        <v>-0.21653710874881066</v>
      </c>
      <c r="BM297" s="6">
        <f t="shared" ca="1" si="182"/>
        <v>-2.923326634047537</v>
      </c>
      <c r="BN297" s="6">
        <f t="shared" ca="1" si="183"/>
        <v>-1.3825463209449376</v>
      </c>
      <c r="BO297" s="9">
        <f t="shared" ca="1" si="184"/>
        <v>0</v>
      </c>
      <c r="BP297" s="9">
        <f t="shared" ca="1" si="185"/>
        <v>0</v>
      </c>
      <c r="BQ297">
        <f t="shared" ca="1" si="186"/>
        <v>0</v>
      </c>
      <c r="BR297" t="e">
        <f t="shared" ca="1" si="187"/>
        <v>#DIV/0!</v>
      </c>
      <c r="BS297" t="e">
        <f t="shared" ca="1" si="188"/>
        <v>#DIV/0!</v>
      </c>
      <c r="BT297" t="e">
        <f t="shared" ca="1" si="189"/>
        <v>#DIV/0!</v>
      </c>
      <c r="BU297" s="39" t="e">
        <f t="shared" ca="1" si="190"/>
        <v>#DIV/0!</v>
      </c>
    </row>
    <row r="298" spans="45:73" x14ac:dyDescent="0.25">
      <c r="AS298"/>
      <c r="AT298"/>
      <c r="AU298"/>
      <c r="AV298" s="6" t="e">
        <f t="shared" si="172"/>
        <v>#N/A</v>
      </c>
      <c r="AW298" s="6" t="e">
        <f t="shared" si="173"/>
        <v>#N/A</v>
      </c>
      <c r="AX298" s="6" t="e">
        <f t="shared" si="174"/>
        <v>#N/A</v>
      </c>
      <c r="AY298" s="6" t="e">
        <f t="shared" si="175"/>
        <v>#N/A</v>
      </c>
      <c r="BF298" s="39"/>
      <c r="BG298" s="6">
        <f t="shared" si="176"/>
        <v>0</v>
      </c>
      <c r="BH298" s="9">
        <f t="shared" ca="1" si="177"/>
        <v>-37.738665490475874</v>
      </c>
      <c r="BI298" s="9">
        <f t="shared" ca="1" si="178"/>
        <v>-8.3704147259712354</v>
      </c>
      <c r="BJ298">
        <f t="shared" ca="1" si="179"/>
        <v>38.655797956927373</v>
      </c>
      <c r="BK298" s="6">
        <f t="shared" ca="1" si="180"/>
        <v>-0.97627438793338528</v>
      </c>
      <c r="BL298" s="6">
        <f t="shared" ca="1" si="181"/>
        <v>-0.21653710874881066</v>
      </c>
      <c r="BM298" s="6">
        <f t="shared" ca="1" si="182"/>
        <v>-2.923326634047537</v>
      </c>
      <c r="BN298" s="6">
        <f t="shared" ca="1" si="183"/>
        <v>-1.3825463209449376</v>
      </c>
      <c r="BO298" s="9">
        <f t="shared" ca="1" si="184"/>
        <v>0</v>
      </c>
      <c r="BP298" s="9">
        <f t="shared" ca="1" si="185"/>
        <v>0</v>
      </c>
      <c r="BQ298">
        <f t="shared" ca="1" si="186"/>
        <v>0</v>
      </c>
      <c r="BR298" t="e">
        <f t="shared" ca="1" si="187"/>
        <v>#DIV/0!</v>
      </c>
      <c r="BS298" t="e">
        <f t="shared" ca="1" si="188"/>
        <v>#DIV/0!</v>
      </c>
      <c r="BT298" t="e">
        <f t="shared" ca="1" si="189"/>
        <v>#DIV/0!</v>
      </c>
      <c r="BU298" s="39" t="e">
        <f t="shared" ca="1" si="190"/>
        <v>#DIV/0!</v>
      </c>
    </row>
    <row r="299" spans="45:73" x14ac:dyDescent="0.25">
      <c r="AS299"/>
      <c r="AT299"/>
      <c r="AU299"/>
      <c r="AV299" s="6" t="e">
        <f t="shared" si="172"/>
        <v>#N/A</v>
      </c>
      <c r="AW299" s="6" t="e">
        <f t="shared" si="173"/>
        <v>#N/A</v>
      </c>
      <c r="AX299" s="6" t="e">
        <f t="shared" si="174"/>
        <v>#N/A</v>
      </c>
      <c r="AY299" s="6" t="e">
        <f t="shared" si="175"/>
        <v>#N/A</v>
      </c>
      <c r="BF299" s="39"/>
      <c r="BG299" s="6">
        <f t="shared" si="176"/>
        <v>0</v>
      </c>
      <c r="BH299" s="9">
        <f t="shared" ca="1" si="177"/>
        <v>-37.738665490475874</v>
      </c>
      <c r="BI299" s="9">
        <f t="shared" ca="1" si="178"/>
        <v>-8.3704147259712354</v>
      </c>
      <c r="BJ299">
        <f t="shared" ca="1" si="179"/>
        <v>38.655797956927373</v>
      </c>
      <c r="BK299" s="6">
        <f t="shared" ca="1" si="180"/>
        <v>-0.97627438793338528</v>
      </c>
      <c r="BL299" s="6">
        <f t="shared" ca="1" si="181"/>
        <v>-0.21653710874881066</v>
      </c>
      <c r="BM299" s="6">
        <f t="shared" ca="1" si="182"/>
        <v>-2.923326634047537</v>
      </c>
      <c r="BN299" s="6">
        <f t="shared" ca="1" si="183"/>
        <v>-1.3825463209449376</v>
      </c>
      <c r="BO299" s="9">
        <f t="shared" ca="1" si="184"/>
        <v>0</v>
      </c>
      <c r="BP299" s="9">
        <f t="shared" ca="1" si="185"/>
        <v>0</v>
      </c>
      <c r="BQ299">
        <f t="shared" ca="1" si="186"/>
        <v>0</v>
      </c>
      <c r="BR299" t="e">
        <f t="shared" ca="1" si="187"/>
        <v>#DIV/0!</v>
      </c>
      <c r="BS299" t="e">
        <f t="shared" ca="1" si="188"/>
        <v>#DIV/0!</v>
      </c>
      <c r="BT299" t="e">
        <f t="shared" ca="1" si="189"/>
        <v>#DIV/0!</v>
      </c>
      <c r="BU299" s="39" t="e">
        <f t="shared" ca="1" si="190"/>
        <v>#DIV/0!</v>
      </c>
    </row>
    <row r="300" spans="45:73" x14ac:dyDescent="0.25">
      <c r="AS300"/>
      <c r="AT300"/>
      <c r="AU300"/>
      <c r="AV300" s="6" t="e">
        <f t="shared" si="172"/>
        <v>#N/A</v>
      </c>
      <c r="AW300" s="6" t="e">
        <f t="shared" si="173"/>
        <v>#N/A</v>
      </c>
      <c r="AX300" s="6" t="e">
        <f t="shared" si="174"/>
        <v>#N/A</v>
      </c>
      <c r="AY300" s="6" t="e">
        <f t="shared" si="175"/>
        <v>#N/A</v>
      </c>
      <c r="BF300" s="39"/>
      <c r="BG300" s="6">
        <f t="shared" si="176"/>
        <v>0</v>
      </c>
      <c r="BH300" s="9">
        <f t="shared" ca="1" si="177"/>
        <v>-37.738665490475874</v>
      </c>
      <c r="BI300" s="9">
        <f t="shared" ca="1" si="178"/>
        <v>-8.3704147259712354</v>
      </c>
      <c r="BJ300">
        <f t="shared" ca="1" si="179"/>
        <v>38.655797956927373</v>
      </c>
      <c r="BK300" s="6">
        <f t="shared" ca="1" si="180"/>
        <v>-0.97627438793338528</v>
      </c>
      <c r="BL300" s="6">
        <f t="shared" ca="1" si="181"/>
        <v>-0.21653710874881066</v>
      </c>
      <c r="BM300" s="6">
        <f t="shared" ca="1" si="182"/>
        <v>-2.923326634047537</v>
      </c>
      <c r="BN300" s="6">
        <f t="shared" ca="1" si="183"/>
        <v>-1.3825463209449376</v>
      </c>
      <c r="BO300" s="9">
        <f t="shared" ca="1" si="184"/>
        <v>0</v>
      </c>
      <c r="BP300" s="9">
        <f t="shared" ca="1" si="185"/>
        <v>0</v>
      </c>
      <c r="BQ300">
        <f t="shared" ca="1" si="186"/>
        <v>0</v>
      </c>
      <c r="BR300" t="e">
        <f t="shared" ca="1" si="187"/>
        <v>#DIV/0!</v>
      </c>
      <c r="BS300" t="e">
        <f t="shared" ca="1" si="188"/>
        <v>#DIV/0!</v>
      </c>
      <c r="BT300" t="e">
        <f t="shared" ca="1" si="189"/>
        <v>#DIV/0!</v>
      </c>
      <c r="BU300" s="39" t="e">
        <f t="shared" ca="1" si="190"/>
        <v>#DIV/0!</v>
      </c>
    </row>
    <row r="301" spans="45:73" x14ac:dyDescent="0.25">
      <c r="AS301"/>
      <c r="AT301"/>
      <c r="AU301"/>
      <c r="AV301" s="6" t="e">
        <f t="shared" si="172"/>
        <v>#N/A</v>
      </c>
      <c r="AW301" s="6" t="e">
        <f t="shared" si="173"/>
        <v>#N/A</v>
      </c>
      <c r="AX301" s="6" t="e">
        <f t="shared" si="174"/>
        <v>#N/A</v>
      </c>
      <c r="AY301" s="6" t="e">
        <f t="shared" si="175"/>
        <v>#N/A</v>
      </c>
      <c r="BF301" s="39"/>
      <c r="BG301" s="6">
        <f t="shared" si="176"/>
        <v>0</v>
      </c>
      <c r="BH301" s="9">
        <f t="shared" ca="1" si="177"/>
        <v>-37.738665490475874</v>
      </c>
      <c r="BI301" s="9">
        <f t="shared" ca="1" si="178"/>
        <v>-8.3704147259712354</v>
      </c>
      <c r="BJ301">
        <f t="shared" ca="1" si="179"/>
        <v>38.655797956927373</v>
      </c>
      <c r="BK301" s="6">
        <f t="shared" ca="1" si="180"/>
        <v>-0.97627438793338528</v>
      </c>
      <c r="BL301" s="6">
        <f t="shared" ca="1" si="181"/>
        <v>-0.21653710874881066</v>
      </c>
      <c r="BM301" s="6">
        <f t="shared" ca="1" si="182"/>
        <v>-2.923326634047537</v>
      </c>
      <c r="BN301" s="6">
        <f t="shared" ca="1" si="183"/>
        <v>-1.3825463209449376</v>
      </c>
      <c r="BO301" s="9">
        <f t="shared" ca="1" si="184"/>
        <v>0</v>
      </c>
      <c r="BP301" s="9">
        <f t="shared" ca="1" si="185"/>
        <v>0</v>
      </c>
      <c r="BQ301">
        <f t="shared" ca="1" si="186"/>
        <v>0</v>
      </c>
      <c r="BR301" t="e">
        <f t="shared" ca="1" si="187"/>
        <v>#DIV/0!</v>
      </c>
      <c r="BS301" t="e">
        <f t="shared" ca="1" si="188"/>
        <v>#DIV/0!</v>
      </c>
      <c r="BT301" t="e">
        <f t="shared" ca="1" si="189"/>
        <v>#DIV/0!</v>
      </c>
      <c r="BU301" s="39" t="e">
        <f t="shared" ca="1" si="190"/>
        <v>#DIV/0!</v>
      </c>
    </row>
    <row r="302" spans="45:73" x14ac:dyDescent="0.25">
      <c r="AS302"/>
      <c r="AT302"/>
      <c r="AU302"/>
      <c r="AV302" s="6" t="e">
        <f t="shared" si="172"/>
        <v>#N/A</v>
      </c>
      <c r="AW302" s="6" t="e">
        <f t="shared" si="173"/>
        <v>#N/A</v>
      </c>
      <c r="AX302" s="6" t="e">
        <f t="shared" si="174"/>
        <v>#N/A</v>
      </c>
      <c r="AY302" s="6" t="e">
        <f t="shared" si="175"/>
        <v>#N/A</v>
      </c>
      <c r="BF302" s="39"/>
      <c r="BG302" s="6">
        <f t="shared" si="176"/>
        <v>0</v>
      </c>
      <c r="BH302" s="9">
        <f t="shared" ca="1" si="177"/>
        <v>-37.738665490475874</v>
      </c>
      <c r="BI302" s="9">
        <f t="shared" ca="1" si="178"/>
        <v>-8.3704147259712354</v>
      </c>
      <c r="BJ302">
        <f t="shared" ca="1" si="179"/>
        <v>38.655797956927373</v>
      </c>
      <c r="BK302" s="6">
        <f t="shared" ca="1" si="180"/>
        <v>-0.97627438793338528</v>
      </c>
      <c r="BL302" s="6">
        <f t="shared" ca="1" si="181"/>
        <v>-0.21653710874881066</v>
      </c>
      <c r="BM302" s="6">
        <f t="shared" ca="1" si="182"/>
        <v>-2.923326634047537</v>
      </c>
      <c r="BN302" s="6">
        <f t="shared" ca="1" si="183"/>
        <v>-1.3825463209449376</v>
      </c>
      <c r="BO302" s="9">
        <f t="shared" ca="1" si="184"/>
        <v>0</v>
      </c>
      <c r="BP302" s="9">
        <f t="shared" ca="1" si="185"/>
        <v>0</v>
      </c>
      <c r="BQ302">
        <f t="shared" ca="1" si="186"/>
        <v>0</v>
      </c>
      <c r="BR302" t="e">
        <f t="shared" ca="1" si="187"/>
        <v>#DIV/0!</v>
      </c>
      <c r="BS302" t="e">
        <f t="shared" ca="1" si="188"/>
        <v>#DIV/0!</v>
      </c>
      <c r="BT302" t="e">
        <f t="shared" ca="1" si="189"/>
        <v>#DIV/0!</v>
      </c>
      <c r="BU302" s="39" t="e">
        <f t="shared" ca="1" si="190"/>
        <v>#DIV/0!</v>
      </c>
    </row>
    <row r="303" spans="45:73" x14ac:dyDescent="0.25">
      <c r="AS303"/>
      <c r="AT303"/>
      <c r="AU303"/>
      <c r="AV303" s="6" t="e">
        <f t="shared" si="172"/>
        <v>#N/A</v>
      </c>
      <c r="AW303" s="6" t="e">
        <f t="shared" si="173"/>
        <v>#N/A</v>
      </c>
      <c r="AX303" s="6" t="e">
        <f t="shared" si="174"/>
        <v>#N/A</v>
      </c>
      <c r="AY303" s="6" t="e">
        <f t="shared" si="175"/>
        <v>#N/A</v>
      </c>
      <c r="BF303" s="39"/>
      <c r="BG303" s="6">
        <f t="shared" si="176"/>
        <v>0</v>
      </c>
      <c r="BH303" s="9">
        <f t="shared" ca="1" si="177"/>
        <v>-37.738665490475874</v>
      </c>
      <c r="BI303" s="9">
        <f t="shared" ca="1" si="178"/>
        <v>-8.3704147259712354</v>
      </c>
      <c r="BJ303">
        <f t="shared" ca="1" si="179"/>
        <v>38.655797956927373</v>
      </c>
      <c r="BK303" s="6">
        <f t="shared" ca="1" si="180"/>
        <v>-0.97627438793338528</v>
      </c>
      <c r="BL303" s="6">
        <f t="shared" ca="1" si="181"/>
        <v>-0.21653710874881066</v>
      </c>
      <c r="BM303" s="6">
        <f t="shared" ca="1" si="182"/>
        <v>-2.923326634047537</v>
      </c>
      <c r="BN303" s="6">
        <f t="shared" ca="1" si="183"/>
        <v>-1.3825463209449376</v>
      </c>
      <c r="BO303" s="9">
        <f t="shared" ca="1" si="184"/>
        <v>0</v>
      </c>
      <c r="BP303" s="9">
        <f t="shared" ca="1" si="185"/>
        <v>0</v>
      </c>
      <c r="BQ303">
        <f t="shared" ca="1" si="186"/>
        <v>0</v>
      </c>
      <c r="BR303" t="e">
        <f t="shared" ca="1" si="187"/>
        <v>#DIV/0!</v>
      </c>
      <c r="BS303" t="e">
        <f t="shared" ca="1" si="188"/>
        <v>#DIV/0!</v>
      </c>
      <c r="BT303" t="e">
        <f t="shared" ca="1" si="189"/>
        <v>#DIV/0!</v>
      </c>
      <c r="BU303" s="39" t="e">
        <f t="shared" ca="1" si="190"/>
        <v>#DIV/0!</v>
      </c>
    </row>
    <row r="304" spans="45:73" x14ac:dyDescent="0.25">
      <c r="AS304"/>
      <c r="AT304"/>
      <c r="AU304"/>
      <c r="AV304" s="6" t="e">
        <f t="shared" si="172"/>
        <v>#N/A</v>
      </c>
      <c r="AW304" s="6" t="e">
        <f t="shared" si="173"/>
        <v>#N/A</v>
      </c>
      <c r="AX304" s="6" t="e">
        <f t="shared" si="174"/>
        <v>#N/A</v>
      </c>
      <c r="AY304" s="6" t="e">
        <f t="shared" si="175"/>
        <v>#N/A</v>
      </c>
      <c r="BF304" s="39"/>
      <c r="BG304" s="6">
        <f t="shared" si="176"/>
        <v>0</v>
      </c>
      <c r="BH304" s="9">
        <f t="shared" ca="1" si="177"/>
        <v>-37.738665490475874</v>
      </c>
      <c r="BI304" s="9">
        <f t="shared" ca="1" si="178"/>
        <v>-8.3704147259712354</v>
      </c>
      <c r="BJ304">
        <f t="shared" ca="1" si="179"/>
        <v>38.655797956927373</v>
      </c>
      <c r="BK304" s="6">
        <f t="shared" ca="1" si="180"/>
        <v>-0.97627438793338528</v>
      </c>
      <c r="BL304" s="6">
        <f t="shared" ca="1" si="181"/>
        <v>-0.21653710874881066</v>
      </c>
      <c r="BM304" s="6">
        <f t="shared" ca="1" si="182"/>
        <v>-2.923326634047537</v>
      </c>
      <c r="BN304" s="6">
        <f t="shared" ca="1" si="183"/>
        <v>-1.3825463209449376</v>
      </c>
      <c r="BO304" s="9">
        <f t="shared" ca="1" si="184"/>
        <v>0</v>
      </c>
      <c r="BP304" s="9">
        <f t="shared" ca="1" si="185"/>
        <v>0</v>
      </c>
      <c r="BQ304">
        <f t="shared" ca="1" si="186"/>
        <v>0</v>
      </c>
      <c r="BR304" t="e">
        <f t="shared" ca="1" si="187"/>
        <v>#DIV/0!</v>
      </c>
      <c r="BS304" t="e">
        <f t="shared" ca="1" si="188"/>
        <v>#DIV/0!</v>
      </c>
      <c r="BT304" t="e">
        <f t="shared" ca="1" si="189"/>
        <v>#DIV/0!</v>
      </c>
      <c r="BU304" s="39" t="e">
        <f t="shared" ca="1" si="190"/>
        <v>#DIV/0!</v>
      </c>
    </row>
    <row r="305" spans="45:73" x14ac:dyDescent="0.25">
      <c r="AS305"/>
      <c r="AT305"/>
      <c r="AU305"/>
      <c r="AV305" s="6" t="e">
        <f t="shared" si="172"/>
        <v>#N/A</v>
      </c>
      <c r="AW305" s="6" t="e">
        <f t="shared" si="173"/>
        <v>#N/A</v>
      </c>
      <c r="AX305" s="6" t="e">
        <f t="shared" si="174"/>
        <v>#N/A</v>
      </c>
      <c r="AY305" s="6" t="e">
        <f t="shared" si="175"/>
        <v>#N/A</v>
      </c>
      <c r="BF305" s="39"/>
      <c r="BG305" s="6">
        <f t="shared" si="176"/>
        <v>0</v>
      </c>
      <c r="BH305" s="9">
        <f t="shared" ca="1" si="177"/>
        <v>-37.738665490475874</v>
      </c>
      <c r="BI305" s="9">
        <f t="shared" ca="1" si="178"/>
        <v>-8.3704147259712354</v>
      </c>
      <c r="BJ305">
        <f t="shared" ca="1" si="179"/>
        <v>38.655797956927373</v>
      </c>
      <c r="BK305" s="6">
        <f t="shared" ca="1" si="180"/>
        <v>-0.97627438793338528</v>
      </c>
      <c r="BL305" s="6">
        <f t="shared" ca="1" si="181"/>
        <v>-0.21653710874881066</v>
      </c>
      <c r="BM305" s="6">
        <f t="shared" ca="1" si="182"/>
        <v>-2.923326634047537</v>
      </c>
      <c r="BN305" s="6">
        <f t="shared" ca="1" si="183"/>
        <v>-1.3825463209449376</v>
      </c>
      <c r="BO305" s="9">
        <f t="shared" ca="1" si="184"/>
        <v>0</v>
      </c>
      <c r="BP305" s="9">
        <f t="shared" ca="1" si="185"/>
        <v>0</v>
      </c>
      <c r="BQ305">
        <f t="shared" ca="1" si="186"/>
        <v>0</v>
      </c>
      <c r="BR305" t="e">
        <f t="shared" ca="1" si="187"/>
        <v>#DIV/0!</v>
      </c>
      <c r="BS305" t="e">
        <f t="shared" ca="1" si="188"/>
        <v>#DIV/0!</v>
      </c>
      <c r="BT305" t="e">
        <f t="shared" ca="1" si="189"/>
        <v>#DIV/0!</v>
      </c>
      <c r="BU305" s="39" t="e">
        <f t="shared" ca="1" si="190"/>
        <v>#DIV/0!</v>
      </c>
    </row>
    <row r="306" spans="45:73" x14ac:dyDescent="0.25">
      <c r="AS306"/>
      <c r="AT306"/>
      <c r="AU306"/>
      <c r="AV306" s="6" t="e">
        <f t="shared" si="172"/>
        <v>#N/A</v>
      </c>
      <c r="AW306" s="6" t="e">
        <f t="shared" si="173"/>
        <v>#N/A</v>
      </c>
      <c r="AX306" s="6" t="e">
        <f t="shared" si="174"/>
        <v>#N/A</v>
      </c>
      <c r="AY306" s="6" t="e">
        <f t="shared" si="175"/>
        <v>#N/A</v>
      </c>
      <c r="BF306" s="39"/>
      <c r="BG306" s="6">
        <f t="shared" si="176"/>
        <v>0</v>
      </c>
      <c r="BH306" s="9">
        <f t="shared" ca="1" si="177"/>
        <v>-37.738665490475874</v>
      </c>
      <c r="BI306" s="9">
        <f t="shared" ca="1" si="178"/>
        <v>-8.3704147259712354</v>
      </c>
      <c r="BJ306">
        <f t="shared" ca="1" si="179"/>
        <v>38.655797956927373</v>
      </c>
      <c r="BK306" s="6">
        <f t="shared" ca="1" si="180"/>
        <v>-0.97627438793338528</v>
      </c>
      <c r="BL306" s="6">
        <f t="shared" ca="1" si="181"/>
        <v>-0.21653710874881066</v>
      </c>
      <c r="BM306" s="6">
        <f t="shared" ca="1" si="182"/>
        <v>-2.923326634047537</v>
      </c>
      <c r="BN306" s="6">
        <f t="shared" ca="1" si="183"/>
        <v>-1.3825463209449376</v>
      </c>
      <c r="BO306" s="9">
        <f t="shared" ca="1" si="184"/>
        <v>0</v>
      </c>
      <c r="BP306" s="9">
        <f t="shared" ca="1" si="185"/>
        <v>0</v>
      </c>
      <c r="BQ306">
        <f t="shared" ca="1" si="186"/>
        <v>0</v>
      </c>
      <c r="BR306" t="e">
        <f t="shared" ca="1" si="187"/>
        <v>#DIV/0!</v>
      </c>
      <c r="BS306" t="e">
        <f t="shared" ca="1" si="188"/>
        <v>#DIV/0!</v>
      </c>
      <c r="BT306" t="e">
        <f t="shared" ca="1" si="189"/>
        <v>#DIV/0!</v>
      </c>
      <c r="BU306" s="39" t="e">
        <f t="shared" ca="1" si="190"/>
        <v>#DIV/0!</v>
      </c>
    </row>
    <row r="307" spans="45:73" x14ac:dyDescent="0.25">
      <c r="AS307"/>
      <c r="AT307"/>
      <c r="AU307"/>
      <c r="AV307" s="6" t="e">
        <f t="shared" si="172"/>
        <v>#N/A</v>
      </c>
      <c r="AW307" s="6" t="e">
        <f t="shared" si="173"/>
        <v>#N/A</v>
      </c>
      <c r="AX307" s="6" t="e">
        <f t="shared" si="174"/>
        <v>#N/A</v>
      </c>
      <c r="AY307" s="6" t="e">
        <f t="shared" si="175"/>
        <v>#N/A</v>
      </c>
      <c r="BF307" s="39"/>
      <c r="BG307" s="6">
        <f t="shared" si="176"/>
        <v>0</v>
      </c>
      <c r="BH307" s="9">
        <f t="shared" ca="1" si="177"/>
        <v>-37.738665490475874</v>
      </c>
      <c r="BI307" s="9">
        <f t="shared" ca="1" si="178"/>
        <v>-8.3704147259712354</v>
      </c>
      <c r="BJ307">
        <f t="shared" ca="1" si="179"/>
        <v>38.655797956927373</v>
      </c>
      <c r="BK307" s="6">
        <f t="shared" ca="1" si="180"/>
        <v>-0.97627438793338528</v>
      </c>
      <c r="BL307" s="6">
        <f t="shared" ca="1" si="181"/>
        <v>-0.21653710874881066</v>
      </c>
      <c r="BM307" s="6">
        <f t="shared" ca="1" si="182"/>
        <v>-2.923326634047537</v>
      </c>
      <c r="BN307" s="6">
        <f t="shared" ca="1" si="183"/>
        <v>-1.3825463209449376</v>
      </c>
      <c r="BO307" s="9">
        <f t="shared" ca="1" si="184"/>
        <v>0</v>
      </c>
      <c r="BP307" s="9">
        <f t="shared" ca="1" si="185"/>
        <v>0</v>
      </c>
      <c r="BQ307">
        <f t="shared" ca="1" si="186"/>
        <v>0</v>
      </c>
      <c r="BR307" t="e">
        <f t="shared" ca="1" si="187"/>
        <v>#DIV/0!</v>
      </c>
      <c r="BS307" t="e">
        <f t="shared" ca="1" si="188"/>
        <v>#DIV/0!</v>
      </c>
      <c r="BT307" t="e">
        <f t="shared" ca="1" si="189"/>
        <v>#DIV/0!</v>
      </c>
      <c r="BU307" s="39" t="e">
        <f t="shared" ca="1" si="190"/>
        <v>#DIV/0!</v>
      </c>
    </row>
    <row r="308" spans="45:73" x14ac:dyDescent="0.25">
      <c r="AS308"/>
      <c r="AT308"/>
      <c r="AU308"/>
      <c r="AV308" s="6" t="e">
        <f t="shared" si="172"/>
        <v>#N/A</v>
      </c>
      <c r="AW308" s="6" t="e">
        <f t="shared" si="173"/>
        <v>#N/A</v>
      </c>
      <c r="AX308" s="6" t="e">
        <f t="shared" si="174"/>
        <v>#N/A</v>
      </c>
      <c r="AY308" s="6" t="e">
        <f t="shared" si="175"/>
        <v>#N/A</v>
      </c>
      <c r="BF308" s="39"/>
      <c r="BG308" s="6">
        <f t="shared" si="176"/>
        <v>0</v>
      </c>
      <c r="BH308" s="9">
        <f t="shared" ca="1" si="177"/>
        <v>-37.738665490475874</v>
      </c>
      <c r="BI308" s="9">
        <f t="shared" ca="1" si="178"/>
        <v>-8.3704147259712354</v>
      </c>
      <c r="BJ308">
        <f t="shared" ca="1" si="179"/>
        <v>38.655797956927373</v>
      </c>
      <c r="BK308" s="6">
        <f t="shared" ca="1" si="180"/>
        <v>-0.97627438793338528</v>
      </c>
      <c r="BL308" s="6">
        <f t="shared" ca="1" si="181"/>
        <v>-0.21653710874881066</v>
      </c>
      <c r="BM308" s="6">
        <f t="shared" ca="1" si="182"/>
        <v>-2.923326634047537</v>
      </c>
      <c r="BN308" s="6">
        <f t="shared" ca="1" si="183"/>
        <v>-1.3825463209449376</v>
      </c>
      <c r="BO308" s="9">
        <f t="shared" ca="1" si="184"/>
        <v>0</v>
      </c>
      <c r="BP308" s="9">
        <f t="shared" ca="1" si="185"/>
        <v>0</v>
      </c>
      <c r="BQ308">
        <f t="shared" ca="1" si="186"/>
        <v>0</v>
      </c>
      <c r="BR308" t="e">
        <f t="shared" ca="1" si="187"/>
        <v>#DIV/0!</v>
      </c>
      <c r="BS308" t="e">
        <f t="shared" ca="1" si="188"/>
        <v>#DIV/0!</v>
      </c>
      <c r="BT308" t="e">
        <f t="shared" ca="1" si="189"/>
        <v>#DIV/0!</v>
      </c>
      <c r="BU308" s="39" t="e">
        <f t="shared" ca="1" si="190"/>
        <v>#DIV/0!</v>
      </c>
    </row>
    <row r="309" spans="45:73" x14ac:dyDescent="0.25">
      <c r="AS309"/>
      <c r="AT309"/>
      <c r="AU309"/>
      <c r="AV309" s="6" t="e">
        <f t="shared" si="172"/>
        <v>#N/A</v>
      </c>
      <c r="AW309" s="6" t="e">
        <f t="shared" si="173"/>
        <v>#N/A</v>
      </c>
      <c r="AX309" s="6" t="e">
        <f t="shared" si="174"/>
        <v>#N/A</v>
      </c>
      <c r="AY309" s="6" t="e">
        <f t="shared" si="175"/>
        <v>#N/A</v>
      </c>
      <c r="BF309" s="39"/>
      <c r="BG309" s="6">
        <f t="shared" si="176"/>
        <v>0</v>
      </c>
      <c r="BH309" s="9">
        <f t="shared" ca="1" si="177"/>
        <v>-37.738665490475874</v>
      </c>
      <c r="BI309" s="9">
        <f t="shared" ca="1" si="178"/>
        <v>-8.3704147259712354</v>
      </c>
      <c r="BJ309">
        <f t="shared" ca="1" si="179"/>
        <v>38.655797956927373</v>
      </c>
      <c r="BK309" s="6">
        <f t="shared" ca="1" si="180"/>
        <v>-0.97627438793338528</v>
      </c>
      <c r="BL309" s="6">
        <f t="shared" ca="1" si="181"/>
        <v>-0.21653710874881066</v>
      </c>
      <c r="BM309" s="6">
        <f t="shared" ca="1" si="182"/>
        <v>-2.923326634047537</v>
      </c>
      <c r="BN309" s="6">
        <f t="shared" ca="1" si="183"/>
        <v>-1.3825463209449376</v>
      </c>
      <c r="BO309" s="9">
        <f t="shared" ca="1" si="184"/>
        <v>0</v>
      </c>
      <c r="BP309" s="9">
        <f t="shared" ca="1" si="185"/>
        <v>0</v>
      </c>
      <c r="BQ309">
        <f t="shared" ca="1" si="186"/>
        <v>0</v>
      </c>
      <c r="BR309" t="e">
        <f t="shared" ca="1" si="187"/>
        <v>#DIV/0!</v>
      </c>
      <c r="BS309" t="e">
        <f t="shared" ca="1" si="188"/>
        <v>#DIV/0!</v>
      </c>
      <c r="BT309" t="e">
        <f t="shared" ca="1" si="189"/>
        <v>#DIV/0!</v>
      </c>
      <c r="BU309" s="39" t="e">
        <f t="shared" ca="1" si="190"/>
        <v>#DIV/0!</v>
      </c>
    </row>
    <row r="310" spans="45:73" x14ac:dyDescent="0.25">
      <c r="AS310"/>
      <c r="AT310"/>
      <c r="AU310"/>
      <c r="AV310" s="6" t="e">
        <f t="shared" si="172"/>
        <v>#N/A</v>
      </c>
      <c r="AW310" s="6" t="e">
        <f t="shared" si="173"/>
        <v>#N/A</v>
      </c>
      <c r="AX310" s="6" t="e">
        <f t="shared" si="174"/>
        <v>#N/A</v>
      </c>
      <c r="AY310" s="6" t="e">
        <f t="shared" si="175"/>
        <v>#N/A</v>
      </c>
      <c r="BF310" s="39"/>
      <c r="BG310" s="6">
        <f t="shared" si="176"/>
        <v>0</v>
      </c>
      <c r="BH310" s="9">
        <f t="shared" ca="1" si="177"/>
        <v>-37.738665490475874</v>
      </c>
      <c r="BI310" s="9">
        <f t="shared" ca="1" si="178"/>
        <v>-8.3704147259712354</v>
      </c>
      <c r="BJ310">
        <f t="shared" ca="1" si="179"/>
        <v>38.655797956927373</v>
      </c>
      <c r="BK310" s="6">
        <f t="shared" ca="1" si="180"/>
        <v>-0.97627438793338528</v>
      </c>
      <c r="BL310" s="6">
        <f t="shared" ca="1" si="181"/>
        <v>-0.21653710874881066</v>
      </c>
      <c r="BM310" s="6">
        <f t="shared" ca="1" si="182"/>
        <v>-2.923326634047537</v>
      </c>
      <c r="BN310" s="6">
        <f t="shared" ca="1" si="183"/>
        <v>-1.3825463209449376</v>
      </c>
      <c r="BO310" s="9">
        <f t="shared" ca="1" si="184"/>
        <v>0</v>
      </c>
      <c r="BP310" s="9">
        <f t="shared" ca="1" si="185"/>
        <v>0</v>
      </c>
      <c r="BQ310">
        <f t="shared" ca="1" si="186"/>
        <v>0</v>
      </c>
      <c r="BR310" t="e">
        <f t="shared" ca="1" si="187"/>
        <v>#DIV/0!</v>
      </c>
      <c r="BS310" t="e">
        <f t="shared" ca="1" si="188"/>
        <v>#DIV/0!</v>
      </c>
      <c r="BT310" t="e">
        <f t="shared" ca="1" si="189"/>
        <v>#DIV/0!</v>
      </c>
      <c r="BU310" s="39" t="e">
        <f t="shared" ca="1" si="190"/>
        <v>#DIV/0!</v>
      </c>
    </row>
    <row r="311" spans="45:73" x14ac:dyDescent="0.25">
      <c r="AS311"/>
      <c r="AT311"/>
      <c r="AU311"/>
      <c r="AV311" s="6" t="e">
        <f t="shared" si="172"/>
        <v>#N/A</v>
      </c>
      <c r="AW311" s="6" t="e">
        <f t="shared" si="173"/>
        <v>#N/A</v>
      </c>
      <c r="AX311" s="6" t="e">
        <f t="shared" si="174"/>
        <v>#N/A</v>
      </c>
      <c r="AY311" s="6" t="e">
        <f t="shared" si="175"/>
        <v>#N/A</v>
      </c>
      <c r="BF311" s="39"/>
      <c r="BG311" s="6">
        <f t="shared" si="176"/>
        <v>0</v>
      </c>
      <c r="BH311" s="9">
        <f t="shared" ca="1" si="177"/>
        <v>-37.738665490475874</v>
      </c>
      <c r="BI311" s="9">
        <f t="shared" ca="1" si="178"/>
        <v>-8.3704147259712354</v>
      </c>
      <c r="BJ311">
        <f t="shared" ca="1" si="179"/>
        <v>38.655797956927373</v>
      </c>
      <c r="BK311" s="6">
        <f t="shared" ca="1" si="180"/>
        <v>-0.97627438793338528</v>
      </c>
      <c r="BL311" s="6">
        <f t="shared" ca="1" si="181"/>
        <v>-0.21653710874881066</v>
      </c>
      <c r="BM311" s="6">
        <f t="shared" ca="1" si="182"/>
        <v>-2.923326634047537</v>
      </c>
      <c r="BN311" s="6">
        <f t="shared" ca="1" si="183"/>
        <v>-1.3825463209449376</v>
      </c>
      <c r="BO311" s="9">
        <f t="shared" ca="1" si="184"/>
        <v>0</v>
      </c>
      <c r="BP311" s="9">
        <f t="shared" ca="1" si="185"/>
        <v>0</v>
      </c>
      <c r="BQ311">
        <f t="shared" ca="1" si="186"/>
        <v>0</v>
      </c>
      <c r="BR311" t="e">
        <f t="shared" ca="1" si="187"/>
        <v>#DIV/0!</v>
      </c>
      <c r="BS311" t="e">
        <f t="shared" ca="1" si="188"/>
        <v>#DIV/0!</v>
      </c>
      <c r="BT311" t="e">
        <f t="shared" ca="1" si="189"/>
        <v>#DIV/0!</v>
      </c>
      <c r="BU311" s="39" t="e">
        <f t="shared" ca="1" si="190"/>
        <v>#DIV/0!</v>
      </c>
    </row>
    <row r="312" spans="45:73" x14ac:dyDescent="0.25">
      <c r="AS312"/>
      <c r="AT312"/>
      <c r="AU312"/>
      <c r="AV312" s="6" t="e">
        <f t="shared" si="172"/>
        <v>#N/A</v>
      </c>
      <c r="AW312" s="6" t="e">
        <f t="shared" si="173"/>
        <v>#N/A</v>
      </c>
      <c r="AX312" s="6" t="e">
        <f t="shared" si="174"/>
        <v>#N/A</v>
      </c>
      <c r="AY312" s="6" t="e">
        <f t="shared" si="175"/>
        <v>#N/A</v>
      </c>
      <c r="BF312" s="39"/>
      <c r="BG312" s="6">
        <f t="shared" si="176"/>
        <v>0</v>
      </c>
      <c r="BH312" s="9">
        <f t="shared" ca="1" si="177"/>
        <v>-37.738665490475874</v>
      </c>
      <c r="BI312" s="9">
        <f t="shared" ca="1" si="178"/>
        <v>-8.3704147259712354</v>
      </c>
      <c r="BJ312">
        <f t="shared" ca="1" si="179"/>
        <v>38.655797956927373</v>
      </c>
      <c r="BK312" s="6">
        <f t="shared" ca="1" si="180"/>
        <v>-0.97627438793338528</v>
      </c>
      <c r="BL312" s="6">
        <f t="shared" ca="1" si="181"/>
        <v>-0.21653710874881066</v>
      </c>
      <c r="BM312" s="6">
        <f t="shared" ca="1" si="182"/>
        <v>-2.923326634047537</v>
      </c>
      <c r="BN312" s="6">
        <f t="shared" ca="1" si="183"/>
        <v>-1.3825463209449376</v>
      </c>
      <c r="BO312" s="9">
        <f t="shared" ca="1" si="184"/>
        <v>0</v>
      </c>
      <c r="BP312" s="9">
        <f t="shared" ca="1" si="185"/>
        <v>0</v>
      </c>
      <c r="BQ312">
        <f t="shared" ca="1" si="186"/>
        <v>0</v>
      </c>
      <c r="BR312" t="e">
        <f t="shared" ca="1" si="187"/>
        <v>#DIV/0!</v>
      </c>
      <c r="BS312" t="e">
        <f t="shared" ca="1" si="188"/>
        <v>#DIV/0!</v>
      </c>
      <c r="BT312" t="e">
        <f t="shared" ca="1" si="189"/>
        <v>#DIV/0!</v>
      </c>
      <c r="BU312" s="39" t="e">
        <f t="shared" ca="1" si="190"/>
        <v>#DIV/0!</v>
      </c>
    </row>
    <row r="313" spans="45:73" x14ac:dyDescent="0.25">
      <c r="AS313"/>
      <c r="AT313"/>
      <c r="AU313"/>
      <c r="AV313" s="6" t="e">
        <f t="shared" si="172"/>
        <v>#N/A</v>
      </c>
      <c r="AW313" s="6" t="e">
        <f t="shared" si="173"/>
        <v>#N/A</v>
      </c>
      <c r="AX313" s="6" t="e">
        <f t="shared" si="174"/>
        <v>#N/A</v>
      </c>
      <c r="AY313" s="6" t="e">
        <f t="shared" si="175"/>
        <v>#N/A</v>
      </c>
      <c r="BF313" s="39"/>
      <c r="BG313" s="6">
        <f t="shared" si="176"/>
        <v>0</v>
      </c>
      <c r="BH313" s="9">
        <f t="shared" ca="1" si="177"/>
        <v>-37.738665490475874</v>
      </c>
      <c r="BI313" s="9">
        <f t="shared" ca="1" si="178"/>
        <v>-8.3704147259712354</v>
      </c>
      <c r="BJ313">
        <f t="shared" ca="1" si="179"/>
        <v>38.655797956927373</v>
      </c>
      <c r="BK313" s="6">
        <f t="shared" ca="1" si="180"/>
        <v>-0.97627438793338528</v>
      </c>
      <c r="BL313" s="6">
        <f t="shared" ca="1" si="181"/>
        <v>-0.21653710874881066</v>
      </c>
      <c r="BM313" s="6">
        <f t="shared" ca="1" si="182"/>
        <v>-2.923326634047537</v>
      </c>
      <c r="BN313" s="6">
        <f t="shared" ca="1" si="183"/>
        <v>-1.3825463209449376</v>
      </c>
      <c r="BO313" s="9">
        <f t="shared" ca="1" si="184"/>
        <v>0</v>
      </c>
      <c r="BP313" s="9">
        <f t="shared" ca="1" si="185"/>
        <v>0</v>
      </c>
      <c r="BQ313">
        <f t="shared" ca="1" si="186"/>
        <v>0</v>
      </c>
      <c r="BR313" t="e">
        <f t="shared" ca="1" si="187"/>
        <v>#DIV/0!</v>
      </c>
      <c r="BS313" t="e">
        <f t="shared" ca="1" si="188"/>
        <v>#DIV/0!</v>
      </c>
      <c r="BT313" t="e">
        <f t="shared" ca="1" si="189"/>
        <v>#DIV/0!</v>
      </c>
      <c r="BU313" s="39" t="e">
        <f t="shared" ca="1" si="190"/>
        <v>#DIV/0!</v>
      </c>
    </row>
    <row r="314" spans="45:73" x14ac:dyDescent="0.25">
      <c r="AS314"/>
      <c r="AT314"/>
      <c r="AU314"/>
      <c r="AV314" s="6" t="e">
        <f t="shared" si="172"/>
        <v>#N/A</v>
      </c>
      <c r="AW314" s="6" t="e">
        <f t="shared" si="173"/>
        <v>#N/A</v>
      </c>
      <c r="AX314" s="6" t="e">
        <f t="shared" si="174"/>
        <v>#N/A</v>
      </c>
      <c r="AY314" s="6" t="e">
        <f t="shared" si="175"/>
        <v>#N/A</v>
      </c>
      <c r="BF314" s="39"/>
      <c r="BG314" s="6">
        <f t="shared" si="176"/>
        <v>0</v>
      </c>
      <c r="BH314" s="9">
        <f t="shared" ca="1" si="177"/>
        <v>-37.738665490475874</v>
      </c>
      <c r="BI314" s="9">
        <f t="shared" ca="1" si="178"/>
        <v>-8.3704147259712354</v>
      </c>
      <c r="BJ314">
        <f t="shared" ca="1" si="179"/>
        <v>38.655797956927373</v>
      </c>
      <c r="BK314" s="6">
        <f t="shared" ca="1" si="180"/>
        <v>-0.97627438793338528</v>
      </c>
      <c r="BL314" s="6">
        <f t="shared" ca="1" si="181"/>
        <v>-0.21653710874881066</v>
      </c>
      <c r="BM314" s="6">
        <f t="shared" ca="1" si="182"/>
        <v>-2.923326634047537</v>
      </c>
      <c r="BN314" s="6">
        <f t="shared" ca="1" si="183"/>
        <v>-1.3825463209449376</v>
      </c>
      <c r="BO314" s="9">
        <f t="shared" ca="1" si="184"/>
        <v>0</v>
      </c>
      <c r="BP314" s="9">
        <f t="shared" ca="1" si="185"/>
        <v>0</v>
      </c>
      <c r="BQ314">
        <f t="shared" ca="1" si="186"/>
        <v>0</v>
      </c>
      <c r="BR314" t="e">
        <f t="shared" ca="1" si="187"/>
        <v>#DIV/0!</v>
      </c>
      <c r="BS314" t="e">
        <f t="shared" ca="1" si="188"/>
        <v>#DIV/0!</v>
      </c>
      <c r="BT314" t="e">
        <f t="shared" ca="1" si="189"/>
        <v>#DIV/0!</v>
      </c>
      <c r="BU314" s="39" t="e">
        <f t="shared" ca="1" si="190"/>
        <v>#DIV/0!</v>
      </c>
    </row>
    <row r="315" spans="45:73" x14ac:dyDescent="0.25">
      <c r="AS315"/>
      <c r="AT315"/>
      <c r="AU315"/>
      <c r="AV315" s="6" t="e">
        <f t="shared" si="172"/>
        <v>#N/A</v>
      </c>
      <c r="AW315" s="6" t="e">
        <f t="shared" si="173"/>
        <v>#N/A</v>
      </c>
      <c r="AX315" s="6" t="e">
        <f t="shared" si="174"/>
        <v>#N/A</v>
      </c>
      <c r="AY315" s="6" t="e">
        <f t="shared" si="175"/>
        <v>#N/A</v>
      </c>
      <c r="BF315" s="39"/>
      <c r="BG315" s="6">
        <f t="shared" si="176"/>
        <v>0</v>
      </c>
      <c r="BH315" s="9">
        <f t="shared" ca="1" si="177"/>
        <v>-37.738665490475874</v>
      </c>
      <c r="BI315" s="9">
        <f t="shared" ca="1" si="178"/>
        <v>-8.3704147259712354</v>
      </c>
      <c r="BJ315">
        <f t="shared" ca="1" si="179"/>
        <v>38.655797956927373</v>
      </c>
      <c r="BK315" s="6">
        <f t="shared" ca="1" si="180"/>
        <v>-0.97627438793338528</v>
      </c>
      <c r="BL315" s="6">
        <f t="shared" ca="1" si="181"/>
        <v>-0.21653710874881066</v>
      </c>
      <c r="BM315" s="6">
        <f t="shared" ca="1" si="182"/>
        <v>-2.923326634047537</v>
      </c>
      <c r="BN315" s="6">
        <f t="shared" ca="1" si="183"/>
        <v>-1.3825463209449376</v>
      </c>
      <c r="BO315" s="9">
        <f t="shared" ca="1" si="184"/>
        <v>0</v>
      </c>
      <c r="BP315" s="9">
        <f t="shared" ca="1" si="185"/>
        <v>0</v>
      </c>
      <c r="BQ315">
        <f t="shared" ca="1" si="186"/>
        <v>0</v>
      </c>
      <c r="BR315" t="e">
        <f t="shared" ca="1" si="187"/>
        <v>#DIV/0!</v>
      </c>
      <c r="BS315" t="e">
        <f t="shared" ca="1" si="188"/>
        <v>#DIV/0!</v>
      </c>
      <c r="BT315" t="e">
        <f t="shared" ca="1" si="189"/>
        <v>#DIV/0!</v>
      </c>
      <c r="BU315" s="39" t="e">
        <f t="shared" ca="1" si="190"/>
        <v>#DIV/0!</v>
      </c>
    </row>
    <row r="316" spans="45:73" x14ac:dyDescent="0.25">
      <c r="AS316"/>
      <c r="AT316"/>
      <c r="AU316"/>
      <c r="AV316" s="6" t="e">
        <f t="shared" si="172"/>
        <v>#N/A</v>
      </c>
      <c r="AW316" s="6" t="e">
        <f t="shared" si="173"/>
        <v>#N/A</v>
      </c>
      <c r="AX316" s="6" t="e">
        <f t="shared" si="174"/>
        <v>#N/A</v>
      </c>
      <c r="AY316" s="6" t="e">
        <f t="shared" si="175"/>
        <v>#N/A</v>
      </c>
      <c r="BF316" s="39"/>
      <c r="BG316" s="6">
        <f t="shared" si="176"/>
        <v>0</v>
      </c>
      <c r="BH316" s="9">
        <f t="shared" ca="1" si="177"/>
        <v>-37.738665490475874</v>
      </c>
      <c r="BI316" s="9">
        <f t="shared" ca="1" si="178"/>
        <v>-8.3704147259712354</v>
      </c>
      <c r="BJ316">
        <f t="shared" ca="1" si="179"/>
        <v>38.655797956927373</v>
      </c>
      <c r="BK316" s="6">
        <f t="shared" ca="1" si="180"/>
        <v>-0.97627438793338528</v>
      </c>
      <c r="BL316" s="6">
        <f t="shared" ca="1" si="181"/>
        <v>-0.21653710874881066</v>
      </c>
      <c r="BM316" s="6">
        <f t="shared" ca="1" si="182"/>
        <v>-2.923326634047537</v>
      </c>
      <c r="BN316" s="6">
        <f t="shared" ca="1" si="183"/>
        <v>-1.3825463209449376</v>
      </c>
      <c r="BO316" s="9">
        <f t="shared" ca="1" si="184"/>
        <v>0</v>
      </c>
      <c r="BP316" s="9">
        <f t="shared" ca="1" si="185"/>
        <v>0</v>
      </c>
      <c r="BQ316">
        <f t="shared" ca="1" si="186"/>
        <v>0</v>
      </c>
      <c r="BR316" t="e">
        <f t="shared" ca="1" si="187"/>
        <v>#DIV/0!</v>
      </c>
      <c r="BS316" t="e">
        <f t="shared" ca="1" si="188"/>
        <v>#DIV/0!</v>
      </c>
      <c r="BT316" t="e">
        <f t="shared" ca="1" si="189"/>
        <v>#DIV/0!</v>
      </c>
      <c r="BU316" s="39" t="e">
        <f t="shared" ca="1" si="190"/>
        <v>#DIV/0!</v>
      </c>
    </row>
    <row r="317" spans="45:73" x14ac:dyDescent="0.25">
      <c r="AS317"/>
      <c r="AT317"/>
      <c r="AU317"/>
      <c r="AV317" s="6" t="e">
        <f t="shared" si="172"/>
        <v>#N/A</v>
      </c>
      <c r="AW317" s="6" t="e">
        <f t="shared" si="173"/>
        <v>#N/A</v>
      </c>
      <c r="AX317" s="6" t="e">
        <f t="shared" si="174"/>
        <v>#N/A</v>
      </c>
      <c r="AY317" s="6" t="e">
        <f t="shared" si="175"/>
        <v>#N/A</v>
      </c>
      <c r="BF317" s="39"/>
      <c r="BG317" s="6">
        <f t="shared" si="176"/>
        <v>0</v>
      </c>
      <c r="BH317" s="9">
        <f t="shared" ca="1" si="177"/>
        <v>-37.738665490475874</v>
      </c>
      <c r="BI317" s="9">
        <f t="shared" ca="1" si="178"/>
        <v>-8.3704147259712354</v>
      </c>
      <c r="BJ317">
        <f t="shared" ca="1" si="179"/>
        <v>38.655797956927373</v>
      </c>
      <c r="BK317" s="6">
        <f t="shared" ca="1" si="180"/>
        <v>-0.97627438793338528</v>
      </c>
      <c r="BL317" s="6">
        <f t="shared" ca="1" si="181"/>
        <v>-0.21653710874881066</v>
      </c>
      <c r="BM317" s="6">
        <f t="shared" ca="1" si="182"/>
        <v>-2.923326634047537</v>
      </c>
      <c r="BN317" s="6">
        <f t="shared" ca="1" si="183"/>
        <v>-1.3825463209449376</v>
      </c>
      <c r="BO317" s="9">
        <f t="shared" ca="1" si="184"/>
        <v>0</v>
      </c>
      <c r="BP317" s="9">
        <f t="shared" ca="1" si="185"/>
        <v>0</v>
      </c>
      <c r="BQ317">
        <f t="shared" ca="1" si="186"/>
        <v>0</v>
      </c>
      <c r="BR317" t="e">
        <f t="shared" ca="1" si="187"/>
        <v>#DIV/0!</v>
      </c>
      <c r="BS317" t="e">
        <f t="shared" ca="1" si="188"/>
        <v>#DIV/0!</v>
      </c>
      <c r="BT317" t="e">
        <f t="shared" ca="1" si="189"/>
        <v>#DIV/0!</v>
      </c>
      <c r="BU317" s="39" t="e">
        <f t="shared" ca="1" si="190"/>
        <v>#DIV/0!</v>
      </c>
    </row>
    <row r="318" spans="45:73" x14ac:dyDescent="0.25">
      <c r="AS318"/>
      <c r="AT318"/>
      <c r="AU318"/>
      <c r="AV318" s="6" t="e">
        <f t="shared" si="172"/>
        <v>#N/A</v>
      </c>
      <c r="AW318" s="6" t="e">
        <f t="shared" si="173"/>
        <v>#N/A</v>
      </c>
      <c r="AX318" s="6" t="e">
        <f t="shared" si="174"/>
        <v>#N/A</v>
      </c>
      <c r="AY318" s="6" t="e">
        <f t="shared" si="175"/>
        <v>#N/A</v>
      </c>
      <c r="BF318" s="39"/>
      <c r="BG318" s="6">
        <f t="shared" si="176"/>
        <v>0</v>
      </c>
      <c r="BH318" s="9">
        <f t="shared" ca="1" si="177"/>
        <v>-37.738665490475874</v>
      </c>
      <c r="BI318" s="9">
        <f t="shared" ca="1" si="178"/>
        <v>-8.3704147259712354</v>
      </c>
      <c r="BJ318">
        <f t="shared" ca="1" si="179"/>
        <v>38.655797956927373</v>
      </c>
      <c r="BK318" s="6">
        <f t="shared" ca="1" si="180"/>
        <v>-0.97627438793338528</v>
      </c>
      <c r="BL318" s="6">
        <f t="shared" ca="1" si="181"/>
        <v>-0.21653710874881066</v>
      </c>
      <c r="BM318" s="6">
        <f t="shared" ca="1" si="182"/>
        <v>-2.923326634047537</v>
      </c>
      <c r="BN318" s="6">
        <f t="shared" ca="1" si="183"/>
        <v>-1.3825463209449376</v>
      </c>
      <c r="BO318" s="9">
        <f t="shared" ca="1" si="184"/>
        <v>0</v>
      </c>
      <c r="BP318" s="9">
        <f t="shared" ca="1" si="185"/>
        <v>0</v>
      </c>
      <c r="BQ318">
        <f t="shared" ca="1" si="186"/>
        <v>0</v>
      </c>
      <c r="BR318" t="e">
        <f t="shared" ca="1" si="187"/>
        <v>#DIV/0!</v>
      </c>
      <c r="BS318" t="e">
        <f t="shared" ca="1" si="188"/>
        <v>#DIV/0!</v>
      </c>
      <c r="BT318" t="e">
        <f t="shared" ca="1" si="189"/>
        <v>#DIV/0!</v>
      </c>
      <c r="BU318" s="39" t="e">
        <f t="shared" ca="1" si="190"/>
        <v>#DIV/0!</v>
      </c>
    </row>
    <row r="319" spans="45:73" x14ac:dyDescent="0.25">
      <c r="AS319"/>
      <c r="AT319"/>
      <c r="AU319"/>
      <c r="AV319" s="6" t="e">
        <f t="shared" si="172"/>
        <v>#N/A</v>
      </c>
      <c r="AW319" s="6" t="e">
        <f t="shared" si="173"/>
        <v>#N/A</v>
      </c>
      <c r="AX319" s="6" t="e">
        <f t="shared" si="174"/>
        <v>#N/A</v>
      </c>
      <c r="AY319" s="6" t="e">
        <f t="shared" si="175"/>
        <v>#N/A</v>
      </c>
      <c r="BF319" s="39"/>
      <c r="BG319" s="6">
        <f t="shared" si="176"/>
        <v>0</v>
      </c>
      <c r="BH319" s="9">
        <f t="shared" ca="1" si="177"/>
        <v>-37.738665490475874</v>
      </c>
      <c r="BI319" s="9">
        <f t="shared" ca="1" si="178"/>
        <v>-8.3704147259712354</v>
      </c>
      <c r="BJ319">
        <f t="shared" ca="1" si="179"/>
        <v>38.655797956927373</v>
      </c>
      <c r="BK319" s="6">
        <f t="shared" ca="1" si="180"/>
        <v>-0.97627438793338528</v>
      </c>
      <c r="BL319" s="6">
        <f t="shared" ca="1" si="181"/>
        <v>-0.21653710874881066</v>
      </c>
      <c r="BM319" s="6">
        <f t="shared" ca="1" si="182"/>
        <v>-2.923326634047537</v>
      </c>
      <c r="BN319" s="6">
        <f t="shared" ca="1" si="183"/>
        <v>-1.3825463209449376</v>
      </c>
      <c r="BO319" s="9">
        <f t="shared" ca="1" si="184"/>
        <v>0</v>
      </c>
      <c r="BP319" s="9">
        <f t="shared" ca="1" si="185"/>
        <v>0</v>
      </c>
      <c r="BQ319">
        <f t="shared" ca="1" si="186"/>
        <v>0</v>
      </c>
      <c r="BR319" t="e">
        <f t="shared" ca="1" si="187"/>
        <v>#DIV/0!</v>
      </c>
      <c r="BS319" t="e">
        <f t="shared" ca="1" si="188"/>
        <v>#DIV/0!</v>
      </c>
      <c r="BT319" t="e">
        <f t="shared" ca="1" si="189"/>
        <v>#DIV/0!</v>
      </c>
      <c r="BU319" s="39" t="e">
        <f t="shared" ca="1" si="190"/>
        <v>#DIV/0!</v>
      </c>
    </row>
    <row r="320" spans="45:73" x14ac:dyDescent="0.25">
      <c r="AS320"/>
      <c r="AT320"/>
      <c r="AU320"/>
      <c r="AV320" s="6" t="e">
        <f t="shared" si="172"/>
        <v>#N/A</v>
      </c>
      <c r="AW320" s="6" t="e">
        <f t="shared" si="173"/>
        <v>#N/A</v>
      </c>
      <c r="AX320" s="6" t="e">
        <f t="shared" si="174"/>
        <v>#N/A</v>
      </c>
      <c r="AY320" s="6" t="e">
        <f t="shared" si="175"/>
        <v>#N/A</v>
      </c>
      <c r="BF320" s="39"/>
      <c r="BG320" s="6">
        <f t="shared" si="176"/>
        <v>0</v>
      </c>
      <c r="BH320" s="9">
        <f t="shared" ca="1" si="177"/>
        <v>-37.738665490475874</v>
      </c>
      <c r="BI320" s="9">
        <f t="shared" ca="1" si="178"/>
        <v>-8.3704147259712354</v>
      </c>
      <c r="BJ320">
        <f t="shared" ca="1" si="179"/>
        <v>38.655797956927373</v>
      </c>
      <c r="BK320" s="6">
        <f t="shared" ca="1" si="180"/>
        <v>-0.97627438793338528</v>
      </c>
      <c r="BL320" s="6">
        <f t="shared" ca="1" si="181"/>
        <v>-0.21653710874881066</v>
      </c>
      <c r="BM320" s="6">
        <f t="shared" ca="1" si="182"/>
        <v>-2.923326634047537</v>
      </c>
      <c r="BN320" s="6">
        <f t="shared" ca="1" si="183"/>
        <v>-1.3825463209449376</v>
      </c>
      <c r="BO320" s="9">
        <f t="shared" ca="1" si="184"/>
        <v>0</v>
      </c>
      <c r="BP320" s="9">
        <f t="shared" ca="1" si="185"/>
        <v>0</v>
      </c>
      <c r="BQ320">
        <f t="shared" ca="1" si="186"/>
        <v>0</v>
      </c>
      <c r="BR320" t="e">
        <f t="shared" ca="1" si="187"/>
        <v>#DIV/0!</v>
      </c>
      <c r="BS320" t="e">
        <f t="shared" ca="1" si="188"/>
        <v>#DIV/0!</v>
      </c>
      <c r="BT320" t="e">
        <f t="shared" ca="1" si="189"/>
        <v>#DIV/0!</v>
      </c>
      <c r="BU320" s="39" t="e">
        <f t="shared" ca="1" si="190"/>
        <v>#DIV/0!</v>
      </c>
    </row>
    <row r="321" spans="45:73" x14ac:dyDescent="0.25">
      <c r="AS321"/>
      <c r="AT321"/>
      <c r="AU321"/>
      <c r="AV321" s="6" t="e">
        <f t="shared" si="172"/>
        <v>#N/A</v>
      </c>
      <c r="AW321" s="6" t="e">
        <f t="shared" si="173"/>
        <v>#N/A</v>
      </c>
      <c r="AX321" s="6" t="e">
        <f t="shared" si="174"/>
        <v>#N/A</v>
      </c>
      <c r="AY321" s="6" t="e">
        <f t="shared" si="175"/>
        <v>#N/A</v>
      </c>
      <c r="BF321" s="39"/>
      <c r="BG321" s="6">
        <f t="shared" si="176"/>
        <v>0</v>
      </c>
      <c r="BH321" s="9">
        <f t="shared" ca="1" si="177"/>
        <v>-37.738665490475874</v>
      </c>
      <c r="BI321" s="9">
        <f t="shared" ca="1" si="178"/>
        <v>-8.3704147259712354</v>
      </c>
      <c r="BJ321">
        <f t="shared" ca="1" si="179"/>
        <v>38.655797956927373</v>
      </c>
      <c r="BK321" s="6">
        <f t="shared" ca="1" si="180"/>
        <v>-0.97627438793338528</v>
      </c>
      <c r="BL321" s="6">
        <f t="shared" ca="1" si="181"/>
        <v>-0.21653710874881066</v>
      </c>
      <c r="BM321" s="6">
        <f t="shared" ca="1" si="182"/>
        <v>-2.923326634047537</v>
      </c>
      <c r="BN321" s="6">
        <f t="shared" ca="1" si="183"/>
        <v>-1.3825463209449376</v>
      </c>
      <c r="BO321" s="9">
        <f t="shared" ca="1" si="184"/>
        <v>0</v>
      </c>
      <c r="BP321" s="9">
        <f t="shared" ca="1" si="185"/>
        <v>0</v>
      </c>
      <c r="BQ321">
        <f t="shared" ca="1" si="186"/>
        <v>0</v>
      </c>
      <c r="BR321" t="e">
        <f t="shared" ca="1" si="187"/>
        <v>#DIV/0!</v>
      </c>
      <c r="BS321" t="e">
        <f t="shared" ca="1" si="188"/>
        <v>#DIV/0!</v>
      </c>
      <c r="BT321" t="e">
        <f t="shared" ca="1" si="189"/>
        <v>#DIV/0!</v>
      </c>
      <c r="BU321" s="39" t="e">
        <f t="shared" ca="1" si="190"/>
        <v>#DIV/0!</v>
      </c>
    </row>
    <row r="322" spans="45:73" x14ac:dyDescent="0.25">
      <c r="AS322"/>
      <c r="AT322"/>
      <c r="AU322"/>
      <c r="AV322" s="6" t="e">
        <f t="shared" si="172"/>
        <v>#N/A</v>
      </c>
      <c r="AW322" s="6" t="e">
        <f t="shared" si="173"/>
        <v>#N/A</v>
      </c>
      <c r="AX322" s="6" t="e">
        <f t="shared" si="174"/>
        <v>#N/A</v>
      </c>
      <c r="AY322" s="6" t="e">
        <f t="shared" si="175"/>
        <v>#N/A</v>
      </c>
      <c r="BF322" s="39"/>
      <c r="BG322" s="6">
        <f t="shared" si="176"/>
        <v>0</v>
      </c>
      <c r="BH322" s="9">
        <f t="shared" ca="1" si="177"/>
        <v>-37.738665490475874</v>
      </c>
      <c r="BI322" s="9">
        <f t="shared" ca="1" si="178"/>
        <v>-8.3704147259712354</v>
      </c>
      <c r="BJ322">
        <f t="shared" ca="1" si="179"/>
        <v>38.655797956927373</v>
      </c>
      <c r="BK322" s="6">
        <f t="shared" ca="1" si="180"/>
        <v>-0.97627438793338528</v>
      </c>
      <c r="BL322" s="6">
        <f t="shared" ca="1" si="181"/>
        <v>-0.21653710874881066</v>
      </c>
      <c r="BM322" s="6">
        <f t="shared" ca="1" si="182"/>
        <v>-2.923326634047537</v>
      </c>
      <c r="BN322" s="6">
        <f t="shared" ca="1" si="183"/>
        <v>-1.3825463209449376</v>
      </c>
      <c r="BO322" s="9">
        <f t="shared" ca="1" si="184"/>
        <v>0</v>
      </c>
      <c r="BP322" s="9">
        <f t="shared" ca="1" si="185"/>
        <v>0</v>
      </c>
      <c r="BQ322">
        <f t="shared" ca="1" si="186"/>
        <v>0</v>
      </c>
      <c r="BR322" t="e">
        <f t="shared" ca="1" si="187"/>
        <v>#DIV/0!</v>
      </c>
      <c r="BS322" t="e">
        <f t="shared" ca="1" si="188"/>
        <v>#DIV/0!</v>
      </c>
      <c r="BT322" t="e">
        <f t="shared" ca="1" si="189"/>
        <v>#DIV/0!</v>
      </c>
      <c r="BU322" s="39" t="e">
        <f t="shared" ca="1" si="190"/>
        <v>#DIV/0!</v>
      </c>
    </row>
    <row r="323" spans="45:73" x14ac:dyDescent="0.25">
      <c r="AS323"/>
      <c r="AT323"/>
      <c r="AU323"/>
      <c r="AV323" s="6" t="e">
        <f t="shared" ref="AV323:AV362" si="191">IF(AS323&lt;&gt;"",IF(AND(AT323=0,AU323=0),0,MOD(ATAN2(AT323,AU323),2*PI())),NA())</f>
        <v>#N/A</v>
      </c>
      <c r="AW323" s="6" t="e">
        <f t="shared" ref="AW323:AW362" si="192">ABS(AS323-AV323)</f>
        <v>#N/A</v>
      </c>
      <c r="AX323" s="6" t="e">
        <f t="shared" ref="AX323:AX362" si="193">ATAN2(COS($U$13-AV323),SIN($U$13-AV323))</f>
        <v>#N/A</v>
      </c>
      <c r="AY323" s="6" t="e">
        <f t="shared" ref="AY323:AY362" si="194">ABS(AX323)</f>
        <v>#N/A</v>
      </c>
      <c r="BF323" s="39"/>
      <c r="BG323" s="6">
        <f t="shared" si="176"/>
        <v>0</v>
      </c>
      <c r="BH323" s="9">
        <f t="shared" ca="1" si="177"/>
        <v>-37.738665490475874</v>
      </c>
      <c r="BI323" s="9">
        <f t="shared" ca="1" si="178"/>
        <v>-8.3704147259712354</v>
      </c>
      <c r="BJ323">
        <f t="shared" ca="1" si="179"/>
        <v>38.655797956927373</v>
      </c>
      <c r="BK323" s="6">
        <f t="shared" ca="1" si="180"/>
        <v>-0.97627438793338528</v>
      </c>
      <c r="BL323" s="6">
        <f t="shared" ca="1" si="181"/>
        <v>-0.21653710874881066</v>
      </c>
      <c r="BM323" s="6">
        <f t="shared" ca="1" si="182"/>
        <v>-2.923326634047537</v>
      </c>
      <c r="BN323" s="6">
        <f t="shared" ca="1" si="183"/>
        <v>-1.3825463209449376</v>
      </c>
      <c r="BO323" s="9">
        <f t="shared" ca="1" si="184"/>
        <v>0</v>
      </c>
      <c r="BP323" s="9">
        <f t="shared" ca="1" si="185"/>
        <v>0</v>
      </c>
      <c r="BQ323">
        <f t="shared" ca="1" si="186"/>
        <v>0</v>
      </c>
      <c r="BR323" t="e">
        <f t="shared" ca="1" si="187"/>
        <v>#DIV/0!</v>
      </c>
      <c r="BS323" t="e">
        <f t="shared" ca="1" si="188"/>
        <v>#DIV/0!</v>
      </c>
      <c r="BT323" t="e">
        <f t="shared" ca="1" si="189"/>
        <v>#DIV/0!</v>
      </c>
      <c r="BU323" s="39" t="e">
        <f t="shared" ca="1" si="190"/>
        <v>#DIV/0!</v>
      </c>
    </row>
    <row r="324" spans="45:73" x14ac:dyDescent="0.25">
      <c r="AS324"/>
      <c r="AT324"/>
      <c r="AU324"/>
      <c r="AV324" s="6" t="e">
        <f t="shared" si="191"/>
        <v>#N/A</v>
      </c>
      <c r="AW324" s="6" t="e">
        <f t="shared" si="192"/>
        <v>#N/A</v>
      </c>
      <c r="AX324" s="6" t="e">
        <f t="shared" si="193"/>
        <v>#N/A</v>
      </c>
      <c r="AY324" s="6" t="e">
        <f t="shared" si="194"/>
        <v>#N/A</v>
      </c>
      <c r="BF324" s="39"/>
      <c r="BG324" s="6">
        <f t="shared" si="176"/>
        <v>0</v>
      </c>
      <c r="BH324" s="9">
        <f t="shared" ca="1" si="177"/>
        <v>-37.738665490475874</v>
      </c>
      <c r="BI324" s="9">
        <f t="shared" ca="1" si="178"/>
        <v>-8.3704147259712354</v>
      </c>
      <c r="BJ324">
        <f t="shared" ca="1" si="179"/>
        <v>38.655797956927373</v>
      </c>
      <c r="BK324" s="6">
        <f t="shared" ca="1" si="180"/>
        <v>-0.97627438793338528</v>
      </c>
      <c r="BL324" s="6">
        <f t="shared" ca="1" si="181"/>
        <v>-0.21653710874881066</v>
      </c>
      <c r="BM324" s="6">
        <f t="shared" ca="1" si="182"/>
        <v>-2.923326634047537</v>
      </c>
      <c r="BN324" s="6">
        <f t="shared" ca="1" si="183"/>
        <v>-1.3825463209449376</v>
      </c>
      <c r="BO324" s="9">
        <f t="shared" ca="1" si="184"/>
        <v>0</v>
      </c>
      <c r="BP324" s="9">
        <f t="shared" ca="1" si="185"/>
        <v>0</v>
      </c>
      <c r="BQ324">
        <f t="shared" ca="1" si="186"/>
        <v>0</v>
      </c>
      <c r="BR324" t="e">
        <f t="shared" ca="1" si="187"/>
        <v>#DIV/0!</v>
      </c>
      <c r="BS324" t="e">
        <f t="shared" ca="1" si="188"/>
        <v>#DIV/0!</v>
      </c>
      <c r="BT324" t="e">
        <f t="shared" ca="1" si="189"/>
        <v>#DIV/0!</v>
      </c>
      <c r="BU324" s="39" t="e">
        <f t="shared" ca="1" si="190"/>
        <v>#DIV/0!</v>
      </c>
    </row>
    <row r="325" spans="45:73" x14ac:dyDescent="0.25">
      <c r="AS325"/>
      <c r="AT325"/>
      <c r="AU325"/>
      <c r="AV325" s="6" t="e">
        <f t="shared" si="191"/>
        <v>#N/A</v>
      </c>
      <c r="AW325" s="6" t="e">
        <f t="shared" si="192"/>
        <v>#N/A</v>
      </c>
      <c r="AX325" s="6" t="e">
        <f t="shared" si="193"/>
        <v>#N/A</v>
      </c>
      <c r="AY325" s="6" t="e">
        <f t="shared" si="194"/>
        <v>#N/A</v>
      </c>
      <c r="BF325" s="39"/>
      <c r="BG325" s="6">
        <f t="shared" si="176"/>
        <v>0</v>
      </c>
      <c r="BH325" s="9">
        <f t="shared" ca="1" si="177"/>
        <v>-37.738665490475874</v>
      </c>
      <c r="BI325" s="9">
        <f t="shared" ca="1" si="178"/>
        <v>-8.3704147259712354</v>
      </c>
      <c r="BJ325">
        <f t="shared" ca="1" si="179"/>
        <v>38.655797956927373</v>
      </c>
      <c r="BK325" s="6">
        <f t="shared" ca="1" si="180"/>
        <v>-0.97627438793338528</v>
      </c>
      <c r="BL325" s="6">
        <f t="shared" ca="1" si="181"/>
        <v>-0.21653710874881066</v>
      </c>
      <c r="BM325" s="6">
        <f t="shared" ca="1" si="182"/>
        <v>-2.923326634047537</v>
      </c>
      <c r="BN325" s="6">
        <f t="shared" ca="1" si="183"/>
        <v>-1.3825463209449376</v>
      </c>
      <c r="BO325" s="9">
        <f t="shared" ca="1" si="184"/>
        <v>0</v>
      </c>
      <c r="BP325" s="9">
        <f t="shared" ca="1" si="185"/>
        <v>0</v>
      </c>
      <c r="BQ325">
        <f t="shared" ca="1" si="186"/>
        <v>0</v>
      </c>
      <c r="BR325" t="e">
        <f t="shared" ca="1" si="187"/>
        <v>#DIV/0!</v>
      </c>
      <c r="BS325" t="e">
        <f t="shared" ca="1" si="188"/>
        <v>#DIV/0!</v>
      </c>
      <c r="BT325" t="e">
        <f t="shared" ca="1" si="189"/>
        <v>#DIV/0!</v>
      </c>
      <c r="BU325" s="39" t="e">
        <f t="shared" ca="1" si="190"/>
        <v>#DIV/0!</v>
      </c>
    </row>
    <row r="326" spans="45:73" x14ac:dyDescent="0.25">
      <c r="AS326"/>
      <c r="AT326"/>
      <c r="AU326"/>
      <c r="AV326" s="6" t="e">
        <f t="shared" si="191"/>
        <v>#N/A</v>
      </c>
      <c r="AW326" s="6" t="e">
        <f t="shared" si="192"/>
        <v>#N/A</v>
      </c>
      <c r="AX326" s="6" t="e">
        <f t="shared" si="193"/>
        <v>#N/A</v>
      </c>
      <c r="AY326" s="6" t="e">
        <f t="shared" si="194"/>
        <v>#N/A</v>
      </c>
      <c r="BF326" s="39"/>
      <c r="BG326" s="6">
        <f t="shared" si="176"/>
        <v>0</v>
      </c>
      <c r="BH326" s="9">
        <f t="shared" ca="1" si="177"/>
        <v>-37.738665490475874</v>
      </c>
      <c r="BI326" s="9">
        <f t="shared" ca="1" si="178"/>
        <v>-8.3704147259712354</v>
      </c>
      <c r="BJ326">
        <f t="shared" ca="1" si="179"/>
        <v>38.655797956927373</v>
      </c>
      <c r="BK326" s="6">
        <f t="shared" ca="1" si="180"/>
        <v>-0.97627438793338528</v>
      </c>
      <c r="BL326" s="6">
        <f t="shared" ca="1" si="181"/>
        <v>-0.21653710874881066</v>
      </c>
      <c r="BM326" s="6">
        <f t="shared" ca="1" si="182"/>
        <v>-2.923326634047537</v>
      </c>
      <c r="BN326" s="6">
        <f t="shared" ca="1" si="183"/>
        <v>-1.3825463209449376</v>
      </c>
      <c r="BO326" s="9">
        <f t="shared" ca="1" si="184"/>
        <v>0</v>
      </c>
      <c r="BP326" s="9">
        <f t="shared" ca="1" si="185"/>
        <v>0</v>
      </c>
      <c r="BQ326">
        <f t="shared" ca="1" si="186"/>
        <v>0</v>
      </c>
      <c r="BR326" t="e">
        <f t="shared" ca="1" si="187"/>
        <v>#DIV/0!</v>
      </c>
      <c r="BS326" t="e">
        <f t="shared" ca="1" si="188"/>
        <v>#DIV/0!</v>
      </c>
      <c r="BT326" t="e">
        <f t="shared" ca="1" si="189"/>
        <v>#DIV/0!</v>
      </c>
      <c r="BU326" s="39" t="e">
        <f t="shared" ca="1" si="190"/>
        <v>#DIV/0!</v>
      </c>
    </row>
    <row r="327" spans="45:73" x14ac:dyDescent="0.25">
      <c r="AS327"/>
      <c r="AT327"/>
      <c r="AU327"/>
      <c r="AV327" s="6" t="e">
        <f t="shared" si="191"/>
        <v>#N/A</v>
      </c>
      <c r="AW327" s="6" t="e">
        <f t="shared" si="192"/>
        <v>#N/A</v>
      </c>
      <c r="AX327" s="6" t="e">
        <f t="shared" si="193"/>
        <v>#N/A</v>
      </c>
      <c r="AY327" s="6" t="e">
        <f t="shared" si="194"/>
        <v>#N/A</v>
      </c>
      <c r="BF327" s="39"/>
      <c r="BG327" s="6">
        <f t="shared" si="176"/>
        <v>0</v>
      </c>
      <c r="BH327" s="9">
        <f t="shared" ca="1" si="177"/>
        <v>-37.738665490475874</v>
      </c>
      <c r="BI327" s="9">
        <f t="shared" ca="1" si="178"/>
        <v>-8.3704147259712354</v>
      </c>
      <c r="BJ327">
        <f t="shared" ca="1" si="179"/>
        <v>38.655797956927373</v>
      </c>
      <c r="BK327" s="6">
        <f t="shared" ca="1" si="180"/>
        <v>-0.97627438793338528</v>
      </c>
      <c r="BL327" s="6">
        <f t="shared" ca="1" si="181"/>
        <v>-0.21653710874881066</v>
      </c>
      <c r="BM327" s="6">
        <f t="shared" ca="1" si="182"/>
        <v>-2.923326634047537</v>
      </c>
      <c r="BN327" s="6">
        <f t="shared" ca="1" si="183"/>
        <v>-1.3825463209449376</v>
      </c>
      <c r="BO327" s="9">
        <f t="shared" ca="1" si="184"/>
        <v>0</v>
      </c>
      <c r="BP327" s="9">
        <f t="shared" ca="1" si="185"/>
        <v>0</v>
      </c>
      <c r="BQ327">
        <f t="shared" ca="1" si="186"/>
        <v>0</v>
      </c>
      <c r="BR327" t="e">
        <f t="shared" ca="1" si="187"/>
        <v>#DIV/0!</v>
      </c>
      <c r="BS327" t="e">
        <f t="shared" ca="1" si="188"/>
        <v>#DIV/0!</v>
      </c>
      <c r="BT327" t="e">
        <f t="shared" ca="1" si="189"/>
        <v>#DIV/0!</v>
      </c>
      <c r="BU327" s="39" t="e">
        <f t="shared" ca="1" si="190"/>
        <v>#DIV/0!</v>
      </c>
    </row>
    <row r="328" spans="45:73" x14ac:dyDescent="0.25">
      <c r="AS328"/>
      <c r="AT328"/>
      <c r="AU328"/>
      <c r="AV328" s="6" t="e">
        <f t="shared" si="191"/>
        <v>#N/A</v>
      </c>
      <c r="AW328" s="6" t="e">
        <f t="shared" si="192"/>
        <v>#N/A</v>
      </c>
      <c r="AX328" s="6" t="e">
        <f t="shared" si="193"/>
        <v>#N/A</v>
      </c>
      <c r="AY328" s="6" t="e">
        <f t="shared" si="194"/>
        <v>#N/A</v>
      </c>
      <c r="BF328" s="39"/>
      <c r="BG328" s="6">
        <f t="shared" si="176"/>
        <v>0</v>
      </c>
      <c r="BH328" s="9">
        <f t="shared" ca="1" si="177"/>
        <v>-37.738665490475874</v>
      </c>
      <c r="BI328" s="9">
        <f t="shared" ca="1" si="178"/>
        <v>-8.3704147259712354</v>
      </c>
      <c r="BJ328">
        <f t="shared" ca="1" si="179"/>
        <v>38.655797956927373</v>
      </c>
      <c r="BK328" s="6">
        <f t="shared" ca="1" si="180"/>
        <v>-0.97627438793338528</v>
      </c>
      <c r="BL328" s="6">
        <f t="shared" ca="1" si="181"/>
        <v>-0.21653710874881066</v>
      </c>
      <c r="BM328" s="6">
        <f t="shared" ca="1" si="182"/>
        <v>-2.923326634047537</v>
      </c>
      <c r="BN328" s="6">
        <f t="shared" ca="1" si="183"/>
        <v>-1.3825463209449376</v>
      </c>
      <c r="BO328" s="9">
        <f t="shared" ca="1" si="184"/>
        <v>0</v>
      </c>
      <c r="BP328" s="9">
        <f t="shared" ca="1" si="185"/>
        <v>0</v>
      </c>
      <c r="BQ328">
        <f t="shared" ca="1" si="186"/>
        <v>0</v>
      </c>
      <c r="BR328" t="e">
        <f t="shared" ca="1" si="187"/>
        <v>#DIV/0!</v>
      </c>
      <c r="BS328" t="e">
        <f t="shared" ca="1" si="188"/>
        <v>#DIV/0!</v>
      </c>
      <c r="BT328" t="e">
        <f t="shared" ca="1" si="189"/>
        <v>#DIV/0!</v>
      </c>
      <c r="BU328" s="39" t="e">
        <f t="shared" ca="1" si="190"/>
        <v>#DIV/0!</v>
      </c>
    </row>
    <row r="329" spans="45:73" x14ac:dyDescent="0.25">
      <c r="AS329"/>
      <c r="AT329"/>
      <c r="AU329"/>
      <c r="AV329" s="6" t="e">
        <f t="shared" si="191"/>
        <v>#N/A</v>
      </c>
      <c r="AW329" s="6" t="e">
        <f t="shared" si="192"/>
        <v>#N/A</v>
      </c>
      <c r="AX329" s="6" t="e">
        <f t="shared" si="193"/>
        <v>#N/A</v>
      </c>
      <c r="AY329" s="6" t="e">
        <f t="shared" si="194"/>
        <v>#N/A</v>
      </c>
      <c r="BF329" s="39"/>
      <c r="BG329" s="6">
        <f t="shared" si="176"/>
        <v>0</v>
      </c>
      <c r="BH329" s="9">
        <f t="shared" ca="1" si="177"/>
        <v>-37.738665490475874</v>
      </c>
      <c r="BI329" s="9">
        <f t="shared" ca="1" si="178"/>
        <v>-8.3704147259712354</v>
      </c>
      <c r="BJ329">
        <f t="shared" ca="1" si="179"/>
        <v>38.655797956927373</v>
      </c>
      <c r="BK329" s="6">
        <f t="shared" ca="1" si="180"/>
        <v>-0.97627438793338528</v>
      </c>
      <c r="BL329" s="6">
        <f t="shared" ca="1" si="181"/>
        <v>-0.21653710874881066</v>
      </c>
      <c r="BM329" s="6">
        <f t="shared" ca="1" si="182"/>
        <v>-2.923326634047537</v>
      </c>
      <c r="BN329" s="6">
        <f t="shared" ca="1" si="183"/>
        <v>-1.3825463209449376</v>
      </c>
      <c r="BO329" s="9">
        <f t="shared" ca="1" si="184"/>
        <v>0</v>
      </c>
      <c r="BP329" s="9">
        <f t="shared" ca="1" si="185"/>
        <v>0</v>
      </c>
      <c r="BQ329">
        <f t="shared" ca="1" si="186"/>
        <v>0</v>
      </c>
      <c r="BR329" t="e">
        <f t="shared" ca="1" si="187"/>
        <v>#DIV/0!</v>
      </c>
      <c r="BS329" t="e">
        <f t="shared" ca="1" si="188"/>
        <v>#DIV/0!</v>
      </c>
      <c r="BT329" t="e">
        <f t="shared" ca="1" si="189"/>
        <v>#DIV/0!</v>
      </c>
      <c r="BU329" s="39" t="e">
        <f t="shared" ca="1" si="190"/>
        <v>#DIV/0!</v>
      </c>
    </row>
    <row r="330" spans="45:73" x14ac:dyDescent="0.25">
      <c r="AS330"/>
      <c r="AT330"/>
      <c r="AU330"/>
      <c r="AV330" s="6" t="e">
        <f t="shared" si="191"/>
        <v>#N/A</v>
      </c>
      <c r="AW330" s="6" t="e">
        <f t="shared" si="192"/>
        <v>#N/A</v>
      </c>
      <c r="AX330" s="6" t="e">
        <f t="shared" si="193"/>
        <v>#N/A</v>
      </c>
      <c r="AY330" s="6" t="e">
        <f t="shared" si="194"/>
        <v>#N/A</v>
      </c>
      <c r="BF330" s="39"/>
      <c r="BG330" s="6">
        <f t="shared" si="176"/>
        <v>0</v>
      </c>
      <c r="BH330" s="9">
        <f t="shared" ca="1" si="177"/>
        <v>-37.738665490475874</v>
      </c>
      <c r="BI330" s="9">
        <f t="shared" ca="1" si="178"/>
        <v>-8.3704147259712354</v>
      </c>
      <c r="BJ330">
        <f t="shared" ca="1" si="179"/>
        <v>38.655797956927373</v>
      </c>
      <c r="BK330" s="6">
        <f t="shared" ca="1" si="180"/>
        <v>-0.97627438793338528</v>
      </c>
      <c r="BL330" s="6">
        <f t="shared" ca="1" si="181"/>
        <v>-0.21653710874881066</v>
      </c>
      <c r="BM330" s="6">
        <f t="shared" ca="1" si="182"/>
        <v>-2.923326634047537</v>
      </c>
      <c r="BN330" s="6">
        <f t="shared" ca="1" si="183"/>
        <v>-1.3825463209449376</v>
      </c>
      <c r="BO330" s="9">
        <f t="shared" ca="1" si="184"/>
        <v>0</v>
      </c>
      <c r="BP330" s="9">
        <f t="shared" ca="1" si="185"/>
        <v>0</v>
      </c>
      <c r="BQ330">
        <f t="shared" ca="1" si="186"/>
        <v>0</v>
      </c>
      <c r="BR330" t="e">
        <f t="shared" ca="1" si="187"/>
        <v>#DIV/0!</v>
      </c>
      <c r="BS330" t="e">
        <f t="shared" ca="1" si="188"/>
        <v>#DIV/0!</v>
      </c>
      <c r="BT330" t="e">
        <f t="shared" ca="1" si="189"/>
        <v>#DIV/0!</v>
      </c>
      <c r="BU330" s="39" t="e">
        <f t="shared" ca="1" si="190"/>
        <v>#DIV/0!</v>
      </c>
    </row>
    <row r="331" spans="45:73" x14ac:dyDescent="0.25">
      <c r="AS331"/>
      <c r="AT331"/>
      <c r="AU331"/>
      <c r="AV331" s="6" t="e">
        <f t="shared" si="191"/>
        <v>#N/A</v>
      </c>
      <c r="AW331" s="6" t="e">
        <f t="shared" si="192"/>
        <v>#N/A</v>
      </c>
      <c r="AX331" s="6" t="e">
        <f t="shared" si="193"/>
        <v>#N/A</v>
      </c>
      <c r="AY331" s="6" t="e">
        <f t="shared" si="194"/>
        <v>#N/A</v>
      </c>
      <c r="BF331" s="39"/>
      <c r="BG331" s="6">
        <f t="shared" si="176"/>
        <v>0</v>
      </c>
      <c r="BH331" s="9">
        <f t="shared" ca="1" si="177"/>
        <v>-37.738665490475874</v>
      </c>
      <c r="BI331" s="9">
        <f t="shared" ca="1" si="178"/>
        <v>-8.3704147259712354</v>
      </c>
      <c r="BJ331">
        <f t="shared" ca="1" si="179"/>
        <v>38.655797956927373</v>
      </c>
      <c r="BK331" s="6">
        <f t="shared" ca="1" si="180"/>
        <v>-0.97627438793338528</v>
      </c>
      <c r="BL331" s="6">
        <f t="shared" ca="1" si="181"/>
        <v>-0.21653710874881066</v>
      </c>
      <c r="BM331" s="6">
        <f t="shared" ca="1" si="182"/>
        <v>-2.923326634047537</v>
      </c>
      <c r="BN331" s="6">
        <f t="shared" ca="1" si="183"/>
        <v>-1.3825463209449376</v>
      </c>
      <c r="BO331" s="9">
        <f t="shared" ca="1" si="184"/>
        <v>0</v>
      </c>
      <c r="BP331" s="9">
        <f t="shared" ca="1" si="185"/>
        <v>0</v>
      </c>
      <c r="BQ331">
        <f t="shared" ca="1" si="186"/>
        <v>0</v>
      </c>
      <c r="BR331" t="e">
        <f t="shared" ca="1" si="187"/>
        <v>#DIV/0!</v>
      </c>
      <c r="BS331" t="e">
        <f t="shared" ca="1" si="188"/>
        <v>#DIV/0!</v>
      </c>
      <c r="BT331" t="e">
        <f t="shared" ca="1" si="189"/>
        <v>#DIV/0!</v>
      </c>
      <c r="BU331" s="39" t="e">
        <f t="shared" ca="1" si="190"/>
        <v>#DIV/0!</v>
      </c>
    </row>
    <row r="332" spans="45:73" x14ac:dyDescent="0.25">
      <c r="AS332"/>
      <c r="AT332"/>
      <c r="AU332"/>
      <c r="AV332" s="6" t="e">
        <f t="shared" si="191"/>
        <v>#N/A</v>
      </c>
      <c r="AW332" s="6" t="e">
        <f t="shared" si="192"/>
        <v>#N/A</v>
      </c>
      <c r="AX332" s="6" t="e">
        <f t="shared" si="193"/>
        <v>#N/A</v>
      </c>
      <c r="AY332" s="6" t="e">
        <f t="shared" si="194"/>
        <v>#N/A</v>
      </c>
      <c r="BF332" s="39"/>
      <c r="BG332" s="6">
        <f t="shared" si="176"/>
        <v>0</v>
      </c>
      <c r="BH332" s="9">
        <f t="shared" ca="1" si="177"/>
        <v>-37.738665490475874</v>
      </c>
      <c r="BI332" s="9">
        <f t="shared" ca="1" si="178"/>
        <v>-8.3704147259712354</v>
      </c>
      <c r="BJ332">
        <f t="shared" ca="1" si="179"/>
        <v>38.655797956927373</v>
      </c>
      <c r="BK332" s="6">
        <f t="shared" ca="1" si="180"/>
        <v>-0.97627438793338528</v>
      </c>
      <c r="BL332" s="6">
        <f t="shared" ca="1" si="181"/>
        <v>-0.21653710874881066</v>
      </c>
      <c r="BM332" s="6">
        <f t="shared" ca="1" si="182"/>
        <v>-2.923326634047537</v>
      </c>
      <c r="BN332" s="6">
        <f t="shared" ca="1" si="183"/>
        <v>-1.3825463209449376</v>
      </c>
      <c r="BO332" s="9">
        <f t="shared" ca="1" si="184"/>
        <v>0</v>
      </c>
      <c r="BP332" s="9">
        <f t="shared" ca="1" si="185"/>
        <v>0</v>
      </c>
      <c r="BQ332">
        <f t="shared" ca="1" si="186"/>
        <v>0</v>
      </c>
      <c r="BR332" t="e">
        <f t="shared" ca="1" si="187"/>
        <v>#DIV/0!</v>
      </c>
      <c r="BS332" t="e">
        <f t="shared" ca="1" si="188"/>
        <v>#DIV/0!</v>
      </c>
      <c r="BT332" t="e">
        <f t="shared" ca="1" si="189"/>
        <v>#DIV/0!</v>
      </c>
      <c r="BU332" s="39" t="e">
        <f t="shared" ca="1" si="190"/>
        <v>#DIV/0!</v>
      </c>
    </row>
    <row r="333" spans="45:73" x14ac:dyDescent="0.25">
      <c r="AS333"/>
      <c r="AT333"/>
      <c r="AU333"/>
      <c r="AV333" s="6" t="e">
        <f t="shared" si="191"/>
        <v>#N/A</v>
      </c>
      <c r="AW333" s="6" t="e">
        <f t="shared" si="192"/>
        <v>#N/A</v>
      </c>
      <c r="AX333" s="6" t="e">
        <f t="shared" si="193"/>
        <v>#N/A</v>
      </c>
      <c r="AY333" s="6" t="e">
        <f t="shared" si="194"/>
        <v>#N/A</v>
      </c>
      <c r="BF333" s="39"/>
      <c r="BG333" s="6">
        <f t="shared" si="176"/>
        <v>0</v>
      </c>
      <c r="BH333" s="9">
        <f t="shared" ca="1" si="177"/>
        <v>-37.738665490475874</v>
      </c>
      <c r="BI333" s="9">
        <f t="shared" ca="1" si="178"/>
        <v>-8.3704147259712354</v>
      </c>
      <c r="BJ333">
        <f t="shared" ca="1" si="179"/>
        <v>38.655797956927373</v>
      </c>
      <c r="BK333" s="6">
        <f t="shared" ca="1" si="180"/>
        <v>-0.97627438793338528</v>
      </c>
      <c r="BL333" s="6">
        <f t="shared" ca="1" si="181"/>
        <v>-0.21653710874881066</v>
      </c>
      <c r="BM333" s="6">
        <f t="shared" ca="1" si="182"/>
        <v>-2.923326634047537</v>
      </c>
      <c r="BN333" s="6">
        <f t="shared" ca="1" si="183"/>
        <v>-1.3825463209449376</v>
      </c>
      <c r="BO333" s="9">
        <f t="shared" ca="1" si="184"/>
        <v>0</v>
      </c>
      <c r="BP333" s="9">
        <f t="shared" ca="1" si="185"/>
        <v>0</v>
      </c>
      <c r="BQ333">
        <f t="shared" ca="1" si="186"/>
        <v>0</v>
      </c>
      <c r="BR333" t="e">
        <f t="shared" ca="1" si="187"/>
        <v>#DIV/0!</v>
      </c>
      <c r="BS333" t="e">
        <f t="shared" ca="1" si="188"/>
        <v>#DIV/0!</v>
      </c>
      <c r="BT333" t="e">
        <f t="shared" ca="1" si="189"/>
        <v>#DIV/0!</v>
      </c>
      <c r="BU333" s="39" t="e">
        <f t="shared" ca="1" si="190"/>
        <v>#DIV/0!</v>
      </c>
    </row>
    <row r="334" spans="45:73" x14ac:dyDescent="0.25">
      <c r="AS334"/>
      <c r="AT334"/>
      <c r="AU334"/>
      <c r="AV334" s="6" t="e">
        <f t="shared" si="191"/>
        <v>#N/A</v>
      </c>
      <c r="AW334" s="6" t="e">
        <f t="shared" si="192"/>
        <v>#N/A</v>
      </c>
      <c r="AX334" s="6" t="e">
        <f t="shared" si="193"/>
        <v>#N/A</v>
      </c>
      <c r="AY334" s="6" t="e">
        <f t="shared" si="194"/>
        <v>#N/A</v>
      </c>
      <c r="BF334" s="39"/>
      <c r="BG334" s="6">
        <f t="shared" si="176"/>
        <v>0</v>
      </c>
      <c r="BH334" s="9">
        <f t="shared" ca="1" si="177"/>
        <v>-37.738665490475874</v>
      </c>
      <c r="BI334" s="9">
        <f t="shared" ca="1" si="178"/>
        <v>-8.3704147259712354</v>
      </c>
      <c r="BJ334">
        <f t="shared" ca="1" si="179"/>
        <v>38.655797956927373</v>
      </c>
      <c r="BK334" s="6">
        <f t="shared" ca="1" si="180"/>
        <v>-0.97627438793338528</v>
      </c>
      <c r="BL334" s="6">
        <f t="shared" ca="1" si="181"/>
        <v>-0.21653710874881066</v>
      </c>
      <c r="BM334" s="6">
        <f t="shared" ca="1" si="182"/>
        <v>-2.923326634047537</v>
      </c>
      <c r="BN334" s="6">
        <f t="shared" ca="1" si="183"/>
        <v>-1.3825463209449376</v>
      </c>
      <c r="BO334" s="9">
        <f t="shared" ca="1" si="184"/>
        <v>0</v>
      </c>
      <c r="BP334" s="9">
        <f t="shared" ca="1" si="185"/>
        <v>0</v>
      </c>
      <c r="BQ334">
        <f t="shared" ca="1" si="186"/>
        <v>0</v>
      </c>
      <c r="BR334" t="e">
        <f t="shared" ca="1" si="187"/>
        <v>#DIV/0!</v>
      </c>
      <c r="BS334" t="e">
        <f t="shared" ca="1" si="188"/>
        <v>#DIV/0!</v>
      </c>
      <c r="BT334" t="e">
        <f t="shared" ca="1" si="189"/>
        <v>#DIV/0!</v>
      </c>
      <c r="BU334" s="39" t="e">
        <f t="shared" ca="1" si="190"/>
        <v>#DIV/0!</v>
      </c>
    </row>
    <row r="335" spans="45:73" x14ac:dyDescent="0.25">
      <c r="AS335"/>
      <c r="AT335"/>
      <c r="AU335"/>
      <c r="AV335" s="6" t="e">
        <f t="shared" si="191"/>
        <v>#N/A</v>
      </c>
      <c r="AW335" s="6" t="e">
        <f t="shared" si="192"/>
        <v>#N/A</v>
      </c>
      <c r="AX335" s="6" t="e">
        <f t="shared" si="193"/>
        <v>#N/A</v>
      </c>
      <c r="AY335" s="6" t="e">
        <f t="shared" si="194"/>
        <v>#N/A</v>
      </c>
      <c r="BF335" s="39"/>
      <c r="BG335" s="6">
        <f t="shared" si="176"/>
        <v>0</v>
      </c>
      <c r="BH335" s="9">
        <f t="shared" ca="1" si="177"/>
        <v>-37.738665490475874</v>
      </c>
      <c r="BI335" s="9">
        <f t="shared" ca="1" si="178"/>
        <v>-8.3704147259712354</v>
      </c>
      <c r="BJ335">
        <f t="shared" ca="1" si="179"/>
        <v>38.655797956927373</v>
      </c>
      <c r="BK335" s="6">
        <f t="shared" ca="1" si="180"/>
        <v>-0.97627438793338528</v>
      </c>
      <c r="BL335" s="6">
        <f t="shared" ca="1" si="181"/>
        <v>-0.21653710874881066</v>
      </c>
      <c r="BM335" s="6">
        <f t="shared" ca="1" si="182"/>
        <v>-2.923326634047537</v>
      </c>
      <c r="BN335" s="6">
        <f t="shared" ca="1" si="183"/>
        <v>-1.3825463209449376</v>
      </c>
      <c r="BO335" s="9">
        <f t="shared" ca="1" si="184"/>
        <v>0</v>
      </c>
      <c r="BP335" s="9">
        <f t="shared" ca="1" si="185"/>
        <v>0</v>
      </c>
      <c r="BQ335">
        <f t="shared" ca="1" si="186"/>
        <v>0</v>
      </c>
      <c r="BR335" t="e">
        <f t="shared" ca="1" si="187"/>
        <v>#DIV/0!</v>
      </c>
      <c r="BS335" t="e">
        <f t="shared" ca="1" si="188"/>
        <v>#DIV/0!</v>
      </c>
      <c r="BT335" t="e">
        <f t="shared" ca="1" si="189"/>
        <v>#DIV/0!</v>
      </c>
      <c r="BU335" s="39" t="e">
        <f t="shared" ca="1" si="190"/>
        <v>#DIV/0!</v>
      </c>
    </row>
    <row r="336" spans="45:73" x14ac:dyDescent="0.25">
      <c r="AS336"/>
      <c r="AT336"/>
      <c r="AU336"/>
      <c r="AV336" s="6" t="e">
        <f t="shared" si="191"/>
        <v>#N/A</v>
      </c>
      <c r="AW336" s="6" t="e">
        <f t="shared" si="192"/>
        <v>#N/A</v>
      </c>
      <c r="AX336" s="6" t="e">
        <f t="shared" si="193"/>
        <v>#N/A</v>
      </c>
      <c r="AY336" s="6" t="e">
        <f t="shared" si="194"/>
        <v>#N/A</v>
      </c>
      <c r="BF336" s="39"/>
      <c r="BG336" s="6">
        <f t="shared" ref="BG336:BG348" si="195">AS323</f>
        <v>0</v>
      </c>
      <c r="BH336" s="9">
        <f t="shared" ref="BH336:BH375" ca="1" si="196">AT323-$BG$5</f>
        <v>-37.738665490475874</v>
      </c>
      <c r="BI336" s="9">
        <f t="shared" ref="BI336:BI375" ca="1" si="197">AU323-$BH$5</f>
        <v>-8.3704147259712354</v>
      </c>
      <c r="BJ336">
        <f t="shared" ref="BJ336:BJ375" ca="1" si="198">SQRT(POWER(BH336,2)+POWER(BI336,2))</f>
        <v>38.655797956927373</v>
      </c>
      <c r="BK336" s="6">
        <f t="shared" ref="BK336:BK375" ca="1" si="199">BH336/BJ336</f>
        <v>-0.97627438793338528</v>
      </c>
      <c r="BL336" s="6">
        <f t="shared" ref="BL336:BL375" ca="1" si="200">BI336/BJ336</f>
        <v>-0.21653710874881066</v>
      </c>
      <c r="BM336" s="6">
        <f t="shared" ref="BM336:BM375" ca="1" si="201">ATAN2(BK336,BL336)</f>
        <v>-2.923326634047537</v>
      </c>
      <c r="BN336" s="6">
        <f t="shared" ref="BN336:BN375" ca="1" si="202">BM336-$BJ$11</f>
        <v>-1.3825463209449376</v>
      </c>
      <c r="BO336" s="9">
        <f t="shared" ref="BO336:BO375" ca="1" si="203">BH336+$BG$5</f>
        <v>0</v>
      </c>
      <c r="BP336" s="9">
        <f t="shared" ref="BP336:BP375" ca="1" si="204">BI336+$BH$5</f>
        <v>0</v>
      </c>
      <c r="BQ336">
        <f t="shared" ref="BQ336:BQ375" ca="1" si="205">SQRT(POWER(BO336,2)+POWER(BP336,2))</f>
        <v>0</v>
      </c>
      <c r="BR336" t="e">
        <f t="shared" ref="BR336:BR375" ca="1" si="206">BO336/BQ336</f>
        <v>#DIV/0!</v>
      </c>
      <c r="BS336" t="e">
        <f t="shared" ref="BS336:BS375" ca="1" si="207">BP336/BQ336</f>
        <v>#DIV/0!</v>
      </c>
      <c r="BT336" t="e">
        <f t="shared" ref="BT336:BT375" ca="1" si="208">ATAN2(BR336,BS336)</f>
        <v>#DIV/0!</v>
      </c>
      <c r="BU336" s="39" t="e">
        <f t="shared" ref="BU336:BU375" ca="1" si="209">BT336-$U$13</f>
        <v>#DIV/0!</v>
      </c>
    </row>
    <row r="337" spans="45:73" x14ac:dyDescent="0.25">
      <c r="AS337"/>
      <c r="AT337"/>
      <c r="AU337"/>
      <c r="AV337" s="6" t="e">
        <f t="shared" si="191"/>
        <v>#N/A</v>
      </c>
      <c r="AW337" s="6" t="e">
        <f t="shared" si="192"/>
        <v>#N/A</v>
      </c>
      <c r="AX337" s="6" t="e">
        <f t="shared" si="193"/>
        <v>#N/A</v>
      </c>
      <c r="AY337" s="6" t="e">
        <f t="shared" si="194"/>
        <v>#N/A</v>
      </c>
      <c r="BF337" s="39"/>
      <c r="BG337" s="6">
        <f t="shared" si="195"/>
        <v>0</v>
      </c>
      <c r="BH337" s="9">
        <f t="shared" ca="1" si="196"/>
        <v>-37.738665490475874</v>
      </c>
      <c r="BI337" s="9">
        <f t="shared" ca="1" si="197"/>
        <v>-8.3704147259712354</v>
      </c>
      <c r="BJ337">
        <f t="shared" ca="1" si="198"/>
        <v>38.655797956927373</v>
      </c>
      <c r="BK337" s="6">
        <f t="shared" ca="1" si="199"/>
        <v>-0.97627438793338528</v>
      </c>
      <c r="BL337" s="6">
        <f t="shared" ca="1" si="200"/>
        <v>-0.21653710874881066</v>
      </c>
      <c r="BM337" s="6">
        <f t="shared" ca="1" si="201"/>
        <v>-2.923326634047537</v>
      </c>
      <c r="BN337" s="6">
        <f t="shared" ca="1" si="202"/>
        <v>-1.3825463209449376</v>
      </c>
      <c r="BO337" s="9">
        <f t="shared" ca="1" si="203"/>
        <v>0</v>
      </c>
      <c r="BP337" s="9">
        <f t="shared" ca="1" si="204"/>
        <v>0</v>
      </c>
      <c r="BQ337">
        <f t="shared" ca="1" si="205"/>
        <v>0</v>
      </c>
      <c r="BR337" t="e">
        <f t="shared" ca="1" si="206"/>
        <v>#DIV/0!</v>
      </c>
      <c r="BS337" t="e">
        <f t="shared" ca="1" si="207"/>
        <v>#DIV/0!</v>
      </c>
      <c r="BT337" t="e">
        <f t="shared" ca="1" si="208"/>
        <v>#DIV/0!</v>
      </c>
      <c r="BU337" s="39" t="e">
        <f t="shared" ca="1" si="209"/>
        <v>#DIV/0!</v>
      </c>
    </row>
    <row r="338" spans="45:73" x14ac:dyDescent="0.25">
      <c r="AS338"/>
      <c r="AT338"/>
      <c r="AU338"/>
      <c r="AV338" s="6" t="e">
        <f t="shared" si="191"/>
        <v>#N/A</v>
      </c>
      <c r="AW338" s="6" t="e">
        <f t="shared" si="192"/>
        <v>#N/A</v>
      </c>
      <c r="AX338" s="6" t="e">
        <f t="shared" si="193"/>
        <v>#N/A</v>
      </c>
      <c r="AY338" s="6" t="e">
        <f t="shared" si="194"/>
        <v>#N/A</v>
      </c>
      <c r="BF338" s="39"/>
      <c r="BG338" s="6">
        <f t="shared" si="195"/>
        <v>0</v>
      </c>
      <c r="BH338" s="9">
        <f t="shared" ca="1" si="196"/>
        <v>-37.738665490475874</v>
      </c>
      <c r="BI338" s="9">
        <f t="shared" ca="1" si="197"/>
        <v>-8.3704147259712354</v>
      </c>
      <c r="BJ338">
        <f t="shared" ca="1" si="198"/>
        <v>38.655797956927373</v>
      </c>
      <c r="BK338" s="6">
        <f t="shared" ca="1" si="199"/>
        <v>-0.97627438793338528</v>
      </c>
      <c r="BL338" s="6">
        <f t="shared" ca="1" si="200"/>
        <v>-0.21653710874881066</v>
      </c>
      <c r="BM338" s="6">
        <f t="shared" ca="1" si="201"/>
        <v>-2.923326634047537</v>
      </c>
      <c r="BN338" s="6">
        <f t="shared" ca="1" si="202"/>
        <v>-1.3825463209449376</v>
      </c>
      <c r="BO338" s="9">
        <f t="shared" ca="1" si="203"/>
        <v>0</v>
      </c>
      <c r="BP338" s="9">
        <f t="shared" ca="1" si="204"/>
        <v>0</v>
      </c>
      <c r="BQ338">
        <f t="shared" ca="1" si="205"/>
        <v>0</v>
      </c>
      <c r="BR338" t="e">
        <f t="shared" ca="1" si="206"/>
        <v>#DIV/0!</v>
      </c>
      <c r="BS338" t="e">
        <f t="shared" ca="1" si="207"/>
        <v>#DIV/0!</v>
      </c>
      <c r="BT338" t="e">
        <f t="shared" ca="1" si="208"/>
        <v>#DIV/0!</v>
      </c>
      <c r="BU338" s="39" t="e">
        <f t="shared" ca="1" si="209"/>
        <v>#DIV/0!</v>
      </c>
    </row>
    <row r="339" spans="45:73" x14ac:dyDescent="0.25">
      <c r="AS339"/>
      <c r="AT339"/>
      <c r="AU339"/>
      <c r="AV339" s="6" t="e">
        <f t="shared" si="191"/>
        <v>#N/A</v>
      </c>
      <c r="AW339" s="6" t="e">
        <f t="shared" si="192"/>
        <v>#N/A</v>
      </c>
      <c r="AX339" s="6" t="e">
        <f t="shared" si="193"/>
        <v>#N/A</v>
      </c>
      <c r="AY339" s="6" t="e">
        <f t="shared" si="194"/>
        <v>#N/A</v>
      </c>
      <c r="BF339" s="39"/>
      <c r="BG339" s="6">
        <f t="shared" si="195"/>
        <v>0</v>
      </c>
      <c r="BH339" s="9">
        <f t="shared" ca="1" si="196"/>
        <v>-37.738665490475874</v>
      </c>
      <c r="BI339" s="9">
        <f t="shared" ca="1" si="197"/>
        <v>-8.3704147259712354</v>
      </c>
      <c r="BJ339">
        <f t="shared" ca="1" si="198"/>
        <v>38.655797956927373</v>
      </c>
      <c r="BK339" s="6">
        <f t="shared" ca="1" si="199"/>
        <v>-0.97627438793338528</v>
      </c>
      <c r="BL339" s="6">
        <f t="shared" ca="1" si="200"/>
        <v>-0.21653710874881066</v>
      </c>
      <c r="BM339" s="6">
        <f t="shared" ca="1" si="201"/>
        <v>-2.923326634047537</v>
      </c>
      <c r="BN339" s="6">
        <f t="shared" ca="1" si="202"/>
        <v>-1.3825463209449376</v>
      </c>
      <c r="BO339" s="9">
        <f t="shared" ca="1" si="203"/>
        <v>0</v>
      </c>
      <c r="BP339" s="9">
        <f t="shared" ca="1" si="204"/>
        <v>0</v>
      </c>
      <c r="BQ339">
        <f t="shared" ca="1" si="205"/>
        <v>0</v>
      </c>
      <c r="BR339" t="e">
        <f t="shared" ca="1" si="206"/>
        <v>#DIV/0!</v>
      </c>
      <c r="BS339" t="e">
        <f t="shared" ca="1" si="207"/>
        <v>#DIV/0!</v>
      </c>
      <c r="BT339" t="e">
        <f t="shared" ca="1" si="208"/>
        <v>#DIV/0!</v>
      </c>
      <c r="BU339" s="39" t="e">
        <f t="shared" ca="1" si="209"/>
        <v>#DIV/0!</v>
      </c>
    </row>
    <row r="340" spans="45:73" x14ac:dyDescent="0.25">
      <c r="AS340"/>
      <c r="AT340"/>
      <c r="AU340"/>
      <c r="AV340" s="6" t="e">
        <f t="shared" si="191"/>
        <v>#N/A</v>
      </c>
      <c r="AW340" s="6" t="e">
        <f t="shared" si="192"/>
        <v>#N/A</v>
      </c>
      <c r="AX340" s="6" t="e">
        <f t="shared" si="193"/>
        <v>#N/A</v>
      </c>
      <c r="AY340" s="6" t="e">
        <f t="shared" si="194"/>
        <v>#N/A</v>
      </c>
      <c r="BF340" s="39"/>
      <c r="BG340" s="6">
        <f t="shared" si="195"/>
        <v>0</v>
      </c>
      <c r="BH340" s="9">
        <f t="shared" ca="1" si="196"/>
        <v>-37.738665490475874</v>
      </c>
      <c r="BI340" s="9">
        <f t="shared" ca="1" si="197"/>
        <v>-8.3704147259712354</v>
      </c>
      <c r="BJ340">
        <f t="shared" ca="1" si="198"/>
        <v>38.655797956927373</v>
      </c>
      <c r="BK340" s="6">
        <f t="shared" ca="1" si="199"/>
        <v>-0.97627438793338528</v>
      </c>
      <c r="BL340" s="6">
        <f t="shared" ca="1" si="200"/>
        <v>-0.21653710874881066</v>
      </c>
      <c r="BM340" s="6">
        <f t="shared" ca="1" si="201"/>
        <v>-2.923326634047537</v>
      </c>
      <c r="BN340" s="6">
        <f t="shared" ca="1" si="202"/>
        <v>-1.3825463209449376</v>
      </c>
      <c r="BO340" s="9">
        <f t="shared" ca="1" si="203"/>
        <v>0</v>
      </c>
      <c r="BP340" s="9">
        <f t="shared" ca="1" si="204"/>
        <v>0</v>
      </c>
      <c r="BQ340">
        <f t="shared" ca="1" si="205"/>
        <v>0</v>
      </c>
      <c r="BR340" t="e">
        <f t="shared" ca="1" si="206"/>
        <v>#DIV/0!</v>
      </c>
      <c r="BS340" t="e">
        <f t="shared" ca="1" si="207"/>
        <v>#DIV/0!</v>
      </c>
      <c r="BT340" t="e">
        <f t="shared" ca="1" si="208"/>
        <v>#DIV/0!</v>
      </c>
      <c r="BU340" s="39" t="e">
        <f t="shared" ca="1" si="209"/>
        <v>#DIV/0!</v>
      </c>
    </row>
    <row r="341" spans="45:73" x14ac:dyDescent="0.25">
      <c r="AS341"/>
      <c r="AT341"/>
      <c r="AU341"/>
      <c r="AV341" s="6" t="e">
        <f t="shared" si="191"/>
        <v>#N/A</v>
      </c>
      <c r="AW341" s="6" t="e">
        <f t="shared" si="192"/>
        <v>#N/A</v>
      </c>
      <c r="AX341" s="6" t="e">
        <f t="shared" si="193"/>
        <v>#N/A</v>
      </c>
      <c r="AY341" s="6" t="e">
        <f t="shared" si="194"/>
        <v>#N/A</v>
      </c>
      <c r="BF341" s="39"/>
      <c r="BG341" s="6">
        <f t="shared" si="195"/>
        <v>0</v>
      </c>
      <c r="BH341" s="9">
        <f t="shared" ca="1" si="196"/>
        <v>-37.738665490475874</v>
      </c>
      <c r="BI341" s="9">
        <f t="shared" ca="1" si="197"/>
        <v>-8.3704147259712354</v>
      </c>
      <c r="BJ341">
        <f t="shared" ca="1" si="198"/>
        <v>38.655797956927373</v>
      </c>
      <c r="BK341" s="6">
        <f t="shared" ca="1" si="199"/>
        <v>-0.97627438793338528</v>
      </c>
      <c r="BL341" s="6">
        <f t="shared" ca="1" si="200"/>
        <v>-0.21653710874881066</v>
      </c>
      <c r="BM341" s="6">
        <f t="shared" ca="1" si="201"/>
        <v>-2.923326634047537</v>
      </c>
      <c r="BN341" s="6">
        <f t="shared" ca="1" si="202"/>
        <v>-1.3825463209449376</v>
      </c>
      <c r="BO341" s="9">
        <f t="shared" ca="1" si="203"/>
        <v>0</v>
      </c>
      <c r="BP341" s="9">
        <f t="shared" ca="1" si="204"/>
        <v>0</v>
      </c>
      <c r="BQ341">
        <f t="shared" ca="1" si="205"/>
        <v>0</v>
      </c>
      <c r="BR341" t="e">
        <f t="shared" ca="1" si="206"/>
        <v>#DIV/0!</v>
      </c>
      <c r="BS341" t="e">
        <f t="shared" ca="1" si="207"/>
        <v>#DIV/0!</v>
      </c>
      <c r="BT341" t="e">
        <f t="shared" ca="1" si="208"/>
        <v>#DIV/0!</v>
      </c>
      <c r="BU341" s="39" t="e">
        <f t="shared" ca="1" si="209"/>
        <v>#DIV/0!</v>
      </c>
    </row>
    <row r="342" spans="45:73" x14ac:dyDescent="0.25">
      <c r="AS342"/>
      <c r="AT342"/>
      <c r="AU342"/>
      <c r="AV342" s="6" t="e">
        <f t="shared" si="191"/>
        <v>#N/A</v>
      </c>
      <c r="AW342" s="6" t="e">
        <f t="shared" si="192"/>
        <v>#N/A</v>
      </c>
      <c r="AX342" s="6" t="e">
        <f t="shared" si="193"/>
        <v>#N/A</v>
      </c>
      <c r="AY342" s="6" t="e">
        <f t="shared" si="194"/>
        <v>#N/A</v>
      </c>
      <c r="BF342" s="39"/>
      <c r="BG342" s="6">
        <f t="shared" si="195"/>
        <v>0</v>
      </c>
      <c r="BH342" s="9">
        <f t="shared" ca="1" si="196"/>
        <v>-37.738665490475874</v>
      </c>
      <c r="BI342" s="9">
        <f t="shared" ca="1" si="197"/>
        <v>-8.3704147259712354</v>
      </c>
      <c r="BJ342">
        <f t="shared" ca="1" si="198"/>
        <v>38.655797956927373</v>
      </c>
      <c r="BK342" s="6">
        <f t="shared" ca="1" si="199"/>
        <v>-0.97627438793338528</v>
      </c>
      <c r="BL342" s="6">
        <f t="shared" ca="1" si="200"/>
        <v>-0.21653710874881066</v>
      </c>
      <c r="BM342" s="6">
        <f t="shared" ca="1" si="201"/>
        <v>-2.923326634047537</v>
      </c>
      <c r="BN342" s="6">
        <f t="shared" ca="1" si="202"/>
        <v>-1.3825463209449376</v>
      </c>
      <c r="BO342" s="9">
        <f t="shared" ca="1" si="203"/>
        <v>0</v>
      </c>
      <c r="BP342" s="9">
        <f t="shared" ca="1" si="204"/>
        <v>0</v>
      </c>
      <c r="BQ342">
        <f t="shared" ca="1" si="205"/>
        <v>0</v>
      </c>
      <c r="BR342" t="e">
        <f t="shared" ca="1" si="206"/>
        <v>#DIV/0!</v>
      </c>
      <c r="BS342" t="e">
        <f t="shared" ca="1" si="207"/>
        <v>#DIV/0!</v>
      </c>
      <c r="BT342" t="e">
        <f t="shared" ca="1" si="208"/>
        <v>#DIV/0!</v>
      </c>
      <c r="BU342" s="39" t="e">
        <f t="shared" ca="1" si="209"/>
        <v>#DIV/0!</v>
      </c>
    </row>
    <row r="343" spans="45:73" x14ac:dyDescent="0.25">
      <c r="AS343"/>
      <c r="AT343"/>
      <c r="AU343"/>
      <c r="AV343" s="6" t="e">
        <f t="shared" si="191"/>
        <v>#N/A</v>
      </c>
      <c r="AW343" s="6" t="e">
        <f t="shared" si="192"/>
        <v>#N/A</v>
      </c>
      <c r="AX343" s="6" t="e">
        <f t="shared" si="193"/>
        <v>#N/A</v>
      </c>
      <c r="AY343" s="6" t="e">
        <f t="shared" si="194"/>
        <v>#N/A</v>
      </c>
      <c r="BF343" s="39"/>
      <c r="BG343" s="6">
        <f t="shared" si="195"/>
        <v>0</v>
      </c>
      <c r="BH343" s="9">
        <f t="shared" ca="1" si="196"/>
        <v>-37.738665490475874</v>
      </c>
      <c r="BI343" s="9">
        <f t="shared" ca="1" si="197"/>
        <v>-8.3704147259712354</v>
      </c>
      <c r="BJ343">
        <f t="shared" ca="1" si="198"/>
        <v>38.655797956927373</v>
      </c>
      <c r="BK343" s="6">
        <f t="shared" ca="1" si="199"/>
        <v>-0.97627438793338528</v>
      </c>
      <c r="BL343" s="6">
        <f t="shared" ca="1" si="200"/>
        <v>-0.21653710874881066</v>
      </c>
      <c r="BM343" s="6">
        <f t="shared" ca="1" si="201"/>
        <v>-2.923326634047537</v>
      </c>
      <c r="BN343" s="6">
        <f t="shared" ca="1" si="202"/>
        <v>-1.3825463209449376</v>
      </c>
      <c r="BO343" s="9">
        <f t="shared" ca="1" si="203"/>
        <v>0</v>
      </c>
      <c r="BP343" s="9">
        <f t="shared" ca="1" si="204"/>
        <v>0</v>
      </c>
      <c r="BQ343">
        <f t="shared" ca="1" si="205"/>
        <v>0</v>
      </c>
      <c r="BR343" t="e">
        <f t="shared" ca="1" si="206"/>
        <v>#DIV/0!</v>
      </c>
      <c r="BS343" t="e">
        <f t="shared" ca="1" si="207"/>
        <v>#DIV/0!</v>
      </c>
      <c r="BT343" t="e">
        <f t="shared" ca="1" si="208"/>
        <v>#DIV/0!</v>
      </c>
      <c r="BU343" s="39" t="e">
        <f t="shared" ca="1" si="209"/>
        <v>#DIV/0!</v>
      </c>
    </row>
    <row r="344" spans="45:73" x14ac:dyDescent="0.25">
      <c r="AS344"/>
      <c r="AT344"/>
      <c r="AU344"/>
      <c r="AV344" s="6" t="e">
        <f t="shared" si="191"/>
        <v>#N/A</v>
      </c>
      <c r="AW344" s="6" t="e">
        <f t="shared" si="192"/>
        <v>#N/A</v>
      </c>
      <c r="AX344" s="6" t="e">
        <f t="shared" si="193"/>
        <v>#N/A</v>
      </c>
      <c r="AY344" s="6" t="e">
        <f t="shared" si="194"/>
        <v>#N/A</v>
      </c>
      <c r="BF344" s="39"/>
      <c r="BG344" s="6">
        <f t="shared" si="195"/>
        <v>0</v>
      </c>
      <c r="BH344" s="9">
        <f t="shared" ca="1" si="196"/>
        <v>-37.738665490475874</v>
      </c>
      <c r="BI344" s="9">
        <f t="shared" ca="1" si="197"/>
        <v>-8.3704147259712354</v>
      </c>
      <c r="BJ344">
        <f t="shared" ca="1" si="198"/>
        <v>38.655797956927373</v>
      </c>
      <c r="BK344" s="6">
        <f t="shared" ca="1" si="199"/>
        <v>-0.97627438793338528</v>
      </c>
      <c r="BL344" s="6">
        <f t="shared" ca="1" si="200"/>
        <v>-0.21653710874881066</v>
      </c>
      <c r="BM344" s="6">
        <f t="shared" ca="1" si="201"/>
        <v>-2.923326634047537</v>
      </c>
      <c r="BN344" s="6">
        <f t="shared" ca="1" si="202"/>
        <v>-1.3825463209449376</v>
      </c>
      <c r="BO344" s="9">
        <f t="shared" ca="1" si="203"/>
        <v>0</v>
      </c>
      <c r="BP344" s="9">
        <f t="shared" ca="1" si="204"/>
        <v>0</v>
      </c>
      <c r="BQ344">
        <f t="shared" ca="1" si="205"/>
        <v>0</v>
      </c>
      <c r="BR344" t="e">
        <f t="shared" ca="1" si="206"/>
        <v>#DIV/0!</v>
      </c>
      <c r="BS344" t="e">
        <f t="shared" ca="1" si="207"/>
        <v>#DIV/0!</v>
      </c>
      <c r="BT344" t="e">
        <f t="shared" ca="1" si="208"/>
        <v>#DIV/0!</v>
      </c>
      <c r="BU344" s="39" t="e">
        <f t="shared" ca="1" si="209"/>
        <v>#DIV/0!</v>
      </c>
    </row>
    <row r="345" spans="45:73" x14ac:dyDescent="0.25">
      <c r="AS345"/>
      <c r="AT345"/>
      <c r="AU345"/>
      <c r="AV345" s="6" t="e">
        <f t="shared" si="191"/>
        <v>#N/A</v>
      </c>
      <c r="AW345" s="6" t="e">
        <f t="shared" si="192"/>
        <v>#N/A</v>
      </c>
      <c r="AX345" s="6" t="e">
        <f t="shared" si="193"/>
        <v>#N/A</v>
      </c>
      <c r="AY345" s="6" t="e">
        <f t="shared" si="194"/>
        <v>#N/A</v>
      </c>
      <c r="BF345" s="39"/>
      <c r="BG345" s="6">
        <f t="shared" si="195"/>
        <v>0</v>
      </c>
      <c r="BH345" s="9">
        <f t="shared" ca="1" si="196"/>
        <v>-37.738665490475874</v>
      </c>
      <c r="BI345" s="9">
        <f t="shared" ca="1" si="197"/>
        <v>-8.3704147259712354</v>
      </c>
      <c r="BJ345">
        <f t="shared" ca="1" si="198"/>
        <v>38.655797956927373</v>
      </c>
      <c r="BK345" s="6">
        <f t="shared" ca="1" si="199"/>
        <v>-0.97627438793338528</v>
      </c>
      <c r="BL345" s="6">
        <f t="shared" ca="1" si="200"/>
        <v>-0.21653710874881066</v>
      </c>
      <c r="BM345" s="6">
        <f t="shared" ca="1" si="201"/>
        <v>-2.923326634047537</v>
      </c>
      <c r="BN345" s="6">
        <f t="shared" ca="1" si="202"/>
        <v>-1.3825463209449376</v>
      </c>
      <c r="BO345" s="9">
        <f t="shared" ca="1" si="203"/>
        <v>0</v>
      </c>
      <c r="BP345" s="9">
        <f t="shared" ca="1" si="204"/>
        <v>0</v>
      </c>
      <c r="BQ345">
        <f t="shared" ca="1" si="205"/>
        <v>0</v>
      </c>
      <c r="BR345" t="e">
        <f t="shared" ca="1" si="206"/>
        <v>#DIV/0!</v>
      </c>
      <c r="BS345" t="e">
        <f t="shared" ca="1" si="207"/>
        <v>#DIV/0!</v>
      </c>
      <c r="BT345" t="e">
        <f t="shared" ca="1" si="208"/>
        <v>#DIV/0!</v>
      </c>
      <c r="BU345" s="39" t="e">
        <f t="shared" ca="1" si="209"/>
        <v>#DIV/0!</v>
      </c>
    </row>
    <row r="346" spans="45:73" x14ac:dyDescent="0.25">
      <c r="AS346"/>
      <c r="AT346"/>
      <c r="AU346"/>
      <c r="AV346" s="6" t="e">
        <f t="shared" si="191"/>
        <v>#N/A</v>
      </c>
      <c r="AW346" s="6" t="e">
        <f t="shared" si="192"/>
        <v>#N/A</v>
      </c>
      <c r="AX346" s="6" t="e">
        <f t="shared" si="193"/>
        <v>#N/A</v>
      </c>
      <c r="AY346" s="6" t="e">
        <f t="shared" si="194"/>
        <v>#N/A</v>
      </c>
      <c r="BF346" s="39"/>
      <c r="BG346" s="6">
        <f t="shared" si="195"/>
        <v>0</v>
      </c>
      <c r="BH346" s="9">
        <f t="shared" ca="1" si="196"/>
        <v>-37.738665490475874</v>
      </c>
      <c r="BI346" s="9">
        <f t="shared" ca="1" si="197"/>
        <v>-8.3704147259712354</v>
      </c>
      <c r="BJ346">
        <f t="shared" ca="1" si="198"/>
        <v>38.655797956927373</v>
      </c>
      <c r="BK346" s="6">
        <f t="shared" ca="1" si="199"/>
        <v>-0.97627438793338528</v>
      </c>
      <c r="BL346" s="6">
        <f t="shared" ca="1" si="200"/>
        <v>-0.21653710874881066</v>
      </c>
      <c r="BM346" s="6">
        <f t="shared" ca="1" si="201"/>
        <v>-2.923326634047537</v>
      </c>
      <c r="BN346" s="6">
        <f t="shared" ca="1" si="202"/>
        <v>-1.3825463209449376</v>
      </c>
      <c r="BO346" s="9">
        <f t="shared" ca="1" si="203"/>
        <v>0</v>
      </c>
      <c r="BP346" s="9">
        <f t="shared" ca="1" si="204"/>
        <v>0</v>
      </c>
      <c r="BQ346">
        <f t="shared" ca="1" si="205"/>
        <v>0</v>
      </c>
      <c r="BR346" t="e">
        <f t="shared" ca="1" si="206"/>
        <v>#DIV/0!</v>
      </c>
      <c r="BS346" t="e">
        <f t="shared" ca="1" si="207"/>
        <v>#DIV/0!</v>
      </c>
      <c r="BT346" t="e">
        <f t="shared" ca="1" si="208"/>
        <v>#DIV/0!</v>
      </c>
      <c r="BU346" s="39" t="e">
        <f t="shared" ca="1" si="209"/>
        <v>#DIV/0!</v>
      </c>
    </row>
    <row r="347" spans="45:73" x14ac:dyDescent="0.25">
      <c r="AS347"/>
      <c r="AT347"/>
      <c r="AU347"/>
      <c r="AV347" s="6" t="e">
        <f t="shared" si="191"/>
        <v>#N/A</v>
      </c>
      <c r="AW347" s="6" t="e">
        <f t="shared" si="192"/>
        <v>#N/A</v>
      </c>
      <c r="AX347" s="6" t="e">
        <f t="shared" si="193"/>
        <v>#N/A</v>
      </c>
      <c r="AY347" s="6" t="e">
        <f t="shared" si="194"/>
        <v>#N/A</v>
      </c>
      <c r="BF347" s="39"/>
      <c r="BG347" s="6">
        <f t="shared" si="195"/>
        <v>0</v>
      </c>
      <c r="BH347" s="9">
        <f t="shared" ca="1" si="196"/>
        <v>-37.738665490475874</v>
      </c>
      <c r="BI347" s="9">
        <f t="shared" ca="1" si="197"/>
        <v>-8.3704147259712354</v>
      </c>
      <c r="BJ347">
        <f t="shared" ca="1" si="198"/>
        <v>38.655797956927373</v>
      </c>
      <c r="BK347" s="6">
        <f t="shared" ca="1" si="199"/>
        <v>-0.97627438793338528</v>
      </c>
      <c r="BL347" s="6">
        <f t="shared" ca="1" si="200"/>
        <v>-0.21653710874881066</v>
      </c>
      <c r="BM347" s="6">
        <f t="shared" ca="1" si="201"/>
        <v>-2.923326634047537</v>
      </c>
      <c r="BN347" s="6">
        <f t="shared" ca="1" si="202"/>
        <v>-1.3825463209449376</v>
      </c>
      <c r="BO347" s="9">
        <f t="shared" ca="1" si="203"/>
        <v>0</v>
      </c>
      <c r="BP347" s="9">
        <f t="shared" ca="1" si="204"/>
        <v>0</v>
      </c>
      <c r="BQ347">
        <f t="shared" ca="1" si="205"/>
        <v>0</v>
      </c>
      <c r="BR347" t="e">
        <f t="shared" ca="1" si="206"/>
        <v>#DIV/0!</v>
      </c>
      <c r="BS347" t="e">
        <f t="shared" ca="1" si="207"/>
        <v>#DIV/0!</v>
      </c>
      <c r="BT347" t="e">
        <f t="shared" ca="1" si="208"/>
        <v>#DIV/0!</v>
      </c>
      <c r="BU347" s="39" t="e">
        <f t="shared" ca="1" si="209"/>
        <v>#DIV/0!</v>
      </c>
    </row>
    <row r="348" spans="45:73" x14ac:dyDescent="0.25">
      <c r="AS348"/>
      <c r="AT348"/>
      <c r="AU348"/>
      <c r="AV348" s="6" t="e">
        <f t="shared" si="191"/>
        <v>#N/A</v>
      </c>
      <c r="AW348" s="6" t="e">
        <f t="shared" si="192"/>
        <v>#N/A</v>
      </c>
      <c r="AX348" s="6" t="e">
        <f t="shared" si="193"/>
        <v>#N/A</v>
      </c>
      <c r="AY348" s="6" t="e">
        <f t="shared" si="194"/>
        <v>#N/A</v>
      </c>
      <c r="BF348" s="39"/>
      <c r="BG348" s="6">
        <f t="shared" si="195"/>
        <v>0</v>
      </c>
      <c r="BH348" s="9">
        <f t="shared" ca="1" si="196"/>
        <v>-37.738665490475874</v>
      </c>
      <c r="BI348" s="9">
        <f t="shared" ca="1" si="197"/>
        <v>-8.3704147259712354</v>
      </c>
      <c r="BJ348">
        <f t="shared" ca="1" si="198"/>
        <v>38.655797956927373</v>
      </c>
      <c r="BK348" s="6">
        <f t="shared" ca="1" si="199"/>
        <v>-0.97627438793338528</v>
      </c>
      <c r="BL348" s="6">
        <f t="shared" ca="1" si="200"/>
        <v>-0.21653710874881066</v>
      </c>
      <c r="BM348" s="6">
        <f t="shared" ca="1" si="201"/>
        <v>-2.923326634047537</v>
      </c>
      <c r="BN348" s="6">
        <f t="shared" ca="1" si="202"/>
        <v>-1.3825463209449376</v>
      </c>
      <c r="BO348" s="9">
        <f t="shared" ca="1" si="203"/>
        <v>0</v>
      </c>
      <c r="BP348" s="9">
        <f t="shared" ca="1" si="204"/>
        <v>0</v>
      </c>
      <c r="BQ348">
        <f t="shared" ca="1" si="205"/>
        <v>0</v>
      </c>
      <c r="BR348" t="e">
        <f t="shared" ca="1" si="206"/>
        <v>#DIV/0!</v>
      </c>
      <c r="BS348" t="e">
        <f t="shared" ca="1" si="207"/>
        <v>#DIV/0!</v>
      </c>
      <c r="BT348" t="e">
        <f t="shared" ca="1" si="208"/>
        <v>#DIV/0!</v>
      </c>
      <c r="BU348" s="39" t="e">
        <f t="shared" ca="1" si="209"/>
        <v>#DIV/0!</v>
      </c>
    </row>
    <row r="349" spans="45:73" x14ac:dyDescent="0.25">
      <c r="AS349"/>
      <c r="AT349"/>
      <c r="AU349"/>
      <c r="AV349" s="6" t="e">
        <f t="shared" si="191"/>
        <v>#N/A</v>
      </c>
      <c r="AW349" s="6" t="e">
        <f t="shared" si="192"/>
        <v>#N/A</v>
      </c>
      <c r="AX349" s="6" t="e">
        <f t="shared" si="193"/>
        <v>#N/A</v>
      </c>
      <c r="AY349" s="6" t="e">
        <f t="shared" si="194"/>
        <v>#N/A</v>
      </c>
      <c r="BF349" s="39"/>
      <c r="BG349" s="6">
        <f>AS336</f>
        <v>0</v>
      </c>
      <c r="BH349" s="9">
        <f t="shared" ca="1" si="196"/>
        <v>-37.738665490475874</v>
      </c>
      <c r="BI349" s="9">
        <f t="shared" ca="1" si="197"/>
        <v>-8.3704147259712354</v>
      </c>
      <c r="BJ349">
        <f t="shared" ca="1" si="198"/>
        <v>38.655797956927373</v>
      </c>
      <c r="BK349" s="6">
        <f t="shared" ca="1" si="199"/>
        <v>-0.97627438793338528</v>
      </c>
      <c r="BL349" s="6">
        <f t="shared" ca="1" si="200"/>
        <v>-0.21653710874881066</v>
      </c>
      <c r="BM349" s="6">
        <f t="shared" ca="1" si="201"/>
        <v>-2.923326634047537</v>
      </c>
      <c r="BN349" s="6">
        <f t="shared" ca="1" si="202"/>
        <v>-1.3825463209449376</v>
      </c>
      <c r="BO349" s="9">
        <f t="shared" ca="1" si="203"/>
        <v>0</v>
      </c>
      <c r="BP349" s="9">
        <f t="shared" ca="1" si="204"/>
        <v>0</v>
      </c>
      <c r="BQ349">
        <f t="shared" ca="1" si="205"/>
        <v>0</v>
      </c>
      <c r="BR349" t="e">
        <f t="shared" ca="1" si="206"/>
        <v>#DIV/0!</v>
      </c>
      <c r="BS349" t="e">
        <f t="shared" ca="1" si="207"/>
        <v>#DIV/0!</v>
      </c>
      <c r="BT349" t="e">
        <f t="shared" ca="1" si="208"/>
        <v>#DIV/0!</v>
      </c>
      <c r="BU349" s="39" t="e">
        <f t="shared" ca="1" si="209"/>
        <v>#DIV/0!</v>
      </c>
    </row>
    <row r="350" spans="45:73" x14ac:dyDescent="0.25">
      <c r="AS350"/>
      <c r="AT350"/>
      <c r="AU350"/>
      <c r="AV350" s="6" t="e">
        <f t="shared" si="191"/>
        <v>#N/A</v>
      </c>
      <c r="AW350" s="6" t="e">
        <f t="shared" si="192"/>
        <v>#N/A</v>
      </c>
      <c r="AX350" s="6" t="e">
        <f t="shared" si="193"/>
        <v>#N/A</v>
      </c>
      <c r="AY350" s="6" t="e">
        <f t="shared" si="194"/>
        <v>#N/A</v>
      </c>
      <c r="BF350" s="39"/>
      <c r="BG350" s="6">
        <f t="shared" ref="BG350:BG361" si="210">AS337</f>
        <v>0</v>
      </c>
      <c r="BH350" s="9">
        <f t="shared" ca="1" si="196"/>
        <v>-37.738665490475874</v>
      </c>
      <c r="BI350" s="9">
        <f t="shared" ca="1" si="197"/>
        <v>-8.3704147259712354</v>
      </c>
      <c r="BJ350">
        <f t="shared" ca="1" si="198"/>
        <v>38.655797956927373</v>
      </c>
      <c r="BK350" s="6">
        <f t="shared" ca="1" si="199"/>
        <v>-0.97627438793338528</v>
      </c>
      <c r="BL350" s="6">
        <f t="shared" ca="1" si="200"/>
        <v>-0.21653710874881066</v>
      </c>
      <c r="BM350" s="6">
        <f t="shared" ca="1" si="201"/>
        <v>-2.923326634047537</v>
      </c>
      <c r="BN350" s="6">
        <f t="shared" ca="1" si="202"/>
        <v>-1.3825463209449376</v>
      </c>
      <c r="BO350" s="9">
        <f t="shared" ca="1" si="203"/>
        <v>0</v>
      </c>
      <c r="BP350" s="9">
        <f t="shared" ca="1" si="204"/>
        <v>0</v>
      </c>
      <c r="BQ350">
        <f t="shared" ca="1" si="205"/>
        <v>0</v>
      </c>
      <c r="BR350" t="e">
        <f t="shared" ca="1" si="206"/>
        <v>#DIV/0!</v>
      </c>
      <c r="BS350" t="e">
        <f t="shared" ca="1" si="207"/>
        <v>#DIV/0!</v>
      </c>
      <c r="BT350" t="e">
        <f t="shared" ca="1" si="208"/>
        <v>#DIV/0!</v>
      </c>
      <c r="BU350" s="39" t="e">
        <f t="shared" ca="1" si="209"/>
        <v>#DIV/0!</v>
      </c>
    </row>
    <row r="351" spans="45:73" x14ac:dyDescent="0.25">
      <c r="AS351"/>
      <c r="AT351"/>
      <c r="AU351"/>
      <c r="AV351" s="6" t="e">
        <f t="shared" si="191"/>
        <v>#N/A</v>
      </c>
      <c r="AW351" s="6" t="e">
        <f t="shared" si="192"/>
        <v>#N/A</v>
      </c>
      <c r="AX351" s="6" t="e">
        <f t="shared" si="193"/>
        <v>#N/A</v>
      </c>
      <c r="AY351" s="6" t="e">
        <f t="shared" si="194"/>
        <v>#N/A</v>
      </c>
      <c r="BF351" s="39"/>
      <c r="BG351" s="6">
        <f t="shared" si="210"/>
        <v>0</v>
      </c>
      <c r="BH351" s="9">
        <f t="shared" ca="1" si="196"/>
        <v>-37.738665490475874</v>
      </c>
      <c r="BI351" s="9">
        <f t="shared" ca="1" si="197"/>
        <v>-8.3704147259712354</v>
      </c>
      <c r="BJ351">
        <f t="shared" ca="1" si="198"/>
        <v>38.655797956927373</v>
      </c>
      <c r="BK351" s="6">
        <f t="shared" ca="1" si="199"/>
        <v>-0.97627438793338528</v>
      </c>
      <c r="BL351" s="6">
        <f t="shared" ca="1" si="200"/>
        <v>-0.21653710874881066</v>
      </c>
      <c r="BM351" s="6">
        <f t="shared" ca="1" si="201"/>
        <v>-2.923326634047537</v>
      </c>
      <c r="BN351" s="6">
        <f t="shared" ca="1" si="202"/>
        <v>-1.3825463209449376</v>
      </c>
      <c r="BO351" s="9">
        <f t="shared" ca="1" si="203"/>
        <v>0</v>
      </c>
      <c r="BP351" s="9">
        <f t="shared" ca="1" si="204"/>
        <v>0</v>
      </c>
      <c r="BQ351">
        <f t="shared" ca="1" si="205"/>
        <v>0</v>
      </c>
      <c r="BR351" t="e">
        <f t="shared" ca="1" si="206"/>
        <v>#DIV/0!</v>
      </c>
      <c r="BS351" t="e">
        <f t="shared" ca="1" si="207"/>
        <v>#DIV/0!</v>
      </c>
      <c r="BT351" t="e">
        <f t="shared" ca="1" si="208"/>
        <v>#DIV/0!</v>
      </c>
      <c r="BU351" s="39" t="e">
        <f t="shared" ca="1" si="209"/>
        <v>#DIV/0!</v>
      </c>
    </row>
    <row r="352" spans="45:73" x14ac:dyDescent="0.25">
      <c r="AS352"/>
      <c r="AT352"/>
      <c r="AU352"/>
      <c r="AV352" s="6" t="e">
        <f t="shared" si="191"/>
        <v>#N/A</v>
      </c>
      <c r="AW352" s="6" t="e">
        <f t="shared" si="192"/>
        <v>#N/A</v>
      </c>
      <c r="AX352" s="6" t="e">
        <f t="shared" si="193"/>
        <v>#N/A</v>
      </c>
      <c r="AY352" s="6" t="e">
        <f t="shared" si="194"/>
        <v>#N/A</v>
      </c>
      <c r="BF352" s="39"/>
      <c r="BG352" s="6">
        <f t="shared" si="210"/>
        <v>0</v>
      </c>
      <c r="BH352" s="9">
        <f t="shared" ca="1" si="196"/>
        <v>-37.738665490475874</v>
      </c>
      <c r="BI352" s="9">
        <f t="shared" ca="1" si="197"/>
        <v>-8.3704147259712354</v>
      </c>
      <c r="BJ352">
        <f t="shared" ca="1" si="198"/>
        <v>38.655797956927373</v>
      </c>
      <c r="BK352" s="6">
        <f t="shared" ca="1" si="199"/>
        <v>-0.97627438793338528</v>
      </c>
      <c r="BL352" s="6">
        <f t="shared" ca="1" si="200"/>
        <v>-0.21653710874881066</v>
      </c>
      <c r="BM352" s="6">
        <f t="shared" ca="1" si="201"/>
        <v>-2.923326634047537</v>
      </c>
      <c r="BN352" s="6">
        <f t="shared" ca="1" si="202"/>
        <v>-1.3825463209449376</v>
      </c>
      <c r="BO352" s="9">
        <f t="shared" ca="1" si="203"/>
        <v>0</v>
      </c>
      <c r="BP352" s="9">
        <f t="shared" ca="1" si="204"/>
        <v>0</v>
      </c>
      <c r="BQ352">
        <f t="shared" ca="1" si="205"/>
        <v>0</v>
      </c>
      <c r="BR352" t="e">
        <f t="shared" ca="1" si="206"/>
        <v>#DIV/0!</v>
      </c>
      <c r="BS352" t="e">
        <f t="shared" ca="1" si="207"/>
        <v>#DIV/0!</v>
      </c>
      <c r="BT352" t="e">
        <f t="shared" ca="1" si="208"/>
        <v>#DIV/0!</v>
      </c>
      <c r="BU352" s="39" t="e">
        <f t="shared" ca="1" si="209"/>
        <v>#DIV/0!</v>
      </c>
    </row>
    <row r="353" spans="45:73" x14ac:dyDescent="0.25">
      <c r="AS353"/>
      <c r="AT353"/>
      <c r="AU353"/>
      <c r="AV353" s="6" t="e">
        <f t="shared" si="191"/>
        <v>#N/A</v>
      </c>
      <c r="AW353" s="6" t="e">
        <f t="shared" si="192"/>
        <v>#N/A</v>
      </c>
      <c r="AX353" s="6" t="e">
        <f t="shared" si="193"/>
        <v>#N/A</v>
      </c>
      <c r="AY353" s="6" t="e">
        <f t="shared" si="194"/>
        <v>#N/A</v>
      </c>
      <c r="BF353" s="39"/>
      <c r="BG353" s="6">
        <f t="shared" si="210"/>
        <v>0</v>
      </c>
      <c r="BH353" s="9">
        <f t="shared" ca="1" si="196"/>
        <v>-37.738665490475874</v>
      </c>
      <c r="BI353" s="9">
        <f t="shared" ca="1" si="197"/>
        <v>-8.3704147259712354</v>
      </c>
      <c r="BJ353">
        <f t="shared" ca="1" si="198"/>
        <v>38.655797956927373</v>
      </c>
      <c r="BK353" s="6">
        <f t="shared" ca="1" si="199"/>
        <v>-0.97627438793338528</v>
      </c>
      <c r="BL353" s="6">
        <f t="shared" ca="1" si="200"/>
        <v>-0.21653710874881066</v>
      </c>
      <c r="BM353" s="6">
        <f t="shared" ca="1" si="201"/>
        <v>-2.923326634047537</v>
      </c>
      <c r="BN353" s="6">
        <f t="shared" ca="1" si="202"/>
        <v>-1.3825463209449376</v>
      </c>
      <c r="BO353" s="9">
        <f t="shared" ca="1" si="203"/>
        <v>0</v>
      </c>
      <c r="BP353" s="9">
        <f t="shared" ca="1" si="204"/>
        <v>0</v>
      </c>
      <c r="BQ353">
        <f t="shared" ca="1" si="205"/>
        <v>0</v>
      </c>
      <c r="BR353" t="e">
        <f t="shared" ca="1" si="206"/>
        <v>#DIV/0!</v>
      </c>
      <c r="BS353" t="e">
        <f t="shared" ca="1" si="207"/>
        <v>#DIV/0!</v>
      </c>
      <c r="BT353" t="e">
        <f t="shared" ca="1" si="208"/>
        <v>#DIV/0!</v>
      </c>
      <c r="BU353" s="39" t="e">
        <f t="shared" ca="1" si="209"/>
        <v>#DIV/0!</v>
      </c>
    </row>
    <row r="354" spans="45:73" x14ac:dyDescent="0.25">
      <c r="AS354"/>
      <c r="AT354"/>
      <c r="AU354"/>
      <c r="AV354" s="6" t="e">
        <f t="shared" si="191"/>
        <v>#N/A</v>
      </c>
      <c r="AW354" s="6" t="e">
        <f t="shared" si="192"/>
        <v>#N/A</v>
      </c>
      <c r="AX354" s="6" t="e">
        <f t="shared" si="193"/>
        <v>#N/A</v>
      </c>
      <c r="AY354" s="6" t="e">
        <f t="shared" si="194"/>
        <v>#N/A</v>
      </c>
      <c r="BF354" s="39"/>
      <c r="BG354" s="6">
        <f t="shared" si="210"/>
        <v>0</v>
      </c>
      <c r="BH354" s="9">
        <f t="shared" ca="1" si="196"/>
        <v>-37.738665490475874</v>
      </c>
      <c r="BI354" s="9">
        <f t="shared" ca="1" si="197"/>
        <v>-8.3704147259712354</v>
      </c>
      <c r="BJ354">
        <f t="shared" ca="1" si="198"/>
        <v>38.655797956927373</v>
      </c>
      <c r="BK354" s="6">
        <f t="shared" ca="1" si="199"/>
        <v>-0.97627438793338528</v>
      </c>
      <c r="BL354" s="6">
        <f t="shared" ca="1" si="200"/>
        <v>-0.21653710874881066</v>
      </c>
      <c r="BM354" s="6">
        <f t="shared" ca="1" si="201"/>
        <v>-2.923326634047537</v>
      </c>
      <c r="BN354" s="6">
        <f t="shared" ca="1" si="202"/>
        <v>-1.3825463209449376</v>
      </c>
      <c r="BO354" s="9">
        <f t="shared" ca="1" si="203"/>
        <v>0</v>
      </c>
      <c r="BP354" s="9">
        <f t="shared" ca="1" si="204"/>
        <v>0</v>
      </c>
      <c r="BQ354">
        <f t="shared" ca="1" si="205"/>
        <v>0</v>
      </c>
      <c r="BR354" t="e">
        <f t="shared" ca="1" si="206"/>
        <v>#DIV/0!</v>
      </c>
      <c r="BS354" t="e">
        <f t="shared" ca="1" si="207"/>
        <v>#DIV/0!</v>
      </c>
      <c r="BT354" t="e">
        <f t="shared" ca="1" si="208"/>
        <v>#DIV/0!</v>
      </c>
      <c r="BU354" s="39" t="e">
        <f t="shared" ca="1" si="209"/>
        <v>#DIV/0!</v>
      </c>
    </row>
    <row r="355" spans="45:73" x14ac:dyDescent="0.25">
      <c r="AS355"/>
      <c r="AT355"/>
      <c r="AU355"/>
      <c r="AV355" s="6" t="e">
        <f t="shared" si="191"/>
        <v>#N/A</v>
      </c>
      <c r="AW355" s="6" t="e">
        <f t="shared" si="192"/>
        <v>#N/A</v>
      </c>
      <c r="AX355" s="6" t="e">
        <f t="shared" si="193"/>
        <v>#N/A</v>
      </c>
      <c r="AY355" s="6" t="e">
        <f t="shared" si="194"/>
        <v>#N/A</v>
      </c>
      <c r="BF355" s="39"/>
      <c r="BG355" s="6">
        <f t="shared" si="210"/>
        <v>0</v>
      </c>
      <c r="BH355" s="9">
        <f t="shared" ca="1" si="196"/>
        <v>-37.738665490475874</v>
      </c>
      <c r="BI355" s="9">
        <f t="shared" ca="1" si="197"/>
        <v>-8.3704147259712354</v>
      </c>
      <c r="BJ355">
        <f t="shared" ca="1" si="198"/>
        <v>38.655797956927373</v>
      </c>
      <c r="BK355" s="6">
        <f t="shared" ca="1" si="199"/>
        <v>-0.97627438793338528</v>
      </c>
      <c r="BL355" s="6">
        <f t="shared" ca="1" si="200"/>
        <v>-0.21653710874881066</v>
      </c>
      <c r="BM355" s="6">
        <f t="shared" ca="1" si="201"/>
        <v>-2.923326634047537</v>
      </c>
      <c r="BN355" s="6">
        <f t="shared" ca="1" si="202"/>
        <v>-1.3825463209449376</v>
      </c>
      <c r="BO355" s="9">
        <f t="shared" ca="1" si="203"/>
        <v>0</v>
      </c>
      <c r="BP355" s="9">
        <f t="shared" ca="1" si="204"/>
        <v>0</v>
      </c>
      <c r="BQ355">
        <f t="shared" ca="1" si="205"/>
        <v>0</v>
      </c>
      <c r="BR355" t="e">
        <f t="shared" ca="1" si="206"/>
        <v>#DIV/0!</v>
      </c>
      <c r="BS355" t="e">
        <f t="shared" ca="1" si="207"/>
        <v>#DIV/0!</v>
      </c>
      <c r="BT355" t="e">
        <f t="shared" ca="1" si="208"/>
        <v>#DIV/0!</v>
      </c>
      <c r="BU355" s="39" t="e">
        <f t="shared" ca="1" si="209"/>
        <v>#DIV/0!</v>
      </c>
    </row>
    <row r="356" spans="45:73" x14ac:dyDescent="0.25">
      <c r="AS356"/>
      <c r="AT356"/>
      <c r="AU356"/>
      <c r="AV356" s="6" t="e">
        <f t="shared" si="191"/>
        <v>#N/A</v>
      </c>
      <c r="AW356" s="6" t="e">
        <f t="shared" si="192"/>
        <v>#N/A</v>
      </c>
      <c r="AX356" s="6" t="e">
        <f t="shared" si="193"/>
        <v>#N/A</v>
      </c>
      <c r="AY356" s="6" t="e">
        <f t="shared" si="194"/>
        <v>#N/A</v>
      </c>
      <c r="BF356" s="39"/>
      <c r="BG356" s="6">
        <f t="shared" si="210"/>
        <v>0</v>
      </c>
      <c r="BH356" s="9">
        <f t="shared" ca="1" si="196"/>
        <v>-37.738665490475874</v>
      </c>
      <c r="BI356" s="9">
        <f t="shared" ca="1" si="197"/>
        <v>-8.3704147259712354</v>
      </c>
      <c r="BJ356">
        <f t="shared" ca="1" si="198"/>
        <v>38.655797956927373</v>
      </c>
      <c r="BK356" s="6">
        <f t="shared" ca="1" si="199"/>
        <v>-0.97627438793338528</v>
      </c>
      <c r="BL356" s="6">
        <f t="shared" ca="1" si="200"/>
        <v>-0.21653710874881066</v>
      </c>
      <c r="BM356" s="6">
        <f t="shared" ca="1" si="201"/>
        <v>-2.923326634047537</v>
      </c>
      <c r="BN356" s="6">
        <f t="shared" ca="1" si="202"/>
        <v>-1.3825463209449376</v>
      </c>
      <c r="BO356" s="9">
        <f t="shared" ca="1" si="203"/>
        <v>0</v>
      </c>
      <c r="BP356" s="9">
        <f t="shared" ca="1" si="204"/>
        <v>0</v>
      </c>
      <c r="BQ356">
        <f t="shared" ca="1" si="205"/>
        <v>0</v>
      </c>
      <c r="BR356" t="e">
        <f t="shared" ca="1" si="206"/>
        <v>#DIV/0!</v>
      </c>
      <c r="BS356" t="e">
        <f t="shared" ca="1" si="207"/>
        <v>#DIV/0!</v>
      </c>
      <c r="BT356" t="e">
        <f t="shared" ca="1" si="208"/>
        <v>#DIV/0!</v>
      </c>
      <c r="BU356" s="39" t="e">
        <f t="shared" ca="1" si="209"/>
        <v>#DIV/0!</v>
      </c>
    </row>
    <row r="357" spans="45:73" x14ac:dyDescent="0.25">
      <c r="AS357"/>
      <c r="AT357"/>
      <c r="AU357"/>
      <c r="AV357" s="6" t="e">
        <f t="shared" si="191"/>
        <v>#N/A</v>
      </c>
      <c r="AW357" s="6" t="e">
        <f t="shared" si="192"/>
        <v>#N/A</v>
      </c>
      <c r="AX357" s="6" t="e">
        <f t="shared" si="193"/>
        <v>#N/A</v>
      </c>
      <c r="AY357" s="6" t="e">
        <f t="shared" si="194"/>
        <v>#N/A</v>
      </c>
      <c r="BF357" s="39"/>
      <c r="BG357" s="6">
        <f t="shared" si="210"/>
        <v>0</v>
      </c>
      <c r="BH357" s="9">
        <f t="shared" ca="1" si="196"/>
        <v>-37.738665490475874</v>
      </c>
      <c r="BI357" s="9">
        <f t="shared" ca="1" si="197"/>
        <v>-8.3704147259712354</v>
      </c>
      <c r="BJ357">
        <f t="shared" ca="1" si="198"/>
        <v>38.655797956927373</v>
      </c>
      <c r="BK357" s="6">
        <f t="shared" ca="1" si="199"/>
        <v>-0.97627438793338528</v>
      </c>
      <c r="BL357" s="6">
        <f t="shared" ca="1" si="200"/>
        <v>-0.21653710874881066</v>
      </c>
      <c r="BM357" s="6">
        <f t="shared" ca="1" si="201"/>
        <v>-2.923326634047537</v>
      </c>
      <c r="BN357" s="6">
        <f t="shared" ca="1" si="202"/>
        <v>-1.3825463209449376</v>
      </c>
      <c r="BO357" s="9">
        <f t="shared" ca="1" si="203"/>
        <v>0</v>
      </c>
      <c r="BP357" s="9">
        <f t="shared" ca="1" si="204"/>
        <v>0</v>
      </c>
      <c r="BQ357">
        <f t="shared" ca="1" si="205"/>
        <v>0</v>
      </c>
      <c r="BR357" t="e">
        <f t="shared" ca="1" si="206"/>
        <v>#DIV/0!</v>
      </c>
      <c r="BS357" t="e">
        <f t="shared" ca="1" si="207"/>
        <v>#DIV/0!</v>
      </c>
      <c r="BT357" t="e">
        <f t="shared" ca="1" si="208"/>
        <v>#DIV/0!</v>
      </c>
      <c r="BU357" s="39" t="e">
        <f t="shared" ca="1" si="209"/>
        <v>#DIV/0!</v>
      </c>
    </row>
    <row r="358" spans="45:73" x14ac:dyDescent="0.25">
      <c r="AS358"/>
      <c r="AT358"/>
      <c r="AU358"/>
      <c r="AV358" s="6" t="e">
        <f t="shared" si="191"/>
        <v>#N/A</v>
      </c>
      <c r="AW358" s="6" t="e">
        <f t="shared" si="192"/>
        <v>#N/A</v>
      </c>
      <c r="AX358" s="6" t="e">
        <f t="shared" si="193"/>
        <v>#N/A</v>
      </c>
      <c r="AY358" s="6" t="e">
        <f t="shared" si="194"/>
        <v>#N/A</v>
      </c>
      <c r="BF358" s="39"/>
      <c r="BG358" s="6">
        <f t="shared" si="210"/>
        <v>0</v>
      </c>
      <c r="BH358" s="9">
        <f t="shared" ca="1" si="196"/>
        <v>-37.738665490475874</v>
      </c>
      <c r="BI358" s="9">
        <f t="shared" ca="1" si="197"/>
        <v>-8.3704147259712354</v>
      </c>
      <c r="BJ358">
        <f t="shared" ca="1" si="198"/>
        <v>38.655797956927373</v>
      </c>
      <c r="BK358" s="6">
        <f t="shared" ca="1" si="199"/>
        <v>-0.97627438793338528</v>
      </c>
      <c r="BL358" s="6">
        <f t="shared" ca="1" si="200"/>
        <v>-0.21653710874881066</v>
      </c>
      <c r="BM358" s="6">
        <f t="shared" ca="1" si="201"/>
        <v>-2.923326634047537</v>
      </c>
      <c r="BN358" s="6">
        <f t="shared" ca="1" si="202"/>
        <v>-1.3825463209449376</v>
      </c>
      <c r="BO358" s="9">
        <f t="shared" ca="1" si="203"/>
        <v>0</v>
      </c>
      <c r="BP358" s="9">
        <f t="shared" ca="1" si="204"/>
        <v>0</v>
      </c>
      <c r="BQ358">
        <f t="shared" ca="1" si="205"/>
        <v>0</v>
      </c>
      <c r="BR358" t="e">
        <f t="shared" ca="1" si="206"/>
        <v>#DIV/0!</v>
      </c>
      <c r="BS358" t="e">
        <f t="shared" ca="1" si="207"/>
        <v>#DIV/0!</v>
      </c>
      <c r="BT358" t="e">
        <f t="shared" ca="1" si="208"/>
        <v>#DIV/0!</v>
      </c>
      <c r="BU358" s="39" t="e">
        <f t="shared" ca="1" si="209"/>
        <v>#DIV/0!</v>
      </c>
    </row>
    <row r="359" spans="45:73" x14ac:dyDescent="0.25">
      <c r="AS359"/>
      <c r="AT359"/>
      <c r="AU359"/>
      <c r="AV359" s="6" t="e">
        <f t="shared" si="191"/>
        <v>#N/A</v>
      </c>
      <c r="AW359" s="6" t="e">
        <f t="shared" si="192"/>
        <v>#N/A</v>
      </c>
      <c r="AX359" s="6" t="e">
        <f t="shared" si="193"/>
        <v>#N/A</v>
      </c>
      <c r="AY359" s="6" t="e">
        <f t="shared" si="194"/>
        <v>#N/A</v>
      </c>
      <c r="BF359" s="39"/>
      <c r="BG359" s="6">
        <f t="shared" si="210"/>
        <v>0</v>
      </c>
      <c r="BH359" s="9">
        <f t="shared" ca="1" si="196"/>
        <v>-37.738665490475874</v>
      </c>
      <c r="BI359" s="9">
        <f t="shared" ca="1" si="197"/>
        <v>-8.3704147259712354</v>
      </c>
      <c r="BJ359">
        <f t="shared" ca="1" si="198"/>
        <v>38.655797956927373</v>
      </c>
      <c r="BK359" s="6">
        <f t="shared" ca="1" si="199"/>
        <v>-0.97627438793338528</v>
      </c>
      <c r="BL359" s="6">
        <f t="shared" ca="1" si="200"/>
        <v>-0.21653710874881066</v>
      </c>
      <c r="BM359" s="6">
        <f t="shared" ca="1" si="201"/>
        <v>-2.923326634047537</v>
      </c>
      <c r="BN359" s="6">
        <f t="shared" ca="1" si="202"/>
        <v>-1.3825463209449376</v>
      </c>
      <c r="BO359" s="9">
        <f t="shared" ca="1" si="203"/>
        <v>0</v>
      </c>
      <c r="BP359" s="9">
        <f t="shared" ca="1" si="204"/>
        <v>0</v>
      </c>
      <c r="BQ359">
        <f t="shared" ca="1" si="205"/>
        <v>0</v>
      </c>
      <c r="BR359" t="e">
        <f t="shared" ca="1" si="206"/>
        <v>#DIV/0!</v>
      </c>
      <c r="BS359" t="e">
        <f t="shared" ca="1" si="207"/>
        <v>#DIV/0!</v>
      </c>
      <c r="BT359" t="e">
        <f t="shared" ca="1" si="208"/>
        <v>#DIV/0!</v>
      </c>
      <c r="BU359" s="39" t="e">
        <f t="shared" ca="1" si="209"/>
        <v>#DIV/0!</v>
      </c>
    </row>
    <row r="360" spans="45:73" x14ac:dyDescent="0.25">
      <c r="AS360"/>
      <c r="AT360"/>
      <c r="AU360"/>
      <c r="AV360" s="6" t="e">
        <f t="shared" si="191"/>
        <v>#N/A</v>
      </c>
      <c r="AW360" s="6" t="e">
        <f t="shared" si="192"/>
        <v>#N/A</v>
      </c>
      <c r="AX360" s="6" t="e">
        <f t="shared" si="193"/>
        <v>#N/A</v>
      </c>
      <c r="AY360" s="6" t="e">
        <f t="shared" si="194"/>
        <v>#N/A</v>
      </c>
      <c r="BF360" s="39"/>
      <c r="BG360" s="6">
        <f t="shared" si="210"/>
        <v>0</v>
      </c>
      <c r="BH360" s="9">
        <f t="shared" ca="1" si="196"/>
        <v>-37.738665490475874</v>
      </c>
      <c r="BI360" s="9">
        <f t="shared" ca="1" si="197"/>
        <v>-8.3704147259712354</v>
      </c>
      <c r="BJ360">
        <f t="shared" ca="1" si="198"/>
        <v>38.655797956927373</v>
      </c>
      <c r="BK360" s="6">
        <f t="shared" ca="1" si="199"/>
        <v>-0.97627438793338528</v>
      </c>
      <c r="BL360" s="6">
        <f t="shared" ca="1" si="200"/>
        <v>-0.21653710874881066</v>
      </c>
      <c r="BM360" s="6">
        <f t="shared" ca="1" si="201"/>
        <v>-2.923326634047537</v>
      </c>
      <c r="BN360" s="6">
        <f t="shared" ca="1" si="202"/>
        <v>-1.3825463209449376</v>
      </c>
      <c r="BO360" s="9">
        <f t="shared" ca="1" si="203"/>
        <v>0</v>
      </c>
      <c r="BP360" s="9">
        <f t="shared" ca="1" si="204"/>
        <v>0</v>
      </c>
      <c r="BQ360">
        <f t="shared" ca="1" si="205"/>
        <v>0</v>
      </c>
      <c r="BR360" t="e">
        <f t="shared" ca="1" si="206"/>
        <v>#DIV/0!</v>
      </c>
      <c r="BS360" t="e">
        <f t="shared" ca="1" si="207"/>
        <v>#DIV/0!</v>
      </c>
      <c r="BT360" t="e">
        <f t="shared" ca="1" si="208"/>
        <v>#DIV/0!</v>
      </c>
      <c r="BU360" s="39" t="e">
        <f t="shared" ca="1" si="209"/>
        <v>#DIV/0!</v>
      </c>
    </row>
    <row r="361" spans="45:73" x14ac:dyDescent="0.25">
      <c r="AS361"/>
      <c r="AT361"/>
      <c r="AU361"/>
      <c r="AV361" s="6" t="e">
        <f t="shared" si="191"/>
        <v>#N/A</v>
      </c>
      <c r="AW361" s="6" t="e">
        <f t="shared" si="192"/>
        <v>#N/A</v>
      </c>
      <c r="AX361" s="6" t="e">
        <f t="shared" si="193"/>
        <v>#N/A</v>
      </c>
      <c r="AY361" s="6" t="e">
        <f t="shared" si="194"/>
        <v>#N/A</v>
      </c>
      <c r="BF361" s="39"/>
      <c r="BG361" s="6">
        <f t="shared" si="210"/>
        <v>0</v>
      </c>
      <c r="BH361" s="9">
        <f t="shared" ca="1" si="196"/>
        <v>-37.738665490475874</v>
      </c>
      <c r="BI361" s="9">
        <f t="shared" ca="1" si="197"/>
        <v>-8.3704147259712354</v>
      </c>
      <c r="BJ361">
        <f t="shared" ca="1" si="198"/>
        <v>38.655797956927373</v>
      </c>
      <c r="BK361" s="6">
        <f t="shared" ca="1" si="199"/>
        <v>-0.97627438793338528</v>
      </c>
      <c r="BL361" s="6">
        <f t="shared" ca="1" si="200"/>
        <v>-0.21653710874881066</v>
      </c>
      <c r="BM361" s="6">
        <f t="shared" ca="1" si="201"/>
        <v>-2.923326634047537</v>
      </c>
      <c r="BN361" s="6">
        <f t="shared" ca="1" si="202"/>
        <v>-1.3825463209449376</v>
      </c>
      <c r="BO361" s="9">
        <f t="shared" ca="1" si="203"/>
        <v>0</v>
      </c>
      <c r="BP361" s="9">
        <f t="shared" ca="1" si="204"/>
        <v>0</v>
      </c>
      <c r="BQ361">
        <f t="shared" ca="1" si="205"/>
        <v>0</v>
      </c>
      <c r="BR361" t="e">
        <f t="shared" ca="1" si="206"/>
        <v>#DIV/0!</v>
      </c>
      <c r="BS361" t="e">
        <f t="shared" ca="1" si="207"/>
        <v>#DIV/0!</v>
      </c>
      <c r="BT361" t="e">
        <f t="shared" ca="1" si="208"/>
        <v>#DIV/0!</v>
      </c>
      <c r="BU361" s="39" t="e">
        <f t="shared" ca="1" si="209"/>
        <v>#DIV/0!</v>
      </c>
    </row>
    <row r="362" spans="45:73" x14ac:dyDescent="0.25">
      <c r="AS362"/>
      <c r="AT362"/>
      <c r="AU362"/>
      <c r="AV362" s="6" t="e">
        <f t="shared" si="191"/>
        <v>#N/A</v>
      </c>
      <c r="AW362" s="6" t="e">
        <f t="shared" si="192"/>
        <v>#N/A</v>
      </c>
      <c r="AX362" s="6" t="e">
        <f t="shared" si="193"/>
        <v>#N/A</v>
      </c>
      <c r="AY362" s="6" t="e">
        <f t="shared" si="194"/>
        <v>#N/A</v>
      </c>
      <c r="BF362" s="39"/>
      <c r="BG362" s="6">
        <f>AS349</f>
        <v>0</v>
      </c>
      <c r="BH362" s="9">
        <f t="shared" ca="1" si="196"/>
        <v>-37.738665490475874</v>
      </c>
      <c r="BI362" s="9">
        <f t="shared" ca="1" si="197"/>
        <v>-8.3704147259712354</v>
      </c>
      <c r="BJ362">
        <f t="shared" ca="1" si="198"/>
        <v>38.655797956927373</v>
      </c>
      <c r="BK362" s="6">
        <f t="shared" ca="1" si="199"/>
        <v>-0.97627438793338528</v>
      </c>
      <c r="BL362" s="6">
        <f t="shared" ca="1" si="200"/>
        <v>-0.21653710874881066</v>
      </c>
      <c r="BM362" s="6">
        <f t="shared" ca="1" si="201"/>
        <v>-2.923326634047537</v>
      </c>
      <c r="BN362" s="6">
        <f t="shared" ca="1" si="202"/>
        <v>-1.3825463209449376</v>
      </c>
      <c r="BO362" s="9">
        <f t="shared" ca="1" si="203"/>
        <v>0</v>
      </c>
      <c r="BP362" s="9">
        <f t="shared" ca="1" si="204"/>
        <v>0</v>
      </c>
      <c r="BQ362">
        <f t="shared" ca="1" si="205"/>
        <v>0</v>
      </c>
      <c r="BR362" t="e">
        <f t="shared" ca="1" si="206"/>
        <v>#DIV/0!</v>
      </c>
      <c r="BS362" t="e">
        <f t="shared" ca="1" si="207"/>
        <v>#DIV/0!</v>
      </c>
      <c r="BT362" t="e">
        <f t="shared" ca="1" si="208"/>
        <v>#DIV/0!</v>
      </c>
      <c r="BU362" s="39" t="e">
        <f t="shared" ca="1" si="209"/>
        <v>#DIV/0!</v>
      </c>
    </row>
    <row r="363" spans="45:73" x14ac:dyDescent="0.25">
      <c r="AT363" s="6">
        <f>SUM(AT2:AT362)</f>
        <v>5276.9016499283462</v>
      </c>
      <c r="AU363" s="6">
        <f>SUM(AU2:AU362)</f>
        <v>-7489.2596699303922</v>
      </c>
      <c r="BG363" s="6">
        <f t="shared" ref="BG363:BG368" si="211">AS350</f>
        <v>0</v>
      </c>
      <c r="BH363" s="9">
        <f t="shared" ca="1" si="196"/>
        <v>-37.738665490475874</v>
      </c>
      <c r="BI363" s="9">
        <f t="shared" ca="1" si="197"/>
        <v>-8.3704147259712354</v>
      </c>
      <c r="BJ363">
        <f t="shared" ca="1" si="198"/>
        <v>38.655797956927373</v>
      </c>
      <c r="BK363" s="6">
        <f t="shared" ca="1" si="199"/>
        <v>-0.97627438793338528</v>
      </c>
      <c r="BL363" s="6">
        <f t="shared" ca="1" si="200"/>
        <v>-0.21653710874881066</v>
      </c>
      <c r="BM363" s="6">
        <f t="shared" ca="1" si="201"/>
        <v>-2.923326634047537</v>
      </c>
      <c r="BN363" s="6">
        <f t="shared" ca="1" si="202"/>
        <v>-1.3825463209449376</v>
      </c>
      <c r="BO363" s="9">
        <f t="shared" ca="1" si="203"/>
        <v>0</v>
      </c>
      <c r="BP363" s="9">
        <f t="shared" ca="1" si="204"/>
        <v>0</v>
      </c>
      <c r="BQ363">
        <f t="shared" ca="1" si="205"/>
        <v>0</v>
      </c>
      <c r="BR363" t="e">
        <f t="shared" ca="1" si="206"/>
        <v>#DIV/0!</v>
      </c>
      <c r="BS363" t="e">
        <f t="shared" ca="1" si="207"/>
        <v>#DIV/0!</v>
      </c>
      <c r="BT363" t="e">
        <f t="shared" ca="1" si="208"/>
        <v>#DIV/0!</v>
      </c>
      <c r="BU363" s="39" t="e">
        <f t="shared" ca="1" si="209"/>
        <v>#DIV/0!</v>
      </c>
    </row>
    <row r="364" spans="45:73" x14ac:dyDescent="0.25">
      <c r="AT364" s="6">
        <f>AT363/360</f>
        <v>14.65806013868985</v>
      </c>
      <c r="AU364" s="6">
        <f>AU363/360</f>
        <v>-20.803499083139979</v>
      </c>
      <c r="BG364" s="6">
        <f t="shared" si="211"/>
        <v>0</v>
      </c>
      <c r="BH364" s="9">
        <f t="shared" ca="1" si="196"/>
        <v>-37.738665490475874</v>
      </c>
      <c r="BI364" s="9">
        <f t="shared" ca="1" si="197"/>
        <v>-8.3704147259712354</v>
      </c>
      <c r="BJ364">
        <f t="shared" ca="1" si="198"/>
        <v>38.655797956927373</v>
      </c>
      <c r="BK364" s="6">
        <f t="shared" ca="1" si="199"/>
        <v>-0.97627438793338528</v>
      </c>
      <c r="BL364" s="6">
        <f t="shared" ca="1" si="200"/>
        <v>-0.21653710874881066</v>
      </c>
      <c r="BM364" s="6">
        <f t="shared" ca="1" si="201"/>
        <v>-2.923326634047537</v>
      </c>
      <c r="BN364" s="6">
        <f t="shared" ca="1" si="202"/>
        <v>-1.3825463209449376</v>
      </c>
      <c r="BO364" s="9">
        <f t="shared" ca="1" si="203"/>
        <v>0</v>
      </c>
      <c r="BP364" s="9">
        <f t="shared" ca="1" si="204"/>
        <v>0</v>
      </c>
      <c r="BQ364">
        <f t="shared" ca="1" si="205"/>
        <v>0</v>
      </c>
      <c r="BR364" t="e">
        <f t="shared" ca="1" si="206"/>
        <v>#DIV/0!</v>
      </c>
      <c r="BS364" t="e">
        <f t="shared" ca="1" si="207"/>
        <v>#DIV/0!</v>
      </c>
      <c r="BT364" t="e">
        <f t="shared" ca="1" si="208"/>
        <v>#DIV/0!</v>
      </c>
      <c r="BU364" s="39" t="e">
        <f t="shared" ca="1" si="209"/>
        <v>#DIV/0!</v>
      </c>
    </row>
    <row r="365" spans="45:73" x14ac:dyDescent="0.25">
      <c r="BG365" s="6">
        <f t="shared" si="211"/>
        <v>0</v>
      </c>
      <c r="BH365" s="9">
        <f t="shared" ca="1" si="196"/>
        <v>-37.738665490475874</v>
      </c>
      <c r="BI365" s="9">
        <f t="shared" ca="1" si="197"/>
        <v>-8.3704147259712354</v>
      </c>
      <c r="BJ365">
        <f t="shared" ca="1" si="198"/>
        <v>38.655797956927373</v>
      </c>
      <c r="BK365" s="6">
        <f t="shared" ca="1" si="199"/>
        <v>-0.97627438793338528</v>
      </c>
      <c r="BL365" s="6">
        <f t="shared" ca="1" si="200"/>
        <v>-0.21653710874881066</v>
      </c>
      <c r="BM365" s="6">
        <f t="shared" ca="1" si="201"/>
        <v>-2.923326634047537</v>
      </c>
      <c r="BN365" s="6">
        <f t="shared" ca="1" si="202"/>
        <v>-1.3825463209449376</v>
      </c>
      <c r="BO365" s="9">
        <f t="shared" ca="1" si="203"/>
        <v>0</v>
      </c>
      <c r="BP365" s="9">
        <f t="shared" ca="1" si="204"/>
        <v>0</v>
      </c>
      <c r="BQ365">
        <f t="shared" ca="1" si="205"/>
        <v>0</v>
      </c>
      <c r="BR365" t="e">
        <f t="shared" ca="1" si="206"/>
        <v>#DIV/0!</v>
      </c>
      <c r="BS365" t="e">
        <f t="shared" ca="1" si="207"/>
        <v>#DIV/0!</v>
      </c>
      <c r="BT365" t="e">
        <f t="shared" ca="1" si="208"/>
        <v>#DIV/0!</v>
      </c>
      <c r="BU365" s="39" t="e">
        <f t="shared" ca="1" si="209"/>
        <v>#DIV/0!</v>
      </c>
    </row>
    <row r="366" spans="45:73" x14ac:dyDescent="0.25">
      <c r="BG366" s="6">
        <f t="shared" si="211"/>
        <v>0</v>
      </c>
      <c r="BH366" s="9">
        <f t="shared" ca="1" si="196"/>
        <v>-37.738665490475874</v>
      </c>
      <c r="BI366" s="9">
        <f t="shared" ca="1" si="197"/>
        <v>-8.3704147259712354</v>
      </c>
      <c r="BJ366">
        <f t="shared" ca="1" si="198"/>
        <v>38.655797956927373</v>
      </c>
      <c r="BK366" s="6">
        <f t="shared" ca="1" si="199"/>
        <v>-0.97627438793338528</v>
      </c>
      <c r="BL366" s="6">
        <f t="shared" ca="1" si="200"/>
        <v>-0.21653710874881066</v>
      </c>
      <c r="BM366" s="6">
        <f t="shared" ca="1" si="201"/>
        <v>-2.923326634047537</v>
      </c>
      <c r="BN366" s="6">
        <f t="shared" ca="1" si="202"/>
        <v>-1.3825463209449376</v>
      </c>
      <c r="BO366" s="9">
        <f t="shared" ca="1" si="203"/>
        <v>0</v>
      </c>
      <c r="BP366" s="9">
        <f t="shared" ca="1" si="204"/>
        <v>0</v>
      </c>
      <c r="BQ366">
        <f t="shared" ca="1" si="205"/>
        <v>0</v>
      </c>
      <c r="BR366" t="e">
        <f t="shared" ca="1" si="206"/>
        <v>#DIV/0!</v>
      </c>
      <c r="BS366" t="e">
        <f t="shared" ca="1" si="207"/>
        <v>#DIV/0!</v>
      </c>
      <c r="BT366" t="e">
        <f t="shared" ca="1" si="208"/>
        <v>#DIV/0!</v>
      </c>
      <c r="BU366" s="39" t="e">
        <f t="shared" ca="1" si="209"/>
        <v>#DIV/0!</v>
      </c>
    </row>
    <row r="367" spans="45:73" x14ac:dyDescent="0.25">
      <c r="BG367" s="6">
        <f t="shared" si="211"/>
        <v>0</v>
      </c>
      <c r="BH367" s="9">
        <f t="shared" ca="1" si="196"/>
        <v>-37.738665490475874</v>
      </c>
      <c r="BI367" s="9">
        <f t="shared" ca="1" si="197"/>
        <v>-8.3704147259712354</v>
      </c>
      <c r="BJ367">
        <f t="shared" ca="1" si="198"/>
        <v>38.655797956927373</v>
      </c>
      <c r="BK367" s="6">
        <f t="shared" ca="1" si="199"/>
        <v>-0.97627438793338528</v>
      </c>
      <c r="BL367" s="6">
        <f t="shared" ca="1" si="200"/>
        <v>-0.21653710874881066</v>
      </c>
      <c r="BM367" s="6">
        <f t="shared" ca="1" si="201"/>
        <v>-2.923326634047537</v>
      </c>
      <c r="BN367" s="6">
        <f t="shared" ca="1" si="202"/>
        <v>-1.3825463209449376</v>
      </c>
      <c r="BO367" s="9">
        <f t="shared" ca="1" si="203"/>
        <v>0</v>
      </c>
      <c r="BP367" s="9">
        <f t="shared" ca="1" si="204"/>
        <v>0</v>
      </c>
      <c r="BQ367">
        <f t="shared" ca="1" si="205"/>
        <v>0</v>
      </c>
      <c r="BR367" t="e">
        <f t="shared" ca="1" si="206"/>
        <v>#DIV/0!</v>
      </c>
      <c r="BS367" t="e">
        <f t="shared" ca="1" si="207"/>
        <v>#DIV/0!</v>
      </c>
      <c r="BT367" t="e">
        <f t="shared" ca="1" si="208"/>
        <v>#DIV/0!</v>
      </c>
      <c r="BU367" s="39" t="e">
        <f t="shared" ca="1" si="209"/>
        <v>#DIV/0!</v>
      </c>
    </row>
    <row r="368" spans="45:73" x14ac:dyDescent="0.25">
      <c r="BG368" s="6">
        <f t="shared" si="211"/>
        <v>0</v>
      </c>
      <c r="BH368" s="9">
        <f t="shared" ca="1" si="196"/>
        <v>-37.738665490475874</v>
      </c>
      <c r="BI368" s="9">
        <f t="shared" ca="1" si="197"/>
        <v>-8.3704147259712354</v>
      </c>
      <c r="BJ368">
        <f t="shared" ca="1" si="198"/>
        <v>38.655797956927373</v>
      </c>
      <c r="BK368" s="6">
        <f t="shared" ca="1" si="199"/>
        <v>-0.97627438793338528</v>
      </c>
      <c r="BL368" s="6">
        <f t="shared" ca="1" si="200"/>
        <v>-0.21653710874881066</v>
      </c>
      <c r="BM368" s="6">
        <f t="shared" ca="1" si="201"/>
        <v>-2.923326634047537</v>
      </c>
      <c r="BN368" s="6">
        <f t="shared" ca="1" si="202"/>
        <v>-1.3825463209449376</v>
      </c>
      <c r="BO368" s="9">
        <f t="shared" ca="1" si="203"/>
        <v>0</v>
      </c>
      <c r="BP368" s="9">
        <f t="shared" ca="1" si="204"/>
        <v>0</v>
      </c>
      <c r="BQ368">
        <f t="shared" ca="1" si="205"/>
        <v>0</v>
      </c>
      <c r="BR368" t="e">
        <f t="shared" ca="1" si="206"/>
        <v>#DIV/0!</v>
      </c>
      <c r="BS368" t="e">
        <f t="shared" ca="1" si="207"/>
        <v>#DIV/0!</v>
      </c>
      <c r="BT368" t="e">
        <f t="shared" ca="1" si="208"/>
        <v>#DIV/0!</v>
      </c>
      <c r="BU368" s="39" t="e">
        <f t="shared" ca="1" si="209"/>
        <v>#DIV/0!</v>
      </c>
    </row>
    <row r="369" spans="59:73" x14ac:dyDescent="0.25">
      <c r="BG369" s="6">
        <f>AS356</f>
        <v>0</v>
      </c>
      <c r="BH369" s="9">
        <f t="shared" ca="1" si="196"/>
        <v>-37.738665490475874</v>
      </c>
      <c r="BI369" s="9">
        <f t="shared" ca="1" si="197"/>
        <v>-8.3704147259712354</v>
      </c>
      <c r="BJ369">
        <f t="shared" ca="1" si="198"/>
        <v>38.655797956927373</v>
      </c>
      <c r="BK369" s="6">
        <f t="shared" ca="1" si="199"/>
        <v>-0.97627438793338528</v>
      </c>
      <c r="BL369" s="6">
        <f t="shared" ca="1" si="200"/>
        <v>-0.21653710874881066</v>
      </c>
      <c r="BM369" s="6">
        <f t="shared" ca="1" si="201"/>
        <v>-2.923326634047537</v>
      </c>
      <c r="BN369" s="6">
        <f t="shared" ca="1" si="202"/>
        <v>-1.3825463209449376</v>
      </c>
      <c r="BO369" s="9">
        <f t="shared" ca="1" si="203"/>
        <v>0</v>
      </c>
      <c r="BP369" s="9">
        <f t="shared" ca="1" si="204"/>
        <v>0</v>
      </c>
      <c r="BQ369">
        <f t="shared" ca="1" si="205"/>
        <v>0</v>
      </c>
      <c r="BR369" t="e">
        <f t="shared" ca="1" si="206"/>
        <v>#DIV/0!</v>
      </c>
      <c r="BS369" t="e">
        <f t="shared" ca="1" si="207"/>
        <v>#DIV/0!</v>
      </c>
      <c r="BT369" t="e">
        <f t="shared" ca="1" si="208"/>
        <v>#DIV/0!</v>
      </c>
      <c r="BU369" s="39" t="e">
        <f t="shared" ca="1" si="209"/>
        <v>#DIV/0!</v>
      </c>
    </row>
    <row r="370" spans="59:73" x14ac:dyDescent="0.25">
      <c r="BG370" s="6">
        <f t="shared" ref="BG370:BG373" si="212">AS357</f>
        <v>0</v>
      </c>
      <c r="BH370" s="9">
        <f t="shared" ca="1" si="196"/>
        <v>-37.738665490475874</v>
      </c>
      <c r="BI370" s="9">
        <f t="shared" ca="1" si="197"/>
        <v>-8.3704147259712354</v>
      </c>
      <c r="BJ370">
        <f t="shared" ca="1" si="198"/>
        <v>38.655797956927373</v>
      </c>
      <c r="BK370" s="6">
        <f t="shared" ca="1" si="199"/>
        <v>-0.97627438793338528</v>
      </c>
      <c r="BL370" s="6">
        <f t="shared" ca="1" si="200"/>
        <v>-0.21653710874881066</v>
      </c>
      <c r="BM370" s="6">
        <f t="shared" ca="1" si="201"/>
        <v>-2.923326634047537</v>
      </c>
      <c r="BN370" s="6">
        <f t="shared" ca="1" si="202"/>
        <v>-1.3825463209449376</v>
      </c>
      <c r="BO370" s="9">
        <f t="shared" ca="1" si="203"/>
        <v>0</v>
      </c>
      <c r="BP370" s="9">
        <f t="shared" ca="1" si="204"/>
        <v>0</v>
      </c>
      <c r="BQ370">
        <f t="shared" ca="1" si="205"/>
        <v>0</v>
      </c>
      <c r="BR370" t="e">
        <f t="shared" ca="1" si="206"/>
        <v>#DIV/0!</v>
      </c>
      <c r="BS370" t="e">
        <f t="shared" ca="1" si="207"/>
        <v>#DIV/0!</v>
      </c>
      <c r="BT370" t="e">
        <f t="shared" ca="1" si="208"/>
        <v>#DIV/0!</v>
      </c>
      <c r="BU370" s="39" t="e">
        <f t="shared" ca="1" si="209"/>
        <v>#DIV/0!</v>
      </c>
    </row>
    <row r="371" spans="59:73" x14ac:dyDescent="0.25">
      <c r="BG371" s="6">
        <f t="shared" si="212"/>
        <v>0</v>
      </c>
      <c r="BH371" s="9">
        <f t="shared" ca="1" si="196"/>
        <v>-37.738665490475874</v>
      </c>
      <c r="BI371" s="9">
        <f t="shared" ca="1" si="197"/>
        <v>-8.3704147259712354</v>
      </c>
      <c r="BJ371">
        <f t="shared" ca="1" si="198"/>
        <v>38.655797956927373</v>
      </c>
      <c r="BK371" s="6">
        <f t="shared" ca="1" si="199"/>
        <v>-0.97627438793338528</v>
      </c>
      <c r="BL371" s="6">
        <f t="shared" ca="1" si="200"/>
        <v>-0.21653710874881066</v>
      </c>
      <c r="BM371" s="6">
        <f t="shared" ca="1" si="201"/>
        <v>-2.923326634047537</v>
      </c>
      <c r="BN371" s="6">
        <f t="shared" ca="1" si="202"/>
        <v>-1.3825463209449376</v>
      </c>
      <c r="BO371" s="9">
        <f t="shared" ca="1" si="203"/>
        <v>0</v>
      </c>
      <c r="BP371" s="9">
        <f t="shared" ca="1" si="204"/>
        <v>0</v>
      </c>
      <c r="BQ371">
        <f t="shared" ca="1" si="205"/>
        <v>0</v>
      </c>
      <c r="BR371" t="e">
        <f t="shared" ca="1" si="206"/>
        <v>#DIV/0!</v>
      </c>
      <c r="BS371" t="e">
        <f t="shared" ca="1" si="207"/>
        <v>#DIV/0!</v>
      </c>
      <c r="BT371" t="e">
        <f t="shared" ca="1" si="208"/>
        <v>#DIV/0!</v>
      </c>
      <c r="BU371" s="39" t="e">
        <f t="shared" ca="1" si="209"/>
        <v>#DIV/0!</v>
      </c>
    </row>
    <row r="372" spans="59:73" x14ac:dyDescent="0.25">
      <c r="BG372" s="6">
        <f t="shared" si="212"/>
        <v>0</v>
      </c>
      <c r="BH372" s="9">
        <f t="shared" ca="1" si="196"/>
        <v>-37.738665490475874</v>
      </c>
      <c r="BI372" s="9">
        <f t="shared" ca="1" si="197"/>
        <v>-8.3704147259712354</v>
      </c>
      <c r="BJ372">
        <f t="shared" ca="1" si="198"/>
        <v>38.655797956927373</v>
      </c>
      <c r="BK372" s="6">
        <f t="shared" ca="1" si="199"/>
        <v>-0.97627438793338528</v>
      </c>
      <c r="BL372" s="6">
        <f t="shared" ca="1" si="200"/>
        <v>-0.21653710874881066</v>
      </c>
      <c r="BM372" s="6">
        <f t="shared" ca="1" si="201"/>
        <v>-2.923326634047537</v>
      </c>
      <c r="BN372" s="6">
        <f t="shared" ca="1" si="202"/>
        <v>-1.3825463209449376</v>
      </c>
      <c r="BO372" s="9">
        <f t="shared" ca="1" si="203"/>
        <v>0</v>
      </c>
      <c r="BP372" s="9">
        <f t="shared" ca="1" si="204"/>
        <v>0</v>
      </c>
      <c r="BQ372">
        <f t="shared" ca="1" si="205"/>
        <v>0</v>
      </c>
      <c r="BR372" t="e">
        <f t="shared" ca="1" si="206"/>
        <v>#DIV/0!</v>
      </c>
      <c r="BS372" t="e">
        <f t="shared" ca="1" si="207"/>
        <v>#DIV/0!</v>
      </c>
      <c r="BT372" t="e">
        <f t="shared" ca="1" si="208"/>
        <v>#DIV/0!</v>
      </c>
      <c r="BU372" s="39" t="e">
        <f t="shared" ca="1" si="209"/>
        <v>#DIV/0!</v>
      </c>
    </row>
    <row r="373" spans="59:73" x14ac:dyDescent="0.25">
      <c r="BG373" s="6">
        <f t="shared" si="212"/>
        <v>0</v>
      </c>
      <c r="BH373" s="9">
        <f t="shared" ca="1" si="196"/>
        <v>-37.738665490475874</v>
      </c>
      <c r="BI373" s="9">
        <f t="shared" ca="1" si="197"/>
        <v>-8.3704147259712354</v>
      </c>
      <c r="BJ373">
        <f t="shared" ca="1" si="198"/>
        <v>38.655797956927373</v>
      </c>
      <c r="BK373" s="6">
        <f t="shared" ca="1" si="199"/>
        <v>-0.97627438793338528</v>
      </c>
      <c r="BL373" s="6">
        <f t="shared" ca="1" si="200"/>
        <v>-0.21653710874881066</v>
      </c>
      <c r="BM373" s="6">
        <f t="shared" ca="1" si="201"/>
        <v>-2.923326634047537</v>
      </c>
      <c r="BN373" s="6">
        <f t="shared" ca="1" si="202"/>
        <v>-1.3825463209449376</v>
      </c>
      <c r="BO373" s="9">
        <f t="shared" ca="1" si="203"/>
        <v>0</v>
      </c>
      <c r="BP373" s="9">
        <f t="shared" ca="1" si="204"/>
        <v>0</v>
      </c>
      <c r="BQ373">
        <f t="shared" ca="1" si="205"/>
        <v>0</v>
      </c>
      <c r="BR373" t="e">
        <f t="shared" ca="1" si="206"/>
        <v>#DIV/0!</v>
      </c>
      <c r="BS373" t="e">
        <f t="shared" ca="1" si="207"/>
        <v>#DIV/0!</v>
      </c>
      <c r="BT373" t="e">
        <f t="shared" ca="1" si="208"/>
        <v>#DIV/0!</v>
      </c>
      <c r="BU373" s="39" t="e">
        <f t="shared" ca="1" si="209"/>
        <v>#DIV/0!</v>
      </c>
    </row>
    <row r="374" spans="59:73" x14ac:dyDescent="0.25">
      <c r="BG374" s="6">
        <f>AS361</f>
        <v>0</v>
      </c>
      <c r="BH374" s="9">
        <f t="shared" ca="1" si="196"/>
        <v>-37.738665490475874</v>
      </c>
      <c r="BI374" s="9">
        <f t="shared" ca="1" si="197"/>
        <v>-8.3704147259712354</v>
      </c>
      <c r="BJ374">
        <f t="shared" ca="1" si="198"/>
        <v>38.655797956927373</v>
      </c>
      <c r="BK374" s="6">
        <f t="shared" ca="1" si="199"/>
        <v>-0.97627438793338528</v>
      </c>
      <c r="BL374" s="6">
        <f t="shared" ca="1" si="200"/>
        <v>-0.21653710874881066</v>
      </c>
      <c r="BM374" s="6">
        <f t="shared" ca="1" si="201"/>
        <v>-2.923326634047537</v>
      </c>
      <c r="BN374" s="6">
        <f t="shared" ca="1" si="202"/>
        <v>-1.3825463209449376</v>
      </c>
      <c r="BO374" s="9">
        <f t="shared" ca="1" si="203"/>
        <v>0</v>
      </c>
      <c r="BP374" s="9">
        <f t="shared" ca="1" si="204"/>
        <v>0</v>
      </c>
      <c r="BQ374">
        <f t="shared" ca="1" si="205"/>
        <v>0</v>
      </c>
      <c r="BR374" t="e">
        <f t="shared" ca="1" si="206"/>
        <v>#DIV/0!</v>
      </c>
      <c r="BS374" t="e">
        <f t="shared" ca="1" si="207"/>
        <v>#DIV/0!</v>
      </c>
      <c r="BT374" t="e">
        <f t="shared" ca="1" si="208"/>
        <v>#DIV/0!</v>
      </c>
      <c r="BU374" s="39" t="e">
        <f t="shared" ca="1" si="209"/>
        <v>#DIV/0!</v>
      </c>
    </row>
    <row r="375" spans="59:73" x14ac:dyDescent="0.25">
      <c r="BG375" s="6">
        <f t="shared" ref="BG375" si="213">AS362</f>
        <v>0</v>
      </c>
      <c r="BH375" s="9">
        <f t="shared" ca="1" si="196"/>
        <v>-37.738665490475874</v>
      </c>
      <c r="BI375" s="9">
        <f t="shared" ca="1" si="197"/>
        <v>-8.3704147259712354</v>
      </c>
      <c r="BJ375">
        <f t="shared" ca="1" si="198"/>
        <v>38.655797956927373</v>
      </c>
      <c r="BK375" s="6">
        <f t="shared" ca="1" si="199"/>
        <v>-0.97627438793338528</v>
      </c>
      <c r="BL375" s="6">
        <f t="shared" ca="1" si="200"/>
        <v>-0.21653710874881066</v>
      </c>
      <c r="BM375" s="6">
        <f t="shared" ca="1" si="201"/>
        <v>-2.923326634047537</v>
      </c>
      <c r="BN375" s="6">
        <f t="shared" ca="1" si="202"/>
        <v>-1.3825463209449376</v>
      </c>
      <c r="BO375" s="9">
        <f t="shared" ca="1" si="203"/>
        <v>0</v>
      </c>
      <c r="BP375" s="9">
        <f t="shared" ca="1" si="204"/>
        <v>0</v>
      </c>
      <c r="BQ375">
        <f t="shared" ca="1" si="205"/>
        <v>0</v>
      </c>
      <c r="BR375" t="e">
        <f t="shared" ca="1" si="206"/>
        <v>#DIV/0!</v>
      </c>
      <c r="BS375" t="e">
        <f t="shared" ca="1" si="207"/>
        <v>#DIV/0!</v>
      </c>
      <c r="BT375" t="e">
        <f t="shared" ca="1" si="208"/>
        <v>#DIV/0!</v>
      </c>
      <c r="BU375" s="39" t="e">
        <f t="shared" ca="1" si="209"/>
        <v>#DIV/0!</v>
      </c>
    </row>
    <row r="376" spans="59:73" x14ac:dyDescent="0.25">
      <c r="BG376" s="6"/>
    </row>
    <row r="377" spans="59:73" x14ac:dyDescent="0.25">
      <c r="BG377" s="6"/>
    </row>
    <row r="378" spans="59:73" x14ac:dyDescent="0.25">
      <c r="BG378" s="6"/>
    </row>
  </sheetData>
  <phoneticPr fontId="3" type="noConversion"/>
  <dataValidations count="3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2020-11-12T05:49:39Z</dcterms:modified>
</cp:coreProperties>
</file>