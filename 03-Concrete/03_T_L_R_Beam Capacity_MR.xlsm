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2279956" documentId="114_{4C9766C2-934B-FE43-8898-95272A9847CE}" xr6:coauthVersionLast="45" xr6:coauthVersionMax="45" xr10:uidLastSave="{39A2B7F7-3879-4FF6-B2D8-AC2782A34D59}"/>
  <bookViews>
    <workbookView xWindow="-120" yWindow="-120" windowWidth="27930" windowHeight="18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3" i="1" l="1"/>
  <c r="AV3" i="1"/>
  <c r="AV4" i="1"/>
  <c r="AV5" i="1"/>
  <c r="AV6" i="1"/>
  <c r="AV7" i="1"/>
  <c r="AV8" i="1"/>
  <c r="AV9" i="1"/>
  <c r="AV10" i="1"/>
  <c r="AX10" i="1" s="1"/>
  <c r="AV11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X26" i="1" s="1"/>
  <c r="AV27" i="1"/>
  <c r="AV28" i="1"/>
  <c r="AV29" i="1"/>
  <c r="AV30" i="1"/>
  <c r="AV31" i="1"/>
  <c r="AV32" i="1"/>
  <c r="AV33" i="1"/>
  <c r="AV34" i="1"/>
  <c r="AV35" i="1"/>
  <c r="AV36" i="1"/>
  <c r="AV37" i="1"/>
  <c r="AV38" i="1"/>
  <c r="AV39" i="1"/>
  <c r="AV40" i="1"/>
  <c r="AV41" i="1"/>
  <c r="AV42" i="1"/>
  <c r="AV43" i="1"/>
  <c r="AV44" i="1"/>
  <c r="AV45" i="1"/>
  <c r="AV46" i="1"/>
  <c r="AV47" i="1"/>
  <c r="AV48" i="1"/>
  <c r="AV49" i="1"/>
  <c r="AV50" i="1"/>
  <c r="AV51" i="1"/>
  <c r="AV52" i="1"/>
  <c r="AV53" i="1"/>
  <c r="AV54" i="1"/>
  <c r="AV55" i="1"/>
  <c r="AV56" i="1"/>
  <c r="AV57" i="1"/>
  <c r="AV58" i="1"/>
  <c r="AX58" i="1" s="1"/>
  <c r="AV59" i="1"/>
  <c r="AV60" i="1"/>
  <c r="AV61" i="1"/>
  <c r="AV62" i="1"/>
  <c r="AV63" i="1"/>
  <c r="AV64" i="1"/>
  <c r="AV65" i="1"/>
  <c r="AV66" i="1"/>
  <c r="AV67" i="1"/>
  <c r="AV68" i="1"/>
  <c r="AV69" i="1"/>
  <c r="AV70" i="1"/>
  <c r="AV71" i="1"/>
  <c r="AV72" i="1"/>
  <c r="AV73" i="1"/>
  <c r="AV74" i="1"/>
  <c r="AX74" i="1" s="1"/>
  <c r="AV75" i="1"/>
  <c r="AV76" i="1"/>
  <c r="AV77" i="1"/>
  <c r="AV78" i="1"/>
  <c r="AV79" i="1"/>
  <c r="AV80" i="1"/>
  <c r="AV81" i="1"/>
  <c r="AV82" i="1"/>
  <c r="AV83" i="1"/>
  <c r="AV84" i="1"/>
  <c r="AV85" i="1"/>
  <c r="AV86" i="1"/>
  <c r="AV87" i="1"/>
  <c r="AV88" i="1"/>
  <c r="AV89" i="1"/>
  <c r="AV90" i="1"/>
  <c r="AX90" i="1" s="1"/>
  <c r="AV91" i="1"/>
  <c r="AV92" i="1"/>
  <c r="AV93" i="1"/>
  <c r="AV94" i="1"/>
  <c r="AV95" i="1"/>
  <c r="AV96" i="1"/>
  <c r="AV97" i="1"/>
  <c r="AV98" i="1"/>
  <c r="AV99" i="1"/>
  <c r="AV100" i="1"/>
  <c r="AV101" i="1"/>
  <c r="AV102" i="1"/>
  <c r="AV103" i="1"/>
  <c r="AV104" i="1"/>
  <c r="AV105" i="1"/>
  <c r="AV106" i="1"/>
  <c r="AX106" i="1" s="1"/>
  <c r="AV107" i="1"/>
  <c r="AV108" i="1"/>
  <c r="AV109" i="1"/>
  <c r="AV110" i="1"/>
  <c r="AV111" i="1"/>
  <c r="AV112" i="1"/>
  <c r="AV113" i="1"/>
  <c r="AV114" i="1"/>
  <c r="AV115" i="1"/>
  <c r="AV116" i="1"/>
  <c r="AV117" i="1"/>
  <c r="AV118" i="1"/>
  <c r="AV119" i="1"/>
  <c r="AV120" i="1"/>
  <c r="AV121" i="1"/>
  <c r="AV122" i="1"/>
  <c r="AX122" i="1" s="1"/>
  <c r="AV123" i="1"/>
  <c r="AV124" i="1"/>
  <c r="AV125" i="1"/>
  <c r="AV126" i="1"/>
  <c r="AV127" i="1"/>
  <c r="AV128" i="1"/>
  <c r="AV129" i="1"/>
  <c r="AV130" i="1"/>
  <c r="AX130" i="1" s="1"/>
  <c r="AV131" i="1"/>
  <c r="AV132" i="1"/>
  <c r="AV133" i="1"/>
  <c r="AV134" i="1"/>
  <c r="AV135" i="1"/>
  <c r="AV136" i="1"/>
  <c r="AV137" i="1"/>
  <c r="AV138" i="1"/>
  <c r="AV139" i="1"/>
  <c r="AV140" i="1"/>
  <c r="AV141" i="1"/>
  <c r="AV142" i="1"/>
  <c r="AV143" i="1"/>
  <c r="AV144" i="1"/>
  <c r="AV145" i="1"/>
  <c r="AV146" i="1"/>
  <c r="AX146" i="1" s="1"/>
  <c r="AV147" i="1"/>
  <c r="AV148" i="1"/>
  <c r="AV149" i="1"/>
  <c r="AV150" i="1"/>
  <c r="AV151" i="1"/>
  <c r="AV152" i="1"/>
  <c r="AV153" i="1"/>
  <c r="AV154" i="1"/>
  <c r="AV155" i="1"/>
  <c r="AV156" i="1"/>
  <c r="AV157" i="1"/>
  <c r="AV158" i="1"/>
  <c r="AV159" i="1"/>
  <c r="AV160" i="1"/>
  <c r="AV161" i="1"/>
  <c r="AV162" i="1"/>
  <c r="AV163" i="1"/>
  <c r="AV164" i="1"/>
  <c r="AV165" i="1"/>
  <c r="AV166" i="1"/>
  <c r="AV167" i="1"/>
  <c r="AV168" i="1"/>
  <c r="AV169" i="1"/>
  <c r="AV170" i="1"/>
  <c r="AV171" i="1"/>
  <c r="AV172" i="1"/>
  <c r="AV173" i="1"/>
  <c r="AV174" i="1"/>
  <c r="AV175" i="1"/>
  <c r="AV176" i="1"/>
  <c r="AV177" i="1"/>
  <c r="AV178" i="1"/>
  <c r="AX178" i="1" s="1"/>
  <c r="AV179" i="1"/>
  <c r="AV180" i="1"/>
  <c r="AV181" i="1"/>
  <c r="AV182" i="1"/>
  <c r="AV183" i="1"/>
  <c r="AV184" i="1"/>
  <c r="AV185" i="1"/>
  <c r="AV186" i="1"/>
  <c r="AX186" i="1" s="1"/>
  <c r="AV187" i="1"/>
  <c r="AV188" i="1"/>
  <c r="AV189" i="1"/>
  <c r="AV190" i="1"/>
  <c r="AV191" i="1"/>
  <c r="AV192" i="1"/>
  <c r="AV193" i="1"/>
  <c r="AV194" i="1"/>
  <c r="AX194" i="1" s="1"/>
  <c r="AV195" i="1"/>
  <c r="AV196" i="1"/>
  <c r="AV197" i="1"/>
  <c r="AV198" i="1"/>
  <c r="AV199" i="1"/>
  <c r="AV200" i="1"/>
  <c r="AV201" i="1"/>
  <c r="AV202" i="1"/>
  <c r="AX202" i="1" s="1"/>
  <c r="AV203" i="1"/>
  <c r="AV204" i="1"/>
  <c r="AV205" i="1"/>
  <c r="AV206" i="1"/>
  <c r="AV207" i="1"/>
  <c r="AV208" i="1"/>
  <c r="AV209" i="1"/>
  <c r="AV210" i="1"/>
  <c r="AX210" i="1" s="1"/>
  <c r="AV211" i="1"/>
  <c r="AV212" i="1"/>
  <c r="AV213" i="1"/>
  <c r="AV214" i="1"/>
  <c r="AV215" i="1"/>
  <c r="AV216" i="1"/>
  <c r="AV217" i="1"/>
  <c r="AV218" i="1"/>
  <c r="AX218" i="1" s="1"/>
  <c r="AV219" i="1"/>
  <c r="AV220" i="1"/>
  <c r="AV221" i="1"/>
  <c r="AV222" i="1"/>
  <c r="AV223" i="1"/>
  <c r="AV224" i="1"/>
  <c r="AV225" i="1"/>
  <c r="AV226" i="1"/>
  <c r="AX226" i="1" s="1"/>
  <c r="AV227" i="1"/>
  <c r="AV228" i="1"/>
  <c r="AV229" i="1"/>
  <c r="AV230" i="1"/>
  <c r="AV231" i="1"/>
  <c r="AV232" i="1"/>
  <c r="AV233" i="1"/>
  <c r="AV234" i="1"/>
  <c r="AX234" i="1" s="1"/>
  <c r="AV235" i="1"/>
  <c r="AV236" i="1"/>
  <c r="AV237" i="1"/>
  <c r="AV238" i="1"/>
  <c r="AV239" i="1"/>
  <c r="AV240" i="1"/>
  <c r="AV241" i="1"/>
  <c r="AV242" i="1"/>
  <c r="AX242" i="1" s="1"/>
  <c r="AV243" i="1"/>
  <c r="AV244" i="1"/>
  <c r="AV245" i="1"/>
  <c r="AV246" i="1"/>
  <c r="AV247" i="1"/>
  <c r="AV248" i="1"/>
  <c r="AV249" i="1"/>
  <c r="AV250" i="1"/>
  <c r="AX250" i="1" s="1"/>
  <c r="AV251" i="1"/>
  <c r="AV252" i="1"/>
  <c r="AV253" i="1"/>
  <c r="AV254" i="1"/>
  <c r="AV255" i="1"/>
  <c r="AV256" i="1"/>
  <c r="AV257" i="1"/>
  <c r="AV258" i="1"/>
  <c r="AX258" i="1" s="1"/>
  <c r="AV259" i="1"/>
  <c r="AV260" i="1"/>
  <c r="AV261" i="1"/>
  <c r="AV262" i="1"/>
  <c r="AV263" i="1"/>
  <c r="AV264" i="1"/>
  <c r="AV265" i="1"/>
  <c r="AV266" i="1"/>
  <c r="AX266" i="1" s="1"/>
  <c r="AV267" i="1"/>
  <c r="AV268" i="1"/>
  <c r="AV269" i="1"/>
  <c r="AV270" i="1"/>
  <c r="AV271" i="1"/>
  <c r="AV272" i="1"/>
  <c r="AV273" i="1"/>
  <c r="AV274" i="1"/>
  <c r="AX274" i="1" s="1"/>
  <c r="AV275" i="1"/>
  <c r="AV276" i="1"/>
  <c r="AV277" i="1"/>
  <c r="AV278" i="1"/>
  <c r="AV279" i="1"/>
  <c r="AV280" i="1"/>
  <c r="AV281" i="1"/>
  <c r="AV282" i="1"/>
  <c r="AX282" i="1" s="1"/>
  <c r="AV283" i="1"/>
  <c r="AV284" i="1"/>
  <c r="AV285" i="1"/>
  <c r="AV286" i="1"/>
  <c r="AV287" i="1"/>
  <c r="AV288" i="1"/>
  <c r="AV289" i="1"/>
  <c r="AV290" i="1"/>
  <c r="AX290" i="1" s="1"/>
  <c r="AV291" i="1"/>
  <c r="AV292" i="1"/>
  <c r="AV293" i="1"/>
  <c r="AV294" i="1"/>
  <c r="AV295" i="1"/>
  <c r="AV296" i="1"/>
  <c r="AV297" i="1"/>
  <c r="AV298" i="1"/>
  <c r="AX298" i="1" s="1"/>
  <c r="AV299" i="1"/>
  <c r="AV300" i="1"/>
  <c r="AV301" i="1"/>
  <c r="AV302" i="1"/>
  <c r="AV303" i="1"/>
  <c r="AV304" i="1"/>
  <c r="AV305" i="1"/>
  <c r="AV306" i="1"/>
  <c r="AX306" i="1" s="1"/>
  <c r="AV307" i="1"/>
  <c r="AV308" i="1"/>
  <c r="AV309" i="1"/>
  <c r="AV310" i="1"/>
  <c r="AV311" i="1"/>
  <c r="AV312" i="1"/>
  <c r="AV313" i="1"/>
  <c r="AV314" i="1"/>
  <c r="AX314" i="1" s="1"/>
  <c r="AV315" i="1"/>
  <c r="AV316" i="1"/>
  <c r="AV317" i="1"/>
  <c r="AV318" i="1"/>
  <c r="AV319" i="1"/>
  <c r="AV320" i="1"/>
  <c r="AV321" i="1"/>
  <c r="AV322" i="1"/>
  <c r="AX322" i="1" s="1"/>
  <c r="AV323" i="1"/>
  <c r="AV324" i="1"/>
  <c r="AV325" i="1"/>
  <c r="AV326" i="1"/>
  <c r="AV327" i="1"/>
  <c r="AV328" i="1"/>
  <c r="AV329" i="1"/>
  <c r="AV330" i="1"/>
  <c r="AX330" i="1" s="1"/>
  <c r="AV331" i="1"/>
  <c r="AV332" i="1"/>
  <c r="AV333" i="1"/>
  <c r="AV334" i="1"/>
  <c r="AV335" i="1"/>
  <c r="AV336" i="1"/>
  <c r="AV337" i="1"/>
  <c r="AV338" i="1"/>
  <c r="AX338" i="1" s="1"/>
  <c r="AV339" i="1"/>
  <c r="AV340" i="1"/>
  <c r="AV341" i="1"/>
  <c r="AV342" i="1"/>
  <c r="AV343" i="1"/>
  <c r="AV344" i="1"/>
  <c r="AV345" i="1"/>
  <c r="AV346" i="1"/>
  <c r="AX346" i="1" s="1"/>
  <c r="AV347" i="1"/>
  <c r="AV348" i="1"/>
  <c r="AV349" i="1"/>
  <c r="AV350" i="1"/>
  <c r="AV351" i="1"/>
  <c r="AV352" i="1"/>
  <c r="AV353" i="1"/>
  <c r="AV354" i="1"/>
  <c r="AX354" i="1" s="1"/>
  <c r="AV355" i="1"/>
  <c r="AV356" i="1"/>
  <c r="AV357" i="1"/>
  <c r="AV358" i="1"/>
  <c r="AV359" i="1"/>
  <c r="AV360" i="1"/>
  <c r="AV361" i="1"/>
  <c r="AV362" i="1"/>
  <c r="AX362" i="1" s="1"/>
  <c r="AV2" i="1"/>
  <c r="AX2" i="1" s="1"/>
  <c r="X14" i="1"/>
  <c r="AX17" i="1"/>
  <c r="AX9" i="1"/>
  <c r="AX15" i="1"/>
  <c r="AX16" i="1"/>
  <c r="AX24" i="1"/>
  <c r="AX25" i="1"/>
  <c r="AX31" i="1"/>
  <c r="AX32" i="1"/>
  <c r="AX40" i="1"/>
  <c r="AX41" i="1"/>
  <c r="AX42" i="1"/>
  <c r="AX47" i="1"/>
  <c r="AX48" i="1"/>
  <c r="AX56" i="1"/>
  <c r="AX57" i="1"/>
  <c r="AX63" i="1"/>
  <c r="AX64" i="1"/>
  <c r="AX72" i="1"/>
  <c r="AX73" i="1"/>
  <c r="AX79" i="1"/>
  <c r="AX80" i="1"/>
  <c r="AX88" i="1"/>
  <c r="AX89" i="1"/>
  <c r="AX95" i="1"/>
  <c r="AX96" i="1"/>
  <c r="AX104" i="1"/>
  <c r="AX105" i="1"/>
  <c r="AX110" i="1"/>
  <c r="AX111" i="1"/>
  <c r="AX118" i="1"/>
  <c r="AX119" i="1"/>
  <c r="AX120" i="1"/>
  <c r="AX121" i="1"/>
  <c r="AX129" i="1"/>
  <c r="AX134" i="1"/>
  <c r="AX135" i="1"/>
  <c r="AX136" i="1"/>
  <c r="AX142" i="1"/>
  <c r="AX143" i="1"/>
  <c r="AX144" i="1"/>
  <c r="AX145" i="1"/>
  <c r="AX150" i="1"/>
  <c r="AX153" i="1"/>
  <c r="AX154" i="1"/>
  <c r="AX158" i="1"/>
  <c r="AX159" i="1"/>
  <c r="AX160" i="1"/>
  <c r="AX161" i="1"/>
  <c r="AX167" i="1"/>
  <c r="AX168" i="1"/>
  <c r="AX169" i="1"/>
  <c r="AX170" i="1"/>
  <c r="AX171" i="1"/>
  <c r="AX172" i="1"/>
  <c r="AX175" i="1"/>
  <c r="AX176" i="1"/>
  <c r="AX177" i="1"/>
  <c r="AX179" i="1"/>
  <c r="AX180" i="1"/>
  <c r="AX181" i="1"/>
  <c r="AX183" i="1"/>
  <c r="AX184" i="1"/>
  <c r="AX185" i="1"/>
  <c r="AX187" i="1"/>
  <c r="AX188" i="1"/>
  <c r="AX189" i="1"/>
  <c r="AX190" i="1"/>
  <c r="AX191" i="1"/>
  <c r="AX192" i="1"/>
  <c r="AX193" i="1"/>
  <c r="AX195" i="1"/>
  <c r="AX196" i="1"/>
  <c r="AX197" i="1"/>
  <c r="AX198" i="1"/>
  <c r="AX199" i="1"/>
  <c r="AX200" i="1"/>
  <c r="AX201" i="1"/>
  <c r="AX203" i="1"/>
  <c r="AX204" i="1"/>
  <c r="AX205" i="1"/>
  <c r="AX206" i="1"/>
  <c r="AX207" i="1"/>
  <c r="AX208" i="1"/>
  <c r="AX209" i="1"/>
  <c r="AX211" i="1"/>
  <c r="AX212" i="1"/>
  <c r="AX213" i="1"/>
  <c r="AX214" i="1"/>
  <c r="AX215" i="1"/>
  <c r="AX216" i="1"/>
  <c r="AX217" i="1"/>
  <c r="AX219" i="1"/>
  <c r="AX220" i="1"/>
  <c r="AX221" i="1"/>
  <c r="AX222" i="1"/>
  <c r="AX223" i="1"/>
  <c r="AX224" i="1"/>
  <c r="AX225" i="1"/>
  <c r="AX227" i="1"/>
  <c r="AX228" i="1"/>
  <c r="AX229" i="1"/>
  <c r="AX230" i="1"/>
  <c r="AX231" i="1"/>
  <c r="AX232" i="1"/>
  <c r="AX233" i="1"/>
  <c r="AX235" i="1"/>
  <c r="AX236" i="1"/>
  <c r="AX237" i="1"/>
  <c r="AX238" i="1"/>
  <c r="AX239" i="1"/>
  <c r="AX240" i="1"/>
  <c r="AX241" i="1"/>
  <c r="AX243" i="1"/>
  <c r="AX244" i="1"/>
  <c r="AX245" i="1"/>
  <c r="AX246" i="1"/>
  <c r="AX247" i="1"/>
  <c r="AX248" i="1"/>
  <c r="AX249" i="1"/>
  <c r="AX251" i="1"/>
  <c r="AX252" i="1"/>
  <c r="AX253" i="1"/>
  <c r="AX254" i="1"/>
  <c r="AX255" i="1"/>
  <c r="AX256" i="1"/>
  <c r="AX257" i="1"/>
  <c r="AX259" i="1"/>
  <c r="AX260" i="1"/>
  <c r="AX261" i="1"/>
  <c r="AX262" i="1"/>
  <c r="AX263" i="1"/>
  <c r="AX264" i="1"/>
  <c r="AX265" i="1"/>
  <c r="AX267" i="1"/>
  <c r="AX268" i="1"/>
  <c r="AX269" i="1"/>
  <c r="AX270" i="1"/>
  <c r="AX271" i="1"/>
  <c r="AX272" i="1"/>
  <c r="AX273" i="1"/>
  <c r="AX275" i="1"/>
  <c r="AX276" i="1"/>
  <c r="AX277" i="1"/>
  <c r="AX278" i="1"/>
  <c r="AX279" i="1"/>
  <c r="AX280" i="1"/>
  <c r="AX281" i="1"/>
  <c r="AX283" i="1"/>
  <c r="AX284" i="1"/>
  <c r="AX285" i="1"/>
  <c r="AX286" i="1"/>
  <c r="AX287" i="1"/>
  <c r="AX288" i="1"/>
  <c r="AX289" i="1"/>
  <c r="AX291" i="1"/>
  <c r="AX292" i="1"/>
  <c r="AX293" i="1"/>
  <c r="AX294" i="1"/>
  <c r="AX295" i="1"/>
  <c r="AX296" i="1"/>
  <c r="AX297" i="1"/>
  <c r="AX299" i="1"/>
  <c r="AX300" i="1"/>
  <c r="AX301" i="1"/>
  <c r="AX302" i="1"/>
  <c r="AX303" i="1"/>
  <c r="AX304" i="1"/>
  <c r="AX305" i="1"/>
  <c r="AX307" i="1"/>
  <c r="AX308" i="1"/>
  <c r="AX309" i="1"/>
  <c r="AX310" i="1"/>
  <c r="AX311" i="1"/>
  <c r="AX312" i="1"/>
  <c r="AX313" i="1"/>
  <c r="AX315" i="1"/>
  <c r="AX316" i="1"/>
  <c r="AX317" i="1"/>
  <c r="AX318" i="1"/>
  <c r="AX319" i="1"/>
  <c r="AX320" i="1"/>
  <c r="AX321" i="1"/>
  <c r="AX323" i="1"/>
  <c r="AX324" i="1"/>
  <c r="AX325" i="1"/>
  <c r="AX326" i="1"/>
  <c r="AX327" i="1"/>
  <c r="AX328" i="1"/>
  <c r="AX329" i="1"/>
  <c r="AX331" i="1"/>
  <c r="AX332" i="1"/>
  <c r="AX333" i="1"/>
  <c r="AX334" i="1"/>
  <c r="AX335" i="1"/>
  <c r="AX336" i="1"/>
  <c r="AX337" i="1"/>
  <c r="AX339" i="1"/>
  <c r="AX340" i="1"/>
  <c r="AX341" i="1"/>
  <c r="AX342" i="1"/>
  <c r="AX343" i="1"/>
  <c r="AX344" i="1"/>
  <c r="AX345" i="1"/>
  <c r="AX347" i="1"/>
  <c r="AX348" i="1"/>
  <c r="AX349" i="1"/>
  <c r="AX350" i="1"/>
  <c r="AX351" i="1"/>
  <c r="AX352" i="1"/>
  <c r="AX353" i="1"/>
  <c r="AX355" i="1"/>
  <c r="AX356" i="1"/>
  <c r="AX357" i="1"/>
  <c r="AX358" i="1"/>
  <c r="AX359" i="1"/>
  <c r="AX360" i="1"/>
  <c r="AX361" i="1"/>
  <c r="AX8" i="1" l="1"/>
  <c r="AX128" i="1"/>
  <c r="AX114" i="1"/>
  <c r="AX103" i="1"/>
  <c r="AX87" i="1"/>
  <c r="AX71" i="1"/>
  <c r="AX55" i="1"/>
  <c r="AX39" i="1"/>
  <c r="AX23" i="1"/>
  <c r="AX7" i="1"/>
  <c r="AX182" i="1"/>
  <c r="AX174" i="1"/>
  <c r="AX166" i="1"/>
  <c r="AX152" i="1"/>
  <c r="AX138" i="1"/>
  <c r="AX127" i="1"/>
  <c r="AX113" i="1"/>
  <c r="AX98" i="1"/>
  <c r="AX82" i="1"/>
  <c r="AX66" i="1"/>
  <c r="AX50" i="1"/>
  <c r="AX34" i="1"/>
  <c r="AX18" i="1"/>
  <c r="AX3" i="1"/>
  <c r="AX173" i="1"/>
  <c r="AX162" i="1"/>
  <c r="AX151" i="1"/>
  <c r="AX137" i="1"/>
  <c r="AX126" i="1"/>
  <c r="AX112" i="1"/>
  <c r="AX97" i="1"/>
  <c r="AX81" i="1"/>
  <c r="AX65" i="1"/>
  <c r="AX49" i="1"/>
  <c r="AX33" i="1"/>
  <c r="AX102" i="1"/>
  <c r="AX94" i="1"/>
  <c r="AX86" i="1"/>
  <c r="AX78" i="1"/>
  <c r="AX70" i="1"/>
  <c r="AX62" i="1"/>
  <c r="AX54" i="1"/>
  <c r="AX46" i="1"/>
  <c r="AX38" i="1"/>
  <c r="AX30" i="1"/>
  <c r="AX22" i="1"/>
  <c r="AX14" i="1"/>
  <c r="AX6" i="1"/>
  <c r="AX165" i="1"/>
  <c r="AX157" i="1"/>
  <c r="AX149" i="1"/>
  <c r="AX141" i="1"/>
  <c r="AX133" i="1"/>
  <c r="AX125" i="1"/>
  <c r="AX117" i="1"/>
  <c r="AX109" i="1"/>
  <c r="AX101" i="1"/>
  <c r="AX93" i="1"/>
  <c r="AX85" i="1"/>
  <c r="AX77" i="1"/>
  <c r="AX69" i="1"/>
  <c r="AX61" i="1"/>
  <c r="AX53" i="1"/>
  <c r="AX45" i="1"/>
  <c r="AX37" i="1"/>
  <c r="AX29" i="1"/>
  <c r="AX21" i="1"/>
  <c r="AX13" i="1"/>
  <c r="AX5" i="1"/>
  <c r="AX164" i="1"/>
  <c r="AX156" i="1"/>
  <c r="AX148" i="1"/>
  <c r="AX140" i="1"/>
  <c r="AX132" i="1"/>
  <c r="AX124" i="1"/>
  <c r="AX116" i="1"/>
  <c r="AX108" i="1"/>
  <c r="AX100" i="1"/>
  <c r="AX92" i="1"/>
  <c r="AX84" i="1"/>
  <c r="AX76" i="1"/>
  <c r="AX68" i="1"/>
  <c r="AX60" i="1"/>
  <c r="AX52" i="1"/>
  <c r="AX44" i="1"/>
  <c r="AX36" i="1"/>
  <c r="AX28" i="1"/>
  <c r="AX20" i="1"/>
  <c r="AX12" i="1"/>
  <c r="AX4" i="1"/>
  <c r="AX163" i="1"/>
  <c r="AX155" i="1"/>
  <c r="AX147" i="1"/>
  <c r="AX139" i="1"/>
  <c r="AX131" i="1"/>
  <c r="AX123" i="1"/>
  <c r="AX115" i="1"/>
  <c r="AX107" i="1"/>
  <c r="AX99" i="1"/>
  <c r="AX91" i="1"/>
  <c r="AX83" i="1"/>
  <c r="AX75" i="1"/>
  <c r="AX67" i="1"/>
  <c r="AX59" i="1"/>
  <c r="AX51" i="1"/>
  <c r="AX43" i="1"/>
  <c r="AX35" i="1"/>
  <c r="AX27" i="1"/>
  <c r="AX19" i="1"/>
  <c r="AX11" i="1"/>
  <c r="AU363" i="1" l="1"/>
  <c r="AU364" i="1" s="1"/>
  <c r="AT363" i="1"/>
  <c r="AT364" i="1" s="1"/>
  <c r="BG374" i="1"/>
  <c r="BG375" i="1"/>
  <c r="BG369" i="1"/>
  <c r="BG370" i="1"/>
  <c r="BG371" i="1"/>
  <c r="BG372" i="1"/>
  <c r="BG373" i="1"/>
  <c r="BG362" i="1"/>
  <c r="BG363" i="1"/>
  <c r="BG364" i="1"/>
  <c r="BG365" i="1"/>
  <c r="BG366" i="1"/>
  <c r="BG367" i="1"/>
  <c r="BG368" i="1"/>
  <c r="BG349" i="1"/>
  <c r="BG350" i="1"/>
  <c r="BG351" i="1"/>
  <c r="BG352" i="1"/>
  <c r="BG353" i="1"/>
  <c r="BG354" i="1"/>
  <c r="BG355" i="1"/>
  <c r="BG356" i="1"/>
  <c r="BG357" i="1"/>
  <c r="BG358" i="1"/>
  <c r="BG359" i="1"/>
  <c r="BG360" i="1"/>
  <c r="BG361" i="1"/>
  <c r="BG16" i="1"/>
  <c r="BG17" i="1"/>
  <c r="BG18" i="1"/>
  <c r="BG19" i="1"/>
  <c r="BG20" i="1"/>
  <c r="BG21" i="1"/>
  <c r="BG22" i="1"/>
  <c r="BG23" i="1"/>
  <c r="BG24" i="1"/>
  <c r="BG25" i="1"/>
  <c r="BG26" i="1"/>
  <c r="BG27" i="1"/>
  <c r="BG28" i="1"/>
  <c r="BG29" i="1"/>
  <c r="BG30" i="1"/>
  <c r="BG31" i="1"/>
  <c r="BG32" i="1"/>
  <c r="BG33" i="1"/>
  <c r="BG34" i="1"/>
  <c r="BG35" i="1"/>
  <c r="BG36" i="1"/>
  <c r="BG37" i="1"/>
  <c r="BG38" i="1"/>
  <c r="BG39" i="1"/>
  <c r="BG40" i="1"/>
  <c r="BG41" i="1"/>
  <c r="BG42" i="1"/>
  <c r="BG43" i="1"/>
  <c r="BG44" i="1"/>
  <c r="BG45" i="1"/>
  <c r="BG46" i="1"/>
  <c r="BG47" i="1"/>
  <c r="BG48" i="1"/>
  <c r="BG49" i="1"/>
  <c r="BG50" i="1"/>
  <c r="BG51" i="1"/>
  <c r="BG52" i="1"/>
  <c r="BG53" i="1"/>
  <c r="BG54" i="1"/>
  <c r="BG55" i="1"/>
  <c r="BG56" i="1"/>
  <c r="BG57" i="1"/>
  <c r="BG58" i="1"/>
  <c r="BG59" i="1"/>
  <c r="BG60" i="1"/>
  <c r="BG61" i="1"/>
  <c r="BG62" i="1"/>
  <c r="BG63" i="1"/>
  <c r="BG64" i="1"/>
  <c r="BG65" i="1"/>
  <c r="BG66" i="1"/>
  <c r="BG67" i="1"/>
  <c r="BG68" i="1"/>
  <c r="BG69" i="1"/>
  <c r="BG70" i="1"/>
  <c r="BG71" i="1"/>
  <c r="BG72" i="1"/>
  <c r="BG73" i="1"/>
  <c r="BG74" i="1"/>
  <c r="BG75" i="1"/>
  <c r="BG76" i="1"/>
  <c r="BG77" i="1"/>
  <c r="BG78" i="1"/>
  <c r="BG79" i="1"/>
  <c r="BG80" i="1"/>
  <c r="BG81" i="1"/>
  <c r="BG82" i="1"/>
  <c r="BG83" i="1"/>
  <c r="BG84" i="1"/>
  <c r="BG85" i="1"/>
  <c r="BG86" i="1"/>
  <c r="BG87" i="1"/>
  <c r="BG88" i="1"/>
  <c r="BG89" i="1"/>
  <c r="BG90" i="1"/>
  <c r="BG91" i="1"/>
  <c r="BG92" i="1"/>
  <c r="BG93" i="1"/>
  <c r="BG94" i="1"/>
  <c r="BG95" i="1"/>
  <c r="BG96" i="1"/>
  <c r="BG97" i="1"/>
  <c r="BG98" i="1"/>
  <c r="BG99" i="1"/>
  <c r="BG100" i="1"/>
  <c r="BG101" i="1"/>
  <c r="BG102" i="1"/>
  <c r="BG103" i="1"/>
  <c r="BG104" i="1"/>
  <c r="BG105" i="1"/>
  <c r="BG106" i="1"/>
  <c r="BG107" i="1"/>
  <c r="BG108" i="1"/>
  <c r="BG109" i="1"/>
  <c r="BG110" i="1"/>
  <c r="BG111" i="1"/>
  <c r="BG112" i="1"/>
  <c r="BG113" i="1"/>
  <c r="BG114" i="1"/>
  <c r="BG115" i="1"/>
  <c r="BG116" i="1"/>
  <c r="BG117" i="1"/>
  <c r="BG118" i="1"/>
  <c r="BG119" i="1"/>
  <c r="BG120" i="1"/>
  <c r="BG121" i="1"/>
  <c r="BG122" i="1"/>
  <c r="BG123" i="1"/>
  <c r="BG124" i="1"/>
  <c r="BG125" i="1"/>
  <c r="BG126" i="1"/>
  <c r="BG127" i="1"/>
  <c r="BG128" i="1"/>
  <c r="BG129" i="1"/>
  <c r="BG130" i="1"/>
  <c r="BG131" i="1"/>
  <c r="BG132" i="1"/>
  <c r="BG133" i="1"/>
  <c r="BG134" i="1"/>
  <c r="BG135" i="1"/>
  <c r="BG136" i="1"/>
  <c r="BG137" i="1"/>
  <c r="BG138" i="1"/>
  <c r="BG139" i="1"/>
  <c r="BG140" i="1"/>
  <c r="BG141" i="1"/>
  <c r="BG142" i="1"/>
  <c r="BG143" i="1"/>
  <c r="BG144" i="1"/>
  <c r="BG145" i="1"/>
  <c r="BG146" i="1"/>
  <c r="BG147" i="1"/>
  <c r="BG148" i="1"/>
  <c r="BG149" i="1"/>
  <c r="BG150" i="1"/>
  <c r="BG151" i="1"/>
  <c r="BG152" i="1"/>
  <c r="BG153" i="1"/>
  <c r="BG154" i="1"/>
  <c r="BG155" i="1"/>
  <c r="BG156" i="1"/>
  <c r="BG157" i="1"/>
  <c r="BG158" i="1"/>
  <c r="BG159" i="1"/>
  <c r="BG160" i="1"/>
  <c r="BG161" i="1"/>
  <c r="BG162" i="1"/>
  <c r="BG163" i="1"/>
  <c r="BG164" i="1"/>
  <c r="BG165" i="1"/>
  <c r="BG166" i="1"/>
  <c r="BG167" i="1"/>
  <c r="BG168" i="1"/>
  <c r="BG169" i="1"/>
  <c r="BG170" i="1"/>
  <c r="BG171" i="1"/>
  <c r="BG172" i="1"/>
  <c r="BG173" i="1"/>
  <c r="BG174" i="1"/>
  <c r="BG175" i="1"/>
  <c r="BG176" i="1"/>
  <c r="BG177" i="1"/>
  <c r="BG178" i="1"/>
  <c r="BG179" i="1"/>
  <c r="BG180" i="1"/>
  <c r="BG181" i="1"/>
  <c r="BG182" i="1"/>
  <c r="BG183" i="1"/>
  <c r="BG184" i="1"/>
  <c r="BG185" i="1"/>
  <c r="BG186" i="1"/>
  <c r="BG187" i="1"/>
  <c r="BG188" i="1"/>
  <c r="BG189" i="1"/>
  <c r="BG190" i="1"/>
  <c r="BG191" i="1"/>
  <c r="BG192" i="1"/>
  <c r="BG193" i="1"/>
  <c r="BG194" i="1"/>
  <c r="BG195" i="1"/>
  <c r="BG196" i="1"/>
  <c r="BG197" i="1"/>
  <c r="BG198" i="1"/>
  <c r="BG199" i="1"/>
  <c r="BG200" i="1"/>
  <c r="BG201" i="1"/>
  <c r="BG202" i="1"/>
  <c r="BG203" i="1"/>
  <c r="BG204" i="1"/>
  <c r="BG205" i="1"/>
  <c r="BG206" i="1"/>
  <c r="BG207" i="1"/>
  <c r="BG208" i="1"/>
  <c r="BG209" i="1"/>
  <c r="BG210" i="1"/>
  <c r="BG211" i="1"/>
  <c r="BG212" i="1"/>
  <c r="BG213" i="1"/>
  <c r="BG214" i="1"/>
  <c r="BG215" i="1"/>
  <c r="BG216" i="1"/>
  <c r="BG217" i="1"/>
  <c r="BG218" i="1"/>
  <c r="BG219" i="1"/>
  <c r="BG220" i="1"/>
  <c r="BG221" i="1"/>
  <c r="BG222" i="1"/>
  <c r="BG223" i="1"/>
  <c r="BG224" i="1"/>
  <c r="BG225" i="1"/>
  <c r="BG226" i="1"/>
  <c r="BG227" i="1"/>
  <c r="BG228" i="1"/>
  <c r="BG229" i="1"/>
  <c r="BG230" i="1"/>
  <c r="BG231" i="1"/>
  <c r="BG232" i="1"/>
  <c r="BG233" i="1"/>
  <c r="BG234" i="1"/>
  <c r="BG235" i="1"/>
  <c r="BG236" i="1"/>
  <c r="BG237" i="1"/>
  <c r="BG238" i="1"/>
  <c r="BG239" i="1"/>
  <c r="BG240" i="1"/>
  <c r="BG241" i="1"/>
  <c r="BG242" i="1"/>
  <c r="BG243" i="1"/>
  <c r="BG244" i="1"/>
  <c r="BG245" i="1"/>
  <c r="BG246" i="1"/>
  <c r="BG247" i="1"/>
  <c r="BG248" i="1"/>
  <c r="BG249" i="1"/>
  <c r="BG250" i="1"/>
  <c r="BG251" i="1"/>
  <c r="BG252" i="1"/>
  <c r="BG253" i="1"/>
  <c r="BG254" i="1"/>
  <c r="BG255" i="1"/>
  <c r="BG256" i="1"/>
  <c r="BG257" i="1"/>
  <c r="BG258" i="1"/>
  <c r="BG259" i="1"/>
  <c r="BG260" i="1"/>
  <c r="BG261" i="1"/>
  <c r="BG262" i="1"/>
  <c r="BG263" i="1"/>
  <c r="BG264" i="1"/>
  <c r="BG265" i="1"/>
  <c r="BG266" i="1"/>
  <c r="BG267" i="1"/>
  <c r="BG268" i="1"/>
  <c r="BG269" i="1"/>
  <c r="BG270" i="1"/>
  <c r="BG271" i="1"/>
  <c r="BG272" i="1"/>
  <c r="BG273" i="1"/>
  <c r="BG274" i="1"/>
  <c r="BG275" i="1"/>
  <c r="BG276" i="1"/>
  <c r="BG277" i="1"/>
  <c r="BG278" i="1"/>
  <c r="BG279" i="1"/>
  <c r="BG280" i="1"/>
  <c r="BG281" i="1"/>
  <c r="BG282" i="1"/>
  <c r="BG283" i="1"/>
  <c r="BG284" i="1"/>
  <c r="BG285" i="1"/>
  <c r="BG286" i="1"/>
  <c r="BG287" i="1"/>
  <c r="BG288" i="1"/>
  <c r="BG289" i="1"/>
  <c r="BG290" i="1"/>
  <c r="BG291" i="1"/>
  <c r="BG292" i="1"/>
  <c r="BG293" i="1"/>
  <c r="BG294" i="1"/>
  <c r="BG295" i="1"/>
  <c r="BG296" i="1"/>
  <c r="BG297" i="1"/>
  <c r="BG298" i="1"/>
  <c r="BG299" i="1"/>
  <c r="BG300" i="1"/>
  <c r="BG301" i="1"/>
  <c r="BG302" i="1"/>
  <c r="BG303" i="1"/>
  <c r="BG304" i="1"/>
  <c r="BG305" i="1"/>
  <c r="BG306" i="1"/>
  <c r="BG307" i="1"/>
  <c r="BG308" i="1"/>
  <c r="BG309" i="1"/>
  <c r="BG310" i="1"/>
  <c r="BG311" i="1"/>
  <c r="BG312" i="1"/>
  <c r="BG313" i="1"/>
  <c r="BG314" i="1"/>
  <c r="BG315" i="1"/>
  <c r="BG316" i="1"/>
  <c r="BG317" i="1"/>
  <c r="BG318" i="1"/>
  <c r="BG319" i="1"/>
  <c r="BG320" i="1"/>
  <c r="BG321" i="1"/>
  <c r="BG322" i="1"/>
  <c r="BG323" i="1"/>
  <c r="BG324" i="1"/>
  <c r="BG325" i="1"/>
  <c r="BG326" i="1"/>
  <c r="BG327" i="1"/>
  <c r="BG328" i="1"/>
  <c r="BG329" i="1"/>
  <c r="BG330" i="1"/>
  <c r="BG331" i="1"/>
  <c r="BG332" i="1"/>
  <c r="BG333" i="1"/>
  <c r="BG334" i="1"/>
  <c r="BG335" i="1"/>
  <c r="BG336" i="1"/>
  <c r="BG337" i="1"/>
  <c r="BG338" i="1"/>
  <c r="BG339" i="1"/>
  <c r="BG340" i="1"/>
  <c r="BG341" i="1"/>
  <c r="BG342" i="1"/>
  <c r="BG343" i="1"/>
  <c r="BG344" i="1"/>
  <c r="BG345" i="1"/>
  <c r="BG346" i="1"/>
  <c r="BG347" i="1"/>
  <c r="BG348" i="1"/>
  <c r="BG15" i="1"/>
  <c r="AZ2" i="1"/>
  <c r="AD45" i="1" l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AZ3" i="1"/>
  <c r="AZ4" i="1"/>
  <c r="AZ5" i="1"/>
  <c r="AZ6" i="1"/>
  <c r="AZ7" i="1"/>
  <c r="AZ8" i="1"/>
  <c r="AZ9" i="1"/>
  <c r="AZ10" i="1"/>
  <c r="AZ11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AZ30" i="1"/>
  <c r="AZ31" i="1"/>
  <c r="AZ32" i="1"/>
  <c r="AZ33" i="1"/>
  <c r="AZ34" i="1"/>
  <c r="AZ35" i="1"/>
  <c r="AZ36" i="1"/>
  <c r="AZ37" i="1"/>
  <c r="AZ38" i="1"/>
  <c r="AZ39" i="1"/>
  <c r="AZ40" i="1"/>
  <c r="AZ41" i="1"/>
  <c r="AZ42" i="1"/>
  <c r="AZ43" i="1"/>
  <c r="AZ44" i="1"/>
  <c r="AZ45" i="1"/>
  <c r="AZ46" i="1"/>
  <c r="AZ47" i="1"/>
  <c r="AZ48" i="1"/>
  <c r="AZ49" i="1"/>
  <c r="AZ50" i="1"/>
  <c r="AZ51" i="1"/>
  <c r="AZ52" i="1"/>
  <c r="AZ53" i="1"/>
  <c r="AZ54" i="1"/>
  <c r="AZ55" i="1"/>
  <c r="AZ56" i="1"/>
  <c r="AZ57" i="1"/>
  <c r="AZ58" i="1"/>
  <c r="AZ59" i="1"/>
  <c r="AZ60" i="1"/>
  <c r="AZ61" i="1"/>
  <c r="AZ62" i="1"/>
  <c r="AZ63" i="1"/>
  <c r="AZ64" i="1"/>
  <c r="AZ65" i="1"/>
  <c r="AZ66" i="1"/>
  <c r="AZ67" i="1"/>
  <c r="AZ68" i="1"/>
  <c r="AZ69" i="1"/>
  <c r="AZ70" i="1"/>
  <c r="AZ71" i="1"/>
  <c r="AZ72" i="1"/>
  <c r="AZ73" i="1"/>
  <c r="AZ74" i="1"/>
  <c r="AZ75" i="1"/>
  <c r="AZ76" i="1"/>
  <c r="AZ77" i="1"/>
  <c r="AZ78" i="1"/>
  <c r="AZ79" i="1"/>
  <c r="AZ80" i="1"/>
  <c r="AZ81" i="1"/>
  <c r="AZ82" i="1"/>
  <c r="AZ83" i="1"/>
  <c r="AZ84" i="1"/>
  <c r="AZ85" i="1"/>
  <c r="AZ86" i="1"/>
  <c r="AZ87" i="1"/>
  <c r="AZ88" i="1"/>
  <c r="AZ89" i="1"/>
  <c r="AZ90" i="1"/>
  <c r="AZ91" i="1"/>
  <c r="AZ92" i="1"/>
  <c r="AZ93" i="1"/>
  <c r="AZ94" i="1"/>
  <c r="AZ95" i="1"/>
  <c r="AZ96" i="1"/>
  <c r="AZ97" i="1"/>
  <c r="AZ98" i="1"/>
  <c r="AZ99" i="1"/>
  <c r="AZ100" i="1"/>
  <c r="AZ101" i="1"/>
  <c r="AZ102" i="1"/>
  <c r="AZ103" i="1"/>
  <c r="AZ104" i="1"/>
  <c r="AZ105" i="1"/>
  <c r="AZ106" i="1"/>
  <c r="AZ107" i="1"/>
  <c r="AZ108" i="1"/>
  <c r="AZ109" i="1"/>
  <c r="AZ110" i="1"/>
  <c r="AZ111" i="1"/>
  <c r="AZ112" i="1"/>
  <c r="AZ113" i="1"/>
  <c r="AZ114" i="1"/>
  <c r="AZ115" i="1"/>
  <c r="AZ116" i="1"/>
  <c r="AZ117" i="1"/>
  <c r="AZ118" i="1"/>
  <c r="AZ119" i="1"/>
  <c r="AZ120" i="1"/>
  <c r="AZ121" i="1"/>
  <c r="AZ122" i="1"/>
  <c r="AZ123" i="1"/>
  <c r="AZ124" i="1"/>
  <c r="AZ125" i="1"/>
  <c r="AZ126" i="1"/>
  <c r="AZ127" i="1"/>
  <c r="AZ128" i="1"/>
  <c r="AZ129" i="1"/>
  <c r="AZ130" i="1"/>
  <c r="AZ131" i="1"/>
  <c r="AZ132" i="1"/>
  <c r="AZ133" i="1"/>
  <c r="AZ134" i="1"/>
  <c r="AZ135" i="1"/>
  <c r="AZ136" i="1"/>
  <c r="AZ137" i="1"/>
  <c r="AZ138" i="1"/>
  <c r="AZ139" i="1"/>
  <c r="AZ140" i="1"/>
  <c r="AZ141" i="1"/>
  <c r="AZ142" i="1"/>
  <c r="AZ143" i="1"/>
  <c r="AZ144" i="1"/>
  <c r="AZ145" i="1"/>
  <c r="AZ146" i="1"/>
  <c r="AZ147" i="1"/>
  <c r="AZ148" i="1"/>
  <c r="AZ149" i="1"/>
  <c r="AZ150" i="1"/>
  <c r="AZ151" i="1"/>
  <c r="AZ152" i="1"/>
  <c r="AZ153" i="1"/>
  <c r="AZ154" i="1"/>
  <c r="AZ155" i="1"/>
  <c r="AZ156" i="1"/>
  <c r="AZ157" i="1"/>
  <c r="AZ158" i="1"/>
  <c r="AZ159" i="1"/>
  <c r="AZ160" i="1"/>
  <c r="AZ161" i="1"/>
  <c r="AZ162" i="1"/>
  <c r="AZ163" i="1"/>
  <c r="AZ164" i="1"/>
  <c r="AZ165" i="1"/>
  <c r="AZ166" i="1"/>
  <c r="AZ167" i="1"/>
  <c r="AZ168" i="1"/>
  <c r="AZ169" i="1"/>
  <c r="AZ170" i="1"/>
  <c r="AZ171" i="1"/>
  <c r="AZ172" i="1"/>
  <c r="AZ173" i="1"/>
  <c r="AZ174" i="1"/>
  <c r="AZ175" i="1"/>
  <c r="AZ176" i="1"/>
  <c r="AZ177" i="1"/>
  <c r="AZ178" i="1"/>
  <c r="AZ179" i="1"/>
  <c r="AZ180" i="1"/>
  <c r="AZ181" i="1"/>
  <c r="AZ182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37" i="1"/>
  <c r="AD37" i="1" s="1"/>
  <c r="AE41" i="1" l="1"/>
  <c r="BA182" i="1"/>
  <c r="BA181" i="1"/>
  <c r="BA180" i="1"/>
  <c r="BA179" i="1"/>
  <c r="BA178" i="1"/>
  <c r="BA177" i="1"/>
  <c r="BA176" i="1"/>
  <c r="BA175" i="1"/>
  <c r="BA174" i="1"/>
  <c r="BA173" i="1"/>
  <c r="BA172" i="1"/>
  <c r="BA171" i="1"/>
  <c r="BA170" i="1"/>
  <c r="BA169" i="1"/>
  <c r="BA168" i="1"/>
  <c r="BA167" i="1"/>
  <c r="BA166" i="1"/>
  <c r="BA165" i="1"/>
  <c r="BA164" i="1"/>
  <c r="BA163" i="1"/>
  <c r="BA162" i="1"/>
  <c r="BA161" i="1"/>
  <c r="BA160" i="1"/>
  <c r="BA159" i="1"/>
  <c r="BA158" i="1"/>
  <c r="BA157" i="1"/>
  <c r="BA156" i="1"/>
  <c r="BA155" i="1"/>
  <c r="BA154" i="1"/>
  <c r="BA153" i="1"/>
  <c r="BA152" i="1"/>
  <c r="BA151" i="1"/>
  <c r="BA150" i="1"/>
  <c r="BA149" i="1"/>
  <c r="BA148" i="1"/>
  <c r="BA147" i="1"/>
  <c r="BA146" i="1"/>
  <c r="BA145" i="1"/>
  <c r="BA144" i="1"/>
  <c r="BA143" i="1"/>
  <c r="BA142" i="1"/>
  <c r="BA141" i="1"/>
  <c r="BA140" i="1"/>
  <c r="BA139" i="1"/>
  <c r="BA138" i="1"/>
  <c r="BA137" i="1"/>
  <c r="BA136" i="1"/>
  <c r="BA135" i="1"/>
  <c r="BA134" i="1"/>
  <c r="BA133" i="1"/>
  <c r="BA132" i="1"/>
  <c r="BA131" i="1"/>
  <c r="BA130" i="1"/>
  <c r="BA129" i="1"/>
  <c r="BA128" i="1"/>
  <c r="BA127" i="1"/>
  <c r="BA126" i="1"/>
  <c r="BA125" i="1"/>
  <c r="BA124" i="1"/>
  <c r="BA123" i="1"/>
  <c r="BA122" i="1"/>
  <c r="BA121" i="1"/>
  <c r="BA120" i="1"/>
  <c r="BA119" i="1"/>
  <c r="BA118" i="1"/>
  <c r="BA117" i="1"/>
  <c r="BA116" i="1"/>
  <c r="BA115" i="1"/>
  <c r="BA114" i="1"/>
  <c r="BA113" i="1"/>
  <c r="BA112" i="1"/>
  <c r="BA111" i="1"/>
  <c r="BA110" i="1"/>
  <c r="BA109" i="1"/>
  <c r="BA108" i="1"/>
  <c r="BA107" i="1"/>
  <c r="BA106" i="1"/>
  <c r="BA105" i="1"/>
  <c r="BA104" i="1"/>
  <c r="BA103" i="1"/>
  <c r="BA102" i="1"/>
  <c r="BA101" i="1"/>
  <c r="BA100" i="1"/>
  <c r="BA99" i="1"/>
  <c r="BA98" i="1"/>
  <c r="BA97" i="1"/>
  <c r="BA96" i="1"/>
  <c r="BA95" i="1"/>
  <c r="BA94" i="1"/>
  <c r="BA93" i="1"/>
  <c r="BA92" i="1"/>
  <c r="BA91" i="1"/>
  <c r="BA90" i="1"/>
  <c r="BA89" i="1"/>
  <c r="BA88" i="1"/>
  <c r="BA87" i="1"/>
  <c r="BA86" i="1"/>
  <c r="BA85" i="1"/>
  <c r="BA84" i="1"/>
  <c r="BA83" i="1"/>
  <c r="BA82" i="1"/>
  <c r="BA81" i="1"/>
  <c r="BA80" i="1"/>
  <c r="BA79" i="1"/>
  <c r="BA78" i="1"/>
  <c r="BA77" i="1"/>
  <c r="BA76" i="1"/>
  <c r="BA75" i="1"/>
  <c r="BA74" i="1"/>
  <c r="BA73" i="1"/>
  <c r="BA72" i="1"/>
  <c r="BA71" i="1"/>
  <c r="BA70" i="1"/>
  <c r="BA69" i="1"/>
  <c r="BA68" i="1"/>
  <c r="BA67" i="1"/>
  <c r="BA66" i="1"/>
  <c r="BA65" i="1"/>
  <c r="BA64" i="1"/>
  <c r="BA63" i="1"/>
  <c r="BA62" i="1"/>
  <c r="BA61" i="1"/>
  <c r="BA60" i="1"/>
  <c r="BA59" i="1"/>
  <c r="BA58" i="1"/>
  <c r="BA57" i="1"/>
  <c r="BA56" i="1"/>
  <c r="BA55" i="1"/>
  <c r="BA54" i="1"/>
  <c r="BA53" i="1"/>
  <c r="BA52" i="1"/>
  <c r="BA51" i="1"/>
  <c r="BA50" i="1"/>
  <c r="BA49" i="1"/>
  <c r="BA48" i="1"/>
  <c r="BA47" i="1"/>
  <c r="BA46" i="1"/>
  <c r="BA45" i="1"/>
  <c r="BA44" i="1"/>
  <c r="BA43" i="1"/>
  <c r="BA42" i="1"/>
  <c r="BA41" i="1"/>
  <c r="BA40" i="1"/>
  <c r="BA39" i="1"/>
  <c r="BA38" i="1"/>
  <c r="BA37" i="1"/>
  <c r="BA36" i="1"/>
  <c r="BA35" i="1"/>
  <c r="BA34" i="1"/>
  <c r="BA33" i="1"/>
  <c r="BA32" i="1"/>
  <c r="BA31" i="1"/>
  <c r="BA30" i="1"/>
  <c r="BA29" i="1"/>
  <c r="BA28" i="1"/>
  <c r="BA27" i="1"/>
  <c r="BA26" i="1"/>
  <c r="BA25" i="1"/>
  <c r="BA24" i="1"/>
  <c r="BA23" i="1"/>
  <c r="BA22" i="1"/>
  <c r="BA21" i="1"/>
  <c r="BA20" i="1"/>
  <c r="BA19" i="1"/>
  <c r="BA18" i="1"/>
  <c r="BA17" i="1"/>
  <c r="BA16" i="1"/>
  <c r="BA15" i="1"/>
  <c r="BA14" i="1"/>
  <c r="BA13" i="1"/>
  <c r="BA12" i="1"/>
  <c r="BA11" i="1"/>
  <c r="BA10" i="1"/>
  <c r="BA9" i="1"/>
  <c r="BA8" i="1"/>
  <c r="BA7" i="1"/>
  <c r="BA6" i="1"/>
  <c r="BA5" i="1"/>
  <c r="BA4" i="1"/>
  <c r="BA3" i="1"/>
  <c r="BA2" i="1"/>
  <c r="AW362" i="1"/>
  <c r="AW361" i="1"/>
  <c r="AW360" i="1"/>
  <c r="AW359" i="1"/>
  <c r="AW358" i="1"/>
  <c r="AW357" i="1"/>
  <c r="AW356" i="1"/>
  <c r="AW355" i="1"/>
  <c r="AW354" i="1"/>
  <c r="AW353" i="1"/>
  <c r="AW352" i="1"/>
  <c r="AW351" i="1"/>
  <c r="AW350" i="1"/>
  <c r="AW349" i="1"/>
  <c r="AW348" i="1"/>
  <c r="AW347" i="1"/>
  <c r="AW346" i="1"/>
  <c r="AW345" i="1"/>
  <c r="AW344" i="1"/>
  <c r="AW343" i="1"/>
  <c r="AW342" i="1"/>
  <c r="AW341" i="1"/>
  <c r="AW340" i="1"/>
  <c r="AW339" i="1"/>
  <c r="AW338" i="1"/>
  <c r="AW337" i="1"/>
  <c r="AW336" i="1"/>
  <c r="AW335" i="1"/>
  <c r="AW334" i="1"/>
  <c r="AW333" i="1"/>
  <c r="AW332" i="1"/>
  <c r="AW331" i="1"/>
  <c r="AW330" i="1"/>
  <c r="AW329" i="1"/>
  <c r="AW328" i="1"/>
  <c r="AW327" i="1"/>
  <c r="AW326" i="1"/>
  <c r="AW325" i="1"/>
  <c r="AW324" i="1"/>
  <c r="AW323" i="1"/>
  <c r="AW322" i="1"/>
  <c r="AW321" i="1"/>
  <c r="AW320" i="1"/>
  <c r="AW319" i="1"/>
  <c r="AW318" i="1"/>
  <c r="AW317" i="1"/>
  <c r="AW316" i="1"/>
  <c r="AW315" i="1"/>
  <c r="AW314" i="1"/>
  <c r="AW313" i="1"/>
  <c r="AW312" i="1"/>
  <c r="AW311" i="1"/>
  <c r="AW310" i="1"/>
  <c r="AW309" i="1"/>
  <c r="AW308" i="1"/>
  <c r="AW307" i="1"/>
  <c r="AW306" i="1"/>
  <c r="AW305" i="1"/>
  <c r="AW304" i="1"/>
  <c r="AW303" i="1"/>
  <c r="AW302" i="1"/>
  <c r="AW301" i="1"/>
  <c r="AW300" i="1"/>
  <c r="AW299" i="1"/>
  <c r="AW298" i="1"/>
  <c r="AW297" i="1"/>
  <c r="AW296" i="1"/>
  <c r="AW295" i="1"/>
  <c r="AW294" i="1"/>
  <c r="AW293" i="1"/>
  <c r="AW292" i="1"/>
  <c r="AW291" i="1"/>
  <c r="AW290" i="1"/>
  <c r="AW289" i="1"/>
  <c r="AW288" i="1"/>
  <c r="AW287" i="1"/>
  <c r="AW286" i="1"/>
  <c r="AW285" i="1"/>
  <c r="AW284" i="1"/>
  <c r="AW283" i="1"/>
  <c r="AW282" i="1"/>
  <c r="AW281" i="1"/>
  <c r="AW280" i="1"/>
  <c r="AW279" i="1"/>
  <c r="AW278" i="1"/>
  <c r="AW277" i="1"/>
  <c r="AW276" i="1"/>
  <c r="AW275" i="1"/>
  <c r="AW274" i="1"/>
  <c r="AW273" i="1"/>
  <c r="AW272" i="1"/>
  <c r="AW271" i="1"/>
  <c r="AW270" i="1"/>
  <c r="AW269" i="1"/>
  <c r="AW268" i="1"/>
  <c r="AW267" i="1"/>
  <c r="AW266" i="1"/>
  <c r="AW265" i="1"/>
  <c r="AW264" i="1"/>
  <c r="AW263" i="1"/>
  <c r="AW262" i="1"/>
  <c r="AW261" i="1"/>
  <c r="AW260" i="1"/>
  <c r="AW259" i="1"/>
  <c r="AW258" i="1"/>
  <c r="AW257" i="1"/>
  <c r="AW256" i="1"/>
  <c r="AW255" i="1"/>
  <c r="AW254" i="1"/>
  <c r="AW253" i="1"/>
  <c r="AW252" i="1"/>
  <c r="AW251" i="1"/>
  <c r="AW250" i="1"/>
  <c r="AW249" i="1"/>
  <c r="AW248" i="1"/>
  <c r="AW247" i="1"/>
  <c r="AW246" i="1"/>
  <c r="AW245" i="1"/>
  <c r="AW244" i="1"/>
  <c r="AW243" i="1"/>
  <c r="AW242" i="1"/>
  <c r="AW241" i="1"/>
  <c r="AW240" i="1"/>
  <c r="AW239" i="1"/>
  <c r="AW238" i="1"/>
  <c r="AW237" i="1"/>
  <c r="AW236" i="1"/>
  <c r="AW235" i="1"/>
  <c r="AW234" i="1"/>
  <c r="AW233" i="1"/>
  <c r="AW232" i="1"/>
  <c r="AW231" i="1"/>
  <c r="AW230" i="1"/>
  <c r="AW229" i="1"/>
  <c r="AW228" i="1"/>
  <c r="AW227" i="1"/>
  <c r="AW226" i="1"/>
  <c r="AW225" i="1"/>
  <c r="AW224" i="1"/>
  <c r="AW223" i="1"/>
  <c r="AW222" i="1"/>
  <c r="AW221" i="1"/>
  <c r="AW220" i="1"/>
  <c r="AW219" i="1"/>
  <c r="AW218" i="1"/>
  <c r="AW217" i="1"/>
  <c r="AW216" i="1"/>
  <c r="AW215" i="1"/>
  <c r="AW214" i="1"/>
  <c r="AW213" i="1"/>
  <c r="AW212" i="1"/>
  <c r="AW211" i="1"/>
  <c r="AW210" i="1"/>
  <c r="AW209" i="1"/>
  <c r="AW208" i="1"/>
  <c r="AW207" i="1"/>
  <c r="AW206" i="1"/>
  <c r="AW205" i="1"/>
  <c r="AW204" i="1"/>
  <c r="AW203" i="1"/>
  <c r="AW202" i="1"/>
  <c r="AW201" i="1"/>
  <c r="AW200" i="1"/>
  <c r="AW199" i="1"/>
  <c r="AW198" i="1"/>
  <c r="AW197" i="1"/>
  <c r="AW196" i="1"/>
  <c r="AW195" i="1"/>
  <c r="AW194" i="1"/>
  <c r="AW193" i="1"/>
  <c r="AW192" i="1"/>
  <c r="AW191" i="1"/>
  <c r="AW190" i="1"/>
  <c r="AW189" i="1"/>
  <c r="AW188" i="1"/>
  <c r="AW187" i="1"/>
  <c r="AW186" i="1"/>
  <c r="AW185" i="1"/>
  <c r="AW184" i="1"/>
  <c r="AW183" i="1"/>
  <c r="AW182" i="1"/>
  <c r="BB182" i="1" s="1"/>
  <c r="AW181" i="1"/>
  <c r="BB181" i="1" s="1"/>
  <c r="AW180" i="1"/>
  <c r="BB180" i="1" s="1"/>
  <c r="AW179" i="1"/>
  <c r="BB179" i="1" s="1"/>
  <c r="AW178" i="1"/>
  <c r="BB178" i="1" s="1"/>
  <c r="AW177" i="1"/>
  <c r="BB177" i="1" s="1"/>
  <c r="AW176" i="1"/>
  <c r="BB176" i="1" s="1"/>
  <c r="AW175" i="1"/>
  <c r="BB175" i="1" s="1"/>
  <c r="AW174" i="1"/>
  <c r="BB174" i="1" s="1"/>
  <c r="AW173" i="1"/>
  <c r="BB173" i="1" s="1"/>
  <c r="AW172" i="1"/>
  <c r="BB172" i="1" s="1"/>
  <c r="AW171" i="1"/>
  <c r="BB171" i="1" s="1"/>
  <c r="AW170" i="1"/>
  <c r="BB170" i="1" s="1"/>
  <c r="AW169" i="1"/>
  <c r="BB169" i="1" s="1"/>
  <c r="AW168" i="1"/>
  <c r="BB168" i="1" s="1"/>
  <c r="AW167" i="1"/>
  <c r="BB167" i="1" s="1"/>
  <c r="AW166" i="1"/>
  <c r="BB166" i="1" s="1"/>
  <c r="AW165" i="1"/>
  <c r="BB165" i="1" s="1"/>
  <c r="AW164" i="1"/>
  <c r="BB164" i="1" s="1"/>
  <c r="AW163" i="1"/>
  <c r="BB163" i="1" s="1"/>
  <c r="AW162" i="1"/>
  <c r="BB162" i="1" s="1"/>
  <c r="AW161" i="1"/>
  <c r="BB161" i="1" s="1"/>
  <c r="AW160" i="1"/>
  <c r="BB160" i="1" s="1"/>
  <c r="AW159" i="1"/>
  <c r="BB159" i="1" s="1"/>
  <c r="AW158" i="1"/>
  <c r="BB158" i="1" s="1"/>
  <c r="AW157" i="1"/>
  <c r="BB157" i="1" s="1"/>
  <c r="AW156" i="1"/>
  <c r="BB156" i="1" s="1"/>
  <c r="AW155" i="1"/>
  <c r="BB155" i="1" s="1"/>
  <c r="AW154" i="1"/>
  <c r="BB154" i="1" s="1"/>
  <c r="AW153" i="1"/>
  <c r="BB153" i="1" s="1"/>
  <c r="AW152" i="1"/>
  <c r="BB152" i="1" s="1"/>
  <c r="AW151" i="1"/>
  <c r="BB151" i="1" s="1"/>
  <c r="AW150" i="1"/>
  <c r="BB150" i="1" s="1"/>
  <c r="AW149" i="1"/>
  <c r="BB149" i="1" s="1"/>
  <c r="AW148" i="1"/>
  <c r="BB148" i="1" s="1"/>
  <c r="AW147" i="1"/>
  <c r="BB147" i="1" s="1"/>
  <c r="AW146" i="1"/>
  <c r="BB146" i="1" s="1"/>
  <c r="AW145" i="1"/>
  <c r="BB145" i="1" s="1"/>
  <c r="AW144" i="1"/>
  <c r="BB144" i="1" s="1"/>
  <c r="AW143" i="1"/>
  <c r="BB143" i="1" s="1"/>
  <c r="AW142" i="1"/>
  <c r="BB142" i="1" s="1"/>
  <c r="AW141" i="1"/>
  <c r="BB141" i="1" s="1"/>
  <c r="AW140" i="1"/>
  <c r="BB140" i="1" s="1"/>
  <c r="AW139" i="1"/>
  <c r="BB139" i="1" s="1"/>
  <c r="AW138" i="1"/>
  <c r="BB138" i="1" s="1"/>
  <c r="AW137" i="1"/>
  <c r="BB137" i="1" s="1"/>
  <c r="AW136" i="1"/>
  <c r="BB136" i="1" s="1"/>
  <c r="AW135" i="1"/>
  <c r="BB135" i="1" s="1"/>
  <c r="AW134" i="1"/>
  <c r="BB134" i="1" s="1"/>
  <c r="AW133" i="1"/>
  <c r="BB133" i="1" s="1"/>
  <c r="AW132" i="1"/>
  <c r="BB132" i="1" s="1"/>
  <c r="AW131" i="1"/>
  <c r="BB131" i="1" s="1"/>
  <c r="AW130" i="1"/>
  <c r="BB130" i="1" s="1"/>
  <c r="AW129" i="1"/>
  <c r="BB129" i="1" s="1"/>
  <c r="AW128" i="1"/>
  <c r="BB128" i="1" s="1"/>
  <c r="AW127" i="1"/>
  <c r="BB127" i="1" s="1"/>
  <c r="AW126" i="1"/>
  <c r="BB126" i="1" s="1"/>
  <c r="AW125" i="1"/>
  <c r="BB125" i="1" s="1"/>
  <c r="AW124" i="1"/>
  <c r="BB124" i="1" s="1"/>
  <c r="AW123" i="1"/>
  <c r="BB123" i="1" s="1"/>
  <c r="AW122" i="1"/>
  <c r="BB122" i="1" s="1"/>
  <c r="AW121" i="1"/>
  <c r="BB121" i="1" s="1"/>
  <c r="AW120" i="1"/>
  <c r="BB120" i="1" s="1"/>
  <c r="AW119" i="1"/>
  <c r="BB119" i="1" s="1"/>
  <c r="AW118" i="1"/>
  <c r="BB118" i="1" s="1"/>
  <c r="AW117" i="1"/>
  <c r="BB117" i="1" s="1"/>
  <c r="AW116" i="1"/>
  <c r="BB116" i="1" s="1"/>
  <c r="AW115" i="1"/>
  <c r="BB115" i="1" s="1"/>
  <c r="AW114" i="1"/>
  <c r="BB114" i="1" s="1"/>
  <c r="AW113" i="1"/>
  <c r="BB113" i="1" s="1"/>
  <c r="AW112" i="1"/>
  <c r="BB112" i="1" s="1"/>
  <c r="AW111" i="1"/>
  <c r="BB111" i="1" s="1"/>
  <c r="AW110" i="1"/>
  <c r="BB110" i="1" s="1"/>
  <c r="AW109" i="1"/>
  <c r="BB109" i="1" s="1"/>
  <c r="AW108" i="1"/>
  <c r="BB108" i="1" s="1"/>
  <c r="AW107" i="1"/>
  <c r="BB107" i="1" s="1"/>
  <c r="AW106" i="1"/>
  <c r="BB106" i="1" s="1"/>
  <c r="AW105" i="1"/>
  <c r="BB105" i="1" s="1"/>
  <c r="AW104" i="1"/>
  <c r="BB104" i="1" s="1"/>
  <c r="AW103" i="1"/>
  <c r="BB103" i="1" s="1"/>
  <c r="AW102" i="1"/>
  <c r="BB102" i="1" s="1"/>
  <c r="AW101" i="1"/>
  <c r="BB101" i="1" s="1"/>
  <c r="AW100" i="1"/>
  <c r="BB100" i="1" s="1"/>
  <c r="AW99" i="1"/>
  <c r="BB99" i="1" s="1"/>
  <c r="AW98" i="1"/>
  <c r="BB98" i="1" s="1"/>
  <c r="AW97" i="1"/>
  <c r="BB97" i="1" s="1"/>
  <c r="AW96" i="1"/>
  <c r="BB96" i="1" s="1"/>
  <c r="AW95" i="1"/>
  <c r="BB95" i="1" s="1"/>
  <c r="AW94" i="1"/>
  <c r="BB94" i="1" s="1"/>
  <c r="AW93" i="1"/>
  <c r="BB93" i="1" s="1"/>
  <c r="AW92" i="1"/>
  <c r="BB92" i="1" s="1"/>
  <c r="AW91" i="1"/>
  <c r="BB91" i="1" s="1"/>
  <c r="AW90" i="1"/>
  <c r="BB90" i="1" s="1"/>
  <c r="AW89" i="1"/>
  <c r="BB89" i="1" s="1"/>
  <c r="AW88" i="1"/>
  <c r="BB88" i="1" s="1"/>
  <c r="AW87" i="1"/>
  <c r="BB87" i="1" s="1"/>
  <c r="AW86" i="1"/>
  <c r="BB86" i="1" s="1"/>
  <c r="AW85" i="1"/>
  <c r="BB85" i="1" s="1"/>
  <c r="AW84" i="1"/>
  <c r="BB84" i="1" s="1"/>
  <c r="AW83" i="1"/>
  <c r="BB83" i="1" s="1"/>
  <c r="AW82" i="1"/>
  <c r="BB82" i="1" s="1"/>
  <c r="AW81" i="1"/>
  <c r="BB81" i="1" s="1"/>
  <c r="AW80" i="1"/>
  <c r="BB80" i="1" s="1"/>
  <c r="AW79" i="1"/>
  <c r="BB79" i="1" s="1"/>
  <c r="AW78" i="1"/>
  <c r="BB78" i="1" s="1"/>
  <c r="AW77" i="1"/>
  <c r="BB77" i="1" s="1"/>
  <c r="AW76" i="1"/>
  <c r="BB76" i="1" s="1"/>
  <c r="AW75" i="1"/>
  <c r="BB75" i="1" s="1"/>
  <c r="AW74" i="1"/>
  <c r="BB74" i="1" s="1"/>
  <c r="AW73" i="1"/>
  <c r="BB73" i="1" s="1"/>
  <c r="AW72" i="1"/>
  <c r="BB72" i="1" s="1"/>
  <c r="AW71" i="1"/>
  <c r="BB71" i="1" s="1"/>
  <c r="AW70" i="1"/>
  <c r="BB70" i="1" s="1"/>
  <c r="AW69" i="1"/>
  <c r="BB69" i="1" s="1"/>
  <c r="AW68" i="1"/>
  <c r="BB68" i="1" s="1"/>
  <c r="AW67" i="1"/>
  <c r="BB67" i="1" s="1"/>
  <c r="AW66" i="1"/>
  <c r="BB66" i="1" s="1"/>
  <c r="AW65" i="1"/>
  <c r="BB65" i="1" s="1"/>
  <c r="AW64" i="1"/>
  <c r="BB64" i="1" s="1"/>
  <c r="AW63" i="1"/>
  <c r="BB63" i="1" s="1"/>
  <c r="AW62" i="1"/>
  <c r="BB62" i="1" s="1"/>
  <c r="AW61" i="1"/>
  <c r="BB61" i="1" s="1"/>
  <c r="AW60" i="1"/>
  <c r="BB60" i="1" s="1"/>
  <c r="AW59" i="1"/>
  <c r="BB59" i="1" s="1"/>
  <c r="AW58" i="1"/>
  <c r="BB58" i="1" s="1"/>
  <c r="AW57" i="1"/>
  <c r="BB57" i="1" s="1"/>
  <c r="AW56" i="1"/>
  <c r="BB56" i="1" s="1"/>
  <c r="AW55" i="1"/>
  <c r="BB55" i="1" s="1"/>
  <c r="AW54" i="1"/>
  <c r="BB54" i="1" s="1"/>
  <c r="AW53" i="1"/>
  <c r="BB53" i="1" s="1"/>
  <c r="AW52" i="1"/>
  <c r="BB52" i="1" s="1"/>
  <c r="AW51" i="1"/>
  <c r="BB51" i="1" s="1"/>
  <c r="AW50" i="1"/>
  <c r="BB50" i="1" s="1"/>
  <c r="AW49" i="1"/>
  <c r="BB49" i="1" s="1"/>
  <c r="AW48" i="1"/>
  <c r="BB48" i="1" s="1"/>
  <c r="AW47" i="1"/>
  <c r="BB47" i="1" s="1"/>
  <c r="AW46" i="1"/>
  <c r="BB46" i="1" s="1"/>
  <c r="AW45" i="1"/>
  <c r="BB45" i="1" s="1"/>
  <c r="AW44" i="1"/>
  <c r="BB44" i="1" s="1"/>
  <c r="AW43" i="1"/>
  <c r="BB43" i="1" s="1"/>
  <c r="AW42" i="1"/>
  <c r="BB42" i="1" s="1"/>
  <c r="AW41" i="1"/>
  <c r="BB41" i="1" s="1"/>
  <c r="AW40" i="1"/>
  <c r="BB40" i="1" s="1"/>
  <c r="AW39" i="1"/>
  <c r="BB39" i="1" s="1"/>
  <c r="AW38" i="1"/>
  <c r="BB38" i="1" s="1"/>
  <c r="AW37" i="1"/>
  <c r="BB37" i="1" s="1"/>
  <c r="AW36" i="1"/>
  <c r="BB36" i="1" s="1"/>
  <c r="AW35" i="1"/>
  <c r="BB35" i="1" s="1"/>
  <c r="AW34" i="1"/>
  <c r="BB34" i="1" s="1"/>
  <c r="AW33" i="1"/>
  <c r="BB33" i="1" s="1"/>
  <c r="AW32" i="1"/>
  <c r="BB32" i="1" s="1"/>
  <c r="AW31" i="1"/>
  <c r="BB31" i="1" s="1"/>
  <c r="AW30" i="1"/>
  <c r="BB30" i="1" s="1"/>
  <c r="AW29" i="1"/>
  <c r="BB29" i="1" s="1"/>
  <c r="AW28" i="1"/>
  <c r="BB28" i="1" s="1"/>
  <c r="AW27" i="1"/>
  <c r="BB27" i="1" s="1"/>
  <c r="AW26" i="1"/>
  <c r="BB26" i="1" s="1"/>
  <c r="AW25" i="1"/>
  <c r="BB25" i="1" s="1"/>
  <c r="AW24" i="1"/>
  <c r="BB24" i="1" s="1"/>
  <c r="AW23" i="1"/>
  <c r="BB23" i="1" s="1"/>
  <c r="AW22" i="1"/>
  <c r="BB22" i="1" s="1"/>
  <c r="AW21" i="1"/>
  <c r="BB21" i="1" s="1"/>
  <c r="AW20" i="1"/>
  <c r="BB20" i="1" s="1"/>
  <c r="AW19" i="1"/>
  <c r="BB19" i="1" s="1"/>
  <c r="AW18" i="1"/>
  <c r="BB18" i="1" s="1"/>
  <c r="AW17" i="1"/>
  <c r="BB17" i="1" s="1"/>
  <c r="AW16" i="1"/>
  <c r="BB16" i="1" s="1"/>
  <c r="AW15" i="1"/>
  <c r="BB15" i="1" s="1"/>
  <c r="AW14" i="1"/>
  <c r="BB14" i="1" s="1"/>
  <c r="AW13" i="1"/>
  <c r="BB13" i="1" s="1"/>
  <c r="AW12" i="1"/>
  <c r="BB12" i="1" s="1"/>
  <c r="AW11" i="1"/>
  <c r="BB11" i="1" s="1"/>
  <c r="AW10" i="1"/>
  <c r="BB10" i="1" s="1"/>
  <c r="AW9" i="1"/>
  <c r="BB9" i="1" s="1"/>
  <c r="AW8" i="1"/>
  <c r="BB8" i="1" s="1"/>
  <c r="AW7" i="1"/>
  <c r="BB7" i="1" s="1"/>
  <c r="AW6" i="1"/>
  <c r="BB6" i="1" s="1"/>
  <c r="AW5" i="1"/>
  <c r="BB5" i="1" s="1"/>
  <c r="AW4" i="1"/>
  <c r="BB4" i="1" s="1"/>
  <c r="AW3" i="1"/>
  <c r="BB3" i="1" s="1"/>
  <c r="AW2" i="1"/>
  <c r="BB2" i="1" s="1"/>
  <c r="AD46" i="1"/>
  <c r="AE38" i="1"/>
  <c r="AD38" i="1"/>
  <c r="AD39" i="1" s="1"/>
  <c r="AE39" i="1" s="1"/>
  <c r="BC182" i="1" l="1"/>
  <c r="BC178" i="1"/>
  <c r="BC174" i="1"/>
  <c r="BC172" i="1"/>
  <c r="BC170" i="1"/>
  <c r="BC168" i="1"/>
  <c r="BC166" i="1"/>
  <c r="BC162" i="1"/>
  <c r="BC161" i="1"/>
  <c r="BC158" i="1"/>
  <c r="BC154" i="1"/>
  <c r="BC152" i="1"/>
  <c r="BC150" i="1"/>
  <c r="BC146" i="1"/>
  <c r="BC144" i="1"/>
  <c r="BC142" i="1"/>
  <c r="BC138" i="1"/>
  <c r="BC134" i="1"/>
  <c r="BC132" i="1"/>
  <c r="BC130" i="1"/>
  <c r="BC129" i="1"/>
  <c r="BC126" i="1"/>
  <c r="BC122" i="1"/>
  <c r="BC120" i="1"/>
  <c r="BC110" i="1"/>
  <c r="BC106" i="1"/>
  <c r="BC104" i="1"/>
  <c r="BC100" i="1"/>
  <c r="BC97" i="1"/>
  <c r="BC94" i="1"/>
  <c r="BC90" i="1"/>
  <c r="BC88" i="1"/>
  <c r="BC82" i="1"/>
  <c r="BC80" i="1"/>
  <c r="BC78" i="1"/>
  <c r="BC74" i="1"/>
  <c r="BC73" i="1"/>
  <c r="BC72" i="1"/>
  <c r="BC68" i="1"/>
  <c r="BC62" i="1"/>
  <c r="BC58" i="1"/>
  <c r="BC56" i="1"/>
  <c r="BC52" i="1"/>
  <c r="BC46" i="1"/>
  <c r="BC42" i="1"/>
  <c r="BC41" i="1"/>
  <c r="BC36" i="1"/>
  <c r="BC26" i="1"/>
  <c r="BC18" i="1"/>
  <c r="BC12" i="1"/>
  <c r="BC9" i="1"/>
  <c r="BC8" i="1"/>
  <c r="BC4" i="1"/>
  <c r="BC24" i="1"/>
  <c r="BC136" i="1"/>
  <c r="BC116" i="1"/>
  <c r="BC17" i="1"/>
  <c r="BC21" i="1"/>
  <c r="BC25" i="1"/>
  <c r="BC29" i="1"/>
  <c r="BC33" i="1"/>
  <c r="BC37" i="1"/>
  <c r="BC45" i="1"/>
  <c r="BC53" i="1"/>
  <c r="BC57" i="1"/>
  <c r="BC61" i="1"/>
  <c r="BC65" i="1"/>
  <c r="BC69" i="1"/>
  <c r="BC77" i="1"/>
  <c r="BC81" i="1"/>
  <c r="BC85" i="1"/>
  <c r="BC89" i="1"/>
  <c r="BC93" i="1"/>
  <c r="BC101" i="1"/>
  <c r="BC105" i="1"/>
  <c r="BC109" i="1"/>
  <c r="BC113" i="1"/>
  <c r="BC117" i="1"/>
  <c r="BC121" i="1"/>
  <c r="BC125" i="1"/>
  <c r="BC133" i="1"/>
  <c r="BC137" i="1"/>
  <c r="BC141" i="1"/>
  <c r="BC145" i="1"/>
  <c r="BC149" i="1"/>
  <c r="BC153" i="1"/>
  <c r="BC157" i="1"/>
  <c r="BC165" i="1"/>
  <c r="BC169" i="1"/>
  <c r="BC173" i="1"/>
  <c r="BC177" i="1"/>
  <c r="BC181" i="1"/>
  <c r="BC96" i="1"/>
  <c r="BC5" i="1"/>
  <c r="BC13" i="1"/>
  <c r="BC49" i="1"/>
  <c r="BC84" i="1"/>
  <c r="BC148" i="1"/>
  <c r="BC14" i="1"/>
  <c r="BC86" i="1"/>
  <c r="BC20" i="1"/>
  <c r="BC48" i="1"/>
  <c r="BC112" i="1"/>
  <c r="BC180" i="1"/>
  <c r="BC22" i="1"/>
  <c r="BC30" i="1"/>
  <c r="BC38" i="1"/>
  <c r="BC54" i="1"/>
  <c r="BC70" i="1"/>
  <c r="BC102" i="1"/>
  <c r="BC118" i="1"/>
  <c r="BC160" i="1"/>
  <c r="BC64" i="1"/>
  <c r="BC164" i="1"/>
  <c r="BC6" i="1"/>
  <c r="BC10" i="1"/>
  <c r="BC92" i="1"/>
  <c r="BC124" i="1"/>
  <c r="BC176" i="1"/>
  <c r="BC7" i="1"/>
  <c r="BC11" i="1"/>
  <c r="BC15" i="1"/>
  <c r="BC19" i="1"/>
  <c r="BC23" i="1"/>
  <c r="BC27" i="1"/>
  <c r="BC35" i="1"/>
  <c r="BC39" i="1"/>
  <c r="BC43" i="1"/>
  <c r="BC47" i="1"/>
  <c r="BC51" i="1"/>
  <c r="BC55" i="1"/>
  <c r="BC59" i="1"/>
  <c r="BC63" i="1"/>
  <c r="BC67" i="1"/>
  <c r="BC71" i="1"/>
  <c r="BC75" i="1"/>
  <c r="BC79" i="1"/>
  <c r="BC83" i="1"/>
  <c r="BC87" i="1"/>
  <c r="BC91" i="1"/>
  <c r="BC95" i="1"/>
  <c r="BC99" i="1"/>
  <c r="BC103" i="1"/>
  <c r="BC107" i="1"/>
  <c r="BC111" i="1"/>
  <c r="BC115" i="1"/>
  <c r="BC119" i="1"/>
  <c r="BC123" i="1"/>
  <c r="BC127" i="1"/>
  <c r="BC131" i="1"/>
  <c r="BC135" i="1"/>
  <c r="BC139" i="1"/>
  <c r="BC143" i="1"/>
  <c r="BC147" i="1"/>
  <c r="BC151" i="1"/>
  <c r="BC155" i="1"/>
  <c r="BC159" i="1"/>
  <c r="BC163" i="1"/>
  <c r="BC167" i="1"/>
  <c r="BC171" i="1"/>
  <c r="BC175" i="1"/>
  <c r="BC179" i="1"/>
  <c r="BC32" i="1"/>
  <c r="BC128" i="1"/>
  <c r="BC16" i="1"/>
  <c r="BC44" i="1"/>
  <c r="BC60" i="1"/>
  <c r="BC108" i="1"/>
  <c r="BC31" i="1"/>
  <c r="BC28" i="1"/>
  <c r="BC34" i="1"/>
  <c r="BC40" i="1"/>
  <c r="BC50" i="1"/>
  <c r="BC66" i="1"/>
  <c r="BC76" i="1"/>
  <c r="BC98" i="1"/>
  <c r="BC114" i="1"/>
  <c r="BC140" i="1"/>
  <c r="BC156" i="1"/>
  <c r="BC2" i="1"/>
  <c r="AY3" i="1"/>
  <c r="BD3" i="1" s="1"/>
  <c r="BC3" i="1"/>
  <c r="AE40" i="1"/>
  <c r="AD40" i="1"/>
  <c r="AD41" i="1" s="1"/>
  <c r="AY328" i="1"/>
  <c r="AY264" i="1"/>
  <c r="AY200" i="1"/>
  <c r="AY136" i="1"/>
  <c r="BD136" i="1" s="1"/>
  <c r="AY72" i="1"/>
  <c r="BD72" i="1" s="1"/>
  <c r="AY360" i="1"/>
  <c r="AY320" i="1"/>
  <c r="AY256" i="1"/>
  <c r="AY192" i="1"/>
  <c r="AY128" i="1"/>
  <c r="BD128" i="1" s="1"/>
  <c r="AY64" i="1"/>
  <c r="BD64" i="1" s="1"/>
  <c r="AY359" i="1"/>
  <c r="AY312" i="1"/>
  <c r="AY248" i="1"/>
  <c r="AY184" i="1"/>
  <c r="AY120" i="1"/>
  <c r="BD120" i="1" s="1"/>
  <c r="AY56" i="1"/>
  <c r="BD56" i="1" s="1"/>
  <c r="AY352" i="1"/>
  <c r="AY304" i="1"/>
  <c r="AY240" i="1"/>
  <c r="AY176" i="1"/>
  <c r="BD176" i="1" s="1"/>
  <c r="AY112" i="1"/>
  <c r="BD112" i="1" s="1"/>
  <c r="AY48" i="1"/>
  <c r="BD48" i="1" s="1"/>
  <c r="AY351" i="1"/>
  <c r="AY296" i="1"/>
  <c r="AY232" i="1"/>
  <c r="AY168" i="1"/>
  <c r="BD168" i="1" s="1"/>
  <c r="AY104" i="1"/>
  <c r="BD104" i="1" s="1"/>
  <c r="AY40" i="1"/>
  <c r="BD40" i="1" s="1"/>
  <c r="AY344" i="1"/>
  <c r="AY288" i="1"/>
  <c r="AY224" i="1"/>
  <c r="AY160" i="1"/>
  <c r="BD160" i="1" s="1"/>
  <c r="AY96" i="1"/>
  <c r="BD96" i="1" s="1"/>
  <c r="AY32" i="1"/>
  <c r="BD32" i="1" s="1"/>
  <c r="AY336" i="1"/>
  <c r="AY280" i="1"/>
  <c r="AY216" i="1"/>
  <c r="AY152" i="1"/>
  <c r="BD152" i="1" s="1"/>
  <c r="AY88" i="1"/>
  <c r="BD88" i="1" s="1"/>
  <c r="AY24" i="1"/>
  <c r="BD24" i="1" s="1"/>
  <c r="AY335" i="1"/>
  <c r="AY272" i="1"/>
  <c r="AY208" i="1"/>
  <c r="AY144" i="1"/>
  <c r="BD144" i="1" s="1"/>
  <c r="AY80" i="1"/>
  <c r="BD80" i="1" s="1"/>
  <c r="AY16" i="1"/>
  <c r="BD16" i="1" s="1"/>
  <c r="AY287" i="1"/>
  <c r="AY239" i="1"/>
  <c r="AY207" i="1"/>
  <c r="AY167" i="1"/>
  <c r="BD167" i="1" s="1"/>
  <c r="AY151" i="1"/>
  <c r="BD151" i="1" s="1"/>
  <c r="AY119" i="1"/>
  <c r="BD119" i="1" s="1"/>
  <c r="AY95" i="1"/>
  <c r="BD95" i="1" s="1"/>
  <c r="AY63" i="1"/>
  <c r="BD63" i="1" s="1"/>
  <c r="AY47" i="1"/>
  <c r="BD47" i="1" s="1"/>
  <c r="AY362" i="1"/>
  <c r="AY354" i="1"/>
  <c r="AY346" i="1"/>
  <c r="AY338" i="1"/>
  <c r="AY330" i="1"/>
  <c r="AY322" i="1"/>
  <c r="AY314" i="1"/>
  <c r="AY306" i="1"/>
  <c r="AY298" i="1"/>
  <c r="AY290" i="1"/>
  <c r="AY282" i="1"/>
  <c r="AY274" i="1"/>
  <c r="AY266" i="1"/>
  <c r="AY258" i="1"/>
  <c r="AY250" i="1"/>
  <c r="AY242" i="1"/>
  <c r="AY234" i="1"/>
  <c r="AY226" i="1"/>
  <c r="AY218" i="1"/>
  <c r="AY210" i="1"/>
  <c r="AY202" i="1"/>
  <c r="AY194" i="1"/>
  <c r="AY186" i="1"/>
  <c r="AY178" i="1"/>
  <c r="BD178" i="1" s="1"/>
  <c r="AY170" i="1"/>
  <c r="BD170" i="1" s="1"/>
  <c r="AY162" i="1"/>
  <c r="BD162" i="1" s="1"/>
  <c r="AY154" i="1"/>
  <c r="BD154" i="1" s="1"/>
  <c r="AY146" i="1"/>
  <c r="BD146" i="1" s="1"/>
  <c r="AY138" i="1"/>
  <c r="BD138" i="1" s="1"/>
  <c r="AY130" i="1"/>
  <c r="BD130" i="1" s="1"/>
  <c r="AY122" i="1"/>
  <c r="BD122" i="1" s="1"/>
  <c r="AY114" i="1"/>
  <c r="BD114" i="1" s="1"/>
  <c r="AY106" i="1"/>
  <c r="BD106" i="1" s="1"/>
  <c r="AY98" i="1"/>
  <c r="BD98" i="1" s="1"/>
  <c r="AY90" i="1"/>
  <c r="BD90" i="1" s="1"/>
  <c r="AY82" i="1"/>
  <c r="BD82" i="1" s="1"/>
  <c r="AY74" i="1"/>
  <c r="BD74" i="1" s="1"/>
  <c r="AY66" i="1"/>
  <c r="BD66" i="1" s="1"/>
  <c r="AY58" i="1"/>
  <c r="BD58" i="1" s="1"/>
  <c r="AY50" i="1"/>
  <c r="BD50" i="1" s="1"/>
  <c r="AY42" i="1"/>
  <c r="BD42" i="1" s="1"/>
  <c r="AY34" i="1"/>
  <c r="BD34" i="1" s="1"/>
  <c r="AY26" i="1"/>
  <c r="BD26" i="1" s="1"/>
  <c r="AY18" i="1"/>
  <c r="BD18" i="1" s="1"/>
  <c r="AY10" i="1"/>
  <c r="BD10" i="1" s="1"/>
  <c r="AY311" i="1"/>
  <c r="AY295" i="1"/>
  <c r="AY247" i="1"/>
  <c r="AY215" i="1"/>
  <c r="AY175" i="1"/>
  <c r="BD175" i="1" s="1"/>
  <c r="AY143" i="1"/>
  <c r="BD143" i="1" s="1"/>
  <c r="AY111" i="1"/>
  <c r="BD111" i="1" s="1"/>
  <c r="AY87" i="1"/>
  <c r="BD87" i="1" s="1"/>
  <c r="AY55" i="1"/>
  <c r="BD55" i="1" s="1"/>
  <c r="AY39" i="1"/>
  <c r="BD39" i="1" s="1"/>
  <c r="AY361" i="1"/>
  <c r="AY353" i="1"/>
  <c r="AY345" i="1"/>
  <c r="AY337" i="1"/>
  <c r="AY329" i="1"/>
  <c r="AY321" i="1"/>
  <c r="AY313" i="1"/>
  <c r="AY305" i="1"/>
  <c r="AY297" i="1"/>
  <c r="AY289" i="1"/>
  <c r="AY281" i="1"/>
  <c r="AY273" i="1"/>
  <c r="AY265" i="1"/>
  <c r="AY257" i="1"/>
  <c r="AY249" i="1"/>
  <c r="AY241" i="1"/>
  <c r="AY233" i="1"/>
  <c r="AY225" i="1"/>
  <c r="AY217" i="1"/>
  <c r="AY209" i="1"/>
  <c r="AY201" i="1"/>
  <c r="AY193" i="1"/>
  <c r="AY185" i="1"/>
  <c r="AY177" i="1"/>
  <c r="BD177" i="1" s="1"/>
  <c r="AY169" i="1"/>
  <c r="BD169" i="1" s="1"/>
  <c r="AY161" i="1"/>
  <c r="BD161" i="1" s="1"/>
  <c r="AY153" i="1"/>
  <c r="BD153" i="1" s="1"/>
  <c r="AY145" i="1"/>
  <c r="BD145" i="1" s="1"/>
  <c r="AY137" i="1"/>
  <c r="BD137" i="1" s="1"/>
  <c r="AY129" i="1"/>
  <c r="BD129" i="1" s="1"/>
  <c r="AY121" i="1"/>
  <c r="BD121" i="1" s="1"/>
  <c r="AY113" i="1"/>
  <c r="BD113" i="1" s="1"/>
  <c r="AY105" i="1"/>
  <c r="BD105" i="1" s="1"/>
  <c r="AY97" i="1"/>
  <c r="BD97" i="1" s="1"/>
  <c r="AY89" i="1"/>
  <c r="BD89" i="1" s="1"/>
  <c r="AY81" i="1"/>
  <c r="BD81" i="1" s="1"/>
  <c r="AY73" i="1"/>
  <c r="BD73" i="1" s="1"/>
  <c r="AY65" i="1"/>
  <c r="BD65" i="1" s="1"/>
  <c r="AY57" i="1"/>
  <c r="BD57" i="1" s="1"/>
  <c r="AY49" i="1"/>
  <c r="BD49" i="1" s="1"/>
  <c r="AY41" i="1"/>
  <c r="BD41" i="1" s="1"/>
  <c r="AY33" i="1"/>
  <c r="BD33" i="1" s="1"/>
  <c r="AY25" i="1"/>
  <c r="BD25" i="1" s="1"/>
  <c r="AY17" i="1"/>
  <c r="BD17" i="1" s="1"/>
  <c r="AY9" i="1"/>
  <c r="BD9" i="1" s="1"/>
  <c r="AY8" i="1"/>
  <c r="BD8" i="1" s="1"/>
  <c r="AY7" i="1"/>
  <c r="BD7" i="1" s="1"/>
  <c r="AY327" i="1"/>
  <c r="AY271" i="1"/>
  <c r="AY231" i="1"/>
  <c r="AY183" i="1"/>
  <c r="AY127" i="1"/>
  <c r="BD127" i="1" s="1"/>
  <c r="AY71" i="1"/>
  <c r="BD71" i="1" s="1"/>
  <c r="AY23" i="1"/>
  <c r="BD23" i="1" s="1"/>
  <c r="AY358" i="1"/>
  <c r="AY350" i="1"/>
  <c r="AY342" i="1"/>
  <c r="AY334" i="1"/>
  <c r="AY326" i="1"/>
  <c r="AY318" i="1"/>
  <c r="AY310" i="1"/>
  <c r="AY302" i="1"/>
  <c r="AY294" i="1"/>
  <c r="AY286" i="1"/>
  <c r="AY278" i="1"/>
  <c r="AY270" i="1"/>
  <c r="AY262" i="1"/>
  <c r="AY254" i="1"/>
  <c r="AY246" i="1"/>
  <c r="AY238" i="1"/>
  <c r="AY230" i="1"/>
  <c r="AY222" i="1"/>
  <c r="AY214" i="1"/>
  <c r="AY206" i="1"/>
  <c r="AY198" i="1"/>
  <c r="AY190" i="1"/>
  <c r="AY182" i="1"/>
  <c r="BD182" i="1" s="1"/>
  <c r="AY174" i="1"/>
  <c r="BD174" i="1" s="1"/>
  <c r="AY166" i="1"/>
  <c r="BD166" i="1" s="1"/>
  <c r="AY158" i="1"/>
  <c r="BD158" i="1" s="1"/>
  <c r="AY150" i="1"/>
  <c r="BD150" i="1" s="1"/>
  <c r="AY142" i="1"/>
  <c r="BD142" i="1" s="1"/>
  <c r="AY134" i="1"/>
  <c r="BD134" i="1" s="1"/>
  <c r="AY126" i="1"/>
  <c r="BD126" i="1" s="1"/>
  <c r="AY118" i="1"/>
  <c r="BD118" i="1" s="1"/>
  <c r="AY110" i="1"/>
  <c r="BD110" i="1" s="1"/>
  <c r="AY102" i="1"/>
  <c r="BD102" i="1" s="1"/>
  <c r="AY94" i="1"/>
  <c r="BD94" i="1" s="1"/>
  <c r="AY86" i="1"/>
  <c r="BD86" i="1" s="1"/>
  <c r="AY78" i="1"/>
  <c r="BD78" i="1" s="1"/>
  <c r="AY70" i="1"/>
  <c r="BD70" i="1" s="1"/>
  <c r="AY62" i="1"/>
  <c r="BD62" i="1" s="1"/>
  <c r="AY54" i="1"/>
  <c r="BD54" i="1" s="1"/>
  <c r="AY46" i="1"/>
  <c r="BD46" i="1" s="1"/>
  <c r="AY38" i="1"/>
  <c r="BD38" i="1" s="1"/>
  <c r="AY30" i="1"/>
  <c r="BD30" i="1" s="1"/>
  <c r="AY22" i="1"/>
  <c r="BD22" i="1" s="1"/>
  <c r="AY14" i="1"/>
  <c r="BD14" i="1" s="1"/>
  <c r="AY6" i="1"/>
  <c r="BD6" i="1" s="1"/>
  <c r="AY343" i="1"/>
  <c r="AY303" i="1"/>
  <c r="AY279" i="1"/>
  <c r="AY255" i="1"/>
  <c r="AY199" i="1"/>
  <c r="AY135" i="1"/>
  <c r="BD135" i="1" s="1"/>
  <c r="AY79" i="1"/>
  <c r="BD79" i="1" s="1"/>
  <c r="AY31" i="1"/>
  <c r="BD31" i="1" s="1"/>
  <c r="AY357" i="1"/>
  <c r="AY349" i="1"/>
  <c r="AY341" i="1"/>
  <c r="AY333" i="1"/>
  <c r="AY325" i="1"/>
  <c r="AY317" i="1"/>
  <c r="AY309" i="1"/>
  <c r="AY301" i="1"/>
  <c r="AY293" i="1"/>
  <c r="AY285" i="1"/>
  <c r="AY277" i="1"/>
  <c r="AY269" i="1"/>
  <c r="AY261" i="1"/>
  <c r="AY253" i="1"/>
  <c r="AY245" i="1"/>
  <c r="AY237" i="1"/>
  <c r="AY229" i="1"/>
  <c r="AY221" i="1"/>
  <c r="AY213" i="1"/>
  <c r="AY205" i="1"/>
  <c r="AY197" i="1"/>
  <c r="AY189" i="1"/>
  <c r="AY181" i="1"/>
  <c r="BD181" i="1" s="1"/>
  <c r="AY173" i="1"/>
  <c r="BD173" i="1" s="1"/>
  <c r="AY165" i="1"/>
  <c r="BD165" i="1" s="1"/>
  <c r="AY157" i="1"/>
  <c r="BD157" i="1" s="1"/>
  <c r="AY149" i="1"/>
  <c r="BD149" i="1" s="1"/>
  <c r="AY141" i="1"/>
  <c r="BD141" i="1" s="1"/>
  <c r="AY133" i="1"/>
  <c r="BD133" i="1" s="1"/>
  <c r="AY125" i="1"/>
  <c r="BD125" i="1" s="1"/>
  <c r="AY117" i="1"/>
  <c r="BD117" i="1" s="1"/>
  <c r="AY109" i="1"/>
  <c r="BD109" i="1" s="1"/>
  <c r="AY101" i="1"/>
  <c r="BD101" i="1" s="1"/>
  <c r="AY93" i="1"/>
  <c r="BD93" i="1" s="1"/>
  <c r="AY85" i="1"/>
  <c r="BD85" i="1" s="1"/>
  <c r="AY77" i="1"/>
  <c r="BD77" i="1" s="1"/>
  <c r="AY69" i="1"/>
  <c r="BD69" i="1" s="1"/>
  <c r="AY61" i="1"/>
  <c r="BD61" i="1" s="1"/>
  <c r="AY53" i="1"/>
  <c r="BD53" i="1" s="1"/>
  <c r="AY45" i="1"/>
  <c r="BD45" i="1" s="1"/>
  <c r="AY37" i="1"/>
  <c r="BD37" i="1" s="1"/>
  <c r="AY29" i="1"/>
  <c r="BD29" i="1" s="1"/>
  <c r="AY21" i="1"/>
  <c r="BD21" i="1" s="1"/>
  <c r="AY13" i="1"/>
  <c r="BD13" i="1" s="1"/>
  <c r="AY5" i="1"/>
  <c r="BD5" i="1" s="1"/>
  <c r="AY319" i="1"/>
  <c r="AY263" i="1"/>
  <c r="AY223" i="1"/>
  <c r="AY191" i="1"/>
  <c r="AY159" i="1"/>
  <c r="BD159" i="1" s="1"/>
  <c r="AY103" i="1"/>
  <c r="BD103" i="1" s="1"/>
  <c r="AY15" i="1"/>
  <c r="BD15" i="1" s="1"/>
  <c r="AY356" i="1"/>
  <c r="AY348" i="1"/>
  <c r="AY340" i="1"/>
  <c r="AY332" i="1"/>
  <c r="AY324" i="1"/>
  <c r="AY316" i="1"/>
  <c r="AY308" i="1"/>
  <c r="AY300" i="1"/>
  <c r="AY292" i="1"/>
  <c r="AY284" i="1"/>
  <c r="AY276" i="1"/>
  <c r="AY268" i="1"/>
  <c r="AY260" i="1"/>
  <c r="AY252" i="1"/>
  <c r="AY244" i="1"/>
  <c r="AY236" i="1"/>
  <c r="AY228" i="1"/>
  <c r="AY220" i="1"/>
  <c r="AY212" i="1"/>
  <c r="AY204" i="1"/>
  <c r="AY196" i="1"/>
  <c r="AY188" i="1"/>
  <c r="AY180" i="1"/>
  <c r="BD180" i="1" s="1"/>
  <c r="AY172" i="1"/>
  <c r="BD172" i="1" s="1"/>
  <c r="AY164" i="1"/>
  <c r="BD164" i="1" s="1"/>
  <c r="AY156" i="1"/>
  <c r="BD156" i="1" s="1"/>
  <c r="AY148" i="1"/>
  <c r="BD148" i="1" s="1"/>
  <c r="AY140" i="1"/>
  <c r="BD140" i="1" s="1"/>
  <c r="AY132" i="1"/>
  <c r="BD132" i="1" s="1"/>
  <c r="AY124" i="1"/>
  <c r="BD124" i="1" s="1"/>
  <c r="AY116" i="1"/>
  <c r="BD116" i="1" s="1"/>
  <c r="AY108" i="1"/>
  <c r="BD108" i="1" s="1"/>
  <c r="AY100" i="1"/>
  <c r="BD100" i="1" s="1"/>
  <c r="AY92" i="1"/>
  <c r="BD92" i="1" s="1"/>
  <c r="AY84" i="1"/>
  <c r="BD84" i="1" s="1"/>
  <c r="AY76" i="1"/>
  <c r="BD76" i="1" s="1"/>
  <c r="AY68" i="1"/>
  <c r="BD68" i="1" s="1"/>
  <c r="AY60" i="1"/>
  <c r="BD60" i="1" s="1"/>
  <c r="AY52" i="1"/>
  <c r="BD52" i="1" s="1"/>
  <c r="AY44" i="1"/>
  <c r="BD44" i="1" s="1"/>
  <c r="AY36" i="1"/>
  <c r="BD36" i="1" s="1"/>
  <c r="AY28" i="1"/>
  <c r="BD28" i="1" s="1"/>
  <c r="AY20" i="1"/>
  <c r="BD20" i="1" s="1"/>
  <c r="AY12" i="1"/>
  <c r="BD12" i="1" s="1"/>
  <c r="AY4" i="1"/>
  <c r="BD4" i="1" s="1"/>
  <c r="AY2" i="1"/>
  <c r="AY355" i="1"/>
  <c r="AY347" i="1"/>
  <c r="AY339" i="1"/>
  <c r="AY331" i="1"/>
  <c r="AY323" i="1"/>
  <c r="AY315" i="1"/>
  <c r="AY307" i="1"/>
  <c r="AY299" i="1"/>
  <c r="AY291" i="1"/>
  <c r="AY283" i="1"/>
  <c r="AY275" i="1"/>
  <c r="AY267" i="1"/>
  <c r="AY259" i="1"/>
  <c r="AY251" i="1"/>
  <c r="AY243" i="1"/>
  <c r="AY235" i="1"/>
  <c r="AY227" i="1"/>
  <c r="AY219" i="1"/>
  <c r="AY211" i="1"/>
  <c r="AY203" i="1"/>
  <c r="AY195" i="1"/>
  <c r="AY187" i="1"/>
  <c r="AY179" i="1"/>
  <c r="BD179" i="1" s="1"/>
  <c r="AY171" i="1"/>
  <c r="BD171" i="1" s="1"/>
  <c r="AY163" i="1"/>
  <c r="BD163" i="1" s="1"/>
  <c r="AY155" i="1"/>
  <c r="BD155" i="1" s="1"/>
  <c r="AY147" i="1"/>
  <c r="BD147" i="1" s="1"/>
  <c r="AY139" i="1"/>
  <c r="BD139" i="1" s="1"/>
  <c r="AY131" i="1"/>
  <c r="BD131" i="1" s="1"/>
  <c r="AY123" i="1"/>
  <c r="BD123" i="1" s="1"/>
  <c r="AY115" i="1"/>
  <c r="BD115" i="1" s="1"/>
  <c r="AY107" i="1"/>
  <c r="BD107" i="1" s="1"/>
  <c r="AY99" i="1"/>
  <c r="BD99" i="1" s="1"/>
  <c r="AY91" i="1"/>
  <c r="BD91" i="1" s="1"/>
  <c r="AY83" i="1"/>
  <c r="BD83" i="1" s="1"/>
  <c r="AY75" i="1"/>
  <c r="BD75" i="1" s="1"/>
  <c r="AY67" i="1"/>
  <c r="BD67" i="1" s="1"/>
  <c r="AY59" i="1"/>
  <c r="BD59" i="1" s="1"/>
  <c r="AY51" i="1"/>
  <c r="BD51" i="1" s="1"/>
  <c r="AY43" i="1"/>
  <c r="BD43" i="1" s="1"/>
  <c r="AY35" i="1"/>
  <c r="BD35" i="1" s="1"/>
  <c r="AY27" i="1"/>
  <c r="BD27" i="1" s="1"/>
  <c r="AY19" i="1"/>
  <c r="BD19" i="1" s="1"/>
  <c r="AY11" i="1"/>
  <c r="BD11" i="1" s="1"/>
  <c r="AB6" i="1"/>
  <c r="U14" i="1"/>
  <c r="AA6" i="1" s="1"/>
  <c r="BD2" i="1" l="1"/>
  <c r="U15" i="1"/>
  <c r="W16" i="1" l="1"/>
  <c r="U16" i="1"/>
  <c r="V16" i="1"/>
  <c r="W12" i="1"/>
  <c r="W11" i="1"/>
  <c r="W10" i="1"/>
  <c r="E6" i="1" l="1"/>
  <c r="A93" i="1" s="1"/>
  <c r="F27" i="1" l="1" a="1"/>
  <c r="F27" i="1" s="1"/>
  <c r="I26" i="1" l="1"/>
  <c r="C16" i="1" s="1"/>
  <c r="C105" i="1" s="1"/>
  <c r="J105" i="1" s="1"/>
  <c r="L105" i="1" s="1"/>
  <c r="F28" i="1"/>
  <c r="H27" i="1" s="1"/>
  <c r="I27" i="1" s="1"/>
  <c r="C17" i="1"/>
  <c r="C106" i="1" s="1"/>
  <c r="J106" i="1" s="1"/>
  <c r="L106" i="1" s="1"/>
  <c r="C18" i="1"/>
  <c r="C107" i="1" s="1"/>
  <c r="J107" i="1" s="1"/>
  <c r="L107" i="1" s="1"/>
  <c r="C19" i="1"/>
  <c r="C108" i="1" s="1"/>
  <c r="J108" i="1" s="1"/>
  <c r="L108" i="1" s="1"/>
  <c r="C20" i="1"/>
  <c r="C109" i="1" s="1"/>
  <c r="J109" i="1" s="1"/>
  <c r="L109" i="1" s="1"/>
  <c r="C21" i="1"/>
  <c r="C110" i="1" s="1"/>
  <c r="J110" i="1" s="1"/>
  <c r="L110" i="1" s="1"/>
  <c r="C22" i="1"/>
  <c r="C111" i="1" s="1"/>
  <c r="J111" i="1" s="1"/>
  <c r="L111" i="1" s="1"/>
  <c r="C23" i="1"/>
  <c r="C112" i="1" s="1"/>
  <c r="J112" i="1" s="1"/>
  <c r="L112" i="1" s="1"/>
  <c r="C24" i="1"/>
  <c r="C113" i="1" s="1"/>
  <c r="J113" i="1" s="1"/>
  <c r="L113" i="1" s="1"/>
  <c r="K110" i="1" l="1"/>
  <c r="K113" i="1"/>
  <c r="K106" i="1"/>
  <c r="K109" i="1"/>
  <c r="K111" i="1"/>
  <c r="K107" i="1"/>
  <c r="K105" i="1"/>
  <c r="K112" i="1"/>
  <c r="K108" i="1"/>
  <c r="B82" i="1"/>
  <c r="E61" i="1" l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3" i="1"/>
  <c r="G112" i="1" l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A95" i="1" s="1"/>
  <c r="E95" i="1" s="1"/>
  <c r="F9" i="1"/>
  <c r="B96" i="1" s="1"/>
  <c r="E93" i="1"/>
  <c r="C94" i="1"/>
  <c r="D92" i="1"/>
  <c r="C92" i="1"/>
  <c r="G7" i="1"/>
  <c r="G6" i="1"/>
  <c r="E94" i="1" l="1"/>
  <c r="G8" i="1"/>
  <c r="E9" i="1"/>
  <c r="A96" i="1" s="1"/>
  <c r="D93" i="1"/>
  <c r="C93" i="1"/>
  <c r="F10" i="1"/>
  <c r="B97" i="1" s="1"/>
  <c r="D94" i="1"/>
  <c r="C95" i="1"/>
  <c r="D95" i="1"/>
  <c r="G9" i="1" l="1"/>
  <c r="E96" i="1"/>
  <c r="D96" i="1"/>
  <c r="D97" i="1"/>
  <c r="G11" i="1"/>
  <c r="X4" i="1" a="1"/>
  <c r="X4" i="1" s="1"/>
  <c r="C96" i="1"/>
  <c r="G10" i="1"/>
  <c r="G12" i="1" l="1"/>
  <c r="E97" i="1"/>
  <c r="E98" i="1"/>
  <c r="D98" i="1"/>
  <c r="C98" i="1"/>
  <c r="C97" i="1"/>
  <c r="Y4" i="1"/>
  <c r="X5" i="1"/>
  <c r="C15" i="1"/>
  <c r="C104" i="1" s="1"/>
  <c r="C99" i="1" l="1"/>
  <c r="B100" i="1" s="1"/>
  <c r="Y5" i="1"/>
  <c r="Y6" i="1" s="1"/>
  <c r="X6" i="1"/>
  <c r="J104" i="1"/>
  <c r="F104" i="1"/>
  <c r="C62" i="1"/>
  <c r="C25" i="1"/>
  <c r="D25" i="1" s="1"/>
  <c r="F114" i="1" l="1"/>
  <c r="B115" i="1" s="1"/>
  <c r="B127" i="1" s="1"/>
  <c r="H104" i="1"/>
  <c r="H114" i="1" s="1"/>
  <c r="J114" i="1"/>
  <c r="J115" i="1" s="1"/>
  <c r="D127" i="1" s="1"/>
  <c r="L104" i="1"/>
  <c r="L114" i="1" s="1"/>
  <c r="J117" i="1" s="1"/>
  <c r="D99" i="1"/>
  <c r="B102" i="1" s="1"/>
  <c r="E99" i="1"/>
  <c r="B101" i="1" s="1"/>
  <c r="K104" i="1"/>
  <c r="K114" i="1" s="1"/>
  <c r="J116" i="1" s="1"/>
  <c r="G104" i="1"/>
  <c r="G114" i="1" s="1"/>
  <c r="D126" i="1" l="1"/>
  <c r="K117" i="1"/>
  <c r="D125" i="1"/>
  <c r="K116" i="1"/>
  <c r="B116" i="1"/>
  <c r="B117" i="1"/>
  <c r="F127" i="1"/>
  <c r="B131" i="1" s="1"/>
  <c r="J119" i="1"/>
  <c r="J120" i="1"/>
  <c r="F126" i="1" l="1"/>
  <c r="C117" i="1"/>
  <c r="B125" i="1"/>
  <c r="C116" i="1"/>
  <c r="F125" i="1"/>
  <c r="B120" i="1"/>
  <c r="B119" i="1"/>
  <c r="B126" i="1"/>
  <c r="B132" i="1" l="1"/>
  <c r="BG5" i="1" s="1"/>
  <c r="BG9" i="1" s="1"/>
  <c r="B133" i="1"/>
  <c r="BH5" i="1" s="1"/>
  <c r="BH9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BW13" i="1" l="1"/>
  <c r="BW16" i="1" s="1"/>
  <c r="BV13" i="1"/>
  <c r="BV16" i="1" s="1"/>
  <c r="BI16" i="1"/>
  <c r="BP16" i="1" s="1"/>
  <c r="BI24" i="1"/>
  <c r="BP24" i="1" s="1"/>
  <c r="BI32" i="1"/>
  <c r="BP32" i="1" s="1"/>
  <c r="BI40" i="1"/>
  <c r="BP40" i="1" s="1"/>
  <c r="BI48" i="1"/>
  <c r="BP48" i="1" s="1"/>
  <c r="BI56" i="1"/>
  <c r="BP56" i="1" s="1"/>
  <c r="BI64" i="1"/>
  <c r="BP64" i="1" s="1"/>
  <c r="BI72" i="1"/>
  <c r="BP72" i="1" s="1"/>
  <c r="BI80" i="1"/>
  <c r="BP80" i="1" s="1"/>
  <c r="BI88" i="1"/>
  <c r="BP88" i="1" s="1"/>
  <c r="BI96" i="1"/>
  <c r="BP96" i="1" s="1"/>
  <c r="BI104" i="1"/>
  <c r="BP104" i="1" s="1"/>
  <c r="BI112" i="1"/>
  <c r="BP112" i="1" s="1"/>
  <c r="BI120" i="1"/>
  <c r="BP120" i="1" s="1"/>
  <c r="BI128" i="1"/>
  <c r="BP128" i="1" s="1"/>
  <c r="BI136" i="1"/>
  <c r="BP136" i="1" s="1"/>
  <c r="BI144" i="1"/>
  <c r="BP144" i="1" s="1"/>
  <c r="BI152" i="1"/>
  <c r="BP152" i="1" s="1"/>
  <c r="BI160" i="1"/>
  <c r="BP160" i="1" s="1"/>
  <c r="BI168" i="1"/>
  <c r="BP168" i="1" s="1"/>
  <c r="BI176" i="1"/>
  <c r="BP176" i="1" s="1"/>
  <c r="BI184" i="1"/>
  <c r="BP184" i="1" s="1"/>
  <c r="BI192" i="1"/>
  <c r="BP192" i="1" s="1"/>
  <c r="BI200" i="1"/>
  <c r="BP200" i="1" s="1"/>
  <c r="BI208" i="1"/>
  <c r="BP208" i="1" s="1"/>
  <c r="BI216" i="1"/>
  <c r="BP216" i="1" s="1"/>
  <c r="BI224" i="1"/>
  <c r="BP224" i="1" s="1"/>
  <c r="BI232" i="1"/>
  <c r="BP232" i="1" s="1"/>
  <c r="BI240" i="1"/>
  <c r="BP240" i="1" s="1"/>
  <c r="BI248" i="1"/>
  <c r="BP248" i="1" s="1"/>
  <c r="BI256" i="1"/>
  <c r="BP256" i="1" s="1"/>
  <c r="BI264" i="1"/>
  <c r="BP264" i="1" s="1"/>
  <c r="BI272" i="1"/>
  <c r="BP272" i="1" s="1"/>
  <c r="BI280" i="1"/>
  <c r="BP280" i="1" s="1"/>
  <c r="BI288" i="1"/>
  <c r="BP288" i="1" s="1"/>
  <c r="BI296" i="1"/>
  <c r="BP296" i="1" s="1"/>
  <c r="BI304" i="1"/>
  <c r="BP304" i="1" s="1"/>
  <c r="BI312" i="1"/>
  <c r="BP312" i="1" s="1"/>
  <c r="BI320" i="1"/>
  <c r="BP320" i="1" s="1"/>
  <c r="BI328" i="1"/>
  <c r="BP328" i="1" s="1"/>
  <c r="BI336" i="1"/>
  <c r="BP336" i="1" s="1"/>
  <c r="BI344" i="1"/>
  <c r="BP344" i="1" s="1"/>
  <c r="BI352" i="1"/>
  <c r="BP352" i="1" s="1"/>
  <c r="BI360" i="1"/>
  <c r="BP360" i="1" s="1"/>
  <c r="BI368" i="1"/>
  <c r="BP368" i="1" s="1"/>
  <c r="BI17" i="1"/>
  <c r="BP17" i="1" s="1"/>
  <c r="BI25" i="1"/>
  <c r="BP25" i="1" s="1"/>
  <c r="BI33" i="1"/>
  <c r="BP33" i="1" s="1"/>
  <c r="BI41" i="1"/>
  <c r="BP41" i="1" s="1"/>
  <c r="BI49" i="1"/>
  <c r="BP49" i="1" s="1"/>
  <c r="BI57" i="1"/>
  <c r="BP57" i="1" s="1"/>
  <c r="BI65" i="1"/>
  <c r="BP65" i="1" s="1"/>
  <c r="BI73" i="1"/>
  <c r="BP73" i="1" s="1"/>
  <c r="BI81" i="1"/>
  <c r="BP81" i="1" s="1"/>
  <c r="BI89" i="1"/>
  <c r="BP89" i="1" s="1"/>
  <c r="BI97" i="1"/>
  <c r="BP97" i="1" s="1"/>
  <c r="BI105" i="1"/>
  <c r="BP105" i="1" s="1"/>
  <c r="BI113" i="1"/>
  <c r="BP113" i="1" s="1"/>
  <c r="BI121" i="1"/>
  <c r="BP121" i="1" s="1"/>
  <c r="BI129" i="1"/>
  <c r="BP129" i="1" s="1"/>
  <c r="BI137" i="1"/>
  <c r="BP137" i="1" s="1"/>
  <c r="BI145" i="1"/>
  <c r="BP145" i="1" s="1"/>
  <c r="BI153" i="1"/>
  <c r="BP153" i="1" s="1"/>
  <c r="BI161" i="1"/>
  <c r="BP161" i="1" s="1"/>
  <c r="BI169" i="1"/>
  <c r="BP169" i="1" s="1"/>
  <c r="BI177" i="1"/>
  <c r="BP177" i="1" s="1"/>
  <c r="BI185" i="1"/>
  <c r="BP185" i="1" s="1"/>
  <c r="BI193" i="1"/>
  <c r="BP193" i="1" s="1"/>
  <c r="BI201" i="1"/>
  <c r="BP201" i="1" s="1"/>
  <c r="BI209" i="1"/>
  <c r="BP209" i="1" s="1"/>
  <c r="BI217" i="1"/>
  <c r="BP217" i="1" s="1"/>
  <c r="BI225" i="1"/>
  <c r="BP225" i="1" s="1"/>
  <c r="BI233" i="1"/>
  <c r="BP233" i="1" s="1"/>
  <c r="BI241" i="1"/>
  <c r="BP241" i="1" s="1"/>
  <c r="BI249" i="1"/>
  <c r="BP249" i="1" s="1"/>
  <c r="BI257" i="1"/>
  <c r="BP257" i="1" s="1"/>
  <c r="BI265" i="1"/>
  <c r="BP265" i="1" s="1"/>
  <c r="BI273" i="1"/>
  <c r="BP273" i="1" s="1"/>
  <c r="BI281" i="1"/>
  <c r="BP281" i="1" s="1"/>
  <c r="BI289" i="1"/>
  <c r="BP289" i="1" s="1"/>
  <c r="BI297" i="1"/>
  <c r="BP297" i="1" s="1"/>
  <c r="BI305" i="1"/>
  <c r="BP305" i="1" s="1"/>
  <c r="BI313" i="1"/>
  <c r="BP313" i="1" s="1"/>
  <c r="BI321" i="1"/>
  <c r="BP321" i="1" s="1"/>
  <c r="BI329" i="1"/>
  <c r="BP329" i="1" s="1"/>
  <c r="BI18" i="1"/>
  <c r="BP18" i="1" s="1"/>
  <c r="BI26" i="1"/>
  <c r="BP26" i="1" s="1"/>
  <c r="BI34" i="1"/>
  <c r="BP34" i="1" s="1"/>
  <c r="BI42" i="1"/>
  <c r="BP42" i="1" s="1"/>
  <c r="BI50" i="1"/>
  <c r="BP50" i="1" s="1"/>
  <c r="BI58" i="1"/>
  <c r="BP58" i="1" s="1"/>
  <c r="BI66" i="1"/>
  <c r="BP66" i="1" s="1"/>
  <c r="BI74" i="1"/>
  <c r="BP74" i="1" s="1"/>
  <c r="BI82" i="1"/>
  <c r="BP82" i="1" s="1"/>
  <c r="BI90" i="1"/>
  <c r="BP90" i="1" s="1"/>
  <c r="BI98" i="1"/>
  <c r="BP98" i="1" s="1"/>
  <c r="BI106" i="1"/>
  <c r="BP106" i="1" s="1"/>
  <c r="BI114" i="1"/>
  <c r="BP114" i="1" s="1"/>
  <c r="BI122" i="1"/>
  <c r="BP122" i="1" s="1"/>
  <c r="BI130" i="1"/>
  <c r="BP130" i="1" s="1"/>
  <c r="BI138" i="1"/>
  <c r="BP138" i="1" s="1"/>
  <c r="BI146" i="1"/>
  <c r="BP146" i="1" s="1"/>
  <c r="BI154" i="1"/>
  <c r="BP154" i="1" s="1"/>
  <c r="BI162" i="1"/>
  <c r="BP162" i="1" s="1"/>
  <c r="BI170" i="1"/>
  <c r="BP170" i="1" s="1"/>
  <c r="BI178" i="1"/>
  <c r="BP178" i="1" s="1"/>
  <c r="BI186" i="1"/>
  <c r="BP186" i="1" s="1"/>
  <c r="BI194" i="1"/>
  <c r="BP194" i="1" s="1"/>
  <c r="BI202" i="1"/>
  <c r="BP202" i="1" s="1"/>
  <c r="BI210" i="1"/>
  <c r="BP210" i="1" s="1"/>
  <c r="BI218" i="1"/>
  <c r="BP218" i="1" s="1"/>
  <c r="BI226" i="1"/>
  <c r="BP226" i="1" s="1"/>
  <c r="BI234" i="1"/>
  <c r="BP234" i="1" s="1"/>
  <c r="BI242" i="1"/>
  <c r="BP242" i="1" s="1"/>
  <c r="BI250" i="1"/>
  <c r="BP250" i="1" s="1"/>
  <c r="BI258" i="1"/>
  <c r="BP258" i="1" s="1"/>
  <c r="BI266" i="1"/>
  <c r="BP266" i="1" s="1"/>
  <c r="BI274" i="1"/>
  <c r="BP274" i="1" s="1"/>
  <c r="BI282" i="1"/>
  <c r="BP282" i="1" s="1"/>
  <c r="BI290" i="1"/>
  <c r="BP290" i="1" s="1"/>
  <c r="BI298" i="1"/>
  <c r="BP298" i="1" s="1"/>
  <c r="BI306" i="1"/>
  <c r="BP306" i="1" s="1"/>
  <c r="BI314" i="1"/>
  <c r="BP314" i="1" s="1"/>
  <c r="BI322" i="1"/>
  <c r="BP322" i="1" s="1"/>
  <c r="BI330" i="1"/>
  <c r="BP330" i="1" s="1"/>
  <c r="BI338" i="1"/>
  <c r="BP338" i="1" s="1"/>
  <c r="BI346" i="1"/>
  <c r="BP346" i="1" s="1"/>
  <c r="BI354" i="1"/>
  <c r="BP354" i="1" s="1"/>
  <c r="BI362" i="1"/>
  <c r="BP362" i="1" s="1"/>
  <c r="BI370" i="1"/>
  <c r="BP370" i="1" s="1"/>
  <c r="BI28" i="1"/>
  <c r="BP28" i="1" s="1"/>
  <c r="BI44" i="1"/>
  <c r="BP44" i="1" s="1"/>
  <c r="BI60" i="1"/>
  <c r="BP60" i="1" s="1"/>
  <c r="BI76" i="1"/>
  <c r="BP76" i="1" s="1"/>
  <c r="BI92" i="1"/>
  <c r="BP92" i="1" s="1"/>
  <c r="BI108" i="1"/>
  <c r="BP108" i="1" s="1"/>
  <c r="BI124" i="1"/>
  <c r="BP124" i="1" s="1"/>
  <c r="BI140" i="1"/>
  <c r="BP140" i="1" s="1"/>
  <c r="BI156" i="1"/>
  <c r="BP156" i="1" s="1"/>
  <c r="BI172" i="1"/>
  <c r="BP172" i="1" s="1"/>
  <c r="BI188" i="1"/>
  <c r="BP188" i="1" s="1"/>
  <c r="BI204" i="1"/>
  <c r="BP204" i="1" s="1"/>
  <c r="BI228" i="1"/>
  <c r="BP228" i="1" s="1"/>
  <c r="BI252" i="1"/>
  <c r="BP252" i="1" s="1"/>
  <c r="BI268" i="1"/>
  <c r="BP268" i="1" s="1"/>
  <c r="BI284" i="1"/>
  <c r="BP284" i="1" s="1"/>
  <c r="BI300" i="1"/>
  <c r="BP300" i="1" s="1"/>
  <c r="BI324" i="1"/>
  <c r="BP324" i="1" s="1"/>
  <c r="BI340" i="1"/>
  <c r="BP340" i="1" s="1"/>
  <c r="BI364" i="1"/>
  <c r="BP364" i="1" s="1"/>
  <c r="BI21" i="1"/>
  <c r="BP21" i="1" s="1"/>
  <c r="BI37" i="1"/>
  <c r="BP37" i="1" s="1"/>
  <c r="BI53" i="1"/>
  <c r="BP53" i="1" s="1"/>
  <c r="BI69" i="1"/>
  <c r="BP69" i="1" s="1"/>
  <c r="BI85" i="1"/>
  <c r="BP85" i="1" s="1"/>
  <c r="BI101" i="1"/>
  <c r="BP101" i="1" s="1"/>
  <c r="BI109" i="1"/>
  <c r="BP109" i="1" s="1"/>
  <c r="BI125" i="1"/>
  <c r="BP125" i="1" s="1"/>
  <c r="BI141" i="1"/>
  <c r="BP141" i="1" s="1"/>
  <c r="BI157" i="1"/>
  <c r="BP157" i="1" s="1"/>
  <c r="BI165" i="1"/>
  <c r="BP165" i="1" s="1"/>
  <c r="BI181" i="1"/>
  <c r="BP181" i="1" s="1"/>
  <c r="BI205" i="1"/>
  <c r="BP205" i="1" s="1"/>
  <c r="BI221" i="1"/>
  <c r="BP221" i="1" s="1"/>
  <c r="BI237" i="1"/>
  <c r="BP237" i="1" s="1"/>
  <c r="BI253" i="1"/>
  <c r="BP253" i="1" s="1"/>
  <c r="BI19" i="1"/>
  <c r="BP19" i="1" s="1"/>
  <c r="BI27" i="1"/>
  <c r="BP27" i="1" s="1"/>
  <c r="BI35" i="1"/>
  <c r="BP35" i="1" s="1"/>
  <c r="BI43" i="1"/>
  <c r="BP43" i="1" s="1"/>
  <c r="BI51" i="1"/>
  <c r="BP51" i="1" s="1"/>
  <c r="BI59" i="1"/>
  <c r="BP59" i="1" s="1"/>
  <c r="BI67" i="1"/>
  <c r="BP67" i="1" s="1"/>
  <c r="BI75" i="1"/>
  <c r="BP75" i="1" s="1"/>
  <c r="BI83" i="1"/>
  <c r="BP83" i="1" s="1"/>
  <c r="BI91" i="1"/>
  <c r="BP91" i="1" s="1"/>
  <c r="BI99" i="1"/>
  <c r="BP99" i="1" s="1"/>
  <c r="BI107" i="1"/>
  <c r="BP107" i="1" s="1"/>
  <c r="BI115" i="1"/>
  <c r="BP115" i="1" s="1"/>
  <c r="BI123" i="1"/>
  <c r="BP123" i="1" s="1"/>
  <c r="BI131" i="1"/>
  <c r="BP131" i="1" s="1"/>
  <c r="BI139" i="1"/>
  <c r="BP139" i="1" s="1"/>
  <c r="BI147" i="1"/>
  <c r="BP147" i="1" s="1"/>
  <c r="BI155" i="1"/>
  <c r="BP155" i="1" s="1"/>
  <c r="BI163" i="1"/>
  <c r="BP163" i="1" s="1"/>
  <c r="BI171" i="1"/>
  <c r="BP171" i="1" s="1"/>
  <c r="BI179" i="1"/>
  <c r="BP179" i="1" s="1"/>
  <c r="BI187" i="1"/>
  <c r="BP187" i="1" s="1"/>
  <c r="BI195" i="1"/>
  <c r="BP195" i="1" s="1"/>
  <c r="BI203" i="1"/>
  <c r="BP203" i="1" s="1"/>
  <c r="BI211" i="1"/>
  <c r="BP211" i="1" s="1"/>
  <c r="BI219" i="1"/>
  <c r="BP219" i="1" s="1"/>
  <c r="BI227" i="1"/>
  <c r="BP227" i="1" s="1"/>
  <c r="BI235" i="1"/>
  <c r="BP235" i="1" s="1"/>
  <c r="BI243" i="1"/>
  <c r="BP243" i="1" s="1"/>
  <c r="BI251" i="1"/>
  <c r="BP251" i="1" s="1"/>
  <c r="BI259" i="1"/>
  <c r="BP259" i="1" s="1"/>
  <c r="BI267" i="1"/>
  <c r="BP267" i="1" s="1"/>
  <c r="BI275" i="1"/>
  <c r="BP275" i="1" s="1"/>
  <c r="BI283" i="1"/>
  <c r="BP283" i="1" s="1"/>
  <c r="BI291" i="1"/>
  <c r="BP291" i="1" s="1"/>
  <c r="BI299" i="1"/>
  <c r="BP299" i="1" s="1"/>
  <c r="BI307" i="1"/>
  <c r="BP307" i="1" s="1"/>
  <c r="BI315" i="1"/>
  <c r="BP315" i="1" s="1"/>
  <c r="BI323" i="1"/>
  <c r="BP323" i="1" s="1"/>
  <c r="BI331" i="1"/>
  <c r="BP331" i="1" s="1"/>
  <c r="BI339" i="1"/>
  <c r="BP339" i="1" s="1"/>
  <c r="BI347" i="1"/>
  <c r="BP347" i="1" s="1"/>
  <c r="BI355" i="1"/>
  <c r="BP355" i="1" s="1"/>
  <c r="BI363" i="1"/>
  <c r="BP363" i="1" s="1"/>
  <c r="BI371" i="1"/>
  <c r="BP371" i="1" s="1"/>
  <c r="BI20" i="1"/>
  <c r="BP20" i="1" s="1"/>
  <c r="BI36" i="1"/>
  <c r="BP36" i="1" s="1"/>
  <c r="BI52" i="1"/>
  <c r="BP52" i="1" s="1"/>
  <c r="BI68" i="1"/>
  <c r="BP68" i="1" s="1"/>
  <c r="BI84" i="1"/>
  <c r="BP84" i="1" s="1"/>
  <c r="BI100" i="1"/>
  <c r="BP100" i="1" s="1"/>
  <c r="BI116" i="1"/>
  <c r="BP116" i="1" s="1"/>
  <c r="BI132" i="1"/>
  <c r="BP132" i="1" s="1"/>
  <c r="BI148" i="1"/>
  <c r="BP148" i="1" s="1"/>
  <c r="BI164" i="1"/>
  <c r="BP164" i="1" s="1"/>
  <c r="BI180" i="1"/>
  <c r="BP180" i="1" s="1"/>
  <c r="BI196" i="1"/>
  <c r="BP196" i="1" s="1"/>
  <c r="BI212" i="1"/>
  <c r="BP212" i="1" s="1"/>
  <c r="BI220" i="1"/>
  <c r="BP220" i="1" s="1"/>
  <c r="BI236" i="1"/>
  <c r="BP236" i="1" s="1"/>
  <c r="BI244" i="1"/>
  <c r="BP244" i="1" s="1"/>
  <c r="BI260" i="1"/>
  <c r="BP260" i="1" s="1"/>
  <c r="BI276" i="1"/>
  <c r="BP276" i="1" s="1"/>
  <c r="BI292" i="1"/>
  <c r="BP292" i="1" s="1"/>
  <c r="BI308" i="1"/>
  <c r="BP308" i="1" s="1"/>
  <c r="BI316" i="1"/>
  <c r="BP316" i="1" s="1"/>
  <c r="BI332" i="1"/>
  <c r="BP332" i="1" s="1"/>
  <c r="BI348" i="1"/>
  <c r="BP348" i="1" s="1"/>
  <c r="BI356" i="1"/>
  <c r="BP356" i="1" s="1"/>
  <c r="BI372" i="1"/>
  <c r="BP372" i="1" s="1"/>
  <c r="BI29" i="1"/>
  <c r="BP29" i="1" s="1"/>
  <c r="BI45" i="1"/>
  <c r="BP45" i="1" s="1"/>
  <c r="BI61" i="1"/>
  <c r="BP61" i="1" s="1"/>
  <c r="BI77" i="1"/>
  <c r="BP77" i="1" s="1"/>
  <c r="BI93" i="1"/>
  <c r="BP93" i="1" s="1"/>
  <c r="BI117" i="1"/>
  <c r="BP117" i="1" s="1"/>
  <c r="BI133" i="1"/>
  <c r="BP133" i="1" s="1"/>
  <c r="BI149" i="1"/>
  <c r="BP149" i="1" s="1"/>
  <c r="BI173" i="1"/>
  <c r="BP173" i="1" s="1"/>
  <c r="BI189" i="1"/>
  <c r="BP189" i="1" s="1"/>
  <c r="BI197" i="1"/>
  <c r="BP197" i="1" s="1"/>
  <c r="BI213" i="1"/>
  <c r="BP213" i="1" s="1"/>
  <c r="BI229" i="1"/>
  <c r="BP229" i="1" s="1"/>
  <c r="BI245" i="1"/>
  <c r="BP245" i="1" s="1"/>
  <c r="BI261" i="1"/>
  <c r="BP261" i="1" s="1"/>
  <c r="BI30" i="1"/>
  <c r="BP30" i="1" s="1"/>
  <c r="BI62" i="1"/>
  <c r="BP62" i="1" s="1"/>
  <c r="BI94" i="1"/>
  <c r="BP94" i="1" s="1"/>
  <c r="BI126" i="1"/>
  <c r="BP126" i="1" s="1"/>
  <c r="BI158" i="1"/>
  <c r="BP158" i="1" s="1"/>
  <c r="BI190" i="1"/>
  <c r="BP190" i="1" s="1"/>
  <c r="BI222" i="1"/>
  <c r="BP222" i="1" s="1"/>
  <c r="BI254" i="1"/>
  <c r="BP254" i="1" s="1"/>
  <c r="BI278" i="1"/>
  <c r="BP278" i="1" s="1"/>
  <c r="BI301" i="1"/>
  <c r="BP301" i="1" s="1"/>
  <c r="BI319" i="1"/>
  <c r="BP319" i="1" s="1"/>
  <c r="BI341" i="1"/>
  <c r="BP341" i="1" s="1"/>
  <c r="BI357" i="1"/>
  <c r="BP357" i="1" s="1"/>
  <c r="BI373" i="1"/>
  <c r="BP373" i="1" s="1"/>
  <c r="BI111" i="1"/>
  <c r="BP111" i="1" s="1"/>
  <c r="BI86" i="1"/>
  <c r="BP86" i="1" s="1"/>
  <c r="BI182" i="1"/>
  <c r="BP182" i="1" s="1"/>
  <c r="BI271" i="1"/>
  <c r="BP271" i="1" s="1"/>
  <c r="BI335" i="1"/>
  <c r="BP335" i="1" s="1"/>
  <c r="BI55" i="1"/>
  <c r="BP55" i="1" s="1"/>
  <c r="BI119" i="1"/>
  <c r="BP119" i="1" s="1"/>
  <c r="BI183" i="1"/>
  <c r="BP183" i="1" s="1"/>
  <c r="BI295" i="1"/>
  <c r="BP295" i="1" s="1"/>
  <c r="BI31" i="1"/>
  <c r="BP31" i="1" s="1"/>
  <c r="BI63" i="1"/>
  <c r="BP63" i="1" s="1"/>
  <c r="BI95" i="1"/>
  <c r="BP95" i="1" s="1"/>
  <c r="BI127" i="1"/>
  <c r="BP127" i="1" s="1"/>
  <c r="BI159" i="1"/>
  <c r="BP159" i="1" s="1"/>
  <c r="BI191" i="1"/>
  <c r="BP191" i="1" s="1"/>
  <c r="BI223" i="1"/>
  <c r="BP223" i="1" s="1"/>
  <c r="BI255" i="1"/>
  <c r="BP255" i="1" s="1"/>
  <c r="BI279" i="1"/>
  <c r="BP279" i="1" s="1"/>
  <c r="BI302" i="1"/>
  <c r="BP302" i="1" s="1"/>
  <c r="BI325" i="1"/>
  <c r="BP325" i="1" s="1"/>
  <c r="BI342" i="1"/>
  <c r="BP342" i="1" s="1"/>
  <c r="BI358" i="1"/>
  <c r="BP358" i="1" s="1"/>
  <c r="BI374" i="1"/>
  <c r="BP374" i="1" s="1"/>
  <c r="BI39" i="1"/>
  <c r="BP39" i="1" s="1"/>
  <c r="BI103" i="1"/>
  <c r="BP103" i="1" s="1"/>
  <c r="BI135" i="1"/>
  <c r="BP135" i="1" s="1"/>
  <c r="BI167" i="1"/>
  <c r="BP167" i="1" s="1"/>
  <c r="BI231" i="1"/>
  <c r="BP231" i="1" s="1"/>
  <c r="BI263" i="1"/>
  <c r="BP263" i="1" s="1"/>
  <c r="BI309" i="1"/>
  <c r="BP309" i="1" s="1"/>
  <c r="BI345" i="1"/>
  <c r="BP345" i="1" s="1"/>
  <c r="BI46" i="1"/>
  <c r="BP46" i="1" s="1"/>
  <c r="BI110" i="1"/>
  <c r="BP110" i="1" s="1"/>
  <c r="BI206" i="1"/>
  <c r="BP206" i="1" s="1"/>
  <c r="BI269" i="1"/>
  <c r="BP269" i="1" s="1"/>
  <c r="BI310" i="1"/>
  <c r="BP310" i="1" s="1"/>
  <c r="BI365" i="1"/>
  <c r="BP365" i="1" s="1"/>
  <c r="BI79" i="1"/>
  <c r="BP79" i="1" s="1"/>
  <c r="BI175" i="1"/>
  <c r="BP175" i="1" s="1"/>
  <c r="BI239" i="1"/>
  <c r="BP239" i="1" s="1"/>
  <c r="BI293" i="1"/>
  <c r="BP293" i="1" s="1"/>
  <c r="BI311" i="1"/>
  <c r="BP311" i="1" s="1"/>
  <c r="BI350" i="1"/>
  <c r="BP350" i="1" s="1"/>
  <c r="BI22" i="1"/>
  <c r="BP22" i="1" s="1"/>
  <c r="BI150" i="1"/>
  <c r="BP150" i="1" s="1"/>
  <c r="BI246" i="1"/>
  <c r="BP246" i="1" s="1"/>
  <c r="BI317" i="1"/>
  <c r="BP317" i="1" s="1"/>
  <c r="BI367" i="1"/>
  <c r="BP367" i="1" s="1"/>
  <c r="BI87" i="1"/>
  <c r="BP87" i="1" s="1"/>
  <c r="BI151" i="1"/>
  <c r="BP151" i="1" s="1"/>
  <c r="BI247" i="1"/>
  <c r="BP247" i="1" s="1"/>
  <c r="BI277" i="1"/>
  <c r="BP277" i="1" s="1"/>
  <c r="BI318" i="1"/>
  <c r="BP318" i="1" s="1"/>
  <c r="BI353" i="1"/>
  <c r="BP353" i="1" s="1"/>
  <c r="BI369" i="1"/>
  <c r="BP369" i="1" s="1"/>
  <c r="BI38" i="1"/>
  <c r="BP38" i="1" s="1"/>
  <c r="BI70" i="1"/>
  <c r="BP70" i="1" s="1"/>
  <c r="BI102" i="1"/>
  <c r="BP102" i="1" s="1"/>
  <c r="BI134" i="1"/>
  <c r="BP134" i="1" s="1"/>
  <c r="BI166" i="1"/>
  <c r="BP166" i="1" s="1"/>
  <c r="BI198" i="1"/>
  <c r="BP198" i="1" s="1"/>
  <c r="BI230" i="1"/>
  <c r="BP230" i="1" s="1"/>
  <c r="BI262" i="1"/>
  <c r="BP262" i="1" s="1"/>
  <c r="BI285" i="1"/>
  <c r="BP285" i="1" s="1"/>
  <c r="BI303" i="1"/>
  <c r="BP303" i="1" s="1"/>
  <c r="BI326" i="1"/>
  <c r="BP326" i="1" s="1"/>
  <c r="BI343" i="1"/>
  <c r="BP343" i="1" s="1"/>
  <c r="BI359" i="1"/>
  <c r="BP359" i="1" s="1"/>
  <c r="BI375" i="1"/>
  <c r="BP375" i="1" s="1"/>
  <c r="BI71" i="1"/>
  <c r="BP71" i="1" s="1"/>
  <c r="BI199" i="1"/>
  <c r="BP199" i="1" s="1"/>
  <c r="BI286" i="1"/>
  <c r="BP286" i="1" s="1"/>
  <c r="BI327" i="1"/>
  <c r="BP327" i="1" s="1"/>
  <c r="BI361" i="1"/>
  <c r="BP361" i="1" s="1"/>
  <c r="BI78" i="1"/>
  <c r="BP78" i="1" s="1"/>
  <c r="BI142" i="1"/>
  <c r="BP142" i="1" s="1"/>
  <c r="BI174" i="1"/>
  <c r="BP174" i="1" s="1"/>
  <c r="BI238" i="1"/>
  <c r="BP238" i="1" s="1"/>
  <c r="BI287" i="1"/>
  <c r="BP287" i="1" s="1"/>
  <c r="BI333" i="1"/>
  <c r="BP333" i="1" s="1"/>
  <c r="BI349" i="1"/>
  <c r="BP349" i="1" s="1"/>
  <c r="BI47" i="1"/>
  <c r="BP47" i="1" s="1"/>
  <c r="BI143" i="1"/>
  <c r="BP143" i="1" s="1"/>
  <c r="BI207" i="1"/>
  <c r="BP207" i="1" s="1"/>
  <c r="BI270" i="1"/>
  <c r="BP270" i="1" s="1"/>
  <c r="BI334" i="1"/>
  <c r="BP334" i="1" s="1"/>
  <c r="BI366" i="1"/>
  <c r="BP366" i="1" s="1"/>
  <c r="BI54" i="1"/>
  <c r="BP54" i="1" s="1"/>
  <c r="BI118" i="1"/>
  <c r="BP118" i="1" s="1"/>
  <c r="BI214" i="1"/>
  <c r="BP214" i="1" s="1"/>
  <c r="BI294" i="1"/>
  <c r="BP294" i="1" s="1"/>
  <c r="BI351" i="1"/>
  <c r="BP351" i="1" s="1"/>
  <c r="BI23" i="1"/>
  <c r="BP23" i="1" s="1"/>
  <c r="BI215" i="1"/>
  <c r="BP215" i="1" s="1"/>
  <c r="BI337" i="1"/>
  <c r="BP337" i="1" s="1"/>
  <c r="BH16" i="1"/>
  <c r="BO16" i="1" s="1"/>
  <c r="BH24" i="1"/>
  <c r="BO24" i="1" s="1"/>
  <c r="BH32" i="1"/>
  <c r="BO32" i="1" s="1"/>
  <c r="BH40" i="1"/>
  <c r="BO40" i="1" s="1"/>
  <c r="BH48" i="1"/>
  <c r="BO48" i="1" s="1"/>
  <c r="BH56" i="1"/>
  <c r="BO56" i="1" s="1"/>
  <c r="BH64" i="1"/>
  <c r="BO64" i="1" s="1"/>
  <c r="BH72" i="1"/>
  <c r="BO72" i="1" s="1"/>
  <c r="BH80" i="1"/>
  <c r="BO80" i="1" s="1"/>
  <c r="BH88" i="1"/>
  <c r="BO88" i="1" s="1"/>
  <c r="BH96" i="1"/>
  <c r="BO96" i="1" s="1"/>
  <c r="BH104" i="1"/>
  <c r="BO104" i="1" s="1"/>
  <c r="BH112" i="1"/>
  <c r="BO112" i="1" s="1"/>
  <c r="BH120" i="1"/>
  <c r="BO120" i="1" s="1"/>
  <c r="BH128" i="1"/>
  <c r="BO128" i="1" s="1"/>
  <c r="BH136" i="1"/>
  <c r="BO136" i="1" s="1"/>
  <c r="BH144" i="1"/>
  <c r="BO144" i="1" s="1"/>
  <c r="BH152" i="1"/>
  <c r="BO152" i="1" s="1"/>
  <c r="BH160" i="1"/>
  <c r="BO160" i="1" s="1"/>
  <c r="BH168" i="1"/>
  <c r="BO168" i="1" s="1"/>
  <c r="BH176" i="1"/>
  <c r="BO176" i="1" s="1"/>
  <c r="BH184" i="1"/>
  <c r="BO184" i="1" s="1"/>
  <c r="BH192" i="1"/>
  <c r="BO192" i="1" s="1"/>
  <c r="BH200" i="1"/>
  <c r="BO200" i="1" s="1"/>
  <c r="BH208" i="1"/>
  <c r="BO208" i="1" s="1"/>
  <c r="BH216" i="1"/>
  <c r="BO216" i="1" s="1"/>
  <c r="BH224" i="1"/>
  <c r="BO224" i="1" s="1"/>
  <c r="BH232" i="1"/>
  <c r="BO232" i="1" s="1"/>
  <c r="BH240" i="1"/>
  <c r="BO240" i="1" s="1"/>
  <c r="BH248" i="1"/>
  <c r="BO248" i="1" s="1"/>
  <c r="BH256" i="1"/>
  <c r="BO256" i="1" s="1"/>
  <c r="BH264" i="1"/>
  <c r="BO264" i="1" s="1"/>
  <c r="BH272" i="1"/>
  <c r="BO272" i="1" s="1"/>
  <c r="BH280" i="1"/>
  <c r="BO280" i="1" s="1"/>
  <c r="BH288" i="1"/>
  <c r="BO288" i="1" s="1"/>
  <c r="BH296" i="1"/>
  <c r="BO296" i="1" s="1"/>
  <c r="BH304" i="1"/>
  <c r="BO304" i="1" s="1"/>
  <c r="BH312" i="1"/>
  <c r="BO312" i="1" s="1"/>
  <c r="BH320" i="1"/>
  <c r="BO320" i="1" s="1"/>
  <c r="BH328" i="1"/>
  <c r="BO328" i="1" s="1"/>
  <c r="BH336" i="1"/>
  <c r="BO336" i="1" s="1"/>
  <c r="BH344" i="1"/>
  <c r="BO344" i="1" s="1"/>
  <c r="BH352" i="1"/>
  <c r="BO352" i="1" s="1"/>
  <c r="BH360" i="1"/>
  <c r="BO360" i="1" s="1"/>
  <c r="BH368" i="1"/>
  <c r="BO368" i="1" s="1"/>
  <c r="BH211" i="1"/>
  <c r="BO211" i="1" s="1"/>
  <c r="BH315" i="1"/>
  <c r="BO315" i="1" s="1"/>
  <c r="BH371" i="1"/>
  <c r="BO371" i="1" s="1"/>
  <c r="BH20" i="1"/>
  <c r="BO20" i="1" s="1"/>
  <c r="BH44" i="1"/>
  <c r="BO44" i="1" s="1"/>
  <c r="BH52" i="1"/>
  <c r="BO52" i="1" s="1"/>
  <c r="BH60" i="1"/>
  <c r="BO60" i="1" s="1"/>
  <c r="BH76" i="1"/>
  <c r="BO76" i="1" s="1"/>
  <c r="BH92" i="1"/>
  <c r="BO92" i="1" s="1"/>
  <c r="BH116" i="1"/>
  <c r="BO116" i="1" s="1"/>
  <c r="BH132" i="1"/>
  <c r="BO132" i="1" s="1"/>
  <c r="BH17" i="1"/>
  <c r="BO17" i="1" s="1"/>
  <c r="BH25" i="1"/>
  <c r="BO25" i="1" s="1"/>
  <c r="BH33" i="1"/>
  <c r="BO33" i="1" s="1"/>
  <c r="BH41" i="1"/>
  <c r="BO41" i="1" s="1"/>
  <c r="BH49" i="1"/>
  <c r="BO49" i="1" s="1"/>
  <c r="BH57" i="1"/>
  <c r="BO57" i="1" s="1"/>
  <c r="BH65" i="1"/>
  <c r="BO65" i="1" s="1"/>
  <c r="BH73" i="1"/>
  <c r="BO73" i="1" s="1"/>
  <c r="BH81" i="1"/>
  <c r="BO81" i="1" s="1"/>
  <c r="BH89" i="1"/>
  <c r="BO89" i="1" s="1"/>
  <c r="BH97" i="1"/>
  <c r="BO97" i="1" s="1"/>
  <c r="BH105" i="1"/>
  <c r="BO105" i="1" s="1"/>
  <c r="BH113" i="1"/>
  <c r="BO113" i="1" s="1"/>
  <c r="BH121" i="1"/>
  <c r="BO121" i="1" s="1"/>
  <c r="BH129" i="1"/>
  <c r="BO129" i="1" s="1"/>
  <c r="BH137" i="1"/>
  <c r="BO137" i="1" s="1"/>
  <c r="BH145" i="1"/>
  <c r="BO145" i="1" s="1"/>
  <c r="BH153" i="1"/>
  <c r="BO153" i="1" s="1"/>
  <c r="BH161" i="1"/>
  <c r="BO161" i="1" s="1"/>
  <c r="BH169" i="1"/>
  <c r="BO169" i="1" s="1"/>
  <c r="BH177" i="1"/>
  <c r="BO177" i="1" s="1"/>
  <c r="BH185" i="1"/>
  <c r="BO185" i="1" s="1"/>
  <c r="BH193" i="1"/>
  <c r="BO193" i="1" s="1"/>
  <c r="BH201" i="1"/>
  <c r="BO201" i="1" s="1"/>
  <c r="BH209" i="1"/>
  <c r="BO209" i="1" s="1"/>
  <c r="BH217" i="1"/>
  <c r="BO217" i="1" s="1"/>
  <c r="BH225" i="1"/>
  <c r="BO225" i="1" s="1"/>
  <c r="BH233" i="1"/>
  <c r="BO233" i="1" s="1"/>
  <c r="BH241" i="1"/>
  <c r="BO241" i="1" s="1"/>
  <c r="BH249" i="1"/>
  <c r="BO249" i="1" s="1"/>
  <c r="BH257" i="1"/>
  <c r="BO257" i="1" s="1"/>
  <c r="BH265" i="1"/>
  <c r="BO265" i="1" s="1"/>
  <c r="BH273" i="1"/>
  <c r="BO273" i="1" s="1"/>
  <c r="BH281" i="1"/>
  <c r="BO281" i="1" s="1"/>
  <c r="BH289" i="1"/>
  <c r="BO289" i="1" s="1"/>
  <c r="BH297" i="1"/>
  <c r="BO297" i="1" s="1"/>
  <c r="BH305" i="1"/>
  <c r="BO305" i="1" s="1"/>
  <c r="BH313" i="1"/>
  <c r="BO313" i="1" s="1"/>
  <c r="BH321" i="1"/>
  <c r="BO321" i="1" s="1"/>
  <c r="BH329" i="1"/>
  <c r="BO329" i="1" s="1"/>
  <c r="BH337" i="1"/>
  <c r="BO337" i="1" s="1"/>
  <c r="BH345" i="1"/>
  <c r="BO345" i="1" s="1"/>
  <c r="BH353" i="1"/>
  <c r="BO353" i="1" s="1"/>
  <c r="BH361" i="1"/>
  <c r="BO361" i="1" s="1"/>
  <c r="BH369" i="1"/>
  <c r="BO369" i="1" s="1"/>
  <c r="BH186" i="1"/>
  <c r="BO186" i="1" s="1"/>
  <c r="BH282" i="1"/>
  <c r="BO282" i="1" s="1"/>
  <c r="BH306" i="1"/>
  <c r="BO306" i="1" s="1"/>
  <c r="BH330" i="1"/>
  <c r="BO330" i="1" s="1"/>
  <c r="BH346" i="1"/>
  <c r="BO346" i="1" s="1"/>
  <c r="BH354" i="1"/>
  <c r="BO354" i="1" s="1"/>
  <c r="BH370" i="1"/>
  <c r="BO370" i="1" s="1"/>
  <c r="BH19" i="1"/>
  <c r="BO19" i="1" s="1"/>
  <c r="BH35" i="1"/>
  <c r="BO35" i="1" s="1"/>
  <c r="BH43" i="1"/>
  <c r="BO43" i="1" s="1"/>
  <c r="BH51" i="1"/>
  <c r="BO51" i="1" s="1"/>
  <c r="BH59" i="1"/>
  <c r="BO59" i="1" s="1"/>
  <c r="BH67" i="1"/>
  <c r="BO67" i="1" s="1"/>
  <c r="BH75" i="1"/>
  <c r="BO75" i="1" s="1"/>
  <c r="BH83" i="1"/>
  <c r="BO83" i="1" s="1"/>
  <c r="BH91" i="1"/>
  <c r="BO91" i="1" s="1"/>
  <c r="BH99" i="1"/>
  <c r="BO99" i="1" s="1"/>
  <c r="BH107" i="1"/>
  <c r="BO107" i="1" s="1"/>
  <c r="BH123" i="1"/>
  <c r="BO123" i="1" s="1"/>
  <c r="BH131" i="1"/>
  <c r="BO131" i="1" s="1"/>
  <c r="BH139" i="1"/>
  <c r="BO139" i="1" s="1"/>
  <c r="BH155" i="1"/>
  <c r="BO155" i="1" s="1"/>
  <c r="BH163" i="1"/>
  <c r="BO163" i="1" s="1"/>
  <c r="BH179" i="1"/>
  <c r="BO179" i="1" s="1"/>
  <c r="BH187" i="1"/>
  <c r="BO187" i="1" s="1"/>
  <c r="BH195" i="1"/>
  <c r="BO195" i="1" s="1"/>
  <c r="BH219" i="1"/>
  <c r="BO219" i="1" s="1"/>
  <c r="BH235" i="1"/>
  <c r="BO235" i="1" s="1"/>
  <c r="BH243" i="1"/>
  <c r="BO243" i="1" s="1"/>
  <c r="BH259" i="1"/>
  <c r="BO259" i="1" s="1"/>
  <c r="BH267" i="1"/>
  <c r="BO267" i="1" s="1"/>
  <c r="BH283" i="1"/>
  <c r="BO283" i="1" s="1"/>
  <c r="BH291" i="1"/>
  <c r="BO291" i="1" s="1"/>
  <c r="BH307" i="1"/>
  <c r="BO307" i="1" s="1"/>
  <c r="BH323" i="1"/>
  <c r="BO323" i="1" s="1"/>
  <c r="BH339" i="1"/>
  <c r="BO339" i="1" s="1"/>
  <c r="BH347" i="1"/>
  <c r="BO347" i="1" s="1"/>
  <c r="BH355" i="1"/>
  <c r="BO355" i="1" s="1"/>
  <c r="BH36" i="1"/>
  <c r="BO36" i="1" s="1"/>
  <c r="BH100" i="1"/>
  <c r="BO100" i="1" s="1"/>
  <c r="BH18" i="1"/>
  <c r="BO18" i="1" s="1"/>
  <c r="BH26" i="1"/>
  <c r="BO26" i="1" s="1"/>
  <c r="BH34" i="1"/>
  <c r="BO34" i="1" s="1"/>
  <c r="BH42" i="1"/>
  <c r="BO42" i="1" s="1"/>
  <c r="BH50" i="1"/>
  <c r="BO50" i="1" s="1"/>
  <c r="BH58" i="1"/>
  <c r="BO58" i="1" s="1"/>
  <c r="BH66" i="1"/>
  <c r="BO66" i="1" s="1"/>
  <c r="BH74" i="1"/>
  <c r="BO74" i="1" s="1"/>
  <c r="BH82" i="1"/>
  <c r="BO82" i="1" s="1"/>
  <c r="BH90" i="1"/>
  <c r="BO90" i="1" s="1"/>
  <c r="BH98" i="1"/>
  <c r="BO98" i="1" s="1"/>
  <c r="BH106" i="1"/>
  <c r="BO106" i="1" s="1"/>
  <c r="BH114" i="1"/>
  <c r="BO114" i="1" s="1"/>
  <c r="BH122" i="1"/>
  <c r="BO122" i="1" s="1"/>
  <c r="BH130" i="1"/>
  <c r="BO130" i="1" s="1"/>
  <c r="BH138" i="1"/>
  <c r="BO138" i="1" s="1"/>
  <c r="BH146" i="1"/>
  <c r="BO146" i="1" s="1"/>
  <c r="BH154" i="1"/>
  <c r="BO154" i="1" s="1"/>
  <c r="BH162" i="1"/>
  <c r="BO162" i="1" s="1"/>
  <c r="BH170" i="1"/>
  <c r="BO170" i="1" s="1"/>
  <c r="BH178" i="1"/>
  <c r="BO178" i="1" s="1"/>
  <c r="BH194" i="1"/>
  <c r="BO194" i="1" s="1"/>
  <c r="BH202" i="1"/>
  <c r="BO202" i="1" s="1"/>
  <c r="BH210" i="1"/>
  <c r="BO210" i="1" s="1"/>
  <c r="BH218" i="1"/>
  <c r="BO218" i="1" s="1"/>
  <c r="BH226" i="1"/>
  <c r="BO226" i="1" s="1"/>
  <c r="BH234" i="1"/>
  <c r="BO234" i="1" s="1"/>
  <c r="BH242" i="1"/>
  <c r="BO242" i="1" s="1"/>
  <c r="BH250" i="1"/>
  <c r="BO250" i="1" s="1"/>
  <c r="BH258" i="1"/>
  <c r="BO258" i="1" s="1"/>
  <c r="BH266" i="1"/>
  <c r="BO266" i="1" s="1"/>
  <c r="BH274" i="1"/>
  <c r="BO274" i="1" s="1"/>
  <c r="BH290" i="1"/>
  <c r="BO290" i="1" s="1"/>
  <c r="BH298" i="1"/>
  <c r="BO298" i="1" s="1"/>
  <c r="BH314" i="1"/>
  <c r="BO314" i="1" s="1"/>
  <c r="BH322" i="1"/>
  <c r="BO322" i="1" s="1"/>
  <c r="BH338" i="1"/>
  <c r="BO338" i="1" s="1"/>
  <c r="BH362" i="1"/>
  <c r="BO362" i="1" s="1"/>
  <c r="BH27" i="1"/>
  <c r="BO27" i="1" s="1"/>
  <c r="BH115" i="1"/>
  <c r="BO115" i="1" s="1"/>
  <c r="BH147" i="1"/>
  <c r="BO147" i="1" s="1"/>
  <c r="BH171" i="1"/>
  <c r="BO171" i="1" s="1"/>
  <c r="BH203" i="1"/>
  <c r="BO203" i="1" s="1"/>
  <c r="BH227" i="1"/>
  <c r="BO227" i="1" s="1"/>
  <c r="BH251" i="1"/>
  <c r="BO251" i="1" s="1"/>
  <c r="BH275" i="1"/>
  <c r="BO275" i="1" s="1"/>
  <c r="BH299" i="1"/>
  <c r="BO299" i="1" s="1"/>
  <c r="BH331" i="1"/>
  <c r="BO331" i="1" s="1"/>
  <c r="BH363" i="1"/>
  <c r="BO363" i="1" s="1"/>
  <c r="BH28" i="1"/>
  <c r="BO28" i="1" s="1"/>
  <c r="BH68" i="1"/>
  <c r="BO68" i="1" s="1"/>
  <c r="BH84" i="1"/>
  <c r="BO84" i="1" s="1"/>
  <c r="BH108" i="1"/>
  <c r="BO108" i="1" s="1"/>
  <c r="BH124" i="1"/>
  <c r="BO124" i="1" s="1"/>
  <c r="BH21" i="1"/>
  <c r="BO21" i="1" s="1"/>
  <c r="BH39" i="1"/>
  <c r="BO39" i="1" s="1"/>
  <c r="BH62" i="1"/>
  <c r="BO62" i="1" s="1"/>
  <c r="BH85" i="1"/>
  <c r="BO85" i="1" s="1"/>
  <c r="BH103" i="1"/>
  <c r="BO103" i="1" s="1"/>
  <c r="BH126" i="1"/>
  <c r="BO126" i="1" s="1"/>
  <c r="BH143" i="1"/>
  <c r="BO143" i="1" s="1"/>
  <c r="BH159" i="1"/>
  <c r="BO159" i="1" s="1"/>
  <c r="BH175" i="1"/>
  <c r="BO175" i="1" s="1"/>
  <c r="BH191" i="1"/>
  <c r="BO191" i="1" s="1"/>
  <c r="BH207" i="1"/>
  <c r="BO207" i="1" s="1"/>
  <c r="BH223" i="1"/>
  <c r="BO223" i="1" s="1"/>
  <c r="BH239" i="1"/>
  <c r="BO239" i="1" s="1"/>
  <c r="BH255" i="1"/>
  <c r="BO255" i="1" s="1"/>
  <c r="BH271" i="1"/>
  <c r="BO271" i="1" s="1"/>
  <c r="BH287" i="1"/>
  <c r="BO287" i="1" s="1"/>
  <c r="BH303" i="1"/>
  <c r="BO303" i="1" s="1"/>
  <c r="BH319" i="1"/>
  <c r="BO319" i="1" s="1"/>
  <c r="BH335" i="1"/>
  <c r="BO335" i="1" s="1"/>
  <c r="BH351" i="1"/>
  <c r="BO351" i="1" s="1"/>
  <c r="BH367" i="1"/>
  <c r="BO367" i="1" s="1"/>
  <c r="BH22" i="1"/>
  <c r="BO22" i="1" s="1"/>
  <c r="BH127" i="1"/>
  <c r="BO127" i="1" s="1"/>
  <c r="BH164" i="1"/>
  <c r="BO164" i="1" s="1"/>
  <c r="BH180" i="1"/>
  <c r="BO180" i="1" s="1"/>
  <c r="BH212" i="1"/>
  <c r="BO212" i="1" s="1"/>
  <c r="BH244" i="1"/>
  <c r="BO244" i="1" s="1"/>
  <c r="BH260" i="1"/>
  <c r="BO260" i="1" s="1"/>
  <c r="BH308" i="1"/>
  <c r="BO308" i="1" s="1"/>
  <c r="BH356" i="1"/>
  <c r="BO356" i="1" s="1"/>
  <c r="BH118" i="1"/>
  <c r="BO118" i="1" s="1"/>
  <c r="BH252" i="1"/>
  <c r="BO252" i="1" s="1"/>
  <c r="BH300" i="1"/>
  <c r="BO300" i="1" s="1"/>
  <c r="BH348" i="1"/>
  <c r="BO348" i="1" s="1"/>
  <c r="BH55" i="1"/>
  <c r="BO55" i="1" s="1"/>
  <c r="BH141" i="1"/>
  <c r="BO141" i="1" s="1"/>
  <c r="BH189" i="1"/>
  <c r="BO189" i="1" s="1"/>
  <c r="BH253" i="1"/>
  <c r="BO253" i="1" s="1"/>
  <c r="BH317" i="1"/>
  <c r="BO317" i="1" s="1"/>
  <c r="BH45" i="1"/>
  <c r="BO45" i="1" s="1"/>
  <c r="BH63" i="1"/>
  <c r="BO63" i="1" s="1"/>
  <c r="BH86" i="1"/>
  <c r="BO86" i="1" s="1"/>
  <c r="BH109" i="1"/>
  <c r="BO109" i="1" s="1"/>
  <c r="BH148" i="1"/>
  <c r="BO148" i="1" s="1"/>
  <c r="BH196" i="1"/>
  <c r="BO196" i="1" s="1"/>
  <c r="BH228" i="1"/>
  <c r="BO228" i="1" s="1"/>
  <c r="BH276" i="1"/>
  <c r="BO276" i="1" s="1"/>
  <c r="BH292" i="1"/>
  <c r="BO292" i="1" s="1"/>
  <c r="BH324" i="1"/>
  <c r="BO324" i="1" s="1"/>
  <c r="BH340" i="1"/>
  <c r="BO340" i="1" s="1"/>
  <c r="BH372" i="1"/>
  <c r="BO372" i="1" s="1"/>
  <c r="BH172" i="1"/>
  <c r="BO172" i="1" s="1"/>
  <c r="BH332" i="1"/>
  <c r="BO332" i="1" s="1"/>
  <c r="BH37" i="1"/>
  <c r="BO37" i="1" s="1"/>
  <c r="BH101" i="1"/>
  <c r="BO101" i="1" s="1"/>
  <c r="BH119" i="1"/>
  <c r="BO119" i="1" s="1"/>
  <c r="BH173" i="1"/>
  <c r="BO173" i="1" s="1"/>
  <c r="BH221" i="1"/>
  <c r="BO221" i="1" s="1"/>
  <c r="BH285" i="1"/>
  <c r="BO285" i="1" s="1"/>
  <c r="BH349" i="1"/>
  <c r="BO349" i="1" s="1"/>
  <c r="BH23" i="1"/>
  <c r="BO23" i="1" s="1"/>
  <c r="BH46" i="1"/>
  <c r="BO46" i="1" s="1"/>
  <c r="BH69" i="1"/>
  <c r="BO69" i="1" s="1"/>
  <c r="BH87" i="1"/>
  <c r="BO87" i="1" s="1"/>
  <c r="BH110" i="1"/>
  <c r="BO110" i="1" s="1"/>
  <c r="BH133" i="1"/>
  <c r="BO133" i="1" s="1"/>
  <c r="BH149" i="1"/>
  <c r="BO149" i="1" s="1"/>
  <c r="BH165" i="1"/>
  <c r="BO165" i="1" s="1"/>
  <c r="BH181" i="1"/>
  <c r="BO181" i="1" s="1"/>
  <c r="BH197" i="1"/>
  <c r="BO197" i="1" s="1"/>
  <c r="BH213" i="1"/>
  <c r="BO213" i="1" s="1"/>
  <c r="BH229" i="1"/>
  <c r="BO229" i="1" s="1"/>
  <c r="BH245" i="1"/>
  <c r="BO245" i="1" s="1"/>
  <c r="BH261" i="1"/>
  <c r="BO261" i="1" s="1"/>
  <c r="BH277" i="1"/>
  <c r="BO277" i="1" s="1"/>
  <c r="BH293" i="1"/>
  <c r="BO293" i="1" s="1"/>
  <c r="BH309" i="1"/>
  <c r="BO309" i="1" s="1"/>
  <c r="BH325" i="1"/>
  <c r="BO325" i="1" s="1"/>
  <c r="BH341" i="1"/>
  <c r="BO341" i="1" s="1"/>
  <c r="BH357" i="1"/>
  <c r="BO357" i="1" s="1"/>
  <c r="BH373" i="1"/>
  <c r="BO373" i="1" s="1"/>
  <c r="BH29" i="1"/>
  <c r="BO29" i="1" s="1"/>
  <c r="BH47" i="1"/>
  <c r="BO47" i="1" s="1"/>
  <c r="BH70" i="1"/>
  <c r="BO70" i="1" s="1"/>
  <c r="BH93" i="1"/>
  <c r="BO93" i="1" s="1"/>
  <c r="BH111" i="1"/>
  <c r="BO111" i="1" s="1"/>
  <c r="BH134" i="1"/>
  <c r="BO134" i="1" s="1"/>
  <c r="BH150" i="1"/>
  <c r="BO150" i="1" s="1"/>
  <c r="BH166" i="1"/>
  <c r="BO166" i="1" s="1"/>
  <c r="BH182" i="1"/>
  <c r="BO182" i="1" s="1"/>
  <c r="BH198" i="1"/>
  <c r="BO198" i="1" s="1"/>
  <c r="BH214" i="1"/>
  <c r="BO214" i="1" s="1"/>
  <c r="BH230" i="1"/>
  <c r="BO230" i="1" s="1"/>
  <c r="BH246" i="1"/>
  <c r="BO246" i="1" s="1"/>
  <c r="BH262" i="1"/>
  <c r="BO262" i="1" s="1"/>
  <c r="BH278" i="1"/>
  <c r="BO278" i="1" s="1"/>
  <c r="BH294" i="1"/>
  <c r="BO294" i="1" s="1"/>
  <c r="BH310" i="1"/>
  <c r="BO310" i="1" s="1"/>
  <c r="BH326" i="1"/>
  <c r="BO326" i="1" s="1"/>
  <c r="BH342" i="1"/>
  <c r="BO342" i="1" s="1"/>
  <c r="BH358" i="1"/>
  <c r="BO358" i="1" s="1"/>
  <c r="BH374" i="1"/>
  <c r="BO374" i="1" s="1"/>
  <c r="BH30" i="1"/>
  <c r="BO30" i="1" s="1"/>
  <c r="BH53" i="1"/>
  <c r="BO53" i="1" s="1"/>
  <c r="BH71" i="1"/>
  <c r="BO71" i="1" s="1"/>
  <c r="BH94" i="1"/>
  <c r="BO94" i="1" s="1"/>
  <c r="BH117" i="1"/>
  <c r="BO117" i="1" s="1"/>
  <c r="BH135" i="1"/>
  <c r="BO135" i="1" s="1"/>
  <c r="BH151" i="1"/>
  <c r="BO151" i="1" s="1"/>
  <c r="BH167" i="1"/>
  <c r="BO167" i="1" s="1"/>
  <c r="BH183" i="1"/>
  <c r="BO183" i="1" s="1"/>
  <c r="BH199" i="1"/>
  <c r="BO199" i="1" s="1"/>
  <c r="BH215" i="1"/>
  <c r="BO215" i="1" s="1"/>
  <c r="BH231" i="1"/>
  <c r="BO231" i="1" s="1"/>
  <c r="BH247" i="1"/>
  <c r="BO247" i="1" s="1"/>
  <c r="BH263" i="1"/>
  <c r="BO263" i="1" s="1"/>
  <c r="BH279" i="1"/>
  <c r="BO279" i="1" s="1"/>
  <c r="BH295" i="1"/>
  <c r="BO295" i="1" s="1"/>
  <c r="BH311" i="1"/>
  <c r="BO311" i="1" s="1"/>
  <c r="BH327" i="1"/>
  <c r="BO327" i="1" s="1"/>
  <c r="BH343" i="1"/>
  <c r="BO343" i="1" s="1"/>
  <c r="BH359" i="1"/>
  <c r="BO359" i="1" s="1"/>
  <c r="BH375" i="1"/>
  <c r="BO375" i="1" s="1"/>
  <c r="BH31" i="1"/>
  <c r="BO31" i="1" s="1"/>
  <c r="BH54" i="1"/>
  <c r="BO54" i="1" s="1"/>
  <c r="BH77" i="1"/>
  <c r="BO77" i="1" s="1"/>
  <c r="BH95" i="1"/>
  <c r="BO95" i="1" s="1"/>
  <c r="BH140" i="1"/>
  <c r="BO140" i="1" s="1"/>
  <c r="BH156" i="1"/>
  <c r="BO156" i="1" s="1"/>
  <c r="BH188" i="1"/>
  <c r="BO188" i="1" s="1"/>
  <c r="BH204" i="1"/>
  <c r="BO204" i="1" s="1"/>
  <c r="BH220" i="1"/>
  <c r="BO220" i="1" s="1"/>
  <c r="BH236" i="1"/>
  <c r="BO236" i="1" s="1"/>
  <c r="BH268" i="1"/>
  <c r="BO268" i="1" s="1"/>
  <c r="BH284" i="1"/>
  <c r="BO284" i="1" s="1"/>
  <c r="BH316" i="1"/>
  <c r="BO316" i="1" s="1"/>
  <c r="BH364" i="1"/>
  <c r="BO364" i="1" s="1"/>
  <c r="BH78" i="1"/>
  <c r="BO78" i="1" s="1"/>
  <c r="BH157" i="1"/>
  <c r="BO157" i="1" s="1"/>
  <c r="BH205" i="1"/>
  <c r="BO205" i="1" s="1"/>
  <c r="BH237" i="1"/>
  <c r="BO237" i="1" s="1"/>
  <c r="BH269" i="1"/>
  <c r="BO269" i="1" s="1"/>
  <c r="BH301" i="1"/>
  <c r="BO301" i="1" s="1"/>
  <c r="BH333" i="1"/>
  <c r="BO333" i="1" s="1"/>
  <c r="BH365" i="1"/>
  <c r="BO365" i="1" s="1"/>
  <c r="BH38" i="1"/>
  <c r="BO38" i="1" s="1"/>
  <c r="BH190" i="1"/>
  <c r="BO190" i="1" s="1"/>
  <c r="BH318" i="1"/>
  <c r="BO318" i="1" s="1"/>
  <c r="BH61" i="1"/>
  <c r="BO61" i="1" s="1"/>
  <c r="BH206" i="1"/>
  <c r="BO206" i="1" s="1"/>
  <c r="BH334" i="1"/>
  <c r="BO334" i="1" s="1"/>
  <c r="BH222" i="1"/>
  <c r="BO222" i="1" s="1"/>
  <c r="BH102" i="1"/>
  <c r="BO102" i="1" s="1"/>
  <c r="BH238" i="1"/>
  <c r="BO238" i="1" s="1"/>
  <c r="BH366" i="1"/>
  <c r="BO366" i="1" s="1"/>
  <c r="BH125" i="1"/>
  <c r="BO125" i="1" s="1"/>
  <c r="BH254" i="1"/>
  <c r="BO254" i="1" s="1"/>
  <c r="BH142" i="1"/>
  <c r="BO142" i="1" s="1"/>
  <c r="BH270" i="1"/>
  <c r="BO270" i="1" s="1"/>
  <c r="BH158" i="1"/>
  <c r="BO158" i="1" s="1"/>
  <c r="BH286" i="1"/>
  <c r="BO286" i="1" s="1"/>
  <c r="BH174" i="1"/>
  <c r="BO174" i="1" s="1"/>
  <c r="BH302" i="1"/>
  <c r="BO302" i="1" s="1"/>
  <c r="BH79" i="1"/>
  <c r="BO79" i="1" s="1"/>
  <c r="BH350" i="1"/>
  <c r="BO350" i="1" s="1"/>
  <c r="BI15" i="1"/>
  <c r="BP15" i="1" s="1"/>
  <c r="BH15" i="1"/>
  <c r="BO15" i="1" s="1"/>
  <c r="F65" i="1"/>
  <c r="I65" i="1" s="1"/>
  <c r="R65" i="1" s="1"/>
  <c r="A45" i="1"/>
  <c r="C45" i="1" s="1"/>
  <c r="D56" i="1" s="1"/>
  <c r="F62" i="1"/>
  <c r="H62" i="1" s="1"/>
  <c r="Q62" i="1" s="1"/>
  <c r="A44" i="1"/>
  <c r="D44" i="1" s="1"/>
  <c r="E55" i="1" s="1"/>
  <c r="C56" i="1" s="1"/>
  <c r="F68" i="1"/>
  <c r="H68" i="1" s="1"/>
  <c r="Q68" i="1" s="1"/>
  <c r="F70" i="1"/>
  <c r="H70" i="1" s="1"/>
  <c r="Q70" i="1" s="1"/>
  <c r="A37" i="1"/>
  <c r="C37" i="1" s="1"/>
  <c r="B49" i="1" s="1"/>
  <c r="F71" i="1"/>
  <c r="I71" i="1" s="1"/>
  <c r="R71" i="1" s="1"/>
  <c r="A38" i="1"/>
  <c r="D38" i="1" s="1"/>
  <c r="E49" i="1" s="1"/>
  <c r="C50" i="1" s="1"/>
  <c r="F63" i="1"/>
  <c r="I63" i="1" s="1"/>
  <c r="R63" i="1" s="1"/>
  <c r="F67" i="1"/>
  <c r="A41" i="1"/>
  <c r="C41" i="1" s="1"/>
  <c r="D52" i="1" s="1"/>
  <c r="B53" i="1" s="1"/>
  <c r="F64" i="1"/>
  <c r="I64" i="1" s="1"/>
  <c r="R64" i="1" s="1"/>
  <c r="G67" i="1"/>
  <c r="I66" i="1"/>
  <c r="R66" i="1" s="1"/>
  <c r="H69" i="1"/>
  <c r="Q69" i="1" s="1"/>
  <c r="D39" i="1"/>
  <c r="E50" i="1" s="1"/>
  <c r="C51" i="1" s="1"/>
  <c r="C40" i="1"/>
  <c r="D51" i="1" s="1"/>
  <c r="B52" i="1" s="1"/>
  <c r="C43" i="1"/>
  <c r="D54" i="1" s="1"/>
  <c r="B55" i="1" s="1"/>
  <c r="D40" i="1"/>
  <c r="E51" i="1" s="1"/>
  <c r="C52" i="1" s="1"/>
  <c r="C42" i="1"/>
  <c r="D53" i="1" s="1"/>
  <c r="B54" i="1" s="1"/>
  <c r="C39" i="1"/>
  <c r="D50" i="1" s="1"/>
  <c r="B51" i="1" s="1"/>
  <c r="D42" i="1"/>
  <c r="E53" i="1" s="1"/>
  <c r="C54" i="1" s="1"/>
  <c r="H66" i="1"/>
  <c r="Q66" i="1" s="1"/>
  <c r="I69" i="1"/>
  <c r="R69" i="1" s="1"/>
  <c r="D43" i="1"/>
  <c r="E54" i="1" s="1"/>
  <c r="C55" i="1" s="1"/>
  <c r="H65" i="1" l="1"/>
  <c r="Q65" i="1" s="1"/>
  <c r="BQ311" i="1"/>
  <c r="BQ279" i="1"/>
  <c r="BQ244" i="1"/>
  <c r="BQ352" i="1"/>
  <c r="BS352" i="1" s="1"/>
  <c r="BQ86" i="1"/>
  <c r="BR86" i="1" s="1"/>
  <c r="BQ58" i="1"/>
  <c r="BQ185" i="1"/>
  <c r="BR185" i="1" s="1"/>
  <c r="BQ178" i="1"/>
  <c r="BQ270" i="1"/>
  <c r="BR270" i="1" s="1"/>
  <c r="BQ198" i="1"/>
  <c r="BQ318" i="1"/>
  <c r="BS318" i="1" s="1"/>
  <c r="BQ150" i="1"/>
  <c r="BR150" i="1" s="1"/>
  <c r="BQ342" i="1"/>
  <c r="BR342" i="1" s="1"/>
  <c r="BQ319" i="1"/>
  <c r="BR319" i="1" s="1"/>
  <c r="BQ94" i="1"/>
  <c r="BR94" i="1" s="1"/>
  <c r="BQ292" i="1"/>
  <c r="BQ203" i="1"/>
  <c r="BS203" i="1" s="1"/>
  <c r="BQ274" i="1"/>
  <c r="BQ210" i="1"/>
  <c r="BQ146" i="1"/>
  <c r="BQ145" i="1"/>
  <c r="BR145" i="1" s="1"/>
  <c r="BQ248" i="1"/>
  <c r="BQ184" i="1"/>
  <c r="BQ120" i="1"/>
  <c r="BS120" i="1" s="1"/>
  <c r="BQ56" i="1"/>
  <c r="BQ115" i="1"/>
  <c r="BQ307" i="1"/>
  <c r="BQ51" i="1"/>
  <c r="BR51" i="1" s="1"/>
  <c r="BQ122" i="1"/>
  <c r="BS122" i="1" s="1"/>
  <c r="BQ31" i="1"/>
  <c r="BS31" i="1" s="1"/>
  <c r="BQ243" i="1"/>
  <c r="BQ255" i="1"/>
  <c r="BR255" i="1" s="1"/>
  <c r="BQ18" i="1"/>
  <c r="BQ127" i="1"/>
  <c r="BR127" i="1" s="1"/>
  <c r="BQ209" i="1"/>
  <c r="BR209" i="1" s="1"/>
  <c r="BQ312" i="1"/>
  <c r="BR312" i="1" s="1"/>
  <c r="BQ174" i="1"/>
  <c r="BQ359" i="1"/>
  <c r="BS359" i="1" s="1"/>
  <c r="BQ310" i="1"/>
  <c r="BQ261" i="1"/>
  <c r="BS261" i="1" s="1"/>
  <c r="BQ133" i="1"/>
  <c r="BR133" i="1" s="1"/>
  <c r="BQ340" i="1"/>
  <c r="BR340" i="1" s="1"/>
  <c r="BQ138" i="1"/>
  <c r="BR138" i="1" s="1"/>
  <c r="BQ74" i="1"/>
  <c r="BS74" i="1" s="1"/>
  <c r="BQ179" i="1"/>
  <c r="BQ19" i="1"/>
  <c r="BS19" i="1" s="1"/>
  <c r="BQ305" i="1"/>
  <c r="BR305" i="1" s="1"/>
  <c r="BQ177" i="1"/>
  <c r="BR177" i="1" s="1"/>
  <c r="BQ113" i="1"/>
  <c r="BR113" i="1" s="1"/>
  <c r="BQ368" i="1"/>
  <c r="BS368" i="1" s="1"/>
  <c r="BQ304" i="1"/>
  <c r="BQ240" i="1"/>
  <c r="BS240" i="1" s="1"/>
  <c r="BQ176" i="1"/>
  <c r="BR176" i="1" s="1"/>
  <c r="BQ112" i="1"/>
  <c r="BS112" i="1" s="1"/>
  <c r="BQ48" i="1"/>
  <c r="BR48" i="1" s="1"/>
  <c r="BQ301" i="1"/>
  <c r="BR301" i="1" s="1"/>
  <c r="BQ62" i="1"/>
  <c r="BR62" i="1" s="1"/>
  <c r="BQ259" i="1"/>
  <c r="BR259" i="1" s="1"/>
  <c r="BQ67" i="1"/>
  <c r="BR67" i="1" s="1"/>
  <c r="BQ188" i="1"/>
  <c r="BR188" i="1" s="1"/>
  <c r="BQ60" i="1"/>
  <c r="BR60" i="1" s="1"/>
  <c r="BQ201" i="1"/>
  <c r="BR201" i="1" s="1"/>
  <c r="BQ365" i="1"/>
  <c r="BR365" i="1" s="1"/>
  <c r="BQ364" i="1"/>
  <c r="BR364" i="1" s="1"/>
  <c r="BQ166" i="1"/>
  <c r="BS166" i="1" s="1"/>
  <c r="BQ245" i="1"/>
  <c r="BR245" i="1" s="1"/>
  <c r="BQ173" i="1"/>
  <c r="BS173" i="1" s="1"/>
  <c r="BQ180" i="1"/>
  <c r="BS180" i="1" s="1"/>
  <c r="BQ303" i="1"/>
  <c r="BQ266" i="1"/>
  <c r="BS266" i="1" s="1"/>
  <c r="BQ202" i="1"/>
  <c r="BR202" i="1" s="1"/>
  <c r="BQ36" i="1"/>
  <c r="BS36" i="1" s="1"/>
  <c r="BQ267" i="1"/>
  <c r="BR267" i="1" s="1"/>
  <c r="BQ361" i="1"/>
  <c r="BS361" i="1" s="1"/>
  <c r="BQ143" i="1"/>
  <c r="BR143" i="1" s="1"/>
  <c r="BQ134" i="1"/>
  <c r="BR134" i="1" s="1"/>
  <c r="BQ269" i="1"/>
  <c r="BR269" i="1" s="1"/>
  <c r="BQ167" i="1"/>
  <c r="BR167" i="1" s="1"/>
  <c r="BQ278" i="1"/>
  <c r="BR278" i="1" s="1"/>
  <c r="BQ149" i="1"/>
  <c r="BR149" i="1" s="1"/>
  <c r="BQ148" i="1"/>
  <c r="BR148" i="1" s="1"/>
  <c r="BQ187" i="1"/>
  <c r="BR187" i="1" s="1"/>
  <c r="BQ123" i="1"/>
  <c r="BR123" i="1" s="1"/>
  <c r="BQ101" i="1"/>
  <c r="BR101" i="1" s="1"/>
  <c r="BQ322" i="1"/>
  <c r="BR322" i="1" s="1"/>
  <c r="BQ130" i="1"/>
  <c r="BR130" i="1" s="1"/>
  <c r="BQ66" i="1"/>
  <c r="BR66" i="1" s="1"/>
  <c r="BQ129" i="1"/>
  <c r="BR129" i="1" s="1"/>
  <c r="BQ40" i="1"/>
  <c r="BR40" i="1" s="1"/>
  <c r="BQ247" i="1"/>
  <c r="BR247" i="1" s="1"/>
  <c r="BQ47" i="1"/>
  <c r="BR47" i="1" s="1"/>
  <c r="BQ335" i="1"/>
  <c r="BR335" i="1" s="1"/>
  <c r="BQ363" i="1"/>
  <c r="BR363" i="1" s="1"/>
  <c r="BQ186" i="1"/>
  <c r="BR186" i="1" s="1"/>
  <c r="BQ121" i="1"/>
  <c r="BQ164" i="1"/>
  <c r="BS164" i="1" s="1"/>
  <c r="BQ258" i="1"/>
  <c r="BR258" i="1" s="1"/>
  <c r="BQ155" i="1"/>
  <c r="BR155" i="1" s="1"/>
  <c r="BQ102" i="1"/>
  <c r="BR102" i="1" s="1"/>
  <c r="BQ69" i="1"/>
  <c r="BS69" i="1" s="1"/>
  <c r="BQ317" i="1"/>
  <c r="BR317" i="1" s="1"/>
  <c r="BQ338" i="1"/>
  <c r="BR338" i="1" s="1"/>
  <c r="BQ114" i="1"/>
  <c r="BS114" i="1" s="1"/>
  <c r="BQ24" i="1"/>
  <c r="BS24" i="1" s="1"/>
  <c r="BQ110" i="1"/>
  <c r="BR110" i="1" s="1"/>
  <c r="BQ295" i="1"/>
  <c r="BR295" i="1" s="1"/>
  <c r="BQ171" i="1"/>
  <c r="BR171" i="1" s="1"/>
  <c r="BQ325" i="1"/>
  <c r="BR325" i="1" s="1"/>
  <c r="BQ253" i="1"/>
  <c r="BR253" i="1" s="1"/>
  <c r="BQ22" i="1"/>
  <c r="BR22" i="1" s="1"/>
  <c r="BQ242" i="1"/>
  <c r="BR242" i="1" s="1"/>
  <c r="BQ59" i="1"/>
  <c r="BR59" i="1" s="1"/>
  <c r="BQ330" i="1"/>
  <c r="BS330" i="1" s="1"/>
  <c r="BQ273" i="1"/>
  <c r="BS273" i="1" s="1"/>
  <c r="BQ81" i="1"/>
  <c r="BQ17" i="1"/>
  <c r="BR17" i="1" s="1"/>
  <c r="BQ16" i="1"/>
  <c r="BR16" i="1" s="1"/>
  <c r="BQ54" i="1"/>
  <c r="BR54" i="1" s="1"/>
  <c r="BQ286" i="1"/>
  <c r="BR286" i="1" s="1"/>
  <c r="BQ367" i="1"/>
  <c r="BR367" i="1" s="1"/>
  <c r="BQ39" i="1"/>
  <c r="BR39" i="1" s="1"/>
  <c r="BQ223" i="1"/>
  <c r="BR223" i="1" s="1"/>
  <c r="BQ229" i="1"/>
  <c r="BR229" i="1" s="1"/>
  <c r="BQ93" i="1"/>
  <c r="BR93" i="1" s="1"/>
  <c r="BQ220" i="1"/>
  <c r="BR220" i="1" s="1"/>
  <c r="BQ100" i="1"/>
  <c r="BR100" i="1" s="1"/>
  <c r="BQ355" i="1"/>
  <c r="BR355" i="1" s="1"/>
  <c r="BQ291" i="1"/>
  <c r="BR291" i="1" s="1"/>
  <c r="BQ35" i="1"/>
  <c r="BR35" i="1" s="1"/>
  <c r="BQ165" i="1"/>
  <c r="BR165" i="1" s="1"/>
  <c r="BQ53" i="1"/>
  <c r="BR53" i="1" s="1"/>
  <c r="BQ268" i="1"/>
  <c r="BR268" i="1" s="1"/>
  <c r="BQ124" i="1"/>
  <c r="BR124" i="1" s="1"/>
  <c r="BQ298" i="1"/>
  <c r="BR298" i="1" s="1"/>
  <c r="BQ106" i="1"/>
  <c r="BR106" i="1" s="1"/>
  <c r="BQ42" i="1"/>
  <c r="BR42" i="1" s="1"/>
  <c r="BQ297" i="1"/>
  <c r="BR297" i="1" s="1"/>
  <c r="BQ233" i="1"/>
  <c r="BR233" i="1" s="1"/>
  <c r="BQ105" i="1"/>
  <c r="BR105" i="1" s="1"/>
  <c r="BQ41" i="1"/>
  <c r="BR41" i="1" s="1"/>
  <c r="BQ272" i="1"/>
  <c r="BR272" i="1" s="1"/>
  <c r="BQ80" i="1"/>
  <c r="BR80" i="1" s="1"/>
  <c r="BQ117" i="1"/>
  <c r="BR117" i="1" s="1"/>
  <c r="BQ277" i="1"/>
  <c r="BR277" i="1" s="1"/>
  <c r="BQ313" i="1"/>
  <c r="BQ333" i="1"/>
  <c r="BR333" i="1" s="1"/>
  <c r="BQ87" i="1"/>
  <c r="BS87" i="1" s="1"/>
  <c r="BQ75" i="1"/>
  <c r="BR75" i="1" s="1"/>
  <c r="BQ97" i="1"/>
  <c r="BR97" i="1" s="1"/>
  <c r="BQ132" i="1"/>
  <c r="BR132" i="1" s="1"/>
  <c r="BQ28" i="1"/>
  <c r="BR28" i="1" s="1"/>
  <c r="BQ160" i="1"/>
  <c r="BR160" i="1" s="1"/>
  <c r="BQ95" i="1"/>
  <c r="BS95" i="1" s="1"/>
  <c r="BQ30" i="1"/>
  <c r="BR30" i="1" s="1"/>
  <c r="BQ250" i="1"/>
  <c r="BQ50" i="1"/>
  <c r="BS50" i="1" s="1"/>
  <c r="BQ44" i="1"/>
  <c r="BR44" i="1" s="1"/>
  <c r="BQ152" i="1"/>
  <c r="BR152" i="1" s="1"/>
  <c r="BQ235" i="1"/>
  <c r="BR235" i="1" s="1"/>
  <c r="BQ43" i="1"/>
  <c r="BR43" i="1" s="1"/>
  <c r="BQ206" i="1"/>
  <c r="BS206" i="1" s="1"/>
  <c r="BQ350" i="1"/>
  <c r="BR350" i="1" s="1"/>
  <c r="BQ236" i="1"/>
  <c r="BQ151" i="1"/>
  <c r="BR151" i="1" s="1"/>
  <c r="BQ181" i="1"/>
  <c r="BR181" i="1" s="1"/>
  <c r="BQ23" i="1"/>
  <c r="BR23" i="1" s="1"/>
  <c r="BQ332" i="1"/>
  <c r="BR332" i="1" s="1"/>
  <c r="BQ189" i="1"/>
  <c r="BQ103" i="1"/>
  <c r="BS103" i="1" s="1"/>
  <c r="BQ314" i="1"/>
  <c r="BS314" i="1" s="1"/>
  <c r="BQ323" i="1"/>
  <c r="BR323" i="1" s="1"/>
  <c r="BQ306" i="1"/>
  <c r="BS306" i="1" s="1"/>
  <c r="BQ329" i="1"/>
  <c r="BR329" i="1" s="1"/>
  <c r="BQ265" i="1"/>
  <c r="BS265" i="1" s="1"/>
  <c r="BQ137" i="1"/>
  <c r="BR137" i="1" s="1"/>
  <c r="BQ73" i="1"/>
  <c r="BS73" i="1" s="1"/>
  <c r="BQ371" i="1"/>
  <c r="BR371" i="1" s="1"/>
  <c r="BQ366" i="1"/>
  <c r="BR366" i="1" s="1"/>
  <c r="BQ262" i="1"/>
  <c r="BR262" i="1" s="1"/>
  <c r="BQ369" i="1"/>
  <c r="BR369" i="1" s="1"/>
  <c r="BQ357" i="1"/>
  <c r="BR357" i="1" s="1"/>
  <c r="BQ158" i="1"/>
  <c r="BR158" i="1" s="1"/>
  <c r="BQ213" i="1"/>
  <c r="BR213" i="1" s="1"/>
  <c r="BQ212" i="1"/>
  <c r="BR212" i="1" s="1"/>
  <c r="BQ283" i="1"/>
  <c r="BR283" i="1" s="1"/>
  <c r="BQ219" i="1"/>
  <c r="BR219" i="1" s="1"/>
  <c r="BQ108" i="1"/>
  <c r="BR108" i="1" s="1"/>
  <c r="BQ354" i="1"/>
  <c r="BR354" i="1" s="1"/>
  <c r="BQ290" i="1"/>
  <c r="BR290" i="1" s="1"/>
  <c r="BQ98" i="1"/>
  <c r="BR98" i="1" s="1"/>
  <c r="BQ225" i="1"/>
  <c r="BR225" i="1" s="1"/>
  <c r="BQ200" i="1"/>
  <c r="BR200" i="1" s="1"/>
  <c r="BQ72" i="1"/>
  <c r="BR72" i="1" s="1"/>
  <c r="BQ375" i="1"/>
  <c r="BS375" i="1" s="1"/>
  <c r="BQ207" i="1"/>
  <c r="BS207" i="1" s="1"/>
  <c r="BQ82" i="1"/>
  <c r="BQ249" i="1"/>
  <c r="BS249" i="1" s="1"/>
  <c r="BQ140" i="1"/>
  <c r="BS140" i="1" s="1"/>
  <c r="BQ161" i="1"/>
  <c r="BR161" i="1" s="1"/>
  <c r="BQ52" i="1"/>
  <c r="BS52" i="1" s="1"/>
  <c r="BQ224" i="1"/>
  <c r="BR224" i="1" s="1"/>
  <c r="BQ32" i="1"/>
  <c r="BS32" i="1" s="1"/>
  <c r="BQ156" i="1"/>
  <c r="BR156" i="1" s="1"/>
  <c r="BQ96" i="1"/>
  <c r="BR96" i="1" s="1"/>
  <c r="BQ276" i="1"/>
  <c r="BS276" i="1" s="1"/>
  <c r="BQ271" i="1"/>
  <c r="BR271" i="1" s="1"/>
  <c r="BQ251" i="1"/>
  <c r="BR251" i="1" s="1"/>
  <c r="BQ216" i="1"/>
  <c r="BQ222" i="1"/>
  <c r="BR222" i="1" s="1"/>
  <c r="BQ299" i="1"/>
  <c r="BR299" i="1" s="1"/>
  <c r="BQ107" i="1"/>
  <c r="BR107" i="1" s="1"/>
  <c r="BQ344" i="1"/>
  <c r="BR344" i="1" s="1"/>
  <c r="BQ88" i="1"/>
  <c r="BR88" i="1" s="1"/>
  <c r="BQ142" i="1"/>
  <c r="BS142" i="1" s="1"/>
  <c r="BQ254" i="1"/>
  <c r="BR254" i="1" s="1"/>
  <c r="BQ237" i="1"/>
  <c r="BR237" i="1" s="1"/>
  <c r="BQ125" i="1"/>
  <c r="BS125" i="1" s="1"/>
  <c r="BQ205" i="1"/>
  <c r="BR205" i="1" s="1"/>
  <c r="BQ263" i="1"/>
  <c r="BS263" i="1" s="1"/>
  <c r="BQ135" i="1"/>
  <c r="BQ70" i="1"/>
  <c r="BS70" i="1" s="1"/>
  <c r="BQ293" i="1"/>
  <c r="BR293" i="1" s="1"/>
  <c r="BQ349" i="1"/>
  <c r="BS349" i="1" s="1"/>
  <c r="BQ172" i="1"/>
  <c r="BR172" i="1" s="1"/>
  <c r="BQ351" i="1"/>
  <c r="BR351" i="1" s="1"/>
  <c r="BQ85" i="1"/>
  <c r="BR85" i="1" s="1"/>
  <c r="BQ226" i="1"/>
  <c r="BR226" i="1" s="1"/>
  <c r="BQ257" i="1"/>
  <c r="BR257" i="1" s="1"/>
  <c r="BQ193" i="1"/>
  <c r="BR193" i="1" s="1"/>
  <c r="BQ65" i="1"/>
  <c r="BR65" i="1" s="1"/>
  <c r="BQ116" i="1"/>
  <c r="BS116" i="1" s="1"/>
  <c r="BQ64" i="1"/>
  <c r="BR64" i="1" s="1"/>
  <c r="BQ334" i="1"/>
  <c r="BR334" i="1" s="1"/>
  <c r="BQ230" i="1"/>
  <c r="BR230" i="1" s="1"/>
  <c r="BQ79" i="1"/>
  <c r="BR79" i="1" s="1"/>
  <c r="BQ358" i="1"/>
  <c r="BR358" i="1" s="1"/>
  <c r="BQ341" i="1"/>
  <c r="BR341" i="1" s="1"/>
  <c r="BQ308" i="1"/>
  <c r="BR308" i="1" s="1"/>
  <c r="BQ275" i="1"/>
  <c r="BR275" i="1" s="1"/>
  <c r="BQ83" i="1"/>
  <c r="BR83" i="1" s="1"/>
  <c r="BQ141" i="1"/>
  <c r="BR141" i="1" s="1"/>
  <c r="BQ92" i="1"/>
  <c r="BR92" i="1" s="1"/>
  <c r="BQ282" i="1"/>
  <c r="BR282" i="1" s="1"/>
  <c r="BQ218" i="1"/>
  <c r="BR218" i="1" s="1"/>
  <c r="BQ154" i="1"/>
  <c r="BR154" i="1" s="1"/>
  <c r="BQ90" i="1"/>
  <c r="BR90" i="1" s="1"/>
  <c r="BQ217" i="1"/>
  <c r="BR217" i="1" s="1"/>
  <c r="BQ153" i="1"/>
  <c r="BR153" i="1" s="1"/>
  <c r="BQ25" i="1"/>
  <c r="BR25" i="1" s="1"/>
  <c r="BQ15" i="1"/>
  <c r="BS15" i="1" s="1"/>
  <c r="BX16" i="1"/>
  <c r="BY16" i="1" s="1"/>
  <c r="BX13" i="1"/>
  <c r="BY13" i="1" s="1"/>
  <c r="BJ237" i="1"/>
  <c r="BK237" i="1" s="1"/>
  <c r="BJ279" i="1"/>
  <c r="BK279" i="1" s="1"/>
  <c r="BJ93" i="1"/>
  <c r="BK93" i="1" s="1"/>
  <c r="BJ332" i="1"/>
  <c r="BK332" i="1" s="1"/>
  <c r="BJ367" i="1"/>
  <c r="BL367" i="1" s="1"/>
  <c r="BJ103" i="1"/>
  <c r="BL103" i="1" s="1"/>
  <c r="BJ314" i="1"/>
  <c r="BL314" i="1" s="1"/>
  <c r="BJ162" i="1"/>
  <c r="BL162" i="1" s="1"/>
  <c r="BJ323" i="1"/>
  <c r="BK323" i="1" s="1"/>
  <c r="BJ123" i="1"/>
  <c r="BL123" i="1" s="1"/>
  <c r="BJ306" i="1"/>
  <c r="BK306" i="1" s="1"/>
  <c r="BJ265" i="1"/>
  <c r="BL265" i="1" s="1"/>
  <c r="BJ73" i="1"/>
  <c r="BL73" i="1" s="1"/>
  <c r="BJ132" i="1"/>
  <c r="BK132" i="1" s="1"/>
  <c r="BJ371" i="1"/>
  <c r="BK371" i="1" s="1"/>
  <c r="BJ328" i="1"/>
  <c r="BK328" i="1" s="1"/>
  <c r="BJ264" i="1"/>
  <c r="BK264" i="1" s="1"/>
  <c r="BJ200" i="1"/>
  <c r="BK200" i="1" s="1"/>
  <c r="BJ136" i="1"/>
  <c r="BK136" i="1" s="1"/>
  <c r="BJ72" i="1"/>
  <c r="BL72" i="1" s="1"/>
  <c r="BJ79" i="1"/>
  <c r="BL79" i="1" s="1"/>
  <c r="BJ125" i="1"/>
  <c r="BK125" i="1" s="1"/>
  <c r="BJ318" i="1"/>
  <c r="BL318" i="1" s="1"/>
  <c r="BJ205" i="1"/>
  <c r="BL205" i="1" s="1"/>
  <c r="BJ220" i="1"/>
  <c r="BK220" i="1" s="1"/>
  <c r="BJ31" i="1"/>
  <c r="BK31" i="1" s="1"/>
  <c r="BJ263" i="1"/>
  <c r="BL263" i="1" s="1"/>
  <c r="BJ135" i="1"/>
  <c r="BL135" i="1" s="1"/>
  <c r="BJ342" i="1"/>
  <c r="BL342" i="1" s="1"/>
  <c r="BJ214" i="1"/>
  <c r="BK214" i="1" s="1"/>
  <c r="BJ70" i="1"/>
  <c r="BL70" i="1" s="1"/>
  <c r="BJ293" i="1"/>
  <c r="BL293" i="1" s="1"/>
  <c r="BJ165" i="1"/>
  <c r="BK165" i="1" s="1"/>
  <c r="BJ349" i="1"/>
  <c r="BL349" i="1" s="1"/>
  <c r="BJ172" i="1"/>
  <c r="BK172" i="1" s="1"/>
  <c r="BJ148" i="1"/>
  <c r="BK148" i="1" s="1"/>
  <c r="BJ141" i="1"/>
  <c r="BK141" i="1" s="1"/>
  <c r="BJ260" i="1"/>
  <c r="BL260" i="1" s="1"/>
  <c r="BJ351" i="1"/>
  <c r="BK351" i="1" s="1"/>
  <c r="BJ223" i="1"/>
  <c r="BL223" i="1" s="1"/>
  <c r="BJ85" i="1"/>
  <c r="BK85" i="1" s="1"/>
  <c r="BJ28" i="1"/>
  <c r="BK28" i="1" s="1"/>
  <c r="BJ171" i="1"/>
  <c r="BK171" i="1" s="1"/>
  <c r="BJ298" i="1"/>
  <c r="BL298" i="1" s="1"/>
  <c r="BJ154" i="1"/>
  <c r="BL154" i="1" s="1"/>
  <c r="BJ90" i="1"/>
  <c r="BK90" i="1" s="1"/>
  <c r="BJ26" i="1"/>
  <c r="BL26" i="1" s="1"/>
  <c r="BJ307" i="1"/>
  <c r="BK307" i="1" s="1"/>
  <c r="BJ195" i="1"/>
  <c r="BK195" i="1" s="1"/>
  <c r="BJ107" i="1"/>
  <c r="BL107" i="1" s="1"/>
  <c r="BJ43" i="1"/>
  <c r="BK43" i="1" s="1"/>
  <c r="BJ282" i="1"/>
  <c r="BL282" i="1" s="1"/>
  <c r="BJ321" i="1"/>
  <c r="BK321" i="1" s="1"/>
  <c r="BJ257" i="1"/>
  <c r="BK257" i="1" s="1"/>
  <c r="BJ193" i="1"/>
  <c r="BL193" i="1" s="1"/>
  <c r="BJ129" i="1"/>
  <c r="BL129" i="1" s="1"/>
  <c r="BJ65" i="1"/>
  <c r="BK65" i="1" s="1"/>
  <c r="BJ116" i="1"/>
  <c r="BL116" i="1" s="1"/>
  <c r="BJ315" i="1"/>
  <c r="BK315" i="1" s="1"/>
  <c r="BJ320" i="1"/>
  <c r="BL320" i="1" s="1"/>
  <c r="BJ256" i="1"/>
  <c r="BL256" i="1" s="1"/>
  <c r="BJ192" i="1"/>
  <c r="BK192" i="1" s="1"/>
  <c r="BJ128" i="1"/>
  <c r="BL128" i="1" s="1"/>
  <c r="BJ64" i="1"/>
  <c r="BL64" i="1" s="1"/>
  <c r="BJ302" i="1"/>
  <c r="BL302" i="1" s="1"/>
  <c r="BJ190" i="1"/>
  <c r="BL190" i="1" s="1"/>
  <c r="BJ204" i="1"/>
  <c r="BL204" i="1" s="1"/>
  <c r="BJ375" i="1"/>
  <c r="BL375" i="1" s="1"/>
  <c r="BJ247" i="1"/>
  <c r="BK247" i="1" s="1"/>
  <c r="BJ117" i="1"/>
  <c r="BK117" i="1" s="1"/>
  <c r="BJ326" i="1"/>
  <c r="BK326" i="1" s="1"/>
  <c r="BJ198" i="1"/>
  <c r="BL198" i="1" s="1"/>
  <c r="BJ47" i="1"/>
  <c r="BK47" i="1" s="1"/>
  <c r="BJ277" i="1"/>
  <c r="BL277" i="1" s="1"/>
  <c r="BJ149" i="1"/>
  <c r="BK149" i="1" s="1"/>
  <c r="BJ285" i="1"/>
  <c r="BK285" i="1" s="1"/>
  <c r="BJ372" i="1"/>
  <c r="BL372" i="1" s="1"/>
  <c r="BJ109" i="1"/>
  <c r="BL109" i="1" s="1"/>
  <c r="BJ244" i="1"/>
  <c r="BL244" i="1" s="1"/>
  <c r="BJ335" i="1"/>
  <c r="BL335" i="1" s="1"/>
  <c r="BJ207" i="1"/>
  <c r="BL207" i="1" s="1"/>
  <c r="BJ62" i="1"/>
  <c r="BL62" i="1" s="1"/>
  <c r="BJ363" i="1"/>
  <c r="BL363" i="1" s="1"/>
  <c r="BJ146" i="1"/>
  <c r="BK146" i="1" s="1"/>
  <c r="BJ82" i="1"/>
  <c r="BK82" i="1" s="1"/>
  <c r="BJ18" i="1"/>
  <c r="BK18" i="1" s="1"/>
  <c r="BJ291" i="1"/>
  <c r="BL291" i="1" s="1"/>
  <c r="BJ187" i="1"/>
  <c r="BL187" i="1" s="1"/>
  <c r="BJ99" i="1"/>
  <c r="BL99" i="1" s="1"/>
  <c r="BJ35" i="1"/>
  <c r="BL35" i="1" s="1"/>
  <c r="BJ186" i="1"/>
  <c r="BK186" i="1" s="1"/>
  <c r="BJ313" i="1"/>
  <c r="BK313" i="1" s="1"/>
  <c r="BJ249" i="1"/>
  <c r="BK249" i="1" s="1"/>
  <c r="BJ185" i="1"/>
  <c r="BK185" i="1" s="1"/>
  <c r="BJ121" i="1"/>
  <c r="BL121" i="1" s="1"/>
  <c r="BJ57" i="1"/>
  <c r="BL57" i="1" s="1"/>
  <c r="BJ312" i="1"/>
  <c r="BK312" i="1" s="1"/>
  <c r="BJ248" i="1"/>
  <c r="BK248" i="1" s="1"/>
  <c r="BJ184" i="1"/>
  <c r="BK184" i="1" s="1"/>
  <c r="BJ120" i="1"/>
  <c r="BL120" i="1" s="1"/>
  <c r="BJ56" i="1"/>
  <c r="BL56" i="1" s="1"/>
  <c r="BJ61" i="1"/>
  <c r="BL61" i="1" s="1"/>
  <c r="BJ151" i="1"/>
  <c r="BL151" i="1" s="1"/>
  <c r="BJ309" i="1"/>
  <c r="BK309" i="1" s="1"/>
  <c r="BJ196" i="1"/>
  <c r="BK196" i="1" s="1"/>
  <c r="BJ239" i="1"/>
  <c r="BL239" i="1" s="1"/>
  <c r="BJ234" i="1"/>
  <c r="BL234" i="1" s="1"/>
  <c r="BJ219" i="1"/>
  <c r="BK219" i="1" s="1"/>
  <c r="BJ201" i="1"/>
  <c r="BL201" i="1" s="1"/>
  <c r="BJ188" i="1"/>
  <c r="BL188" i="1" s="1"/>
  <c r="BJ231" i="1"/>
  <c r="BK231" i="1" s="1"/>
  <c r="BJ182" i="1"/>
  <c r="BK182" i="1" s="1"/>
  <c r="BJ221" i="1"/>
  <c r="BL221" i="1" s="1"/>
  <c r="BJ39" i="1"/>
  <c r="BK39" i="1" s="1"/>
  <c r="BJ177" i="1"/>
  <c r="BK177" i="1" s="1"/>
  <c r="BJ240" i="1"/>
  <c r="BL240" i="1" s="1"/>
  <c r="BJ48" i="1"/>
  <c r="BL48" i="1" s="1"/>
  <c r="BJ343" i="1"/>
  <c r="BK343" i="1" s="1"/>
  <c r="BJ300" i="1"/>
  <c r="BL300" i="1" s="1"/>
  <c r="BJ130" i="1"/>
  <c r="BK130" i="1" s="1"/>
  <c r="BJ370" i="1"/>
  <c r="BK370" i="1" s="1"/>
  <c r="BJ233" i="1"/>
  <c r="BL233" i="1" s="1"/>
  <c r="BJ41" i="1"/>
  <c r="BL41" i="1" s="1"/>
  <c r="BJ360" i="1"/>
  <c r="BK360" i="1" s="1"/>
  <c r="BJ232" i="1"/>
  <c r="BK232" i="1" s="1"/>
  <c r="BJ104" i="1"/>
  <c r="BL104" i="1" s="1"/>
  <c r="BJ222" i="1"/>
  <c r="BL222" i="1" s="1"/>
  <c r="BJ333" i="1"/>
  <c r="BL333" i="1" s="1"/>
  <c r="BJ140" i="1"/>
  <c r="BL140" i="1" s="1"/>
  <c r="BJ327" i="1"/>
  <c r="BL327" i="1" s="1"/>
  <c r="BJ53" i="1"/>
  <c r="BK53" i="1" s="1"/>
  <c r="BJ229" i="1"/>
  <c r="BL229" i="1" s="1"/>
  <c r="BJ87" i="1"/>
  <c r="BK87" i="1" s="1"/>
  <c r="BJ124" i="1"/>
  <c r="BK124" i="1" s="1"/>
  <c r="BJ362" i="1"/>
  <c r="BK362" i="1" s="1"/>
  <c r="BJ122" i="1"/>
  <c r="BL122" i="1" s="1"/>
  <c r="BJ58" i="1"/>
  <c r="BK58" i="1" s="1"/>
  <c r="BJ355" i="1"/>
  <c r="BK355" i="1" s="1"/>
  <c r="BJ352" i="1"/>
  <c r="BL352" i="1" s="1"/>
  <c r="BJ288" i="1"/>
  <c r="BL288" i="1" s="1"/>
  <c r="BJ224" i="1"/>
  <c r="BL224" i="1" s="1"/>
  <c r="BJ160" i="1"/>
  <c r="BK160" i="1" s="1"/>
  <c r="BJ96" i="1"/>
  <c r="BK96" i="1" s="1"/>
  <c r="BJ32" i="1"/>
  <c r="BK32" i="1" s="1"/>
  <c r="BJ350" i="1"/>
  <c r="BK350" i="1" s="1"/>
  <c r="BJ54" i="1"/>
  <c r="BK54" i="1" s="1"/>
  <c r="BJ230" i="1"/>
  <c r="BK230" i="1" s="1"/>
  <c r="BJ23" i="1"/>
  <c r="BL23" i="1" s="1"/>
  <c r="BJ308" i="1"/>
  <c r="BL308" i="1" s="1"/>
  <c r="BJ203" i="1"/>
  <c r="BL203" i="1" s="1"/>
  <c r="BJ98" i="1"/>
  <c r="BL98" i="1" s="1"/>
  <c r="BJ51" i="1"/>
  <c r="BL51" i="1" s="1"/>
  <c r="BJ137" i="1"/>
  <c r="BK137" i="1" s="1"/>
  <c r="BJ78" i="1"/>
  <c r="BK78" i="1" s="1"/>
  <c r="BJ29" i="1"/>
  <c r="BL29" i="1" s="1"/>
  <c r="BJ133" i="1"/>
  <c r="BL133" i="1" s="1"/>
  <c r="BJ86" i="1"/>
  <c r="BK86" i="1" s="1"/>
  <c r="BJ115" i="1"/>
  <c r="BK115" i="1" s="1"/>
  <c r="BJ138" i="1"/>
  <c r="BK138" i="1" s="1"/>
  <c r="BJ100" i="1"/>
  <c r="BL100" i="1" s="1"/>
  <c r="BJ305" i="1"/>
  <c r="BL305" i="1" s="1"/>
  <c r="BJ113" i="1"/>
  <c r="BK113" i="1" s="1"/>
  <c r="BJ368" i="1"/>
  <c r="BK368" i="1" s="1"/>
  <c r="BJ176" i="1"/>
  <c r="BL176" i="1" s="1"/>
  <c r="BJ286" i="1"/>
  <c r="BK286" i="1" s="1"/>
  <c r="BJ294" i="1"/>
  <c r="BL294" i="1" s="1"/>
  <c r="BJ245" i="1"/>
  <c r="BL245" i="1" s="1"/>
  <c r="BJ324" i="1"/>
  <c r="BK324" i="1" s="1"/>
  <c r="BJ303" i="1"/>
  <c r="BL303" i="1" s="1"/>
  <c r="BJ299" i="1"/>
  <c r="BL299" i="1" s="1"/>
  <c r="BJ66" i="1"/>
  <c r="BL66" i="1" s="1"/>
  <c r="BJ163" i="1"/>
  <c r="BL163" i="1" s="1"/>
  <c r="BJ297" i="1"/>
  <c r="BK297" i="1" s="1"/>
  <c r="BJ168" i="1"/>
  <c r="BL168" i="1" s="1"/>
  <c r="BJ284" i="1"/>
  <c r="BL284" i="1" s="1"/>
  <c r="BJ311" i="1"/>
  <c r="BK311" i="1" s="1"/>
  <c r="BJ183" i="1"/>
  <c r="BK183" i="1" s="1"/>
  <c r="BJ69" i="1"/>
  <c r="BL69" i="1" s="1"/>
  <c r="BJ118" i="1"/>
  <c r="BK118" i="1" s="1"/>
  <c r="BJ250" i="1"/>
  <c r="BL250" i="1" s="1"/>
  <c r="BJ178" i="1"/>
  <c r="BK178" i="1" s="1"/>
  <c r="BJ114" i="1"/>
  <c r="BK114" i="1" s="1"/>
  <c r="BJ50" i="1"/>
  <c r="BL50" i="1" s="1"/>
  <c r="BJ243" i="1"/>
  <c r="BL243" i="1" s="1"/>
  <c r="BJ344" i="1"/>
  <c r="BK344" i="1" s="1"/>
  <c r="BJ280" i="1"/>
  <c r="BK280" i="1" s="1"/>
  <c r="BJ216" i="1"/>
  <c r="BL216" i="1" s="1"/>
  <c r="BJ152" i="1"/>
  <c r="BL152" i="1" s="1"/>
  <c r="BJ88" i="1"/>
  <c r="BL88" i="1" s="1"/>
  <c r="BJ24" i="1"/>
  <c r="BK24" i="1" s="1"/>
  <c r="BJ254" i="1"/>
  <c r="BK254" i="1" s="1"/>
  <c r="BJ236" i="1"/>
  <c r="BL236" i="1" s="1"/>
  <c r="BJ358" i="1"/>
  <c r="BL358" i="1" s="1"/>
  <c r="BJ181" i="1"/>
  <c r="BK181" i="1" s="1"/>
  <c r="BJ189" i="1"/>
  <c r="BK189" i="1" s="1"/>
  <c r="BJ68" i="1"/>
  <c r="BK68" i="1" s="1"/>
  <c r="BJ34" i="1"/>
  <c r="BL34" i="1" s="1"/>
  <c r="BJ329" i="1"/>
  <c r="BL329" i="1" s="1"/>
  <c r="BJ38" i="1"/>
  <c r="BK38" i="1" s="1"/>
  <c r="BJ359" i="1"/>
  <c r="BL359" i="1" s="1"/>
  <c r="BJ310" i="1"/>
  <c r="BK310" i="1" s="1"/>
  <c r="BJ261" i="1"/>
  <c r="BL261" i="1" s="1"/>
  <c r="BJ340" i="1"/>
  <c r="BK340" i="1" s="1"/>
  <c r="BJ348" i="1"/>
  <c r="BK348" i="1" s="1"/>
  <c r="BJ74" i="1"/>
  <c r="BL74" i="1" s="1"/>
  <c r="BJ179" i="1"/>
  <c r="BL179" i="1" s="1"/>
  <c r="BJ241" i="1"/>
  <c r="BL241" i="1" s="1"/>
  <c r="BJ49" i="1"/>
  <c r="BK49" i="1" s="1"/>
  <c r="BJ304" i="1"/>
  <c r="BK304" i="1" s="1"/>
  <c r="BJ112" i="1"/>
  <c r="BL112" i="1" s="1"/>
  <c r="BJ102" i="1"/>
  <c r="BJ156" i="1"/>
  <c r="BK156" i="1" s="1"/>
  <c r="BJ373" i="1"/>
  <c r="BK373" i="1" s="1"/>
  <c r="BJ110" i="1"/>
  <c r="BK110" i="1" s="1"/>
  <c r="BJ63" i="1"/>
  <c r="BL63" i="1" s="1"/>
  <c r="BJ361" i="1"/>
  <c r="BL361" i="1" s="1"/>
  <c r="BJ169" i="1"/>
  <c r="BL169" i="1" s="1"/>
  <c r="BJ105" i="1"/>
  <c r="BL105" i="1" s="1"/>
  <c r="BJ296" i="1"/>
  <c r="BJ40" i="1"/>
  <c r="BK40" i="1" s="1"/>
  <c r="BJ206" i="1"/>
  <c r="BK206" i="1" s="1"/>
  <c r="BJ269" i="1"/>
  <c r="BL269" i="1" s="1"/>
  <c r="BJ268" i="1"/>
  <c r="BL268" i="1" s="1"/>
  <c r="BJ295" i="1"/>
  <c r="BL295" i="1" s="1"/>
  <c r="BJ167" i="1"/>
  <c r="BL167" i="1" s="1"/>
  <c r="BJ111" i="1"/>
  <c r="BL111" i="1" s="1"/>
  <c r="BJ46" i="1"/>
  <c r="BK46" i="1" s="1"/>
  <c r="BJ356" i="1"/>
  <c r="BL356" i="1" s="1"/>
  <c r="BJ255" i="1"/>
  <c r="BL255" i="1" s="1"/>
  <c r="BJ227" i="1"/>
  <c r="BL227" i="1" s="1"/>
  <c r="BJ242" i="1"/>
  <c r="BL242" i="1" s="1"/>
  <c r="BJ170" i="1"/>
  <c r="BL170" i="1" s="1"/>
  <c r="BJ106" i="1"/>
  <c r="BK106" i="1" s="1"/>
  <c r="BJ42" i="1"/>
  <c r="BK42" i="1" s="1"/>
  <c r="BJ235" i="1"/>
  <c r="BJ336" i="1"/>
  <c r="BL336" i="1" s="1"/>
  <c r="BJ272" i="1"/>
  <c r="BL272" i="1" s="1"/>
  <c r="BJ208" i="1"/>
  <c r="BL208" i="1" s="1"/>
  <c r="BJ144" i="1"/>
  <c r="BK144" i="1" s="1"/>
  <c r="BJ80" i="1"/>
  <c r="BK80" i="1" s="1"/>
  <c r="BJ16" i="1"/>
  <c r="BK16" i="1" s="1"/>
  <c r="BJ55" i="1"/>
  <c r="BK55" i="1" s="1"/>
  <c r="BJ147" i="1"/>
  <c r="BJ211" i="1"/>
  <c r="BL211" i="1" s="1"/>
  <c r="BJ238" i="1"/>
  <c r="BL238" i="1" s="1"/>
  <c r="BJ94" i="1"/>
  <c r="BK94" i="1" s="1"/>
  <c r="BJ319" i="1"/>
  <c r="BL319" i="1" s="1"/>
  <c r="BJ283" i="1"/>
  <c r="BL283" i="1" s="1"/>
  <c r="BJ91" i="1"/>
  <c r="BK91" i="1" s="1"/>
  <c r="BJ369" i="1"/>
  <c r="BK369" i="1" s="1"/>
  <c r="BJ76" i="1"/>
  <c r="BK76" i="1" s="1"/>
  <c r="BJ71" i="1"/>
  <c r="BL71" i="1" s="1"/>
  <c r="BJ21" i="1"/>
  <c r="BL21" i="1" s="1"/>
  <c r="BJ27" i="1"/>
  <c r="BK27" i="1" s="1"/>
  <c r="BJ202" i="1"/>
  <c r="BK202" i="1" s="1"/>
  <c r="BG10" i="1"/>
  <c r="BG11" i="1" s="1"/>
  <c r="BJ158" i="1"/>
  <c r="BK158" i="1" s="1"/>
  <c r="BJ316" i="1"/>
  <c r="BK316" i="1" s="1"/>
  <c r="BJ199" i="1"/>
  <c r="BK199" i="1" s="1"/>
  <c r="BJ278" i="1"/>
  <c r="BL278" i="1" s="1"/>
  <c r="BJ150" i="1"/>
  <c r="BK150" i="1" s="1"/>
  <c r="BJ357" i="1"/>
  <c r="BK357" i="1" s="1"/>
  <c r="BJ119" i="1"/>
  <c r="BK119" i="1" s="1"/>
  <c r="BJ292" i="1"/>
  <c r="BK292" i="1" s="1"/>
  <c r="BJ45" i="1"/>
  <c r="BK45" i="1" s="1"/>
  <c r="BJ252" i="1"/>
  <c r="BL252" i="1" s="1"/>
  <c r="BJ164" i="1"/>
  <c r="BJ287" i="1"/>
  <c r="BK287" i="1" s="1"/>
  <c r="BJ159" i="1"/>
  <c r="BK159" i="1" s="1"/>
  <c r="BJ275" i="1"/>
  <c r="BK275" i="1" s="1"/>
  <c r="BJ258" i="1"/>
  <c r="BK258" i="1" s="1"/>
  <c r="BJ194" i="1"/>
  <c r="BL194" i="1" s="1"/>
  <c r="BJ259" i="1"/>
  <c r="BK259" i="1" s="1"/>
  <c r="BJ155" i="1"/>
  <c r="BL155" i="1" s="1"/>
  <c r="BJ75" i="1"/>
  <c r="BJ354" i="1"/>
  <c r="BL354" i="1" s="1"/>
  <c r="BJ353" i="1"/>
  <c r="BL353" i="1" s="1"/>
  <c r="BJ289" i="1"/>
  <c r="BL289" i="1" s="1"/>
  <c r="BJ225" i="1"/>
  <c r="BK225" i="1" s="1"/>
  <c r="BJ161" i="1"/>
  <c r="BL161" i="1" s="1"/>
  <c r="BJ97" i="1"/>
  <c r="BL97" i="1" s="1"/>
  <c r="BJ33" i="1"/>
  <c r="BK33" i="1" s="1"/>
  <c r="BJ52" i="1"/>
  <c r="BJ226" i="1"/>
  <c r="BK226" i="1" s="1"/>
  <c r="BJ157" i="1"/>
  <c r="BL157" i="1" s="1"/>
  <c r="BJ218" i="1"/>
  <c r="BK218" i="1" s="1"/>
  <c r="BJ174" i="1"/>
  <c r="BK174" i="1" s="1"/>
  <c r="BJ191" i="1"/>
  <c r="BL191" i="1" s="1"/>
  <c r="BJ331" i="1"/>
  <c r="BL331" i="1" s="1"/>
  <c r="BJ210" i="1"/>
  <c r="BK210" i="1" s="1"/>
  <c r="BJ19" i="1"/>
  <c r="BJ365" i="1"/>
  <c r="BK365" i="1" s="1"/>
  <c r="BJ166" i="1"/>
  <c r="BK166" i="1" s="1"/>
  <c r="BJ173" i="1"/>
  <c r="BL173" i="1" s="1"/>
  <c r="BJ180" i="1"/>
  <c r="BK180" i="1" s="1"/>
  <c r="BJ175" i="1"/>
  <c r="BK175" i="1" s="1"/>
  <c r="BJ266" i="1"/>
  <c r="BL266" i="1" s="1"/>
  <c r="BJ36" i="1"/>
  <c r="BL36" i="1" s="1"/>
  <c r="BJ267" i="1"/>
  <c r="BL267" i="1" s="1"/>
  <c r="BJ83" i="1"/>
  <c r="BK83" i="1" s="1"/>
  <c r="BJ60" i="1"/>
  <c r="BK60" i="1" s="1"/>
  <c r="BJ270" i="1"/>
  <c r="BL270" i="1" s="1"/>
  <c r="BJ334" i="1"/>
  <c r="BL334" i="1" s="1"/>
  <c r="BJ301" i="1"/>
  <c r="BL301" i="1" s="1"/>
  <c r="BJ95" i="1"/>
  <c r="BK95" i="1" s="1"/>
  <c r="BJ30" i="1"/>
  <c r="BK30" i="1" s="1"/>
  <c r="BJ262" i="1"/>
  <c r="BL262" i="1" s="1"/>
  <c r="BJ134" i="1"/>
  <c r="BL134" i="1" s="1"/>
  <c r="BJ341" i="1"/>
  <c r="BK341" i="1" s="1"/>
  <c r="BJ213" i="1"/>
  <c r="BL213" i="1" s="1"/>
  <c r="BJ101" i="1"/>
  <c r="BL101" i="1" s="1"/>
  <c r="BJ276" i="1"/>
  <c r="BK276" i="1" s="1"/>
  <c r="BJ317" i="1"/>
  <c r="BK317" i="1" s="1"/>
  <c r="BJ127" i="1"/>
  <c r="BK127" i="1" s="1"/>
  <c r="BJ271" i="1"/>
  <c r="BJ143" i="1"/>
  <c r="BL143" i="1" s="1"/>
  <c r="BJ108" i="1"/>
  <c r="BL108" i="1" s="1"/>
  <c r="BJ251" i="1"/>
  <c r="BK251" i="1" s="1"/>
  <c r="BJ338" i="1"/>
  <c r="BK338" i="1" s="1"/>
  <c r="BJ347" i="1"/>
  <c r="BK347" i="1" s="1"/>
  <c r="BJ139" i="1"/>
  <c r="BL139" i="1" s="1"/>
  <c r="BJ67" i="1"/>
  <c r="BK67" i="1" s="1"/>
  <c r="BJ346" i="1"/>
  <c r="BK346" i="1" s="1"/>
  <c r="BJ345" i="1"/>
  <c r="BL345" i="1" s="1"/>
  <c r="BJ281" i="1"/>
  <c r="BK281" i="1" s="1"/>
  <c r="BJ217" i="1"/>
  <c r="BL217" i="1" s="1"/>
  <c r="BJ153" i="1"/>
  <c r="BK153" i="1" s="1"/>
  <c r="BJ89" i="1"/>
  <c r="BL89" i="1" s="1"/>
  <c r="BJ25" i="1"/>
  <c r="BL25" i="1" s="1"/>
  <c r="BJ44" i="1"/>
  <c r="BK44" i="1" s="1"/>
  <c r="BJ366" i="1"/>
  <c r="BJ290" i="1"/>
  <c r="BL290" i="1" s="1"/>
  <c r="BJ92" i="1"/>
  <c r="BK92" i="1" s="1"/>
  <c r="BJ212" i="1"/>
  <c r="BL212" i="1" s="1"/>
  <c r="BJ274" i="1"/>
  <c r="BK274" i="1" s="1"/>
  <c r="BJ364" i="1"/>
  <c r="BK364" i="1" s="1"/>
  <c r="BJ215" i="1"/>
  <c r="BL215" i="1" s="1"/>
  <c r="BJ142" i="1"/>
  <c r="BK142" i="1" s="1"/>
  <c r="BJ77" i="1"/>
  <c r="BL77" i="1" s="1"/>
  <c r="BJ374" i="1"/>
  <c r="BK374" i="1" s="1"/>
  <c r="BJ246" i="1"/>
  <c r="BL246" i="1" s="1"/>
  <c r="BJ325" i="1"/>
  <c r="BL325" i="1" s="1"/>
  <c r="BJ197" i="1"/>
  <c r="BK197" i="1" s="1"/>
  <c r="BJ37" i="1"/>
  <c r="BL37" i="1" s="1"/>
  <c r="BJ228" i="1"/>
  <c r="BL228" i="1" s="1"/>
  <c r="BJ253" i="1"/>
  <c r="BL253" i="1" s="1"/>
  <c r="BJ22" i="1"/>
  <c r="BJ126" i="1"/>
  <c r="BK126" i="1" s="1"/>
  <c r="BJ84" i="1"/>
  <c r="BL84" i="1" s="1"/>
  <c r="BJ322" i="1"/>
  <c r="BL322" i="1" s="1"/>
  <c r="BJ339" i="1"/>
  <c r="BK339" i="1" s="1"/>
  <c r="BJ131" i="1"/>
  <c r="BK131" i="1" s="1"/>
  <c r="BJ59" i="1"/>
  <c r="BL59" i="1" s="1"/>
  <c r="BJ330" i="1"/>
  <c r="BK330" i="1" s="1"/>
  <c r="BJ337" i="1"/>
  <c r="BJ273" i="1"/>
  <c r="BL273" i="1" s="1"/>
  <c r="BJ209" i="1"/>
  <c r="BK209" i="1" s="1"/>
  <c r="BJ145" i="1"/>
  <c r="BK145" i="1" s="1"/>
  <c r="BJ81" i="1"/>
  <c r="BL81" i="1" s="1"/>
  <c r="BJ17" i="1"/>
  <c r="BL17" i="1" s="1"/>
  <c r="BJ20" i="1"/>
  <c r="BL20" i="1" s="1"/>
  <c r="BJ15" i="1"/>
  <c r="BK15" i="1" s="1"/>
  <c r="D45" i="1"/>
  <c r="E56" i="1" s="1"/>
  <c r="C44" i="1"/>
  <c r="D55" i="1" s="1"/>
  <c r="B56" i="1" s="1"/>
  <c r="I62" i="1"/>
  <c r="R62" i="1" s="1"/>
  <c r="D37" i="1"/>
  <c r="C49" i="1" s="1"/>
  <c r="C38" i="1"/>
  <c r="D49" i="1" s="1"/>
  <c r="B50" i="1" s="1"/>
  <c r="F50" i="1" s="1"/>
  <c r="G50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C53" i="1" s="1"/>
  <c r="F53" i="1" s="1"/>
  <c r="G53" i="1" s="1"/>
  <c r="H67" i="1"/>
  <c r="Q67" i="1" s="1"/>
  <c r="F51" i="1"/>
  <c r="G51" i="1" s="1"/>
  <c r="F54" i="1"/>
  <c r="G54" i="1" s="1"/>
  <c r="BR112" i="1" l="1"/>
  <c r="BT112" i="1" s="1"/>
  <c r="BU112" i="1" s="1"/>
  <c r="BS305" i="1"/>
  <c r="BT305" i="1" s="1"/>
  <c r="BU305" i="1" s="1"/>
  <c r="BR24" i="1"/>
  <c r="BT24" i="1" s="1"/>
  <c r="BU24" i="1" s="1"/>
  <c r="BR164" i="1"/>
  <c r="BT164" i="1" s="1"/>
  <c r="BU164" i="1" s="1"/>
  <c r="BS117" i="1"/>
  <c r="BT117" i="1" s="1"/>
  <c r="BU117" i="1" s="1"/>
  <c r="BR173" i="1"/>
  <c r="BT173" i="1" s="1"/>
  <c r="BU173" i="1" s="1"/>
  <c r="BR87" i="1"/>
  <c r="BT87" i="1" s="1"/>
  <c r="BU87" i="1" s="1"/>
  <c r="BS186" i="1"/>
  <c r="BT186" i="1" s="1"/>
  <c r="BU186" i="1" s="1"/>
  <c r="BS176" i="1"/>
  <c r="BT176" i="1" s="1"/>
  <c r="BU176" i="1" s="1"/>
  <c r="BR261" i="1"/>
  <c r="BT261" i="1" s="1"/>
  <c r="BU261" i="1" s="1"/>
  <c r="BR125" i="1"/>
  <c r="BT125" i="1" s="1"/>
  <c r="BU125" i="1" s="1"/>
  <c r="BS371" i="1"/>
  <c r="BT371" i="1" s="1"/>
  <c r="BU371" i="1" s="1"/>
  <c r="BR103" i="1"/>
  <c r="BT103" i="1" s="1"/>
  <c r="BU103" i="1" s="1"/>
  <c r="BR306" i="1"/>
  <c r="BT306" i="1" s="1"/>
  <c r="BU306" i="1" s="1"/>
  <c r="BR50" i="1"/>
  <c r="BT50" i="1" s="1"/>
  <c r="BU50" i="1" s="1"/>
  <c r="BS335" i="1"/>
  <c r="BT335" i="1" s="1"/>
  <c r="BU335" i="1" s="1"/>
  <c r="BR249" i="1"/>
  <c r="BT249" i="1" s="1"/>
  <c r="BU249" i="1" s="1"/>
  <c r="BR73" i="1"/>
  <c r="BT73" i="1" s="1"/>
  <c r="BU73" i="1" s="1"/>
  <c r="BR314" i="1"/>
  <c r="BT314" i="1" s="1"/>
  <c r="BU314" i="1" s="1"/>
  <c r="BR166" i="1"/>
  <c r="BT166" i="1" s="1"/>
  <c r="BU166" i="1" s="1"/>
  <c r="BS152" i="1"/>
  <c r="BT152" i="1" s="1"/>
  <c r="BU152" i="1" s="1"/>
  <c r="BR266" i="1"/>
  <c r="BT266" i="1" s="1"/>
  <c r="BU266" i="1" s="1"/>
  <c r="BR74" i="1"/>
  <c r="BT74" i="1" s="1"/>
  <c r="BU74" i="1" s="1"/>
  <c r="BR359" i="1"/>
  <c r="BT359" i="1" s="1"/>
  <c r="BU359" i="1" s="1"/>
  <c r="BS248" i="1"/>
  <c r="BR248" i="1"/>
  <c r="BR244" i="1"/>
  <c r="BS244" i="1"/>
  <c r="BS274" i="1"/>
  <c r="BR274" i="1"/>
  <c r="BS311" i="1"/>
  <c r="BR311" i="1"/>
  <c r="BS253" i="1"/>
  <c r="BT253" i="1" s="1"/>
  <c r="BU253" i="1" s="1"/>
  <c r="BS113" i="1"/>
  <c r="BT113" i="1" s="1"/>
  <c r="BU113" i="1" s="1"/>
  <c r="BR375" i="1"/>
  <c r="BT375" i="1" s="1"/>
  <c r="BU375" i="1" s="1"/>
  <c r="BQ139" i="1"/>
  <c r="BR139" i="1" s="1"/>
  <c r="BR330" i="1"/>
  <c r="BT330" i="1" s="1"/>
  <c r="BU330" i="1" s="1"/>
  <c r="BS245" i="1"/>
  <c r="BT245" i="1" s="1"/>
  <c r="BU245" i="1" s="1"/>
  <c r="BR114" i="1"/>
  <c r="BT114" i="1" s="1"/>
  <c r="BU114" i="1" s="1"/>
  <c r="BR368" i="1"/>
  <c r="BT368" i="1" s="1"/>
  <c r="BU368" i="1" s="1"/>
  <c r="BR276" i="1"/>
  <c r="BT276" i="1" s="1"/>
  <c r="BU276" i="1" s="1"/>
  <c r="BR32" i="1"/>
  <c r="BT32" i="1" s="1"/>
  <c r="BU32" i="1" s="1"/>
  <c r="BR207" i="1"/>
  <c r="BT207" i="1" s="1"/>
  <c r="BU207" i="1" s="1"/>
  <c r="BS16" i="1"/>
  <c r="BT16" i="1" s="1"/>
  <c r="BU16" i="1" s="1"/>
  <c r="BR240" i="1"/>
  <c r="BT240" i="1" s="1"/>
  <c r="BU240" i="1" s="1"/>
  <c r="BS94" i="1"/>
  <c r="BT94" i="1" s="1"/>
  <c r="BU94" i="1" s="1"/>
  <c r="BS138" i="1"/>
  <c r="BT138" i="1" s="1"/>
  <c r="BU138" i="1" s="1"/>
  <c r="BS75" i="1"/>
  <c r="BT75" i="1" s="1"/>
  <c r="BU75" i="1" s="1"/>
  <c r="BS133" i="1"/>
  <c r="BT133" i="1" s="1"/>
  <c r="BU133" i="1" s="1"/>
  <c r="BR265" i="1"/>
  <c r="BT265" i="1" s="1"/>
  <c r="BU265" i="1" s="1"/>
  <c r="BR70" i="1"/>
  <c r="BT70" i="1" s="1"/>
  <c r="BU70" i="1" s="1"/>
  <c r="BQ356" i="1"/>
  <c r="BR356" i="1" s="1"/>
  <c r="BS242" i="1"/>
  <c r="BT242" i="1" s="1"/>
  <c r="BU242" i="1" s="1"/>
  <c r="BS364" i="1"/>
  <c r="BT364" i="1" s="1"/>
  <c r="BU364" i="1" s="1"/>
  <c r="BS178" i="1"/>
  <c r="BR178" i="1"/>
  <c r="BR292" i="1"/>
  <c r="BS292" i="1"/>
  <c r="BR58" i="1"/>
  <c r="BS58" i="1"/>
  <c r="BR115" i="1"/>
  <c r="BS115" i="1"/>
  <c r="BS181" i="1"/>
  <c r="BT181" i="1" s="1"/>
  <c r="BU181" i="1" s="1"/>
  <c r="BS342" i="1"/>
  <c r="BT342" i="1" s="1"/>
  <c r="BU342" i="1" s="1"/>
  <c r="BS237" i="1"/>
  <c r="BT237" i="1" s="1"/>
  <c r="BU237" i="1" s="1"/>
  <c r="BQ331" i="1"/>
  <c r="BR331" i="1" s="1"/>
  <c r="BS17" i="1"/>
  <c r="BT17" i="1" s="1"/>
  <c r="BU17" i="1" s="1"/>
  <c r="BQ204" i="1"/>
  <c r="BR204" i="1" s="1"/>
  <c r="BS185" i="1"/>
  <c r="BT185" i="1" s="1"/>
  <c r="BU185" i="1" s="1"/>
  <c r="BS270" i="1"/>
  <c r="BT270" i="1" s="1"/>
  <c r="BU270" i="1" s="1"/>
  <c r="BR206" i="1"/>
  <c r="BT206" i="1" s="1"/>
  <c r="BU206" i="1" s="1"/>
  <c r="BR95" i="1"/>
  <c r="BT95" i="1" s="1"/>
  <c r="BU95" i="1" s="1"/>
  <c r="BQ20" i="1"/>
  <c r="BS20" i="1" s="1"/>
  <c r="BS51" i="1"/>
  <c r="BT51" i="1" s="1"/>
  <c r="BU51" i="1" s="1"/>
  <c r="BS267" i="1"/>
  <c r="BT267" i="1" s="1"/>
  <c r="BU267" i="1" s="1"/>
  <c r="BR361" i="1"/>
  <c r="BT361" i="1" s="1"/>
  <c r="BU361" i="1" s="1"/>
  <c r="BS145" i="1"/>
  <c r="BT145" i="1" s="1"/>
  <c r="BU145" i="1" s="1"/>
  <c r="BS177" i="1"/>
  <c r="BT177" i="1" s="1"/>
  <c r="BU177" i="1" s="1"/>
  <c r="BQ370" i="1"/>
  <c r="BR370" i="1" s="1"/>
  <c r="BQ76" i="1"/>
  <c r="BR76" i="1" s="1"/>
  <c r="BR52" i="1"/>
  <c r="BT52" i="1" s="1"/>
  <c r="BU52" i="1" s="1"/>
  <c r="BS319" i="1"/>
  <c r="BT319" i="1" s="1"/>
  <c r="BU319" i="1" s="1"/>
  <c r="BR116" i="1"/>
  <c r="BT116" i="1" s="1"/>
  <c r="BU116" i="1" s="1"/>
  <c r="BR142" i="1"/>
  <c r="BT142" i="1" s="1"/>
  <c r="BU142" i="1" s="1"/>
  <c r="BR203" i="1"/>
  <c r="BT203" i="1" s="1"/>
  <c r="BU203" i="1" s="1"/>
  <c r="BS47" i="1"/>
  <c r="BT47" i="1" s="1"/>
  <c r="BU47" i="1" s="1"/>
  <c r="BS22" i="1"/>
  <c r="BT22" i="1" s="1"/>
  <c r="BU22" i="1" s="1"/>
  <c r="BR140" i="1"/>
  <c r="BT140" i="1" s="1"/>
  <c r="BU140" i="1" s="1"/>
  <c r="BS338" i="1"/>
  <c r="BT338" i="1" s="1"/>
  <c r="BU338" i="1" s="1"/>
  <c r="BS224" i="1"/>
  <c r="BT224" i="1" s="1"/>
  <c r="BU224" i="1" s="1"/>
  <c r="BS277" i="1"/>
  <c r="BT277" i="1" s="1"/>
  <c r="BU277" i="1" s="1"/>
  <c r="BQ55" i="1"/>
  <c r="BR55" i="1" s="1"/>
  <c r="BQ169" i="1"/>
  <c r="BR169" i="1" s="1"/>
  <c r="BQ190" i="1"/>
  <c r="BR190" i="1" s="1"/>
  <c r="BQ296" i="1"/>
  <c r="BR296" i="1" s="1"/>
  <c r="BQ128" i="1"/>
  <c r="BR128" i="1" s="1"/>
  <c r="BQ238" i="1"/>
  <c r="BR238" i="1" s="1"/>
  <c r="BQ241" i="1"/>
  <c r="BR241" i="1" s="1"/>
  <c r="BQ131" i="1"/>
  <c r="BR131" i="1" s="1"/>
  <c r="BQ26" i="1"/>
  <c r="BR26" i="1" s="1"/>
  <c r="BR263" i="1"/>
  <c r="BT263" i="1" s="1"/>
  <c r="BU263" i="1" s="1"/>
  <c r="BQ57" i="1"/>
  <c r="BR57" i="1" s="1"/>
  <c r="BQ136" i="1"/>
  <c r="BR136" i="1" s="1"/>
  <c r="BQ347" i="1"/>
  <c r="BR347" i="1" s="1"/>
  <c r="BQ119" i="1"/>
  <c r="BR119" i="1" s="1"/>
  <c r="BQ199" i="1"/>
  <c r="BR199" i="1" s="1"/>
  <c r="BR243" i="1"/>
  <c r="BS243" i="1"/>
  <c r="BR303" i="1"/>
  <c r="BS303" i="1"/>
  <c r="BS216" i="1"/>
  <c r="BR216" i="1"/>
  <c r="BR184" i="1"/>
  <c r="BS184" i="1"/>
  <c r="BS200" i="1"/>
  <c r="BT200" i="1" s="1"/>
  <c r="BU200" i="1" s="1"/>
  <c r="BQ34" i="1"/>
  <c r="BR34" i="1" s="1"/>
  <c r="BQ37" i="1"/>
  <c r="BR37" i="1" s="1"/>
  <c r="BQ191" i="1"/>
  <c r="BR191" i="1" s="1"/>
  <c r="BQ287" i="1"/>
  <c r="BR287" i="1" s="1"/>
  <c r="BS189" i="1"/>
  <c r="BR189" i="1"/>
  <c r="BQ111" i="1"/>
  <c r="BR111" i="1" s="1"/>
  <c r="BR146" i="1"/>
  <c r="BS146" i="1"/>
  <c r="BS325" i="1"/>
  <c r="BT325" i="1" s="1"/>
  <c r="BU325" i="1" s="1"/>
  <c r="BS174" i="1"/>
  <c r="BR174" i="1"/>
  <c r="BQ71" i="1"/>
  <c r="BR71" i="1" s="1"/>
  <c r="BS130" i="1"/>
  <c r="BT130" i="1" s="1"/>
  <c r="BU130" i="1" s="1"/>
  <c r="BQ281" i="1"/>
  <c r="BR281" i="1" s="1"/>
  <c r="BQ288" i="1"/>
  <c r="BR288" i="1" s="1"/>
  <c r="BS107" i="1"/>
  <c r="BT107" i="1" s="1"/>
  <c r="BU107" i="1" s="1"/>
  <c r="BS198" i="1"/>
  <c r="BR198" i="1"/>
  <c r="BS85" i="1"/>
  <c r="BT85" i="1" s="1"/>
  <c r="BU85" i="1" s="1"/>
  <c r="BQ182" i="1"/>
  <c r="BR182" i="1" s="1"/>
  <c r="BQ343" i="1"/>
  <c r="BR343" i="1" s="1"/>
  <c r="BQ300" i="1"/>
  <c r="BR300" i="1" s="1"/>
  <c r="BS210" i="1"/>
  <c r="BR210" i="1"/>
  <c r="BS312" i="1"/>
  <c r="BT312" i="1" s="1"/>
  <c r="BU312" i="1" s="1"/>
  <c r="BQ147" i="1"/>
  <c r="BR147" i="1" s="1"/>
  <c r="BQ197" i="1"/>
  <c r="BR197" i="1" s="1"/>
  <c r="BQ246" i="1"/>
  <c r="BR246" i="1" s="1"/>
  <c r="BS299" i="1"/>
  <c r="BT299" i="1" s="1"/>
  <c r="BU299" i="1" s="1"/>
  <c r="BS156" i="1"/>
  <c r="BT156" i="1" s="1"/>
  <c r="BU156" i="1" s="1"/>
  <c r="BQ362" i="1"/>
  <c r="BR362" i="1" s="1"/>
  <c r="BQ328" i="1"/>
  <c r="BR328" i="1" s="1"/>
  <c r="BQ162" i="1"/>
  <c r="BR162" i="1" s="1"/>
  <c r="BQ316" i="1"/>
  <c r="BR316" i="1" s="1"/>
  <c r="BQ345" i="1"/>
  <c r="BR345" i="1" s="1"/>
  <c r="BQ337" i="1"/>
  <c r="BR337" i="1" s="1"/>
  <c r="BS279" i="1"/>
  <c r="BR279" i="1"/>
  <c r="BQ118" i="1"/>
  <c r="BR118" i="1" s="1"/>
  <c r="BQ336" i="1"/>
  <c r="BR336" i="1" s="1"/>
  <c r="BQ170" i="1"/>
  <c r="BR170" i="1" s="1"/>
  <c r="BS35" i="1"/>
  <c r="BT35" i="1" s="1"/>
  <c r="BU35" i="1" s="1"/>
  <c r="BS332" i="1"/>
  <c r="BT332" i="1" s="1"/>
  <c r="BU332" i="1" s="1"/>
  <c r="BR81" i="1"/>
  <c r="BS81" i="1"/>
  <c r="BQ228" i="1"/>
  <c r="BR228" i="1" s="1"/>
  <c r="BQ327" i="1"/>
  <c r="BR327" i="1" s="1"/>
  <c r="BQ104" i="1"/>
  <c r="BR104" i="1" s="1"/>
  <c r="BS257" i="1"/>
  <c r="BT257" i="1" s="1"/>
  <c r="BU257" i="1" s="1"/>
  <c r="BS172" i="1"/>
  <c r="BT172" i="1" s="1"/>
  <c r="BU172" i="1" s="1"/>
  <c r="BQ315" i="1"/>
  <c r="BR315" i="1" s="1"/>
  <c r="BS179" i="1"/>
  <c r="BR179" i="1"/>
  <c r="BQ348" i="1"/>
  <c r="BR348" i="1" s="1"/>
  <c r="BR310" i="1"/>
  <c r="BS310" i="1"/>
  <c r="BS365" i="1"/>
  <c r="BT365" i="1" s="1"/>
  <c r="BU365" i="1" s="1"/>
  <c r="BQ221" i="1"/>
  <c r="BR221" i="1" s="1"/>
  <c r="BQ326" i="1"/>
  <c r="BR326" i="1" s="1"/>
  <c r="BR313" i="1"/>
  <c r="BS313" i="1"/>
  <c r="BR121" i="1"/>
  <c r="BS121" i="1"/>
  <c r="BR304" i="1"/>
  <c r="BS304" i="1"/>
  <c r="BQ89" i="1"/>
  <c r="BR89" i="1" s="1"/>
  <c r="BS282" i="1"/>
  <c r="BT282" i="1" s="1"/>
  <c r="BU282" i="1" s="1"/>
  <c r="BQ211" i="1"/>
  <c r="BR211" i="1" s="1"/>
  <c r="BQ126" i="1"/>
  <c r="BR126" i="1" s="1"/>
  <c r="BQ353" i="1"/>
  <c r="BR353" i="1" s="1"/>
  <c r="BQ192" i="1"/>
  <c r="BR192" i="1" s="1"/>
  <c r="BR307" i="1"/>
  <c r="BS307" i="1"/>
  <c r="BS344" i="1"/>
  <c r="BT344" i="1" s="1"/>
  <c r="BU344" i="1" s="1"/>
  <c r="BS222" i="1"/>
  <c r="BT222" i="1" s="1"/>
  <c r="BU222" i="1" s="1"/>
  <c r="BS205" i="1"/>
  <c r="BT205" i="1" s="1"/>
  <c r="BU205" i="1" s="1"/>
  <c r="BQ159" i="1"/>
  <c r="BR159" i="1" s="1"/>
  <c r="BQ33" i="1"/>
  <c r="BR33" i="1" s="1"/>
  <c r="BS226" i="1"/>
  <c r="BT226" i="1" s="1"/>
  <c r="BU226" i="1" s="1"/>
  <c r="BQ91" i="1"/>
  <c r="BR91" i="1" s="1"/>
  <c r="BQ77" i="1"/>
  <c r="BR77" i="1" s="1"/>
  <c r="BQ175" i="1"/>
  <c r="BR175" i="1" s="1"/>
  <c r="BS132" i="1"/>
  <c r="BT132" i="1" s="1"/>
  <c r="BU132" i="1" s="1"/>
  <c r="BQ289" i="1"/>
  <c r="BR289" i="1" s="1"/>
  <c r="BS150" i="1"/>
  <c r="BT150" i="1" s="1"/>
  <c r="BU150" i="1" s="1"/>
  <c r="BQ46" i="1"/>
  <c r="BR46" i="1" s="1"/>
  <c r="BS23" i="1"/>
  <c r="BT23" i="1" s="1"/>
  <c r="BU23" i="1" s="1"/>
  <c r="BQ109" i="1"/>
  <c r="BR109" i="1" s="1"/>
  <c r="BS56" i="1"/>
  <c r="BR56" i="1"/>
  <c r="BQ339" i="1"/>
  <c r="BR339" i="1" s="1"/>
  <c r="BS135" i="1"/>
  <c r="BR135" i="1"/>
  <c r="BS43" i="1"/>
  <c r="BT43" i="1" s="1"/>
  <c r="BU43" i="1" s="1"/>
  <c r="BQ227" i="1"/>
  <c r="BR227" i="1" s="1"/>
  <c r="BQ38" i="1"/>
  <c r="BR38" i="1" s="1"/>
  <c r="BQ68" i="1"/>
  <c r="BR68" i="1" s="1"/>
  <c r="BS18" i="1"/>
  <c r="BR18" i="1"/>
  <c r="BS153" i="1"/>
  <c r="BT153" i="1" s="1"/>
  <c r="BU153" i="1" s="1"/>
  <c r="BR318" i="1"/>
  <c r="BT318" i="1" s="1"/>
  <c r="BU318" i="1" s="1"/>
  <c r="BQ49" i="1"/>
  <c r="BR49" i="1" s="1"/>
  <c r="BS255" i="1"/>
  <c r="BT255" i="1" s="1"/>
  <c r="BU255" i="1" s="1"/>
  <c r="BQ346" i="1"/>
  <c r="BR346" i="1" s="1"/>
  <c r="BQ252" i="1"/>
  <c r="BR252" i="1" s="1"/>
  <c r="BR82" i="1"/>
  <c r="BS82" i="1"/>
  <c r="BR236" i="1"/>
  <c r="BS236" i="1"/>
  <c r="BQ284" i="1"/>
  <c r="BR284" i="1" s="1"/>
  <c r="BS250" i="1"/>
  <c r="BR250" i="1"/>
  <c r="BQ84" i="1"/>
  <c r="BR84" i="1" s="1"/>
  <c r="BQ260" i="1"/>
  <c r="BR260" i="1" s="1"/>
  <c r="BS167" i="1"/>
  <c r="BT167" i="1" s="1"/>
  <c r="BU167" i="1" s="1"/>
  <c r="BQ27" i="1"/>
  <c r="BR27" i="1" s="1"/>
  <c r="BQ294" i="1"/>
  <c r="BR294" i="1" s="1"/>
  <c r="BS41" i="1"/>
  <c r="BT41" i="1" s="1"/>
  <c r="BU41" i="1" s="1"/>
  <c r="BS93" i="1"/>
  <c r="BT93" i="1" s="1"/>
  <c r="BU93" i="1" s="1"/>
  <c r="BS171" i="1"/>
  <c r="BT171" i="1" s="1"/>
  <c r="BU171" i="1" s="1"/>
  <c r="BQ168" i="1"/>
  <c r="BR168" i="1" s="1"/>
  <c r="BS351" i="1"/>
  <c r="BT351" i="1" s="1"/>
  <c r="BU351" i="1" s="1"/>
  <c r="BS64" i="1"/>
  <c r="BT64" i="1" s="1"/>
  <c r="BU64" i="1" s="1"/>
  <c r="BS217" i="1"/>
  <c r="BT217" i="1" s="1"/>
  <c r="BU217" i="1" s="1"/>
  <c r="BS92" i="1"/>
  <c r="BT92" i="1" s="1"/>
  <c r="BU92" i="1" s="1"/>
  <c r="BS275" i="1"/>
  <c r="BT275" i="1" s="1"/>
  <c r="BU275" i="1" s="1"/>
  <c r="BS341" i="1"/>
  <c r="BT341" i="1" s="1"/>
  <c r="BU341" i="1" s="1"/>
  <c r="BS230" i="1"/>
  <c r="BT230" i="1" s="1"/>
  <c r="BU230" i="1" s="1"/>
  <c r="BS96" i="1"/>
  <c r="BT96" i="1" s="1"/>
  <c r="BU96" i="1" s="1"/>
  <c r="BS98" i="1"/>
  <c r="BT98" i="1" s="1"/>
  <c r="BU98" i="1" s="1"/>
  <c r="BS212" i="1"/>
  <c r="BT212" i="1" s="1"/>
  <c r="BU212" i="1" s="1"/>
  <c r="BS366" i="1"/>
  <c r="BT366" i="1" s="1"/>
  <c r="BU366" i="1" s="1"/>
  <c r="BQ264" i="1"/>
  <c r="BR264" i="1" s="1"/>
  <c r="BQ374" i="1"/>
  <c r="BR374" i="1" s="1"/>
  <c r="BS160" i="1"/>
  <c r="BT160" i="1" s="1"/>
  <c r="BU160" i="1" s="1"/>
  <c r="BQ157" i="1"/>
  <c r="BR157" i="1" s="1"/>
  <c r="BS105" i="1"/>
  <c r="BT105" i="1" s="1"/>
  <c r="BU105" i="1" s="1"/>
  <c r="BS298" i="1"/>
  <c r="BT298" i="1" s="1"/>
  <c r="BU298" i="1" s="1"/>
  <c r="BS229" i="1"/>
  <c r="BT229" i="1" s="1"/>
  <c r="BU229" i="1" s="1"/>
  <c r="BS367" i="1"/>
  <c r="BT367" i="1" s="1"/>
  <c r="BU367" i="1" s="1"/>
  <c r="BS363" i="1"/>
  <c r="BT363" i="1" s="1"/>
  <c r="BU363" i="1" s="1"/>
  <c r="BR69" i="1"/>
  <c r="BT69" i="1" s="1"/>
  <c r="BU69" i="1" s="1"/>
  <c r="BS66" i="1"/>
  <c r="BT66" i="1" s="1"/>
  <c r="BU66" i="1" s="1"/>
  <c r="BS101" i="1"/>
  <c r="BT101" i="1" s="1"/>
  <c r="BU101" i="1" s="1"/>
  <c r="BS148" i="1"/>
  <c r="BT148" i="1" s="1"/>
  <c r="BU148" i="1" s="1"/>
  <c r="BS143" i="1"/>
  <c r="BT143" i="1" s="1"/>
  <c r="BU143" i="1" s="1"/>
  <c r="BQ232" i="1"/>
  <c r="BR232" i="1" s="1"/>
  <c r="BQ163" i="1"/>
  <c r="BR163" i="1" s="1"/>
  <c r="BR180" i="1"/>
  <c r="BT180" i="1" s="1"/>
  <c r="BU180" i="1" s="1"/>
  <c r="BS202" i="1"/>
  <c r="BT202" i="1" s="1"/>
  <c r="BU202" i="1" s="1"/>
  <c r="BS67" i="1"/>
  <c r="BT67" i="1" s="1"/>
  <c r="BU67" i="1" s="1"/>
  <c r="BS124" i="1"/>
  <c r="BT124" i="1" s="1"/>
  <c r="BU124" i="1" s="1"/>
  <c r="BS269" i="1"/>
  <c r="BT269" i="1" s="1"/>
  <c r="BU269" i="1" s="1"/>
  <c r="BS137" i="1"/>
  <c r="BT137" i="1" s="1"/>
  <c r="BU137" i="1" s="1"/>
  <c r="BS209" i="1"/>
  <c r="BT209" i="1" s="1"/>
  <c r="BU209" i="1" s="1"/>
  <c r="BS90" i="1"/>
  <c r="BT90" i="1" s="1"/>
  <c r="BU90" i="1" s="1"/>
  <c r="BS141" i="1"/>
  <c r="BT141" i="1" s="1"/>
  <c r="BU141" i="1" s="1"/>
  <c r="BS358" i="1"/>
  <c r="BT358" i="1" s="1"/>
  <c r="BU358" i="1" s="1"/>
  <c r="BS334" i="1"/>
  <c r="BT334" i="1" s="1"/>
  <c r="BU334" i="1" s="1"/>
  <c r="BQ256" i="1"/>
  <c r="BR256" i="1" s="1"/>
  <c r="BR349" i="1"/>
  <c r="BT349" i="1" s="1"/>
  <c r="BU349" i="1" s="1"/>
  <c r="BR31" i="1"/>
  <c r="BT31" i="1" s="1"/>
  <c r="BU31" i="1" s="1"/>
  <c r="BS88" i="1"/>
  <c r="BT88" i="1" s="1"/>
  <c r="BU88" i="1" s="1"/>
  <c r="BS293" i="1"/>
  <c r="BT293" i="1" s="1"/>
  <c r="BU293" i="1" s="1"/>
  <c r="BS86" i="1"/>
  <c r="BT86" i="1" s="1"/>
  <c r="BU86" i="1" s="1"/>
  <c r="BR122" i="1"/>
  <c r="BT122" i="1" s="1"/>
  <c r="BU122" i="1" s="1"/>
  <c r="BQ99" i="1"/>
  <c r="BR99" i="1" s="1"/>
  <c r="BS97" i="1"/>
  <c r="BT97" i="1" s="1"/>
  <c r="BU97" i="1" s="1"/>
  <c r="BS290" i="1"/>
  <c r="BT290" i="1" s="1"/>
  <c r="BU290" i="1" s="1"/>
  <c r="BS155" i="1"/>
  <c r="BT155" i="1" s="1"/>
  <c r="BU155" i="1" s="1"/>
  <c r="BS213" i="1"/>
  <c r="BT213" i="1" s="1"/>
  <c r="BU213" i="1" s="1"/>
  <c r="BS317" i="1"/>
  <c r="BT317" i="1" s="1"/>
  <c r="BU317" i="1" s="1"/>
  <c r="BQ234" i="1"/>
  <c r="BR234" i="1" s="1"/>
  <c r="BS235" i="1"/>
  <c r="BT235" i="1" s="1"/>
  <c r="BU235" i="1" s="1"/>
  <c r="BR352" i="1"/>
  <c r="BT352" i="1" s="1"/>
  <c r="BU352" i="1" s="1"/>
  <c r="BQ45" i="1"/>
  <c r="BR45" i="1" s="1"/>
  <c r="BR120" i="1"/>
  <c r="BT120" i="1" s="1"/>
  <c r="BU120" i="1" s="1"/>
  <c r="BS297" i="1"/>
  <c r="BT297" i="1" s="1"/>
  <c r="BU297" i="1" s="1"/>
  <c r="BS268" i="1"/>
  <c r="BT268" i="1" s="1"/>
  <c r="BU268" i="1" s="1"/>
  <c r="BS355" i="1"/>
  <c r="BT355" i="1" s="1"/>
  <c r="BU355" i="1" s="1"/>
  <c r="BS286" i="1"/>
  <c r="BT286" i="1" s="1"/>
  <c r="BU286" i="1" s="1"/>
  <c r="BQ144" i="1"/>
  <c r="BR144" i="1" s="1"/>
  <c r="BR273" i="1"/>
  <c r="BT273" i="1" s="1"/>
  <c r="BU273" i="1" s="1"/>
  <c r="BS295" i="1"/>
  <c r="BT295" i="1" s="1"/>
  <c r="BU295" i="1" s="1"/>
  <c r="BQ183" i="1"/>
  <c r="BR183" i="1" s="1"/>
  <c r="BS65" i="1"/>
  <c r="BT65" i="1" s="1"/>
  <c r="BU65" i="1" s="1"/>
  <c r="BS258" i="1"/>
  <c r="BT258" i="1" s="1"/>
  <c r="BU258" i="1" s="1"/>
  <c r="BS123" i="1"/>
  <c r="BT123" i="1" s="1"/>
  <c r="BU123" i="1" s="1"/>
  <c r="BS149" i="1"/>
  <c r="BT149" i="1" s="1"/>
  <c r="BU149" i="1" s="1"/>
  <c r="BS350" i="1"/>
  <c r="BT350" i="1" s="1"/>
  <c r="BU350" i="1" s="1"/>
  <c r="BS48" i="1"/>
  <c r="BT48" i="1" s="1"/>
  <c r="BU48" i="1" s="1"/>
  <c r="BS201" i="1"/>
  <c r="BT201" i="1" s="1"/>
  <c r="BU201" i="1" s="1"/>
  <c r="BS60" i="1"/>
  <c r="BT60" i="1" s="1"/>
  <c r="BU60" i="1" s="1"/>
  <c r="BS259" i="1"/>
  <c r="BT259" i="1" s="1"/>
  <c r="BU259" i="1" s="1"/>
  <c r="BS301" i="1"/>
  <c r="BT301" i="1" s="1"/>
  <c r="BU301" i="1" s="1"/>
  <c r="BR19" i="1"/>
  <c r="BT19" i="1" s="1"/>
  <c r="BU19" i="1" s="1"/>
  <c r="BQ78" i="1"/>
  <c r="BR78" i="1" s="1"/>
  <c r="BS233" i="1"/>
  <c r="BT233" i="1" s="1"/>
  <c r="BU233" i="1" s="1"/>
  <c r="BS59" i="1"/>
  <c r="BT59" i="1" s="1"/>
  <c r="BU59" i="1" s="1"/>
  <c r="BS62" i="1"/>
  <c r="BT62" i="1" s="1"/>
  <c r="BU62" i="1" s="1"/>
  <c r="BS154" i="1"/>
  <c r="BT154" i="1" s="1"/>
  <c r="BU154" i="1" s="1"/>
  <c r="BS308" i="1"/>
  <c r="BT308" i="1" s="1"/>
  <c r="BU308" i="1" s="1"/>
  <c r="BQ321" i="1"/>
  <c r="BR321" i="1" s="1"/>
  <c r="BQ195" i="1"/>
  <c r="BR195" i="1" s="1"/>
  <c r="BQ214" i="1"/>
  <c r="BR214" i="1" s="1"/>
  <c r="BS161" i="1"/>
  <c r="BT161" i="1" s="1"/>
  <c r="BU161" i="1" s="1"/>
  <c r="BS354" i="1"/>
  <c r="BT354" i="1" s="1"/>
  <c r="BU354" i="1" s="1"/>
  <c r="BS219" i="1"/>
  <c r="BT219" i="1" s="1"/>
  <c r="BU219" i="1" s="1"/>
  <c r="BS158" i="1"/>
  <c r="BT158" i="1" s="1"/>
  <c r="BU158" i="1" s="1"/>
  <c r="BS369" i="1"/>
  <c r="BT369" i="1" s="1"/>
  <c r="BU369" i="1" s="1"/>
  <c r="BQ239" i="1"/>
  <c r="BR239" i="1" s="1"/>
  <c r="BS42" i="1"/>
  <c r="BT42" i="1" s="1"/>
  <c r="BU42" i="1" s="1"/>
  <c r="BS53" i="1"/>
  <c r="BT53" i="1" s="1"/>
  <c r="BU53" i="1" s="1"/>
  <c r="BS100" i="1"/>
  <c r="BT100" i="1" s="1"/>
  <c r="BU100" i="1" s="1"/>
  <c r="BS223" i="1"/>
  <c r="BT223" i="1" s="1"/>
  <c r="BU223" i="1" s="1"/>
  <c r="BS333" i="1"/>
  <c r="BT333" i="1" s="1"/>
  <c r="BU333" i="1" s="1"/>
  <c r="BQ208" i="1"/>
  <c r="BR208" i="1" s="1"/>
  <c r="BS110" i="1"/>
  <c r="BT110" i="1" s="1"/>
  <c r="BU110" i="1" s="1"/>
  <c r="BS129" i="1"/>
  <c r="BT129" i="1" s="1"/>
  <c r="BU129" i="1" s="1"/>
  <c r="BS322" i="1"/>
  <c r="BT322" i="1" s="1"/>
  <c r="BU322" i="1" s="1"/>
  <c r="BS187" i="1"/>
  <c r="BT187" i="1" s="1"/>
  <c r="BU187" i="1" s="1"/>
  <c r="BS30" i="1"/>
  <c r="BT30" i="1" s="1"/>
  <c r="BU30" i="1" s="1"/>
  <c r="BS247" i="1"/>
  <c r="BT247" i="1" s="1"/>
  <c r="BU247" i="1" s="1"/>
  <c r="BQ63" i="1"/>
  <c r="BR63" i="1" s="1"/>
  <c r="BS188" i="1"/>
  <c r="BT188" i="1" s="1"/>
  <c r="BU188" i="1" s="1"/>
  <c r="BS323" i="1"/>
  <c r="BT323" i="1" s="1"/>
  <c r="BU323" i="1" s="1"/>
  <c r="BS271" i="1"/>
  <c r="BT271" i="1" s="1"/>
  <c r="BU271" i="1" s="1"/>
  <c r="BQ231" i="1"/>
  <c r="BR231" i="1" s="1"/>
  <c r="BS80" i="1"/>
  <c r="BT80" i="1" s="1"/>
  <c r="BU80" i="1" s="1"/>
  <c r="BS291" i="1"/>
  <c r="BT291" i="1" s="1"/>
  <c r="BU291" i="1" s="1"/>
  <c r="BS254" i="1"/>
  <c r="BT254" i="1" s="1"/>
  <c r="BU254" i="1" s="1"/>
  <c r="BS25" i="1"/>
  <c r="BT25" i="1" s="1"/>
  <c r="BU25" i="1" s="1"/>
  <c r="BS218" i="1"/>
  <c r="BT218" i="1" s="1"/>
  <c r="BU218" i="1" s="1"/>
  <c r="BS83" i="1"/>
  <c r="BT83" i="1" s="1"/>
  <c r="BU83" i="1" s="1"/>
  <c r="BS79" i="1"/>
  <c r="BT79" i="1" s="1"/>
  <c r="BU79" i="1" s="1"/>
  <c r="BQ320" i="1"/>
  <c r="BR320" i="1" s="1"/>
  <c r="BS151" i="1"/>
  <c r="BT151" i="1" s="1"/>
  <c r="BU151" i="1" s="1"/>
  <c r="BQ285" i="1"/>
  <c r="BR285" i="1" s="1"/>
  <c r="BS72" i="1"/>
  <c r="BT72" i="1" s="1"/>
  <c r="BU72" i="1" s="1"/>
  <c r="BS225" i="1"/>
  <c r="BT225" i="1" s="1"/>
  <c r="BU225" i="1" s="1"/>
  <c r="BS108" i="1"/>
  <c r="BT108" i="1" s="1"/>
  <c r="BU108" i="1" s="1"/>
  <c r="BS283" i="1"/>
  <c r="BT283" i="1" s="1"/>
  <c r="BU283" i="1" s="1"/>
  <c r="BS357" i="1"/>
  <c r="BT357" i="1" s="1"/>
  <c r="BU357" i="1" s="1"/>
  <c r="BS262" i="1"/>
  <c r="BT262" i="1" s="1"/>
  <c r="BU262" i="1" s="1"/>
  <c r="BQ196" i="1"/>
  <c r="BR196" i="1" s="1"/>
  <c r="BQ309" i="1"/>
  <c r="BR309" i="1" s="1"/>
  <c r="BQ61" i="1"/>
  <c r="BR61" i="1" s="1"/>
  <c r="BQ280" i="1"/>
  <c r="BR280" i="1" s="1"/>
  <c r="BS28" i="1"/>
  <c r="BT28" i="1" s="1"/>
  <c r="BU28" i="1" s="1"/>
  <c r="BQ194" i="1"/>
  <c r="BR194" i="1" s="1"/>
  <c r="BS272" i="1"/>
  <c r="BT272" i="1" s="1"/>
  <c r="BU272" i="1" s="1"/>
  <c r="BS106" i="1"/>
  <c r="BT106" i="1" s="1"/>
  <c r="BU106" i="1" s="1"/>
  <c r="BS165" i="1"/>
  <c r="BT165" i="1" s="1"/>
  <c r="BU165" i="1" s="1"/>
  <c r="BS220" i="1"/>
  <c r="BT220" i="1" s="1"/>
  <c r="BU220" i="1" s="1"/>
  <c r="BS39" i="1"/>
  <c r="BT39" i="1" s="1"/>
  <c r="BU39" i="1" s="1"/>
  <c r="BS54" i="1"/>
  <c r="BT54" i="1" s="1"/>
  <c r="BU54" i="1" s="1"/>
  <c r="BS102" i="1"/>
  <c r="BT102" i="1" s="1"/>
  <c r="BU102" i="1" s="1"/>
  <c r="BQ372" i="1"/>
  <c r="BR372" i="1" s="1"/>
  <c r="BS40" i="1"/>
  <c r="BT40" i="1" s="1"/>
  <c r="BU40" i="1" s="1"/>
  <c r="BS193" i="1"/>
  <c r="BT193" i="1" s="1"/>
  <c r="BU193" i="1" s="1"/>
  <c r="BS44" i="1"/>
  <c r="BT44" i="1" s="1"/>
  <c r="BU44" i="1" s="1"/>
  <c r="BS251" i="1"/>
  <c r="BT251" i="1" s="1"/>
  <c r="BU251" i="1" s="1"/>
  <c r="BS278" i="1"/>
  <c r="BT278" i="1" s="1"/>
  <c r="BU278" i="1" s="1"/>
  <c r="BS134" i="1"/>
  <c r="BT134" i="1" s="1"/>
  <c r="BU134" i="1" s="1"/>
  <c r="BQ360" i="1"/>
  <c r="BR360" i="1" s="1"/>
  <c r="BR36" i="1"/>
  <c r="BT36" i="1" s="1"/>
  <c r="BU36" i="1" s="1"/>
  <c r="BQ324" i="1"/>
  <c r="BR324" i="1" s="1"/>
  <c r="BQ373" i="1"/>
  <c r="BR373" i="1" s="1"/>
  <c r="BQ215" i="1"/>
  <c r="BR215" i="1" s="1"/>
  <c r="BS329" i="1"/>
  <c r="BT329" i="1" s="1"/>
  <c r="BU329" i="1" s="1"/>
  <c r="BS340" i="1"/>
  <c r="BT340" i="1" s="1"/>
  <c r="BU340" i="1" s="1"/>
  <c r="BQ29" i="1"/>
  <c r="BR29" i="1" s="1"/>
  <c r="BS127" i="1"/>
  <c r="BT127" i="1" s="1"/>
  <c r="BU127" i="1" s="1"/>
  <c r="BQ302" i="1"/>
  <c r="BR302" i="1" s="1"/>
  <c r="BR15" i="1"/>
  <c r="BT15" i="1" s="1"/>
  <c r="BU15" i="1" s="1"/>
  <c r="BZ16" i="1"/>
  <c r="CA16" i="1" s="1"/>
  <c r="BZ13" i="1"/>
  <c r="CA13" i="1" s="1"/>
  <c r="BL39" i="1"/>
  <c r="BM39" i="1" s="1"/>
  <c r="BK104" i="1"/>
  <c r="BM104" i="1" s="1"/>
  <c r="BL132" i="1"/>
  <c r="BM132" i="1" s="1"/>
  <c r="BK252" i="1"/>
  <c r="BM252" i="1" s="1"/>
  <c r="BL374" i="1"/>
  <c r="BM374" i="1" s="1"/>
  <c r="BL192" i="1"/>
  <c r="BM192" i="1" s="1"/>
  <c r="BL343" i="1"/>
  <c r="BM343" i="1" s="1"/>
  <c r="BL124" i="1"/>
  <c r="BM124" i="1" s="1"/>
  <c r="BL153" i="1"/>
  <c r="BM153" i="1" s="1"/>
  <c r="BL254" i="1"/>
  <c r="BM254" i="1" s="1"/>
  <c r="BL38" i="1"/>
  <c r="BM38" i="1" s="1"/>
  <c r="BK270" i="1"/>
  <c r="BM270" i="1" s="1"/>
  <c r="BL357" i="1"/>
  <c r="BM357" i="1" s="1"/>
  <c r="BK208" i="1"/>
  <c r="BM208" i="1" s="1"/>
  <c r="BK176" i="1"/>
  <c r="BM176" i="1" s="1"/>
  <c r="BL257" i="1"/>
  <c r="BM257" i="1" s="1"/>
  <c r="BL127" i="1"/>
  <c r="BM127" i="1" s="1"/>
  <c r="BK241" i="1"/>
  <c r="BM241" i="1" s="1"/>
  <c r="BL174" i="1"/>
  <c r="BM174" i="1" s="1"/>
  <c r="BL24" i="1"/>
  <c r="BM24" i="1" s="1"/>
  <c r="BK179" i="1"/>
  <c r="BM179" i="1" s="1"/>
  <c r="BK260" i="1"/>
  <c r="BM260" i="1" s="1"/>
  <c r="BK290" i="1"/>
  <c r="BM290" i="1" s="1"/>
  <c r="BL85" i="1"/>
  <c r="BM85" i="1" s="1"/>
  <c r="BK318" i="1"/>
  <c r="BM318" i="1" s="1"/>
  <c r="BK227" i="1"/>
  <c r="BM227" i="1" s="1"/>
  <c r="BK245" i="1"/>
  <c r="BM245" i="1" s="1"/>
  <c r="BL181" i="1"/>
  <c r="BM181" i="1" s="1"/>
  <c r="BL251" i="1"/>
  <c r="BM251" i="1" s="1"/>
  <c r="BK103" i="1"/>
  <c r="BM103" i="1" s="1"/>
  <c r="BL275" i="1"/>
  <c r="BM275" i="1" s="1"/>
  <c r="BK71" i="1"/>
  <c r="BM71" i="1" s="1"/>
  <c r="BK278" i="1"/>
  <c r="BM278" i="1" s="1"/>
  <c r="BL285" i="1"/>
  <c r="BM285" i="1" s="1"/>
  <c r="BK289" i="1"/>
  <c r="BM289" i="1" s="1"/>
  <c r="BK212" i="1"/>
  <c r="BM212" i="1" s="1"/>
  <c r="BK169" i="1"/>
  <c r="BM169" i="1" s="1"/>
  <c r="BL350" i="1"/>
  <c r="BM350" i="1" s="1"/>
  <c r="BL27" i="1"/>
  <c r="BM27" i="1" s="1"/>
  <c r="BK26" i="1"/>
  <c r="BM26" i="1" s="1"/>
  <c r="BK59" i="1"/>
  <c r="BM59" i="1" s="1"/>
  <c r="BK217" i="1"/>
  <c r="BM217" i="1" s="1"/>
  <c r="BL304" i="1"/>
  <c r="BM304" i="1" s="1"/>
  <c r="BK268" i="1"/>
  <c r="BM268" i="1" s="1"/>
  <c r="BL92" i="1"/>
  <c r="BM92" i="1" s="1"/>
  <c r="BK294" i="1"/>
  <c r="BM294" i="1" s="1"/>
  <c r="BK168" i="1"/>
  <c r="BM168" i="1" s="1"/>
  <c r="BK73" i="1"/>
  <c r="BM73" i="1" s="1"/>
  <c r="BK99" i="1"/>
  <c r="BM99" i="1" s="1"/>
  <c r="BK239" i="1"/>
  <c r="BM239" i="1" s="1"/>
  <c r="BL365" i="1"/>
  <c r="BM365" i="1" s="1"/>
  <c r="BK221" i="1"/>
  <c r="BM221" i="1" s="1"/>
  <c r="BK211" i="1"/>
  <c r="BM211" i="1" s="1"/>
  <c r="BL106" i="1"/>
  <c r="BM106" i="1" s="1"/>
  <c r="BL195" i="1"/>
  <c r="BM195" i="1" s="1"/>
  <c r="BK269" i="1"/>
  <c r="BM269" i="1" s="1"/>
  <c r="BL219" i="1"/>
  <c r="BM219" i="1" s="1"/>
  <c r="BL90" i="1"/>
  <c r="BM90" i="1" s="1"/>
  <c r="BK163" i="1"/>
  <c r="BM163" i="1" s="1"/>
  <c r="BL18" i="1"/>
  <c r="BM18" i="1" s="1"/>
  <c r="BK291" i="1"/>
  <c r="BM291" i="1" s="1"/>
  <c r="BK358" i="1"/>
  <c r="BM358" i="1" s="1"/>
  <c r="BL83" i="1"/>
  <c r="BM83" i="1" s="1"/>
  <c r="BK152" i="1"/>
  <c r="BM152" i="1" s="1"/>
  <c r="BK342" i="1"/>
  <c r="BM342" i="1" s="1"/>
  <c r="BL362" i="1"/>
  <c r="BM362" i="1" s="1"/>
  <c r="BK322" i="1"/>
  <c r="BM322" i="1" s="1"/>
  <c r="BK101" i="1"/>
  <c r="BM101" i="1" s="1"/>
  <c r="BL259" i="1"/>
  <c r="BM259" i="1" s="1"/>
  <c r="BL68" i="1"/>
  <c r="BM68" i="1" s="1"/>
  <c r="BK215" i="1"/>
  <c r="BM215" i="1" s="1"/>
  <c r="BL125" i="1"/>
  <c r="BM125" i="1" s="1"/>
  <c r="BK61" i="1"/>
  <c r="BM61" i="1" s="1"/>
  <c r="BL337" i="1"/>
  <c r="BK337" i="1"/>
  <c r="BL75" i="1"/>
  <c r="BK75" i="1"/>
  <c r="BL164" i="1"/>
  <c r="BK164" i="1"/>
  <c r="BL147" i="1"/>
  <c r="BK147" i="1"/>
  <c r="BL296" i="1"/>
  <c r="BK296" i="1"/>
  <c r="BL271" i="1"/>
  <c r="BK271" i="1"/>
  <c r="BK19" i="1"/>
  <c r="BL19" i="1"/>
  <c r="BK235" i="1"/>
  <c r="BL235" i="1"/>
  <c r="BK102" i="1"/>
  <c r="BL102" i="1"/>
  <c r="BL22" i="1"/>
  <c r="BK22" i="1"/>
  <c r="BL366" i="1"/>
  <c r="BK366" i="1"/>
  <c r="BK52" i="1"/>
  <c r="BL52" i="1"/>
  <c r="BL136" i="1"/>
  <c r="BM136" i="1" s="1"/>
  <c r="BK327" i="1"/>
  <c r="BM327" i="1" s="1"/>
  <c r="BL200" i="1"/>
  <c r="BM200" i="1" s="1"/>
  <c r="BL344" i="1"/>
  <c r="BM344" i="1" s="1"/>
  <c r="BL368" i="1"/>
  <c r="BM368" i="1" s="1"/>
  <c r="BK29" i="1"/>
  <c r="BM29" i="1" s="1"/>
  <c r="BK302" i="1"/>
  <c r="BM302" i="1" s="1"/>
  <c r="BL16" i="1"/>
  <c r="BM16" i="1" s="1"/>
  <c r="BL113" i="1"/>
  <c r="BM113" i="1" s="1"/>
  <c r="BL279" i="1"/>
  <c r="BM279" i="1" s="1"/>
  <c r="BK305" i="1"/>
  <c r="BM305" i="1" s="1"/>
  <c r="BL231" i="1"/>
  <c r="BM231" i="1" s="1"/>
  <c r="BK20" i="1"/>
  <c r="BM20" i="1" s="1"/>
  <c r="BK228" i="1"/>
  <c r="BM228" i="1" s="1"/>
  <c r="BL114" i="1"/>
  <c r="BM114" i="1" s="1"/>
  <c r="BK139" i="1"/>
  <c r="BM139" i="1" s="1"/>
  <c r="BL185" i="1"/>
  <c r="BM185" i="1" s="1"/>
  <c r="BL47" i="1"/>
  <c r="BM47" i="1" s="1"/>
  <c r="BL330" i="1"/>
  <c r="BM330" i="1" s="1"/>
  <c r="BL310" i="1"/>
  <c r="BM310" i="1" s="1"/>
  <c r="BK331" i="1"/>
  <c r="BM331" i="1" s="1"/>
  <c r="BK222" i="1"/>
  <c r="BM222" i="1" s="1"/>
  <c r="BK233" i="1"/>
  <c r="BM233" i="1" s="1"/>
  <c r="BK256" i="1"/>
  <c r="BM256" i="1" s="1"/>
  <c r="BK201" i="1"/>
  <c r="BM201" i="1" s="1"/>
  <c r="BL33" i="1"/>
  <c r="BM33" i="1" s="1"/>
  <c r="BL258" i="1"/>
  <c r="BM258" i="1" s="1"/>
  <c r="BK36" i="1"/>
  <c r="BM36" i="1" s="1"/>
  <c r="BK193" i="1"/>
  <c r="BM193" i="1" s="1"/>
  <c r="BK329" i="1"/>
  <c r="BM329" i="1" s="1"/>
  <c r="BK121" i="1"/>
  <c r="BM121" i="1" s="1"/>
  <c r="BK62" i="1"/>
  <c r="BM62" i="1" s="1"/>
  <c r="BL126" i="1"/>
  <c r="BM126" i="1" s="1"/>
  <c r="BK265" i="1"/>
  <c r="BM265" i="1" s="1"/>
  <c r="BK23" i="1"/>
  <c r="BM23" i="1" s="1"/>
  <c r="BL43" i="1"/>
  <c r="BM43" i="1" s="1"/>
  <c r="BK234" i="1"/>
  <c r="BM234" i="1" s="1"/>
  <c r="BK277" i="1"/>
  <c r="BM277" i="1" s="1"/>
  <c r="BL171" i="1"/>
  <c r="BM171" i="1" s="1"/>
  <c r="BL30" i="1"/>
  <c r="BM30" i="1" s="1"/>
  <c r="BL65" i="1"/>
  <c r="BM65" i="1" s="1"/>
  <c r="BL53" i="1"/>
  <c r="BM53" i="1" s="1"/>
  <c r="BK25" i="1"/>
  <c r="BM25" i="1" s="1"/>
  <c r="BK155" i="1"/>
  <c r="BM155" i="1" s="1"/>
  <c r="BL369" i="1"/>
  <c r="BM369" i="1" s="1"/>
  <c r="BK349" i="1"/>
  <c r="BM349" i="1" s="1"/>
  <c r="BL91" i="1"/>
  <c r="BM91" i="1" s="1"/>
  <c r="BL220" i="1"/>
  <c r="BM220" i="1" s="1"/>
  <c r="BK273" i="1"/>
  <c r="BM273" i="1" s="1"/>
  <c r="BK111" i="1"/>
  <c r="BM111" i="1" s="1"/>
  <c r="BL306" i="1"/>
  <c r="BM306" i="1" s="1"/>
  <c r="BL110" i="1"/>
  <c r="BM110" i="1" s="1"/>
  <c r="BK50" i="1"/>
  <c r="BM50" i="1" s="1"/>
  <c r="BL58" i="1"/>
  <c r="BM58" i="1" s="1"/>
  <c r="BL214" i="1"/>
  <c r="BM214" i="1" s="1"/>
  <c r="BL237" i="1"/>
  <c r="BM237" i="1" s="1"/>
  <c r="BK300" i="1"/>
  <c r="BM300" i="1" s="1"/>
  <c r="BK203" i="1"/>
  <c r="BM203" i="1" s="1"/>
  <c r="BL149" i="1"/>
  <c r="BM149" i="1" s="1"/>
  <c r="BL226" i="1"/>
  <c r="BM226" i="1" s="1"/>
  <c r="BL172" i="1"/>
  <c r="BM172" i="1" s="1"/>
  <c r="BK299" i="1"/>
  <c r="BM299" i="1" s="1"/>
  <c r="BK107" i="1"/>
  <c r="BM107" i="1" s="1"/>
  <c r="BL184" i="1"/>
  <c r="BM184" i="1" s="1"/>
  <c r="BL45" i="1"/>
  <c r="BM45" i="1" s="1"/>
  <c r="BK207" i="1"/>
  <c r="BM207" i="1" s="1"/>
  <c r="BK123" i="1"/>
  <c r="BM123" i="1" s="1"/>
  <c r="BL40" i="1"/>
  <c r="BM40" i="1" s="1"/>
  <c r="BL315" i="1"/>
  <c r="BM315" i="1" s="1"/>
  <c r="BL280" i="1"/>
  <c r="BM280" i="1" s="1"/>
  <c r="BK66" i="1"/>
  <c r="BM66" i="1" s="1"/>
  <c r="BL210" i="1"/>
  <c r="BM210" i="1" s="1"/>
  <c r="BK204" i="1"/>
  <c r="BM204" i="1" s="1"/>
  <c r="BK216" i="1"/>
  <c r="BM216" i="1" s="1"/>
  <c r="BK190" i="1"/>
  <c r="BM190" i="1" s="1"/>
  <c r="BK266" i="1"/>
  <c r="BM266" i="1" s="1"/>
  <c r="BL54" i="1"/>
  <c r="BM54" i="1" s="1"/>
  <c r="BL137" i="1"/>
  <c r="BM137" i="1" s="1"/>
  <c r="BL264" i="1"/>
  <c r="BM264" i="1" s="1"/>
  <c r="BL165" i="1"/>
  <c r="BM165" i="1" s="1"/>
  <c r="BL177" i="1"/>
  <c r="BM177" i="1" s="1"/>
  <c r="BK69" i="1"/>
  <c r="BM69" i="1" s="1"/>
  <c r="BL138" i="1"/>
  <c r="BM138" i="1" s="1"/>
  <c r="BL44" i="1"/>
  <c r="BM44" i="1" s="1"/>
  <c r="BL42" i="1"/>
  <c r="BM42" i="1" s="1"/>
  <c r="BK167" i="1"/>
  <c r="BM167" i="1" s="1"/>
  <c r="BL370" i="1"/>
  <c r="BM370" i="1" s="1"/>
  <c r="BL118" i="1"/>
  <c r="BM118" i="1" s="1"/>
  <c r="BL28" i="1"/>
  <c r="BM28" i="1" s="1"/>
  <c r="BK224" i="1"/>
  <c r="BM224" i="1" s="1"/>
  <c r="BL67" i="1"/>
  <c r="BM67" i="1" s="1"/>
  <c r="BL351" i="1"/>
  <c r="BM351" i="1" s="1"/>
  <c r="BK319" i="1"/>
  <c r="BM319" i="1" s="1"/>
  <c r="BK173" i="1"/>
  <c r="BM173" i="1" s="1"/>
  <c r="BK284" i="1"/>
  <c r="BM284" i="1" s="1"/>
  <c r="BL78" i="1"/>
  <c r="BM78" i="1" s="1"/>
  <c r="BL317" i="1"/>
  <c r="BM317" i="1" s="1"/>
  <c r="BK303" i="1"/>
  <c r="BM303" i="1" s="1"/>
  <c r="BL248" i="1"/>
  <c r="BM248" i="1" s="1"/>
  <c r="BL189" i="1"/>
  <c r="BM189" i="1" s="1"/>
  <c r="BK35" i="1"/>
  <c r="BM35" i="1" s="1"/>
  <c r="BK109" i="1"/>
  <c r="BM109" i="1" s="1"/>
  <c r="BK314" i="1"/>
  <c r="BM314" i="1" s="1"/>
  <c r="BK188" i="1"/>
  <c r="BM188" i="1" s="1"/>
  <c r="BL32" i="1"/>
  <c r="BM32" i="1" s="1"/>
  <c r="BK359" i="1"/>
  <c r="BM359" i="1" s="1"/>
  <c r="BK293" i="1"/>
  <c r="BM293" i="1" s="1"/>
  <c r="BL328" i="1"/>
  <c r="BM328" i="1" s="1"/>
  <c r="BL364" i="1"/>
  <c r="BM364" i="1" s="1"/>
  <c r="BL80" i="1"/>
  <c r="BM80" i="1" s="1"/>
  <c r="BL373" i="1"/>
  <c r="BM373" i="1" s="1"/>
  <c r="BK272" i="1"/>
  <c r="BM272" i="1" s="1"/>
  <c r="BK170" i="1"/>
  <c r="BM170" i="1" s="1"/>
  <c r="BK356" i="1"/>
  <c r="BM356" i="1" s="1"/>
  <c r="BK246" i="1"/>
  <c r="BM246" i="1" s="1"/>
  <c r="BL178" i="1"/>
  <c r="BM178" i="1" s="1"/>
  <c r="BL348" i="1"/>
  <c r="BM348" i="1" s="1"/>
  <c r="BK89" i="1"/>
  <c r="BM89" i="1" s="1"/>
  <c r="BK243" i="1"/>
  <c r="BM243" i="1" s="1"/>
  <c r="BK108" i="1"/>
  <c r="BM108" i="1" s="1"/>
  <c r="BL96" i="1"/>
  <c r="BM96" i="1" s="1"/>
  <c r="BL249" i="1"/>
  <c r="BM249" i="1" s="1"/>
  <c r="BL156" i="1"/>
  <c r="BM156" i="1" s="1"/>
  <c r="BL307" i="1"/>
  <c r="BM307" i="1" s="1"/>
  <c r="BL86" i="1"/>
  <c r="BM86" i="1" s="1"/>
  <c r="BL326" i="1"/>
  <c r="BM326" i="1" s="1"/>
  <c r="BK288" i="1"/>
  <c r="BM288" i="1" s="1"/>
  <c r="BK353" i="1"/>
  <c r="BM353" i="1" s="1"/>
  <c r="BK194" i="1"/>
  <c r="BM194" i="1" s="1"/>
  <c r="BL202" i="1"/>
  <c r="BM202" i="1" s="1"/>
  <c r="BK48" i="1"/>
  <c r="BM48" i="1" s="1"/>
  <c r="BK283" i="1"/>
  <c r="BM283" i="1" s="1"/>
  <c r="BK133" i="1"/>
  <c r="BM133" i="1" s="1"/>
  <c r="BK295" i="1"/>
  <c r="BM295" i="1" s="1"/>
  <c r="BL141" i="1"/>
  <c r="BM141" i="1" s="1"/>
  <c r="BK135" i="1"/>
  <c r="BM135" i="1" s="1"/>
  <c r="BK51" i="1"/>
  <c r="BM51" i="1" s="1"/>
  <c r="BK301" i="1"/>
  <c r="BM301" i="1" s="1"/>
  <c r="BL182" i="1"/>
  <c r="BM182" i="1" s="1"/>
  <c r="BK361" i="1"/>
  <c r="BM361" i="1" s="1"/>
  <c r="BL197" i="1"/>
  <c r="BM197" i="1" s="1"/>
  <c r="BK154" i="1"/>
  <c r="BM154" i="1" s="1"/>
  <c r="BK64" i="1"/>
  <c r="BM64" i="1" s="1"/>
  <c r="BK70" i="1"/>
  <c r="BM70" i="1" s="1"/>
  <c r="BL82" i="1"/>
  <c r="BM82" i="1" s="1"/>
  <c r="BL180" i="1"/>
  <c r="BM180" i="1" s="1"/>
  <c r="BK129" i="1"/>
  <c r="BM129" i="1" s="1"/>
  <c r="BL347" i="1"/>
  <c r="BM347" i="1" s="1"/>
  <c r="BK236" i="1"/>
  <c r="BM236" i="1" s="1"/>
  <c r="BL144" i="1"/>
  <c r="BM144" i="1" s="1"/>
  <c r="BL297" i="1"/>
  <c r="BM297" i="1" s="1"/>
  <c r="BL355" i="1"/>
  <c r="BM355" i="1" s="1"/>
  <c r="BL183" i="1"/>
  <c r="BM183" i="1" s="1"/>
  <c r="BL286" i="1"/>
  <c r="BM286" i="1" s="1"/>
  <c r="BK336" i="1"/>
  <c r="BM336" i="1" s="1"/>
  <c r="BK242" i="1"/>
  <c r="BM242" i="1" s="1"/>
  <c r="BK253" i="1"/>
  <c r="BM253" i="1" s="1"/>
  <c r="BL49" i="1"/>
  <c r="BM49" i="1" s="1"/>
  <c r="BL117" i="1"/>
  <c r="BM117" i="1" s="1"/>
  <c r="BK88" i="1"/>
  <c r="BM88" i="1" s="1"/>
  <c r="BK143" i="1"/>
  <c r="BM143" i="1" s="1"/>
  <c r="BK213" i="1"/>
  <c r="BM213" i="1" s="1"/>
  <c r="BL160" i="1"/>
  <c r="BM160" i="1" s="1"/>
  <c r="BL313" i="1"/>
  <c r="BM313" i="1" s="1"/>
  <c r="BL371" i="1"/>
  <c r="BM371" i="1" s="1"/>
  <c r="BL31" i="1"/>
  <c r="BM31" i="1" s="1"/>
  <c r="BK352" i="1"/>
  <c r="BM352" i="1" s="1"/>
  <c r="BK354" i="1"/>
  <c r="BM354" i="1" s="1"/>
  <c r="BL131" i="1"/>
  <c r="BM131" i="1" s="1"/>
  <c r="BK112" i="1"/>
  <c r="BM112" i="1" s="1"/>
  <c r="BK100" i="1"/>
  <c r="BM100" i="1" s="1"/>
  <c r="BK191" i="1"/>
  <c r="BM191" i="1" s="1"/>
  <c r="BK261" i="1"/>
  <c r="BM261" i="1" s="1"/>
  <c r="BK77" i="1"/>
  <c r="BM77" i="1" s="1"/>
  <c r="BL360" i="1"/>
  <c r="BM360" i="1" s="1"/>
  <c r="BL148" i="1"/>
  <c r="BM148" i="1" s="1"/>
  <c r="BK41" i="1"/>
  <c r="BM41" i="1" s="1"/>
  <c r="BK375" i="1"/>
  <c r="BM375" i="1" s="1"/>
  <c r="BK205" i="1"/>
  <c r="BM205" i="1" s="1"/>
  <c r="BL158" i="1"/>
  <c r="BM158" i="1" s="1"/>
  <c r="BK98" i="1"/>
  <c r="BM98" i="1" s="1"/>
  <c r="BK334" i="1"/>
  <c r="BM334" i="1" s="1"/>
  <c r="BL130" i="1"/>
  <c r="BM130" i="1" s="1"/>
  <c r="BK267" i="1"/>
  <c r="BM267" i="1" s="1"/>
  <c r="BL159" i="1"/>
  <c r="BM159" i="1" s="1"/>
  <c r="BL287" i="1"/>
  <c r="BM287" i="1" s="1"/>
  <c r="BK140" i="1"/>
  <c r="BM140" i="1" s="1"/>
  <c r="BL346" i="1"/>
  <c r="BM346" i="1" s="1"/>
  <c r="BK320" i="1"/>
  <c r="BM320" i="1" s="1"/>
  <c r="BK263" i="1"/>
  <c r="BM263" i="1" s="1"/>
  <c r="BL316" i="1"/>
  <c r="BM316" i="1" s="1"/>
  <c r="BL312" i="1"/>
  <c r="BM312" i="1" s="1"/>
  <c r="BL146" i="1"/>
  <c r="BM146" i="1" s="1"/>
  <c r="BL292" i="1"/>
  <c r="BM292" i="1" s="1"/>
  <c r="BK57" i="1"/>
  <c r="BM57" i="1" s="1"/>
  <c r="BK187" i="1"/>
  <c r="BM187" i="1" s="1"/>
  <c r="BK363" i="1"/>
  <c r="BM363" i="1" s="1"/>
  <c r="BK198" i="1"/>
  <c r="BM198" i="1" s="1"/>
  <c r="BL196" i="1"/>
  <c r="BM196" i="1" s="1"/>
  <c r="BK282" i="1"/>
  <c r="BM282" i="1" s="1"/>
  <c r="BK34" i="1"/>
  <c r="BM34" i="1" s="1"/>
  <c r="BL87" i="1"/>
  <c r="BM87" i="1" s="1"/>
  <c r="BK333" i="1"/>
  <c r="BM333" i="1" s="1"/>
  <c r="BK162" i="1"/>
  <c r="BM162" i="1" s="1"/>
  <c r="BK56" i="1"/>
  <c r="BM56" i="1" s="1"/>
  <c r="BL119" i="1"/>
  <c r="BM119" i="1" s="1"/>
  <c r="BK17" i="1"/>
  <c r="BM17" i="1" s="1"/>
  <c r="BK240" i="1"/>
  <c r="BM240" i="1" s="1"/>
  <c r="BL341" i="1"/>
  <c r="BM341" i="1" s="1"/>
  <c r="BK367" i="1"/>
  <c r="BM367" i="1" s="1"/>
  <c r="BL339" i="1"/>
  <c r="BM339" i="1" s="1"/>
  <c r="BK120" i="1"/>
  <c r="BM120" i="1" s="1"/>
  <c r="BL332" i="1"/>
  <c r="BM332" i="1" s="1"/>
  <c r="BL46" i="1"/>
  <c r="BM46" i="1" s="1"/>
  <c r="BK81" i="1"/>
  <c r="BM81" i="1" s="1"/>
  <c r="BK84" i="1"/>
  <c r="BM84" i="1" s="1"/>
  <c r="BK345" i="1"/>
  <c r="BM345" i="1" s="1"/>
  <c r="BK262" i="1"/>
  <c r="BM262" i="1" s="1"/>
  <c r="BL186" i="1"/>
  <c r="BM186" i="1" s="1"/>
  <c r="BL206" i="1"/>
  <c r="BM206" i="1" s="1"/>
  <c r="BK97" i="1"/>
  <c r="BM97" i="1" s="1"/>
  <c r="BL323" i="1"/>
  <c r="BM323" i="1" s="1"/>
  <c r="BL309" i="1"/>
  <c r="BM309" i="1" s="1"/>
  <c r="BK21" i="1"/>
  <c r="BM21" i="1" s="1"/>
  <c r="BK372" i="1"/>
  <c r="BM372" i="1" s="1"/>
  <c r="BK128" i="1"/>
  <c r="BM128" i="1" s="1"/>
  <c r="BK229" i="1"/>
  <c r="BM229" i="1" s="1"/>
  <c r="BK105" i="1"/>
  <c r="BM105" i="1" s="1"/>
  <c r="BK63" i="1"/>
  <c r="BM63" i="1" s="1"/>
  <c r="BK308" i="1"/>
  <c r="BM308" i="1" s="1"/>
  <c r="BL145" i="1"/>
  <c r="BM145" i="1" s="1"/>
  <c r="BL338" i="1"/>
  <c r="BM338" i="1" s="1"/>
  <c r="BL94" i="1"/>
  <c r="BM94" i="1" s="1"/>
  <c r="BK335" i="1"/>
  <c r="BM335" i="1" s="1"/>
  <c r="BL199" i="1"/>
  <c r="BM199" i="1" s="1"/>
  <c r="BK151" i="1"/>
  <c r="BM151" i="1" s="1"/>
  <c r="BK122" i="1"/>
  <c r="BM122" i="1" s="1"/>
  <c r="BL276" i="1"/>
  <c r="BM276" i="1" s="1"/>
  <c r="BK74" i="1"/>
  <c r="BM74" i="1" s="1"/>
  <c r="BL247" i="1"/>
  <c r="BM247" i="1" s="1"/>
  <c r="BK37" i="1"/>
  <c r="BM37" i="1" s="1"/>
  <c r="BK134" i="1"/>
  <c r="BM134" i="1" s="1"/>
  <c r="BL321" i="1"/>
  <c r="BM321" i="1" s="1"/>
  <c r="BL232" i="1"/>
  <c r="BM232" i="1" s="1"/>
  <c r="BL274" i="1"/>
  <c r="BM274" i="1" s="1"/>
  <c r="BL150" i="1"/>
  <c r="BM150" i="1" s="1"/>
  <c r="BL93" i="1"/>
  <c r="BM93" i="1" s="1"/>
  <c r="BK250" i="1"/>
  <c r="BM250" i="1" s="1"/>
  <c r="BL115" i="1"/>
  <c r="BM115" i="1" s="1"/>
  <c r="BL311" i="1"/>
  <c r="BM311" i="1" s="1"/>
  <c r="BK161" i="1"/>
  <c r="BM161" i="1" s="1"/>
  <c r="BL340" i="1"/>
  <c r="BM340" i="1" s="1"/>
  <c r="BL95" i="1"/>
  <c r="BM95" i="1" s="1"/>
  <c r="BL142" i="1"/>
  <c r="BM142" i="1" s="1"/>
  <c r="BL281" i="1"/>
  <c r="BM281" i="1" s="1"/>
  <c r="BL230" i="1"/>
  <c r="BM230" i="1" s="1"/>
  <c r="BK223" i="1"/>
  <c r="BM223" i="1" s="1"/>
  <c r="BK116" i="1"/>
  <c r="BM116" i="1" s="1"/>
  <c r="BK157" i="1"/>
  <c r="BM157" i="1" s="1"/>
  <c r="BL55" i="1"/>
  <c r="BM55" i="1" s="1"/>
  <c r="BL209" i="1"/>
  <c r="BM209" i="1" s="1"/>
  <c r="BL76" i="1"/>
  <c r="BM76" i="1" s="1"/>
  <c r="BK244" i="1"/>
  <c r="BM244" i="1" s="1"/>
  <c r="BK72" i="1"/>
  <c r="BM72" i="1" s="1"/>
  <c r="BK238" i="1"/>
  <c r="BM238" i="1" s="1"/>
  <c r="BL60" i="1"/>
  <c r="BM60" i="1" s="1"/>
  <c r="BL166" i="1"/>
  <c r="BM166" i="1" s="1"/>
  <c r="BL225" i="1"/>
  <c r="BM225" i="1" s="1"/>
  <c r="BK298" i="1"/>
  <c r="BM298" i="1" s="1"/>
  <c r="BL175" i="1"/>
  <c r="BM175" i="1" s="1"/>
  <c r="BK255" i="1"/>
  <c r="BM255" i="1" s="1"/>
  <c r="BK325" i="1"/>
  <c r="BM325" i="1" s="1"/>
  <c r="BL324" i="1"/>
  <c r="BM324" i="1" s="1"/>
  <c r="BL218" i="1"/>
  <c r="BM218" i="1" s="1"/>
  <c r="BK79" i="1"/>
  <c r="BM79" i="1" s="1"/>
  <c r="BL15" i="1"/>
  <c r="BM15" i="1" s="1"/>
  <c r="BH11" i="1"/>
  <c r="F56" i="1"/>
  <c r="G56" i="1" s="1"/>
  <c r="F55" i="1"/>
  <c r="G55" i="1" s="1"/>
  <c r="J38" i="1"/>
  <c r="N38" i="1" s="1"/>
  <c r="F49" i="1"/>
  <c r="G49" i="1" s="1"/>
  <c r="J39" i="1"/>
  <c r="N39" i="1" s="1"/>
  <c r="F52" i="1"/>
  <c r="G52" i="1" s="1"/>
  <c r="G38" i="1"/>
  <c r="J64" i="1" s="1"/>
  <c r="K64" i="1" s="1"/>
  <c r="L64" i="1" s="1"/>
  <c r="M64" i="1" s="1"/>
  <c r="O64" i="1" s="1"/>
  <c r="G37" i="1"/>
  <c r="BT244" i="1" l="1"/>
  <c r="BU244" i="1" s="1"/>
  <c r="BT250" i="1"/>
  <c r="BU250" i="1" s="1"/>
  <c r="BT179" i="1"/>
  <c r="BU179" i="1" s="1"/>
  <c r="BT248" i="1"/>
  <c r="BU248" i="1" s="1"/>
  <c r="BT311" i="1"/>
  <c r="BU311" i="1" s="1"/>
  <c r="BT274" i="1"/>
  <c r="BU274" i="1" s="1"/>
  <c r="BT178" i="1"/>
  <c r="BU178" i="1" s="1"/>
  <c r="BT189" i="1"/>
  <c r="BU189" i="1" s="1"/>
  <c r="BT292" i="1"/>
  <c r="BU292" i="1" s="1"/>
  <c r="BS356" i="1"/>
  <c r="BT356" i="1" s="1"/>
  <c r="BU356" i="1" s="1"/>
  <c r="BT121" i="1"/>
  <c r="BU121" i="1" s="1"/>
  <c r="BT115" i="1"/>
  <c r="BU115" i="1" s="1"/>
  <c r="BS260" i="1"/>
  <c r="BT260" i="1" s="1"/>
  <c r="BU260" i="1" s="1"/>
  <c r="BT216" i="1"/>
  <c r="BU216" i="1" s="1"/>
  <c r="BS294" i="1"/>
  <c r="BT294" i="1" s="1"/>
  <c r="BU294" i="1" s="1"/>
  <c r="BS78" i="1"/>
  <c r="BT78" i="1" s="1"/>
  <c r="BU78" i="1" s="1"/>
  <c r="BS281" i="1"/>
  <c r="BT281" i="1" s="1"/>
  <c r="BU281" i="1" s="1"/>
  <c r="BS370" i="1"/>
  <c r="BT370" i="1" s="1"/>
  <c r="BU370" i="1" s="1"/>
  <c r="BS337" i="1"/>
  <c r="BT337" i="1" s="1"/>
  <c r="BU337" i="1" s="1"/>
  <c r="BS372" i="1"/>
  <c r="BT372" i="1" s="1"/>
  <c r="BU372" i="1" s="1"/>
  <c r="BS302" i="1"/>
  <c r="BT302" i="1" s="1"/>
  <c r="BU302" i="1" s="1"/>
  <c r="BS170" i="1"/>
  <c r="BT170" i="1" s="1"/>
  <c r="BU170" i="1" s="1"/>
  <c r="BS343" i="1"/>
  <c r="BT343" i="1" s="1"/>
  <c r="BU343" i="1" s="1"/>
  <c r="BS227" i="1"/>
  <c r="BT227" i="1" s="1"/>
  <c r="BU227" i="1" s="1"/>
  <c r="BS128" i="1"/>
  <c r="BT128" i="1" s="1"/>
  <c r="BU128" i="1" s="1"/>
  <c r="BT58" i="1"/>
  <c r="BU58" i="1" s="1"/>
  <c r="BS204" i="1"/>
  <c r="BT204" i="1" s="1"/>
  <c r="BU204" i="1" s="1"/>
  <c r="BS126" i="1"/>
  <c r="BT126" i="1" s="1"/>
  <c r="BU126" i="1" s="1"/>
  <c r="BS109" i="1"/>
  <c r="BT109" i="1" s="1"/>
  <c r="BU109" i="1" s="1"/>
  <c r="BS256" i="1"/>
  <c r="BT256" i="1" s="1"/>
  <c r="BU256" i="1" s="1"/>
  <c r="BS45" i="1"/>
  <c r="BT45" i="1" s="1"/>
  <c r="BU45" i="1" s="1"/>
  <c r="BS315" i="1"/>
  <c r="BT315" i="1" s="1"/>
  <c r="BU315" i="1" s="1"/>
  <c r="BS147" i="1"/>
  <c r="BT147" i="1" s="1"/>
  <c r="BU147" i="1" s="1"/>
  <c r="BS139" i="1"/>
  <c r="BT139" i="1" s="1"/>
  <c r="BU139" i="1" s="1"/>
  <c r="BS68" i="1"/>
  <c r="BT68" i="1" s="1"/>
  <c r="BU68" i="1" s="1"/>
  <c r="BT243" i="1"/>
  <c r="BU243" i="1" s="1"/>
  <c r="BS175" i="1"/>
  <c r="BT175" i="1" s="1"/>
  <c r="BU175" i="1" s="1"/>
  <c r="BT313" i="1"/>
  <c r="BU313" i="1" s="1"/>
  <c r="BS144" i="1"/>
  <c r="BT144" i="1" s="1"/>
  <c r="BU144" i="1" s="1"/>
  <c r="BS29" i="1"/>
  <c r="BT29" i="1" s="1"/>
  <c r="BU29" i="1" s="1"/>
  <c r="BS163" i="1"/>
  <c r="BT163" i="1" s="1"/>
  <c r="BU163" i="1" s="1"/>
  <c r="BS374" i="1"/>
  <c r="BT374" i="1" s="1"/>
  <c r="BU374" i="1" s="1"/>
  <c r="BS214" i="1"/>
  <c r="BT214" i="1" s="1"/>
  <c r="BU214" i="1" s="1"/>
  <c r="BS27" i="1"/>
  <c r="BT27" i="1" s="1"/>
  <c r="BU27" i="1" s="1"/>
  <c r="BS246" i="1"/>
  <c r="BT246" i="1" s="1"/>
  <c r="BU246" i="1" s="1"/>
  <c r="BT198" i="1"/>
  <c r="BU198" i="1" s="1"/>
  <c r="BT174" i="1"/>
  <c r="BU174" i="1" s="1"/>
  <c r="BT146" i="1"/>
  <c r="BU146" i="1" s="1"/>
  <c r="BS84" i="1"/>
  <c r="BT84" i="1" s="1"/>
  <c r="BU84" i="1" s="1"/>
  <c r="BS241" i="1"/>
  <c r="BT241" i="1" s="1"/>
  <c r="BU241" i="1" s="1"/>
  <c r="BS157" i="1"/>
  <c r="BT157" i="1" s="1"/>
  <c r="BU157" i="1" s="1"/>
  <c r="BT236" i="1"/>
  <c r="BU236" i="1" s="1"/>
  <c r="BT18" i="1"/>
  <c r="BU18" i="1" s="1"/>
  <c r="BT304" i="1"/>
  <c r="BU304" i="1" s="1"/>
  <c r="BS221" i="1"/>
  <c r="BT221" i="1" s="1"/>
  <c r="BU221" i="1" s="1"/>
  <c r="BS119" i="1"/>
  <c r="BT119" i="1" s="1"/>
  <c r="BU119" i="1" s="1"/>
  <c r="BS238" i="1"/>
  <c r="BT238" i="1" s="1"/>
  <c r="BU238" i="1" s="1"/>
  <c r="BS287" i="1"/>
  <c r="BT287" i="1" s="1"/>
  <c r="BU287" i="1" s="1"/>
  <c r="BS195" i="1"/>
  <c r="BT195" i="1" s="1"/>
  <c r="BU195" i="1" s="1"/>
  <c r="BS232" i="1"/>
  <c r="BT232" i="1" s="1"/>
  <c r="BU232" i="1" s="1"/>
  <c r="BS49" i="1"/>
  <c r="BT49" i="1" s="1"/>
  <c r="BU49" i="1" s="1"/>
  <c r="BS327" i="1"/>
  <c r="BT327" i="1" s="1"/>
  <c r="BU327" i="1" s="1"/>
  <c r="BS34" i="1"/>
  <c r="BT34" i="1" s="1"/>
  <c r="BU34" i="1" s="1"/>
  <c r="BS76" i="1"/>
  <c r="BT76" i="1" s="1"/>
  <c r="BU76" i="1" s="1"/>
  <c r="BS345" i="1"/>
  <c r="BT345" i="1" s="1"/>
  <c r="BU345" i="1" s="1"/>
  <c r="BS296" i="1"/>
  <c r="BT296" i="1" s="1"/>
  <c r="BU296" i="1" s="1"/>
  <c r="BS183" i="1"/>
  <c r="BT183" i="1" s="1"/>
  <c r="BU183" i="1" s="1"/>
  <c r="BS239" i="1"/>
  <c r="BT239" i="1" s="1"/>
  <c r="BU239" i="1" s="1"/>
  <c r="BT135" i="1"/>
  <c r="BU135" i="1" s="1"/>
  <c r="BS331" i="1"/>
  <c r="BT331" i="1" s="1"/>
  <c r="BU331" i="1" s="1"/>
  <c r="BS208" i="1"/>
  <c r="BT208" i="1" s="1"/>
  <c r="BU208" i="1" s="1"/>
  <c r="BS320" i="1"/>
  <c r="BT320" i="1" s="1"/>
  <c r="BU320" i="1" s="1"/>
  <c r="BS196" i="1"/>
  <c r="BT196" i="1" s="1"/>
  <c r="BU196" i="1" s="1"/>
  <c r="BT307" i="1"/>
  <c r="BU307" i="1" s="1"/>
  <c r="BS211" i="1"/>
  <c r="BT211" i="1" s="1"/>
  <c r="BU211" i="1" s="1"/>
  <c r="BS326" i="1"/>
  <c r="BT326" i="1" s="1"/>
  <c r="BU326" i="1" s="1"/>
  <c r="BT310" i="1"/>
  <c r="BU310" i="1" s="1"/>
  <c r="BS118" i="1"/>
  <c r="BT118" i="1" s="1"/>
  <c r="BU118" i="1" s="1"/>
  <c r="BS197" i="1"/>
  <c r="BT197" i="1" s="1"/>
  <c r="BU197" i="1" s="1"/>
  <c r="BS182" i="1"/>
  <c r="BT182" i="1" s="1"/>
  <c r="BU182" i="1" s="1"/>
  <c r="BS111" i="1"/>
  <c r="BT111" i="1" s="1"/>
  <c r="BU111" i="1" s="1"/>
  <c r="BS199" i="1"/>
  <c r="BT199" i="1" s="1"/>
  <c r="BU199" i="1" s="1"/>
  <c r="BS136" i="1"/>
  <c r="BT136" i="1" s="1"/>
  <c r="BU136" i="1" s="1"/>
  <c r="BS131" i="1"/>
  <c r="BT131" i="1" s="1"/>
  <c r="BU131" i="1" s="1"/>
  <c r="BS228" i="1"/>
  <c r="BT228" i="1" s="1"/>
  <c r="BU228" i="1" s="1"/>
  <c r="BS280" i="1"/>
  <c r="BT280" i="1" s="1"/>
  <c r="BU280" i="1" s="1"/>
  <c r="BS360" i="1"/>
  <c r="BT360" i="1" s="1"/>
  <c r="BU360" i="1" s="1"/>
  <c r="BS63" i="1"/>
  <c r="BT63" i="1" s="1"/>
  <c r="BU63" i="1" s="1"/>
  <c r="BT82" i="1"/>
  <c r="BU82" i="1" s="1"/>
  <c r="BS33" i="1"/>
  <c r="BT33" i="1" s="1"/>
  <c r="BU33" i="1" s="1"/>
  <c r="BT279" i="1"/>
  <c r="BU279" i="1" s="1"/>
  <c r="BS316" i="1"/>
  <c r="BT316" i="1" s="1"/>
  <c r="BU316" i="1" s="1"/>
  <c r="BS300" i="1"/>
  <c r="BT300" i="1" s="1"/>
  <c r="BU300" i="1" s="1"/>
  <c r="BS71" i="1"/>
  <c r="BT71" i="1" s="1"/>
  <c r="BU71" i="1" s="1"/>
  <c r="BS191" i="1"/>
  <c r="BT191" i="1" s="1"/>
  <c r="BU191" i="1" s="1"/>
  <c r="BT184" i="1"/>
  <c r="BU184" i="1" s="1"/>
  <c r="BS348" i="1"/>
  <c r="BT348" i="1" s="1"/>
  <c r="BU348" i="1" s="1"/>
  <c r="BS190" i="1"/>
  <c r="BT190" i="1" s="1"/>
  <c r="BU190" i="1" s="1"/>
  <c r="BS55" i="1"/>
  <c r="BT55" i="1" s="1"/>
  <c r="BU55" i="1" s="1"/>
  <c r="BS38" i="1"/>
  <c r="BT38" i="1" s="1"/>
  <c r="BU38" i="1" s="1"/>
  <c r="BS89" i="1"/>
  <c r="BT89" i="1" s="1"/>
  <c r="BU89" i="1" s="1"/>
  <c r="BS104" i="1"/>
  <c r="BT104" i="1" s="1"/>
  <c r="BU104" i="1" s="1"/>
  <c r="BS362" i="1"/>
  <c r="BT362" i="1" s="1"/>
  <c r="BU362" i="1" s="1"/>
  <c r="BT303" i="1"/>
  <c r="BU303" i="1" s="1"/>
  <c r="BS169" i="1"/>
  <c r="BT169" i="1" s="1"/>
  <c r="BU169" i="1" s="1"/>
  <c r="BS61" i="1"/>
  <c r="BT61" i="1" s="1"/>
  <c r="BU61" i="1" s="1"/>
  <c r="BR20" i="1"/>
  <c r="BT20" i="1" s="1"/>
  <c r="BU20" i="1" s="1"/>
  <c r="BS215" i="1"/>
  <c r="BT215" i="1" s="1"/>
  <c r="BU215" i="1" s="1"/>
  <c r="BS373" i="1"/>
  <c r="BT373" i="1" s="1"/>
  <c r="BU373" i="1" s="1"/>
  <c r="BS264" i="1"/>
  <c r="BT264" i="1" s="1"/>
  <c r="BU264" i="1" s="1"/>
  <c r="BS168" i="1"/>
  <c r="BT168" i="1" s="1"/>
  <c r="BU168" i="1" s="1"/>
  <c r="BS99" i="1"/>
  <c r="BT99" i="1" s="1"/>
  <c r="BU99" i="1" s="1"/>
  <c r="BT56" i="1"/>
  <c r="BU56" i="1" s="1"/>
  <c r="BS77" i="1"/>
  <c r="BT77" i="1" s="1"/>
  <c r="BU77" i="1" s="1"/>
  <c r="BS353" i="1"/>
  <c r="BT353" i="1" s="1"/>
  <c r="BU353" i="1" s="1"/>
  <c r="BT81" i="1"/>
  <c r="BU81" i="1" s="1"/>
  <c r="BS336" i="1"/>
  <c r="BT336" i="1" s="1"/>
  <c r="BU336" i="1" s="1"/>
  <c r="BS162" i="1"/>
  <c r="BT162" i="1" s="1"/>
  <c r="BU162" i="1" s="1"/>
  <c r="BS288" i="1"/>
  <c r="BT288" i="1" s="1"/>
  <c r="BU288" i="1" s="1"/>
  <c r="BS37" i="1"/>
  <c r="BT37" i="1" s="1"/>
  <c r="BU37" i="1" s="1"/>
  <c r="BS347" i="1"/>
  <c r="BT347" i="1" s="1"/>
  <c r="BU347" i="1" s="1"/>
  <c r="BS57" i="1"/>
  <c r="BT57" i="1" s="1"/>
  <c r="BU57" i="1" s="1"/>
  <c r="BS26" i="1"/>
  <c r="BT26" i="1" s="1"/>
  <c r="BU26" i="1" s="1"/>
  <c r="BS284" i="1"/>
  <c r="BT284" i="1" s="1"/>
  <c r="BU284" i="1" s="1"/>
  <c r="BS159" i="1"/>
  <c r="BT159" i="1" s="1"/>
  <c r="BU159" i="1" s="1"/>
  <c r="BS309" i="1"/>
  <c r="BT309" i="1" s="1"/>
  <c r="BU309" i="1" s="1"/>
  <c r="BS194" i="1"/>
  <c r="BT194" i="1" s="1"/>
  <c r="BU194" i="1" s="1"/>
  <c r="BS231" i="1"/>
  <c r="BT231" i="1" s="1"/>
  <c r="BU231" i="1" s="1"/>
  <c r="BS234" i="1"/>
  <c r="BT234" i="1" s="1"/>
  <c r="BU234" i="1" s="1"/>
  <c r="BS252" i="1"/>
  <c r="BT252" i="1" s="1"/>
  <c r="BU252" i="1" s="1"/>
  <c r="BS192" i="1"/>
  <c r="BT192" i="1" s="1"/>
  <c r="BU192" i="1" s="1"/>
  <c r="BJ11" i="1"/>
  <c r="BN371" i="1" s="1"/>
  <c r="BS324" i="1"/>
  <c r="BT324" i="1" s="1"/>
  <c r="BU324" i="1" s="1"/>
  <c r="BS321" i="1"/>
  <c r="BT321" i="1" s="1"/>
  <c r="BU321" i="1" s="1"/>
  <c r="BS346" i="1"/>
  <c r="BT346" i="1" s="1"/>
  <c r="BU346" i="1" s="1"/>
  <c r="BS339" i="1"/>
  <c r="BT339" i="1" s="1"/>
  <c r="BU339" i="1" s="1"/>
  <c r="BS285" i="1"/>
  <c r="BT285" i="1" s="1"/>
  <c r="BU285" i="1" s="1"/>
  <c r="BS91" i="1"/>
  <c r="BT91" i="1" s="1"/>
  <c r="BU91" i="1" s="1"/>
  <c r="BS46" i="1"/>
  <c r="BT46" i="1" s="1"/>
  <c r="BU46" i="1" s="1"/>
  <c r="BS328" i="1"/>
  <c r="BT328" i="1" s="1"/>
  <c r="BU328" i="1" s="1"/>
  <c r="BT210" i="1"/>
  <c r="BU210" i="1" s="1"/>
  <c r="BS289" i="1"/>
  <c r="BT289" i="1" s="1"/>
  <c r="BU289" i="1" s="1"/>
  <c r="BM366" i="1"/>
  <c r="BM164" i="1"/>
  <c r="BM75" i="1"/>
  <c r="BM337" i="1"/>
  <c r="BM52" i="1"/>
  <c r="BM235" i="1"/>
  <c r="BM296" i="1"/>
  <c r="BM147" i="1"/>
  <c r="BM22" i="1"/>
  <c r="BM19" i="1"/>
  <c r="BM271" i="1"/>
  <c r="BM102" i="1"/>
  <c r="G41" i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N64" i="1"/>
  <c r="J69" i="1"/>
  <c r="J62" i="1"/>
  <c r="K62" i="1" s="1"/>
  <c r="L62" i="1" s="1"/>
  <c r="M62" i="1" s="1"/>
  <c r="N62" i="1" s="1"/>
  <c r="BN329" i="1" l="1"/>
  <c r="BN122" i="1"/>
  <c r="BN84" i="1"/>
  <c r="BN170" i="1"/>
  <c r="BN41" i="1"/>
  <c r="BN173" i="1"/>
  <c r="BN225" i="1"/>
  <c r="BN298" i="1"/>
  <c r="BN268" i="1"/>
  <c r="BN348" i="1"/>
  <c r="BN38" i="1"/>
  <c r="BN161" i="1"/>
  <c r="BN49" i="1"/>
  <c r="BN156" i="1"/>
  <c r="BN271" i="1"/>
  <c r="BN75" i="1"/>
  <c r="BN304" i="1"/>
  <c r="BN243" i="1"/>
  <c r="BN278" i="1"/>
  <c r="BN310" i="1"/>
  <c r="BN181" i="1"/>
  <c r="BN367" i="1"/>
  <c r="BN323" i="1"/>
  <c r="BN335" i="1"/>
  <c r="BN130" i="1"/>
  <c r="BN256" i="1"/>
  <c r="BN35" i="1"/>
  <c r="BN57" i="1"/>
  <c r="BN152" i="1"/>
  <c r="BN234" i="1"/>
  <c r="BN246" i="1"/>
  <c r="BN93" i="1"/>
  <c r="BN118" i="1"/>
  <c r="BN90" i="1"/>
  <c r="BN189" i="1"/>
  <c r="BN242" i="1"/>
  <c r="BN37" i="1"/>
  <c r="BN214" i="1"/>
  <c r="BN203" i="1"/>
  <c r="BN27" i="1"/>
  <c r="BN344" i="1"/>
  <c r="BN111" i="1"/>
  <c r="BN355" i="1"/>
  <c r="BN273" i="1"/>
  <c r="BN106" i="1"/>
  <c r="BN19" i="1"/>
  <c r="BN164" i="1"/>
  <c r="BN168" i="1"/>
  <c r="BN277" i="1"/>
  <c r="BN109" i="1"/>
  <c r="BN31" i="1"/>
  <c r="BN308" i="1"/>
  <c r="BN279" i="1"/>
  <c r="BN218" i="1"/>
  <c r="BN129" i="1"/>
  <c r="BN43" i="1"/>
  <c r="BN208" i="1"/>
  <c r="BN124" i="1"/>
  <c r="BN125" i="1"/>
  <c r="BN107" i="1"/>
  <c r="BN288" i="1"/>
  <c r="BN316" i="1"/>
  <c r="BN281" i="1"/>
  <c r="BN69" i="1"/>
  <c r="BN305" i="1"/>
  <c r="BN374" i="1"/>
  <c r="BN158" i="1"/>
  <c r="BN172" i="1"/>
  <c r="BN59" i="1"/>
  <c r="BN62" i="1"/>
  <c r="BN78" i="1"/>
  <c r="BN88" i="1"/>
  <c r="BN21" i="1"/>
  <c r="BN322" i="1"/>
  <c r="BN134" i="1"/>
  <c r="BN336" i="1"/>
  <c r="BN110" i="1"/>
  <c r="BN104" i="1"/>
  <c r="BN362" i="1"/>
  <c r="BN300" i="1"/>
  <c r="BN96" i="1"/>
  <c r="BN159" i="1"/>
  <c r="BN115" i="1"/>
  <c r="BN224" i="1"/>
  <c r="BN221" i="1"/>
  <c r="BN199" i="1"/>
  <c r="BN283" i="1"/>
  <c r="BN368" i="1"/>
  <c r="BN253" i="1"/>
  <c r="BN274" i="1"/>
  <c r="BN22" i="1"/>
  <c r="BN366" i="1"/>
  <c r="BN195" i="1"/>
  <c r="BN349" i="1"/>
  <c r="BN80" i="1"/>
  <c r="BN77" i="1"/>
  <c r="BN276" i="1"/>
  <c r="BN265" i="1"/>
  <c r="BN270" i="1"/>
  <c r="BN100" i="1"/>
  <c r="BN266" i="1"/>
  <c r="BN103" i="1"/>
  <c r="BN257" i="1"/>
  <c r="BN302" i="1"/>
  <c r="BN66" i="1"/>
  <c r="BN141" i="1"/>
  <c r="BN196" i="1"/>
  <c r="BN244" i="1"/>
  <c r="BN249" i="1"/>
  <c r="BN23" i="1"/>
  <c r="BN169" i="1"/>
  <c r="BN120" i="1"/>
  <c r="BN54" i="1"/>
  <c r="BN99" i="1"/>
  <c r="BN30" i="1"/>
  <c r="BN188" i="1"/>
  <c r="BN354" i="1"/>
  <c r="BN338" i="1"/>
  <c r="BN327" i="1"/>
  <c r="BN60" i="1"/>
  <c r="BN140" i="1"/>
  <c r="BN44" i="1"/>
  <c r="BN254" i="1"/>
  <c r="BN136" i="1"/>
  <c r="BN45" i="1"/>
  <c r="BN194" i="1"/>
  <c r="BN146" i="1"/>
  <c r="BN223" i="1"/>
  <c r="BN359" i="1"/>
  <c r="BN258" i="1"/>
  <c r="BN166" i="1"/>
  <c r="BN313" i="1"/>
  <c r="BN193" i="1"/>
  <c r="BN236" i="1"/>
  <c r="BN95" i="1"/>
  <c r="BN83" i="1"/>
  <c r="BN334" i="1"/>
  <c r="BN212" i="1"/>
  <c r="BN358" i="1"/>
  <c r="BN64" i="1"/>
  <c r="BN286" i="1"/>
  <c r="BN232" i="1"/>
  <c r="BN220" i="1"/>
  <c r="BN247" i="1"/>
  <c r="BN339" i="1"/>
  <c r="BN113" i="1"/>
  <c r="BN34" i="1"/>
  <c r="BN306" i="1"/>
  <c r="BN187" i="1"/>
  <c r="BN363" i="1"/>
  <c r="BN209" i="1"/>
  <c r="BN296" i="1"/>
  <c r="BN299" i="1"/>
  <c r="BN263" i="1"/>
  <c r="BN101" i="1"/>
  <c r="BN331" i="1"/>
  <c r="BN370" i="1"/>
  <c r="BN245" i="1"/>
  <c r="BN36" i="1"/>
  <c r="BN342" i="1"/>
  <c r="BN267" i="1"/>
  <c r="BN18" i="1"/>
  <c r="BN227" i="1"/>
  <c r="BN82" i="1"/>
  <c r="BN324" i="1"/>
  <c r="BN190" i="1"/>
  <c r="BN56" i="1"/>
  <c r="BN235" i="1"/>
  <c r="BN176" i="1"/>
  <c r="BN29" i="1"/>
  <c r="BN280" i="1"/>
  <c r="BN295" i="1"/>
  <c r="BN198" i="1"/>
  <c r="BN76" i="1"/>
  <c r="BN301" i="1"/>
  <c r="BN330" i="1"/>
  <c r="BN79" i="1"/>
  <c r="BN191" i="1"/>
  <c r="BN369" i="1"/>
  <c r="BN26" i="1"/>
  <c r="BN121" i="1"/>
  <c r="BN284" i="1"/>
  <c r="BN117" i="1"/>
  <c r="BN309" i="1"/>
  <c r="BN289" i="1"/>
  <c r="BN262" i="1"/>
  <c r="BN182" i="1"/>
  <c r="BN226" i="1"/>
  <c r="BN294" i="1"/>
  <c r="BN153" i="1"/>
  <c r="BN61" i="1"/>
  <c r="BN184" i="1"/>
  <c r="BN353" i="1"/>
  <c r="BN312" i="1"/>
  <c r="BN230" i="1"/>
  <c r="BN356" i="1"/>
  <c r="BN200" i="1"/>
  <c r="BN157" i="1"/>
  <c r="BN346" i="1"/>
  <c r="BN285" i="1"/>
  <c r="BN201" i="1"/>
  <c r="BN28" i="1"/>
  <c r="BN183" i="1"/>
  <c r="BN345" i="1"/>
  <c r="BN132" i="1"/>
  <c r="BN292" i="1"/>
  <c r="BN248" i="1"/>
  <c r="BN231" i="1"/>
  <c r="BN55" i="1"/>
  <c r="BN86" i="1"/>
  <c r="BN332" i="1"/>
  <c r="BN98" i="1"/>
  <c r="BN147" i="1"/>
  <c r="BN58" i="1"/>
  <c r="BN150" i="1"/>
  <c r="BN333" i="1"/>
  <c r="BN85" i="1"/>
  <c r="BN264" i="1"/>
  <c r="BN255" i="1"/>
  <c r="BN259" i="1"/>
  <c r="BN219" i="1"/>
  <c r="BN148" i="1"/>
  <c r="BN24" i="1"/>
  <c r="BN241" i="1"/>
  <c r="BN51" i="1"/>
  <c r="BN202" i="1"/>
  <c r="BN50" i="1"/>
  <c r="BN215" i="1"/>
  <c r="BN142" i="1"/>
  <c r="BN361" i="1"/>
  <c r="BN233" i="1"/>
  <c r="BN81" i="1"/>
  <c r="BN293" i="1"/>
  <c r="BN39" i="1"/>
  <c r="BN108" i="1"/>
  <c r="BN216" i="1"/>
  <c r="BN347" i="1"/>
  <c r="BN185" i="1"/>
  <c r="BN341" i="1"/>
  <c r="BN213" i="1"/>
  <c r="BN92" i="1"/>
  <c r="BN319" i="1"/>
  <c r="BN261" i="1"/>
  <c r="BN52" i="1"/>
  <c r="BN290" i="1"/>
  <c r="BN228" i="1"/>
  <c r="BN137" i="1"/>
  <c r="BN154" i="1"/>
  <c r="BN119" i="1"/>
  <c r="BN175" i="1"/>
  <c r="BN112" i="1"/>
  <c r="BN149" i="1"/>
  <c r="BN179" i="1"/>
  <c r="BN162" i="1"/>
  <c r="BN315" i="1"/>
  <c r="BN73" i="1"/>
  <c r="BN171" i="1"/>
  <c r="BN314" i="1"/>
  <c r="BN352" i="1"/>
  <c r="BN145" i="1"/>
  <c r="BN365" i="1"/>
  <c r="BN311" i="1"/>
  <c r="BN205" i="1"/>
  <c r="BN351" i="1"/>
  <c r="BN68" i="1"/>
  <c r="BN127" i="1"/>
  <c r="BN16" i="1"/>
  <c r="BN210" i="1"/>
  <c r="BN135" i="1"/>
  <c r="BN282" i="1"/>
  <c r="BN72" i="1"/>
  <c r="BN180" i="1"/>
  <c r="BN25" i="1"/>
  <c r="BN357" i="1"/>
  <c r="BN206" i="1"/>
  <c r="BN217" i="1"/>
  <c r="BN126" i="1"/>
  <c r="BN317" i="1"/>
  <c r="BN143" i="1"/>
  <c r="BN372" i="1"/>
  <c r="BN163" i="1"/>
  <c r="BN128" i="1"/>
  <c r="BN48" i="1"/>
  <c r="BN155" i="1"/>
  <c r="BN192" i="1"/>
  <c r="BN197" i="1"/>
  <c r="BN97" i="1"/>
  <c r="BN320" i="1"/>
  <c r="BN15" i="1"/>
  <c r="BN89" i="1"/>
  <c r="BN207" i="1"/>
  <c r="BN328" i="1"/>
  <c r="BN114" i="1"/>
  <c r="BN17" i="1"/>
  <c r="BN123" i="1"/>
  <c r="BN364" i="1"/>
  <c r="BN272" i="1"/>
  <c r="BN53" i="1"/>
  <c r="BN178" i="1"/>
  <c r="BN204" i="1"/>
  <c r="BN238" i="1"/>
  <c r="BN251" i="1"/>
  <c r="BN343" i="1"/>
  <c r="BN326" i="1"/>
  <c r="BN303" i="1"/>
  <c r="BN321" i="1"/>
  <c r="BN71" i="1"/>
  <c r="BN297" i="1"/>
  <c r="BN287" i="1"/>
  <c r="BN260" i="1"/>
  <c r="BN237" i="1"/>
  <c r="BN250" i="1"/>
  <c r="BN229" i="1"/>
  <c r="BN177" i="1"/>
  <c r="BN105" i="1"/>
  <c r="BN102" i="1"/>
  <c r="BN337" i="1"/>
  <c r="BN275" i="1"/>
  <c r="BN222" i="1"/>
  <c r="BN167" i="1"/>
  <c r="BN144" i="1"/>
  <c r="BN46" i="1"/>
  <c r="BN174" i="1"/>
  <c r="BN87" i="1"/>
  <c r="BN67" i="1"/>
  <c r="BN291" i="1"/>
  <c r="BN151" i="1"/>
  <c r="BN42" i="1"/>
  <c r="BN269" i="1"/>
  <c r="BN91" i="1"/>
  <c r="BN373" i="1"/>
  <c r="BN360" i="1"/>
  <c r="BN74" i="1"/>
  <c r="BN47" i="1"/>
  <c r="BN252" i="1"/>
  <c r="BN186" i="1"/>
  <c r="BN307" i="1"/>
  <c r="BN20" i="1"/>
  <c r="BN318" i="1"/>
  <c r="BN139" i="1"/>
  <c r="BN165" i="1"/>
  <c r="BN70" i="1"/>
  <c r="BN240" i="1"/>
  <c r="BN325" i="1"/>
  <c r="BN375" i="1"/>
  <c r="BN138" i="1"/>
  <c r="BN211" i="1"/>
  <c r="BN340" i="1"/>
  <c r="BN239" i="1"/>
  <c r="BN65" i="1"/>
  <c r="BN32" i="1"/>
  <c r="BN131" i="1"/>
  <c r="BN94" i="1"/>
  <c r="BN33" i="1"/>
  <c r="BN116" i="1"/>
  <c r="BN160" i="1"/>
  <c r="BN40" i="1"/>
  <c r="BN350" i="1"/>
  <c r="BN133" i="1"/>
  <c r="BN63" i="1"/>
  <c r="BQ21" i="1"/>
  <c r="BR21" i="1" s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N33" i="1"/>
  <c r="K50" i="1"/>
  <c r="J55" i="1"/>
  <c r="O39" i="1"/>
  <c r="O34" i="1" s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BS21" i="1" l="1"/>
  <c r="BT21" i="1" s="1"/>
  <c r="BU21" i="1" s="1"/>
  <c r="K72" i="1"/>
  <c r="U3" i="1" s="1"/>
  <c r="N71" i="1"/>
  <c r="O71" i="1"/>
  <c r="N70" i="1"/>
  <c r="O70" i="1"/>
  <c r="N69" i="1"/>
  <c r="O69" i="1"/>
  <c r="M72" i="1"/>
  <c r="N34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O72" i="1" l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F76" i="1" l="1"/>
  <c r="E76" i="1"/>
  <c r="P57" i="1"/>
  <c r="N57" i="1"/>
  <c r="B75" i="1" s="1"/>
  <c r="U4" i="1" s="1"/>
  <c r="W4" i="1" s="1"/>
  <c r="O57" i="1"/>
  <c r="B77" i="1" l="1"/>
  <c r="P59" i="1"/>
  <c r="B76" i="1"/>
  <c r="O59" i="1"/>
  <c r="AB7" i="1"/>
  <c r="O58" i="1"/>
  <c r="P58" i="1"/>
  <c r="B79" i="1" l="1"/>
  <c r="U5" i="1" s="1"/>
  <c r="BO9" i="1" s="1"/>
  <c r="BV9" i="1" s="1"/>
  <c r="B80" i="1"/>
  <c r="U6" i="1" s="1"/>
  <c r="BP9" i="1" s="1"/>
  <c r="BW9" i="1" s="1"/>
  <c r="F75" i="1"/>
  <c r="E75" i="1"/>
  <c r="S58" i="1"/>
  <c r="T58" i="1"/>
  <c r="AA9" i="1" l="1"/>
  <c r="B83" i="1"/>
  <c r="AB9" i="1"/>
  <c r="AC9" i="1" s="1"/>
  <c r="W6" i="1"/>
  <c r="U18" i="1"/>
  <c r="U19" i="1" s="1"/>
  <c r="U21" i="1" s="1"/>
  <c r="U8" i="1"/>
  <c r="AA7" i="1" s="1"/>
  <c r="U7" i="1"/>
  <c r="Y14" i="1" s="1"/>
  <c r="Z14" i="1" s="1"/>
  <c r="BX9" i="1"/>
  <c r="BZ9" i="1" s="1"/>
  <c r="BQ9" i="1"/>
  <c r="BR9" i="1" s="1"/>
  <c r="V19" i="1" l="1"/>
  <c r="V21" i="1" s="1"/>
  <c r="W19" i="1"/>
  <c r="W21" i="1" s="1"/>
  <c r="X7" i="1"/>
  <c r="X13" i="1" s="1"/>
  <c r="W7" i="1"/>
  <c r="BY9" i="1"/>
  <c r="CA9" i="1" s="1"/>
  <c r="CB9" i="1" s="1"/>
  <c r="BS9" i="1"/>
  <c r="BT9" i="1" s="1"/>
  <c r="BU9" i="1" s="1"/>
  <c r="U23" i="1" l="1"/>
  <c r="V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<sst xmlns="http://schemas.openxmlformats.org/spreadsheetml/2006/main" count="269" uniqueCount="164">
  <si>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</si>
  <si>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</si>
  <si>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</si>
  <si>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</si>
  <si>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</si>
  <si>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</si>
  <si>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</si>
  <si>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</si>
  <si>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</si>
  <si>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</si>
  <si>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</si>
  <si>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</si>
  <si>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</si>
  <si>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</si>
  <si>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</si>
  <si>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</si>
  <si>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</si>
  <si>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</si>
  <si>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</si>
  <si>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</si>
  <si>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</si>
  <si>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</si>
  <si>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</si>
  <si>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</si>
  <si>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</si>
  <si>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</si>
  <si>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</si>
  <si>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</si>
  <si>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</si>
  <si>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</si>
  <si>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</si>
  <si>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</si>
  <si>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</si>
  <si>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</si>
  <si>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</si>
  <si>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</si>
  <si>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</si>
  <si>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</si>
  <si>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</si>
  <si>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</si>
  <si>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</si>
  <si>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</si>
  <si>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</si>
  <si>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</si>
  <si>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</si>
  <si>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</si>
  <si>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</si>
  <si>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</si>
  <si>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</si>
  <si>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</si>
  <si>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</si>
  <si>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</si>
  <si>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</si>
  <si>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</si>
  <si>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</si>
  <si>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</si>
  <si>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</si>
  <si>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</si>
  <si>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</si>
  <si>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</si>
  <si>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</si>
  <si>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</si>
  <si>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</si>
  <si>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</si>
  <si>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</si>
  <si>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</si>
  <si>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</si>
  <si>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</si>
  <si>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</si>
  <si>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</si>
  <si>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</si>
  <si>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</si>
  <si>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</si>
  <si>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</si>
  <si>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</si>
  <si>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</si>
  <si>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</si>
  <si>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</si>
  <si>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</si>
  <si>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</si>
  <si>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</si>
  <si>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</si>
  <si>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</si>
  <si>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</si>
  <si>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</si>
  <si>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</si>
  <si>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</si>
  <si>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</si>
  <si>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</si>
  <si>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</si>
  <si>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</si>
  <si>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</si>
  <si>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</si>
  <si>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</si>
  <si>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</si>
  <si>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</si>
  <si>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</si>
  <si>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</si>
  <si>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</si>
  <si>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</si>
  <si>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</si>
  <si>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</si>
  <si>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</si>
  <si>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</si>
  <si>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</si>
  <si>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</si>
  <si>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</si>
  <si>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</si>
  <si>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</si>
  <si>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</si>
  <si>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</si>
  <si>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</si>
  <si>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</si>
  <si>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</si>
  <si>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</si>
  <si>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</si>
  <si>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</si>
  <si>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</si>
  <si>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</si>
  <si>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</si>
  <si>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</si>
  <si>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</si>
  <si>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</si>
  <si>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</si>
  <si>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</si>
  <si>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</si>
  <si>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</si>
  <si>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</si>
  <si>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</si>
  <si>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</si>
  <si>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</si>
  <si>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</si>
  <si>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</si>
  <si>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</si>
  <si>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</si>
  <si>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</si>
  <si>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</si>
  <si>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</si>
  <si>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</si>
  <si>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ak1</t>
  </si>
  <si>
    <t>adelt</t>
  </si>
  <si>
    <t>amk</t>
  </si>
  <si>
    <t>amk1</t>
  </si>
  <si>
    <t>Newton-Raphson Steps</t>
  </si>
  <si>
    <t>Newton_Raphson Relax Factor:</t>
  </si>
  <si>
    <t>Abs(Alpha - Tan-1)</t>
  </si>
  <si>
    <t>Tan-1 - User Tan-1</t>
  </si>
  <si>
    <t>abs(Tan-1 - User Tan-1)</t>
  </si>
  <si>
    <t>Alpha+2pi</t>
  </si>
  <si>
    <t>Try Working with a guess center point of Mx vs My instead of 0,0</t>
  </si>
  <si>
    <t>Guess Point - determined via parametric line between full compression and tension</t>
  </si>
  <si>
    <t>2D Vector Between User Load and New Center Point - moving from load to point</t>
  </si>
  <si>
    <t>UG</t>
  </si>
  <si>
    <t>|UG|</t>
  </si>
  <si>
    <t>unit V</t>
  </si>
  <si>
    <t>2D Vectors from Guess to Mx v My Plot</t>
  </si>
  <si>
    <t>|v|</t>
  </si>
  <si>
    <t>Ux</t>
  </si>
  <si>
    <t>Uy</t>
  </si>
  <si>
    <t>Tan-1 Ux/Uy</t>
  </si>
  <si>
    <t>delta</t>
  </si>
  <si>
    <t>M0</t>
  </si>
  <si>
    <t>Mrd</t>
  </si>
  <si>
    <t>Screen Update: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</si>
</sst>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51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11" fontId="0" fillId="2" borderId="0" xfId="0" applyNumberFormat="1" applyFill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5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left"/>
    </xf>
    <xf numFmtId="11" fontId="0" fillId="2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-24</c:v>
                </c:pt>
                <c:pt idx="6">
                  <c:v>-24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-21</c:v>
                </c:pt>
                <c:pt idx="1">
                  <c:v>-11</c:v>
                </c:pt>
                <c:pt idx="2">
                  <c:v>-1</c:v>
                </c:pt>
                <c:pt idx="3">
                  <c:v>9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22</c:v>
                </c:pt>
                <c:pt idx="1">
                  <c:v>22</c:v>
                </c:pt>
                <c:pt idx="2">
                  <c:v>22</c:v>
                </c:pt>
                <c:pt idx="3">
                  <c:v>22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-34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13.359134732726108</c:v>
                </c:pt>
                <c:pt idx="1">
                  <c:v>-26.132291188009852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-0.63383055981474357</c:v>
                </c:pt>
                <c:pt idx="1">
                  <c:v>22.321583916207807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12.739442194639274</c:v>
                </c:pt>
                <c:pt idx="1">
                  <c:v>-26.751983726096686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-1.6999207402839858</c:v>
                </c:pt>
                <c:pt idx="1">
                  <c:v>21.255493735738565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-3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-4.056510923783379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6.3602743520998999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-10.13180535551645</c:v>
                </c:pt>
                <c:pt idx="1">
                  <c:v>-20.506429988483205</c:v>
                </c:pt>
                <c:pt idx="2">
                  <c:v>-12.465737511390126</c:v>
                </c:pt>
                <c:pt idx="3">
                  <c:v>-12.465737511390126</c:v>
                </c:pt>
                <c:pt idx="4">
                  <c:v>-8.4453912728435867</c:v>
                </c:pt>
                <c:pt idx="5">
                  <c:v>22.678482626056677</c:v>
                </c:pt>
                <c:pt idx="6">
                  <c:v>18.65813638751014</c:v>
                </c:pt>
                <c:pt idx="7">
                  <c:v>-2.0911128784233712</c:v>
                </c:pt>
                <c:pt idx="8">
                  <c:v>-10.13180535551645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11.460650951753491</c:v>
                </c:pt>
                <c:pt idx="1">
                  <c:v>5.4301315939336821</c:v>
                </c:pt>
                <c:pt idx="2">
                  <c:v>-8.4027012500219911</c:v>
                </c:pt>
                <c:pt idx="3">
                  <c:v>-8.4027012500219911</c:v>
                </c:pt>
                <c:pt idx="4">
                  <c:v>-15.319117671999827</c:v>
                </c:pt>
                <c:pt idx="5">
                  <c:v>2.7724404014595994</c:v>
                </c:pt>
                <c:pt idx="6">
                  <c:v>9.688856823437435</c:v>
                </c:pt>
                <c:pt idx="7">
                  <c:v>-2.3721818922021818</c:v>
                </c:pt>
                <c:pt idx="8">
                  <c:v>11.460650951753491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19.079739908178354</c:v>
                </c:pt>
                <c:pt idx="1">
                  <c:v>10.434219380706057</c:v>
                </c:pt>
                <c:pt idx="2">
                  <c:v>1.7886988532337627</c:v>
                </c:pt>
                <c:pt idx="3">
                  <c:v>-6.8568216742385335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2.9939146674991051</c:v>
                </c:pt>
                <c:pt idx="1">
                  <c:v>-2.0315181306840682</c:v>
                </c:pt>
                <c:pt idx="2">
                  <c:v>-7.0569509288672414</c:v>
                </c:pt>
                <c:pt idx="3">
                  <c:v>-12.082383727050416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-22</c:v>
                </c:pt>
                <c:pt idx="1">
                  <c:v>23.678482626056677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5.2950870792162732</c:v>
                </c:pt>
                <c:pt idx="1">
                  <c:v>5.2950870792162732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-22</c:v>
                </c:pt>
                <c:pt idx="1">
                  <c:v>23.678482626056677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6.5281998537237174</c:v>
                </c:pt>
                <c:pt idx="1">
                  <c:v>6.5281998537237174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-10.13180535551645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20.495350138716102</c:v>
                </c:pt>
                <c:pt idx="6">
                  <c:v>18.65813638751014</c:v>
                </c:pt>
                <c:pt idx="7">
                  <c:v>-7.2646903628786781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11.460650951753491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6.5281998537237174</c:v>
                </c:pt>
                <c:pt idx="6">
                  <c:v>9.688856823437435</c:v>
                </c:pt>
                <c:pt idx="7">
                  <c:v>6.5281998537237174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-18.617364496648825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18.65813638751014</c:v>
                </c:pt>
                <c:pt idx="6">
                  <c:v>13.220689343777464</c:v>
                </c:pt>
                <c:pt idx="7">
                  <c:v>-10.13180535551645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6.5281998537237174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9.688856823437435</c:v>
                </c:pt>
                <c:pt idx="6">
                  <c:v>6.5281998537237174</c:v>
                </c:pt>
                <c:pt idx="7">
                  <c:v>11.460650951753491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196.88704407437012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1.044519990500703E-8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100</c:v>
                </c:pt>
                <c:pt idx="1">
                  <c:v>196.88704407437012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1E-8</c:v>
                </c:pt>
                <c:pt idx="1">
                  <c:v>1.044519990500703E-8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L_Section_Capacity!$AT$2:$AT$362</c:f>
              <c:numCache>
                <c:formatCode>0.000</c:formatCode>
                <c:ptCount val="361"/>
                <c:pt idx="0">
                  <c:v>-286.40752941242613</c:v>
                </c:pt>
                <c:pt idx="1">
                  <c:v>-286.40053702708877</c:v>
                </c:pt>
                <c:pt idx="2">
                  <c:v>-286.37954280081669</c:v>
                </c:pt>
                <c:pt idx="3">
                  <c:v>-286.34449551094752</c:v>
                </c:pt>
                <c:pt idx="4">
                  <c:v>-286.29530943724137</c:v>
                </c:pt>
                <c:pt idx="5">
                  <c:v>-286.23186399539327</c:v>
                </c:pt>
                <c:pt idx="6">
                  <c:v>-286.15400304826238</c:v>
                </c:pt>
                <c:pt idx="7">
                  <c:v>-286.06153410043373</c:v>
                </c:pt>
                <c:pt idx="8">
                  <c:v>-285.95422729518953</c:v>
                </c:pt>
                <c:pt idx="9">
                  <c:v>-285.83181417806372</c:v>
                </c:pt>
                <c:pt idx="10">
                  <c:v>-285.69398627622962</c:v>
                </c:pt>
                <c:pt idx="11">
                  <c:v>-285.54039339027815</c:v>
                </c:pt>
                <c:pt idx="12">
                  <c:v>-285.37064171715235</c:v>
                </c:pt>
                <c:pt idx="13">
                  <c:v>-285.184291619806</c:v>
                </c:pt>
                <c:pt idx="14">
                  <c:v>-284.98085520954021</c:v>
                </c:pt>
                <c:pt idx="15">
                  <c:v>-284.75979354273727</c:v>
                </c:pt>
                <c:pt idx="16">
                  <c:v>-284.52051348735336</c:v>
                </c:pt>
                <c:pt idx="17">
                  <c:v>-284.26236423371745</c:v>
                </c:pt>
                <c:pt idx="18">
                  <c:v>-283.98463344151526</c:v>
                </c:pt>
                <c:pt idx="19">
                  <c:v>-283.68654286487197</c:v>
                </c:pt>
                <c:pt idx="20">
                  <c:v>-283.36724350329962</c:v>
                </c:pt>
                <c:pt idx="21">
                  <c:v>-283.02581024967822</c:v>
                </c:pt>
                <c:pt idx="22">
                  <c:v>-282.66123587184484</c:v>
                </c:pt>
                <c:pt idx="23">
                  <c:v>-282.27242435852946</c:v>
                </c:pt>
                <c:pt idx="24">
                  <c:v>-281.85818345286697</c:v>
                </c:pt>
                <c:pt idx="25">
                  <c:v>-281.41721641816792</c:v>
                </c:pt>
                <c:pt idx="26">
                  <c:v>-280.94811277497638</c:v>
                </c:pt>
                <c:pt idx="27">
                  <c:v>-280.44933799970022</c:v>
                </c:pt>
                <c:pt idx="28">
                  <c:v>-279.91922200100811</c:v>
                </c:pt>
                <c:pt idx="29">
                  <c:v>-279.35594627204682</c:v>
                </c:pt>
                <c:pt idx="30">
                  <c:v>-278.7575294077534</c:v>
                </c:pt>
                <c:pt idx="31">
                  <c:v>-278.12181096567451</c:v>
                </c:pt>
                <c:pt idx="32">
                  <c:v>-277.44738490371947</c:v>
                </c:pt>
                <c:pt idx="33">
                  <c:v>-276.75915316443627</c:v>
                </c:pt>
                <c:pt idx="34">
                  <c:v>-276.06846497785864</c:v>
                </c:pt>
                <c:pt idx="35">
                  <c:v>-275.37450870792134</c:v>
                </c:pt>
                <c:pt idx="36">
                  <c:v>-274.67646801505305</c:v>
                </c:pt>
                <c:pt idx="37">
                  <c:v>-273.97351684050244</c:v>
                </c:pt>
                <c:pt idx="38">
                  <c:v>-273.26481458987007</c:v>
                </c:pt>
                <c:pt idx="39">
                  <c:v>-272.54950104699196</c:v>
                </c:pt>
                <c:pt idx="40">
                  <c:v>-271.82669138223679</c:v>
                </c:pt>
                <c:pt idx="41">
                  <c:v>-271.09547075041638</c:v>
                </c:pt>
                <c:pt idx="42">
                  <c:v>-270.35488878039246</c:v>
                </c:pt>
                <c:pt idx="43">
                  <c:v>-269.6039536056993</c:v>
                </c:pt>
                <c:pt idx="44">
                  <c:v>-268.84162543458706</c:v>
                </c:pt>
                <c:pt idx="45">
                  <c:v>-268.06680970161364</c:v>
                </c:pt>
                <c:pt idx="46">
                  <c:v>-267.27834938127046</c:v>
                </c:pt>
                <c:pt idx="47">
                  <c:v>-266.47501669680025</c:v>
                </c:pt>
                <c:pt idx="48">
                  <c:v>-265.65550378786537</c:v>
                </c:pt>
                <c:pt idx="49">
                  <c:v>-264.81841237607711</c:v>
                </c:pt>
                <c:pt idx="50">
                  <c:v>-263.96224210888329</c:v>
                </c:pt>
                <c:pt idx="51">
                  <c:v>-263.085377405229</c:v>
                </c:pt>
                <c:pt idx="52">
                  <c:v>-262.18607258932417</c:v>
                </c:pt>
                <c:pt idx="53">
                  <c:v>-261.2624347882151</c:v>
                </c:pt>
                <c:pt idx="54">
                  <c:v>-260.31240454448675</c:v>
                </c:pt>
                <c:pt idx="55">
                  <c:v>-259.333733290667</c:v>
                </c:pt>
                <c:pt idx="56">
                  <c:v>-258.32395741778373</c:v>
                </c:pt>
                <c:pt idx="57">
                  <c:v>-257.28036809137825</c:v>
                </c:pt>
                <c:pt idx="58">
                  <c:v>-256.19997597621801</c:v>
                </c:pt>
                <c:pt idx="59">
                  <c:v>-255.07946987251447</c:v>
                </c:pt>
                <c:pt idx="60">
                  <c:v>-253.91516777434424</c:v>
                </c:pt>
                <c:pt idx="61">
                  <c:v>-252.70295890753755</c:v>
                </c:pt>
                <c:pt idx="62">
                  <c:v>-251.43823446480147</c:v>
                </c:pt>
                <c:pt idx="63">
                  <c:v>-249.89154988250027</c:v>
                </c:pt>
                <c:pt idx="64">
                  <c:v>-247.24734528432884</c:v>
                </c:pt>
                <c:pt idx="65">
                  <c:v>-244.56699758452544</c:v>
                </c:pt>
                <c:pt idx="66">
                  <c:v>-241.84474994922894</c:v>
                </c:pt>
                <c:pt idx="67">
                  <c:v>-239.07420085390413</c:v>
                </c:pt>
                <c:pt idx="68">
                  <c:v>-236.2481609363397</c:v>
                </c:pt>
                <c:pt idx="69">
                  <c:v>-233.35847195594033</c:v>
                </c:pt>
                <c:pt idx="70">
                  <c:v>-230.39577486607743</c:v>
                </c:pt>
                <c:pt idx="71">
                  <c:v>-227.34920842746419</c:v>
                </c:pt>
                <c:pt idx="72">
                  <c:v>-224.20601173857125</c:v>
                </c:pt>
                <c:pt idx="73">
                  <c:v>-220.95099146403393</c:v>
                </c:pt>
                <c:pt idx="74">
                  <c:v>-217.56579499479375</c:v>
                </c:pt>
                <c:pt idx="75">
                  <c:v>-214.02789938479327</c:v>
                </c:pt>
                <c:pt idx="76">
                  <c:v>-210.30917419199969</c:v>
                </c:pt>
                <c:pt idx="77">
                  <c:v>-206.37378860845268</c:v>
                </c:pt>
                <c:pt idx="78">
                  <c:v>-202.17507906121557</c:v>
                </c:pt>
                <c:pt idx="79">
                  <c:v>-197.65071195007653</c:v>
                </c:pt>
                <c:pt idx="80">
                  <c:v>-192.71493855329064</c:v>
                </c:pt>
                <c:pt idx="81">
                  <c:v>-187.24565780521033</c:v>
                </c:pt>
                <c:pt idx="82">
                  <c:v>-181.06205489039957</c:v>
                </c:pt>
                <c:pt idx="83">
                  <c:v>-174.47756401423476</c:v>
                </c:pt>
                <c:pt idx="84">
                  <c:v>-167.91425792504305</c:v>
                </c:pt>
                <c:pt idx="85">
                  <c:v>-161.36686489362103</c:v>
                </c:pt>
                <c:pt idx="86">
                  <c:v>-154.82988643446168</c:v>
                </c:pt>
                <c:pt idx="87">
                  <c:v>-148.2974928171673</c:v>
                </c:pt>
                <c:pt idx="88">
                  <c:v>-141.76337860581089</c:v>
                </c:pt>
                <c:pt idx="89">
                  <c:v>-135.22055658398904</c:v>
                </c:pt>
                <c:pt idx="90">
                  <c:v>-128.66105356563219</c:v>
                </c:pt>
                <c:pt idx="91">
                  <c:v>-117.24033629292798</c:v>
                </c:pt>
                <c:pt idx="92">
                  <c:v>-106.32710829754372</c:v>
                </c:pt>
                <c:pt idx="93">
                  <c:v>-95.86738090242531</c:v>
                </c:pt>
                <c:pt idx="94">
                  <c:v>-85.808580907927322</c:v>
                </c:pt>
                <c:pt idx="95">
                  <c:v>-76.100936550665011</c:v>
                </c:pt>
                <c:pt idx="96">
                  <c:v>-66.698303705298883</c:v>
                </c:pt>
                <c:pt idx="97">
                  <c:v>-57.872619786300078</c:v>
                </c:pt>
                <c:pt idx="98">
                  <c:v>-50.897741490191471</c:v>
                </c:pt>
                <c:pt idx="99">
                  <c:v>-45.364564790970839</c:v>
                </c:pt>
                <c:pt idx="100">
                  <c:v>-40.854849512122016</c:v>
                </c:pt>
                <c:pt idx="101">
                  <c:v>-38.524650657480706</c:v>
                </c:pt>
                <c:pt idx="102">
                  <c:v>-35.253994153544703</c:v>
                </c:pt>
                <c:pt idx="103">
                  <c:v>-32.438656291178987</c:v>
                </c:pt>
                <c:pt idx="104">
                  <c:v>-29.984897510117115</c:v>
                </c:pt>
                <c:pt idx="105">
                  <c:v>-27.823288516001728</c:v>
                </c:pt>
                <c:pt idx="106">
                  <c:v>-25.901265153534869</c:v>
                </c:pt>
                <c:pt idx="107">
                  <c:v>-24.178270037749517</c:v>
                </c:pt>
                <c:pt idx="108">
                  <c:v>-22.622487782191332</c:v>
                </c:pt>
                <c:pt idx="109">
                  <c:v>-21.208594108563148</c:v>
                </c:pt>
                <c:pt idx="110">
                  <c:v>-19.916168881099974</c:v>
                </c:pt>
                <c:pt idx="111">
                  <c:v>-18.728554623746689</c:v>
                </c:pt>
                <c:pt idx="112">
                  <c:v>-17.632020885431466</c:v>
                </c:pt>
                <c:pt idx="113">
                  <c:v>-16.615142649484092</c:v>
                </c:pt>
                <c:pt idx="114">
                  <c:v>-15.668331235545041</c:v>
                </c:pt>
                <c:pt idx="115">
                  <c:v>-14.783475709986748</c:v>
                </c:pt>
                <c:pt idx="116">
                  <c:v>-13.953665406456809</c:v>
                </c:pt>
                <c:pt idx="117">
                  <c:v>-13.172972916762484</c:v>
                </c:pt>
                <c:pt idx="118">
                  <c:v>-12.436282693196556</c:v>
                </c:pt>
                <c:pt idx="119">
                  <c:v>-11.739154324996189</c:v>
                </c:pt>
                <c:pt idx="120">
                  <c:v>-11.077712608129939</c:v>
                </c:pt>
                <c:pt idx="121">
                  <c:v>-10.448558441517399</c:v>
                </c:pt>
                <c:pt idx="122">
                  <c:v>-9.8486960605489635</c:v>
                </c:pt>
                <c:pt idx="123">
                  <c:v>-9.2754731809342275</c:v>
                </c:pt>
                <c:pt idx="124">
                  <c:v>-8.7265314534321927</c:v>
                </c:pt>
                <c:pt idx="125">
                  <c:v>-8.1997651880266176</c:v>
                </c:pt>
                <c:pt idx="126">
                  <c:v>-7.6932868249021631</c:v>
                </c:pt>
                <c:pt idx="127">
                  <c:v>-7.2053977701654386</c:v>
                </c:pt>
                <c:pt idx="128">
                  <c:v>-6.7345637137165228</c:v>
                </c:pt>
                <c:pt idx="129">
                  <c:v>-6.279393668860541</c:v>
                </c:pt>
                <c:pt idx="130">
                  <c:v>-5.8386219767053547</c:v>
                </c:pt>
                <c:pt idx="131">
                  <c:v>-5.4110927857869626</c:v>
                </c:pt>
                <c:pt idx="132">
                  <c:v>-4.9957467760435179</c:v>
                </c:pt>
                <c:pt idx="133">
                  <c:v>-4.522816288448757</c:v>
                </c:pt>
                <c:pt idx="134">
                  <c:v>-4.0211076607557628</c:v>
                </c:pt>
                <c:pt idx="135">
                  <c:v>-3.5401525497955615</c:v>
                </c:pt>
                <c:pt idx="136">
                  <c:v>-3.0784766501389869</c:v>
                </c:pt>
                <c:pt idx="137">
                  <c:v>-2.6347300975998791</c:v>
                </c:pt>
                <c:pt idx="138">
                  <c:v>-2.207673521388068</c:v>
                </c:pt>
                <c:pt idx="139">
                  <c:v>-1.7961658595586585</c:v>
                </c:pt>
                <c:pt idx="140">
                  <c:v>-1.3991534494305258</c:v>
                </c:pt>
                <c:pt idx="141">
                  <c:v>-1.0156604128370077</c:v>
                </c:pt>
                <c:pt idx="142">
                  <c:v>-0.6447799235287448</c:v>
                </c:pt>
                <c:pt idx="143">
                  <c:v>-0.28566641466792364</c:v>
                </c:pt>
                <c:pt idx="144">
                  <c:v>6.2471627323293429E-2</c:v>
                </c:pt>
                <c:pt idx="145">
                  <c:v>0.40037820565994481</c:v>
                </c:pt>
                <c:pt idx="146">
                  <c:v>0.72875593446962628</c:v>
                </c:pt>
                <c:pt idx="147">
                  <c:v>1.0482718943132907</c:v>
                </c:pt>
                <c:pt idx="148">
                  <c:v>1.3595631267485091</c:v>
                </c:pt>
                <c:pt idx="149">
                  <c:v>1.6632421092365917</c:v>
                </c:pt>
                <c:pt idx="150">
                  <c:v>1.9599021810064245</c:v>
                </c:pt>
                <c:pt idx="151">
                  <c:v>2.2501231441615177</c:v>
                </c:pt>
                <c:pt idx="152">
                  <c:v>2.5344770191746644</c:v>
                </c:pt>
                <c:pt idx="153">
                  <c:v>2.8135343827585189</c:v>
                </c:pt>
                <c:pt idx="154">
                  <c:v>3.0878712049692578</c:v>
                </c:pt>
                <c:pt idx="155">
                  <c:v>3.3580767056567025</c:v>
                </c:pt>
                <c:pt idx="156">
                  <c:v>3.6247623584650341</c:v>
                </c:pt>
                <c:pt idx="157">
                  <c:v>3.888572564980203</c:v>
                </c:pt>
                <c:pt idx="158">
                  <c:v>4.1501975223756737</c:v>
                </c:pt>
                <c:pt idx="159">
                  <c:v>4.4103890414293492</c:v>
                </c:pt>
                <c:pt idx="160">
                  <c:v>4.6699803870811198</c:v>
                </c:pt>
                <c:pt idx="161">
                  <c:v>4.9299114272774425</c:v>
                </c:pt>
                <c:pt idx="162">
                  <c:v>5.1912612265842766</c:v>
                </c:pt>
                <c:pt idx="163">
                  <c:v>5.4039590241524866</c:v>
                </c:pt>
                <c:pt idx="164">
                  <c:v>5.5866053157607674</c:v>
                </c:pt>
                <c:pt idx="165">
                  <c:v>5.7648791931138277</c:v>
                </c:pt>
                <c:pt idx="166">
                  <c:v>5.9400880719531468</c:v>
                </c:pt>
                <c:pt idx="167">
                  <c:v>6.1138682502142814</c:v>
                </c:pt>
                <c:pt idx="168">
                  <c:v>6.2883287198977769</c:v>
                </c:pt>
                <c:pt idx="169">
                  <c:v>6.4662701204818269</c:v>
                </c:pt>
                <c:pt idx="170">
                  <c:v>6.6515280571304523</c:v>
                </c:pt>
                <c:pt idx="171">
                  <c:v>6.8495339041067584</c:v>
                </c:pt>
                <c:pt idx="172">
                  <c:v>7.0467663841838135</c:v>
                </c:pt>
                <c:pt idx="173">
                  <c:v>7.2309350963823373</c:v>
                </c:pt>
                <c:pt idx="174">
                  <c:v>7.4920722729646316</c:v>
                </c:pt>
                <c:pt idx="175">
                  <c:v>7.8343125447008539</c:v>
                </c:pt>
                <c:pt idx="176">
                  <c:v>8.3265655596738135</c:v>
                </c:pt>
                <c:pt idx="177">
                  <c:v>9.1220117902946427</c:v>
                </c:pt>
                <c:pt idx="178">
                  <c:v>10.478045003172952</c:v>
                </c:pt>
                <c:pt idx="179">
                  <c:v>11.599413382697968</c:v>
                </c:pt>
                <c:pt idx="180">
                  <c:v>12.599109831981837</c:v>
                </c:pt>
                <c:pt idx="181">
                  <c:v>11.599413380923865</c:v>
                </c:pt>
                <c:pt idx="182">
                  <c:v>10.478045006312719</c:v>
                </c:pt>
                <c:pt idx="183">
                  <c:v>9.1220117795605056</c:v>
                </c:pt>
                <c:pt idx="184">
                  <c:v>8.3265655640470175</c:v>
                </c:pt>
                <c:pt idx="185">
                  <c:v>7.8343125413767902</c:v>
                </c:pt>
                <c:pt idx="186">
                  <c:v>7.4920722657674226</c:v>
                </c:pt>
                <c:pt idx="187">
                  <c:v>7.2309350942380499</c:v>
                </c:pt>
                <c:pt idx="188">
                  <c:v>7.0467663855604652</c:v>
                </c:pt>
                <c:pt idx="189">
                  <c:v>6.8495339049202437</c:v>
                </c:pt>
                <c:pt idx="190">
                  <c:v>6.6515280714886638</c:v>
                </c:pt>
                <c:pt idx="191">
                  <c:v>6.4662701220877006</c:v>
                </c:pt>
                <c:pt idx="192">
                  <c:v>6.2883287331014017</c:v>
                </c:pt>
                <c:pt idx="193">
                  <c:v>6.1138682438764196</c:v>
                </c:pt>
                <c:pt idx="194">
                  <c:v>5.9400880730005321</c:v>
                </c:pt>
                <c:pt idx="195">
                  <c:v>5.7648791885795676</c:v>
                </c:pt>
                <c:pt idx="196">
                  <c:v>5.5866053152437027</c:v>
                </c:pt>
                <c:pt idx="197">
                  <c:v>5.4039590271133005</c:v>
                </c:pt>
                <c:pt idx="198">
                  <c:v>5.1912612371005018</c:v>
                </c:pt>
                <c:pt idx="199">
                  <c:v>4.9299114342483197</c:v>
                </c:pt>
                <c:pt idx="200">
                  <c:v>4.6699803997814797</c:v>
                </c:pt>
                <c:pt idx="201">
                  <c:v>4.4103890434446411</c:v>
                </c:pt>
                <c:pt idx="202">
                  <c:v>4.1501975234221931</c:v>
                </c:pt>
                <c:pt idx="203">
                  <c:v>3.8885725595497949</c:v>
                </c:pt>
                <c:pt idx="204">
                  <c:v>3.6247623622312628</c:v>
                </c:pt>
                <c:pt idx="205">
                  <c:v>3.358076706958224</c:v>
                </c:pt>
                <c:pt idx="206">
                  <c:v>3.0878711973812756</c:v>
                </c:pt>
                <c:pt idx="207">
                  <c:v>2.8135343754088695</c:v>
                </c:pt>
                <c:pt idx="208">
                  <c:v>2.5344770178121623</c:v>
                </c:pt>
                <c:pt idx="209">
                  <c:v>2.2501231500829757</c:v>
                </c:pt>
                <c:pt idx="210">
                  <c:v>1.9599021859781658</c:v>
                </c:pt>
                <c:pt idx="211">
                  <c:v>1.6632421100603039</c:v>
                </c:pt>
                <c:pt idx="212">
                  <c:v>1.3595631303832418</c:v>
                </c:pt>
                <c:pt idx="213">
                  <c:v>1.0482718953451353</c:v>
                </c:pt>
                <c:pt idx="214">
                  <c:v>0.72875594011985634</c:v>
                </c:pt>
                <c:pt idx="215">
                  <c:v>0.40037819917387762</c:v>
                </c:pt>
                <c:pt idx="216">
                  <c:v>6.2471625564120364E-2</c:v>
                </c:pt>
                <c:pt idx="217">
                  <c:v>-0.28566641925551151</c:v>
                </c:pt>
                <c:pt idx="218">
                  <c:v>-0.64477992863569966</c:v>
                </c:pt>
                <c:pt idx="219">
                  <c:v>-1.0156604162533256</c:v>
                </c:pt>
                <c:pt idx="220">
                  <c:v>-1.3991534493258371</c:v>
                </c:pt>
                <c:pt idx="221">
                  <c:v>-1.7961658591005971</c:v>
                </c:pt>
                <c:pt idx="222">
                  <c:v>-2.2076735294421095</c:v>
                </c:pt>
                <c:pt idx="223">
                  <c:v>-2.634730097797541</c:v>
                </c:pt>
                <c:pt idx="224">
                  <c:v>-3.0784766529976881</c:v>
                </c:pt>
                <c:pt idx="225">
                  <c:v>-3.540152537839822</c:v>
                </c:pt>
                <c:pt idx="226">
                  <c:v>-4.0211076542386586</c:v>
                </c:pt>
                <c:pt idx="227">
                  <c:v>-4.5228162890254051</c:v>
                </c:pt>
                <c:pt idx="228">
                  <c:v>-4.9957467722640896</c:v>
                </c:pt>
                <c:pt idx="229">
                  <c:v>-5.4110927823379029</c:v>
                </c:pt>
                <c:pt idx="230">
                  <c:v>-5.8380755455570297</c:v>
                </c:pt>
                <c:pt idx="231">
                  <c:v>-6.2610089666225175</c:v>
                </c:pt>
                <c:pt idx="232">
                  <c:v>-6.6728364412011558</c:v>
                </c:pt>
                <c:pt idx="233">
                  <c:v>-7.0742563719689651</c:v>
                </c:pt>
                <c:pt idx="234">
                  <c:v>-7.4659184938706638</c:v>
                </c:pt>
                <c:pt idx="235">
                  <c:v>-7.848428347399226</c:v>
                </c:pt>
                <c:pt idx="236">
                  <c:v>-8.2223513472108145</c:v>
                </c:pt>
                <c:pt idx="237">
                  <c:v>-8.5882164149499083</c:v>
                </c:pt>
                <c:pt idx="238">
                  <c:v>-8.946519256766555</c:v>
                </c:pt>
                <c:pt idx="239">
                  <c:v>-9.2977252900321616</c:v>
                </c:pt>
                <c:pt idx="240">
                  <c:v>-9.6422723102215908</c:v>
                </c:pt>
                <c:pt idx="241">
                  <c:v>-9.9805728587938347</c:v>
                </c:pt>
                <c:pt idx="242">
                  <c:v>-10.31301645197734</c:v>
                </c:pt>
                <c:pt idx="243">
                  <c:v>-10.639971534257445</c:v>
                </c:pt>
                <c:pt idx="244">
                  <c:v>-10.961787266170903</c:v>
                </c:pt>
                <c:pt idx="245">
                  <c:v>-11.27879520548106</c:v>
                </c:pt>
                <c:pt idx="246">
                  <c:v>-11.591310796572815</c:v>
                </c:pt>
                <c:pt idx="247">
                  <c:v>-11.89963475755407</c:v>
                </c:pt>
                <c:pt idx="248">
                  <c:v>-12.204054332113312</c:v>
                </c:pt>
                <c:pt idx="249">
                  <c:v>-12.504844532761336</c:v>
                </c:pt>
                <c:pt idx="250">
                  <c:v>-12.802269137730379</c:v>
                </c:pt>
                <c:pt idx="251">
                  <c:v>-13.096581789645324</c:v>
                </c:pt>
                <c:pt idx="252">
                  <c:v>-13.388026841035677</c:v>
                </c:pt>
                <c:pt idx="253">
                  <c:v>-13.67684035217539</c:v>
                </c:pt>
                <c:pt idx="254">
                  <c:v>-13.963250774424505</c:v>
                </c:pt>
                <c:pt idx="255">
                  <c:v>-14.247479875121293</c:v>
                </c:pt>
                <c:pt idx="256">
                  <c:v>-14.529743346728326</c:v>
                </c:pt>
                <c:pt idx="257">
                  <c:v>-14.810251578898916</c:v>
                </c:pt>
                <c:pt idx="258">
                  <c:v>-15.089210306410992</c:v>
                </c:pt>
                <c:pt idx="259">
                  <c:v>-15.366821218432587</c:v>
                </c:pt>
                <c:pt idx="260">
                  <c:v>-15.643282620884841</c:v>
                </c:pt>
                <c:pt idx="261">
                  <c:v>-15.918790001731097</c:v>
                </c:pt>
                <c:pt idx="262">
                  <c:v>-16.193536601754349</c:v>
                </c:pt>
                <c:pt idx="263">
                  <c:v>-16.467714030364856</c:v>
                </c:pt>
                <c:pt idx="264">
                  <c:v>-16.741512768771805</c:v>
                </c:pt>
                <c:pt idx="265">
                  <c:v>-17.015122798415192</c:v>
                </c:pt>
                <c:pt idx="266">
                  <c:v>-17.288734079563344</c:v>
                </c:pt>
                <c:pt idx="267">
                  <c:v>-17.562537184733941</c:v>
                </c:pt>
                <c:pt idx="268">
                  <c:v>-17.836723794448972</c:v>
                </c:pt>
                <c:pt idx="269">
                  <c:v>-18.111487366901592</c:v>
                </c:pt>
                <c:pt idx="270">
                  <c:v>-18.38702366296927</c:v>
                </c:pt>
                <c:pt idx="271">
                  <c:v>-18.700787294518033</c:v>
                </c:pt>
                <c:pt idx="272">
                  <c:v>-19.012224868346578</c:v>
                </c:pt>
                <c:pt idx="273">
                  <c:v>-19.321662248345259</c:v>
                </c:pt>
                <c:pt idx="274">
                  <c:v>-19.629409594044176</c:v>
                </c:pt>
                <c:pt idx="275">
                  <c:v>-19.935763759114167</c:v>
                </c:pt>
                <c:pt idx="276">
                  <c:v>-20.241010268149211</c:v>
                </c:pt>
                <c:pt idx="277">
                  <c:v>-20.545425193081208</c:v>
                </c:pt>
                <c:pt idx="278">
                  <c:v>-20.84927674643879</c:v>
                </c:pt>
                <c:pt idx="279">
                  <c:v>-21.152826753407922</c:v>
                </c:pt>
                <c:pt idx="280">
                  <c:v>-21.456332083973599</c:v>
                </c:pt>
                <c:pt idx="281">
                  <c:v>-21.760045792512535</c:v>
                </c:pt>
                <c:pt idx="282">
                  <c:v>-22.06421838244491</c:v>
                </c:pt>
                <c:pt idx="283">
                  <c:v>-22.369098867617424</c:v>
                </c:pt>
                <c:pt idx="284">
                  <c:v>-22.674935840531113</c:v>
                </c:pt>
                <c:pt idx="285">
                  <c:v>-22.981978480660036</c:v>
                </c:pt>
                <c:pt idx="286">
                  <c:v>-23.290477566200856</c:v>
                </c:pt>
                <c:pt idx="287">
                  <c:v>-23.60068645043512</c:v>
                </c:pt>
                <c:pt idx="288">
                  <c:v>-23.912862013597223</c:v>
                </c:pt>
                <c:pt idx="289">
                  <c:v>-24.22726571725703</c:v>
                </c:pt>
                <c:pt idx="290">
                  <c:v>-24.54416450192608</c:v>
                </c:pt>
                <c:pt idx="291">
                  <c:v>-24.863831909888695</c:v>
                </c:pt>
                <c:pt idx="292">
                  <c:v>-25.186549095371909</c:v>
                </c:pt>
                <c:pt idx="293">
                  <c:v>-25.123199394629495</c:v>
                </c:pt>
                <c:pt idx="294">
                  <c:v>-25.451937792473053</c:v>
                </c:pt>
                <c:pt idx="295">
                  <c:v>-25.784629508670253</c:v>
                </c:pt>
                <c:pt idx="296">
                  <c:v>-26.121597143980885</c:v>
                </c:pt>
                <c:pt idx="297">
                  <c:v>-26.463177102693763</c:v>
                </c:pt>
                <c:pt idx="298">
                  <c:v>-26.809721079733151</c:v>
                </c:pt>
                <c:pt idx="299">
                  <c:v>-27.161597638381014</c:v>
                </c:pt>
                <c:pt idx="300">
                  <c:v>-27.519193972583459</c:v>
                </c:pt>
                <c:pt idx="301">
                  <c:v>-27.882917768859812</c:v>
                </c:pt>
                <c:pt idx="302">
                  <c:v>-28.25319928297872</c:v>
                </c:pt>
                <c:pt idx="303">
                  <c:v>-28.630493582239581</c:v>
                </c:pt>
                <c:pt idx="304">
                  <c:v>-29.015283014572297</c:v>
                </c:pt>
                <c:pt idx="305">
                  <c:v>-29.408079918222601</c:v>
                </c:pt>
                <c:pt idx="306">
                  <c:v>-29.809429652607143</c:v>
                </c:pt>
                <c:pt idx="307">
                  <c:v>-30.219913911205424</c:v>
                </c:pt>
                <c:pt idx="308">
                  <c:v>-30.640154366365707</c:v>
                </c:pt>
                <c:pt idx="309">
                  <c:v>-31.07081688302782</c:v>
                </c:pt>
                <c:pt idx="310">
                  <c:v>-31.512616018822911</c:v>
                </c:pt>
                <c:pt idx="311">
                  <c:v>-31.96632019303124</c:v>
                </c:pt>
                <c:pt idx="312">
                  <c:v>-32.432757461089579</c:v>
                </c:pt>
                <c:pt idx="313">
                  <c:v>-32.912821956119771</c:v>
                </c:pt>
                <c:pt idx="314">
                  <c:v>-33.407481296070742</c:v>
                </c:pt>
                <c:pt idx="315">
                  <c:v>-33.917634473568903</c:v>
                </c:pt>
                <c:pt idx="316">
                  <c:v>-35.857639200034498</c:v>
                </c:pt>
                <c:pt idx="317">
                  <c:v>-40.350080012036436</c:v>
                </c:pt>
                <c:pt idx="318">
                  <c:v>-46.883599130693028</c:v>
                </c:pt>
                <c:pt idx="319">
                  <c:v>-55.089194964461093</c:v>
                </c:pt>
                <c:pt idx="320">
                  <c:v>-64.695825220490022</c:v>
                </c:pt>
                <c:pt idx="321">
                  <c:v>-75.503320086854146</c:v>
                </c:pt>
                <c:pt idx="322">
                  <c:v>-87.365611060710876</c:v>
                </c:pt>
                <c:pt idx="323">
                  <c:v>-100.18031542728467</c:v>
                </c:pt>
                <c:pt idx="324">
                  <c:v>-113.88258640179971</c:v>
                </c:pt>
                <c:pt idx="325">
                  <c:v>-128.44212244387359</c:v>
                </c:pt>
                <c:pt idx="326">
                  <c:v>-143.86279426536132</c:v>
                </c:pt>
                <c:pt idx="327">
                  <c:v>-158.17044242506535</c:v>
                </c:pt>
                <c:pt idx="328">
                  <c:v>-171.82082490399637</c:v>
                </c:pt>
                <c:pt idx="329">
                  <c:v>-185.51937764967059</c:v>
                </c:pt>
                <c:pt idx="330">
                  <c:v>-199.18151744218187</c:v>
                </c:pt>
                <c:pt idx="331">
                  <c:v>-212.71720157349739</c:v>
                </c:pt>
                <c:pt idx="332">
                  <c:v>-226.02649660825398</c:v>
                </c:pt>
                <c:pt idx="333">
                  <c:v>-238.99416657239624</c:v>
                </c:pt>
                <c:pt idx="334">
                  <c:v>-251.23188850360918</c:v>
                </c:pt>
                <c:pt idx="335">
                  <c:v>-262.26326160279314</c:v>
                </c:pt>
                <c:pt idx="336">
                  <c:v>-272.04129055524061</c:v>
                </c:pt>
                <c:pt idx="337">
                  <c:v>-280.48520780606702</c:v>
                </c:pt>
                <c:pt idx="338">
                  <c:v>-282.66123587402092</c:v>
                </c:pt>
                <c:pt idx="339">
                  <c:v>-283.02581025348712</c:v>
                </c:pt>
                <c:pt idx="340">
                  <c:v>-283.36724350607631</c:v>
                </c:pt>
                <c:pt idx="341">
                  <c:v>-283.686542861801</c:v>
                </c:pt>
                <c:pt idx="342">
                  <c:v>-283.98463344492495</c:v>
                </c:pt>
                <c:pt idx="343">
                  <c:v>-284.26236423799389</c:v>
                </c:pt>
                <c:pt idx="344">
                  <c:v>-284.52051348354792</c:v>
                </c:pt>
                <c:pt idx="345">
                  <c:v>-284.75979354361169</c:v>
                </c:pt>
                <c:pt idx="346">
                  <c:v>-284.9808552108928</c:v>
                </c:pt>
                <c:pt idx="347">
                  <c:v>-285.18429162060272</c:v>
                </c:pt>
                <c:pt idx="348">
                  <c:v>-285.3706417169081</c:v>
                </c:pt>
                <c:pt idx="349">
                  <c:v>-285.54039339831365</c:v>
                </c:pt>
                <c:pt idx="350">
                  <c:v>-285.69398628335489</c:v>
                </c:pt>
                <c:pt idx="351">
                  <c:v>-285.83181417983042</c:v>
                </c:pt>
                <c:pt idx="352">
                  <c:v>-285.9542272948238</c:v>
                </c:pt>
                <c:pt idx="353">
                  <c:v>-286.06153409759952</c:v>
                </c:pt>
                <c:pt idx="354">
                  <c:v>-286.15400305312744</c:v>
                </c:pt>
                <c:pt idx="355">
                  <c:v>-286.2318640002199</c:v>
                </c:pt>
                <c:pt idx="356">
                  <c:v>-286.29530944651037</c:v>
                </c:pt>
                <c:pt idx="357">
                  <c:v>-286.34449550586805</c:v>
                </c:pt>
                <c:pt idx="358">
                  <c:v>-286.37954280522945</c:v>
                </c:pt>
                <c:pt idx="359">
                  <c:v>-286.40053702814976</c:v>
                </c:pt>
                <c:pt idx="360">
                  <c:v>-286.40752941242312</c:v>
                </c:pt>
              </c:numCache>
            </c:numRef>
          </c:xVal>
          <c:yVal>
            <c:numRef>
              <c:f>L_Section_Capacity!$AU$2:$AU$362</c:f>
              <c:numCache>
                <c:formatCode>0.000</c:formatCode>
                <c:ptCount val="361"/>
                <c:pt idx="0">
                  <c:v>-170.64000000000004</c:v>
                </c:pt>
                <c:pt idx="1">
                  <c:v>-171.4411874802052</c:v>
                </c:pt>
                <c:pt idx="2">
                  <c:v>-172.24286331967124</c:v>
                </c:pt>
                <c:pt idx="3">
                  <c:v>-173.04551706909163</c:v>
                </c:pt>
                <c:pt idx="4">
                  <c:v>-173.84964066820714</c:v>
                </c:pt>
                <c:pt idx="5">
                  <c:v>-174.65572965583991</c:v>
                </c:pt>
                <c:pt idx="6">
                  <c:v>-175.46428439869447</c:v>
                </c:pt>
                <c:pt idx="7">
                  <c:v>-176.27581134544329</c:v>
                </c:pt>
                <c:pt idx="8">
                  <c:v>-177.09082431283969</c:v>
                </c:pt>
                <c:pt idx="9">
                  <c:v>-177.90984581089612</c:v>
                </c:pt>
                <c:pt idx="10">
                  <c:v>-178.73340841451844</c:v>
                </c:pt>
                <c:pt idx="11">
                  <c:v>-179.56205618942124</c:v>
                </c:pt>
                <c:pt idx="12">
                  <c:v>-180.39634618065389</c:v>
                </c:pt>
                <c:pt idx="13">
                  <c:v>-181.23684997266326</c:v>
                </c:pt>
                <c:pt idx="14">
                  <c:v>-182.08415533050189</c:v>
                </c:pt>
                <c:pt idx="15">
                  <c:v>-182.93886793258838</c:v>
                </c:pt>
                <c:pt idx="16">
                  <c:v>-183.80161320632919</c:v>
                </c:pt>
                <c:pt idx="17">
                  <c:v>-184.67303827895239</c:v>
                </c:pt>
                <c:pt idx="18">
                  <c:v>-185.55381405709028</c:v>
                </c:pt>
                <c:pt idx="19">
                  <c:v>-186.44463744999541</c:v>
                </c:pt>
                <c:pt idx="20">
                  <c:v>-187.34623375281848</c:v>
                </c:pt>
                <c:pt idx="21">
                  <c:v>-188.25935920812537</c:v>
                </c:pt>
                <c:pt idx="22">
                  <c:v>-189.18480376583352</c:v>
                </c:pt>
                <c:pt idx="23">
                  <c:v>-190.1233940640206</c:v>
                </c:pt>
                <c:pt idx="24">
                  <c:v>-191.07599665566153</c:v>
                </c:pt>
                <c:pt idx="25">
                  <c:v>-192.04352150931419</c:v>
                </c:pt>
                <c:pt idx="26">
                  <c:v>-193.02692581517277</c:v>
                </c:pt>
                <c:pt idx="27">
                  <c:v>-194.02721813179403</c:v>
                </c:pt>
                <c:pt idx="28">
                  <c:v>-195.04546291326159</c:v>
                </c:pt>
                <c:pt idx="29">
                  <c:v>-196.08278546168177</c:v>
                </c:pt>
                <c:pt idx="30">
                  <c:v>-197.14037735580348</c:v>
                </c:pt>
                <c:pt idx="31">
                  <c:v>-198.21950241336461</c:v>
                </c:pt>
                <c:pt idx="32">
                  <c:v>-199.31997598097666</c:v>
                </c:pt>
                <c:pt idx="33">
                  <c:v>-200.40036808848697</c:v>
                </c:pt>
                <c:pt idx="34">
                  <c:v>-201.44395741648066</c:v>
                </c:pt>
                <c:pt idx="35">
                  <c:v>-202.45373329087366</c:v>
                </c:pt>
                <c:pt idx="36">
                  <c:v>-203.43240454783248</c:v>
                </c:pt>
                <c:pt idx="37">
                  <c:v>-204.38243479206619</c:v>
                </c:pt>
                <c:pt idx="38">
                  <c:v>-205.30607258612898</c:v>
                </c:pt>
                <c:pt idx="39">
                  <c:v>-206.20537740819844</c:v>
                </c:pt>
                <c:pt idx="40">
                  <c:v>-207.08224210452204</c:v>
                </c:pt>
                <c:pt idx="41">
                  <c:v>-207.93841237407105</c:v>
                </c:pt>
                <c:pt idx="42">
                  <c:v>-208.7755037866099</c:v>
                </c:pt>
                <c:pt idx="43">
                  <c:v>-209.59501669709414</c:v>
                </c:pt>
                <c:pt idx="44">
                  <c:v>-210.39834938369546</c:v>
                </c:pt>
                <c:pt idx="45">
                  <c:v>-211.18680970238438</c:v>
                </c:pt>
                <c:pt idx="46">
                  <c:v>-211.96162543822777</c:v>
                </c:pt>
                <c:pt idx="47">
                  <c:v>-212.72395360093142</c:v>
                </c:pt>
                <c:pt idx="48">
                  <c:v>-213.47488878167579</c:v>
                </c:pt>
                <c:pt idx="49">
                  <c:v>-214.21547074814035</c:v>
                </c:pt>
                <c:pt idx="50">
                  <c:v>-214.94669137783052</c:v>
                </c:pt>
                <c:pt idx="51">
                  <c:v>-215.66950104677591</c:v>
                </c:pt>
                <c:pt idx="52">
                  <c:v>-216.38481458610153</c:v>
                </c:pt>
                <c:pt idx="53">
                  <c:v>-217.09351684209537</c:v>
                </c:pt>
                <c:pt idx="54">
                  <c:v>-217.79646800899189</c:v>
                </c:pt>
                <c:pt idx="55">
                  <c:v>-218.49450870875876</c:v>
                </c:pt>
                <c:pt idx="56">
                  <c:v>-219.18846497326118</c:v>
                </c:pt>
                <c:pt idx="57">
                  <c:v>-219.87915316242226</c:v>
                </c:pt>
                <c:pt idx="58">
                  <c:v>-220.56738489730992</c:v>
                </c:pt>
                <c:pt idx="59">
                  <c:v>-221.25397211225189</c:v>
                </c:pt>
                <c:pt idx="60">
                  <c:v>-221.93973225227506</c:v>
                </c:pt>
                <c:pt idx="61">
                  <c:v>-222.62549379493555</c:v>
                </c:pt>
                <c:pt idx="62">
                  <c:v>-223.31210214420722</c:v>
                </c:pt>
                <c:pt idx="63">
                  <c:v>-224.00582495907628</c:v>
                </c:pt>
                <c:pt idx="64">
                  <c:v>-224.71982347008839</c:v>
                </c:pt>
                <c:pt idx="65">
                  <c:v>-225.42436733294178</c:v>
                </c:pt>
                <c:pt idx="66">
                  <c:v>-226.12053948906114</c:v>
                </c:pt>
                <c:pt idx="67">
                  <c:v>-226.80945051338739</c:v>
                </c:pt>
                <c:pt idx="68">
                  <c:v>-227.49225578217971</c:v>
                </c:pt>
                <c:pt idx="69">
                  <c:v>-228.17017618313145</c:v>
                </c:pt>
                <c:pt idx="70">
                  <c:v>-228.84452379316477</c:v>
                </c:pt>
                <c:pt idx="71">
                  <c:v>-229.51673416097401</c:v>
                </c:pt>
                <c:pt idx="72">
                  <c:v>-230.18840783945808</c:v>
                </c:pt>
                <c:pt idx="73">
                  <c:v>-230.86136472477156</c:v>
                </c:pt>
                <c:pt idx="74">
                  <c:v>-231.53771649778929</c:v>
                </c:pt>
                <c:pt idx="75">
                  <c:v>-232.2199651055378</c:v>
                </c:pt>
                <c:pt idx="76">
                  <c:v>-232.91113926955191</c:v>
                </c:pt>
                <c:pt idx="77">
                  <c:v>-233.61498807661704</c:v>
                </c:pt>
                <c:pt idx="78">
                  <c:v>-234.33626196699402</c:v>
                </c:pt>
                <c:pt idx="79">
                  <c:v>-235.08113203010362</c:v>
                </c:pt>
                <c:pt idx="80">
                  <c:v>-235.85783533296808</c:v>
                </c:pt>
                <c:pt idx="81">
                  <c:v>-236.67770486414418</c:v>
                </c:pt>
                <c:pt idx="82">
                  <c:v>-237.55681188735156</c:v>
                </c:pt>
                <c:pt idx="83">
                  <c:v>-238.40684325963309</c:v>
                </c:pt>
                <c:pt idx="84">
                  <c:v>-239.13728855134195</c:v>
                </c:pt>
                <c:pt idx="85">
                  <c:v>-239.74983257446064</c:v>
                </c:pt>
                <c:pt idx="86">
                  <c:v>-240.24582301644799</c:v>
                </c:pt>
                <c:pt idx="87">
                  <c:v>-240.62626586657456</c:v>
                </c:pt>
                <c:pt idx="88">
                  <c:v>-240.89181387614397</c:v>
                </c:pt>
                <c:pt idx="89">
                  <c:v>-241.04274500026878</c:v>
                </c:pt>
                <c:pt idx="90">
                  <c:v>-241.07892606363367</c:v>
                </c:pt>
                <c:pt idx="91">
                  <c:v>-240.3460169685971</c:v>
                </c:pt>
                <c:pt idx="92">
                  <c:v>-239.54220566597041</c:v>
                </c:pt>
                <c:pt idx="93">
                  <c:v>-238.66862096861237</c:v>
                </c:pt>
                <c:pt idx="94">
                  <c:v>-237.72438172961475</c:v>
                </c:pt>
                <c:pt idx="95">
                  <c:v>-236.70713071198276</c:v>
                </c:pt>
                <c:pt idx="96">
                  <c:v>-235.61346658932021</c:v>
                </c:pt>
                <c:pt idx="97">
                  <c:v>-234.4786442441125</c:v>
                </c:pt>
                <c:pt idx="98">
                  <c:v>-233.48371271954036</c:v>
                </c:pt>
                <c:pt idx="99">
                  <c:v>-232.61493023745044</c:v>
                </c:pt>
                <c:pt idx="100">
                  <c:v>-231.84205903892601</c:v>
                </c:pt>
                <c:pt idx="101">
                  <c:v>-231.41077132630542</c:v>
                </c:pt>
                <c:pt idx="102">
                  <c:v>-230.75948858207656</c:v>
                </c:pt>
                <c:pt idx="103">
                  <c:v>-230.15747372002107</c:v>
                </c:pt>
                <c:pt idx="104">
                  <c:v>-229.59622450194161</c:v>
                </c:pt>
                <c:pt idx="105">
                  <c:v>-229.06912240518335</c:v>
                </c:pt>
                <c:pt idx="106">
                  <c:v>-228.5709146691959</c:v>
                </c:pt>
                <c:pt idx="107">
                  <c:v>-228.09736126560784</c:v>
                </c:pt>
                <c:pt idx="108">
                  <c:v>-227.6449877008252</c:v>
                </c:pt>
                <c:pt idx="109">
                  <c:v>-227.21090799889942</c:v>
                </c:pt>
                <c:pt idx="110">
                  <c:v>-226.79269522477006</c:v>
                </c:pt>
                <c:pt idx="111">
                  <c:v>-226.38828513364572</c:v>
                </c:pt>
                <c:pt idx="112">
                  <c:v>-225.99590322073942</c:v>
                </c:pt>
                <c:pt idx="113">
                  <c:v>-225.61400868985666</c:v>
                </c:pt>
                <c:pt idx="114">
                  <c:v>-225.24125084240126</c:v>
                </c:pt>
                <c:pt idx="115">
                  <c:v>-224.8764346622925</c:v>
                </c:pt>
                <c:pt idx="116">
                  <c:v>-224.51849337858374</c:v>
                </c:pt>
                <c:pt idx="117">
                  <c:v>-224.16646631006017</c:v>
                </c:pt>
                <c:pt idx="118">
                  <c:v>-223.81948076748077</c:v>
                </c:pt>
                <c:pt idx="119">
                  <c:v>-223.47673715383002</c:v>
                </c:pt>
                <c:pt idx="120">
                  <c:v>-223.13749652742118</c:v>
                </c:pt>
                <c:pt idx="121">
                  <c:v>-222.80107011115524</c:v>
                </c:pt>
                <c:pt idx="122">
                  <c:v>-222.46681034345579</c:v>
                </c:pt>
                <c:pt idx="123">
                  <c:v>-222.13410315734907</c:v>
                </c:pt>
                <c:pt idx="124">
                  <c:v>-221.80236122506062</c:v>
                </c:pt>
                <c:pt idx="125">
                  <c:v>-221.47101796859957</c:v>
                </c:pt>
                <c:pt idx="126">
                  <c:v>-221.13952214666884</c:v>
                </c:pt>
                <c:pt idx="127">
                  <c:v>-220.8073329301034</c:v>
                </c:pt>
                <c:pt idx="128">
                  <c:v>-220.47391530744056</c:v>
                </c:pt>
                <c:pt idx="129">
                  <c:v>-220.13873571161702</c:v>
                </c:pt>
                <c:pt idx="130">
                  <c:v>-219.80125782136912</c:v>
                </c:pt>
                <c:pt idx="131">
                  <c:v>-219.46093844438116</c:v>
                </c:pt>
                <c:pt idx="132">
                  <c:v>-219.1172233457811</c:v>
                </c:pt>
                <c:pt idx="133">
                  <c:v>-218.34428000857906</c:v>
                </c:pt>
                <c:pt idx="134">
                  <c:v>-217.28260200346793</c:v>
                </c:pt>
                <c:pt idx="135">
                  <c:v>-216.23507248512192</c:v>
                </c:pt>
                <c:pt idx="136">
                  <c:v>-215.20013799695221</c:v>
                </c:pt>
                <c:pt idx="137">
                  <c:v>-214.17630346262041</c:v>
                </c:pt>
                <c:pt idx="138">
                  <c:v>-213.16212138886272</c:v>
                </c:pt>
                <c:pt idx="139">
                  <c:v>-212.1561815511815</c:v>
                </c:pt>
                <c:pt idx="140">
                  <c:v>-211.15710097191825</c:v>
                </c:pt>
                <c:pt idx="141">
                  <c:v>-210.16351402603198</c:v>
                </c:pt>
                <c:pt idx="142">
                  <c:v>-209.17406248250319</c:v>
                </c:pt>
                <c:pt idx="143">
                  <c:v>-208.1873853039707</c:v>
                </c:pt>
                <c:pt idx="144">
                  <c:v>-207.20210798576957</c:v>
                </c:pt>
                <c:pt idx="145">
                  <c:v>-206.21683121536446</c:v>
                </c:pt>
                <c:pt idx="146">
                  <c:v>-205.23011857811417</c:v>
                </c:pt>
                <c:pt idx="147">
                  <c:v>-204.24048299058563</c:v>
                </c:pt>
                <c:pt idx="148">
                  <c:v>-203.24637149722531</c:v>
                </c:pt>
                <c:pt idx="149">
                  <c:v>-202.24614794932623</c:v>
                </c:pt>
                <c:pt idx="150">
                  <c:v>-201.23807299870603</c:v>
                </c:pt>
                <c:pt idx="151">
                  <c:v>-200.22028066907586</c:v>
                </c:pt>
                <c:pt idx="152">
                  <c:v>-199.19075058795386</c:v>
                </c:pt>
                <c:pt idx="153">
                  <c:v>-198.14727465264059</c:v>
                </c:pt>
                <c:pt idx="154">
                  <c:v>-197.0874165818405</c:v>
                </c:pt>
                <c:pt idx="155">
                  <c:v>-196.00846224671034</c:v>
                </c:pt>
                <c:pt idx="156">
                  <c:v>-194.90735801374524</c:v>
                </c:pt>
                <c:pt idx="157">
                  <c:v>-193.78063331632666</c:v>
                </c:pt>
                <c:pt idx="158">
                  <c:v>-192.6243022807372</c:v>
                </c:pt>
                <c:pt idx="159">
                  <c:v>-191.43373720506</c:v>
                </c:pt>
                <c:pt idx="160">
                  <c:v>-190.20350372230644</c:v>
                </c:pt>
                <c:pt idx="161">
                  <c:v>-188.92714309507869</c:v>
                </c:pt>
                <c:pt idx="162">
                  <c:v>-187.59688037781703</c:v>
                </c:pt>
                <c:pt idx="163">
                  <c:v>-184.45113739996091</c:v>
                </c:pt>
                <c:pt idx="164">
                  <c:v>-180.31592496575598</c:v>
                </c:pt>
                <c:pt idx="165">
                  <c:v>-176.06485600031664</c:v>
                </c:pt>
                <c:pt idx="166">
                  <c:v>-171.67940755225212</c:v>
                </c:pt>
                <c:pt idx="167">
                  <c:v>-167.13693280902842</c:v>
                </c:pt>
                <c:pt idx="168">
                  <c:v>-162.4090786187129</c:v>
                </c:pt>
                <c:pt idx="169">
                  <c:v>-157.45934547612083</c:v>
                </c:pt>
                <c:pt idx="170">
                  <c:v>-152.23916914307716</c:v>
                </c:pt>
                <c:pt idx="171">
                  <c:v>-146.68132074714106</c:v>
                </c:pt>
                <c:pt idx="172">
                  <c:v>-139.67618490944815</c:v>
                </c:pt>
                <c:pt idx="173">
                  <c:v>-134.80104213534531</c:v>
                </c:pt>
                <c:pt idx="174">
                  <c:v>-126.39223752053785</c:v>
                </c:pt>
                <c:pt idx="175">
                  <c:v>-116.87933450150331</c:v>
                </c:pt>
                <c:pt idx="176">
                  <c:v>-105.4746351133351</c:v>
                </c:pt>
                <c:pt idx="177">
                  <c:v>-90.154221438203663</c:v>
                </c:pt>
                <c:pt idx="178">
                  <c:v>-65.92987959423823</c:v>
                </c:pt>
                <c:pt idx="179">
                  <c:v>-36.972625881570053</c:v>
                </c:pt>
                <c:pt idx="180">
                  <c:v>1.9759091423300288E-9</c:v>
                </c:pt>
                <c:pt idx="181">
                  <c:v>36.972625897392568</c:v>
                </c:pt>
                <c:pt idx="182">
                  <c:v>65.929879593877331</c:v>
                </c:pt>
                <c:pt idx="183">
                  <c:v>90.154221434970253</c:v>
                </c:pt>
                <c:pt idx="184">
                  <c:v>105.4746351036198</c:v>
                </c:pt>
                <c:pt idx="185">
                  <c:v>116.87933448544246</c:v>
                </c:pt>
                <c:pt idx="186">
                  <c:v>126.39223751830534</c:v>
                </c:pt>
                <c:pt idx="187">
                  <c:v>134.80104212557592</c:v>
                </c:pt>
                <c:pt idx="188">
                  <c:v>139.67618490853403</c:v>
                </c:pt>
                <c:pt idx="189">
                  <c:v>146.68132074897323</c:v>
                </c:pt>
                <c:pt idx="190">
                  <c:v>152.23916914963178</c:v>
                </c:pt>
                <c:pt idx="191">
                  <c:v>157.45934548462981</c:v>
                </c:pt>
                <c:pt idx="192">
                  <c:v>162.40907862184162</c:v>
                </c:pt>
                <c:pt idx="193">
                  <c:v>167.13693281377249</c:v>
                </c:pt>
                <c:pt idx="194">
                  <c:v>171.67940753755147</c:v>
                </c:pt>
                <c:pt idx="195">
                  <c:v>176.0648560066569</c:v>
                </c:pt>
                <c:pt idx="196">
                  <c:v>180.3159249594936</c:v>
                </c:pt>
                <c:pt idx="197">
                  <c:v>184.45113739166572</c:v>
                </c:pt>
                <c:pt idx="198">
                  <c:v>187.59688038625887</c:v>
                </c:pt>
                <c:pt idx="199">
                  <c:v>188.92714309152069</c:v>
                </c:pt>
                <c:pt idx="200">
                  <c:v>190.20350373319025</c:v>
                </c:pt>
                <c:pt idx="201">
                  <c:v>191.43373720339767</c:v>
                </c:pt>
                <c:pt idx="202">
                  <c:v>192.62430229796684</c:v>
                </c:pt>
                <c:pt idx="203">
                  <c:v>193.7806333123454</c:v>
                </c:pt>
                <c:pt idx="204">
                  <c:v>194.90735802898826</c:v>
                </c:pt>
                <c:pt idx="205">
                  <c:v>196.00846226061051</c:v>
                </c:pt>
                <c:pt idx="206">
                  <c:v>197.08741657731653</c:v>
                </c:pt>
                <c:pt idx="207">
                  <c:v>198.14727464487976</c:v>
                </c:pt>
                <c:pt idx="208">
                  <c:v>199.19075057608018</c:v>
                </c:pt>
                <c:pt idx="209">
                  <c:v>200.22028068289654</c:v>
                </c:pt>
                <c:pt idx="210">
                  <c:v>201.23807300318003</c:v>
                </c:pt>
                <c:pt idx="211">
                  <c:v>202.24614796512677</c:v>
                </c:pt>
                <c:pt idx="212">
                  <c:v>203.24637151464196</c:v>
                </c:pt>
                <c:pt idx="213">
                  <c:v>204.24048299538526</c:v>
                </c:pt>
                <c:pt idx="214">
                  <c:v>205.23011859211391</c:v>
                </c:pt>
                <c:pt idx="215">
                  <c:v>206.21683121782601</c:v>
                </c:pt>
                <c:pt idx="216">
                  <c:v>207.20210798429275</c:v>
                </c:pt>
                <c:pt idx="217">
                  <c:v>208.18738529472765</c:v>
                </c:pt>
                <c:pt idx="218">
                  <c:v>209.17406248055266</c:v>
                </c:pt>
                <c:pt idx="219">
                  <c:v>210.16351401371142</c:v>
                </c:pt>
                <c:pt idx="220">
                  <c:v>211.15710097259776</c:v>
                </c:pt>
                <c:pt idx="221">
                  <c:v>212.15618154590939</c:v>
                </c:pt>
                <c:pt idx="222">
                  <c:v>213.16212137573848</c:v>
                </c:pt>
                <c:pt idx="223">
                  <c:v>214.17630345979461</c:v>
                </c:pt>
                <c:pt idx="224">
                  <c:v>215.20013798925697</c:v>
                </c:pt>
                <c:pt idx="225">
                  <c:v>216.23507249771438</c:v>
                </c:pt>
                <c:pt idx="226">
                  <c:v>217.28260201758673</c:v>
                </c:pt>
                <c:pt idx="227">
                  <c:v>218.34428002005734</c:v>
                </c:pt>
                <c:pt idx="228">
                  <c:v>219.11722336082477</c:v>
                </c:pt>
                <c:pt idx="229">
                  <c:v>219.46093845662554</c:v>
                </c:pt>
                <c:pt idx="230">
                  <c:v>219.80083562707878</c:v>
                </c:pt>
                <c:pt idx="231">
                  <c:v>220.12487134800659</c:v>
                </c:pt>
                <c:pt idx="232">
                  <c:v>220.42848147625307</c:v>
                </c:pt>
                <c:pt idx="233">
                  <c:v>220.71312965979007</c:v>
                </c:pt>
                <c:pt idx="234">
                  <c:v>220.98014280457056</c:v>
                </c:pt>
                <c:pt idx="235">
                  <c:v>221.2307259085141</c:v>
                </c:pt>
                <c:pt idx="236">
                  <c:v>221.4659748366729</c:v>
                </c:pt>
                <c:pt idx="237">
                  <c:v>221.68688758068564</c:v>
                </c:pt>
                <c:pt idx="238">
                  <c:v>221.89437412184492</c:v>
                </c:pt>
                <c:pt idx="239">
                  <c:v>222.08926520622748</c:v>
                </c:pt>
                <c:pt idx="240">
                  <c:v>222.27232001757778</c:v>
                </c:pt>
                <c:pt idx="241">
                  <c:v>222.44423311160108</c:v>
                </c:pt>
                <c:pt idx="242">
                  <c:v>222.6056403062195</c:v>
                </c:pt>
                <c:pt idx="243">
                  <c:v>222.75712414115901</c:v>
                </c:pt>
                <c:pt idx="244">
                  <c:v>222.89921871059619</c:v>
                </c:pt>
                <c:pt idx="245">
                  <c:v>223.03241381508286</c:v>
                </c:pt>
                <c:pt idx="246">
                  <c:v>223.15715882130465</c:v>
                </c:pt>
                <c:pt idx="247">
                  <c:v>223.27386604651679</c:v>
                </c:pt>
                <c:pt idx="248">
                  <c:v>223.38291386212245</c:v>
                </c:pt>
                <c:pt idx="249">
                  <c:v>223.48464919279479</c:v>
                </c:pt>
                <c:pt idx="250">
                  <c:v>223.57939023546362</c:v>
                </c:pt>
                <c:pt idx="251">
                  <c:v>223.66742835379705</c:v>
                </c:pt>
                <c:pt idx="252">
                  <c:v>223.74903032862443</c:v>
                </c:pt>
                <c:pt idx="253">
                  <c:v>223.82443972676316</c:v>
                </c:pt>
                <c:pt idx="254">
                  <c:v>223.89387890954254</c:v>
                </c:pt>
                <c:pt idx="255">
                  <c:v>223.95754995909874</c:v>
                </c:pt>
                <c:pt idx="256">
                  <c:v>224.01563631934633</c:v>
                </c:pt>
                <c:pt idx="257">
                  <c:v>224.06830366877389</c:v>
                </c:pt>
                <c:pt idx="258">
                  <c:v>224.11570095998198</c:v>
                </c:pt>
                <c:pt idx="259">
                  <c:v>224.15796138020039</c:v>
                </c:pt>
                <c:pt idx="260">
                  <c:v>224.19520296676933</c:v>
                </c:pt>
                <c:pt idx="261">
                  <c:v>224.22752937102314</c:v>
                </c:pt>
                <c:pt idx="262">
                  <c:v>224.25503046616703</c:v>
                </c:pt>
                <c:pt idx="263">
                  <c:v>224.27778269303371</c:v>
                </c:pt>
                <c:pt idx="264">
                  <c:v>224.29584965437601</c:v>
                </c:pt>
                <c:pt idx="265">
                  <c:v>224.30928222670573</c:v>
                </c:pt>
                <c:pt idx="266">
                  <c:v>224.31811906567822</c:v>
                </c:pt>
                <c:pt idx="267">
                  <c:v>224.32238656462872</c:v>
                </c:pt>
                <c:pt idx="268">
                  <c:v>224.3220991938723</c:v>
                </c:pt>
                <c:pt idx="269">
                  <c:v>224.31725925988758</c:v>
                </c:pt>
                <c:pt idx="270">
                  <c:v>224.30785709063952</c:v>
                </c:pt>
                <c:pt idx="271">
                  <c:v>224.28238457872084</c:v>
                </c:pt>
                <c:pt idx="272">
                  <c:v>224.25297597271771</c:v>
                </c:pt>
                <c:pt idx="273">
                  <c:v>224.21961111533759</c:v>
                </c:pt>
                <c:pt idx="274">
                  <c:v>224.18225846188776</c:v>
                </c:pt>
                <c:pt idx="275">
                  <c:v>224.14087498719095</c:v>
                </c:pt>
                <c:pt idx="276">
                  <c:v>224.09540643346375</c:v>
                </c:pt>
                <c:pt idx="277">
                  <c:v>224.04578706394631</c:v>
                </c:pt>
                <c:pt idx="278">
                  <c:v>223.99193962343844</c:v>
                </c:pt>
                <c:pt idx="279">
                  <c:v>223.93377511017763</c:v>
                </c:pt>
                <c:pt idx="280">
                  <c:v>223.87119219476017</c:v>
                </c:pt>
                <c:pt idx="281">
                  <c:v>223.80407714532066</c:v>
                </c:pt>
                <c:pt idx="282">
                  <c:v>223.73230302042421</c:v>
                </c:pt>
                <c:pt idx="283">
                  <c:v>223.65572920195837</c:v>
                </c:pt>
                <c:pt idx="284">
                  <c:v>223.57420065684292</c:v>
                </c:pt>
                <c:pt idx="285">
                  <c:v>223.48754717120599</c:v>
                </c:pt>
                <c:pt idx="286">
                  <c:v>223.39558239027747</c:v>
                </c:pt>
                <c:pt idx="287">
                  <c:v>223.29810281069541</c:v>
                </c:pt>
                <c:pt idx="288">
                  <c:v>223.19488671337632</c:v>
                </c:pt>
                <c:pt idx="289">
                  <c:v>223.08569266022693</c:v>
                </c:pt>
                <c:pt idx="290">
                  <c:v>222.97025837817205</c:v>
                </c:pt>
                <c:pt idx="291">
                  <c:v>222.84829885450316</c:v>
                </c:pt>
                <c:pt idx="292">
                  <c:v>222.71950470730462</c:v>
                </c:pt>
                <c:pt idx="293">
                  <c:v>222.74560380828851</c:v>
                </c:pt>
                <c:pt idx="294">
                  <c:v>222.60430068650558</c:v>
                </c:pt>
                <c:pt idx="295">
                  <c:v>222.45505698472016</c:v>
                </c:pt>
                <c:pt idx="296">
                  <c:v>222.29744512415451</c:v>
                </c:pt>
                <c:pt idx="297">
                  <c:v>222.13100058631542</c:v>
                </c:pt>
                <c:pt idx="298">
                  <c:v>221.95521848402819</c:v>
                </c:pt>
                <c:pt idx="299">
                  <c:v>221.76954980551798</c:v>
                </c:pt>
                <c:pt idx="300">
                  <c:v>221.57339703525386</c:v>
                </c:pt>
                <c:pt idx="301">
                  <c:v>221.36610941151554</c:v>
                </c:pt>
                <c:pt idx="302">
                  <c:v>221.14697745294566</c:v>
                </c:pt>
                <c:pt idx="303">
                  <c:v>220.91522689606217</c:v>
                </c:pt>
                <c:pt idx="304">
                  <c:v>220.67001183708942</c:v>
                </c:pt>
                <c:pt idx="305">
                  <c:v>220.41040701475629</c:v>
                </c:pt>
                <c:pt idx="306">
                  <c:v>220.1353989560717</c:v>
                </c:pt>
                <c:pt idx="307">
                  <c:v>219.8438760739113</c:v>
                </c:pt>
                <c:pt idx="308">
                  <c:v>219.53461751837818</c:v>
                </c:pt>
                <c:pt idx="309">
                  <c:v>219.20627998790988</c:v>
                </c:pt>
                <c:pt idx="310">
                  <c:v>218.85738331640385</c:v>
                </c:pt>
                <c:pt idx="311">
                  <c:v>218.48629355718231</c:v>
                </c:pt>
                <c:pt idx="312">
                  <c:v>218.09120365668952</c:v>
                </c:pt>
                <c:pt idx="313">
                  <c:v>217.67011139460334</c:v>
                </c:pt>
                <c:pt idx="314">
                  <c:v>217.2207934918612</c:v>
                </c:pt>
                <c:pt idx="315">
                  <c:v>216.74093417432576</c:v>
                </c:pt>
                <c:pt idx="316">
                  <c:v>214.79622456975858</c:v>
                </c:pt>
                <c:pt idx="317">
                  <c:v>210.1276844009509</c:v>
                </c:pt>
                <c:pt idx="318">
                  <c:v>203.10528149644682</c:v>
                </c:pt>
                <c:pt idx="319">
                  <c:v>193.99071688439338</c:v>
                </c:pt>
                <c:pt idx="320">
                  <c:v>182.9698518047642</c:v>
                </c:pt>
                <c:pt idx="321">
                  <c:v>170.17220896283044</c:v>
                </c:pt>
                <c:pt idx="322">
                  <c:v>155.68255217576569</c:v>
                </c:pt>
                <c:pt idx="323">
                  <c:v>139.5474343207178</c:v>
                </c:pt>
                <c:pt idx="324">
                  <c:v>121.77815329657963</c:v>
                </c:pt>
                <c:pt idx="325">
                  <c:v>102.35075705683707</c:v>
                </c:pt>
                <c:pt idx="326">
                  <c:v>81.20322952000933</c:v>
                </c:pt>
                <c:pt idx="327">
                  <c:v>60.501939914277713</c:v>
                </c:pt>
                <c:pt idx="328">
                  <c:v>39.805473594515064</c:v>
                </c:pt>
                <c:pt idx="329">
                  <c:v>18.34385964748072</c:v>
                </c:pt>
                <c:pt idx="330">
                  <c:v>-3.7617562722332991</c:v>
                </c:pt>
                <c:pt idx="331">
                  <c:v>-26.358762622665232</c:v>
                </c:pt>
                <c:pt idx="332">
                  <c:v>-49.248166633597421</c:v>
                </c:pt>
                <c:pt idx="333">
                  <c:v>-72.163697154938546</c:v>
                </c:pt>
                <c:pt idx="334">
                  <c:v>-94.294184231089801</c:v>
                </c:pt>
                <c:pt idx="335">
                  <c:v>-114.57268144241476</c:v>
                </c:pt>
                <c:pt idx="336">
                  <c:v>-132.59621395083377</c:v>
                </c:pt>
                <c:pt idx="337">
                  <c:v>-147.76712094402552</c:v>
                </c:pt>
                <c:pt idx="338">
                  <c:v>-152.09519623416543</c:v>
                </c:pt>
                <c:pt idx="339">
                  <c:v>-153.02064079187357</c:v>
                </c:pt>
                <c:pt idx="340">
                  <c:v>-153.93376624718044</c:v>
                </c:pt>
                <c:pt idx="341">
                  <c:v>-154.83536255000354</c:v>
                </c:pt>
                <c:pt idx="342">
                  <c:v>-155.72618594290867</c:v>
                </c:pt>
                <c:pt idx="343">
                  <c:v>-156.60696172104667</c:v>
                </c:pt>
                <c:pt idx="344">
                  <c:v>-157.47838679366984</c:v>
                </c:pt>
                <c:pt idx="345">
                  <c:v>-158.34113206741057</c:v>
                </c:pt>
                <c:pt idx="346">
                  <c:v>-159.19584466949709</c:v>
                </c:pt>
                <c:pt idx="347">
                  <c:v>-160.04315002733574</c:v>
                </c:pt>
                <c:pt idx="348">
                  <c:v>-160.88365381934506</c:v>
                </c:pt>
                <c:pt idx="349">
                  <c:v>-161.71794381057782</c:v>
                </c:pt>
                <c:pt idx="350">
                  <c:v>-162.54659158548054</c:v>
                </c:pt>
                <c:pt idx="351">
                  <c:v>-163.37015418910298</c:v>
                </c:pt>
                <c:pt idx="352">
                  <c:v>-164.18917568715932</c:v>
                </c:pt>
                <c:pt idx="353">
                  <c:v>-165.00418865455578</c:v>
                </c:pt>
                <c:pt idx="354">
                  <c:v>-165.81571560130459</c:v>
                </c:pt>
                <c:pt idx="355">
                  <c:v>-166.62427034415919</c:v>
                </c:pt>
                <c:pt idx="356">
                  <c:v>-167.43035933179192</c:v>
                </c:pt>
                <c:pt idx="357">
                  <c:v>-168.23448293090746</c:v>
                </c:pt>
                <c:pt idx="358">
                  <c:v>-169.03713668032788</c:v>
                </c:pt>
                <c:pt idx="359">
                  <c:v>-169.83881251979386</c:v>
                </c:pt>
                <c:pt idx="360">
                  <c:v>-170.63999999999908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-196.88704407437012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2.0219329144310905E-8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General</c:formatCode>
                <c:ptCount val="1"/>
                <c:pt idx="0">
                  <c:v>-100</c:v>
                </c:pt>
              </c:numCache>
            </c:numRef>
          </c:xVal>
          <c:yVal>
            <c:numRef>
              <c:f>L_Section_Capacity!$U$12</c:f>
              <c:numCache>
                <c:formatCode>0.00E+00</c:formatCode>
                <c:ptCount val="1"/>
                <c:pt idx="0">
                  <c:v>1E-8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3"/>
          <c:order val="3"/>
          <c:tx>
            <c:v>guess_center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-79.582196696159414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-56.175668257730194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0.000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L_Section_Capacity!$AV$2:$AV$362</c:f>
              <c:numCache>
                <c:formatCode>0.000</c:formatCode>
                <c:ptCount val="361"/>
                <c:pt idx="0">
                  <c:v>3.6789140570588903</c:v>
                </c:pt>
                <c:pt idx="1">
                  <c:v>3.680986800077402</c:v>
                </c:pt>
                <c:pt idx="2">
                  <c:v>3.6830773593369819</c:v>
                </c:pt>
                <c:pt idx="3">
                  <c:v>3.6851872054182513</c:v>
                </c:pt>
                <c:pt idx="4">
                  <c:v>3.6873178592688074</c:v>
                </c:pt>
                <c:pt idx="5">
                  <c:v>3.6894708967054051</c:v>
                </c:pt>
                <c:pt idx="6">
                  <c:v>3.6916479534450541</c:v>
                </c:pt>
                <c:pt idx="7">
                  <c:v>3.6938507303729535</c:v>
                </c:pt>
                <c:pt idx="8">
                  <c:v>3.6960809991980241</c:v>
                </c:pt>
                <c:pt idx="9">
                  <c:v>3.698340608579425</c:v>
                </c:pt>
                <c:pt idx="10">
                  <c:v>3.7006314906758915</c:v>
                </c:pt>
                <c:pt idx="11">
                  <c:v>3.7029556683104903</c:v>
                </c:pt>
                <c:pt idx="12">
                  <c:v>3.7053152625970105</c:v>
                </c:pt>
                <c:pt idx="13">
                  <c:v>3.7077125013533214</c:v>
                </c:pt>
                <c:pt idx="14">
                  <c:v>3.7101497280783038</c:v>
                </c:pt>
                <c:pt idx="15">
                  <c:v>3.7126294118472942</c:v>
                </c:pt>
                <c:pt idx="16">
                  <c:v>3.7151541580854834</c:v>
                </c:pt>
                <c:pt idx="17">
                  <c:v>3.7177267203104054</c:v>
                </c:pt>
                <c:pt idx="18">
                  <c:v>3.7203500129121445</c:v>
                </c:pt>
                <c:pt idx="19">
                  <c:v>3.7230271252878979</c:v>
                </c:pt>
                <c:pt idx="20">
                  <c:v>3.7257613373261491</c:v>
                </c:pt>
                <c:pt idx="21">
                  <c:v>3.7285561363654254</c:v>
                </c:pt>
                <c:pt idx="22">
                  <c:v>3.7314152359819084</c:v>
                </c:pt>
                <c:pt idx="23">
                  <c:v>3.7343425966584323</c:v>
                </c:pt>
                <c:pt idx="24">
                  <c:v>3.7373424487386977</c:v>
                </c:pt>
                <c:pt idx="25">
                  <c:v>3.7404193177255758</c:v>
                </c:pt>
                <c:pt idx="26">
                  <c:v>3.743578052502432</c:v>
                </c:pt>
                <c:pt idx="27">
                  <c:v>3.7468238566682324</c:v>
                </c:pt>
                <c:pt idx="28">
                  <c:v>3.7501623234896218</c:v>
                </c:pt>
                <c:pt idx="29">
                  <c:v>3.7535994748693522</c:v>
                </c:pt>
                <c:pt idx="30">
                  <c:v>3.757141805117131</c:v>
                </c:pt>
                <c:pt idx="31">
                  <c:v>3.7607963298695291</c:v>
                </c:pt>
                <c:pt idx="32">
                  <c:v>3.7645653850826983</c:v>
                </c:pt>
                <c:pt idx="33">
                  <c:v>3.768308455698389</c:v>
                </c:pt>
                <c:pt idx="34">
                  <c:v>3.7719671079663901</c:v>
                </c:pt>
                <c:pt idx="35">
                  <c:v>3.7755504966007174</c:v>
                </c:pt>
                <c:pt idx="36">
                  <c:v>3.7790670552112209</c:v>
                </c:pt>
                <c:pt idx="37">
                  <c:v>3.7825246018202003</c:v>
                </c:pt>
                <c:pt idx="38">
                  <c:v>3.7859304300754548</c:v>
                </c:pt>
                <c:pt idx="39">
                  <c:v>3.7892913893860913</c:v>
                </c:pt>
                <c:pt idx="40">
                  <c:v>3.7926139554095215</c:v>
                </c:pt>
                <c:pt idx="41">
                  <c:v>3.7959042933310432</c:v>
                </c:pt>
                <c:pt idx="42">
                  <c:v>3.7991683148271842</c:v>
                </c:pt>
                <c:pt idx="43">
                  <c:v>3.8024117303933442</c:v>
                </c:pt>
                <c:pt idx="44">
                  <c:v>3.8056400979938272</c:v>
                </c:pt>
                <c:pt idx="45">
                  <c:v>3.8088588688082936</c:v>
                </c:pt>
                <c:pt idx="46">
                  <c:v>3.8120734314078373</c:v>
                </c:pt>
                <c:pt idx="47">
                  <c:v>3.8152891546697436</c:v>
                </c:pt>
                <c:pt idx="48">
                  <c:v>3.8185114306462111</c:v>
                </c:pt>
                <c:pt idx="49">
                  <c:v>3.8217457178878287</c:v>
                </c:pt>
                <c:pt idx="50">
                  <c:v>3.8249975862092969</c:v>
                </c:pt>
                <c:pt idx="51">
                  <c:v>3.828272763684581</c:v>
                </c:pt>
                <c:pt idx="52">
                  <c:v>3.8315771867396586</c:v>
                </c:pt>
                <c:pt idx="53">
                  <c:v>3.8349170546513904</c:v>
                </c:pt>
                <c:pt idx="54">
                  <c:v>3.8382988892255767</c:v>
                </c:pt>
                <c:pt idx="55">
                  <c:v>3.8417296015478568</c:v>
                </c:pt>
                <c:pt idx="56">
                  <c:v>3.8452165670981886</c:v>
                </c:pt>
                <c:pt idx="57">
                  <c:v>3.8487677114304448</c:v>
                </c:pt>
                <c:pt idx="58">
                  <c:v>3.8523916088446128</c:v>
                </c:pt>
                <c:pt idx="59">
                  <c:v>3.8560975970058311</c:v>
                </c:pt>
                <c:pt idx="60">
                  <c:v>3.8598959114591191</c:v>
                </c:pt>
                <c:pt idx="61">
                  <c:v>3.8637978445357541</c:v>
                </c:pt>
                <c:pt idx="62">
                  <c:v>3.8678159348626613</c:v>
                </c:pt>
                <c:pt idx="63">
                  <c:v>3.8724219854397304</c:v>
                </c:pt>
                <c:pt idx="64">
                  <c:v>3.8792958949617882</c:v>
                </c:pt>
                <c:pt idx="65">
                  <c:v>3.8862835681153025</c:v>
                </c:pt>
                <c:pt idx="66">
                  <c:v>3.8934022217397706</c:v>
                </c:pt>
                <c:pt idx="67">
                  <c:v>3.9006711164912229</c:v>
                </c:pt>
                <c:pt idx="68">
                  <c:v>3.9081120119808106</c:v>
                </c:pt>
                <c:pt idx="69">
                  <c:v>3.9157497439620039</c:v>
                </c:pt>
                <c:pt idx="70">
                  <c:v>3.9236129662681809</c:v>
                </c:pt>
                <c:pt idx="71">
                  <c:v>3.931735117818028</c:v>
                </c:pt>
                <c:pt idx="72">
                  <c:v>3.9401557024429925</c:v>
                </c:pt>
                <c:pt idx="73">
                  <c:v>3.9489220107361573</c:v>
                </c:pt>
                <c:pt idx="74">
                  <c:v>3.958091478792984</c:v>
                </c:pt>
                <c:pt idx="75">
                  <c:v>3.9677349846306798</c:v>
                </c:pt>
                <c:pt idx="76">
                  <c:v>3.9779415584977942</c:v>
                </c:pt>
                <c:pt idx="77">
                  <c:v>3.9888252844455629</c:v>
                </c:pt>
                <c:pt idx="78">
                  <c:v>4.0005357033640774</c:v>
                </c:pt>
                <c:pt idx="79">
                  <c:v>4.0132740135193634</c:v>
                </c:pt>
                <c:pt idx="80">
                  <c:v>4.0273192705527361</c:v>
                </c:pt>
                <c:pt idx="81">
                  <c:v>4.0430726832030128</c:v>
                </c:pt>
                <c:pt idx="82">
                  <c:v>4.0611354623369733</c:v>
                </c:pt>
                <c:pt idx="83">
                  <c:v>4.0806067459321671</c:v>
                </c:pt>
                <c:pt idx="84">
                  <c:v>4.1002102865409142</c:v>
                </c:pt>
                <c:pt idx="85">
                  <c:v>4.1199708550616805</c:v>
                </c:pt>
                <c:pt idx="86">
                  <c:v>4.1399150485183949</c:v>
                </c:pt>
                <c:pt idx="87">
                  <c:v>4.160071750758779</c:v>
                </c:pt>
                <c:pt idx="88">
                  <c:v>4.1804727605794989</c:v>
                </c:pt>
                <c:pt idx="89">
                  <c:v>4.2011536744226339</c:v>
                </c:pt>
                <c:pt idx="90">
                  <c:v>4.2221551709545793</c:v>
                </c:pt>
                <c:pt idx="91">
                  <c:v>4.258550434342955</c:v>
                </c:pt>
                <c:pt idx="92">
                  <c:v>4.2946391794950403</c:v>
                </c:pt>
                <c:pt idx="93">
                  <c:v>4.3304388857501985</c:v>
                </c:pt>
                <c:pt idx="94">
                  <c:v>4.3659853346117714</c:v>
                </c:pt>
                <c:pt idx="95">
                  <c:v>4.4013275156612348</c:v>
                </c:pt>
                <c:pt idx="96">
                  <c:v>4.4365231694116805</c:v>
                </c:pt>
                <c:pt idx="97">
                  <c:v>4.4704111151585781</c:v>
                </c:pt>
                <c:pt idx="98">
                  <c:v>4.4977541258174192</c:v>
                </c:pt>
                <c:pt idx="99">
                  <c:v>4.5197864310991971</c:v>
                </c:pt>
                <c:pt idx="100">
                  <c:v>4.5379613101273968</c:v>
                </c:pt>
                <c:pt idx="101">
                  <c:v>4.5474245141497729</c:v>
                </c:pt>
                <c:pt idx="102">
                  <c:v>4.5607874215120709</c:v>
                </c:pt>
                <c:pt idx="103">
                  <c:v>4.5723701120283842</c:v>
                </c:pt>
                <c:pt idx="104">
                  <c:v>4.5825255751128244</c:v>
                </c:pt>
                <c:pt idx="105">
                  <c:v>4.5915186508218184</c:v>
                </c:pt>
                <c:pt idx="106">
                  <c:v>4.5995520288082563</c:v>
                </c:pt>
                <c:pt idx="107">
                  <c:v>4.6067835484419311</c:v>
                </c:pt>
                <c:pt idx="108">
                  <c:v>4.6133380160185524</c:v>
                </c:pt>
                <c:pt idx="109">
                  <c:v>4.6193154663657756</c:v>
                </c:pt>
                <c:pt idx="110">
                  <c:v>4.624797057649185</c:v>
                </c:pt>
                <c:pt idx="111">
                  <c:v>4.6298493558237839</c:v>
                </c:pt>
                <c:pt idx="112">
                  <c:v>4.6345274998080592</c:v>
                </c:pt>
                <c:pt idx="113">
                  <c:v>4.638877574982593</c:v>
                </c:pt>
                <c:pt idx="114">
                  <c:v>4.6429384173523882</c:v>
                </c:pt>
                <c:pt idx="115">
                  <c:v>4.6467430015804698</c:v>
                </c:pt>
                <c:pt idx="116">
                  <c:v>4.6503195213704789</c:v>
                </c:pt>
                <c:pt idx="117">
                  <c:v>4.6536922388806534</c:v>
                </c:pt>
                <c:pt idx="118">
                  <c:v>4.6568821588421558</c:v>
                </c:pt>
                <c:pt idx="119">
                  <c:v>4.6599075687493396</c:v>
                </c:pt>
                <c:pt idx="120">
                  <c:v>4.6627844749832983</c:v>
                </c:pt>
                <c:pt idx="121">
                  <c:v>4.6655269576831406</c:v>
                </c:pt>
                <c:pt idx="122">
                  <c:v>4.6681474616170515</c:v>
                </c:pt>
                <c:pt idx="123">
                  <c:v>4.6706570362969515</c:v>
                </c:pt>
                <c:pt idx="124">
                  <c:v>4.6730655354070993</c:v>
                </c:pt>
                <c:pt idx="125">
                  <c:v>4.6753817835089091</c:v>
                </c:pt>
                <c:pt idx="126">
                  <c:v>4.6776137159384659</c:v>
                </c:pt>
                <c:pt idx="127">
                  <c:v>4.6797684974120566</c:v>
                </c:pt>
                <c:pt idx="128">
                  <c:v>4.6818526227544233</c:v>
                </c:pt>
                <c:pt idx="129">
                  <c:v>4.6838720027421052</c:v>
                </c:pt>
                <c:pt idx="130">
                  <c:v>4.6858320381447669</c:v>
                </c:pt>
                <c:pt idx="131">
                  <c:v>4.6877376839070726</c:v>
                </c:pt>
                <c:pt idx="132">
                  <c:v>4.6895935042907269</c:v>
                </c:pt>
                <c:pt idx="133">
                  <c:v>4.6916777917178809</c:v>
                </c:pt>
                <c:pt idx="134">
                  <c:v>4.6938847436823359</c:v>
                </c:pt>
                <c:pt idx="135">
                  <c:v>4.6960186651304863</c:v>
                </c:pt>
                <c:pt idx="136">
                  <c:v>4.6980847763386429</c:v>
                </c:pt>
                <c:pt idx="137">
                  <c:v>4.7000879127074606</c:v>
                </c:pt>
                <c:pt idx="138">
                  <c:v>4.702032569131859</c:v>
                </c:pt>
                <c:pt idx="139">
                  <c:v>4.7039229393129052</c:v>
                </c:pt>
                <c:pt idx="140">
                  <c:v>4.7057629518653181</c:v>
                </c:pt>
                <c:pt idx="141">
                  <c:v>4.7075563027874763</c:v>
                </c:pt>
                <c:pt idx="142">
                  <c:v>4.7093064859602318</c:v>
                </c:pt>
                <c:pt idx="143">
                  <c:v>4.7110168211879904</c:v>
                </c:pt>
                <c:pt idx="144">
                  <c:v>4.7126904813010544</c:v>
                </c:pt>
                <c:pt idx="145">
                  <c:v>4.7143305178441484</c:v>
                </c:pt>
                <c:pt idx="146">
                  <c:v>4.7159398864435609</c:v>
                </c:pt>
                <c:pt idx="147">
                  <c:v>4.7175214726029582</c:v>
                </c:pt>
                <c:pt idx="148">
                  <c:v>4.7190781175092065</c:v>
                </c:pt>
                <c:pt idx="149">
                  <c:v>4.7206126456146471</c:v>
                </c:pt>
                <c:pt idx="150">
                  <c:v>4.7221278940413489</c:v>
                </c:pt>
                <c:pt idx="151">
                  <c:v>4.7236267451862517</c:v>
                </c:pt>
                <c:pt idx="152">
                  <c:v>4.7251121628134394</c:v>
                </c:pt>
                <c:pt idx="153">
                  <c:v>4.7265872343078321</c:v>
                </c:pt>
                <c:pt idx="154">
                  <c:v>4.7280552194301126</c:v>
                </c:pt>
                <c:pt idx="155">
                  <c:v>4.7295196092127556</c:v>
                </c:pt>
                <c:pt idx="156">
                  <c:v>4.7309841970719484</c:v>
                </c:pt>
                <c:pt idx="157">
                  <c:v>4.7324531667527614</c:v>
                </c:pt>
                <c:pt idx="158">
                  <c:v>4.7339312025394875</c:v>
                </c:pt>
                <c:pt idx="159">
                  <c:v>4.7354236295257888</c:v>
                </c:pt>
                <c:pt idx="160">
                  <c:v>4.7369365951098334</c:v>
                </c:pt>
                <c:pt idx="161">
                  <c:v>4.7384773066143211</c:v>
                </c:pt>
                <c:pt idx="162">
                  <c:v>4.7400543484451756</c:v>
                </c:pt>
                <c:pt idx="163">
                  <c:v>4.7416781121515381</c:v>
                </c:pt>
                <c:pt idx="164">
                  <c:v>4.7433613906732308</c:v>
                </c:pt>
                <c:pt idx="165">
                  <c:v>4.7451202163261108</c:v>
                </c:pt>
                <c:pt idx="166">
                  <c:v>4.7469750700115876</c:v>
                </c:pt>
                <c:pt idx="167">
                  <c:v>4.7489526731231244</c:v>
                </c:pt>
                <c:pt idx="168">
                  <c:v>4.751088720446595</c:v>
                </c:pt>
                <c:pt idx="169">
                  <c:v>4.7534322019426929</c:v>
                </c:pt>
                <c:pt idx="170">
                  <c:v>4.7560525165257435</c:v>
                </c:pt>
                <c:pt idx="171">
                  <c:v>4.7590517845934048</c:v>
                </c:pt>
                <c:pt idx="172">
                  <c:v>4.7627969783235073</c:v>
                </c:pt>
                <c:pt idx="173">
                  <c:v>4.7659791564344811</c:v>
                </c:pt>
                <c:pt idx="174">
                  <c:v>4.771596064140466</c:v>
                </c:pt>
                <c:pt idx="175">
                  <c:v>4.7793179305679434</c:v>
                </c:pt>
                <c:pt idx="176">
                  <c:v>4.7911693673555291</c:v>
                </c:pt>
                <c:pt idx="177">
                  <c:v>4.8132280927965976</c:v>
                </c:pt>
                <c:pt idx="178">
                  <c:v>4.8699979549291585</c:v>
                </c:pt>
                <c:pt idx="179">
                  <c:v>5.0163938152606438</c:v>
                </c:pt>
                <c:pt idx="180">
                  <c:v>1.568292656132214E-10</c:v>
                </c:pt>
                <c:pt idx="181">
                  <c:v>1.266791492084858</c:v>
                </c:pt>
                <c:pt idx="182">
                  <c:v>1.4131873522031293</c:v>
                </c:pt>
                <c:pt idx="183">
                  <c:v>1.4699572144972541</c:v>
                </c:pt>
                <c:pt idx="184">
                  <c:v>1.492015939775625</c:v>
                </c:pt>
                <c:pt idx="185">
                  <c:v>1.503867376630786</c:v>
                </c:pt>
                <c:pt idx="186">
                  <c:v>1.5115892430948212</c:v>
                </c:pt>
                <c:pt idx="187">
                  <c:v>1.5172061507570904</c:v>
                </c:pt>
                <c:pt idx="188">
                  <c:v>1.5203883288459188</c:v>
                </c:pt>
                <c:pt idx="189">
                  <c:v>1.52413352258123</c:v>
                </c:pt>
                <c:pt idx="190">
                  <c:v>1.5271327905615861</c:v>
                </c:pt>
                <c:pt idx="191">
                  <c:v>1.529753105228927</c:v>
                </c:pt>
                <c:pt idx="192">
                  <c:v>1.5320965866525589</c:v>
                </c:pt>
                <c:pt idx="193">
                  <c:v>1.5342326340953687</c:v>
                </c:pt>
                <c:pt idx="194">
                  <c:v>1.5362102371589461</c:v>
                </c:pt>
                <c:pt idx="195">
                  <c:v>1.5380650908803788</c:v>
                </c:pt>
                <c:pt idx="196">
                  <c:v>1.5398239165081449</c:v>
                </c:pt>
                <c:pt idx="197">
                  <c:v>1.5415071950106938</c:v>
                </c:pt>
                <c:pt idx="198">
                  <c:v>1.5431309586796405</c:v>
                </c:pt>
                <c:pt idx="199">
                  <c:v>1.5447080005279021</c:v>
                </c:pt>
                <c:pt idx="200">
                  <c:v>1.5462487120044253</c:v>
                </c:pt>
                <c:pt idx="201">
                  <c:v>1.5477616776430758</c:v>
                </c:pt>
                <c:pt idx="202">
                  <c:v>1.5492541046365949</c:v>
                </c:pt>
                <c:pt idx="203">
                  <c:v>1.5507321404544248</c:v>
                </c:pt>
                <c:pt idx="204">
                  <c:v>1.5522011100897755</c:v>
                </c:pt>
                <c:pt idx="205">
                  <c:v>1.553665697961407</c:v>
                </c:pt>
                <c:pt idx="206">
                  <c:v>1.5551300877876049</c:v>
                </c:pt>
                <c:pt idx="207">
                  <c:v>1.5565980729082824</c:v>
                </c:pt>
                <c:pt idx="208">
                  <c:v>1.5580731443722278</c:v>
                </c:pt>
                <c:pt idx="209">
                  <c:v>1.5595585619645389</c:v>
                </c:pt>
                <c:pt idx="210">
                  <c:v>1.5610574131137502</c:v>
                </c:pt>
                <c:pt idx="211">
                  <c:v>1.562572661561509</c:v>
                </c:pt>
                <c:pt idx="212">
                  <c:v>1.5641071896530703</c:v>
                </c:pt>
                <c:pt idx="213">
                  <c:v>1.5656638345716967</c:v>
                </c:pt>
                <c:pt idx="214">
                  <c:v>1.5672454207087365</c:v>
                </c:pt>
                <c:pt idx="215">
                  <c:v>1.5688547893669134</c:v>
                </c:pt>
                <c:pt idx="216">
                  <c:v>1.5704948258870202</c:v>
                </c:pt>
                <c:pt idx="217">
                  <c:v>1.5721684860136929</c:v>
                </c:pt>
                <c:pt idx="218">
                  <c:v>1.5738788212437977</c:v>
                </c:pt>
                <c:pt idx="219">
                  <c:v>1.5756290044086487</c:v>
                </c:pt>
                <c:pt idx="220">
                  <c:v>1.5774223553137512</c:v>
                </c:pt>
                <c:pt idx="221">
                  <c:v>1.5792623678647326</c:v>
                </c:pt>
                <c:pt idx="222">
                  <c:v>1.5811527380861445</c:v>
                </c:pt>
                <c:pt idx="223">
                  <c:v>1.583097394473211</c:v>
                </c:pt>
                <c:pt idx="224">
                  <c:v>1.5851005308547355</c:v>
                </c:pt>
                <c:pt idx="225">
                  <c:v>1.5871666419928714</c:v>
                </c:pt>
                <c:pt idx="226">
                  <c:v>1.5893005634660653</c:v>
                </c:pt>
                <c:pt idx="227">
                  <c:v>1.591507515463257</c:v>
                </c:pt>
                <c:pt idx="228">
                  <c:v>1.593591802870056</c:v>
                </c:pt>
                <c:pt idx="229">
                  <c:v>1.5954476232554324</c:v>
                </c:pt>
                <c:pt idx="230">
                  <c:v>1.5973508357457404</c:v>
                </c:pt>
                <c:pt idx="231">
                  <c:v>1.5992316478677253</c:v>
                </c:pt>
                <c:pt idx="232">
                  <c:v>1.6010592002007187</c:v>
                </c:pt>
                <c:pt idx="233">
                  <c:v>1.6028371726176045</c:v>
                </c:pt>
                <c:pt idx="234">
                  <c:v>1.6045689529922913</c:v>
                </c:pt>
                <c:pt idx="235">
                  <c:v>1.6062576679907155</c:v>
                </c:pt>
                <c:pt idx="236">
                  <c:v>1.6079062103977009</c:v>
                </c:pt>
                <c:pt idx="237">
                  <c:v>1.609517263084975</c:v>
                </c:pt>
                <c:pt idx="238">
                  <c:v>1.6110933202314519</c:v>
                </c:pt>
                <c:pt idx="239">
                  <c:v>1.6126367059854274</c:v>
                </c:pt>
                <c:pt idx="240">
                  <c:v>1.6141495911645478</c:v>
                </c:pt>
                <c:pt idx="241">
                  <c:v>1.6156340079044875</c:v>
                </c:pt>
                <c:pt idx="242">
                  <c:v>1.6170918631624616</c:v>
                </c:pt>
                <c:pt idx="243">
                  <c:v>1.6185249504545083</c:v>
                </c:pt>
                <c:pt idx="244">
                  <c:v>1.6199349604444906</c:v>
                </c:pt>
                <c:pt idx="245">
                  <c:v>1.621323490741275</c:v>
                </c:pt>
                <c:pt idx="246">
                  <c:v>1.622692054505849</c:v>
                </c:pt>
                <c:pt idx="247">
                  <c:v>1.6240420883627744</c:v>
                </c:pt>
                <c:pt idx="248">
                  <c:v>1.6253749594726907</c:v>
                </c:pt>
                <c:pt idx="249">
                  <c:v>1.6266919724505657</c:v>
                </c:pt>
                <c:pt idx="250">
                  <c:v>1.6279943749052064</c:v>
                </c:pt>
                <c:pt idx="251">
                  <c:v>1.629283363437354</c:v>
                </c:pt>
                <c:pt idx="252">
                  <c:v>1.630560088247518</c:v>
                </c:pt>
                <c:pt idx="253">
                  <c:v>1.6318256584985353</c:v>
                </c:pt>
                <c:pt idx="254">
                  <c:v>1.6330811459770835</c:v>
                </c:pt>
                <c:pt idx="255">
                  <c:v>1.6343275900040453</c:v>
                </c:pt>
                <c:pt idx="256">
                  <c:v>1.6355660006448596</c:v>
                </c:pt>
                <c:pt idx="257">
                  <c:v>1.636797362766871</c:v>
                </c:pt>
                <c:pt idx="258">
                  <c:v>1.6380226394225188</c:v>
                </c:pt>
                <c:pt idx="259">
                  <c:v>1.6392427750136211</c:v>
                </c:pt>
                <c:pt idx="260">
                  <c:v>1.6404586987349263</c:v>
                </c:pt>
                <c:pt idx="261">
                  <c:v>1.6416713274919303</c:v>
                </c:pt>
                <c:pt idx="262">
                  <c:v>1.642881568844943</c:v>
                </c:pt>
                <c:pt idx="263">
                  <c:v>1.6440903241986811</c:v>
                </c:pt>
                <c:pt idx="264">
                  <c:v>1.6452984913820303</c:v>
                </c:pt>
                <c:pt idx="265">
                  <c:v>1.6465069679130357</c:v>
                </c:pt>
                <c:pt idx="266">
                  <c:v>1.6477166534506258</c:v>
                </c:pt>
                <c:pt idx="267">
                  <c:v>1.6489284530982851</c:v>
                </c:pt>
                <c:pt idx="268">
                  <c:v>1.650143279959212</c:v>
                </c:pt>
                <c:pt idx="269">
                  <c:v>1.6513620586557656</c:v>
                </c:pt>
                <c:pt idx="270">
                  <c:v>1.6525857280605745</c:v>
                </c:pt>
                <c:pt idx="271">
                  <c:v>1.6539844438360185</c:v>
                </c:pt>
                <c:pt idx="272">
                  <c:v>1.6553743302310484</c:v>
                </c:pt>
                <c:pt idx="273">
                  <c:v>1.6567569080801918</c:v>
                </c:pt>
                <c:pt idx="274">
                  <c:v>1.6581336324342051</c:v>
                </c:pt>
                <c:pt idx="275">
                  <c:v>1.6595059038015025</c:v>
                </c:pt>
                <c:pt idx="276">
                  <c:v>1.6608750773710683</c:v>
                </c:pt>
                <c:pt idx="277">
                  <c:v>1.662242471969684</c:v>
                </c:pt>
                <c:pt idx="278">
                  <c:v>1.6636093776816516</c:v>
                </c:pt>
                <c:pt idx="279">
                  <c:v>1.6649770630091423</c:v>
                </c:pt>
                <c:pt idx="280">
                  <c:v>1.6663467820150091</c:v>
                </c:pt>
                <c:pt idx="281">
                  <c:v>1.667719779979506</c:v>
                </c:pt>
                <c:pt idx="282">
                  <c:v>1.6690972999423912</c:v>
                </c:pt>
                <c:pt idx="283">
                  <c:v>1.6704805882383269</c:v>
                </c:pt>
                <c:pt idx="284">
                  <c:v>1.6718709002197993</c:v>
                </c:pt>
                <c:pt idx="285">
                  <c:v>1.6732695057777776</c:v>
                </c:pt>
                <c:pt idx="286">
                  <c:v>1.674677695023965</c:v>
                </c:pt>
                <c:pt idx="287">
                  <c:v>1.6760967839085885</c:v>
                </c:pt>
                <c:pt idx="288">
                  <c:v>1.6775281198361731</c:v>
                </c:pt>
                <c:pt idx="289">
                  <c:v>1.6789730880331024</c:v>
                </c:pt>
                <c:pt idx="290">
                  <c:v>1.6804331171452724</c:v>
                </c:pt>
                <c:pt idx="291">
                  <c:v>1.6819096863310747</c:v>
                </c:pt>
                <c:pt idx="292">
                  <c:v>1.6834043318677852</c:v>
                </c:pt>
                <c:pt idx="293">
                  <c:v>1.6831104264488779</c:v>
                </c:pt>
                <c:pt idx="294">
                  <c:v>1.6846390905720774</c:v>
                </c:pt>
                <c:pt idx="295">
                  <c:v>1.6861907789967521</c:v>
                </c:pt>
                <c:pt idx="296">
                  <c:v>1.6877673272983458</c:v>
                </c:pt>
                <c:pt idx="297">
                  <c:v>1.689370670939857</c:v>
                </c:pt>
                <c:pt idx="298">
                  <c:v>1.6910028562762343</c:v>
                </c:pt>
                <c:pt idx="299">
                  <c:v>1.6926660525045119</c:v>
                </c:pt>
                <c:pt idx="300">
                  <c:v>1.694362565197242</c:v>
                </c:pt>
                <c:pt idx="301">
                  <c:v>1.6960948509773082</c:v>
                </c:pt>
                <c:pt idx="302">
                  <c:v>1.6978655341308055</c:v>
                </c:pt>
                <c:pt idx="303">
                  <c:v>1.699677424966396</c:v>
                </c:pt>
                <c:pt idx="304">
                  <c:v>1.7015335404288796</c:v>
                </c:pt>
                <c:pt idx="305">
                  <c:v>1.7034371272101068</c:v>
                </c:pt>
                <c:pt idx="306">
                  <c:v>1.7053916880534636</c:v>
                </c:pt>
                <c:pt idx="307">
                  <c:v>1.7074010112367177</c:v>
                </c:pt>
                <c:pt idx="308">
                  <c:v>1.7094692038183283</c:v>
                </c:pt>
                <c:pt idx="309">
                  <c:v>1.7116007305015233</c:v>
                </c:pt>
                <c:pt idx="310">
                  <c:v>1.7138004567286904</c:v>
                </c:pt>
                <c:pt idx="311">
                  <c:v>1.716073698955553</c:v>
                </c:pt>
                <c:pt idx="312">
                  <c:v>1.7184262823387639</c:v>
                </c:pt>
                <c:pt idx="313">
                  <c:v>1.7208646070024451</c:v>
                </c:pt>
                <c:pt idx="314">
                  <c:v>1.7233957258063639</c:v>
                </c:pt>
                <c:pt idx="315">
                  <c:v>1.7260266454438378</c:v>
                </c:pt>
                <c:pt idx="316">
                  <c:v>1.7362089339908309</c:v>
                </c:pt>
                <c:pt idx="317">
                  <c:v>1.7605134191941572</c:v>
                </c:pt>
                <c:pt idx="318">
                  <c:v>1.7976566430305432</c:v>
                </c:pt>
                <c:pt idx="319">
                  <c:v>1.8474904783648967</c:v>
                </c:pt>
                <c:pt idx="320">
                  <c:v>1.9106634229938071</c:v>
                </c:pt>
                <c:pt idx="321">
                  <c:v>1.9883885783852489</c:v>
                </c:pt>
                <c:pt idx="322">
                  <c:v>2.0821809109575726</c:v>
                </c:pt>
                <c:pt idx="323">
                  <c:v>2.1934312425059157</c:v>
                </c:pt>
                <c:pt idx="324">
                  <c:v>2.3227030626616063</c:v>
                </c:pt>
                <c:pt idx="325">
                  <c:v>2.4687675309685351</c:v>
                </c:pt>
                <c:pt idx="326">
                  <c:v>2.627723779346089</c:v>
                </c:pt>
                <c:pt idx="327">
                  <c:v>2.7762532801509732</c:v>
                </c:pt>
                <c:pt idx="328">
                  <c:v>2.9139401688427378</c:v>
                </c:pt>
                <c:pt idx="329">
                  <c:v>3.0430346168018847</c:v>
                </c:pt>
                <c:pt idx="330">
                  <c:v>3.1604764795786435</c:v>
                </c:pt>
                <c:pt idx="331">
                  <c:v>3.2648787842032387</c:v>
                </c:pt>
                <c:pt idx="332">
                  <c:v>3.3561263252467182</c:v>
                </c:pt>
                <c:pt idx="333">
                  <c:v>3.434835209419739</c:v>
                </c:pt>
                <c:pt idx="334">
                  <c:v>3.5006502334057137</c:v>
                </c:pt>
                <c:pt idx="335">
                  <c:v>3.5534669188340673</c:v>
                </c:pt>
                <c:pt idx="336">
                  <c:v>3.5951193176889551</c:v>
                </c:pt>
                <c:pt idx="337">
                  <c:v>3.626470650744182</c:v>
                </c:pt>
                <c:pt idx="338">
                  <c:v>3.6352404958157893</c:v>
                </c:pt>
                <c:pt idx="339">
                  <c:v>3.637236513767923</c:v>
                </c:pt>
                <c:pt idx="340">
                  <c:v>3.6392238001105537</c:v>
                </c:pt>
                <c:pt idx="341">
                  <c:v>3.64120353477341</c:v>
                </c:pt>
                <c:pt idx="342">
                  <c:v>3.6431768835771403</c:v>
                </c:pt>
                <c:pt idx="343">
                  <c:v>3.6451450007100732</c:v>
                </c:pt>
                <c:pt idx="344">
                  <c:v>3.6471090311199066</c:v>
                </c:pt>
                <c:pt idx="345">
                  <c:v>3.6490701128870979</c:v>
                </c:pt>
                <c:pt idx="346">
                  <c:v>3.6510293796759861</c:v>
                </c:pt>
                <c:pt idx="347">
                  <c:v>3.6529879631197621</c:v>
                </c:pt>
                <c:pt idx="348">
                  <c:v>3.6549469952775175</c:v>
                </c:pt>
                <c:pt idx="349">
                  <c:v>3.6569076110405829</c:v>
                </c:pt>
                <c:pt idx="350">
                  <c:v>3.6588709506325485</c:v>
                </c:pt>
                <c:pt idx="351">
                  <c:v>3.6608381621300801</c:v>
                </c:pt>
                <c:pt idx="352">
                  <c:v>3.6628104039951701</c:v>
                </c:pt>
                <c:pt idx="353">
                  <c:v>3.6647888477943886</c:v>
                </c:pt>
                <c:pt idx="354">
                  <c:v>3.6667746808162547</c:v>
                </c:pt>
                <c:pt idx="355">
                  <c:v>3.6687691089641596</c:v>
                </c:pt>
                <c:pt idx="356">
                  <c:v>3.670773359546966</c:v>
                </c:pt>
                <c:pt idx="357">
                  <c:v>3.6727886844145639</c:v>
                </c:pt>
                <c:pt idx="358">
                  <c:v>3.6748163629716366</c:v>
                </c:pt>
                <c:pt idx="359">
                  <c:v>3.6768577056036778</c:v>
                </c:pt>
                <c:pt idx="360">
                  <c:v>3.6789140570588925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2.6150546533092824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3.1415926534870979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+/- pi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3.1415926535897931</c:v>
                </c:pt>
                <c:pt idx="1">
                  <c:v>-3.1415926535897931</c:v>
                </c:pt>
                <c:pt idx="2">
                  <c:v>-3.1415926535897931</c:v>
                </c:pt>
                <c:pt idx="3">
                  <c:v>3.1415926535897931</c:v>
                </c:pt>
                <c:pt idx="4">
                  <c:v>3.1415926535897931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phase_2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0.000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L_Section_Capacity!$BA$2:$BA$182</c:f>
              <c:numCache>
                <c:formatCode>0.000</c:formatCode>
                <c:ptCount val="181"/>
                <c:pt idx="0">
                  <c:v>3.6789140570588903</c:v>
                </c:pt>
                <c:pt idx="1">
                  <c:v>3.680986800077402</c:v>
                </c:pt>
                <c:pt idx="2">
                  <c:v>3.6830773593369819</c:v>
                </c:pt>
                <c:pt idx="3">
                  <c:v>3.6851872054182513</c:v>
                </c:pt>
                <c:pt idx="4">
                  <c:v>3.6873178592688074</c:v>
                </c:pt>
                <c:pt idx="5">
                  <c:v>3.6894708967054051</c:v>
                </c:pt>
                <c:pt idx="6">
                  <c:v>3.6916479534450541</c:v>
                </c:pt>
                <c:pt idx="7">
                  <c:v>3.6938507303729535</c:v>
                </c:pt>
                <c:pt idx="8">
                  <c:v>3.6960809991980241</c:v>
                </c:pt>
                <c:pt idx="9">
                  <c:v>3.698340608579425</c:v>
                </c:pt>
                <c:pt idx="10">
                  <c:v>3.7006314906758915</c:v>
                </c:pt>
                <c:pt idx="11">
                  <c:v>3.7029556683104903</c:v>
                </c:pt>
                <c:pt idx="12">
                  <c:v>3.7053152625970105</c:v>
                </c:pt>
                <c:pt idx="13">
                  <c:v>3.7077125013533214</c:v>
                </c:pt>
                <c:pt idx="14">
                  <c:v>3.7101497280783038</c:v>
                </c:pt>
                <c:pt idx="15">
                  <c:v>3.7126294118472942</c:v>
                </c:pt>
                <c:pt idx="16">
                  <c:v>3.7151541580854834</c:v>
                </c:pt>
                <c:pt idx="17">
                  <c:v>3.7177267203104054</c:v>
                </c:pt>
                <c:pt idx="18">
                  <c:v>3.7203500129121445</c:v>
                </c:pt>
                <c:pt idx="19">
                  <c:v>3.7230271252878979</c:v>
                </c:pt>
                <c:pt idx="20">
                  <c:v>3.7257613373261491</c:v>
                </c:pt>
                <c:pt idx="21">
                  <c:v>3.7285561363654254</c:v>
                </c:pt>
                <c:pt idx="22">
                  <c:v>3.7314152359819084</c:v>
                </c:pt>
                <c:pt idx="23">
                  <c:v>3.7343425966584323</c:v>
                </c:pt>
                <c:pt idx="24">
                  <c:v>3.7373424487386977</c:v>
                </c:pt>
                <c:pt idx="25">
                  <c:v>3.7404193177255758</c:v>
                </c:pt>
                <c:pt idx="26">
                  <c:v>3.743578052502432</c:v>
                </c:pt>
                <c:pt idx="27">
                  <c:v>3.7468238566682324</c:v>
                </c:pt>
                <c:pt idx="28">
                  <c:v>3.7501623234896218</c:v>
                </c:pt>
                <c:pt idx="29">
                  <c:v>3.7535994748693522</c:v>
                </c:pt>
                <c:pt idx="30">
                  <c:v>3.757141805117131</c:v>
                </c:pt>
                <c:pt idx="31">
                  <c:v>3.7607963298695291</c:v>
                </c:pt>
                <c:pt idx="32">
                  <c:v>3.7645653850826983</c:v>
                </c:pt>
                <c:pt idx="33">
                  <c:v>3.768308455698389</c:v>
                </c:pt>
                <c:pt idx="34">
                  <c:v>3.7719671079663901</c:v>
                </c:pt>
                <c:pt idx="35">
                  <c:v>3.7755504966007174</c:v>
                </c:pt>
                <c:pt idx="36">
                  <c:v>3.7790670552112209</c:v>
                </c:pt>
                <c:pt idx="37">
                  <c:v>3.7825246018202003</c:v>
                </c:pt>
                <c:pt idx="38">
                  <c:v>3.7859304300754548</c:v>
                </c:pt>
                <c:pt idx="39">
                  <c:v>3.7892913893860913</c:v>
                </c:pt>
                <c:pt idx="40">
                  <c:v>3.7926139554095215</c:v>
                </c:pt>
                <c:pt idx="41">
                  <c:v>3.7959042933310432</c:v>
                </c:pt>
                <c:pt idx="42">
                  <c:v>3.7991683148271842</c:v>
                </c:pt>
                <c:pt idx="43">
                  <c:v>3.8024117303933442</c:v>
                </c:pt>
                <c:pt idx="44">
                  <c:v>3.8056400979938272</c:v>
                </c:pt>
                <c:pt idx="45">
                  <c:v>3.8088588688082936</c:v>
                </c:pt>
                <c:pt idx="46">
                  <c:v>3.8120734314078373</c:v>
                </c:pt>
                <c:pt idx="47">
                  <c:v>3.8152891546697436</c:v>
                </c:pt>
                <c:pt idx="48">
                  <c:v>3.8185114306462111</c:v>
                </c:pt>
                <c:pt idx="49">
                  <c:v>3.8217457178878287</c:v>
                </c:pt>
                <c:pt idx="50">
                  <c:v>3.8249975862092969</c:v>
                </c:pt>
                <c:pt idx="51">
                  <c:v>3.828272763684581</c:v>
                </c:pt>
                <c:pt idx="52">
                  <c:v>3.8315771867396586</c:v>
                </c:pt>
                <c:pt idx="53">
                  <c:v>3.8349170546513904</c:v>
                </c:pt>
                <c:pt idx="54">
                  <c:v>3.8382988892255767</c:v>
                </c:pt>
                <c:pt idx="55">
                  <c:v>3.8417296015478568</c:v>
                </c:pt>
                <c:pt idx="56">
                  <c:v>3.8452165670981886</c:v>
                </c:pt>
                <c:pt idx="57">
                  <c:v>3.8487677114304448</c:v>
                </c:pt>
                <c:pt idx="58">
                  <c:v>3.8523916088446128</c:v>
                </c:pt>
                <c:pt idx="59">
                  <c:v>3.8560975970058311</c:v>
                </c:pt>
                <c:pt idx="60">
                  <c:v>3.8598959114591191</c:v>
                </c:pt>
                <c:pt idx="61">
                  <c:v>3.8637978445357541</c:v>
                </c:pt>
                <c:pt idx="62">
                  <c:v>3.8678159348626613</c:v>
                </c:pt>
                <c:pt idx="63">
                  <c:v>3.8724219854397304</c:v>
                </c:pt>
                <c:pt idx="64">
                  <c:v>3.8792958949617882</c:v>
                </c:pt>
                <c:pt idx="65">
                  <c:v>3.8862835681153025</c:v>
                </c:pt>
                <c:pt idx="66">
                  <c:v>3.8934022217397706</c:v>
                </c:pt>
                <c:pt idx="67">
                  <c:v>3.9006711164912229</c:v>
                </c:pt>
                <c:pt idx="68">
                  <c:v>3.9081120119808106</c:v>
                </c:pt>
                <c:pt idx="69">
                  <c:v>3.9157497439620039</c:v>
                </c:pt>
                <c:pt idx="70">
                  <c:v>3.9236129662681809</c:v>
                </c:pt>
                <c:pt idx="71">
                  <c:v>3.931735117818028</c:v>
                </c:pt>
                <c:pt idx="72">
                  <c:v>3.9401557024429925</c:v>
                </c:pt>
                <c:pt idx="73">
                  <c:v>3.9489220107361573</c:v>
                </c:pt>
                <c:pt idx="74">
                  <c:v>3.958091478792984</c:v>
                </c:pt>
                <c:pt idx="75">
                  <c:v>3.9677349846306798</c:v>
                </c:pt>
                <c:pt idx="76">
                  <c:v>3.9779415584977942</c:v>
                </c:pt>
                <c:pt idx="77">
                  <c:v>3.9888252844455629</c:v>
                </c:pt>
                <c:pt idx="78">
                  <c:v>4.0005357033640774</c:v>
                </c:pt>
                <c:pt idx="79">
                  <c:v>4.0132740135193634</c:v>
                </c:pt>
                <c:pt idx="80">
                  <c:v>4.0273192705527361</c:v>
                </c:pt>
                <c:pt idx="81">
                  <c:v>4.0430726832030128</c:v>
                </c:pt>
                <c:pt idx="82">
                  <c:v>4.0611354623369733</c:v>
                </c:pt>
                <c:pt idx="83">
                  <c:v>4.0806067459321671</c:v>
                </c:pt>
                <c:pt idx="84">
                  <c:v>4.1002102865409142</c:v>
                </c:pt>
                <c:pt idx="85">
                  <c:v>4.1199708550616805</c:v>
                </c:pt>
                <c:pt idx="86">
                  <c:v>4.1399150485183949</c:v>
                </c:pt>
                <c:pt idx="87">
                  <c:v>4.160071750758779</c:v>
                </c:pt>
                <c:pt idx="88">
                  <c:v>4.1804727605794989</c:v>
                </c:pt>
                <c:pt idx="89">
                  <c:v>4.2011536744226339</c:v>
                </c:pt>
                <c:pt idx="90">
                  <c:v>4.2221551709545793</c:v>
                </c:pt>
                <c:pt idx="91">
                  <c:v>4.258550434342955</c:v>
                </c:pt>
                <c:pt idx="92">
                  <c:v>4.2946391794950403</c:v>
                </c:pt>
                <c:pt idx="93">
                  <c:v>4.3304388857501985</c:v>
                </c:pt>
                <c:pt idx="94">
                  <c:v>4.3659853346117714</c:v>
                </c:pt>
                <c:pt idx="95">
                  <c:v>4.4013275156612348</c:v>
                </c:pt>
                <c:pt idx="96">
                  <c:v>4.4365231694116805</c:v>
                </c:pt>
                <c:pt idx="97">
                  <c:v>4.4704111151585781</c:v>
                </c:pt>
                <c:pt idx="98">
                  <c:v>4.4977541258174192</c:v>
                </c:pt>
                <c:pt idx="99">
                  <c:v>4.5197864310991971</c:v>
                </c:pt>
                <c:pt idx="100">
                  <c:v>4.5379613101273968</c:v>
                </c:pt>
                <c:pt idx="101">
                  <c:v>4.5474245141497729</c:v>
                </c:pt>
                <c:pt idx="102">
                  <c:v>4.5607874215120709</c:v>
                </c:pt>
                <c:pt idx="103">
                  <c:v>4.5723701120283842</c:v>
                </c:pt>
                <c:pt idx="104">
                  <c:v>4.5825255751128244</c:v>
                </c:pt>
                <c:pt idx="105">
                  <c:v>4.5915186508218184</c:v>
                </c:pt>
                <c:pt idx="106">
                  <c:v>4.5995520288082563</c:v>
                </c:pt>
                <c:pt idx="107">
                  <c:v>4.6067835484419311</c:v>
                </c:pt>
                <c:pt idx="108">
                  <c:v>4.6133380160185524</c:v>
                </c:pt>
                <c:pt idx="109">
                  <c:v>4.6193154663657756</c:v>
                </c:pt>
                <c:pt idx="110">
                  <c:v>4.624797057649185</c:v>
                </c:pt>
                <c:pt idx="111">
                  <c:v>4.6298493558237839</c:v>
                </c:pt>
                <c:pt idx="112">
                  <c:v>4.6345274998080592</c:v>
                </c:pt>
                <c:pt idx="113">
                  <c:v>4.638877574982593</c:v>
                </c:pt>
                <c:pt idx="114">
                  <c:v>4.6429384173523882</c:v>
                </c:pt>
                <c:pt idx="115">
                  <c:v>4.6467430015804698</c:v>
                </c:pt>
                <c:pt idx="116">
                  <c:v>4.6503195213704789</c:v>
                </c:pt>
                <c:pt idx="117">
                  <c:v>4.6536922388806534</c:v>
                </c:pt>
                <c:pt idx="118">
                  <c:v>4.6568821588421558</c:v>
                </c:pt>
                <c:pt idx="119">
                  <c:v>4.6599075687493396</c:v>
                </c:pt>
                <c:pt idx="120">
                  <c:v>4.6627844749832983</c:v>
                </c:pt>
                <c:pt idx="121">
                  <c:v>4.6655269576831406</c:v>
                </c:pt>
                <c:pt idx="122">
                  <c:v>4.6681474616170515</c:v>
                </c:pt>
                <c:pt idx="123">
                  <c:v>4.6706570362969515</c:v>
                </c:pt>
                <c:pt idx="124">
                  <c:v>4.6730655354070993</c:v>
                </c:pt>
                <c:pt idx="125">
                  <c:v>4.6753817835089091</c:v>
                </c:pt>
                <c:pt idx="126">
                  <c:v>4.6776137159384659</c:v>
                </c:pt>
                <c:pt idx="127">
                  <c:v>4.6797684974120566</c:v>
                </c:pt>
                <c:pt idx="128">
                  <c:v>4.6818526227544233</c:v>
                </c:pt>
                <c:pt idx="129">
                  <c:v>4.6838720027421052</c:v>
                </c:pt>
                <c:pt idx="130">
                  <c:v>4.6858320381447669</c:v>
                </c:pt>
                <c:pt idx="131">
                  <c:v>4.6877376839070726</c:v>
                </c:pt>
                <c:pt idx="132">
                  <c:v>4.6895935042907269</c:v>
                </c:pt>
                <c:pt idx="133">
                  <c:v>4.6916777917178809</c:v>
                </c:pt>
                <c:pt idx="134">
                  <c:v>4.6938847436823359</c:v>
                </c:pt>
                <c:pt idx="135">
                  <c:v>4.6960186651304863</c:v>
                </c:pt>
                <c:pt idx="136">
                  <c:v>4.6980847763386429</c:v>
                </c:pt>
                <c:pt idx="137">
                  <c:v>4.7000879127074606</c:v>
                </c:pt>
                <c:pt idx="138">
                  <c:v>4.702032569131859</c:v>
                </c:pt>
                <c:pt idx="139">
                  <c:v>4.7039229393129052</c:v>
                </c:pt>
                <c:pt idx="140">
                  <c:v>4.7057629518653181</c:v>
                </c:pt>
                <c:pt idx="141">
                  <c:v>4.7075563027874763</c:v>
                </c:pt>
                <c:pt idx="142">
                  <c:v>4.7093064859602318</c:v>
                </c:pt>
                <c:pt idx="143">
                  <c:v>4.7110168211879904</c:v>
                </c:pt>
                <c:pt idx="144">
                  <c:v>4.7126904813010544</c:v>
                </c:pt>
                <c:pt idx="145">
                  <c:v>4.7143305178441484</c:v>
                </c:pt>
                <c:pt idx="146">
                  <c:v>4.7159398864435609</c:v>
                </c:pt>
                <c:pt idx="147">
                  <c:v>4.7175214726029582</c:v>
                </c:pt>
                <c:pt idx="148">
                  <c:v>4.7190781175092065</c:v>
                </c:pt>
                <c:pt idx="149">
                  <c:v>4.7206126456146471</c:v>
                </c:pt>
                <c:pt idx="150">
                  <c:v>4.7221278940413489</c:v>
                </c:pt>
                <c:pt idx="151">
                  <c:v>4.7236267451862517</c:v>
                </c:pt>
                <c:pt idx="152">
                  <c:v>4.7251121628134394</c:v>
                </c:pt>
                <c:pt idx="153">
                  <c:v>4.7265872343078321</c:v>
                </c:pt>
                <c:pt idx="154">
                  <c:v>4.7280552194301126</c:v>
                </c:pt>
                <c:pt idx="155">
                  <c:v>4.7295196092127556</c:v>
                </c:pt>
                <c:pt idx="156">
                  <c:v>4.7309841970719484</c:v>
                </c:pt>
                <c:pt idx="157">
                  <c:v>4.7324531667527614</c:v>
                </c:pt>
                <c:pt idx="158">
                  <c:v>4.7339312025394875</c:v>
                </c:pt>
                <c:pt idx="159">
                  <c:v>4.7354236295257888</c:v>
                </c:pt>
                <c:pt idx="160">
                  <c:v>4.7369365951098334</c:v>
                </c:pt>
                <c:pt idx="161">
                  <c:v>4.7384773066143211</c:v>
                </c:pt>
                <c:pt idx="162">
                  <c:v>4.7400543484451756</c:v>
                </c:pt>
                <c:pt idx="163">
                  <c:v>4.7416781121515381</c:v>
                </c:pt>
                <c:pt idx="164">
                  <c:v>4.7433613906732308</c:v>
                </c:pt>
                <c:pt idx="165">
                  <c:v>4.7451202163261108</c:v>
                </c:pt>
                <c:pt idx="166">
                  <c:v>4.7469750700115876</c:v>
                </c:pt>
                <c:pt idx="167">
                  <c:v>4.7489526731231244</c:v>
                </c:pt>
                <c:pt idx="168">
                  <c:v>4.751088720446595</c:v>
                </c:pt>
                <c:pt idx="169">
                  <c:v>4.7534322019426929</c:v>
                </c:pt>
                <c:pt idx="170">
                  <c:v>4.7560525165257435</c:v>
                </c:pt>
                <c:pt idx="171">
                  <c:v>4.7590517845934048</c:v>
                </c:pt>
                <c:pt idx="172">
                  <c:v>4.7627969783235073</c:v>
                </c:pt>
                <c:pt idx="173">
                  <c:v>4.7659791564344811</c:v>
                </c:pt>
                <c:pt idx="174">
                  <c:v>4.771596064140466</c:v>
                </c:pt>
                <c:pt idx="175">
                  <c:v>4.7793179305679434</c:v>
                </c:pt>
                <c:pt idx="176">
                  <c:v>4.7911693673555291</c:v>
                </c:pt>
                <c:pt idx="177">
                  <c:v>4.8132280927965976</c:v>
                </c:pt>
                <c:pt idx="178">
                  <c:v>4.8699979549291585</c:v>
                </c:pt>
                <c:pt idx="179">
                  <c:v>5.0163938152606438</c:v>
                </c:pt>
                <c:pt idx="180">
                  <c:v>1.568292656132214E-10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80-4B1E-89A1-C308E3F1D15E}"/>
            </c:ext>
          </c:extLst>
        </c:ser>
        <c:ser>
          <c:idx val="4"/>
          <c:order val="4"/>
          <c:tx>
            <c:v>alpha_vs_tan (guess center)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L_Section_Capacity!$BG$15:$BG$375</c:f>
              <c:numCache>
                <c:formatCode>0.000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L_Section_Capacity!$BM$15:$BM$375</c:f>
              <c:numCache>
                <c:formatCode>0.000</c:formatCode>
                <c:ptCount val="361"/>
                <c:pt idx="0">
                  <c:v>-2.636116203640726</c:v>
                </c:pt>
                <c:pt idx="1">
                  <c:v>-2.6331412430699439</c:v>
                </c:pt>
                <c:pt idx="2">
                  <c:v>-2.6301452220975929</c:v>
                </c:pt>
                <c:pt idx="3">
                  <c:v>-2.627125939651207</c:v>
                </c:pt>
                <c:pt idx="4">
                  <c:v>-2.6240811336172891</c:v>
                </c:pt>
                <c:pt idx="5">
                  <c:v>-2.6210084738270325</c:v>
                </c:pt>
                <c:pt idx="6">
                  <c:v>-2.6179055543606862</c:v>
                </c:pt>
                <c:pt idx="7">
                  <c:v>-2.6147698855533679</c:v>
                </c:pt>
                <c:pt idx="8">
                  <c:v>-2.6115988854925711</c:v>
                </c:pt>
                <c:pt idx="9">
                  <c:v>-2.6083898708870024</c:v>
                </c:pt>
                <c:pt idx="10">
                  <c:v>-2.6051400473637942</c:v>
                </c:pt>
                <c:pt idx="11">
                  <c:v>-2.6018464989260348</c:v>
                </c:pt>
                <c:pt idx="12">
                  <c:v>-2.5985061767704889</c:v>
                </c:pt>
                <c:pt idx="13">
                  <c:v>-2.5951158870167474</c:v>
                </c:pt>
                <c:pt idx="14">
                  <c:v>-2.5916722776419143</c:v>
                </c:pt>
                <c:pt idx="15">
                  <c:v>-2.5881718241300971</c:v>
                </c:pt>
                <c:pt idx="16">
                  <c:v>-2.5846108138812247</c:v>
                </c:pt>
                <c:pt idx="17">
                  <c:v>-2.5809853292448506</c:v>
                </c:pt>
                <c:pt idx="18">
                  <c:v>-2.5772912290746586</c:v>
                </c:pt>
                <c:pt idx="19">
                  <c:v>-2.5735241283585166</c:v>
                </c:pt>
                <c:pt idx="20">
                  <c:v>-2.5696793759164414</c:v>
                </c:pt>
                <c:pt idx="21">
                  <c:v>-2.565752029981252</c:v>
                </c:pt>
                <c:pt idx="22">
                  <c:v>-2.5617368311593345</c:v>
                </c:pt>
                <c:pt idx="23">
                  <c:v>-2.5576281726811421</c:v>
                </c:pt>
                <c:pt idx="24">
                  <c:v>-2.5534200673653622</c:v>
                </c:pt>
                <c:pt idx="25">
                  <c:v>-2.5491061111937734</c:v>
                </c:pt>
                <c:pt idx="26">
                  <c:v>-2.5446794426725607</c:v>
                </c:pt>
                <c:pt idx="27">
                  <c:v>-2.5401326976881782</c:v>
                </c:pt>
                <c:pt idx="28">
                  <c:v>-2.535457959130075</c:v>
                </c:pt>
                <c:pt idx="29">
                  <c:v>-2.5306467006922939</c:v>
                </c:pt>
                <c:pt idx="30">
                  <c:v>-2.5256897237222584</c:v>
                </c:pt>
                <c:pt idx="31">
                  <c:v>-2.5205770865922554</c:v>
                </c:pt>
                <c:pt idx="32">
                  <c:v>-2.5153053760080719</c:v>
                </c:pt>
                <c:pt idx="33">
                  <c:v>-2.5100709018233318</c:v>
                </c:pt>
                <c:pt idx="34">
                  <c:v>-2.5049550741111961</c:v>
                </c:pt>
                <c:pt idx="35">
                  <c:v>-2.499944791055936</c:v>
                </c:pt>
                <c:pt idx="36">
                  <c:v>-2.4950279864936111</c:v>
                </c:pt>
                <c:pt idx="37">
                  <c:v>-2.4901934766623031</c:v>
                </c:pt>
                <c:pt idx="38">
                  <c:v>-2.485430827752908</c:v>
                </c:pt>
                <c:pt idx="39">
                  <c:v>-2.4807302395631781</c:v>
                </c:pt>
                <c:pt idx="40">
                  <c:v>-2.4760824431301574</c:v>
                </c:pt>
                <c:pt idx="41">
                  <c:v>-2.4714786087924581</c:v>
                </c:pt>
                <c:pt idx="42">
                  <c:v>-2.4669102633514184</c:v>
                </c:pt>
                <c:pt idx="43">
                  <c:v>-2.4623692138818543</c:v>
                </c:pt>
                <c:pt idx="44">
                  <c:v>-2.4578474767767395</c:v>
                </c:pt>
                <c:pt idx="45">
                  <c:v>-2.4533372108806968</c:v>
                </c:pt>
                <c:pt idx="46">
                  <c:v>-2.4488306527570654</c:v>
                </c:pt>
                <c:pt idx="47">
                  <c:v>-2.4443200536103911</c:v>
                </c:pt>
                <c:pt idx="48">
                  <c:v>-2.4397976160711439</c:v>
                </c:pt>
                <c:pt idx="49">
                  <c:v>-2.4352554300792759</c:v>
                </c:pt>
                <c:pt idx="50">
                  <c:v>-2.4306854063886325</c:v>
                </c:pt>
                <c:pt idx="51">
                  <c:v>-2.4260792064961247</c:v>
                </c:pt>
                <c:pt idx="52">
                  <c:v>-2.4214281676731382</c:v>
                </c:pt>
                <c:pt idx="53">
                  <c:v>-2.416723221110562</c:v>
                </c:pt>
                <c:pt idx="54">
                  <c:v>-2.4119548019704307</c:v>
                </c:pt>
                <c:pt idx="55">
                  <c:v>-2.4071127484529411</c:v>
                </c:pt>
                <c:pt idx="56">
                  <c:v>-2.4021861878640767</c:v>
                </c:pt>
                <c:pt idx="57">
                  <c:v>-2.3971634062845184</c:v>
                </c:pt>
                <c:pt idx="58">
                  <c:v>-2.3920316980672407</c:v>
                </c:pt>
                <c:pt idx="59">
                  <c:v>-2.3867771905648034</c:v>
                </c:pt>
                <c:pt idx="60">
                  <c:v>-2.3813846379303607</c:v>
                </c:pt>
                <c:pt idx="61">
                  <c:v>-2.3758371769624915</c:v>
                </c:pt>
                <c:pt idx="62">
                  <c:v>-2.3701160352755064</c:v>
                </c:pt>
                <c:pt idx="63">
                  <c:v>-2.3635262334217511</c:v>
                </c:pt>
                <c:pt idx="64">
                  <c:v>-2.3535800336277313</c:v>
                </c:pt>
                <c:pt idx="65">
                  <c:v>-2.3434379385680892</c:v>
                </c:pt>
                <c:pt idx="66">
                  <c:v>-2.333073546978544</c:v>
                </c:pt>
                <c:pt idx="67">
                  <c:v>-2.3224571966321412</c:v>
                </c:pt>
                <c:pt idx="68">
                  <c:v>-2.3115552535364965</c:v>
                </c:pt>
                <c:pt idx="69">
                  <c:v>-2.3003292098981913</c:v>
                </c:pt>
                <c:pt idx="70">
                  <c:v>-2.2887345242472898</c:v>
                </c:pt>
                <c:pt idx="71">
                  <c:v>-2.2767191095084338</c:v>
                </c:pt>
                <c:pt idx="72">
                  <c:v>-2.2642213321603477</c:v>
                </c:pt>
                <c:pt idx="73">
                  <c:v>-2.2511673209757461</c:v>
                </c:pt>
                <c:pt idx="74">
                  <c:v>-2.2374672816406331</c:v>
                </c:pt>
                <c:pt idx="75">
                  <c:v>-2.2230103488739816</c:v>
                </c:pt>
                <c:pt idx="76">
                  <c:v>-2.2076572351730626</c:v>
                </c:pt>
                <c:pt idx="77">
                  <c:v>-2.1912294685296834</c:v>
                </c:pt>
                <c:pt idx="78">
                  <c:v>-2.173493187002971</c:v>
                </c:pt>
                <c:pt idx="79">
                  <c:v>-2.1541339375669706</c:v>
                </c:pt>
                <c:pt idx="80">
                  <c:v>-2.1327159981659838</c:v>
                </c:pt>
                <c:pt idx="81">
                  <c:v>-2.1086137906692359</c:v>
                </c:pt>
                <c:pt idx="82">
                  <c:v>-2.080891792463504</c:v>
                </c:pt>
                <c:pt idx="83">
                  <c:v>-2.0508992537698356</c:v>
                </c:pt>
                <c:pt idx="84">
                  <c:v>-2.0205814791251941</c:v>
                </c:pt>
                <c:pt idx="85">
                  <c:v>-1.9899125628842214</c:v>
                </c:pt>
                <c:pt idx="86">
                  <c:v>-1.9588649338115871</c:v>
                </c:pt>
                <c:pt idx="87">
                  <c:v>-1.9274088779755159</c:v>
                </c:pt>
                <c:pt idx="88">
                  <c:v>-1.895511844581264</c:v>
                </c:pt>
                <c:pt idx="89">
                  <c:v>-1.8631374141391113</c:v>
                </c:pt>
                <c:pt idx="90">
                  <c:v>-1.830243724133066</c:v>
                </c:pt>
                <c:pt idx="91">
                  <c:v>-1.7724905631278445</c:v>
                </c:pt>
                <c:pt idx="92">
                  <c:v>-1.7156299618747826</c:v>
                </c:pt>
                <c:pt idx="93">
                  <c:v>-1.6597979095748123</c:v>
                </c:pt>
                <c:pt idx="94">
                  <c:v>-1.6050788322018343</c:v>
                </c:pt>
                <c:pt idx="95">
                  <c:v>-1.5515153178624284</c:v>
                </c:pt>
                <c:pt idx="96">
                  <c:v>-1.4991178922476065</c:v>
                </c:pt>
                <c:pt idx="97">
                  <c:v>-1.4496360275828699</c:v>
                </c:pt>
                <c:pt idx="98">
                  <c:v>-1.4104083982584168</c:v>
                </c:pt>
                <c:pt idx="99">
                  <c:v>-1.379239876755441</c:v>
                </c:pt>
                <c:pt idx="100">
                  <c:v>-1.3538076550128815</c:v>
                </c:pt>
                <c:pt idx="101">
                  <c:v>-1.3406480442247029</c:v>
                </c:pt>
                <c:pt idx="102">
                  <c:v>-1.3221430820806663</c:v>
                </c:pt>
                <c:pt idx="103">
                  <c:v>-1.3061822783217141</c:v>
                </c:pt>
                <c:pt idx="104">
                  <c:v>-1.2922377599835435</c:v>
                </c:pt>
                <c:pt idx="105">
                  <c:v>-1.2799187033147017</c:v>
                </c:pt>
                <c:pt idx="106">
                  <c:v>-1.2689294969419571</c:v>
                </c:pt>
                <c:pt idx="107">
                  <c:v>-1.2590423281903764</c:v>
                </c:pt>
                <c:pt idx="108">
                  <c:v>-1.2500787193518867</c:v>
                </c:pt>
                <c:pt idx="109">
                  <c:v>-1.2418967850881424</c:v>
                </c:pt>
                <c:pt idx="110">
                  <c:v>-1.234382246763936</c:v>
                </c:pt>
                <c:pt idx="111">
                  <c:v>-1.227441971896702</c:v>
                </c:pt>
                <c:pt idx="112">
                  <c:v>-1.2209992482469056</c:v>
                </c:pt>
                <c:pt idx="113">
                  <c:v>-1.214990271994119</c:v>
                </c:pt>
                <c:pt idx="114">
                  <c:v>-1.2093615005354692</c:v>
                </c:pt>
                <c:pt idx="115">
                  <c:v>-1.2040676312469978</c:v>
                </c:pt>
                <c:pt idx="116">
                  <c:v>-1.199070039339269</c:v>
                </c:pt>
                <c:pt idx="117">
                  <c:v>-1.1943355574568366</c:v>
                </c:pt>
                <c:pt idx="118">
                  <c:v>-1.1898355126482703</c:v>
                </c:pt>
                <c:pt idx="119">
                  <c:v>-1.1855449588259199</c:v>
                </c:pt>
                <c:pt idx="120">
                  <c:v>-1.1814420599075435</c:v>
                </c:pt>
                <c:pt idx="121">
                  <c:v>-1.1775075898789222</c:v>
                </c:pt>
                <c:pt idx="122">
                  <c:v>-1.1737245243885173</c:v>
                </c:pt>
                <c:pt idx="123">
                  <c:v>-1.1700777045203827</c:v>
                </c:pt>
                <c:pt idx="124">
                  <c:v>-1.1665535580260731</c:v>
                </c:pt>
                <c:pt idx="125">
                  <c:v>-1.1631398664962169</c:v>
                </c:pt>
                <c:pt idx="126">
                  <c:v>-1.1598255697788529</c:v>
                </c:pt>
                <c:pt idx="127">
                  <c:v>-1.1566006000082336</c:v>
                </c:pt>
                <c:pt idx="128">
                  <c:v>-1.1534557400885974</c:v>
                </c:pt>
                <c:pt idx="129">
                  <c:v>-1.1503825022659437</c:v>
                </c:pt>
                <c:pt idx="130">
                  <c:v>-1.147373022627997</c:v>
                </c:pt>
                <c:pt idx="131">
                  <c:v>-1.1444199686667298</c:v>
                </c:pt>
                <c:pt idx="132">
                  <c:v>-1.1415164582714861</c:v>
                </c:pt>
                <c:pt idx="133">
                  <c:v>-1.1373097074932679</c:v>
                </c:pt>
                <c:pt idx="134">
                  <c:v>-1.1322449668610253</c:v>
                </c:pt>
                <c:pt idx="135">
                  <c:v>-1.1272775082548234</c:v>
                </c:pt>
                <c:pt idx="136">
                  <c:v>-1.1223977931864839</c:v>
                </c:pt>
                <c:pt idx="137">
                  <c:v>-1.1175967793972539</c:v>
                </c:pt>
                <c:pt idx="138">
                  <c:v>-1.1128658433871135</c:v>
                </c:pt>
                <c:pt idx="139">
                  <c:v>-1.1081967089538385</c:v>
                </c:pt>
                <c:pt idx="140">
                  <c:v>-1.1035813791344262</c:v>
                </c:pt>
                <c:pt idx="141">
                  <c:v>-1.0990120714932501</c:v>
                </c:pt>
                <c:pt idx="142">
                  <c:v>-1.0944811543107333</c:v>
                </c:pt>
                <c:pt idx="143">
                  <c:v>-1.0899810835781583</c:v>
                </c:pt>
                <c:pt idx="144">
                  <c:v>-1.0855043383763698</c:v>
                </c:pt>
                <c:pt idx="145">
                  <c:v>-1.0810433543250946</c:v>
                </c:pt>
                <c:pt idx="146">
                  <c:v>-1.076590452881546</c:v>
                </c:pt>
                <c:pt idx="147">
                  <c:v>-1.0721377644429977</c:v>
                </c:pt>
                <c:pt idx="148">
                  <c:v>-1.0676771442267079</c:v>
                </c:pt>
                <c:pt idx="149">
                  <c:v>-1.063200077107981</c:v>
                </c:pt>
                <c:pt idx="150">
                  <c:v>-1.0586975690239955</c:v>
                </c:pt>
                <c:pt idx="151">
                  <c:v>-1.0541600204258654</c:v>
                </c:pt>
                <c:pt idx="152">
                  <c:v>-1.0495770776031554</c:v>
                </c:pt>
                <c:pt idx="153">
                  <c:v>-1.0449374538925387</c:v>
                </c:pt>
                <c:pt idx="154">
                  <c:v>-1.040228713759153</c:v>
                </c:pt>
                <c:pt idx="155">
                  <c:v>-1.0354370068820864</c:v>
                </c:pt>
                <c:pt idx="156">
                  <c:v>-1.0305467380117928</c:v>
                </c:pt>
                <c:pt idx="157">
                  <c:v>-1.0255401511882694</c:v>
                </c:pt>
                <c:pt idx="158">
                  <c:v>-1.0203967997367889</c:v>
                </c:pt>
                <c:pt idx="159">
                  <c:v>-1.0150928617166621</c:v>
                </c:pt>
                <c:pt idx="160">
                  <c:v>-1.0096002432605486</c:v>
                </c:pt>
                <c:pt idx="161">
                  <c:v>-1.0038853877448843</c:v>
                </c:pt>
                <c:pt idx="162">
                  <c:v>-0.99790766804247832</c:v>
                </c:pt>
                <c:pt idx="163">
                  <c:v>-0.98566407369327969</c:v>
                </c:pt>
                <c:pt idx="164">
                  <c:v>-0.96948123265213415</c:v>
                </c:pt>
                <c:pt idx="165">
                  <c:v>-0.95213962910774574</c:v>
                </c:pt>
                <c:pt idx="166">
                  <c:v>-0.93344903781680721</c:v>
                </c:pt>
                <c:pt idx="167">
                  <c:v>-0.91317146547085259</c:v>
                </c:pt>
                <c:pt idx="168">
                  <c:v>-0.89100313245380514</c:v>
                </c:pt>
                <c:pt idx="169">
                  <c:v>-0.86654683098583252</c:v>
                </c:pt>
                <c:pt idx="170">
                  <c:v>-0.83926769338688301</c:v>
                </c:pt>
                <c:pt idx="171">
                  <c:v>-0.80841874919939027</c:v>
                </c:pt>
                <c:pt idx="172">
                  <c:v>-0.76701161518704786</c:v>
                </c:pt>
                <c:pt idx="173">
                  <c:v>-0.73594726499455887</c:v>
                </c:pt>
                <c:pt idx="174">
                  <c:v>-0.67863037263736692</c:v>
                </c:pt>
                <c:pt idx="175">
                  <c:v>-0.60697035356143447</c:v>
                </c:pt>
                <c:pt idx="176">
                  <c:v>-0.51109481688143887</c:v>
                </c:pt>
                <c:pt idx="177">
                  <c:v>-0.36581345181518093</c:v>
                </c:pt>
                <c:pt idx="178">
                  <c:v>-0.10788708358045583</c:v>
                </c:pt>
                <c:pt idx="179">
                  <c:v>0.20756883326391426</c:v>
                </c:pt>
                <c:pt idx="180">
                  <c:v>0.54730561762127927</c:v>
                </c:pt>
                <c:pt idx="181">
                  <c:v>0.79606712926704826</c:v>
                </c:pt>
                <c:pt idx="182">
                  <c:v>0.93530408101852314</c:v>
                </c:pt>
                <c:pt idx="183">
                  <c:v>1.0258353208232784</c:v>
                </c:pt>
                <c:pt idx="184">
                  <c:v>1.072709765732244</c:v>
                </c:pt>
                <c:pt idx="185">
                  <c:v>1.1030474559276215</c:v>
                </c:pt>
                <c:pt idx="186">
                  <c:v>1.1257648335945603</c:v>
                </c:pt>
                <c:pt idx="187">
                  <c:v>1.1441448090703241</c:v>
                </c:pt>
                <c:pt idx="188">
                  <c:v>1.1543483920671198</c:v>
                </c:pt>
                <c:pt idx="189">
                  <c:v>1.1680178376970538</c:v>
                </c:pt>
                <c:pt idx="190">
                  <c:v>1.1784844401425256</c:v>
                </c:pt>
                <c:pt idx="191">
                  <c:v>1.1878934585009751</c:v>
                </c:pt>
                <c:pt idx="192">
                  <c:v>1.196470850075861</c:v>
                </c:pt>
                <c:pt idx="193">
                  <c:v>1.204377146241097</c:v>
                </c:pt>
                <c:pt idx="194">
                  <c:v>1.2117308366002508</c:v>
                </c:pt>
                <c:pt idx="195">
                  <c:v>1.2186221520512281</c:v>
                </c:pt>
                <c:pt idx="196">
                  <c:v>1.2251216065102051</c:v>
                </c:pt>
                <c:pt idx="197">
                  <c:v>1.2312855192018712</c:v>
                </c:pt>
                <c:pt idx="198">
                  <c:v>1.2361216787231422</c:v>
                </c:pt>
                <c:pt idx="199">
                  <c:v>1.2387591119148176</c:v>
                </c:pt>
                <c:pt idx="200">
                  <c:v>1.241300676933033</c:v>
                </c:pt>
                <c:pt idx="201">
                  <c:v>1.243762510170217</c:v>
                </c:pt>
                <c:pt idx="202">
                  <c:v>1.2461580333925981</c:v>
                </c:pt>
                <c:pt idx="203">
                  <c:v>1.2484985691799464</c:v>
                </c:pt>
                <c:pt idx="204">
                  <c:v>1.2507937992592213</c:v>
                </c:pt>
                <c:pt idx="205">
                  <c:v>1.2530521115299746</c:v>
                </c:pt>
                <c:pt idx="206">
                  <c:v>1.2552808664182962</c:v>
                </c:pt>
                <c:pt idx="207">
                  <c:v>1.2574866043873663</c:v>
                </c:pt>
                <c:pt idx="208">
                  <c:v>1.2596752097806283</c:v>
                </c:pt>
                <c:pt idx="209">
                  <c:v>1.2618520418720784</c:v>
                </c:pt>
                <c:pt idx="210">
                  <c:v>1.264022041241448</c:v>
                </c:pt>
                <c:pt idx="211">
                  <c:v>1.2661898171638659</c:v>
                </c:pt>
                <c:pt idx="212">
                  <c:v>1.2683597206935324</c:v>
                </c:pt>
                <c:pt idx="213">
                  <c:v>1.2705359065399968</c:v>
                </c:pt>
                <c:pt idx="214">
                  <c:v>1.2727223864550985</c:v>
                </c:pt>
                <c:pt idx="215">
                  <c:v>1.2749230761646217</c:v>
                </c:pt>
                <c:pt idx="216">
                  <c:v>1.2771418373033401</c:v>
                </c:pt>
                <c:pt idx="217">
                  <c:v>1.2793825158405958</c:v>
                </c:pt>
                <c:pt idx="218">
                  <c:v>1.2816489779107343</c:v>
                </c:pt>
                <c:pt idx="219">
                  <c:v>1.2839451440830043</c:v>
                </c:pt>
                <c:pt idx="220">
                  <c:v>1.286275022742055</c:v>
                </c:pt>
                <c:pt idx="221">
                  <c:v>1.2886427434698942</c:v>
                </c:pt>
                <c:pt idx="222">
                  <c:v>1.2910525909059853</c:v>
                </c:pt>
                <c:pt idx="223">
                  <c:v>1.2935090399135527</c:v>
                </c:pt>
                <c:pt idx="224">
                  <c:v>1.2960167926496406</c:v>
                </c:pt>
                <c:pt idx="225">
                  <c:v>1.2985808181615581</c:v>
                </c:pt>
                <c:pt idx="226">
                  <c:v>1.3012063954213122</c:v>
                </c:pt>
                <c:pt idx="227">
                  <c:v>1.3038991604074222</c:v>
                </c:pt>
                <c:pt idx="228">
                  <c:v>1.3062133281057529</c:v>
                </c:pt>
                <c:pt idx="229">
                  <c:v>1.3079326877595416</c:v>
                </c:pt>
                <c:pt idx="230">
                  <c:v>1.3096852557314684</c:v>
                </c:pt>
                <c:pt idx="231">
                  <c:v>1.311407227336288</c:v>
                </c:pt>
                <c:pt idx="232">
                  <c:v>1.3130709951417818</c:v>
                </c:pt>
                <c:pt idx="233">
                  <c:v>1.3146806154646984</c:v>
                </c:pt>
                <c:pt idx="234">
                  <c:v>1.3162398052930864</c:v>
                </c:pt>
                <c:pt idx="235">
                  <c:v>1.3177519784573248</c:v>
                </c:pt>
                <c:pt idx="236">
                  <c:v>1.3192202773581809</c:v>
                </c:pt>
                <c:pt idx="237">
                  <c:v>1.3206476008453083</c:v>
                </c:pt>
                <c:pt idx="238">
                  <c:v>1.3220366287994971</c:v>
                </c:pt>
                <c:pt idx="239">
                  <c:v>1.3233898438476583</c:v>
                </c:pt>
                <c:pt idx="240">
                  <c:v>1.3247095506261342</c:v>
                </c:pt>
                <c:pt idx="241">
                  <c:v>1.3259978928721403</c:v>
                </c:pt>
                <c:pt idx="242">
                  <c:v>1.3272568687077071</c:v>
                </c:pt>
                <c:pt idx="243">
                  <c:v>1.328488344248089</c:v>
                </c:pt>
                <c:pt idx="244">
                  <c:v>1.3296940657939558</c:v>
                </c:pt>
                <c:pt idx="245">
                  <c:v>1.3308756708140574</c:v>
                </c:pt>
                <c:pt idx="246">
                  <c:v>1.3320346977974462</c:v>
                </c:pt>
                <c:pt idx="247">
                  <c:v>1.3331725951588196</c:v>
                </c:pt>
                <c:pt idx="248">
                  <c:v>1.334290729276709</c:v>
                </c:pt>
                <c:pt idx="249">
                  <c:v>1.3353903918541261</c:v>
                </c:pt>
                <c:pt idx="250">
                  <c:v>1.3364728064933924</c:v>
                </c:pt>
                <c:pt idx="251">
                  <c:v>1.3375391348286381</c:v>
                </c:pt>
                <c:pt idx="252">
                  <c:v>1.3385904819916052</c:v>
                </c:pt>
                <c:pt idx="253">
                  <c:v>1.3396279017957837</c:v>
                </c:pt>
                <c:pt idx="254">
                  <c:v>1.3406524012955132</c:v>
                </c:pt>
                <c:pt idx="255">
                  <c:v>1.3416649452321421</c:v>
                </c:pt>
                <c:pt idx="256">
                  <c:v>1.3426664599259264</c:v>
                </c:pt>
                <c:pt idx="257">
                  <c:v>1.3436578370601424</c:v>
                </c:pt>
                <c:pt idx="258">
                  <c:v>1.3446399371370659</c:v>
                </c:pt>
                <c:pt idx="259">
                  <c:v>1.3456135927037021</c:v>
                </c:pt>
                <c:pt idx="260">
                  <c:v>1.346579611457611</c:v>
                </c:pt>
                <c:pt idx="261">
                  <c:v>1.3475387791145828</c:v>
                </c:pt>
                <c:pt idx="262">
                  <c:v>1.3484918621512507</c:v>
                </c:pt>
                <c:pt idx="263">
                  <c:v>1.3494396104816857</c:v>
                </c:pt>
                <c:pt idx="264">
                  <c:v>1.3503827599293783</c:v>
                </c:pt>
                <c:pt idx="265">
                  <c:v>1.3513220347444184</c:v>
                </c:pt>
                <c:pt idx="266">
                  <c:v>1.3522581499055457</c:v>
                </c:pt>
                <c:pt idx="267">
                  <c:v>1.35319181352783</c:v>
                </c:pt>
                <c:pt idx="268">
                  <c:v>1.3541237290905079</c:v>
                </c:pt>
                <c:pt idx="269">
                  <c:v>1.3550545978208106</c:v>
                </c:pt>
                <c:pt idx="270">
                  <c:v>1.3559851209123612</c:v>
                </c:pt>
                <c:pt idx="271">
                  <c:v>1.3570343649382555</c:v>
                </c:pt>
                <c:pt idx="272">
                  <c:v>1.358073456567318</c:v>
                </c:pt>
                <c:pt idx="273">
                  <c:v>1.3591035160486671</c:v>
                </c:pt>
                <c:pt idx="274">
                  <c:v>1.3601256040097132</c:v>
                </c:pt>
                <c:pt idx="275">
                  <c:v>1.3611407296893174</c:v>
                </c:pt>
                <c:pt idx="276">
                  <c:v>1.3621498580042022</c:v>
                </c:pt>
                <c:pt idx="277">
                  <c:v>1.3631539159336243</c:v>
                </c:pt>
                <c:pt idx="278">
                  <c:v>1.3641537981111114</c:v>
                </c:pt>
                <c:pt idx="279">
                  <c:v>1.3651503718880633</c:v>
                </c:pt>
                <c:pt idx="280">
                  <c:v>1.3661444820347539</c:v>
                </c:pt>
                <c:pt idx="281">
                  <c:v>1.3671369548299803</c:v>
                </c:pt>
                <c:pt idx="282">
                  <c:v>1.3681286020847905</c:v>
                </c:pt>
                <c:pt idx="283">
                  <c:v>1.3691202247457499</c:v>
                </c:pt>
                <c:pt idx="284">
                  <c:v>1.3701126163636919</c:v>
                </c:pt>
                <c:pt idx="285">
                  <c:v>1.3711065663761857</c:v>
                </c:pt>
                <c:pt idx="286">
                  <c:v>1.3721028633080627</c:v>
                </c:pt>
                <c:pt idx="287">
                  <c:v>1.3731022978644789</c:v>
                </c:pt>
                <c:pt idx="288">
                  <c:v>1.3741056659492989</c:v>
                </c:pt>
                <c:pt idx="289">
                  <c:v>1.37511377179332</c:v>
                </c:pt>
                <c:pt idx="290">
                  <c:v>1.3761274308732516</c:v>
                </c:pt>
                <c:pt idx="291">
                  <c:v>1.3771474731368478</c:v>
                </c:pt>
                <c:pt idx="292">
                  <c:v>1.378174746110197</c:v>
                </c:pt>
                <c:pt idx="293">
                  <c:v>1.3779735347209783</c:v>
                </c:pt>
                <c:pt idx="294">
                  <c:v>1.3790143167060602</c:v>
                </c:pt>
                <c:pt idx="295">
                  <c:v>1.3800649492598034</c:v>
                </c:pt>
                <c:pt idx="296">
                  <c:v>1.3811263799193867</c:v>
                </c:pt>
                <c:pt idx="297">
                  <c:v>1.3821995915986489</c:v>
                </c:pt>
                <c:pt idx="298">
                  <c:v>1.3832856068623045</c:v>
                </c:pt>
                <c:pt idx="299">
                  <c:v>1.3843854924861829</c:v>
                </c:pt>
                <c:pt idx="300">
                  <c:v>1.3855003644628801</c:v>
                </c:pt>
                <c:pt idx="301">
                  <c:v>1.3866313933635681</c:v>
                </c:pt>
                <c:pt idx="302">
                  <c:v>1.3877798102535586</c:v>
                </c:pt>
                <c:pt idx="303">
                  <c:v>1.3889469131306733</c:v>
                </c:pt>
                <c:pt idx="304">
                  <c:v>1.3901340740185397</c:v>
                </c:pt>
                <c:pt idx="305">
                  <c:v>1.3913427467859376</c:v>
                </c:pt>
                <c:pt idx="306">
                  <c:v>1.3925744758720129</c:v>
                </c:pt>
                <c:pt idx="307">
                  <c:v>1.3938309059277056</c:v>
                </c:pt>
                <c:pt idx="308">
                  <c:v>1.3951137925250621</c:v>
                </c:pt>
                <c:pt idx="309">
                  <c:v>1.3964250143969326</c:v>
                </c:pt>
                <c:pt idx="310">
                  <c:v>1.3977665868817648</c:v>
                </c:pt>
                <c:pt idx="311">
                  <c:v>1.3991406772981954</c:v>
                </c:pt>
                <c:pt idx="312">
                  <c:v>1.4005496223152332</c:v>
                </c:pt>
                <c:pt idx="313">
                  <c:v>1.4019959476029462</c:v>
                </c:pt>
                <c:pt idx="314">
                  <c:v>1.4034823904813027</c:v>
                </c:pt>
                <c:pt idx="315">
                  <c:v>1.4050114840116221</c:v>
                </c:pt>
                <c:pt idx="316">
                  <c:v>1.4108133770215481</c:v>
                </c:pt>
                <c:pt idx="317">
                  <c:v>1.4245273034554771</c:v>
                </c:pt>
                <c:pt idx="318">
                  <c:v>1.4453459887356082</c:v>
                </c:pt>
                <c:pt idx="319">
                  <c:v>1.4732005306740124</c:v>
                </c:pt>
                <c:pt idx="320">
                  <c:v>1.5086283688102731</c:v>
                </c:pt>
                <c:pt idx="321">
                  <c:v>1.5527778888566974</c:v>
                </c:pt>
                <c:pt idx="322">
                  <c:v>1.6075185994715375</c:v>
                </c:pt>
                <c:pt idx="323">
                  <c:v>1.675651470132008</c:v>
                </c:pt>
                <c:pt idx="324">
                  <c:v>1.7612099786748538</c:v>
                </c:pt>
                <c:pt idx="325">
                  <c:v>1.8697709670003615</c:v>
                </c:pt>
                <c:pt idx="326">
                  <c:v>2.0084418207464223</c:v>
                </c:pt>
                <c:pt idx="327">
                  <c:v>2.1635494399275559</c:v>
                </c:pt>
                <c:pt idx="328">
                  <c:v>2.3363133664256046</c:v>
                </c:pt>
                <c:pt idx="329">
                  <c:v>2.5285675200555611</c:v>
                </c:pt>
                <c:pt idx="330">
                  <c:v>2.7285563164435844</c:v>
                </c:pt>
                <c:pt idx="331">
                  <c:v>2.9212683903455523</c:v>
                </c:pt>
                <c:pt idx="332">
                  <c:v>3.0943232053788048</c:v>
                </c:pt>
                <c:pt idx="333">
                  <c:v>-3.0416331391428781</c:v>
                </c:pt>
                <c:pt idx="334">
                  <c:v>-2.9230672782007812</c:v>
                </c:pt>
                <c:pt idx="335">
                  <c:v>-2.8321922772337467</c:v>
                </c:pt>
                <c:pt idx="336">
                  <c:v>-2.7636110374525469</c:v>
                </c:pt>
                <c:pt idx="337">
                  <c:v>-2.713844078891205</c:v>
                </c:pt>
                <c:pt idx="338">
                  <c:v>-2.7003282497227454</c:v>
                </c:pt>
                <c:pt idx="339">
                  <c:v>-2.6973054305783433</c:v>
                </c:pt>
                <c:pt idx="340">
                  <c:v>-2.6943069121208101</c:v>
                </c:pt>
                <c:pt idx="341">
                  <c:v>-2.6913302793904332</c:v>
                </c:pt>
                <c:pt idx="342">
                  <c:v>-2.6883732003624226</c:v>
                </c:pt>
                <c:pt idx="343">
                  <c:v>-2.6854334163929039</c:v>
                </c:pt>
                <c:pt idx="344">
                  <c:v>-2.6825087334587083</c:v>
                </c:pt>
                <c:pt idx="345">
                  <c:v>-2.6795970140179386</c:v>
                </c:pt>
                <c:pt idx="346">
                  <c:v>-2.6766961692910907</c:v>
                </c:pt>
                <c:pt idx="347">
                  <c:v>-2.6738041520850517</c:v>
                </c:pt>
                <c:pt idx="348">
                  <c:v>-2.6709189499239274</c:v>
                </c:pt>
                <c:pt idx="349">
                  <c:v>-2.6680385785983116</c:v>
                </c:pt>
                <c:pt idx="350">
                  <c:v>-2.6651610759019042</c:v>
                </c:pt>
                <c:pt idx="351">
                  <c:v>-2.6622844956134886</c:v>
                </c:pt>
                <c:pt idx="352">
                  <c:v>-2.6594069017044641</c:v>
                </c:pt>
                <c:pt idx="353">
                  <c:v>-2.6565263625121527</c:v>
                </c:pt>
                <c:pt idx="354">
                  <c:v>-2.6536409452339553</c:v>
                </c:pt>
                <c:pt idx="355">
                  <c:v>-2.6507487102227145</c:v>
                </c:pt>
                <c:pt idx="356">
                  <c:v>-2.6478477055620244</c:v>
                </c:pt>
                <c:pt idx="357">
                  <c:v>-2.644935961312509</c:v>
                </c:pt>
                <c:pt idx="358">
                  <c:v>-2.6420114840309474</c:v>
                </c:pt>
                <c:pt idx="359">
                  <c:v>-2.6390722508399831</c:v>
                </c:pt>
                <c:pt idx="360">
                  <c:v>-2.6361162036407233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FE-48A4-91D5-BD0F45E5A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0"/>
          <c:order val="0"/>
          <c:tx>
            <c:v>Tan-1 @ alphs vs req res Tan-1 - absolute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0.000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L_Section_Capacity!$AY$3:$AY$363</c:f>
              <c:numCache>
                <c:formatCode>0.000</c:formatCode>
                <c:ptCount val="361"/>
                <c:pt idx="0">
                  <c:v>0.53939414658760887</c:v>
                </c:pt>
                <c:pt idx="1">
                  <c:v>0.54148470584718877</c:v>
                </c:pt>
                <c:pt idx="2">
                  <c:v>0.54359455192845818</c:v>
                </c:pt>
                <c:pt idx="3">
                  <c:v>0.54572520577901429</c:v>
                </c:pt>
                <c:pt idx="4">
                  <c:v>0.54787824321561196</c:v>
                </c:pt>
                <c:pt idx="5">
                  <c:v>0.55005529995526103</c:v>
                </c:pt>
                <c:pt idx="6">
                  <c:v>0.55225807688316042</c:v>
                </c:pt>
                <c:pt idx="7">
                  <c:v>0.55448834570823102</c:v>
                </c:pt>
                <c:pt idx="8">
                  <c:v>0.55674795508963193</c:v>
                </c:pt>
                <c:pt idx="9">
                  <c:v>0.55903883718609837</c:v>
                </c:pt>
                <c:pt idx="10">
                  <c:v>0.56136301482069717</c:v>
                </c:pt>
                <c:pt idx="11">
                  <c:v>0.56372260910721739</c:v>
                </c:pt>
                <c:pt idx="12">
                  <c:v>0.56611984786352831</c:v>
                </c:pt>
                <c:pt idx="13">
                  <c:v>0.56855707458851068</c:v>
                </c:pt>
                <c:pt idx="14">
                  <c:v>0.57103675835750112</c:v>
                </c:pt>
                <c:pt idx="15">
                  <c:v>0.57356150459569033</c:v>
                </c:pt>
                <c:pt idx="16">
                  <c:v>0.5761340668206123</c:v>
                </c:pt>
                <c:pt idx="17">
                  <c:v>0.5787573594223514</c:v>
                </c:pt>
                <c:pt idx="18">
                  <c:v>0.58143447179810481</c:v>
                </c:pt>
                <c:pt idx="19">
                  <c:v>0.58416868383635601</c:v>
                </c:pt>
                <c:pt idx="20">
                  <c:v>0.58696348287563227</c:v>
                </c:pt>
                <c:pt idx="21">
                  <c:v>0.58982258249211528</c:v>
                </c:pt>
                <c:pt idx="22">
                  <c:v>0.59274994316863916</c:v>
                </c:pt>
                <c:pt idx="23">
                  <c:v>0.59574979524890459</c:v>
                </c:pt>
                <c:pt idx="24">
                  <c:v>0.59882666423578268</c:v>
                </c:pt>
                <c:pt idx="25">
                  <c:v>0.60198539901263892</c:v>
                </c:pt>
                <c:pt idx="26">
                  <c:v>0.60523120317843926</c:v>
                </c:pt>
                <c:pt idx="27">
                  <c:v>0.60856966999982864</c:v>
                </c:pt>
                <c:pt idx="28">
                  <c:v>0.61200682137955909</c:v>
                </c:pt>
                <c:pt idx="29">
                  <c:v>0.61554915162733792</c:v>
                </c:pt>
                <c:pt idx="30">
                  <c:v>0.61920367637973595</c:v>
                </c:pt>
                <c:pt idx="31">
                  <c:v>0.62297273159290523</c:v>
                </c:pt>
                <c:pt idx="32">
                  <c:v>0.62671580220859591</c:v>
                </c:pt>
                <c:pt idx="33">
                  <c:v>0.63037445447659701</c:v>
                </c:pt>
                <c:pt idx="34">
                  <c:v>0.63395784311092429</c:v>
                </c:pt>
                <c:pt idx="35">
                  <c:v>0.63747440172142777</c:v>
                </c:pt>
                <c:pt idx="36">
                  <c:v>0.64093194833040723</c:v>
                </c:pt>
                <c:pt idx="37">
                  <c:v>0.64433777658566171</c:v>
                </c:pt>
                <c:pt idx="38">
                  <c:v>0.64769873589629823</c:v>
                </c:pt>
                <c:pt idx="39">
                  <c:v>0.6510213019197284</c:v>
                </c:pt>
                <c:pt idx="40">
                  <c:v>0.65431163984125007</c:v>
                </c:pt>
                <c:pt idx="41">
                  <c:v>0.65757566133739109</c:v>
                </c:pt>
                <c:pt idx="42">
                  <c:v>0.66081907690355113</c:v>
                </c:pt>
                <c:pt idx="43">
                  <c:v>0.66404744450403408</c:v>
                </c:pt>
                <c:pt idx="44">
                  <c:v>0.6672662153185005</c:v>
                </c:pt>
                <c:pt idx="45">
                  <c:v>0.67048077791804417</c:v>
                </c:pt>
                <c:pt idx="46">
                  <c:v>0.6736965011799505</c:v>
                </c:pt>
                <c:pt idx="47">
                  <c:v>0.67691877715641802</c:v>
                </c:pt>
                <c:pt idx="48">
                  <c:v>0.68015306439803558</c:v>
                </c:pt>
                <c:pt idx="49">
                  <c:v>0.68340493271950375</c:v>
                </c:pt>
                <c:pt idx="50">
                  <c:v>0.68668011019478792</c:v>
                </c:pt>
                <c:pt idx="51">
                  <c:v>0.68998453324986553</c:v>
                </c:pt>
                <c:pt idx="52">
                  <c:v>0.69332440116159733</c:v>
                </c:pt>
                <c:pt idx="53">
                  <c:v>0.69670623573578361</c:v>
                </c:pt>
                <c:pt idx="54">
                  <c:v>0.7001369480580637</c:v>
                </c:pt>
                <c:pt idx="55">
                  <c:v>0.70362391360839549</c:v>
                </c:pt>
                <c:pt idx="56">
                  <c:v>0.70717505794065172</c:v>
                </c:pt>
                <c:pt idx="57">
                  <c:v>0.71079895535481974</c:v>
                </c:pt>
                <c:pt idx="58">
                  <c:v>0.71450494351603799</c:v>
                </c:pt>
                <c:pt idx="59">
                  <c:v>0.71830325796932604</c:v>
                </c:pt>
                <c:pt idx="60">
                  <c:v>0.72220519104596104</c:v>
                </c:pt>
                <c:pt idx="61">
                  <c:v>0.72622328137286818</c:v>
                </c:pt>
                <c:pt idx="62">
                  <c:v>0.73082933194993727</c:v>
                </c:pt>
                <c:pt idx="63">
                  <c:v>0.73770324147199506</c:v>
                </c:pt>
                <c:pt idx="64">
                  <c:v>0.7446909146255094</c:v>
                </c:pt>
                <c:pt idx="65">
                  <c:v>0.75180956824997747</c:v>
                </c:pt>
                <c:pt idx="66">
                  <c:v>0.75907846300142978</c:v>
                </c:pt>
                <c:pt idx="67">
                  <c:v>0.76651935849101749</c:v>
                </c:pt>
                <c:pt idx="68">
                  <c:v>0.77415709047221082</c:v>
                </c:pt>
                <c:pt idx="69">
                  <c:v>0.78202031277838779</c:v>
                </c:pt>
                <c:pt idx="70">
                  <c:v>0.79014246432823487</c:v>
                </c:pt>
                <c:pt idx="71">
                  <c:v>0.79856304895319941</c:v>
                </c:pt>
                <c:pt idx="72">
                  <c:v>0.80732935724636423</c:v>
                </c:pt>
                <c:pt idx="73">
                  <c:v>0.81649882530319084</c:v>
                </c:pt>
                <c:pt idx="74">
                  <c:v>0.82614233114088664</c:v>
                </c:pt>
                <c:pt idx="75">
                  <c:v>0.83634890500800108</c:v>
                </c:pt>
                <c:pt idx="76">
                  <c:v>0.84723263095576984</c:v>
                </c:pt>
                <c:pt idx="77">
                  <c:v>0.85894304987428427</c:v>
                </c:pt>
                <c:pt idx="78">
                  <c:v>0.87168136002957031</c:v>
                </c:pt>
                <c:pt idx="79">
                  <c:v>0.88572661706294298</c:v>
                </c:pt>
                <c:pt idx="80">
                  <c:v>0.90148002971321972</c:v>
                </c:pt>
                <c:pt idx="81">
                  <c:v>0.9195428088471802</c:v>
                </c:pt>
                <c:pt idx="82">
                  <c:v>0.93901409244237399</c:v>
                </c:pt>
                <c:pt idx="83">
                  <c:v>0.95861763305112113</c:v>
                </c:pt>
                <c:pt idx="84">
                  <c:v>0.97837820157188737</c:v>
                </c:pt>
                <c:pt idx="85">
                  <c:v>0.99832239502860176</c:v>
                </c:pt>
                <c:pt idx="86">
                  <c:v>1.0184790972689859</c:v>
                </c:pt>
                <c:pt idx="87">
                  <c:v>1.0388801070897058</c:v>
                </c:pt>
                <c:pt idx="88">
                  <c:v>1.0595610209328408</c:v>
                </c:pt>
                <c:pt idx="89">
                  <c:v>1.0805625174647862</c:v>
                </c:pt>
                <c:pt idx="90">
                  <c:v>1.1169577808531619</c:v>
                </c:pt>
                <c:pt idx="91">
                  <c:v>1.1530465260052472</c:v>
                </c:pt>
                <c:pt idx="92">
                  <c:v>1.1888462322604054</c:v>
                </c:pt>
                <c:pt idx="93">
                  <c:v>1.2243926811219783</c:v>
                </c:pt>
                <c:pt idx="94">
                  <c:v>1.2597348621714417</c:v>
                </c:pt>
                <c:pt idx="95">
                  <c:v>1.2949305159218873</c:v>
                </c:pt>
                <c:pt idx="96">
                  <c:v>1.328818461668785</c:v>
                </c:pt>
                <c:pt idx="97">
                  <c:v>1.3561614723276261</c:v>
                </c:pt>
                <c:pt idx="98">
                  <c:v>1.378193777609404</c:v>
                </c:pt>
                <c:pt idx="99">
                  <c:v>1.3963686566376037</c:v>
                </c:pt>
                <c:pt idx="100">
                  <c:v>1.4058318606599798</c:v>
                </c:pt>
                <c:pt idx="101">
                  <c:v>1.4191947680222778</c:v>
                </c:pt>
                <c:pt idx="102">
                  <c:v>1.4307774585385911</c:v>
                </c:pt>
                <c:pt idx="103">
                  <c:v>1.4409329216230313</c:v>
                </c:pt>
                <c:pt idx="104">
                  <c:v>1.4499259973320253</c:v>
                </c:pt>
                <c:pt idx="105">
                  <c:v>1.4579593753184632</c:v>
                </c:pt>
                <c:pt idx="106">
                  <c:v>1.4651908949521379</c:v>
                </c:pt>
                <c:pt idx="107">
                  <c:v>1.4717453625287593</c:v>
                </c:pt>
                <c:pt idx="108">
                  <c:v>1.4777228128759825</c:v>
                </c:pt>
                <c:pt idx="109">
                  <c:v>1.4832044041593919</c:v>
                </c:pt>
                <c:pt idx="110">
                  <c:v>1.4882567023339908</c:v>
                </c:pt>
                <c:pt idx="111">
                  <c:v>1.4929348463182661</c:v>
                </c:pt>
                <c:pt idx="112">
                  <c:v>1.4972849214927999</c:v>
                </c:pt>
                <c:pt idx="113">
                  <c:v>1.5013457638625951</c:v>
                </c:pt>
                <c:pt idx="114">
                  <c:v>1.5051503480906767</c:v>
                </c:pt>
                <c:pt idx="115">
                  <c:v>1.5087268678806858</c:v>
                </c:pt>
                <c:pt idx="116">
                  <c:v>1.5120995853908603</c:v>
                </c:pt>
                <c:pt idx="117">
                  <c:v>1.5152895053523627</c:v>
                </c:pt>
                <c:pt idx="118">
                  <c:v>1.5183149152595465</c:v>
                </c:pt>
                <c:pt idx="119">
                  <c:v>1.5211918214935052</c:v>
                </c:pt>
                <c:pt idx="120">
                  <c:v>1.5239343041933475</c:v>
                </c:pt>
                <c:pt idx="121">
                  <c:v>1.5265548081272584</c:v>
                </c:pt>
                <c:pt idx="122">
                  <c:v>1.5290643828071584</c:v>
                </c:pt>
                <c:pt idx="123">
                  <c:v>1.5314728819173062</c:v>
                </c:pt>
                <c:pt idx="124">
                  <c:v>1.533789130019116</c:v>
                </c:pt>
                <c:pt idx="125">
                  <c:v>1.5360210624486728</c:v>
                </c:pt>
                <c:pt idx="126">
                  <c:v>1.5381758439222635</c:v>
                </c:pt>
                <c:pt idx="127">
                  <c:v>1.5402599692646302</c:v>
                </c:pt>
                <c:pt idx="128">
                  <c:v>1.5422793492523121</c:v>
                </c:pt>
                <c:pt idx="129">
                  <c:v>1.5442393846549738</c:v>
                </c:pt>
                <c:pt idx="130">
                  <c:v>1.5461450304172795</c:v>
                </c:pt>
                <c:pt idx="131">
                  <c:v>1.5480008508009337</c:v>
                </c:pt>
                <c:pt idx="132">
                  <c:v>1.5500851382280878</c:v>
                </c:pt>
                <c:pt idx="133">
                  <c:v>1.5522920901925428</c:v>
                </c:pt>
                <c:pt idx="134">
                  <c:v>1.5544260116406932</c:v>
                </c:pt>
                <c:pt idx="135">
                  <c:v>1.5564921228488497</c:v>
                </c:pt>
                <c:pt idx="136">
                  <c:v>1.5584952592176675</c:v>
                </c:pt>
                <c:pt idx="137">
                  <c:v>1.5604399156420659</c:v>
                </c:pt>
                <c:pt idx="138">
                  <c:v>1.5623302858231121</c:v>
                </c:pt>
                <c:pt idx="139">
                  <c:v>1.564170298375525</c:v>
                </c:pt>
                <c:pt idx="140">
                  <c:v>1.5659636492976832</c:v>
                </c:pt>
                <c:pt idx="141">
                  <c:v>1.5677138324704387</c:v>
                </c:pt>
                <c:pt idx="142">
                  <c:v>1.5694241676981973</c:v>
                </c:pt>
                <c:pt idx="143">
                  <c:v>1.5710978278112613</c:v>
                </c:pt>
                <c:pt idx="144">
                  <c:v>1.5727378643543553</c:v>
                </c:pt>
                <c:pt idx="145">
                  <c:v>1.5743472329537678</c:v>
                </c:pt>
                <c:pt idx="146">
                  <c:v>1.5759288191131651</c:v>
                </c:pt>
                <c:pt idx="147">
                  <c:v>1.5774854640194134</c:v>
                </c:pt>
                <c:pt idx="148">
                  <c:v>1.579019992124854</c:v>
                </c:pt>
                <c:pt idx="149">
                  <c:v>1.5805352405515558</c:v>
                </c:pt>
                <c:pt idx="150">
                  <c:v>1.5820340916964586</c:v>
                </c:pt>
                <c:pt idx="151">
                  <c:v>1.5835195093236463</c:v>
                </c:pt>
                <c:pt idx="152">
                  <c:v>1.584994580818039</c:v>
                </c:pt>
                <c:pt idx="153">
                  <c:v>1.5864625659403195</c:v>
                </c:pt>
                <c:pt idx="154">
                  <c:v>1.5879269557229625</c:v>
                </c:pt>
                <c:pt idx="155">
                  <c:v>1.5893915435821553</c:v>
                </c:pt>
                <c:pt idx="156">
                  <c:v>1.5908605132629683</c:v>
                </c:pt>
                <c:pt idx="157">
                  <c:v>1.5923385490496944</c:v>
                </c:pt>
                <c:pt idx="158">
                  <c:v>1.5938309760359957</c:v>
                </c:pt>
                <c:pt idx="159">
                  <c:v>1.5953439416200403</c:v>
                </c:pt>
                <c:pt idx="160">
                  <c:v>1.596884653124528</c:v>
                </c:pt>
                <c:pt idx="161">
                  <c:v>1.5984616949553825</c:v>
                </c:pt>
                <c:pt idx="162">
                  <c:v>1.600085458661745</c:v>
                </c:pt>
                <c:pt idx="163">
                  <c:v>1.6017687371834377</c:v>
                </c:pt>
                <c:pt idx="164">
                  <c:v>1.6035275628363177</c:v>
                </c:pt>
                <c:pt idx="165">
                  <c:v>1.6053824165217945</c:v>
                </c:pt>
                <c:pt idx="166">
                  <c:v>1.6073600196333313</c:v>
                </c:pt>
                <c:pt idx="167">
                  <c:v>1.6094960669568019</c:v>
                </c:pt>
                <c:pt idx="168">
                  <c:v>1.6118395484528998</c:v>
                </c:pt>
                <c:pt idx="169">
                  <c:v>1.6144598630359503</c:v>
                </c:pt>
                <c:pt idx="170">
                  <c:v>1.6174591311036117</c:v>
                </c:pt>
                <c:pt idx="171">
                  <c:v>1.6212043248337142</c:v>
                </c:pt>
                <c:pt idx="172">
                  <c:v>1.624386502944688</c:v>
                </c:pt>
                <c:pt idx="173">
                  <c:v>1.6300034106506729</c:v>
                </c:pt>
                <c:pt idx="174">
                  <c:v>1.6377252770781503</c:v>
                </c:pt>
                <c:pt idx="175">
                  <c:v>1.649576713865736</c:v>
                </c:pt>
                <c:pt idx="176">
                  <c:v>1.6716354393068045</c:v>
                </c:pt>
                <c:pt idx="177">
                  <c:v>1.7284053014393654</c:v>
                </c:pt>
                <c:pt idx="178">
                  <c:v>1.8748011617708507</c:v>
                </c:pt>
                <c:pt idx="179">
                  <c:v>3.1415926533329639</c:v>
                </c:pt>
                <c:pt idx="180">
                  <c:v>1.8748011614049351</c:v>
                </c:pt>
                <c:pt idx="181">
                  <c:v>1.7284053012866638</c:v>
                </c:pt>
                <c:pt idx="182">
                  <c:v>1.671635438992539</c:v>
                </c:pt>
                <c:pt idx="183">
                  <c:v>1.6495767137141681</c:v>
                </c:pt>
                <c:pt idx="184">
                  <c:v>1.6377252768590072</c:v>
                </c:pt>
                <c:pt idx="185">
                  <c:v>1.6300034103949719</c:v>
                </c:pt>
                <c:pt idx="186">
                  <c:v>1.6243865027327027</c:v>
                </c:pt>
                <c:pt idx="187">
                  <c:v>1.6212043246438743</c:v>
                </c:pt>
                <c:pt idx="188">
                  <c:v>1.6174591309085631</c:v>
                </c:pt>
                <c:pt idx="189">
                  <c:v>1.614459862928207</c:v>
                </c:pt>
                <c:pt idx="190">
                  <c:v>1.6118395482608661</c:v>
                </c:pt>
                <c:pt idx="191">
                  <c:v>1.6094960668372342</c:v>
                </c:pt>
                <c:pt idx="192">
                  <c:v>1.6073600193944244</c:v>
                </c:pt>
                <c:pt idx="193">
                  <c:v>1.605382416330847</c:v>
                </c:pt>
                <c:pt idx="194">
                  <c:v>1.6035275626094143</c:v>
                </c:pt>
                <c:pt idx="195">
                  <c:v>1.6017687369816482</c:v>
                </c:pt>
                <c:pt idx="196">
                  <c:v>1.6000854584790993</c:v>
                </c:pt>
                <c:pt idx="197">
                  <c:v>1.5984616948101527</c:v>
                </c:pt>
                <c:pt idx="198">
                  <c:v>1.596884652961891</c:v>
                </c:pt>
                <c:pt idx="199">
                  <c:v>1.5953439414853678</c:v>
                </c:pt>
                <c:pt idx="200">
                  <c:v>1.5938309758467173</c:v>
                </c:pt>
                <c:pt idx="201">
                  <c:v>1.5923385488531983</c:v>
                </c:pt>
                <c:pt idx="202">
                  <c:v>1.5908605130353684</c:v>
                </c:pt>
                <c:pt idx="203">
                  <c:v>1.5893915434000176</c:v>
                </c:pt>
                <c:pt idx="204">
                  <c:v>1.5879269555283861</c:v>
                </c:pt>
                <c:pt idx="205">
                  <c:v>1.5864625657021882</c:v>
                </c:pt>
                <c:pt idx="206">
                  <c:v>1.5849945805815107</c:v>
                </c:pt>
                <c:pt idx="207">
                  <c:v>1.5835195091175653</c:v>
                </c:pt>
                <c:pt idx="208">
                  <c:v>1.5820340915252542</c:v>
                </c:pt>
                <c:pt idx="209">
                  <c:v>1.5805352403760429</c:v>
                </c:pt>
                <c:pt idx="210">
                  <c:v>1.5790199919282841</c:v>
                </c:pt>
                <c:pt idx="211">
                  <c:v>1.5774854638367228</c:v>
                </c:pt>
                <c:pt idx="212">
                  <c:v>1.5759288189180964</c:v>
                </c:pt>
                <c:pt idx="213">
                  <c:v>1.5743472327810566</c:v>
                </c:pt>
                <c:pt idx="214">
                  <c:v>1.5727378641228797</c:v>
                </c:pt>
                <c:pt idx="215">
                  <c:v>1.5710978276027729</c:v>
                </c:pt>
                <c:pt idx="216">
                  <c:v>1.5694241674761003</c:v>
                </c:pt>
                <c:pt idx="217">
                  <c:v>1.5677138322459954</c:v>
                </c:pt>
                <c:pt idx="218">
                  <c:v>1.5659636490811444</c:v>
                </c:pt>
                <c:pt idx="219">
                  <c:v>1.5641702981760419</c:v>
                </c:pt>
                <c:pt idx="220">
                  <c:v>1.5623302856250605</c:v>
                </c:pt>
                <c:pt idx="221">
                  <c:v>1.5604399154036486</c:v>
                </c:pt>
                <c:pt idx="222">
                  <c:v>1.5584952590165821</c:v>
                </c:pt>
                <c:pt idx="223">
                  <c:v>1.5564921226350577</c:v>
                </c:pt>
                <c:pt idx="224">
                  <c:v>1.5544260114969217</c:v>
                </c:pt>
                <c:pt idx="225">
                  <c:v>1.5522920900237278</c:v>
                </c:pt>
                <c:pt idx="226">
                  <c:v>1.5500851380265361</c:v>
                </c:pt>
                <c:pt idx="227">
                  <c:v>1.5480008506197371</c:v>
                </c:pt>
                <c:pt idx="228">
                  <c:v>1.5461450302343607</c:v>
                </c:pt>
                <c:pt idx="229">
                  <c:v>1.5442418177440527</c:v>
                </c:pt>
                <c:pt idx="230">
                  <c:v>1.5423610056220678</c:v>
                </c:pt>
                <c:pt idx="231">
                  <c:v>1.5405334532890744</c:v>
                </c:pt>
                <c:pt idx="232">
                  <c:v>1.5387554808721886</c:v>
                </c:pt>
                <c:pt idx="233">
                  <c:v>1.5370237004975018</c:v>
                </c:pt>
                <c:pt idx="234">
                  <c:v>1.5353349854990777</c:v>
                </c:pt>
                <c:pt idx="235">
                  <c:v>1.5336864430920922</c:v>
                </c:pt>
                <c:pt idx="236">
                  <c:v>1.5320753904048181</c:v>
                </c:pt>
                <c:pt idx="237">
                  <c:v>1.5304993332583412</c:v>
                </c:pt>
                <c:pt idx="238">
                  <c:v>1.5289559475043657</c:v>
                </c:pt>
                <c:pt idx="239">
                  <c:v>1.5274430623252453</c:v>
                </c:pt>
                <c:pt idx="240">
                  <c:v>1.5259586455853056</c:v>
                </c:pt>
                <c:pt idx="241">
                  <c:v>1.5245007903273315</c:v>
                </c:pt>
                <c:pt idx="242">
                  <c:v>1.5230677030352848</c:v>
                </c:pt>
                <c:pt idx="243">
                  <c:v>1.5216576930453025</c:v>
                </c:pt>
                <c:pt idx="244">
                  <c:v>1.5202691627485181</c:v>
                </c:pt>
                <c:pt idx="245">
                  <c:v>1.5189005989839441</c:v>
                </c:pt>
                <c:pt idx="246">
                  <c:v>1.5175505651270187</c:v>
                </c:pt>
                <c:pt idx="247">
                  <c:v>1.5162176940171024</c:v>
                </c:pt>
                <c:pt idx="248">
                  <c:v>1.5149006810392274</c:v>
                </c:pt>
                <c:pt idx="249">
                  <c:v>1.5135982785845867</c:v>
                </c:pt>
                <c:pt idx="250">
                  <c:v>1.5123092900524391</c:v>
                </c:pt>
                <c:pt idx="251">
                  <c:v>1.5110325652422751</c:v>
                </c:pt>
                <c:pt idx="252">
                  <c:v>1.5097669949912578</c:v>
                </c:pt>
                <c:pt idx="253">
                  <c:v>1.5085115075127096</c:v>
                </c:pt>
                <c:pt idx="254">
                  <c:v>1.5072650634857478</c:v>
                </c:pt>
                <c:pt idx="255">
                  <c:v>1.5060266528449335</c:v>
                </c:pt>
                <c:pt idx="256">
                  <c:v>1.5047952907229221</c:v>
                </c:pt>
                <c:pt idx="257">
                  <c:v>1.5035700140672743</c:v>
                </c:pt>
                <c:pt idx="258">
                  <c:v>1.502349878476172</c:v>
                </c:pt>
                <c:pt idx="259">
                  <c:v>1.5011339547548668</c:v>
                </c:pt>
                <c:pt idx="260">
                  <c:v>1.4999213259978628</c:v>
                </c:pt>
                <c:pt idx="261">
                  <c:v>1.4987110846448501</c:v>
                </c:pt>
                <c:pt idx="262">
                  <c:v>1.497502329291112</c:v>
                </c:pt>
                <c:pt idx="263">
                  <c:v>1.4962941621077628</c:v>
                </c:pt>
                <c:pt idx="264">
                  <c:v>1.4950856855767574</c:v>
                </c:pt>
                <c:pt idx="265">
                  <c:v>1.4938760000391673</c:v>
                </c:pt>
                <c:pt idx="266">
                  <c:v>1.492664200391508</c:v>
                </c:pt>
                <c:pt idx="267">
                  <c:v>1.4914493735305812</c:v>
                </c:pt>
                <c:pt idx="268">
                  <c:v>1.4902305948340275</c:v>
                </c:pt>
                <c:pt idx="269">
                  <c:v>1.4890069254292186</c:v>
                </c:pt>
                <c:pt idx="270">
                  <c:v>1.4876082096537746</c:v>
                </c:pt>
                <c:pt idx="271">
                  <c:v>1.4862183232587447</c:v>
                </c:pt>
                <c:pt idx="272">
                  <c:v>1.4848357454096013</c:v>
                </c:pt>
                <c:pt idx="273">
                  <c:v>1.483459021055588</c:v>
                </c:pt>
                <c:pt idx="274">
                  <c:v>1.4820867496882906</c:v>
                </c:pt>
                <c:pt idx="275">
                  <c:v>1.4807175761187248</c:v>
                </c:pt>
                <c:pt idx="276">
                  <c:v>1.4793501815201091</c:v>
                </c:pt>
                <c:pt idx="277">
                  <c:v>1.4779832758081415</c:v>
                </c:pt>
                <c:pt idx="278">
                  <c:v>1.4766155904806508</c:v>
                </c:pt>
                <c:pt idx="279">
                  <c:v>1.475245871474784</c:v>
                </c:pt>
                <c:pt idx="280">
                  <c:v>1.4738728735102871</c:v>
                </c:pt>
                <c:pt idx="281">
                  <c:v>1.4724953535474019</c:v>
                </c:pt>
                <c:pt idx="282">
                  <c:v>1.4711120652514662</c:v>
                </c:pt>
                <c:pt idx="283">
                  <c:v>1.4697217532699938</c:v>
                </c:pt>
                <c:pt idx="284">
                  <c:v>1.4683231477120156</c:v>
                </c:pt>
                <c:pt idx="285">
                  <c:v>1.4669149584658281</c:v>
                </c:pt>
                <c:pt idx="286">
                  <c:v>1.4654958695812046</c:v>
                </c:pt>
                <c:pt idx="287">
                  <c:v>1.46406453365362</c:v>
                </c:pt>
                <c:pt idx="288">
                  <c:v>1.4626195654566907</c:v>
                </c:pt>
                <c:pt idx="289">
                  <c:v>1.4611595363445207</c:v>
                </c:pt>
                <c:pt idx="290">
                  <c:v>1.4596829671587184</c:v>
                </c:pt>
                <c:pt idx="291">
                  <c:v>1.458188321622008</c:v>
                </c:pt>
                <c:pt idx="292">
                  <c:v>1.4584822270409152</c:v>
                </c:pt>
                <c:pt idx="293">
                  <c:v>1.4569535629177157</c:v>
                </c:pt>
                <c:pt idx="294">
                  <c:v>1.455401874493041</c:v>
                </c:pt>
                <c:pt idx="295">
                  <c:v>1.4538253261914473</c:v>
                </c:pt>
                <c:pt idx="296">
                  <c:v>1.4522219825499361</c:v>
                </c:pt>
                <c:pt idx="297">
                  <c:v>1.4505897972135589</c:v>
                </c:pt>
                <c:pt idx="298">
                  <c:v>1.4489266009852813</c:v>
                </c:pt>
                <c:pt idx="299">
                  <c:v>1.4472300882925511</c:v>
                </c:pt>
                <c:pt idx="300">
                  <c:v>1.4454978025124849</c:v>
                </c:pt>
                <c:pt idx="301">
                  <c:v>1.4437271193589876</c:v>
                </c:pt>
                <c:pt idx="302">
                  <c:v>1.4419152285233972</c:v>
                </c:pt>
                <c:pt idx="303">
                  <c:v>1.4400591130609135</c:v>
                </c:pt>
                <c:pt idx="304">
                  <c:v>1.4381555262796863</c:v>
                </c:pt>
                <c:pt idx="305">
                  <c:v>1.4362009654363295</c:v>
                </c:pt>
                <c:pt idx="306">
                  <c:v>1.4341916422530754</c:v>
                </c:pt>
                <c:pt idx="307">
                  <c:v>1.4321234496714648</c:v>
                </c:pt>
                <c:pt idx="308">
                  <c:v>1.4299919229882698</c:v>
                </c:pt>
                <c:pt idx="309">
                  <c:v>1.4277921967611027</c:v>
                </c:pt>
                <c:pt idx="310">
                  <c:v>1.4255189545342402</c:v>
                </c:pt>
                <c:pt idx="311">
                  <c:v>1.4231663711510292</c:v>
                </c:pt>
                <c:pt idx="312">
                  <c:v>1.420728046487348</c:v>
                </c:pt>
                <c:pt idx="313">
                  <c:v>1.4181969276834292</c:v>
                </c:pt>
                <c:pt idx="314">
                  <c:v>1.4155660080459553</c:v>
                </c:pt>
                <c:pt idx="315">
                  <c:v>1.4053837194989622</c:v>
                </c:pt>
                <c:pt idx="316">
                  <c:v>1.3810792342956359</c:v>
                </c:pt>
                <c:pt idx="317">
                  <c:v>1.3439360104592499</c:v>
                </c:pt>
                <c:pt idx="318">
                  <c:v>1.2941021751248964</c:v>
                </c:pt>
                <c:pt idx="319">
                  <c:v>1.230929230495986</c:v>
                </c:pt>
                <c:pt idx="320">
                  <c:v>1.1532040751045443</c:v>
                </c:pt>
                <c:pt idx="321">
                  <c:v>1.0594117425322205</c:v>
                </c:pt>
                <c:pt idx="322">
                  <c:v>0.94816141098387741</c:v>
                </c:pt>
                <c:pt idx="323">
                  <c:v>0.8188895908281868</c:v>
                </c:pt>
                <c:pt idx="324">
                  <c:v>0.67282512252125803</c:v>
                </c:pt>
                <c:pt idx="325">
                  <c:v>0.51386887414370408</c:v>
                </c:pt>
                <c:pt idx="326">
                  <c:v>0.36533937333881994</c:v>
                </c:pt>
                <c:pt idx="327">
                  <c:v>0.22765248464705534</c:v>
                </c:pt>
                <c:pt idx="328">
                  <c:v>9.8558036687908412E-2</c:v>
                </c:pt>
                <c:pt idx="329">
                  <c:v>1.8883826088850419E-2</c:v>
                </c:pt>
                <c:pt idx="330">
                  <c:v>0.12328613071344563</c:v>
                </c:pt>
                <c:pt idx="331">
                  <c:v>0.21453367175692506</c:v>
                </c:pt>
                <c:pt idx="332">
                  <c:v>0.29324255592994586</c:v>
                </c:pt>
                <c:pt idx="333">
                  <c:v>0.35905757991592058</c:v>
                </c:pt>
                <c:pt idx="334">
                  <c:v>0.41187426534427418</c:v>
                </c:pt>
                <c:pt idx="335">
                  <c:v>0.45352666419916199</c:v>
                </c:pt>
                <c:pt idx="336">
                  <c:v>0.48487799725438885</c:v>
                </c:pt>
                <c:pt idx="337">
                  <c:v>0.49364784232599623</c:v>
                </c:pt>
                <c:pt idx="338">
                  <c:v>0.4956438602781299</c:v>
                </c:pt>
                <c:pt idx="339">
                  <c:v>0.49763114662076058</c:v>
                </c:pt>
                <c:pt idx="340">
                  <c:v>0.49961088128361686</c:v>
                </c:pt>
                <c:pt idx="341">
                  <c:v>0.5015842300873472</c:v>
                </c:pt>
                <c:pt idx="342">
                  <c:v>0.50355234722028008</c:v>
                </c:pt>
                <c:pt idx="343">
                  <c:v>0.50551637763011348</c:v>
                </c:pt>
                <c:pt idx="344">
                  <c:v>0.50747745939730482</c:v>
                </c:pt>
                <c:pt idx="345">
                  <c:v>0.50943672618619296</c:v>
                </c:pt>
                <c:pt idx="346">
                  <c:v>0.51139530962996904</c:v>
                </c:pt>
                <c:pt idx="347">
                  <c:v>0.51335434178772443</c:v>
                </c:pt>
                <c:pt idx="348">
                  <c:v>0.51531495755078982</c:v>
                </c:pt>
                <c:pt idx="349">
                  <c:v>0.51727829714275542</c:v>
                </c:pt>
                <c:pt idx="350">
                  <c:v>0.51924550864028696</c:v>
                </c:pt>
                <c:pt idx="351">
                  <c:v>0.521217750505377</c:v>
                </c:pt>
                <c:pt idx="352">
                  <c:v>0.52319619430459552</c:v>
                </c:pt>
                <c:pt idx="353">
                  <c:v>0.52518202732646158</c:v>
                </c:pt>
                <c:pt idx="354">
                  <c:v>0.52717645547436653</c:v>
                </c:pt>
                <c:pt idx="355">
                  <c:v>0.52918070605717293</c:v>
                </c:pt>
                <c:pt idx="356">
                  <c:v>0.53119603092477075</c:v>
                </c:pt>
                <c:pt idx="357">
                  <c:v>0.5332237094818435</c:v>
                </c:pt>
                <c:pt idx="358">
                  <c:v>0.53526505211388464</c:v>
                </c:pt>
                <c:pt idx="359">
                  <c:v>0.53732140356909941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15-452B-86B0-21DF09300368}"/>
            </c:ext>
          </c:extLst>
        </c:ser>
        <c:ser>
          <c:idx val="1"/>
          <c:order val="1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L_Section_Capacity!$AS$2:$AS$362</c:f>
              <c:numCache>
                <c:formatCode>0.000</c:formatCode>
                <c:ptCount val="361"/>
                <c:pt idx="0">
                  <c:v>-3.1415926535897931</c:v>
                </c:pt>
                <c:pt idx="1">
                  <c:v>-3.12413936106985</c:v>
                </c:pt>
                <c:pt idx="2">
                  <c:v>-3.1066860685499069</c:v>
                </c:pt>
                <c:pt idx="3">
                  <c:v>-3.0892327760299638</c:v>
                </c:pt>
                <c:pt idx="4">
                  <c:v>-3.0717794835100207</c:v>
                </c:pt>
                <c:pt idx="5">
                  <c:v>-3.0543261909900776</c:v>
                </c:pt>
                <c:pt idx="6">
                  <c:v>-3.0368728984701345</c:v>
                </c:pt>
                <c:pt idx="7">
                  <c:v>-3.0194196059501914</c:v>
                </c:pt>
                <c:pt idx="8">
                  <c:v>-3.0019663134302483</c:v>
                </c:pt>
                <c:pt idx="9">
                  <c:v>-2.9845130209103052</c:v>
                </c:pt>
                <c:pt idx="10">
                  <c:v>-2.9670597283903621</c:v>
                </c:pt>
                <c:pt idx="11">
                  <c:v>-2.949606435870419</c:v>
                </c:pt>
                <c:pt idx="12">
                  <c:v>-2.9321531433504759</c:v>
                </c:pt>
                <c:pt idx="13">
                  <c:v>-2.9146998508305328</c:v>
                </c:pt>
                <c:pt idx="14">
                  <c:v>-2.8972465583105897</c:v>
                </c:pt>
                <c:pt idx="15">
                  <c:v>-2.8797932657906467</c:v>
                </c:pt>
                <c:pt idx="16">
                  <c:v>-2.8623399732707036</c:v>
                </c:pt>
                <c:pt idx="17">
                  <c:v>-2.8448866807507605</c:v>
                </c:pt>
                <c:pt idx="18">
                  <c:v>-2.8274333882308174</c:v>
                </c:pt>
                <c:pt idx="19">
                  <c:v>-2.8099800957108743</c:v>
                </c:pt>
                <c:pt idx="20">
                  <c:v>-2.7925268031909312</c:v>
                </c:pt>
                <c:pt idx="21">
                  <c:v>-2.7750735106709881</c:v>
                </c:pt>
                <c:pt idx="22">
                  <c:v>-2.757620218151045</c:v>
                </c:pt>
                <c:pt idx="23">
                  <c:v>-2.7401669256311019</c:v>
                </c:pt>
                <c:pt idx="24">
                  <c:v>-2.7227136331111588</c:v>
                </c:pt>
                <c:pt idx="25">
                  <c:v>-2.7052603405912157</c:v>
                </c:pt>
                <c:pt idx="26">
                  <c:v>-2.6878070480712726</c:v>
                </c:pt>
                <c:pt idx="27">
                  <c:v>-2.6703537555513295</c:v>
                </c:pt>
                <c:pt idx="28">
                  <c:v>-2.6529004630313864</c:v>
                </c:pt>
                <c:pt idx="29">
                  <c:v>-2.6354471705114433</c:v>
                </c:pt>
                <c:pt idx="30">
                  <c:v>-2.6179938779915002</c:v>
                </c:pt>
                <c:pt idx="31">
                  <c:v>-2.6005405854715571</c:v>
                </c:pt>
                <c:pt idx="32">
                  <c:v>-2.583087292951614</c:v>
                </c:pt>
                <c:pt idx="33">
                  <c:v>-2.5656340004316709</c:v>
                </c:pt>
                <c:pt idx="34">
                  <c:v>-2.5481807079117278</c:v>
                </c:pt>
                <c:pt idx="35">
                  <c:v>-2.5307274153917847</c:v>
                </c:pt>
                <c:pt idx="36">
                  <c:v>-2.5132741228718416</c:v>
                </c:pt>
                <c:pt idx="37">
                  <c:v>-2.4958208303518985</c:v>
                </c:pt>
                <c:pt idx="38">
                  <c:v>-2.4783675378319554</c:v>
                </c:pt>
                <c:pt idx="39">
                  <c:v>-2.4609142453120123</c:v>
                </c:pt>
                <c:pt idx="40">
                  <c:v>-2.4434609527920692</c:v>
                </c:pt>
                <c:pt idx="41">
                  <c:v>-2.4260076602721261</c:v>
                </c:pt>
                <c:pt idx="42">
                  <c:v>-2.408554367752183</c:v>
                </c:pt>
                <c:pt idx="43">
                  <c:v>-2.3911010752322399</c:v>
                </c:pt>
                <c:pt idx="44">
                  <c:v>-2.3736477827122968</c:v>
                </c:pt>
                <c:pt idx="45">
                  <c:v>-2.3561944901923537</c:v>
                </c:pt>
                <c:pt idx="46">
                  <c:v>-2.3387411976724106</c:v>
                </c:pt>
                <c:pt idx="47">
                  <c:v>-2.3212879051524675</c:v>
                </c:pt>
                <c:pt idx="48">
                  <c:v>-2.3038346126325244</c:v>
                </c:pt>
                <c:pt idx="49">
                  <c:v>-2.2863813201125813</c:v>
                </c:pt>
                <c:pt idx="50">
                  <c:v>-2.2689280275926382</c:v>
                </c:pt>
                <c:pt idx="51">
                  <c:v>-2.2514747350726951</c:v>
                </c:pt>
                <c:pt idx="52">
                  <c:v>-2.234021442552752</c:v>
                </c:pt>
                <c:pt idx="53">
                  <c:v>-2.2165681500328089</c:v>
                </c:pt>
                <c:pt idx="54">
                  <c:v>-2.1991148575128658</c:v>
                </c:pt>
                <c:pt idx="55">
                  <c:v>-2.1816615649929227</c:v>
                </c:pt>
                <c:pt idx="56">
                  <c:v>-2.1642082724729796</c:v>
                </c:pt>
                <c:pt idx="57">
                  <c:v>-2.1467549799530365</c:v>
                </c:pt>
                <c:pt idx="58">
                  <c:v>-2.1293016874330934</c:v>
                </c:pt>
                <c:pt idx="59">
                  <c:v>-2.1118483949131504</c:v>
                </c:pt>
                <c:pt idx="60">
                  <c:v>-2.0943951023932073</c:v>
                </c:pt>
                <c:pt idx="61">
                  <c:v>-2.0769418098732642</c:v>
                </c:pt>
                <c:pt idx="62">
                  <c:v>-2.0594885173533211</c:v>
                </c:pt>
                <c:pt idx="63">
                  <c:v>-2.042035224833378</c:v>
                </c:pt>
                <c:pt idx="64">
                  <c:v>-2.0245819323134349</c:v>
                </c:pt>
                <c:pt idx="65">
                  <c:v>-2.0071286397934918</c:v>
                </c:pt>
                <c:pt idx="66">
                  <c:v>-1.9896753472735484</c:v>
                </c:pt>
                <c:pt idx="67">
                  <c:v>-1.9722220547536051</c:v>
                </c:pt>
                <c:pt idx="68">
                  <c:v>-1.9547687622336618</c:v>
                </c:pt>
                <c:pt idx="69">
                  <c:v>-1.9373154697137185</c:v>
                </c:pt>
                <c:pt idx="70">
                  <c:v>-1.9198621771937752</c:v>
                </c:pt>
                <c:pt idx="71">
                  <c:v>-1.9024088846738318</c:v>
                </c:pt>
                <c:pt idx="72">
                  <c:v>-1.8849555921538885</c:v>
                </c:pt>
                <c:pt idx="73">
                  <c:v>-1.8675022996339452</c:v>
                </c:pt>
                <c:pt idx="74">
                  <c:v>-1.8500490071140019</c:v>
                </c:pt>
                <c:pt idx="75">
                  <c:v>-1.8325957145940586</c:v>
                </c:pt>
                <c:pt idx="76">
                  <c:v>-1.8151424220741152</c:v>
                </c:pt>
                <c:pt idx="77">
                  <c:v>-1.7976891295541719</c:v>
                </c:pt>
                <c:pt idx="78">
                  <c:v>-1.7802358370342286</c:v>
                </c:pt>
                <c:pt idx="79">
                  <c:v>-1.7627825445142853</c:v>
                </c:pt>
                <c:pt idx="80">
                  <c:v>-1.745329251994342</c:v>
                </c:pt>
                <c:pt idx="81">
                  <c:v>-1.7278759594743986</c:v>
                </c:pt>
                <c:pt idx="82">
                  <c:v>-1.7104226669544553</c:v>
                </c:pt>
                <c:pt idx="83">
                  <c:v>-1.692969374434512</c:v>
                </c:pt>
                <c:pt idx="84">
                  <c:v>-1.6755160819145687</c:v>
                </c:pt>
                <c:pt idx="85">
                  <c:v>-1.6580627893946254</c:v>
                </c:pt>
                <c:pt idx="86">
                  <c:v>-1.640609496874682</c:v>
                </c:pt>
                <c:pt idx="87">
                  <c:v>-1.6231562043547387</c:v>
                </c:pt>
                <c:pt idx="88">
                  <c:v>-1.6057029118347954</c:v>
                </c:pt>
                <c:pt idx="89">
                  <c:v>-1.5882496193148521</c:v>
                </c:pt>
                <c:pt idx="90">
                  <c:v>-1.5707963267949088</c:v>
                </c:pt>
                <c:pt idx="91">
                  <c:v>-1.5533430342749655</c:v>
                </c:pt>
                <c:pt idx="92">
                  <c:v>-1.5358897417550221</c:v>
                </c:pt>
                <c:pt idx="93">
                  <c:v>-1.5184364492350788</c:v>
                </c:pt>
                <c:pt idx="94">
                  <c:v>-1.5009831567151355</c:v>
                </c:pt>
                <c:pt idx="95">
                  <c:v>-1.4835298641951922</c:v>
                </c:pt>
                <c:pt idx="96">
                  <c:v>-1.4660765716752489</c:v>
                </c:pt>
                <c:pt idx="97">
                  <c:v>-1.4486232791553055</c:v>
                </c:pt>
                <c:pt idx="98">
                  <c:v>-1.4311699866353622</c:v>
                </c:pt>
                <c:pt idx="99">
                  <c:v>-1.4137166941154189</c:v>
                </c:pt>
                <c:pt idx="100">
                  <c:v>-1.3962634015954756</c:v>
                </c:pt>
                <c:pt idx="101">
                  <c:v>-1.3788101090755323</c:v>
                </c:pt>
                <c:pt idx="102">
                  <c:v>-1.3613568165555889</c:v>
                </c:pt>
                <c:pt idx="103">
                  <c:v>-1.3439035240356456</c:v>
                </c:pt>
                <c:pt idx="104">
                  <c:v>-1.3264502315157023</c:v>
                </c:pt>
                <c:pt idx="105">
                  <c:v>-1.308996938995759</c:v>
                </c:pt>
                <c:pt idx="106">
                  <c:v>-1.2915436464758157</c:v>
                </c:pt>
                <c:pt idx="107">
                  <c:v>-1.2740903539558723</c:v>
                </c:pt>
                <c:pt idx="108">
                  <c:v>-1.256637061435929</c:v>
                </c:pt>
                <c:pt idx="109">
                  <c:v>-1.2391837689159857</c:v>
                </c:pt>
                <c:pt idx="110">
                  <c:v>-1.2217304763960424</c:v>
                </c:pt>
                <c:pt idx="111">
                  <c:v>-1.2042771838760991</c:v>
                </c:pt>
                <c:pt idx="112">
                  <c:v>-1.1868238913561557</c:v>
                </c:pt>
                <c:pt idx="113">
                  <c:v>-1.1693705988362124</c:v>
                </c:pt>
                <c:pt idx="114">
                  <c:v>-1.1519173063162691</c:v>
                </c:pt>
                <c:pt idx="115">
                  <c:v>-1.1344640137963258</c:v>
                </c:pt>
                <c:pt idx="116">
                  <c:v>-1.1170107212763825</c:v>
                </c:pt>
                <c:pt idx="117">
                  <c:v>-1.0995574287564391</c:v>
                </c:pt>
                <c:pt idx="118">
                  <c:v>-1.0821041362364958</c:v>
                </c:pt>
                <c:pt idx="119">
                  <c:v>-1.0646508437165525</c:v>
                </c:pt>
                <c:pt idx="120">
                  <c:v>-1.0471975511966092</c:v>
                </c:pt>
                <c:pt idx="121">
                  <c:v>-1.0297442586766659</c:v>
                </c:pt>
                <c:pt idx="122">
                  <c:v>-1.0122909661567225</c:v>
                </c:pt>
                <c:pt idx="123">
                  <c:v>-0.99483767363677922</c:v>
                </c:pt>
                <c:pt idx="124">
                  <c:v>-0.9773843811168359</c:v>
                </c:pt>
                <c:pt idx="125">
                  <c:v>-0.95993108859689258</c:v>
                </c:pt>
                <c:pt idx="126">
                  <c:v>-0.94247779607694926</c:v>
                </c:pt>
                <c:pt idx="127">
                  <c:v>-0.92502450355700594</c:v>
                </c:pt>
                <c:pt idx="128">
                  <c:v>-0.90757121103706262</c:v>
                </c:pt>
                <c:pt idx="129">
                  <c:v>-0.8901179185171193</c:v>
                </c:pt>
                <c:pt idx="130">
                  <c:v>-0.87266462599717598</c:v>
                </c:pt>
                <c:pt idx="131">
                  <c:v>-0.85521133347723266</c:v>
                </c:pt>
                <c:pt idx="132">
                  <c:v>-0.83775804095728934</c:v>
                </c:pt>
                <c:pt idx="133">
                  <c:v>-0.82030474843734602</c:v>
                </c:pt>
                <c:pt idx="134">
                  <c:v>-0.8028514559174027</c:v>
                </c:pt>
                <c:pt idx="135">
                  <c:v>-0.78539816339745938</c:v>
                </c:pt>
                <c:pt idx="136">
                  <c:v>-0.76794487087751606</c:v>
                </c:pt>
                <c:pt idx="137">
                  <c:v>-0.75049157835757274</c:v>
                </c:pt>
                <c:pt idx="138">
                  <c:v>-0.73303828583762942</c:v>
                </c:pt>
                <c:pt idx="139">
                  <c:v>-0.7155849933176861</c:v>
                </c:pt>
                <c:pt idx="140">
                  <c:v>-0.69813170079774278</c:v>
                </c:pt>
                <c:pt idx="141">
                  <c:v>-0.68067840827779946</c:v>
                </c:pt>
                <c:pt idx="142">
                  <c:v>-0.66322511575785614</c:v>
                </c:pt>
                <c:pt idx="143">
                  <c:v>-0.64577182323791282</c:v>
                </c:pt>
                <c:pt idx="144">
                  <c:v>-0.6283185307179695</c:v>
                </c:pt>
                <c:pt idx="145">
                  <c:v>-0.61086523819802618</c:v>
                </c:pt>
                <c:pt idx="146">
                  <c:v>-0.59341194567808286</c:v>
                </c:pt>
                <c:pt idx="147">
                  <c:v>-0.57595865315813954</c:v>
                </c:pt>
                <c:pt idx="148">
                  <c:v>-0.55850536063819622</c:v>
                </c:pt>
                <c:pt idx="149">
                  <c:v>-0.5410520681182529</c:v>
                </c:pt>
                <c:pt idx="150">
                  <c:v>-0.52359877559830958</c:v>
                </c:pt>
                <c:pt idx="151">
                  <c:v>-0.50614548307836627</c:v>
                </c:pt>
                <c:pt idx="152">
                  <c:v>-0.48869219055842295</c:v>
                </c:pt>
                <c:pt idx="153">
                  <c:v>-0.47123889803847963</c:v>
                </c:pt>
                <c:pt idx="154">
                  <c:v>-0.45378560551853631</c:v>
                </c:pt>
                <c:pt idx="155">
                  <c:v>-0.43633231299859299</c:v>
                </c:pt>
                <c:pt idx="156">
                  <c:v>-0.41887902047864967</c:v>
                </c:pt>
                <c:pt idx="157">
                  <c:v>-0.40142572795870635</c:v>
                </c:pt>
                <c:pt idx="158">
                  <c:v>-0.38397243543876303</c:v>
                </c:pt>
                <c:pt idx="159">
                  <c:v>-0.36651914291881971</c:v>
                </c:pt>
                <c:pt idx="160">
                  <c:v>-0.34906585039887639</c:v>
                </c:pt>
                <c:pt idx="161">
                  <c:v>-0.33161255787893307</c:v>
                </c:pt>
                <c:pt idx="162">
                  <c:v>-0.31415926535898975</c:v>
                </c:pt>
                <c:pt idx="163">
                  <c:v>-0.29670597283904643</c:v>
                </c:pt>
                <c:pt idx="164">
                  <c:v>-0.27925268031910311</c:v>
                </c:pt>
                <c:pt idx="165">
                  <c:v>-0.26179938779915979</c:v>
                </c:pt>
                <c:pt idx="166">
                  <c:v>-0.2443460952792165</c:v>
                </c:pt>
                <c:pt idx="167">
                  <c:v>-0.2268928027592732</c:v>
                </c:pt>
                <c:pt idx="168">
                  <c:v>-0.20943951023932991</c:v>
                </c:pt>
                <c:pt idx="169">
                  <c:v>-0.19198621771938662</c:v>
                </c:pt>
                <c:pt idx="170">
                  <c:v>-0.17453292519944333</c:v>
                </c:pt>
                <c:pt idx="171">
                  <c:v>-0.15707963267950004</c:v>
                </c:pt>
                <c:pt idx="172">
                  <c:v>-0.13962634015955674</c:v>
                </c:pt>
                <c:pt idx="173">
                  <c:v>-0.12217304763961345</c:v>
                </c:pt>
                <c:pt idx="174">
                  <c:v>-0.10471975511967016</c:v>
                </c:pt>
                <c:pt idx="175">
                  <c:v>-8.7266462599726868E-2</c:v>
                </c:pt>
                <c:pt idx="176">
                  <c:v>-6.9813170079783576E-2</c:v>
                </c:pt>
                <c:pt idx="177">
                  <c:v>-5.2359877559840284E-2</c:v>
                </c:pt>
                <c:pt idx="178">
                  <c:v>-3.4906585039896992E-2</c:v>
                </c:pt>
                <c:pt idx="179">
                  <c:v>-1.7453292519953697E-2</c:v>
                </c:pt>
                <c:pt idx="180">
                  <c:v>-1.0401401961956935E-14</c:v>
                </c:pt>
                <c:pt idx="181">
                  <c:v>1.7453292519932894E-2</c:v>
                </c:pt>
                <c:pt idx="182">
                  <c:v>3.490658503987619E-2</c:v>
                </c:pt>
                <c:pt idx="183">
                  <c:v>5.2359877559819482E-2</c:v>
                </c:pt>
                <c:pt idx="184">
                  <c:v>6.9813170079762774E-2</c:v>
                </c:pt>
                <c:pt idx="185">
                  <c:v>8.7266462599706066E-2</c:v>
                </c:pt>
                <c:pt idx="186">
                  <c:v>0.10471975511964936</c:v>
                </c:pt>
                <c:pt idx="187">
                  <c:v>0.12217304763959265</c:v>
                </c:pt>
                <c:pt idx="188">
                  <c:v>0.13962634015953596</c:v>
                </c:pt>
                <c:pt idx="189">
                  <c:v>0.15707963267947925</c:v>
                </c:pt>
                <c:pt idx="190">
                  <c:v>0.17453292519942254</c:v>
                </c:pt>
                <c:pt idx="191">
                  <c:v>0.19198621771936583</c:v>
                </c:pt>
                <c:pt idx="192">
                  <c:v>0.20943951023930912</c:v>
                </c:pt>
                <c:pt idx="193">
                  <c:v>0.22689280275925242</c:v>
                </c:pt>
                <c:pt idx="194">
                  <c:v>0.24434609527919571</c:v>
                </c:pt>
                <c:pt idx="195">
                  <c:v>0.26179938779913903</c:v>
                </c:pt>
                <c:pt idx="196">
                  <c:v>0.27925268031908235</c:v>
                </c:pt>
                <c:pt idx="197">
                  <c:v>0.29670597283902567</c:v>
                </c:pt>
                <c:pt idx="198">
                  <c:v>0.31415926535896899</c:v>
                </c:pt>
                <c:pt idx="199">
                  <c:v>0.33161255787891231</c:v>
                </c:pt>
                <c:pt idx="200">
                  <c:v>0.34906585039885563</c:v>
                </c:pt>
                <c:pt idx="201">
                  <c:v>0.36651914291879895</c:v>
                </c:pt>
                <c:pt idx="202">
                  <c:v>0.38397243543874227</c:v>
                </c:pt>
                <c:pt idx="203">
                  <c:v>0.40142572795868559</c:v>
                </c:pt>
                <c:pt idx="204">
                  <c:v>0.41887902047862891</c:v>
                </c:pt>
                <c:pt idx="205">
                  <c:v>0.43633231299857222</c:v>
                </c:pt>
                <c:pt idx="206">
                  <c:v>0.45378560551851554</c:v>
                </c:pt>
                <c:pt idx="207">
                  <c:v>0.47123889803845886</c:v>
                </c:pt>
                <c:pt idx="208">
                  <c:v>0.48869219055840218</c:v>
                </c:pt>
                <c:pt idx="209">
                  <c:v>0.5061454830783455</c:v>
                </c:pt>
                <c:pt idx="210">
                  <c:v>0.52359877559828882</c:v>
                </c:pt>
                <c:pt idx="211">
                  <c:v>0.54105206811823214</c:v>
                </c:pt>
                <c:pt idx="212">
                  <c:v>0.55850536063817546</c:v>
                </c:pt>
                <c:pt idx="213">
                  <c:v>0.57595865315811878</c:v>
                </c:pt>
                <c:pt idx="214">
                  <c:v>0.5934119456780621</c:v>
                </c:pt>
                <c:pt idx="215">
                  <c:v>0.61086523819800542</c:v>
                </c:pt>
                <c:pt idx="216">
                  <c:v>0.62831853071794874</c:v>
                </c:pt>
                <c:pt idx="217">
                  <c:v>0.64577182323789206</c:v>
                </c:pt>
                <c:pt idx="218">
                  <c:v>0.66322511575783538</c:v>
                </c:pt>
                <c:pt idx="219">
                  <c:v>0.6806784082777787</c:v>
                </c:pt>
                <c:pt idx="220">
                  <c:v>0.69813170079772202</c:v>
                </c:pt>
                <c:pt idx="221">
                  <c:v>0.71558499331766534</c:v>
                </c:pt>
                <c:pt idx="222">
                  <c:v>0.73303828583760866</c:v>
                </c:pt>
                <c:pt idx="223">
                  <c:v>0.75049157835755198</c:v>
                </c:pt>
                <c:pt idx="224">
                  <c:v>0.7679448708774953</c:v>
                </c:pt>
                <c:pt idx="225">
                  <c:v>0.78539816339743862</c:v>
                </c:pt>
                <c:pt idx="226">
                  <c:v>0.80285145591738194</c:v>
                </c:pt>
                <c:pt idx="227">
                  <c:v>0.82030474843732526</c:v>
                </c:pt>
                <c:pt idx="228">
                  <c:v>0.83775804095726858</c:v>
                </c:pt>
                <c:pt idx="229">
                  <c:v>0.8552113334772119</c:v>
                </c:pt>
                <c:pt idx="230">
                  <c:v>0.87266462599715522</c:v>
                </c:pt>
                <c:pt idx="231">
                  <c:v>0.89011791851709854</c:v>
                </c:pt>
                <c:pt idx="232">
                  <c:v>0.90757121103704186</c:v>
                </c:pt>
                <c:pt idx="233">
                  <c:v>0.92502450355698518</c:v>
                </c:pt>
                <c:pt idx="234">
                  <c:v>0.9424777960769285</c:v>
                </c:pt>
                <c:pt idx="235">
                  <c:v>0.95993108859687182</c:v>
                </c:pt>
                <c:pt idx="236">
                  <c:v>0.97738438111681514</c:v>
                </c:pt>
                <c:pt idx="237">
                  <c:v>0.99483767363675846</c:v>
                </c:pt>
                <c:pt idx="238">
                  <c:v>1.0122909661567017</c:v>
                </c:pt>
                <c:pt idx="239">
                  <c:v>1.029744258676645</c:v>
                </c:pt>
                <c:pt idx="240">
                  <c:v>1.0471975511965883</c:v>
                </c:pt>
                <c:pt idx="241">
                  <c:v>1.0646508437165316</c:v>
                </c:pt>
                <c:pt idx="242">
                  <c:v>1.0821041362364749</c:v>
                </c:pt>
                <c:pt idx="243">
                  <c:v>1.0995574287564183</c:v>
                </c:pt>
                <c:pt idx="244">
                  <c:v>1.1170107212763616</c:v>
                </c:pt>
                <c:pt idx="245">
                  <c:v>1.1344640137963049</c:v>
                </c:pt>
                <c:pt idx="246">
                  <c:v>1.1519173063162482</c:v>
                </c:pt>
                <c:pt idx="247">
                  <c:v>1.1693705988361915</c:v>
                </c:pt>
                <c:pt idx="248">
                  <c:v>1.1868238913561349</c:v>
                </c:pt>
                <c:pt idx="249">
                  <c:v>1.2042771838760782</c:v>
                </c:pt>
                <c:pt idx="250">
                  <c:v>1.2217304763960215</c:v>
                </c:pt>
                <c:pt idx="251">
                  <c:v>1.2391837689159648</c:v>
                </c:pt>
                <c:pt idx="252">
                  <c:v>1.2566370614359081</c:v>
                </c:pt>
                <c:pt idx="253">
                  <c:v>1.2740903539558515</c:v>
                </c:pt>
                <c:pt idx="254">
                  <c:v>1.2915436464757948</c:v>
                </c:pt>
                <c:pt idx="255">
                  <c:v>1.3089969389957381</c:v>
                </c:pt>
                <c:pt idx="256">
                  <c:v>1.3264502315156814</c:v>
                </c:pt>
                <c:pt idx="257">
                  <c:v>1.3439035240356247</c:v>
                </c:pt>
                <c:pt idx="258">
                  <c:v>1.3613568165555681</c:v>
                </c:pt>
                <c:pt idx="259">
                  <c:v>1.3788101090755114</c:v>
                </c:pt>
                <c:pt idx="260">
                  <c:v>1.3962634015954547</c:v>
                </c:pt>
                <c:pt idx="261">
                  <c:v>1.413716694115398</c:v>
                </c:pt>
                <c:pt idx="262">
                  <c:v>1.4311699866353413</c:v>
                </c:pt>
                <c:pt idx="263">
                  <c:v>1.4486232791552847</c:v>
                </c:pt>
                <c:pt idx="264">
                  <c:v>1.466076571675228</c:v>
                </c:pt>
                <c:pt idx="265">
                  <c:v>1.4835298641951713</c:v>
                </c:pt>
                <c:pt idx="266">
                  <c:v>1.5009831567151146</c:v>
                </c:pt>
                <c:pt idx="267">
                  <c:v>1.5184364492350579</c:v>
                </c:pt>
                <c:pt idx="268">
                  <c:v>1.5358897417550013</c:v>
                </c:pt>
                <c:pt idx="269">
                  <c:v>1.5533430342749446</c:v>
                </c:pt>
                <c:pt idx="270">
                  <c:v>1.5707963267948879</c:v>
                </c:pt>
                <c:pt idx="271">
                  <c:v>1.5882496193148312</c:v>
                </c:pt>
                <c:pt idx="272">
                  <c:v>1.6057029118347745</c:v>
                </c:pt>
                <c:pt idx="273">
                  <c:v>1.6231562043547179</c:v>
                </c:pt>
                <c:pt idx="274">
                  <c:v>1.6406094968746612</c:v>
                </c:pt>
                <c:pt idx="275">
                  <c:v>1.6580627893946045</c:v>
                </c:pt>
                <c:pt idx="276">
                  <c:v>1.6755160819145478</c:v>
                </c:pt>
                <c:pt idx="277">
                  <c:v>1.6929693744344911</c:v>
                </c:pt>
                <c:pt idx="278">
                  <c:v>1.7104226669544345</c:v>
                </c:pt>
                <c:pt idx="279">
                  <c:v>1.7278759594743778</c:v>
                </c:pt>
                <c:pt idx="280">
                  <c:v>1.7453292519943211</c:v>
                </c:pt>
                <c:pt idx="281">
                  <c:v>1.7627825445142644</c:v>
                </c:pt>
                <c:pt idx="282">
                  <c:v>1.7802358370342077</c:v>
                </c:pt>
                <c:pt idx="283">
                  <c:v>1.7976891295541511</c:v>
                </c:pt>
                <c:pt idx="284">
                  <c:v>1.8151424220740944</c:v>
                </c:pt>
                <c:pt idx="285">
                  <c:v>1.8325957145940377</c:v>
                </c:pt>
                <c:pt idx="286">
                  <c:v>1.850049007113981</c:v>
                </c:pt>
                <c:pt idx="287">
                  <c:v>1.8675022996339243</c:v>
                </c:pt>
                <c:pt idx="288">
                  <c:v>1.8849555921538677</c:v>
                </c:pt>
                <c:pt idx="289">
                  <c:v>1.902408884673811</c:v>
                </c:pt>
                <c:pt idx="290">
                  <c:v>1.9198621771937543</c:v>
                </c:pt>
                <c:pt idx="291">
                  <c:v>1.9373154697136976</c:v>
                </c:pt>
                <c:pt idx="292">
                  <c:v>1.9547687622336409</c:v>
                </c:pt>
                <c:pt idx="293">
                  <c:v>1.9722220547535843</c:v>
                </c:pt>
                <c:pt idx="294">
                  <c:v>1.9896753472735276</c:v>
                </c:pt>
                <c:pt idx="295">
                  <c:v>2.0071286397934709</c:v>
                </c:pt>
                <c:pt idx="296">
                  <c:v>2.024581932313414</c:v>
                </c:pt>
                <c:pt idx="297">
                  <c:v>2.0420352248333571</c:v>
                </c:pt>
                <c:pt idx="298">
                  <c:v>2.0594885173533002</c:v>
                </c:pt>
                <c:pt idx="299">
                  <c:v>2.0769418098732433</c:v>
                </c:pt>
                <c:pt idx="300">
                  <c:v>2.0943951023931864</c:v>
                </c:pt>
                <c:pt idx="301">
                  <c:v>2.1118483949131295</c:v>
                </c:pt>
                <c:pt idx="302">
                  <c:v>2.1293016874330726</c:v>
                </c:pt>
                <c:pt idx="303">
                  <c:v>2.1467549799530157</c:v>
                </c:pt>
                <c:pt idx="304">
                  <c:v>2.1642082724729588</c:v>
                </c:pt>
                <c:pt idx="305">
                  <c:v>2.1816615649929019</c:v>
                </c:pt>
                <c:pt idx="306">
                  <c:v>2.199114857512845</c:v>
                </c:pt>
                <c:pt idx="307">
                  <c:v>2.2165681500327881</c:v>
                </c:pt>
                <c:pt idx="308">
                  <c:v>2.2340214425527312</c:v>
                </c:pt>
                <c:pt idx="309">
                  <c:v>2.2514747350726743</c:v>
                </c:pt>
                <c:pt idx="310">
                  <c:v>2.2689280275926174</c:v>
                </c:pt>
                <c:pt idx="311">
                  <c:v>2.2863813201125605</c:v>
                </c:pt>
                <c:pt idx="312">
                  <c:v>2.3038346126325036</c:v>
                </c:pt>
                <c:pt idx="313">
                  <c:v>2.3212879051524467</c:v>
                </c:pt>
                <c:pt idx="314">
                  <c:v>2.3387411976723897</c:v>
                </c:pt>
                <c:pt idx="315">
                  <c:v>2.3561944901923328</c:v>
                </c:pt>
                <c:pt idx="316">
                  <c:v>2.3736477827122759</c:v>
                </c:pt>
                <c:pt idx="317">
                  <c:v>2.391101075232219</c:v>
                </c:pt>
                <c:pt idx="318">
                  <c:v>2.4085543677521621</c:v>
                </c:pt>
                <c:pt idx="319">
                  <c:v>2.4260076602721052</c:v>
                </c:pt>
                <c:pt idx="320">
                  <c:v>2.4434609527920483</c:v>
                </c:pt>
                <c:pt idx="321">
                  <c:v>2.4609142453119914</c:v>
                </c:pt>
                <c:pt idx="322">
                  <c:v>2.4783675378319345</c:v>
                </c:pt>
                <c:pt idx="323">
                  <c:v>2.4958208303518776</c:v>
                </c:pt>
                <c:pt idx="324">
                  <c:v>2.5132741228718207</c:v>
                </c:pt>
                <c:pt idx="325">
                  <c:v>2.5307274153917638</c:v>
                </c:pt>
                <c:pt idx="326">
                  <c:v>2.5481807079117069</c:v>
                </c:pt>
                <c:pt idx="327">
                  <c:v>2.56563400043165</c:v>
                </c:pt>
                <c:pt idx="328">
                  <c:v>2.5830872929515931</c:v>
                </c:pt>
                <c:pt idx="329">
                  <c:v>2.6005405854715362</c:v>
                </c:pt>
                <c:pt idx="330">
                  <c:v>2.6179938779914793</c:v>
                </c:pt>
                <c:pt idx="331">
                  <c:v>2.6354471705114224</c:v>
                </c:pt>
                <c:pt idx="332">
                  <c:v>2.6529004630313655</c:v>
                </c:pt>
                <c:pt idx="333">
                  <c:v>2.6703537555513086</c:v>
                </c:pt>
                <c:pt idx="334">
                  <c:v>2.6878070480712517</c:v>
                </c:pt>
                <c:pt idx="335">
                  <c:v>2.7052603405911948</c:v>
                </c:pt>
                <c:pt idx="336">
                  <c:v>2.7227136331111379</c:v>
                </c:pt>
                <c:pt idx="337">
                  <c:v>2.740166925631081</c:v>
                </c:pt>
                <c:pt idx="338">
                  <c:v>2.7576202181510241</c:v>
                </c:pt>
                <c:pt idx="339">
                  <c:v>2.7750735106709672</c:v>
                </c:pt>
                <c:pt idx="340">
                  <c:v>2.7925268031909103</c:v>
                </c:pt>
                <c:pt idx="341">
                  <c:v>2.8099800957108534</c:v>
                </c:pt>
                <c:pt idx="342">
                  <c:v>2.8274333882307965</c:v>
                </c:pt>
                <c:pt idx="343">
                  <c:v>2.8448866807507396</c:v>
                </c:pt>
                <c:pt idx="344">
                  <c:v>2.8623399732706827</c:v>
                </c:pt>
                <c:pt idx="345">
                  <c:v>2.8797932657906258</c:v>
                </c:pt>
                <c:pt idx="346">
                  <c:v>2.8972465583105689</c:v>
                </c:pt>
                <c:pt idx="347">
                  <c:v>2.914699850830512</c:v>
                </c:pt>
                <c:pt idx="348">
                  <c:v>2.9321531433504551</c:v>
                </c:pt>
                <c:pt idx="349">
                  <c:v>2.9496064358703982</c:v>
                </c:pt>
                <c:pt idx="350">
                  <c:v>2.9670597283903413</c:v>
                </c:pt>
                <c:pt idx="351">
                  <c:v>2.9845130209102844</c:v>
                </c:pt>
                <c:pt idx="352">
                  <c:v>3.0019663134302275</c:v>
                </c:pt>
                <c:pt idx="353">
                  <c:v>3.0194196059501706</c:v>
                </c:pt>
                <c:pt idx="354">
                  <c:v>3.0368728984701137</c:v>
                </c:pt>
                <c:pt idx="355">
                  <c:v>3.0543261909900568</c:v>
                </c:pt>
                <c:pt idx="356">
                  <c:v>3.0717794835099999</c:v>
                </c:pt>
                <c:pt idx="357">
                  <c:v>3.089232776029943</c:v>
                </c:pt>
                <c:pt idx="358">
                  <c:v>3.106686068549886</c:v>
                </c:pt>
                <c:pt idx="359">
                  <c:v>3.1241393610698291</c:v>
                </c:pt>
                <c:pt idx="360">
                  <c:v>3.1415926535897722</c:v>
                </c:pt>
              </c:numCache>
            </c:numRef>
          </c:xVal>
          <c:yVal>
            <c:numRef>
              <c:f>L_Section_Capacity!$AX$2:$AX$362</c:f>
              <c:numCache>
                <c:formatCode>0.000</c:formatCode>
                <c:ptCount val="361"/>
                <c:pt idx="0">
                  <c:v>-0.53732140356909719</c:v>
                </c:pt>
                <c:pt idx="1">
                  <c:v>-0.53939414658760887</c:v>
                </c:pt>
                <c:pt idx="2">
                  <c:v>-0.54148470584718877</c:v>
                </c:pt>
                <c:pt idx="3">
                  <c:v>-0.54359455192845818</c:v>
                </c:pt>
                <c:pt idx="4">
                  <c:v>-0.54572520577901429</c:v>
                </c:pt>
                <c:pt idx="5">
                  <c:v>-0.54787824321561196</c:v>
                </c:pt>
                <c:pt idx="6">
                  <c:v>-0.55005529995526103</c:v>
                </c:pt>
                <c:pt idx="7">
                  <c:v>-0.55225807688316042</c:v>
                </c:pt>
                <c:pt idx="8">
                  <c:v>-0.55448834570823102</c:v>
                </c:pt>
                <c:pt idx="9">
                  <c:v>-0.55674795508963193</c:v>
                </c:pt>
                <c:pt idx="10">
                  <c:v>-0.55903883718609837</c:v>
                </c:pt>
                <c:pt idx="11">
                  <c:v>-0.56136301482069717</c:v>
                </c:pt>
                <c:pt idx="12">
                  <c:v>-0.56372260910721739</c:v>
                </c:pt>
                <c:pt idx="13">
                  <c:v>-0.56611984786352831</c:v>
                </c:pt>
                <c:pt idx="14">
                  <c:v>-0.56855707458851068</c:v>
                </c:pt>
                <c:pt idx="15">
                  <c:v>-0.57103675835750112</c:v>
                </c:pt>
                <c:pt idx="16">
                  <c:v>-0.57356150459569033</c:v>
                </c:pt>
                <c:pt idx="17">
                  <c:v>-0.5761340668206123</c:v>
                </c:pt>
                <c:pt idx="18">
                  <c:v>-0.5787573594223514</c:v>
                </c:pt>
                <c:pt idx="19">
                  <c:v>-0.58143447179810481</c:v>
                </c:pt>
                <c:pt idx="20">
                  <c:v>-0.58416868383635601</c:v>
                </c:pt>
                <c:pt idx="21">
                  <c:v>-0.58696348287563227</c:v>
                </c:pt>
                <c:pt idx="22">
                  <c:v>-0.58982258249211528</c:v>
                </c:pt>
                <c:pt idx="23">
                  <c:v>-0.59274994316863916</c:v>
                </c:pt>
                <c:pt idx="24">
                  <c:v>-0.59574979524890459</c:v>
                </c:pt>
                <c:pt idx="25">
                  <c:v>-0.59882666423578268</c:v>
                </c:pt>
                <c:pt idx="26">
                  <c:v>-0.60198539901263892</c:v>
                </c:pt>
                <c:pt idx="27">
                  <c:v>-0.60523120317843926</c:v>
                </c:pt>
                <c:pt idx="28">
                  <c:v>-0.60856966999982864</c:v>
                </c:pt>
                <c:pt idx="29">
                  <c:v>-0.61200682137955909</c:v>
                </c:pt>
                <c:pt idx="30">
                  <c:v>-0.61554915162733792</c:v>
                </c:pt>
                <c:pt idx="31">
                  <c:v>-0.61920367637973595</c:v>
                </c:pt>
                <c:pt idx="32">
                  <c:v>-0.62297273159290523</c:v>
                </c:pt>
                <c:pt idx="33">
                  <c:v>-0.62671580220859591</c:v>
                </c:pt>
                <c:pt idx="34">
                  <c:v>-0.63037445447659701</c:v>
                </c:pt>
                <c:pt idx="35">
                  <c:v>-0.63395784311092429</c:v>
                </c:pt>
                <c:pt idx="36">
                  <c:v>-0.63747440172142777</c:v>
                </c:pt>
                <c:pt idx="37">
                  <c:v>-0.64093194833040723</c:v>
                </c:pt>
                <c:pt idx="38">
                  <c:v>-0.64433777658566171</c:v>
                </c:pt>
                <c:pt idx="39">
                  <c:v>-0.64769873589629823</c:v>
                </c:pt>
                <c:pt idx="40">
                  <c:v>-0.6510213019197284</c:v>
                </c:pt>
                <c:pt idx="41">
                  <c:v>-0.65431163984125007</c:v>
                </c:pt>
                <c:pt idx="42">
                  <c:v>-0.65757566133739109</c:v>
                </c:pt>
                <c:pt idx="43">
                  <c:v>-0.66081907690355113</c:v>
                </c:pt>
                <c:pt idx="44">
                  <c:v>-0.66404744450403408</c:v>
                </c:pt>
                <c:pt idx="45">
                  <c:v>-0.6672662153185005</c:v>
                </c:pt>
                <c:pt idx="46">
                  <c:v>-0.67048077791804417</c:v>
                </c:pt>
                <c:pt idx="47">
                  <c:v>-0.6736965011799505</c:v>
                </c:pt>
                <c:pt idx="48">
                  <c:v>-0.67691877715641802</c:v>
                </c:pt>
                <c:pt idx="49">
                  <c:v>-0.68015306439803558</c:v>
                </c:pt>
                <c:pt idx="50">
                  <c:v>-0.68340493271950375</c:v>
                </c:pt>
                <c:pt idx="51">
                  <c:v>-0.68668011019478792</c:v>
                </c:pt>
                <c:pt idx="52">
                  <c:v>-0.68998453324986553</c:v>
                </c:pt>
                <c:pt idx="53">
                  <c:v>-0.69332440116159733</c:v>
                </c:pt>
                <c:pt idx="54">
                  <c:v>-0.69670623573578361</c:v>
                </c:pt>
                <c:pt idx="55">
                  <c:v>-0.7001369480580637</c:v>
                </c:pt>
                <c:pt idx="56">
                  <c:v>-0.70362391360839549</c:v>
                </c:pt>
                <c:pt idx="57">
                  <c:v>-0.70717505794065172</c:v>
                </c:pt>
                <c:pt idx="58">
                  <c:v>-0.71079895535481974</c:v>
                </c:pt>
                <c:pt idx="59">
                  <c:v>-0.71450494351603799</c:v>
                </c:pt>
                <c:pt idx="60">
                  <c:v>-0.71830325796932604</c:v>
                </c:pt>
                <c:pt idx="61">
                  <c:v>-0.72220519104596104</c:v>
                </c:pt>
                <c:pt idx="62">
                  <c:v>-0.72622328137286818</c:v>
                </c:pt>
                <c:pt idx="63">
                  <c:v>-0.73082933194993727</c:v>
                </c:pt>
                <c:pt idx="64">
                  <c:v>-0.73770324147199506</c:v>
                </c:pt>
                <c:pt idx="65">
                  <c:v>-0.7446909146255094</c:v>
                </c:pt>
                <c:pt idx="66">
                  <c:v>-0.75180956824997747</c:v>
                </c:pt>
                <c:pt idx="67">
                  <c:v>-0.75907846300142978</c:v>
                </c:pt>
                <c:pt idx="68">
                  <c:v>-0.76651935849101749</c:v>
                </c:pt>
                <c:pt idx="69">
                  <c:v>-0.77415709047221082</c:v>
                </c:pt>
                <c:pt idx="70">
                  <c:v>-0.78202031277838779</c:v>
                </c:pt>
                <c:pt idx="71">
                  <c:v>-0.79014246432823487</c:v>
                </c:pt>
                <c:pt idx="72">
                  <c:v>-0.79856304895319941</c:v>
                </c:pt>
                <c:pt idx="73">
                  <c:v>-0.80732935724636423</c:v>
                </c:pt>
                <c:pt idx="74">
                  <c:v>-0.81649882530319084</c:v>
                </c:pt>
                <c:pt idx="75">
                  <c:v>-0.82614233114088664</c:v>
                </c:pt>
                <c:pt idx="76">
                  <c:v>-0.83634890500800108</c:v>
                </c:pt>
                <c:pt idx="77">
                  <c:v>-0.84723263095576984</c:v>
                </c:pt>
                <c:pt idx="78">
                  <c:v>-0.85894304987428427</c:v>
                </c:pt>
                <c:pt idx="79">
                  <c:v>-0.87168136002957031</c:v>
                </c:pt>
                <c:pt idx="80">
                  <c:v>-0.88572661706294298</c:v>
                </c:pt>
                <c:pt idx="81">
                  <c:v>-0.90148002971321972</c:v>
                </c:pt>
                <c:pt idx="82">
                  <c:v>-0.9195428088471802</c:v>
                </c:pt>
                <c:pt idx="83">
                  <c:v>-0.93901409244237399</c:v>
                </c:pt>
                <c:pt idx="84">
                  <c:v>-0.95861763305112113</c:v>
                </c:pt>
                <c:pt idx="85">
                  <c:v>-0.97837820157188737</c:v>
                </c:pt>
                <c:pt idx="86">
                  <c:v>-0.99832239502860176</c:v>
                </c:pt>
                <c:pt idx="87">
                  <c:v>-1.0184790972689859</c:v>
                </c:pt>
                <c:pt idx="88">
                  <c:v>-1.0388801070897058</c:v>
                </c:pt>
                <c:pt idx="89">
                  <c:v>-1.0595610209328408</c:v>
                </c:pt>
                <c:pt idx="90">
                  <c:v>-1.0805625174647862</c:v>
                </c:pt>
                <c:pt idx="91">
                  <c:v>-1.1169577808531619</c:v>
                </c:pt>
                <c:pt idx="92">
                  <c:v>-1.1530465260052472</c:v>
                </c:pt>
                <c:pt idx="93">
                  <c:v>-1.1888462322604054</c:v>
                </c:pt>
                <c:pt idx="94">
                  <c:v>-1.2243926811219783</c:v>
                </c:pt>
                <c:pt idx="95">
                  <c:v>-1.2597348621714417</c:v>
                </c:pt>
                <c:pt idx="96">
                  <c:v>-1.2949305159218873</c:v>
                </c:pt>
                <c:pt idx="97">
                  <c:v>-1.328818461668785</c:v>
                </c:pt>
                <c:pt idx="98">
                  <c:v>-1.3561614723276261</c:v>
                </c:pt>
                <c:pt idx="99">
                  <c:v>-1.378193777609404</c:v>
                </c:pt>
                <c:pt idx="100">
                  <c:v>-1.3963686566376037</c:v>
                </c:pt>
                <c:pt idx="101">
                  <c:v>-1.4058318606599798</c:v>
                </c:pt>
                <c:pt idx="102">
                  <c:v>-1.4191947680222778</c:v>
                </c:pt>
                <c:pt idx="103">
                  <c:v>-1.4307774585385911</c:v>
                </c:pt>
                <c:pt idx="104">
                  <c:v>-1.4409329216230313</c:v>
                </c:pt>
                <c:pt idx="105">
                  <c:v>-1.4499259973320253</c:v>
                </c:pt>
                <c:pt idx="106">
                  <c:v>-1.4579593753184632</c:v>
                </c:pt>
                <c:pt idx="107">
                  <c:v>-1.4651908949521379</c:v>
                </c:pt>
                <c:pt idx="108">
                  <c:v>-1.4717453625287593</c:v>
                </c:pt>
                <c:pt idx="109">
                  <c:v>-1.4777228128759825</c:v>
                </c:pt>
                <c:pt idx="110">
                  <c:v>-1.4832044041593919</c:v>
                </c:pt>
                <c:pt idx="111">
                  <c:v>-1.4882567023339908</c:v>
                </c:pt>
                <c:pt idx="112">
                  <c:v>-1.4929348463182661</c:v>
                </c:pt>
                <c:pt idx="113">
                  <c:v>-1.4972849214927999</c:v>
                </c:pt>
                <c:pt idx="114">
                  <c:v>-1.5013457638625951</c:v>
                </c:pt>
                <c:pt idx="115">
                  <c:v>-1.5051503480906767</c:v>
                </c:pt>
                <c:pt idx="116">
                  <c:v>-1.5087268678806858</c:v>
                </c:pt>
                <c:pt idx="117">
                  <c:v>-1.5120995853908603</c:v>
                </c:pt>
                <c:pt idx="118">
                  <c:v>-1.5152895053523627</c:v>
                </c:pt>
                <c:pt idx="119">
                  <c:v>-1.5183149152595465</c:v>
                </c:pt>
                <c:pt idx="120">
                  <c:v>-1.5211918214935052</c:v>
                </c:pt>
                <c:pt idx="121">
                  <c:v>-1.5239343041933475</c:v>
                </c:pt>
                <c:pt idx="122">
                  <c:v>-1.5265548081272584</c:v>
                </c:pt>
                <c:pt idx="123">
                  <c:v>-1.5290643828071584</c:v>
                </c:pt>
                <c:pt idx="124">
                  <c:v>-1.5314728819173062</c:v>
                </c:pt>
                <c:pt idx="125">
                  <c:v>-1.533789130019116</c:v>
                </c:pt>
                <c:pt idx="126">
                  <c:v>-1.5360210624486728</c:v>
                </c:pt>
                <c:pt idx="127">
                  <c:v>-1.5381758439222635</c:v>
                </c:pt>
                <c:pt idx="128">
                  <c:v>-1.5402599692646302</c:v>
                </c:pt>
                <c:pt idx="129">
                  <c:v>-1.5422793492523121</c:v>
                </c:pt>
                <c:pt idx="130">
                  <c:v>-1.5442393846549738</c:v>
                </c:pt>
                <c:pt idx="131">
                  <c:v>-1.5461450304172795</c:v>
                </c:pt>
                <c:pt idx="132">
                  <c:v>-1.5480008508009337</c:v>
                </c:pt>
                <c:pt idx="133">
                  <c:v>-1.5500851382280878</c:v>
                </c:pt>
                <c:pt idx="134">
                  <c:v>-1.5522920901925428</c:v>
                </c:pt>
                <c:pt idx="135">
                  <c:v>-1.5544260116406932</c:v>
                </c:pt>
                <c:pt idx="136">
                  <c:v>-1.5564921228488497</c:v>
                </c:pt>
                <c:pt idx="137">
                  <c:v>-1.5584952592176675</c:v>
                </c:pt>
                <c:pt idx="138">
                  <c:v>-1.5604399156420659</c:v>
                </c:pt>
                <c:pt idx="139">
                  <c:v>-1.5623302858231121</c:v>
                </c:pt>
                <c:pt idx="140">
                  <c:v>-1.564170298375525</c:v>
                </c:pt>
                <c:pt idx="141">
                  <c:v>-1.5659636492976832</c:v>
                </c:pt>
                <c:pt idx="142">
                  <c:v>-1.5677138324704387</c:v>
                </c:pt>
                <c:pt idx="143">
                  <c:v>-1.5694241676981973</c:v>
                </c:pt>
                <c:pt idx="144">
                  <c:v>-1.5710978278112613</c:v>
                </c:pt>
                <c:pt idx="145">
                  <c:v>-1.5727378643543553</c:v>
                </c:pt>
                <c:pt idx="146">
                  <c:v>-1.5743472329537678</c:v>
                </c:pt>
                <c:pt idx="147">
                  <c:v>-1.5759288191131651</c:v>
                </c:pt>
                <c:pt idx="148">
                  <c:v>-1.5774854640194134</c:v>
                </c:pt>
                <c:pt idx="149">
                  <c:v>-1.579019992124854</c:v>
                </c:pt>
                <c:pt idx="150">
                  <c:v>-1.5805352405515558</c:v>
                </c:pt>
                <c:pt idx="151">
                  <c:v>-1.5820340916964586</c:v>
                </c:pt>
                <c:pt idx="152">
                  <c:v>-1.5835195093236463</c:v>
                </c:pt>
                <c:pt idx="153">
                  <c:v>-1.584994580818039</c:v>
                </c:pt>
                <c:pt idx="154">
                  <c:v>-1.5864625659403195</c:v>
                </c:pt>
                <c:pt idx="155">
                  <c:v>-1.5879269557229625</c:v>
                </c:pt>
                <c:pt idx="156">
                  <c:v>-1.5893915435821553</c:v>
                </c:pt>
                <c:pt idx="157">
                  <c:v>-1.5908605132629683</c:v>
                </c:pt>
                <c:pt idx="158">
                  <c:v>-1.5923385490496944</c:v>
                </c:pt>
                <c:pt idx="159">
                  <c:v>-1.5938309760359957</c:v>
                </c:pt>
                <c:pt idx="160">
                  <c:v>-1.5953439416200403</c:v>
                </c:pt>
                <c:pt idx="161">
                  <c:v>-1.596884653124528</c:v>
                </c:pt>
                <c:pt idx="162">
                  <c:v>-1.5984616949553825</c:v>
                </c:pt>
                <c:pt idx="163">
                  <c:v>-1.600085458661745</c:v>
                </c:pt>
                <c:pt idx="164">
                  <c:v>-1.6017687371834377</c:v>
                </c:pt>
                <c:pt idx="165">
                  <c:v>-1.6035275628363177</c:v>
                </c:pt>
                <c:pt idx="166">
                  <c:v>-1.6053824165217945</c:v>
                </c:pt>
                <c:pt idx="167">
                  <c:v>-1.6073600196333313</c:v>
                </c:pt>
                <c:pt idx="168">
                  <c:v>-1.6094960669568019</c:v>
                </c:pt>
                <c:pt idx="169">
                  <c:v>-1.6118395484528998</c:v>
                </c:pt>
                <c:pt idx="170">
                  <c:v>-1.6144598630359503</c:v>
                </c:pt>
                <c:pt idx="171">
                  <c:v>-1.6174591311036117</c:v>
                </c:pt>
                <c:pt idx="172">
                  <c:v>-1.6212043248337142</c:v>
                </c:pt>
                <c:pt idx="173">
                  <c:v>-1.624386502944688</c:v>
                </c:pt>
                <c:pt idx="174">
                  <c:v>-1.6300034106506729</c:v>
                </c:pt>
                <c:pt idx="175">
                  <c:v>-1.6377252770781503</c:v>
                </c:pt>
                <c:pt idx="176">
                  <c:v>-1.649576713865736</c:v>
                </c:pt>
                <c:pt idx="177">
                  <c:v>-1.6716354393068045</c:v>
                </c:pt>
                <c:pt idx="178">
                  <c:v>-1.7284053014393654</c:v>
                </c:pt>
                <c:pt idx="179">
                  <c:v>-1.8748011617708507</c:v>
                </c:pt>
                <c:pt idx="180">
                  <c:v>3.1415926533329639</c:v>
                </c:pt>
                <c:pt idx="181">
                  <c:v>1.8748011614049351</c:v>
                </c:pt>
                <c:pt idx="182">
                  <c:v>1.7284053012866638</c:v>
                </c:pt>
                <c:pt idx="183">
                  <c:v>1.671635438992539</c:v>
                </c:pt>
                <c:pt idx="184">
                  <c:v>1.6495767137141681</c:v>
                </c:pt>
                <c:pt idx="185">
                  <c:v>1.6377252768590072</c:v>
                </c:pt>
                <c:pt idx="186">
                  <c:v>1.6300034103949719</c:v>
                </c:pt>
                <c:pt idx="187">
                  <c:v>1.6243865027327027</c:v>
                </c:pt>
                <c:pt idx="188">
                  <c:v>1.6212043246438743</c:v>
                </c:pt>
                <c:pt idx="189">
                  <c:v>1.6174591309085631</c:v>
                </c:pt>
                <c:pt idx="190">
                  <c:v>1.614459862928207</c:v>
                </c:pt>
                <c:pt idx="191">
                  <c:v>1.6118395482608661</c:v>
                </c:pt>
                <c:pt idx="192">
                  <c:v>1.6094960668372342</c:v>
                </c:pt>
                <c:pt idx="193">
                  <c:v>1.6073600193944244</c:v>
                </c:pt>
                <c:pt idx="194">
                  <c:v>1.605382416330847</c:v>
                </c:pt>
                <c:pt idx="195">
                  <c:v>1.6035275626094143</c:v>
                </c:pt>
                <c:pt idx="196">
                  <c:v>1.6017687369816482</c:v>
                </c:pt>
                <c:pt idx="197">
                  <c:v>1.6000854584790993</c:v>
                </c:pt>
                <c:pt idx="198">
                  <c:v>1.5984616948101527</c:v>
                </c:pt>
                <c:pt idx="199">
                  <c:v>1.596884652961891</c:v>
                </c:pt>
                <c:pt idx="200">
                  <c:v>1.5953439414853678</c:v>
                </c:pt>
                <c:pt idx="201">
                  <c:v>1.5938309758467173</c:v>
                </c:pt>
                <c:pt idx="202">
                  <c:v>1.5923385488531983</c:v>
                </c:pt>
                <c:pt idx="203">
                  <c:v>1.5908605130353684</c:v>
                </c:pt>
                <c:pt idx="204">
                  <c:v>1.5893915434000176</c:v>
                </c:pt>
                <c:pt idx="205">
                  <c:v>1.5879269555283861</c:v>
                </c:pt>
                <c:pt idx="206">
                  <c:v>1.5864625657021882</c:v>
                </c:pt>
                <c:pt idx="207">
                  <c:v>1.5849945805815107</c:v>
                </c:pt>
                <c:pt idx="208">
                  <c:v>1.5835195091175653</c:v>
                </c:pt>
                <c:pt idx="209">
                  <c:v>1.5820340915252542</c:v>
                </c:pt>
                <c:pt idx="210">
                  <c:v>1.5805352403760429</c:v>
                </c:pt>
                <c:pt idx="211">
                  <c:v>1.5790199919282841</c:v>
                </c:pt>
                <c:pt idx="212">
                  <c:v>1.5774854638367228</c:v>
                </c:pt>
                <c:pt idx="213">
                  <c:v>1.5759288189180964</c:v>
                </c:pt>
                <c:pt idx="214">
                  <c:v>1.5743472327810566</c:v>
                </c:pt>
                <c:pt idx="215">
                  <c:v>1.5727378641228797</c:v>
                </c:pt>
                <c:pt idx="216">
                  <c:v>1.5710978276027729</c:v>
                </c:pt>
                <c:pt idx="217">
                  <c:v>1.5694241674761003</c:v>
                </c:pt>
                <c:pt idx="218">
                  <c:v>1.5677138322459954</c:v>
                </c:pt>
                <c:pt idx="219">
                  <c:v>1.5659636490811444</c:v>
                </c:pt>
                <c:pt idx="220">
                  <c:v>1.5641702981760419</c:v>
                </c:pt>
                <c:pt idx="221">
                  <c:v>1.5623302856250605</c:v>
                </c:pt>
                <c:pt idx="222">
                  <c:v>1.5604399154036486</c:v>
                </c:pt>
                <c:pt idx="223">
                  <c:v>1.5584952590165821</c:v>
                </c:pt>
                <c:pt idx="224">
                  <c:v>1.5564921226350577</c:v>
                </c:pt>
                <c:pt idx="225">
                  <c:v>1.5544260114969217</c:v>
                </c:pt>
                <c:pt idx="226">
                  <c:v>1.5522920900237278</c:v>
                </c:pt>
                <c:pt idx="227">
                  <c:v>1.5500851380265361</c:v>
                </c:pt>
                <c:pt idx="228">
                  <c:v>1.5480008506197371</c:v>
                </c:pt>
                <c:pt idx="229">
                  <c:v>1.5461450302343607</c:v>
                </c:pt>
                <c:pt idx="230">
                  <c:v>1.5442418177440527</c:v>
                </c:pt>
                <c:pt idx="231">
                  <c:v>1.5423610056220678</c:v>
                </c:pt>
                <c:pt idx="232">
                  <c:v>1.5405334532890744</c:v>
                </c:pt>
                <c:pt idx="233">
                  <c:v>1.5387554808721886</c:v>
                </c:pt>
                <c:pt idx="234">
                  <c:v>1.5370237004975018</c:v>
                </c:pt>
                <c:pt idx="235">
                  <c:v>1.5353349854990777</c:v>
                </c:pt>
                <c:pt idx="236">
                  <c:v>1.5336864430920922</c:v>
                </c:pt>
                <c:pt idx="237">
                  <c:v>1.5320753904048181</c:v>
                </c:pt>
                <c:pt idx="238">
                  <c:v>1.5304993332583412</c:v>
                </c:pt>
                <c:pt idx="239">
                  <c:v>1.5289559475043657</c:v>
                </c:pt>
                <c:pt idx="240">
                  <c:v>1.5274430623252453</c:v>
                </c:pt>
                <c:pt idx="241">
                  <c:v>1.5259586455853056</c:v>
                </c:pt>
                <c:pt idx="242">
                  <c:v>1.5245007903273315</c:v>
                </c:pt>
                <c:pt idx="243">
                  <c:v>1.5230677030352848</c:v>
                </c:pt>
                <c:pt idx="244">
                  <c:v>1.5216576930453025</c:v>
                </c:pt>
                <c:pt idx="245">
                  <c:v>1.5202691627485181</c:v>
                </c:pt>
                <c:pt idx="246">
                  <c:v>1.5189005989839441</c:v>
                </c:pt>
                <c:pt idx="247">
                  <c:v>1.5175505651270187</c:v>
                </c:pt>
                <c:pt idx="248">
                  <c:v>1.5162176940171024</c:v>
                </c:pt>
                <c:pt idx="249">
                  <c:v>1.5149006810392274</c:v>
                </c:pt>
                <c:pt idx="250">
                  <c:v>1.5135982785845867</c:v>
                </c:pt>
                <c:pt idx="251">
                  <c:v>1.5123092900524391</c:v>
                </c:pt>
                <c:pt idx="252">
                  <c:v>1.5110325652422751</c:v>
                </c:pt>
                <c:pt idx="253">
                  <c:v>1.5097669949912578</c:v>
                </c:pt>
                <c:pt idx="254">
                  <c:v>1.5085115075127096</c:v>
                </c:pt>
                <c:pt idx="255">
                  <c:v>1.5072650634857478</c:v>
                </c:pt>
                <c:pt idx="256">
                  <c:v>1.5060266528449335</c:v>
                </c:pt>
                <c:pt idx="257">
                  <c:v>1.5047952907229221</c:v>
                </c:pt>
                <c:pt idx="258">
                  <c:v>1.5035700140672743</c:v>
                </c:pt>
                <c:pt idx="259">
                  <c:v>1.502349878476172</c:v>
                </c:pt>
                <c:pt idx="260">
                  <c:v>1.5011339547548668</c:v>
                </c:pt>
                <c:pt idx="261">
                  <c:v>1.4999213259978628</c:v>
                </c:pt>
                <c:pt idx="262">
                  <c:v>1.4987110846448501</c:v>
                </c:pt>
                <c:pt idx="263">
                  <c:v>1.497502329291112</c:v>
                </c:pt>
                <c:pt idx="264">
                  <c:v>1.4962941621077628</c:v>
                </c:pt>
                <c:pt idx="265">
                  <c:v>1.4950856855767574</c:v>
                </c:pt>
                <c:pt idx="266">
                  <c:v>1.4938760000391673</c:v>
                </c:pt>
                <c:pt idx="267">
                  <c:v>1.492664200391508</c:v>
                </c:pt>
                <c:pt idx="268">
                  <c:v>1.4914493735305812</c:v>
                </c:pt>
                <c:pt idx="269">
                  <c:v>1.4902305948340275</c:v>
                </c:pt>
                <c:pt idx="270">
                  <c:v>1.4890069254292186</c:v>
                </c:pt>
                <c:pt idx="271">
                  <c:v>1.4876082096537746</c:v>
                </c:pt>
                <c:pt idx="272">
                  <c:v>1.4862183232587447</c:v>
                </c:pt>
                <c:pt idx="273">
                  <c:v>1.4848357454096013</c:v>
                </c:pt>
                <c:pt idx="274">
                  <c:v>1.483459021055588</c:v>
                </c:pt>
                <c:pt idx="275">
                  <c:v>1.4820867496882906</c:v>
                </c:pt>
                <c:pt idx="276">
                  <c:v>1.4807175761187248</c:v>
                </c:pt>
                <c:pt idx="277">
                  <c:v>1.4793501815201091</c:v>
                </c:pt>
                <c:pt idx="278">
                  <c:v>1.4779832758081415</c:v>
                </c:pt>
                <c:pt idx="279">
                  <c:v>1.4766155904806508</c:v>
                </c:pt>
                <c:pt idx="280">
                  <c:v>1.475245871474784</c:v>
                </c:pt>
                <c:pt idx="281">
                  <c:v>1.4738728735102871</c:v>
                </c:pt>
                <c:pt idx="282">
                  <c:v>1.4724953535474019</c:v>
                </c:pt>
                <c:pt idx="283">
                  <c:v>1.4711120652514662</c:v>
                </c:pt>
                <c:pt idx="284">
                  <c:v>1.4697217532699938</c:v>
                </c:pt>
                <c:pt idx="285">
                  <c:v>1.4683231477120156</c:v>
                </c:pt>
                <c:pt idx="286">
                  <c:v>1.4669149584658281</c:v>
                </c:pt>
                <c:pt idx="287">
                  <c:v>1.4654958695812046</c:v>
                </c:pt>
                <c:pt idx="288">
                  <c:v>1.46406453365362</c:v>
                </c:pt>
                <c:pt idx="289">
                  <c:v>1.4626195654566907</c:v>
                </c:pt>
                <c:pt idx="290">
                  <c:v>1.4611595363445207</c:v>
                </c:pt>
                <c:pt idx="291">
                  <c:v>1.4596829671587184</c:v>
                </c:pt>
                <c:pt idx="292">
                  <c:v>1.458188321622008</c:v>
                </c:pt>
                <c:pt idx="293">
                  <c:v>1.4584822270409152</c:v>
                </c:pt>
                <c:pt idx="294">
                  <c:v>1.4569535629177157</c:v>
                </c:pt>
                <c:pt idx="295">
                  <c:v>1.455401874493041</c:v>
                </c:pt>
                <c:pt idx="296">
                  <c:v>1.4538253261914473</c:v>
                </c:pt>
                <c:pt idx="297">
                  <c:v>1.4522219825499361</c:v>
                </c:pt>
                <c:pt idx="298">
                  <c:v>1.4505897972135589</c:v>
                </c:pt>
                <c:pt idx="299">
                  <c:v>1.4489266009852813</c:v>
                </c:pt>
                <c:pt idx="300">
                  <c:v>1.4472300882925511</c:v>
                </c:pt>
                <c:pt idx="301">
                  <c:v>1.4454978025124849</c:v>
                </c:pt>
                <c:pt idx="302">
                  <c:v>1.4437271193589876</c:v>
                </c:pt>
                <c:pt idx="303">
                  <c:v>1.4419152285233972</c:v>
                </c:pt>
                <c:pt idx="304">
                  <c:v>1.4400591130609135</c:v>
                </c:pt>
                <c:pt idx="305">
                  <c:v>1.4381555262796863</c:v>
                </c:pt>
                <c:pt idx="306">
                  <c:v>1.4362009654363295</c:v>
                </c:pt>
                <c:pt idx="307">
                  <c:v>1.4341916422530754</c:v>
                </c:pt>
                <c:pt idx="308">
                  <c:v>1.4321234496714648</c:v>
                </c:pt>
                <c:pt idx="309">
                  <c:v>1.4299919229882698</c:v>
                </c:pt>
                <c:pt idx="310">
                  <c:v>1.4277921967611027</c:v>
                </c:pt>
                <c:pt idx="311">
                  <c:v>1.4255189545342402</c:v>
                </c:pt>
                <c:pt idx="312">
                  <c:v>1.4231663711510292</c:v>
                </c:pt>
                <c:pt idx="313">
                  <c:v>1.420728046487348</c:v>
                </c:pt>
                <c:pt idx="314">
                  <c:v>1.4181969276834292</c:v>
                </c:pt>
                <c:pt idx="315">
                  <c:v>1.4155660080459553</c:v>
                </c:pt>
                <c:pt idx="316">
                  <c:v>1.4053837194989622</c:v>
                </c:pt>
                <c:pt idx="317">
                  <c:v>1.3810792342956359</c:v>
                </c:pt>
                <c:pt idx="318">
                  <c:v>1.3439360104592499</c:v>
                </c:pt>
                <c:pt idx="319">
                  <c:v>1.2941021751248964</c:v>
                </c:pt>
                <c:pt idx="320">
                  <c:v>1.230929230495986</c:v>
                </c:pt>
                <c:pt idx="321">
                  <c:v>1.1532040751045443</c:v>
                </c:pt>
                <c:pt idx="322">
                  <c:v>1.0594117425322205</c:v>
                </c:pt>
                <c:pt idx="323">
                  <c:v>0.94816141098387741</c:v>
                </c:pt>
                <c:pt idx="324">
                  <c:v>0.8188895908281868</c:v>
                </c:pt>
                <c:pt idx="325">
                  <c:v>0.67282512252125803</c:v>
                </c:pt>
                <c:pt idx="326">
                  <c:v>0.51386887414370408</c:v>
                </c:pt>
                <c:pt idx="327">
                  <c:v>0.36533937333881994</c:v>
                </c:pt>
                <c:pt idx="328">
                  <c:v>0.22765248464705534</c:v>
                </c:pt>
                <c:pt idx="329">
                  <c:v>9.8558036687908412E-2</c:v>
                </c:pt>
                <c:pt idx="330">
                  <c:v>-1.8883826088850419E-2</c:v>
                </c:pt>
                <c:pt idx="331">
                  <c:v>-0.12328613071344563</c:v>
                </c:pt>
                <c:pt idx="332">
                  <c:v>-0.21453367175692506</c:v>
                </c:pt>
                <c:pt idx="333">
                  <c:v>-0.29324255592994586</c:v>
                </c:pt>
                <c:pt idx="334">
                  <c:v>-0.35905757991592058</c:v>
                </c:pt>
                <c:pt idx="335">
                  <c:v>-0.41187426534427418</c:v>
                </c:pt>
                <c:pt idx="336">
                  <c:v>-0.45352666419916199</c:v>
                </c:pt>
                <c:pt idx="337">
                  <c:v>-0.48487799725438885</c:v>
                </c:pt>
                <c:pt idx="338">
                  <c:v>-0.49364784232599623</c:v>
                </c:pt>
                <c:pt idx="339">
                  <c:v>-0.4956438602781299</c:v>
                </c:pt>
                <c:pt idx="340">
                  <c:v>-0.49763114662076058</c:v>
                </c:pt>
                <c:pt idx="341">
                  <c:v>-0.49961088128361686</c:v>
                </c:pt>
                <c:pt idx="342">
                  <c:v>-0.5015842300873472</c:v>
                </c:pt>
                <c:pt idx="343">
                  <c:v>-0.50355234722028008</c:v>
                </c:pt>
                <c:pt idx="344">
                  <c:v>-0.50551637763011348</c:v>
                </c:pt>
                <c:pt idx="345">
                  <c:v>-0.50747745939730482</c:v>
                </c:pt>
                <c:pt idx="346">
                  <c:v>-0.50943672618619296</c:v>
                </c:pt>
                <c:pt idx="347">
                  <c:v>-0.51139530962996904</c:v>
                </c:pt>
                <c:pt idx="348">
                  <c:v>-0.51335434178772443</c:v>
                </c:pt>
                <c:pt idx="349">
                  <c:v>-0.51531495755078982</c:v>
                </c:pt>
                <c:pt idx="350">
                  <c:v>-0.51727829714275542</c:v>
                </c:pt>
                <c:pt idx="351">
                  <c:v>-0.51924550864028696</c:v>
                </c:pt>
                <c:pt idx="352">
                  <c:v>-0.521217750505377</c:v>
                </c:pt>
                <c:pt idx="353">
                  <c:v>-0.52319619430459552</c:v>
                </c:pt>
                <c:pt idx="354">
                  <c:v>-0.52518202732646158</c:v>
                </c:pt>
                <c:pt idx="355">
                  <c:v>-0.52717645547436653</c:v>
                </c:pt>
                <c:pt idx="356">
                  <c:v>-0.52918070605717293</c:v>
                </c:pt>
                <c:pt idx="357">
                  <c:v>-0.53119603092477075</c:v>
                </c:pt>
                <c:pt idx="358">
                  <c:v>-0.5332237094818435</c:v>
                </c:pt>
                <c:pt idx="359">
                  <c:v>-0.53526505211388464</c:v>
                </c:pt>
                <c:pt idx="360">
                  <c:v>-0.53732140356909941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2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2.6150546533092824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2.69517741458003E-12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3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3.1415926534897931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4"/>
          <c:tx>
            <c:v>User+/-pi/2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4.7123889802846897</c:v>
                </c:pt>
                <c:pt idx="1">
                  <c:v>1.5707963266948965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5"/>
          <c:tx>
            <c:v>second_phase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0.000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L_Section_Capacity!$BC$2:$BC$182</c:f>
              <c:numCache>
                <c:formatCode>0.000</c:formatCode>
                <c:ptCount val="181"/>
                <c:pt idx="0">
                  <c:v>-0.53732140356909719</c:v>
                </c:pt>
                <c:pt idx="1">
                  <c:v>-0.53939414658760887</c:v>
                </c:pt>
                <c:pt idx="2">
                  <c:v>-0.54148470584718877</c:v>
                </c:pt>
                <c:pt idx="3">
                  <c:v>-0.54359455192845818</c:v>
                </c:pt>
                <c:pt idx="4">
                  <c:v>-0.54572520577901429</c:v>
                </c:pt>
                <c:pt idx="5">
                  <c:v>-0.54787824321561196</c:v>
                </c:pt>
                <c:pt idx="6">
                  <c:v>-0.55005529995526103</c:v>
                </c:pt>
                <c:pt idx="7">
                  <c:v>-0.55225807688316042</c:v>
                </c:pt>
                <c:pt idx="8">
                  <c:v>-0.55448834570823102</c:v>
                </c:pt>
                <c:pt idx="9">
                  <c:v>-0.55674795508963193</c:v>
                </c:pt>
                <c:pt idx="10">
                  <c:v>-0.55903883718609837</c:v>
                </c:pt>
                <c:pt idx="11">
                  <c:v>-0.56136301482069717</c:v>
                </c:pt>
                <c:pt idx="12">
                  <c:v>-0.56372260910721739</c:v>
                </c:pt>
                <c:pt idx="13">
                  <c:v>-0.56611984786352831</c:v>
                </c:pt>
                <c:pt idx="14">
                  <c:v>-0.56855707458851068</c:v>
                </c:pt>
                <c:pt idx="15">
                  <c:v>-0.57103675835750112</c:v>
                </c:pt>
                <c:pt idx="16">
                  <c:v>-0.57356150459569033</c:v>
                </c:pt>
                <c:pt idx="17">
                  <c:v>-0.5761340668206123</c:v>
                </c:pt>
                <c:pt idx="18">
                  <c:v>-0.5787573594223514</c:v>
                </c:pt>
                <c:pt idx="19">
                  <c:v>-0.58143447179810481</c:v>
                </c:pt>
                <c:pt idx="20">
                  <c:v>-0.58416868383635601</c:v>
                </c:pt>
                <c:pt idx="21">
                  <c:v>-0.58696348287563227</c:v>
                </c:pt>
                <c:pt idx="22">
                  <c:v>-0.58982258249211528</c:v>
                </c:pt>
                <c:pt idx="23">
                  <c:v>-0.59274994316863916</c:v>
                </c:pt>
                <c:pt idx="24">
                  <c:v>-0.59574979524890459</c:v>
                </c:pt>
                <c:pt idx="25">
                  <c:v>-0.59882666423578268</c:v>
                </c:pt>
                <c:pt idx="26">
                  <c:v>-0.60198539901263892</c:v>
                </c:pt>
                <c:pt idx="27">
                  <c:v>-0.60523120317843926</c:v>
                </c:pt>
                <c:pt idx="28">
                  <c:v>-0.60856966999982864</c:v>
                </c:pt>
                <c:pt idx="29">
                  <c:v>-0.61200682137955909</c:v>
                </c:pt>
                <c:pt idx="30">
                  <c:v>-0.61554915162733792</c:v>
                </c:pt>
                <c:pt idx="31">
                  <c:v>-0.61920367637973595</c:v>
                </c:pt>
                <c:pt idx="32">
                  <c:v>-0.62297273159290523</c:v>
                </c:pt>
                <c:pt idx="33">
                  <c:v>-0.62671580220859591</c:v>
                </c:pt>
                <c:pt idx="34">
                  <c:v>-0.63037445447659701</c:v>
                </c:pt>
                <c:pt idx="35">
                  <c:v>-0.63395784311092429</c:v>
                </c:pt>
                <c:pt idx="36">
                  <c:v>-0.63747440172142777</c:v>
                </c:pt>
                <c:pt idx="37">
                  <c:v>-0.64093194833040723</c:v>
                </c:pt>
                <c:pt idx="38">
                  <c:v>-0.64433777658566171</c:v>
                </c:pt>
                <c:pt idx="39">
                  <c:v>-0.64769873589629823</c:v>
                </c:pt>
                <c:pt idx="40">
                  <c:v>-0.6510213019197284</c:v>
                </c:pt>
                <c:pt idx="41">
                  <c:v>-0.65431163984125007</c:v>
                </c:pt>
                <c:pt idx="42">
                  <c:v>-0.65757566133739109</c:v>
                </c:pt>
                <c:pt idx="43">
                  <c:v>-0.66081907690355113</c:v>
                </c:pt>
                <c:pt idx="44">
                  <c:v>-0.66404744450403408</c:v>
                </c:pt>
                <c:pt idx="45">
                  <c:v>-0.6672662153185005</c:v>
                </c:pt>
                <c:pt idx="46">
                  <c:v>-0.67048077791804417</c:v>
                </c:pt>
                <c:pt idx="47">
                  <c:v>-0.6736965011799505</c:v>
                </c:pt>
                <c:pt idx="48">
                  <c:v>-0.67691877715641802</c:v>
                </c:pt>
                <c:pt idx="49">
                  <c:v>-0.68015306439803558</c:v>
                </c:pt>
                <c:pt idx="50">
                  <c:v>-0.68340493271950375</c:v>
                </c:pt>
                <c:pt idx="51">
                  <c:v>-0.68668011019478792</c:v>
                </c:pt>
                <c:pt idx="52">
                  <c:v>-0.68998453324986553</c:v>
                </c:pt>
                <c:pt idx="53">
                  <c:v>-0.69332440116159733</c:v>
                </c:pt>
                <c:pt idx="54">
                  <c:v>-0.69670623573578361</c:v>
                </c:pt>
                <c:pt idx="55">
                  <c:v>-0.7001369480580637</c:v>
                </c:pt>
                <c:pt idx="56">
                  <c:v>-0.70362391360839549</c:v>
                </c:pt>
                <c:pt idx="57">
                  <c:v>-0.70717505794065172</c:v>
                </c:pt>
                <c:pt idx="58">
                  <c:v>-0.71079895535481974</c:v>
                </c:pt>
                <c:pt idx="59">
                  <c:v>-0.71450494351603799</c:v>
                </c:pt>
                <c:pt idx="60">
                  <c:v>-0.71830325796932604</c:v>
                </c:pt>
                <c:pt idx="61">
                  <c:v>-0.72220519104596104</c:v>
                </c:pt>
                <c:pt idx="62">
                  <c:v>-0.72622328137286818</c:v>
                </c:pt>
                <c:pt idx="63">
                  <c:v>-0.73082933194993727</c:v>
                </c:pt>
                <c:pt idx="64">
                  <c:v>-0.73770324147199506</c:v>
                </c:pt>
                <c:pt idx="65">
                  <c:v>-0.7446909146255094</c:v>
                </c:pt>
                <c:pt idx="66">
                  <c:v>-0.75180956824997747</c:v>
                </c:pt>
                <c:pt idx="67">
                  <c:v>-0.75907846300142978</c:v>
                </c:pt>
                <c:pt idx="68">
                  <c:v>-0.76651935849101749</c:v>
                </c:pt>
                <c:pt idx="69">
                  <c:v>-0.77415709047221082</c:v>
                </c:pt>
                <c:pt idx="70">
                  <c:v>-0.78202031277838779</c:v>
                </c:pt>
                <c:pt idx="71">
                  <c:v>-0.79014246432823487</c:v>
                </c:pt>
                <c:pt idx="72">
                  <c:v>-0.79856304895319941</c:v>
                </c:pt>
                <c:pt idx="73">
                  <c:v>-0.80732935724636423</c:v>
                </c:pt>
                <c:pt idx="74">
                  <c:v>-0.81649882530319084</c:v>
                </c:pt>
                <c:pt idx="75">
                  <c:v>-0.82614233114088664</c:v>
                </c:pt>
                <c:pt idx="76">
                  <c:v>-0.83634890500800108</c:v>
                </c:pt>
                <c:pt idx="77">
                  <c:v>-0.84723263095576984</c:v>
                </c:pt>
                <c:pt idx="78">
                  <c:v>-0.85894304987428427</c:v>
                </c:pt>
                <c:pt idx="79">
                  <c:v>-0.87168136002957031</c:v>
                </c:pt>
                <c:pt idx="80">
                  <c:v>-0.88572661706294298</c:v>
                </c:pt>
                <c:pt idx="81">
                  <c:v>-0.90148002971321972</c:v>
                </c:pt>
                <c:pt idx="82">
                  <c:v>-0.9195428088471802</c:v>
                </c:pt>
                <c:pt idx="83">
                  <c:v>-0.93901409244237399</c:v>
                </c:pt>
                <c:pt idx="84">
                  <c:v>-0.95861763305112113</c:v>
                </c:pt>
                <c:pt idx="85">
                  <c:v>-0.97837820157188737</c:v>
                </c:pt>
                <c:pt idx="86">
                  <c:v>-0.99832239502860176</c:v>
                </c:pt>
                <c:pt idx="87">
                  <c:v>-1.0184790972689859</c:v>
                </c:pt>
                <c:pt idx="88">
                  <c:v>-1.0388801070897058</c:v>
                </c:pt>
                <c:pt idx="89">
                  <c:v>-1.0595610209328408</c:v>
                </c:pt>
                <c:pt idx="90">
                  <c:v>-1.0805625174647862</c:v>
                </c:pt>
                <c:pt idx="91">
                  <c:v>-1.1169577808531619</c:v>
                </c:pt>
                <c:pt idx="92">
                  <c:v>-1.1530465260052472</c:v>
                </c:pt>
                <c:pt idx="93">
                  <c:v>-1.1888462322604054</c:v>
                </c:pt>
                <c:pt idx="94">
                  <c:v>-1.2243926811219783</c:v>
                </c:pt>
                <c:pt idx="95">
                  <c:v>-1.2597348621714417</c:v>
                </c:pt>
                <c:pt idx="96">
                  <c:v>-1.2949305159218873</c:v>
                </c:pt>
                <c:pt idx="97">
                  <c:v>-1.328818461668785</c:v>
                </c:pt>
                <c:pt idx="98">
                  <c:v>-1.3561614723276261</c:v>
                </c:pt>
                <c:pt idx="99">
                  <c:v>-1.378193777609404</c:v>
                </c:pt>
                <c:pt idx="100">
                  <c:v>-1.3963686566376037</c:v>
                </c:pt>
                <c:pt idx="101">
                  <c:v>-1.4058318606599798</c:v>
                </c:pt>
                <c:pt idx="102">
                  <c:v>-1.4191947680222778</c:v>
                </c:pt>
                <c:pt idx="103">
                  <c:v>-1.4307774585385911</c:v>
                </c:pt>
                <c:pt idx="104">
                  <c:v>-1.4409329216230313</c:v>
                </c:pt>
                <c:pt idx="105">
                  <c:v>-1.4499259973320253</c:v>
                </c:pt>
                <c:pt idx="106">
                  <c:v>-1.4579593753184632</c:v>
                </c:pt>
                <c:pt idx="107">
                  <c:v>-1.4651908949521379</c:v>
                </c:pt>
                <c:pt idx="108">
                  <c:v>-1.4717453625287593</c:v>
                </c:pt>
                <c:pt idx="109">
                  <c:v>-1.4777228128759825</c:v>
                </c:pt>
                <c:pt idx="110">
                  <c:v>-1.4832044041593919</c:v>
                </c:pt>
                <c:pt idx="111">
                  <c:v>-1.4882567023339908</c:v>
                </c:pt>
                <c:pt idx="112">
                  <c:v>-1.4929348463182661</c:v>
                </c:pt>
                <c:pt idx="113">
                  <c:v>-1.4972849214927999</c:v>
                </c:pt>
                <c:pt idx="114">
                  <c:v>-1.5013457638625951</c:v>
                </c:pt>
                <c:pt idx="115">
                  <c:v>-1.5051503480906767</c:v>
                </c:pt>
                <c:pt idx="116">
                  <c:v>-1.5087268678806858</c:v>
                </c:pt>
                <c:pt idx="117">
                  <c:v>-1.5120995853908603</c:v>
                </c:pt>
                <c:pt idx="118">
                  <c:v>-1.5152895053523627</c:v>
                </c:pt>
                <c:pt idx="119">
                  <c:v>-1.5183149152595465</c:v>
                </c:pt>
                <c:pt idx="120">
                  <c:v>-1.5211918214935052</c:v>
                </c:pt>
                <c:pt idx="121">
                  <c:v>-1.5239343041933475</c:v>
                </c:pt>
                <c:pt idx="122">
                  <c:v>-1.5265548081272584</c:v>
                </c:pt>
                <c:pt idx="123">
                  <c:v>-1.5290643828071584</c:v>
                </c:pt>
                <c:pt idx="124">
                  <c:v>-1.5314728819173062</c:v>
                </c:pt>
                <c:pt idx="125">
                  <c:v>-1.533789130019116</c:v>
                </c:pt>
                <c:pt idx="126">
                  <c:v>-1.5360210624486728</c:v>
                </c:pt>
                <c:pt idx="127">
                  <c:v>-1.5381758439222635</c:v>
                </c:pt>
                <c:pt idx="128">
                  <c:v>-1.5402599692646302</c:v>
                </c:pt>
                <c:pt idx="129">
                  <c:v>-1.5422793492523121</c:v>
                </c:pt>
                <c:pt idx="130">
                  <c:v>-1.5442393846549738</c:v>
                </c:pt>
                <c:pt idx="131">
                  <c:v>-1.5461450304172795</c:v>
                </c:pt>
                <c:pt idx="132">
                  <c:v>-1.5480008508009337</c:v>
                </c:pt>
                <c:pt idx="133">
                  <c:v>-1.5500851382280878</c:v>
                </c:pt>
                <c:pt idx="134">
                  <c:v>-1.5522920901925428</c:v>
                </c:pt>
                <c:pt idx="135">
                  <c:v>-1.5544260116406932</c:v>
                </c:pt>
                <c:pt idx="136">
                  <c:v>-1.5564921228488497</c:v>
                </c:pt>
                <c:pt idx="137">
                  <c:v>-1.5584952592176675</c:v>
                </c:pt>
                <c:pt idx="138">
                  <c:v>-1.5604399156420659</c:v>
                </c:pt>
                <c:pt idx="139">
                  <c:v>-1.5623302858231121</c:v>
                </c:pt>
                <c:pt idx="140">
                  <c:v>-1.564170298375525</c:v>
                </c:pt>
                <c:pt idx="141">
                  <c:v>-1.5659636492976832</c:v>
                </c:pt>
                <c:pt idx="142">
                  <c:v>-1.5677138324704387</c:v>
                </c:pt>
                <c:pt idx="143">
                  <c:v>-1.5694241676981973</c:v>
                </c:pt>
                <c:pt idx="144">
                  <c:v>-1.5710978278112613</c:v>
                </c:pt>
                <c:pt idx="145">
                  <c:v>-1.5727378643543553</c:v>
                </c:pt>
                <c:pt idx="146">
                  <c:v>-1.5743472329537678</c:v>
                </c:pt>
                <c:pt idx="147">
                  <c:v>-1.5759288191131651</c:v>
                </c:pt>
                <c:pt idx="148">
                  <c:v>-1.5774854640194134</c:v>
                </c:pt>
                <c:pt idx="149">
                  <c:v>-1.579019992124854</c:v>
                </c:pt>
                <c:pt idx="150">
                  <c:v>-1.5805352405515558</c:v>
                </c:pt>
                <c:pt idx="151">
                  <c:v>-1.5820340916964586</c:v>
                </c:pt>
                <c:pt idx="152">
                  <c:v>-1.5835195093236463</c:v>
                </c:pt>
                <c:pt idx="153">
                  <c:v>-1.584994580818039</c:v>
                </c:pt>
                <c:pt idx="154">
                  <c:v>-1.5864625659403195</c:v>
                </c:pt>
                <c:pt idx="155">
                  <c:v>-1.5879269557229625</c:v>
                </c:pt>
                <c:pt idx="156">
                  <c:v>-1.5893915435821553</c:v>
                </c:pt>
                <c:pt idx="157">
                  <c:v>-1.5908605132629683</c:v>
                </c:pt>
                <c:pt idx="158">
                  <c:v>-1.5923385490496944</c:v>
                </c:pt>
                <c:pt idx="159">
                  <c:v>-1.5938309760359957</c:v>
                </c:pt>
                <c:pt idx="160">
                  <c:v>-1.5953439416200403</c:v>
                </c:pt>
                <c:pt idx="161">
                  <c:v>-1.596884653124528</c:v>
                </c:pt>
                <c:pt idx="162">
                  <c:v>-1.5984616949553825</c:v>
                </c:pt>
                <c:pt idx="163">
                  <c:v>-1.600085458661745</c:v>
                </c:pt>
                <c:pt idx="164">
                  <c:v>-1.6017687371834377</c:v>
                </c:pt>
                <c:pt idx="165">
                  <c:v>-1.6035275628363177</c:v>
                </c:pt>
                <c:pt idx="166">
                  <c:v>-1.6053824165217945</c:v>
                </c:pt>
                <c:pt idx="167">
                  <c:v>-1.6073600196333313</c:v>
                </c:pt>
                <c:pt idx="168">
                  <c:v>-1.6094960669568019</c:v>
                </c:pt>
                <c:pt idx="169">
                  <c:v>-1.6118395484528998</c:v>
                </c:pt>
                <c:pt idx="170">
                  <c:v>-1.6144598630359503</c:v>
                </c:pt>
                <c:pt idx="171">
                  <c:v>-1.6174591311036117</c:v>
                </c:pt>
                <c:pt idx="172">
                  <c:v>-1.6212043248337142</c:v>
                </c:pt>
                <c:pt idx="173">
                  <c:v>-1.624386502944688</c:v>
                </c:pt>
                <c:pt idx="174">
                  <c:v>-1.6300034106506729</c:v>
                </c:pt>
                <c:pt idx="175">
                  <c:v>-1.6377252770781503</c:v>
                </c:pt>
                <c:pt idx="176">
                  <c:v>-1.649576713865736</c:v>
                </c:pt>
                <c:pt idx="177">
                  <c:v>-1.6716354393068045</c:v>
                </c:pt>
                <c:pt idx="178">
                  <c:v>-1.7284053014393654</c:v>
                </c:pt>
                <c:pt idx="179">
                  <c:v>-1.8748011617708507</c:v>
                </c:pt>
                <c:pt idx="180">
                  <c:v>3.1415926533329639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01-40B2-91DC-FB8FE007ECD6}"/>
            </c:ext>
          </c:extLst>
        </c:ser>
        <c:ser>
          <c:idx val="6"/>
          <c:order val="6"/>
          <c:tx>
            <c:v>second_phase_absolute</c:v>
          </c:tx>
          <c:spPr>
            <a:ln w="12700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L_Section_Capacity!$AZ$2:$AZ$182</c:f>
              <c:numCache>
                <c:formatCode>0.000</c:formatCode>
                <c:ptCount val="181"/>
                <c:pt idx="0">
                  <c:v>3.1415926535897931</c:v>
                </c:pt>
                <c:pt idx="1">
                  <c:v>3.1590459461097362</c:v>
                </c:pt>
                <c:pt idx="2">
                  <c:v>3.1764992386296793</c:v>
                </c:pt>
                <c:pt idx="3">
                  <c:v>3.1939525311496224</c:v>
                </c:pt>
                <c:pt idx="4">
                  <c:v>3.2114058236695655</c:v>
                </c:pt>
                <c:pt idx="5">
                  <c:v>3.2288591161895086</c:v>
                </c:pt>
                <c:pt idx="6">
                  <c:v>3.2463124087094517</c:v>
                </c:pt>
                <c:pt idx="7">
                  <c:v>3.2637657012293948</c:v>
                </c:pt>
                <c:pt idx="8">
                  <c:v>3.2812189937493379</c:v>
                </c:pt>
                <c:pt idx="9">
                  <c:v>3.298672286269281</c:v>
                </c:pt>
                <c:pt idx="10">
                  <c:v>3.3161255787892241</c:v>
                </c:pt>
                <c:pt idx="11">
                  <c:v>3.3335788713091672</c:v>
                </c:pt>
                <c:pt idx="12">
                  <c:v>3.3510321638291103</c:v>
                </c:pt>
                <c:pt idx="13">
                  <c:v>3.3684854563490534</c:v>
                </c:pt>
                <c:pt idx="14">
                  <c:v>3.3859387488689965</c:v>
                </c:pt>
                <c:pt idx="15">
                  <c:v>3.4033920413889396</c:v>
                </c:pt>
                <c:pt idx="16">
                  <c:v>3.4208453339088827</c:v>
                </c:pt>
                <c:pt idx="17">
                  <c:v>3.4382986264288258</c:v>
                </c:pt>
                <c:pt idx="18">
                  <c:v>3.4557519189487689</c:v>
                </c:pt>
                <c:pt idx="19">
                  <c:v>3.473205211468712</c:v>
                </c:pt>
                <c:pt idx="20">
                  <c:v>3.4906585039886551</c:v>
                </c:pt>
                <c:pt idx="21">
                  <c:v>3.5081117965085982</c:v>
                </c:pt>
                <c:pt idx="22">
                  <c:v>3.5255650890285413</c:v>
                </c:pt>
                <c:pt idx="23">
                  <c:v>3.5430183815484844</c:v>
                </c:pt>
                <c:pt idx="24">
                  <c:v>3.5604716740684275</c:v>
                </c:pt>
                <c:pt idx="25">
                  <c:v>3.5779249665883706</c:v>
                </c:pt>
                <c:pt idx="26">
                  <c:v>3.5953782591083137</c:v>
                </c:pt>
                <c:pt idx="27">
                  <c:v>3.6128315516282568</c:v>
                </c:pt>
                <c:pt idx="28">
                  <c:v>3.6302848441481999</c:v>
                </c:pt>
                <c:pt idx="29">
                  <c:v>3.6477381366681429</c:v>
                </c:pt>
                <c:pt idx="30">
                  <c:v>3.665191429188086</c:v>
                </c:pt>
                <c:pt idx="31">
                  <c:v>3.6826447217080291</c:v>
                </c:pt>
                <c:pt idx="32">
                  <c:v>3.7000980142279722</c:v>
                </c:pt>
                <c:pt idx="33">
                  <c:v>3.7175513067479153</c:v>
                </c:pt>
                <c:pt idx="34">
                  <c:v>3.7350045992678584</c:v>
                </c:pt>
                <c:pt idx="35">
                  <c:v>3.7524578917878015</c:v>
                </c:pt>
                <c:pt idx="36">
                  <c:v>3.7699111843077446</c:v>
                </c:pt>
                <c:pt idx="37">
                  <c:v>3.7873644768276877</c:v>
                </c:pt>
                <c:pt idx="38">
                  <c:v>3.8048177693476308</c:v>
                </c:pt>
                <c:pt idx="39">
                  <c:v>3.8222710618675739</c:v>
                </c:pt>
                <c:pt idx="40">
                  <c:v>3.839724354387517</c:v>
                </c:pt>
                <c:pt idx="41">
                  <c:v>3.8571776469074601</c:v>
                </c:pt>
                <c:pt idx="42">
                  <c:v>3.8746309394274032</c:v>
                </c:pt>
                <c:pt idx="43">
                  <c:v>3.8920842319473463</c:v>
                </c:pt>
                <c:pt idx="44">
                  <c:v>3.9095375244672894</c:v>
                </c:pt>
                <c:pt idx="45">
                  <c:v>3.9269908169872325</c:v>
                </c:pt>
                <c:pt idx="46">
                  <c:v>3.9444441095071756</c:v>
                </c:pt>
                <c:pt idx="47">
                  <c:v>3.9618974020271187</c:v>
                </c:pt>
                <c:pt idx="48">
                  <c:v>3.9793506945470618</c:v>
                </c:pt>
                <c:pt idx="49">
                  <c:v>3.9968039870670049</c:v>
                </c:pt>
                <c:pt idx="50">
                  <c:v>4.014257279586948</c:v>
                </c:pt>
                <c:pt idx="51">
                  <c:v>4.0317105721068911</c:v>
                </c:pt>
                <c:pt idx="52">
                  <c:v>4.0491638646268342</c:v>
                </c:pt>
                <c:pt idx="53">
                  <c:v>4.0666171571467773</c:v>
                </c:pt>
                <c:pt idx="54">
                  <c:v>4.0840704496667204</c:v>
                </c:pt>
                <c:pt idx="55">
                  <c:v>4.1015237421866635</c:v>
                </c:pt>
                <c:pt idx="56">
                  <c:v>4.1189770347066066</c:v>
                </c:pt>
                <c:pt idx="57">
                  <c:v>4.1364303272265497</c:v>
                </c:pt>
                <c:pt idx="58">
                  <c:v>4.1538836197464928</c:v>
                </c:pt>
                <c:pt idx="59">
                  <c:v>4.1713369122664359</c:v>
                </c:pt>
                <c:pt idx="60">
                  <c:v>4.188790204786379</c:v>
                </c:pt>
                <c:pt idx="61">
                  <c:v>4.2062434973063221</c:v>
                </c:pt>
                <c:pt idx="62">
                  <c:v>4.2236967898262652</c:v>
                </c:pt>
                <c:pt idx="63">
                  <c:v>4.2411500823462083</c:v>
                </c:pt>
                <c:pt idx="64">
                  <c:v>4.2586033748661514</c:v>
                </c:pt>
                <c:pt idx="65">
                  <c:v>4.2760566673860945</c:v>
                </c:pt>
                <c:pt idx="66">
                  <c:v>4.2935099599060376</c:v>
                </c:pt>
                <c:pt idx="67">
                  <c:v>4.3109632524259816</c:v>
                </c:pt>
                <c:pt idx="68">
                  <c:v>4.3284165449459246</c:v>
                </c:pt>
                <c:pt idx="69">
                  <c:v>4.3458698374658677</c:v>
                </c:pt>
                <c:pt idx="70">
                  <c:v>4.3633231299858108</c:v>
                </c:pt>
                <c:pt idx="71">
                  <c:v>4.3807764225057539</c:v>
                </c:pt>
                <c:pt idx="72">
                  <c:v>4.3982297150256979</c:v>
                </c:pt>
                <c:pt idx="73">
                  <c:v>4.415683007545641</c:v>
                </c:pt>
                <c:pt idx="74">
                  <c:v>4.4331363000655841</c:v>
                </c:pt>
                <c:pt idx="75">
                  <c:v>4.4505895925855281</c:v>
                </c:pt>
                <c:pt idx="76">
                  <c:v>4.4680428851054712</c:v>
                </c:pt>
                <c:pt idx="77">
                  <c:v>4.4854961776254143</c:v>
                </c:pt>
                <c:pt idx="78">
                  <c:v>4.5029494701453574</c:v>
                </c:pt>
                <c:pt idx="79">
                  <c:v>4.5204027626653005</c:v>
                </c:pt>
                <c:pt idx="80">
                  <c:v>4.5378560551852445</c:v>
                </c:pt>
                <c:pt idx="81">
                  <c:v>4.5553093477051876</c:v>
                </c:pt>
                <c:pt idx="82">
                  <c:v>4.5727626402251307</c:v>
                </c:pt>
                <c:pt idx="83">
                  <c:v>4.5902159327450747</c:v>
                </c:pt>
                <c:pt idx="84">
                  <c:v>4.6076692252650178</c:v>
                </c:pt>
                <c:pt idx="85">
                  <c:v>4.6251225177849609</c:v>
                </c:pt>
                <c:pt idx="86">
                  <c:v>4.642575810304904</c:v>
                </c:pt>
                <c:pt idx="87">
                  <c:v>4.6600291028248471</c:v>
                </c:pt>
                <c:pt idx="88">
                  <c:v>4.677482395344791</c:v>
                </c:pt>
                <c:pt idx="89">
                  <c:v>4.6949356878647341</c:v>
                </c:pt>
                <c:pt idx="90">
                  <c:v>4.7123889803846772</c:v>
                </c:pt>
                <c:pt idx="91">
                  <c:v>4.7298422729046212</c:v>
                </c:pt>
                <c:pt idx="92">
                  <c:v>4.7472955654245643</c:v>
                </c:pt>
                <c:pt idx="93">
                  <c:v>4.7647488579445074</c:v>
                </c:pt>
                <c:pt idx="94">
                  <c:v>4.7822021504644505</c:v>
                </c:pt>
                <c:pt idx="95">
                  <c:v>4.7996554429843936</c:v>
                </c:pt>
                <c:pt idx="96">
                  <c:v>4.8171087355043376</c:v>
                </c:pt>
                <c:pt idx="97">
                  <c:v>4.8345620280242807</c:v>
                </c:pt>
                <c:pt idx="98">
                  <c:v>4.8520153205442238</c:v>
                </c:pt>
                <c:pt idx="99">
                  <c:v>4.8694686130641678</c:v>
                </c:pt>
                <c:pt idx="100">
                  <c:v>4.8869219055841109</c:v>
                </c:pt>
                <c:pt idx="101">
                  <c:v>4.904375198104054</c:v>
                </c:pt>
                <c:pt idx="102">
                  <c:v>4.9218284906239971</c:v>
                </c:pt>
                <c:pt idx="103">
                  <c:v>4.9392817831439402</c:v>
                </c:pt>
                <c:pt idx="104">
                  <c:v>4.9567350756638842</c:v>
                </c:pt>
                <c:pt idx="105">
                  <c:v>4.9741883681838273</c:v>
                </c:pt>
                <c:pt idx="106">
                  <c:v>4.9916416607037704</c:v>
                </c:pt>
                <c:pt idx="107">
                  <c:v>5.0090949532237143</c:v>
                </c:pt>
                <c:pt idx="108">
                  <c:v>5.0265482457436574</c:v>
                </c:pt>
                <c:pt idx="109">
                  <c:v>5.0440015382636005</c:v>
                </c:pt>
                <c:pt idx="110">
                  <c:v>5.0614548307835436</c:v>
                </c:pt>
                <c:pt idx="111">
                  <c:v>5.0789081233034867</c:v>
                </c:pt>
                <c:pt idx="112">
                  <c:v>5.0963614158234307</c:v>
                </c:pt>
                <c:pt idx="113">
                  <c:v>5.1138147083433738</c:v>
                </c:pt>
                <c:pt idx="114">
                  <c:v>5.1312680008633169</c:v>
                </c:pt>
                <c:pt idx="115">
                  <c:v>5.1487212933832609</c:v>
                </c:pt>
                <c:pt idx="116">
                  <c:v>5.166174585903204</c:v>
                </c:pt>
                <c:pt idx="117">
                  <c:v>5.1836278784231471</c:v>
                </c:pt>
                <c:pt idx="118">
                  <c:v>5.2010811709430902</c:v>
                </c:pt>
                <c:pt idx="119">
                  <c:v>5.2185344634630333</c:v>
                </c:pt>
                <c:pt idx="120">
                  <c:v>5.2359877559829773</c:v>
                </c:pt>
                <c:pt idx="121">
                  <c:v>5.2534410485029204</c:v>
                </c:pt>
                <c:pt idx="122">
                  <c:v>5.2708943410228635</c:v>
                </c:pt>
                <c:pt idx="123">
                  <c:v>5.2883476335428075</c:v>
                </c:pt>
                <c:pt idx="124">
                  <c:v>5.3058009260627506</c:v>
                </c:pt>
                <c:pt idx="125">
                  <c:v>5.3232542185826937</c:v>
                </c:pt>
                <c:pt idx="126">
                  <c:v>5.3407075111026368</c:v>
                </c:pt>
                <c:pt idx="127">
                  <c:v>5.3581608036225798</c:v>
                </c:pt>
                <c:pt idx="128">
                  <c:v>5.3756140961425238</c:v>
                </c:pt>
                <c:pt idx="129">
                  <c:v>5.3930673886624669</c:v>
                </c:pt>
                <c:pt idx="130">
                  <c:v>5.41052068118241</c:v>
                </c:pt>
                <c:pt idx="131">
                  <c:v>5.427973973702354</c:v>
                </c:pt>
                <c:pt idx="132">
                  <c:v>5.4454272662222971</c:v>
                </c:pt>
                <c:pt idx="133">
                  <c:v>5.4628805587422402</c:v>
                </c:pt>
                <c:pt idx="134">
                  <c:v>5.4803338512621833</c:v>
                </c:pt>
                <c:pt idx="135">
                  <c:v>5.4977871437821264</c:v>
                </c:pt>
                <c:pt idx="136">
                  <c:v>5.5152404363020704</c:v>
                </c:pt>
                <c:pt idx="137">
                  <c:v>5.5326937288220135</c:v>
                </c:pt>
                <c:pt idx="138">
                  <c:v>5.5501470213419566</c:v>
                </c:pt>
                <c:pt idx="139">
                  <c:v>5.5676003138619006</c:v>
                </c:pt>
                <c:pt idx="140">
                  <c:v>5.5850536063818437</c:v>
                </c:pt>
                <c:pt idx="141">
                  <c:v>5.6025068989017868</c:v>
                </c:pt>
                <c:pt idx="142">
                  <c:v>5.6199601914217299</c:v>
                </c:pt>
                <c:pt idx="143">
                  <c:v>5.637413483941673</c:v>
                </c:pt>
                <c:pt idx="144">
                  <c:v>5.654866776461617</c:v>
                </c:pt>
                <c:pt idx="145">
                  <c:v>5.67232006898156</c:v>
                </c:pt>
                <c:pt idx="146">
                  <c:v>5.6897733615015031</c:v>
                </c:pt>
                <c:pt idx="147">
                  <c:v>5.7072266540214471</c:v>
                </c:pt>
                <c:pt idx="148">
                  <c:v>5.7246799465413902</c:v>
                </c:pt>
                <c:pt idx="149">
                  <c:v>5.7421332390613333</c:v>
                </c:pt>
                <c:pt idx="150">
                  <c:v>5.7595865315812764</c:v>
                </c:pt>
                <c:pt idx="151">
                  <c:v>5.7770398241012195</c:v>
                </c:pt>
                <c:pt idx="152">
                  <c:v>5.7944931166211635</c:v>
                </c:pt>
                <c:pt idx="153">
                  <c:v>5.8119464091411066</c:v>
                </c:pt>
                <c:pt idx="154">
                  <c:v>5.8293997016610497</c:v>
                </c:pt>
                <c:pt idx="155">
                  <c:v>5.8468529941809937</c:v>
                </c:pt>
                <c:pt idx="156">
                  <c:v>5.8643062867009368</c:v>
                </c:pt>
                <c:pt idx="157">
                  <c:v>5.8817595792208799</c:v>
                </c:pt>
                <c:pt idx="158">
                  <c:v>5.899212871740823</c:v>
                </c:pt>
                <c:pt idx="159">
                  <c:v>5.9166661642607661</c:v>
                </c:pt>
                <c:pt idx="160">
                  <c:v>5.9341194567807101</c:v>
                </c:pt>
                <c:pt idx="161">
                  <c:v>5.9515727493006532</c:v>
                </c:pt>
                <c:pt idx="162">
                  <c:v>5.9690260418205963</c:v>
                </c:pt>
                <c:pt idx="163">
                  <c:v>5.9864793343405402</c:v>
                </c:pt>
                <c:pt idx="164">
                  <c:v>6.0039326268604833</c:v>
                </c:pt>
                <c:pt idx="165">
                  <c:v>6.0213859193804264</c:v>
                </c:pt>
                <c:pt idx="166">
                  <c:v>6.0388392119003695</c:v>
                </c:pt>
                <c:pt idx="167">
                  <c:v>6.0562925044203126</c:v>
                </c:pt>
                <c:pt idx="168">
                  <c:v>6.0737457969402566</c:v>
                </c:pt>
                <c:pt idx="169">
                  <c:v>6.0911990894601997</c:v>
                </c:pt>
                <c:pt idx="170">
                  <c:v>6.1086523819801428</c:v>
                </c:pt>
                <c:pt idx="171">
                  <c:v>6.1261056745000859</c:v>
                </c:pt>
                <c:pt idx="172">
                  <c:v>6.1435589670200299</c:v>
                </c:pt>
                <c:pt idx="173">
                  <c:v>6.161012259539973</c:v>
                </c:pt>
                <c:pt idx="174">
                  <c:v>6.1784655520599161</c:v>
                </c:pt>
                <c:pt idx="175">
                  <c:v>6.1959188445798592</c:v>
                </c:pt>
                <c:pt idx="176">
                  <c:v>6.2133721370998023</c:v>
                </c:pt>
                <c:pt idx="177">
                  <c:v>6.2308254296197463</c:v>
                </c:pt>
                <c:pt idx="178">
                  <c:v>6.2482787221396894</c:v>
                </c:pt>
                <c:pt idx="179">
                  <c:v>6.2657320146596325</c:v>
                </c:pt>
                <c:pt idx="180">
                  <c:v>6.2831853071795756</c:v>
                </c:pt>
              </c:numCache>
            </c:numRef>
          </c:xVal>
          <c:yVal>
            <c:numRef>
              <c:f>L_Section_Capacity!$BD$2:$BD$182</c:f>
              <c:numCache>
                <c:formatCode>0.000</c:formatCode>
                <c:ptCount val="181"/>
                <c:pt idx="0">
                  <c:v>0.53732140356909719</c:v>
                </c:pt>
                <c:pt idx="1">
                  <c:v>0.53939414658760887</c:v>
                </c:pt>
                <c:pt idx="2">
                  <c:v>0.54148470584718877</c:v>
                </c:pt>
                <c:pt idx="3">
                  <c:v>0.54359455192845818</c:v>
                </c:pt>
                <c:pt idx="4">
                  <c:v>0.54572520577901429</c:v>
                </c:pt>
                <c:pt idx="5">
                  <c:v>0.54787824321561196</c:v>
                </c:pt>
                <c:pt idx="6">
                  <c:v>0.55005529995526103</c:v>
                </c:pt>
                <c:pt idx="7">
                  <c:v>0.55225807688316042</c:v>
                </c:pt>
                <c:pt idx="8">
                  <c:v>0.55448834570823102</c:v>
                </c:pt>
                <c:pt idx="9">
                  <c:v>0.55674795508963193</c:v>
                </c:pt>
                <c:pt idx="10">
                  <c:v>0.55903883718609837</c:v>
                </c:pt>
                <c:pt idx="11">
                  <c:v>0.56136301482069717</c:v>
                </c:pt>
                <c:pt idx="12">
                  <c:v>0.56372260910721739</c:v>
                </c:pt>
                <c:pt idx="13">
                  <c:v>0.56611984786352831</c:v>
                </c:pt>
                <c:pt idx="14">
                  <c:v>0.56855707458851068</c:v>
                </c:pt>
                <c:pt idx="15">
                  <c:v>0.57103675835750112</c:v>
                </c:pt>
                <c:pt idx="16">
                  <c:v>0.57356150459569033</c:v>
                </c:pt>
                <c:pt idx="17">
                  <c:v>0.5761340668206123</c:v>
                </c:pt>
                <c:pt idx="18">
                  <c:v>0.5787573594223514</c:v>
                </c:pt>
                <c:pt idx="19">
                  <c:v>0.58143447179810481</c:v>
                </c:pt>
                <c:pt idx="20">
                  <c:v>0.58416868383635601</c:v>
                </c:pt>
                <c:pt idx="21">
                  <c:v>0.58696348287563227</c:v>
                </c:pt>
                <c:pt idx="22">
                  <c:v>0.58982258249211528</c:v>
                </c:pt>
                <c:pt idx="23">
                  <c:v>0.59274994316863916</c:v>
                </c:pt>
                <c:pt idx="24">
                  <c:v>0.59574979524890459</c:v>
                </c:pt>
                <c:pt idx="25">
                  <c:v>0.59882666423578268</c:v>
                </c:pt>
                <c:pt idx="26">
                  <c:v>0.60198539901263892</c:v>
                </c:pt>
                <c:pt idx="27">
                  <c:v>0.60523120317843926</c:v>
                </c:pt>
                <c:pt idx="28">
                  <c:v>0.60856966999982864</c:v>
                </c:pt>
                <c:pt idx="29">
                  <c:v>0.61200682137955909</c:v>
                </c:pt>
                <c:pt idx="30">
                  <c:v>0.61554915162733792</c:v>
                </c:pt>
                <c:pt idx="31">
                  <c:v>0.61920367637973595</c:v>
                </c:pt>
                <c:pt idx="32">
                  <c:v>0.62297273159290523</c:v>
                </c:pt>
                <c:pt idx="33">
                  <c:v>0.62671580220859591</c:v>
                </c:pt>
                <c:pt idx="34">
                  <c:v>0.63037445447659701</c:v>
                </c:pt>
                <c:pt idx="35">
                  <c:v>0.63395784311092429</c:v>
                </c:pt>
                <c:pt idx="36">
                  <c:v>0.63747440172142777</c:v>
                </c:pt>
                <c:pt idx="37">
                  <c:v>0.64093194833040723</c:v>
                </c:pt>
                <c:pt idx="38">
                  <c:v>0.64433777658566171</c:v>
                </c:pt>
                <c:pt idx="39">
                  <c:v>0.64769873589629823</c:v>
                </c:pt>
                <c:pt idx="40">
                  <c:v>0.6510213019197284</c:v>
                </c:pt>
                <c:pt idx="41">
                  <c:v>0.65431163984125007</c:v>
                </c:pt>
                <c:pt idx="42">
                  <c:v>0.65757566133739109</c:v>
                </c:pt>
                <c:pt idx="43">
                  <c:v>0.66081907690355113</c:v>
                </c:pt>
                <c:pt idx="44">
                  <c:v>0.66404744450403408</c:v>
                </c:pt>
                <c:pt idx="45">
                  <c:v>0.6672662153185005</c:v>
                </c:pt>
                <c:pt idx="46">
                  <c:v>0.67048077791804417</c:v>
                </c:pt>
                <c:pt idx="47">
                  <c:v>0.6736965011799505</c:v>
                </c:pt>
                <c:pt idx="48">
                  <c:v>0.67691877715641802</c:v>
                </c:pt>
                <c:pt idx="49">
                  <c:v>0.68015306439803558</c:v>
                </c:pt>
                <c:pt idx="50">
                  <c:v>0.68340493271950375</c:v>
                </c:pt>
                <c:pt idx="51">
                  <c:v>0.68668011019478792</c:v>
                </c:pt>
                <c:pt idx="52">
                  <c:v>0.68998453324986553</c:v>
                </c:pt>
                <c:pt idx="53">
                  <c:v>0.69332440116159733</c:v>
                </c:pt>
                <c:pt idx="54">
                  <c:v>0.69670623573578361</c:v>
                </c:pt>
                <c:pt idx="55">
                  <c:v>0.7001369480580637</c:v>
                </c:pt>
                <c:pt idx="56">
                  <c:v>0.70362391360839549</c:v>
                </c:pt>
                <c:pt idx="57">
                  <c:v>0.70717505794065172</c:v>
                </c:pt>
                <c:pt idx="58">
                  <c:v>0.71079895535481974</c:v>
                </c:pt>
                <c:pt idx="59">
                  <c:v>0.71450494351603799</c:v>
                </c:pt>
                <c:pt idx="60">
                  <c:v>0.71830325796932604</c:v>
                </c:pt>
                <c:pt idx="61">
                  <c:v>0.72220519104596104</c:v>
                </c:pt>
                <c:pt idx="62">
                  <c:v>0.72622328137286818</c:v>
                </c:pt>
                <c:pt idx="63">
                  <c:v>0.73082933194993727</c:v>
                </c:pt>
                <c:pt idx="64">
                  <c:v>0.73770324147199506</c:v>
                </c:pt>
                <c:pt idx="65">
                  <c:v>0.7446909146255094</c:v>
                </c:pt>
                <c:pt idx="66">
                  <c:v>0.75180956824997747</c:v>
                </c:pt>
                <c:pt idx="67">
                  <c:v>0.75907846300142978</c:v>
                </c:pt>
                <c:pt idx="68">
                  <c:v>0.76651935849101749</c:v>
                </c:pt>
                <c:pt idx="69">
                  <c:v>0.77415709047221082</c:v>
                </c:pt>
                <c:pt idx="70">
                  <c:v>0.78202031277838779</c:v>
                </c:pt>
                <c:pt idx="71">
                  <c:v>0.79014246432823487</c:v>
                </c:pt>
                <c:pt idx="72">
                  <c:v>0.79856304895319941</c:v>
                </c:pt>
                <c:pt idx="73">
                  <c:v>0.80732935724636423</c:v>
                </c:pt>
                <c:pt idx="74">
                  <c:v>0.81649882530319084</c:v>
                </c:pt>
                <c:pt idx="75">
                  <c:v>0.82614233114088664</c:v>
                </c:pt>
                <c:pt idx="76">
                  <c:v>0.83634890500800108</c:v>
                </c:pt>
                <c:pt idx="77">
                  <c:v>0.84723263095576984</c:v>
                </c:pt>
                <c:pt idx="78">
                  <c:v>0.85894304987428427</c:v>
                </c:pt>
                <c:pt idx="79">
                  <c:v>0.87168136002957031</c:v>
                </c:pt>
                <c:pt idx="80">
                  <c:v>0.88572661706294298</c:v>
                </c:pt>
                <c:pt idx="81">
                  <c:v>0.90148002971321972</c:v>
                </c:pt>
                <c:pt idx="82">
                  <c:v>0.9195428088471802</c:v>
                </c:pt>
                <c:pt idx="83">
                  <c:v>0.93901409244237399</c:v>
                </c:pt>
                <c:pt idx="84">
                  <c:v>0.95861763305112113</c:v>
                </c:pt>
                <c:pt idx="85">
                  <c:v>0.97837820157188737</c:v>
                </c:pt>
                <c:pt idx="86">
                  <c:v>0.99832239502860176</c:v>
                </c:pt>
                <c:pt idx="87">
                  <c:v>1.0184790972689859</c:v>
                </c:pt>
                <c:pt idx="88">
                  <c:v>1.0388801070897058</c:v>
                </c:pt>
                <c:pt idx="89">
                  <c:v>1.0595610209328408</c:v>
                </c:pt>
                <c:pt idx="90">
                  <c:v>1.0805625174647862</c:v>
                </c:pt>
                <c:pt idx="91">
                  <c:v>1.1169577808531619</c:v>
                </c:pt>
                <c:pt idx="92">
                  <c:v>1.1530465260052472</c:v>
                </c:pt>
                <c:pt idx="93">
                  <c:v>1.1888462322604054</c:v>
                </c:pt>
                <c:pt idx="94">
                  <c:v>1.2243926811219783</c:v>
                </c:pt>
                <c:pt idx="95">
                  <c:v>1.2597348621714417</c:v>
                </c:pt>
                <c:pt idx="96">
                  <c:v>1.2949305159218873</c:v>
                </c:pt>
                <c:pt idx="97">
                  <c:v>1.328818461668785</c:v>
                </c:pt>
                <c:pt idx="98">
                  <c:v>1.3561614723276261</c:v>
                </c:pt>
                <c:pt idx="99">
                  <c:v>1.378193777609404</c:v>
                </c:pt>
                <c:pt idx="100">
                  <c:v>1.3963686566376037</c:v>
                </c:pt>
                <c:pt idx="101">
                  <c:v>1.4058318606599798</c:v>
                </c:pt>
                <c:pt idx="102">
                  <c:v>1.4191947680222778</c:v>
                </c:pt>
                <c:pt idx="103">
                  <c:v>1.4307774585385911</c:v>
                </c:pt>
                <c:pt idx="104">
                  <c:v>1.4409329216230313</c:v>
                </c:pt>
                <c:pt idx="105">
                  <c:v>1.4499259973320253</c:v>
                </c:pt>
                <c:pt idx="106">
                  <c:v>1.4579593753184632</c:v>
                </c:pt>
                <c:pt idx="107">
                  <c:v>1.4651908949521379</c:v>
                </c:pt>
                <c:pt idx="108">
                  <c:v>1.4717453625287593</c:v>
                </c:pt>
                <c:pt idx="109">
                  <c:v>1.4777228128759825</c:v>
                </c:pt>
                <c:pt idx="110">
                  <c:v>1.4832044041593919</c:v>
                </c:pt>
                <c:pt idx="111">
                  <c:v>1.4882567023339908</c:v>
                </c:pt>
                <c:pt idx="112">
                  <c:v>1.4929348463182661</c:v>
                </c:pt>
                <c:pt idx="113">
                  <c:v>1.4972849214927999</c:v>
                </c:pt>
                <c:pt idx="114">
                  <c:v>1.5013457638625951</c:v>
                </c:pt>
                <c:pt idx="115">
                  <c:v>1.5051503480906767</c:v>
                </c:pt>
                <c:pt idx="116">
                  <c:v>1.5087268678806858</c:v>
                </c:pt>
                <c:pt idx="117">
                  <c:v>1.5120995853908603</c:v>
                </c:pt>
                <c:pt idx="118">
                  <c:v>1.5152895053523627</c:v>
                </c:pt>
                <c:pt idx="119">
                  <c:v>1.5183149152595465</c:v>
                </c:pt>
                <c:pt idx="120">
                  <c:v>1.5211918214935052</c:v>
                </c:pt>
                <c:pt idx="121">
                  <c:v>1.5239343041933475</c:v>
                </c:pt>
                <c:pt idx="122">
                  <c:v>1.5265548081272584</c:v>
                </c:pt>
                <c:pt idx="123">
                  <c:v>1.5290643828071584</c:v>
                </c:pt>
                <c:pt idx="124">
                  <c:v>1.5314728819173062</c:v>
                </c:pt>
                <c:pt idx="125">
                  <c:v>1.533789130019116</c:v>
                </c:pt>
                <c:pt idx="126">
                  <c:v>1.5360210624486728</c:v>
                </c:pt>
                <c:pt idx="127">
                  <c:v>1.5381758439222635</c:v>
                </c:pt>
                <c:pt idx="128">
                  <c:v>1.5402599692646302</c:v>
                </c:pt>
                <c:pt idx="129">
                  <c:v>1.5422793492523121</c:v>
                </c:pt>
                <c:pt idx="130">
                  <c:v>1.5442393846549738</c:v>
                </c:pt>
                <c:pt idx="131">
                  <c:v>1.5461450304172795</c:v>
                </c:pt>
                <c:pt idx="132">
                  <c:v>1.5480008508009337</c:v>
                </c:pt>
                <c:pt idx="133">
                  <c:v>1.5500851382280878</c:v>
                </c:pt>
                <c:pt idx="134">
                  <c:v>1.5522920901925428</c:v>
                </c:pt>
                <c:pt idx="135">
                  <c:v>1.5544260116406932</c:v>
                </c:pt>
                <c:pt idx="136">
                  <c:v>1.5564921228488497</c:v>
                </c:pt>
                <c:pt idx="137">
                  <c:v>1.5584952592176675</c:v>
                </c:pt>
                <c:pt idx="138">
                  <c:v>1.5604399156420659</c:v>
                </c:pt>
                <c:pt idx="139">
                  <c:v>1.5623302858231121</c:v>
                </c:pt>
                <c:pt idx="140">
                  <c:v>1.564170298375525</c:v>
                </c:pt>
                <c:pt idx="141">
                  <c:v>1.5659636492976832</c:v>
                </c:pt>
                <c:pt idx="142">
                  <c:v>1.5677138324704387</c:v>
                </c:pt>
                <c:pt idx="143">
                  <c:v>1.5694241676981973</c:v>
                </c:pt>
                <c:pt idx="144">
                  <c:v>1.5710978278112613</c:v>
                </c:pt>
                <c:pt idx="145">
                  <c:v>1.5727378643543553</c:v>
                </c:pt>
                <c:pt idx="146">
                  <c:v>1.5743472329537678</c:v>
                </c:pt>
                <c:pt idx="147">
                  <c:v>1.5759288191131651</c:v>
                </c:pt>
                <c:pt idx="148">
                  <c:v>1.5774854640194134</c:v>
                </c:pt>
                <c:pt idx="149">
                  <c:v>1.579019992124854</c:v>
                </c:pt>
                <c:pt idx="150">
                  <c:v>1.5805352405515558</c:v>
                </c:pt>
                <c:pt idx="151">
                  <c:v>1.5820340916964586</c:v>
                </c:pt>
                <c:pt idx="152">
                  <c:v>1.5835195093236463</c:v>
                </c:pt>
                <c:pt idx="153">
                  <c:v>1.584994580818039</c:v>
                </c:pt>
                <c:pt idx="154">
                  <c:v>1.5864625659403195</c:v>
                </c:pt>
                <c:pt idx="155">
                  <c:v>1.5879269557229625</c:v>
                </c:pt>
                <c:pt idx="156">
                  <c:v>1.5893915435821553</c:v>
                </c:pt>
                <c:pt idx="157">
                  <c:v>1.5908605132629683</c:v>
                </c:pt>
                <c:pt idx="158">
                  <c:v>1.5923385490496944</c:v>
                </c:pt>
                <c:pt idx="159">
                  <c:v>1.5938309760359957</c:v>
                </c:pt>
                <c:pt idx="160">
                  <c:v>1.5953439416200403</c:v>
                </c:pt>
                <c:pt idx="161">
                  <c:v>1.596884653124528</c:v>
                </c:pt>
                <c:pt idx="162">
                  <c:v>1.5984616949553825</c:v>
                </c:pt>
                <c:pt idx="163">
                  <c:v>1.600085458661745</c:v>
                </c:pt>
                <c:pt idx="164">
                  <c:v>1.6017687371834377</c:v>
                </c:pt>
                <c:pt idx="165">
                  <c:v>1.6035275628363177</c:v>
                </c:pt>
                <c:pt idx="166">
                  <c:v>1.6053824165217945</c:v>
                </c:pt>
                <c:pt idx="167">
                  <c:v>1.6073600196333313</c:v>
                </c:pt>
                <c:pt idx="168">
                  <c:v>1.6094960669568019</c:v>
                </c:pt>
                <c:pt idx="169">
                  <c:v>1.6118395484528998</c:v>
                </c:pt>
                <c:pt idx="170">
                  <c:v>1.6144598630359503</c:v>
                </c:pt>
                <c:pt idx="171">
                  <c:v>1.6174591311036117</c:v>
                </c:pt>
                <c:pt idx="172">
                  <c:v>1.6212043248337142</c:v>
                </c:pt>
                <c:pt idx="173">
                  <c:v>1.624386502944688</c:v>
                </c:pt>
                <c:pt idx="174">
                  <c:v>1.6300034106506729</c:v>
                </c:pt>
                <c:pt idx="175">
                  <c:v>1.6377252770781503</c:v>
                </c:pt>
                <c:pt idx="176">
                  <c:v>1.649576713865736</c:v>
                </c:pt>
                <c:pt idx="177">
                  <c:v>1.6716354393068045</c:v>
                </c:pt>
                <c:pt idx="178">
                  <c:v>1.7284053014393654</c:v>
                </c:pt>
                <c:pt idx="179">
                  <c:v>1.8748011617708507</c:v>
                </c:pt>
                <c:pt idx="180">
                  <c:v>3.1415926533329639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A01-40B2-91DC-FB8FE007EC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352424</xdr:colOff>
      <xdr:row>2</xdr:row>
      <xdr:rowOff>85724</xdr:rowOff>
    </xdr:from>
    <xdr:to>
      <xdr:col>18</xdr:col>
      <xdr:colOff>381000</xdr:colOff>
      <xdr:row>28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590550</xdr:colOff>
      <xdr:row>29</xdr:row>
      <xdr:rowOff>95251</xdr:rowOff>
    </xdr:from>
    <xdr:to>
      <xdr:col>23</xdr:col>
      <xdr:colOff>590550</xdr:colOff>
      <xdr:row>47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136525</xdr:colOff>
      <xdr:row>19</xdr:row>
      <xdr:rowOff>43656</xdr:rowOff>
    </xdr:from>
    <xdr:to>
      <xdr:col>30</xdr:col>
      <xdr:colOff>473075</xdr:colOff>
      <xdr:row>34</xdr:row>
      <xdr:rowOff>74612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383382</xdr:colOff>
      <xdr:row>0</xdr:row>
      <xdr:rowOff>121443</xdr:rowOff>
    </xdr:from>
    <xdr:to>
      <xdr:col>43</xdr:col>
      <xdr:colOff>526256</xdr:colOff>
      <xdr:row>25</xdr:row>
      <xdr:rowOff>128588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431006</xdr:colOff>
      <xdr:row>26</xdr:row>
      <xdr:rowOff>50005</xdr:rowOff>
    </xdr:from>
    <xdr:to>
      <xdr:col>43</xdr:col>
      <xdr:colOff>573880</xdr:colOff>
      <xdr:row>51</xdr:row>
      <xdr:rowOff>126206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385761</xdr:colOff>
      <xdr:row>52</xdr:row>
      <xdr:rowOff>30957</xdr:rowOff>
    </xdr:from>
    <xdr:to>
      <xdr:col>43</xdr:col>
      <xdr:colOff>583406</xdr:colOff>
      <xdr:row>82</xdr:row>
      <xdr:rowOff>23812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CK378"/>
  <sheetViews>
    <sheetView tabSelected="1" zoomScale="80" zoomScaleNormal="80" workbookViewId="0">
      <selection activeCell="S2" sqref="S2"/>
    </sheetView>
  </sheetViews>
  <sheetFormatPr defaultColWidth="8.85546875" defaultRowHeight="15" x14ac:dyDescent="0.25"/>
  <cols>
    <col min="1" max="1" width="15.28515625" customWidth="1"/>
    <col min="2" max="2" width="13.85546875" customWidth="1"/>
    <col min="3" max="3" width="12.42578125" customWidth="1"/>
    <col min="4" max="5" width="11.140625" customWidth="1"/>
    <col min="15" max="16" width="10.7109375" bestFit="1" customWidth="1"/>
    <col min="20" max="20" width="16.5703125" customWidth="1"/>
    <col min="21" max="21" width="12.85546875" bestFit="1" customWidth="1"/>
    <col min="22" max="22" width="12.7109375" bestFit="1" customWidth="1"/>
    <col min="23" max="23" width="12.140625" bestFit="1" customWidth="1"/>
    <col min="24" max="24" width="11" bestFit="1" customWidth="1"/>
    <col min="25" max="25" width="10.28515625" bestFit="1" customWidth="1"/>
    <col min="30" max="30" width="13.7109375" bestFit="1" customWidth="1"/>
    <col min="45" max="47" width="13.7109375" style="6" bestFit="1" customWidth="1"/>
    <col min="48" max="48" width="14.42578125" style="6" bestFit="1" customWidth="1"/>
    <col min="49" max="49" width="19.42578125" style="6" bestFit="1" customWidth="1"/>
    <col min="50" max="50" width="19.140625" style="6" bestFit="1" customWidth="1"/>
    <col min="51" max="51" width="24.28515625" style="6" bestFit="1" customWidth="1"/>
    <col min="52" max="52" width="11" style="6" bestFit="1" customWidth="1"/>
    <col min="53" max="53" width="19.42578125" style="6" bestFit="1" customWidth="1"/>
    <col min="54" max="54" width="19.140625" style="6" bestFit="1" customWidth="1"/>
    <col min="55" max="56" width="24.28515625" style="6" bestFit="1" customWidth="1"/>
    <col min="57" max="57" width="10.7109375" bestFit="1" customWidth="1"/>
    <col min="58" max="58" width="10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8" max="78" width="13" bestFit="1" customWidth="1"/>
    <col min="80" max="80" width="10.7109375" bestFit="1" customWidth="1"/>
  </cols>
  <sheetData>
    <row r="1" spans="1:89" x14ac:dyDescent="0.25">
      <c r="K1" s="8" t="s">
        <v>71</v>
      </c>
      <c r="L1" s="14">
        <v>1.0000000000000001E-9</v>
      </c>
      <c r="P1" s="8" t="s">
        <v>144</v>
      </c>
      <c r="Q1" s="4">
        <v>0.5</v>
      </c>
      <c r="T1" t="s">
        <v>163</v>
      </c>
      <c r="U1" s="4">
        <v>0</v>
      </c>
      <c r="AS1" s="6" t="s">
        <v>111</v>
      </c>
      <c r="AT1" s="6" t="s">
        <v>100</v>
      </c>
      <c r="AU1" s="6" t="s">
        <v>101</v>
      </c>
      <c r="AV1" s="6" t="s">
        <v>112</v>
      </c>
      <c r="AW1" s="6" t="s">
        <v>145</v>
      </c>
      <c r="AX1" s="6" t="s">
        <v>146</v>
      </c>
      <c r="AY1" s="6" t="s">
        <v>147</v>
      </c>
      <c r="AZ1" s="47" t="s">
        <v>148</v>
      </c>
      <c r="BA1" s="47" t="s">
        <v>112</v>
      </c>
      <c r="BB1" s="47" t="s">
        <v>145</v>
      </c>
      <c r="BC1" s="47" t="s">
        <v>146</v>
      </c>
      <c r="BD1" s="47" t="s">
        <v>147</v>
      </c>
      <c r="BG1" s="48" t="s">
        <v>149</v>
      </c>
      <c r="BW1" t="s">
        <v>113</v>
      </c>
      <c r="CE1" t="s">
        <v>136</v>
      </c>
      <c r="CK1" t="s">
        <v>143</v>
      </c>
    </row>
    <row r="2" spans="1:89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v>-3</v>
      </c>
      <c r="K2" s="8" t="s">
        <v>72</v>
      </c>
      <c r="L2" s="4">
        <v>200</v>
      </c>
      <c r="M2">
        <v>348</v>
      </c>
      <c r="N2">
        <v>7</v>
      </c>
      <c r="O2">
        <v>1</v>
      </c>
      <c r="AS2" s="6">
        <v>-3.1415926535897931</v>
      </c>
      <c r="AT2" s="6">
        <v>-286.40752941242613</v>
      </c>
      <c r="AU2" s="6">
        <v>-170.64000000000004</v>
      </c>
      <c r="AV2" s="6">
        <f>IF(AND(AT2=0,AU2=0),0,IF(ATAN2(AT2,AU2)&lt;0,ATAN2(AT2,AU2)+(2*PI()),ATAN2(AT2,AU2)))</f>
        <v>3.6789140570588903</v>
      </c>
      <c r="AW2" s="6">
        <f>ABS(AS2-AV2)</f>
        <v>6.820506710648683</v>
      </c>
      <c r="AX2" s="6">
        <f>$U$13-AV2</f>
        <v>-0.53732140356909719</v>
      </c>
      <c r="AY2" s="6">
        <f>ABS(AX2)</f>
        <v>0.53732140356909719</v>
      </c>
      <c r="AZ2" s="47">
        <f>AS2+(2*PI())</f>
        <v>3.1415926535897931</v>
      </c>
      <c r="BA2" s="47">
        <f>AV2</f>
        <v>3.6789140570588903</v>
      </c>
      <c r="BB2" s="47">
        <f t="shared" ref="BB2:BD2" si="0">AW2</f>
        <v>6.820506710648683</v>
      </c>
      <c r="BC2" s="47">
        <f t="shared" si="0"/>
        <v>-0.53732140356909719</v>
      </c>
      <c r="BD2" s="47">
        <f t="shared" si="0"/>
        <v>0.53732140356909719</v>
      </c>
      <c r="BE2" s="40"/>
      <c r="BF2" s="40"/>
      <c r="BT2">
        <v>3.1415926534897931</v>
      </c>
      <c r="BW2" s="1" t="s">
        <v>114</v>
      </c>
      <c r="BX2" s="1" t="s">
        <v>33</v>
      </c>
      <c r="BY2" s="1" t="s">
        <v>115</v>
      </c>
      <c r="BZ2" s="1" t="s">
        <v>116</v>
      </c>
      <c r="CA2" s="1" t="s">
        <v>117</v>
      </c>
      <c r="CB2" s="1" t="s">
        <v>118</v>
      </c>
      <c r="CE2" s="1" t="s">
        <v>137</v>
      </c>
      <c r="CF2">
        <v>3.1415926535897931</v>
      </c>
    </row>
    <row r="3" spans="1:89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v>15</v>
      </c>
      <c r="T3" s="26" t="s">
        <v>78</v>
      </c>
      <c r="U3" s="19">
        <f ca="1">IF(ABS(K72)&lt;0.002,0.65,IF(ABS(K72)&gt;0.005,0.9,0.65+((ABS(K72)-0.002)*(250/3))))</f>
        <v>0.9</v>
      </c>
      <c r="V3" s="16"/>
      <c r="W3" s="30" t="s">
        <v>95</v>
      </c>
      <c r="X3" t="s">
        <v>79</v>
      </c>
      <c r="AA3" t="s">
        <v>110</v>
      </c>
      <c r="AS3" s="6">
        <v>-3.12413936106985</v>
      </c>
      <c r="AT3" s="6">
        <v>-286.40053702708877</v>
      </c>
      <c r="AU3" s="6">
        <v>-171.4411874802052</v>
      </c>
      <c r="AV3" s="6">
        <f t="shared" ref="AV3:AV66" si="1">IF(AND(AT3=0,AU3=0),0,IF(ATAN2(AT3,AU3)&lt;0,ATAN2(AT3,AU3)+(2*PI()),ATAN2(AT3,AU3)))</f>
        <v>3.680986800077402</v>
      </c>
      <c r="AW3" s="6">
        <f t="shared" ref="AW3:AW66" si="2">ABS(AS3-AV3)</f>
        <v>6.8051261611472516</v>
      </c>
      <c r="AX3" s="6">
        <f t="shared" ref="AX3:AX66" si="3">$U$13-AV3</f>
        <v>-0.53939414658760887</v>
      </c>
      <c r="AY3" s="6">
        <f t="shared" ref="AY3:AY66" si="4">ABS(AX3)</f>
        <v>0.53939414658760887</v>
      </c>
      <c r="AZ3" s="47">
        <f t="shared" ref="AZ3:AZ66" si="5">AS3+(2*PI())</f>
        <v>3.1590459461097362</v>
      </c>
      <c r="BA3" s="47">
        <f t="shared" ref="BA3:BA66" si="6">AV3</f>
        <v>3.680986800077402</v>
      </c>
      <c r="BB3" s="47">
        <f t="shared" ref="BB3:BB66" si="7">AW3</f>
        <v>6.8051261611472516</v>
      </c>
      <c r="BC3" s="47">
        <f t="shared" ref="BC3:BC66" si="8">AX3</f>
        <v>-0.53939414658760887</v>
      </c>
      <c r="BD3" s="47">
        <f t="shared" ref="BD3:BD66" si="9">AY3</f>
        <v>0.53939414658760887</v>
      </c>
      <c r="BE3" s="40"/>
      <c r="BF3" s="40"/>
      <c r="BG3" t="s">
        <v>150</v>
      </c>
      <c r="CE3" t="s">
        <v>138</v>
      </c>
      <c r="CF3" t="s">
        <v>139</v>
      </c>
      <c r="CG3" t="s">
        <v>141</v>
      </c>
      <c r="CH3" t="s">
        <v>142</v>
      </c>
      <c r="CI3" t="s">
        <v>140</v>
      </c>
    </row>
    <row r="4" spans="1:89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7" t="s">
        <v>75</v>
      </c>
      <c r="U4" s="10">
        <f ca="1">U3*B75</f>
        <v>1.044519990500703E-8</v>
      </c>
      <c r="V4" s="17" t="s">
        <v>68</v>
      </c>
      <c r="W4" s="31">
        <f ca="1">U4-U10</f>
        <v>4.4519990500702934E-10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AS4" s="6">
        <v>-3.1066860685499069</v>
      </c>
      <c r="AT4" s="6">
        <v>-286.37954280081669</v>
      </c>
      <c r="AU4" s="6">
        <v>-172.24286331967124</v>
      </c>
      <c r="AV4" s="6">
        <f t="shared" si="1"/>
        <v>3.6830773593369819</v>
      </c>
      <c r="AW4" s="6">
        <f t="shared" si="2"/>
        <v>6.7897634278868892</v>
      </c>
      <c r="AX4" s="6">
        <f t="shared" si="3"/>
        <v>-0.54148470584718877</v>
      </c>
      <c r="AY4" s="6">
        <f t="shared" si="4"/>
        <v>0.54148470584718877</v>
      </c>
      <c r="AZ4" s="47">
        <f t="shared" si="5"/>
        <v>3.1764992386296793</v>
      </c>
      <c r="BA4" s="47">
        <f t="shared" si="6"/>
        <v>3.6830773593369819</v>
      </c>
      <c r="BB4" s="47">
        <f t="shared" si="7"/>
        <v>6.7897634278868892</v>
      </c>
      <c r="BC4" s="47">
        <f t="shared" si="8"/>
        <v>-0.54148470584718877</v>
      </c>
      <c r="BD4" s="47">
        <f t="shared" si="9"/>
        <v>0.54148470584718877</v>
      </c>
      <c r="BE4" s="40"/>
      <c r="BF4" s="40"/>
      <c r="BG4" s="1" t="s">
        <v>100</v>
      </c>
      <c r="BH4" s="1" t="s">
        <v>101</v>
      </c>
    </row>
    <row r="5" spans="1:89" x14ac:dyDescent="0.25">
      <c r="A5" s="8" t="s">
        <v>5</v>
      </c>
      <c r="B5" s="46">
        <v>12</v>
      </c>
      <c r="C5" t="s">
        <v>4</v>
      </c>
      <c r="E5" s="5">
        <f>E4</f>
        <v>12</v>
      </c>
      <c r="F5">
        <f>(B8-B9)</f>
        <v>16</v>
      </c>
      <c r="G5">
        <f t="shared" ref="G5:G11" si="10">((E4*F5)-(E5*F4))*0.5</f>
        <v>96</v>
      </c>
      <c r="T5" s="27" t="s">
        <v>77</v>
      </c>
      <c r="U5" s="10">
        <f ca="1">U3*B79*(1/12)</f>
        <v>-196.88704407437012</v>
      </c>
      <c r="V5" s="17" t="s">
        <v>70</v>
      </c>
      <c r="W5" s="32"/>
      <c r="X5">
        <f>X4</f>
        <v>34</v>
      </c>
      <c r="Y5">
        <f>X5</f>
        <v>34</v>
      </c>
      <c r="AA5">
        <v>0</v>
      </c>
      <c r="AB5">
        <v>0</v>
      </c>
      <c r="AS5" s="6">
        <v>-3.0892327760299638</v>
      </c>
      <c r="AT5" s="6">
        <v>-286.34449551094752</v>
      </c>
      <c r="AU5" s="6">
        <v>-173.04551706909163</v>
      </c>
      <c r="AV5" s="6">
        <f t="shared" si="1"/>
        <v>3.6851872054182513</v>
      </c>
      <c r="AW5" s="6">
        <f t="shared" si="2"/>
        <v>6.7744199814482151</v>
      </c>
      <c r="AX5" s="6">
        <f t="shared" si="3"/>
        <v>-0.54359455192845818</v>
      </c>
      <c r="AY5" s="6">
        <f t="shared" si="4"/>
        <v>0.54359455192845818</v>
      </c>
      <c r="AZ5" s="47">
        <f t="shared" si="5"/>
        <v>3.1939525311496224</v>
      </c>
      <c r="BA5" s="47">
        <f t="shared" si="6"/>
        <v>3.6851872054182513</v>
      </c>
      <c r="BB5" s="47">
        <f t="shared" si="7"/>
        <v>6.7744199814482151</v>
      </c>
      <c r="BC5" s="47">
        <f t="shared" si="8"/>
        <v>-0.54359455192845818</v>
      </c>
      <c r="BD5" s="47">
        <f t="shared" si="9"/>
        <v>0.54359455192845818</v>
      </c>
      <c r="BE5" s="40"/>
      <c r="BF5" s="40"/>
      <c r="BG5">
        <f ca="1">B132</f>
        <v>-79.582196696159414</v>
      </c>
      <c r="BH5">
        <f ca="1">B133</f>
        <v>-56.175668257730194</v>
      </c>
    </row>
    <row r="6" spans="1:89" x14ac:dyDescent="0.25">
      <c r="A6" s="8" t="s">
        <v>92</v>
      </c>
      <c r="B6" s="46">
        <v>24</v>
      </c>
      <c r="C6" t="s">
        <v>4</v>
      </c>
      <c r="E6" s="5">
        <f>B7+B5</f>
        <v>12</v>
      </c>
      <c r="F6">
        <f>F5</f>
        <v>16</v>
      </c>
      <c r="G6">
        <f t="shared" si="10"/>
        <v>0</v>
      </c>
      <c r="T6" s="27" t="s">
        <v>76</v>
      </c>
      <c r="U6" s="10">
        <f ca="1">U3*B80*(1/12)</f>
        <v>2.0219329144310905E-8</v>
      </c>
      <c r="V6" s="17" t="s">
        <v>70</v>
      </c>
      <c r="W6" s="31">
        <f t="shared" ref="W6" ca="1" si="11">U6</f>
        <v>2.0219329144310905E-8</v>
      </c>
      <c r="X6">
        <f>IF(B6=0,0,-1*X5)</f>
        <v>-34</v>
      </c>
      <c r="Y6">
        <f>IF(B6=0,0,Y5)</f>
        <v>34</v>
      </c>
      <c r="AA6">
        <f>U14</f>
        <v>100</v>
      </c>
      <c r="AB6">
        <f>U10</f>
        <v>1E-8</v>
      </c>
      <c r="AS6" s="6">
        <v>-3.0717794835100207</v>
      </c>
      <c r="AT6" s="6">
        <v>-286.29530943724137</v>
      </c>
      <c r="AU6" s="6">
        <v>-173.84964066820714</v>
      </c>
      <c r="AV6" s="6">
        <f t="shared" si="1"/>
        <v>3.6873178592688074</v>
      </c>
      <c r="AW6" s="6">
        <f t="shared" si="2"/>
        <v>6.7590973427788281</v>
      </c>
      <c r="AX6" s="6">
        <f t="shared" si="3"/>
        <v>-0.54572520577901429</v>
      </c>
      <c r="AY6" s="6">
        <f t="shared" si="4"/>
        <v>0.54572520577901429</v>
      </c>
      <c r="AZ6" s="47">
        <f t="shared" si="5"/>
        <v>3.2114058236695655</v>
      </c>
      <c r="BA6" s="47">
        <f t="shared" si="6"/>
        <v>3.6873178592688074</v>
      </c>
      <c r="BB6" s="47">
        <f t="shared" si="7"/>
        <v>6.7590973427788281</v>
      </c>
      <c r="BC6" s="47">
        <f t="shared" si="8"/>
        <v>-0.54572520577901429</v>
      </c>
      <c r="BD6" s="47">
        <f t="shared" si="9"/>
        <v>0.54572520577901429</v>
      </c>
      <c r="BE6" s="40"/>
      <c r="BF6" s="40"/>
    </row>
    <row r="7" spans="1:89" ht="15.75" thickBot="1" x14ac:dyDescent="0.3">
      <c r="A7" s="8" t="s">
        <v>91</v>
      </c>
      <c r="B7" s="46">
        <v>0</v>
      </c>
      <c r="C7" t="s">
        <v>4</v>
      </c>
      <c r="E7" s="5">
        <f>E6</f>
        <v>12</v>
      </c>
      <c r="F7">
        <f>B8</f>
        <v>24</v>
      </c>
      <c r="G7">
        <f t="shared" si="10"/>
        <v>48</v>
      </c>
      <c r="T7" s="28" t="s">
        <v>96</v>
      </c>
      <c r="U7" s="29">
        <f ca="1">IF(AND(U5=0,U6=0),0,IF(ATAN2(U5,U6)&lt;0,ATAN2(U5,U6)+(2*PI()),ATAN2(U5,U6)))</f>
        <v>3.1415926534870979</v>
      </c>
      <c r="V7" s="18" t="s">
        <v>97</v>
      </c>
      <c r="W7" s="33">
        <f ca="1">U13-U7</f>
        <v>2.69517741458003E-12</v>
      </c>
      <c r="X7">
        <f ca="1">IF(U7&lt;0,U7+(2*PI()),U7)</f>
        <v>3.1415926534870979</v>
      </c>
      <c r="AA7">
        <f ca="1">U8</f>
        <v>196.88704407437012</v>
      </c>
      <c r="AB7" s="9">
        <f ca="1">U4</f>
        <v>1.044519990500703E-8</v>
      </c>
      <c r="AS7" s="6">
        <v>-3.0543261909900776</v>
      </c>
      <c r="AT7" s="6">
        <v>-286.23186399539327</v>
      </c>
      <c r="AU7" s="6">
        <v>-174.65572965583991</v>
      </c>
      <c r="AV7" s="6">
        <f t="shared" si="1"/>
        <v>3.6894708967054051</v>
      </c>
      <c r="AW7" s="6">
        <f t="shared" si="2"/>
        <v>6.7437970876954827</v>
      </c>
      <c r="AX7" s="6">
        <f t="shared" si="3"/>
        <v>-0.54787824321561196</v>
      </c>
      <c r="AY7" s="6">
        <f t="shared" si="4"/>
        <v>0.54787824321561196</v>
      </c>
      <c r="AZ7" s="47">
        <f t="shared" si="5"/>
        <v>3.2288591161895086</v>
      </c>
      <c r="BA7" s="47">
        <f t="shared" si="6"/>
        <v>3.6894708967054051</v>
      </c>
      <c r="BB7" s="47">
        <f t="shared" si="7"/>
        <v>6.7437970876954827</v>
      </c>
      <c r="BC7" s="47">
        <f t="shared" si="8"/>
        <v>-0.54787824321561196</v>
      </c>
      <c r="BD7" s="47">
        <f t="shared" si="9"/>
        <v>0.54787824321561196</v>
      </c>
      <c r="BE7" s="40"/>
      <c r="BF7" s="40"/>
      <c r="BG7" t="s">
        <v>151</v>
      </c>
    </row>
    <row r="8" spans="1:89" ht="15.75" thickBot="1" x14ac:dyDescent="0.3">
      <c r="A8" s="8" t="s">
        <v>6</v>
      </c>
      <c r="B8" s="7">
        <v>24</v>
      </c>
      <c r="C8" t="s">
        <v>4</v>
      </c>
      <c r="E8" s="5">
        <f>E7-(B7+B6+B5)</f>
        <v>-24</v>
      </c>
      <c r="F8">
        <f>F7</f>
        <v>24</v>
      </c>
      <c r="G8">
        <f t="shared" si="10"/>
        <v>432</v>
      </c>
      <c r="T8" s="37" t="s">
        <v>109</v>
      </c>
      <c r="U8" s="6">
        <f ca="1">SQRT(POWER(U5,2)+POWER(U6,2))</f>
        <v>196.88704407437012</v>
      </c>
      <c r="V8" s="42" t="s">
        <v>70</v>
      </c>
      <c r="AS8" s="6">
        <v>-3.0368728984701345</v>
      </c>
      <c r="AT8" s="6">
        <v>-286.15400304826238</v>
      </c>
      <c r="AU8" s="6">
        <v>-175.46428439869447</v>
      </c>
      <c r="AV8" s="6">
        <f t="shared" si="1"/>
        <v>3.6916479534450541</v>
      </c>
      <c r="AW8" s="6">
        <f t="shared" si="2"/>
        <v>6.7285208519151887</v>
      </c>
      <c r="AX8" s="6">
        <f t="shared" si="3"/>
        <v>-0.55005529995526103</v>
      </c>
      <c r="AY8" s="6">
        <f t="shared" si="4"/>
        <v>0.55005529995526103</v>
      </c>
      <c r="AZ8" s="47">
        <f t="shared" si="5"/>
        <v>3.2463124087094517</v>
      </c>
      <c r="BA8" s="47">
        <f t="shared" si="6"/>
        <v>3.6916479534450541</v>
      </c>
      <c r="BB8" s="47">
        <f t="shared" si="7"/>
        <v>6.7285208519151887</v>
      </c>
      <c r="BC8" s="47">
        <f t="shared" si="8"/>
        <v>-0.55005529995526103</v>
      </c>
      <c r="BD8" s="47">
        <f t="shared" si="9"/>
        <v>0.55005529995526103</v>
      </c>
      <c r="BE8" s="40"/>
      <c r="BF8" s="40"/>
      <c r="BG8" s="1" t="s">
        <v>100</v>
      </c>
      <c r="BH8" s="1" t="s">
        <v>101</v>
      </c>
      <c r="BO8" t="s">
        <v>100</v>
      </c>
      <c r="BP8" t="s">
        <v>101</v>
      </c>
      <c r="BQ8" s="1" t="s">
        <v>156</v>
      </c>
      <c r="BR8" s="1" t="s">
        <v>157</v>
      </c>
      <c r="BS8" s="1" t="s">
        <v>158</v>
      </c>
      <c r="BT8" s="1" t="s">
        <v>159</v>
      </c>
      <c r="BU8" s="1" t="s">
        <v>160</v>
      </c>
      <c r="BV8" s="1"/>
      <c r="BX8" s="1" t="s">
        <v>156</v>
      </c>
      <c r="BY8" s="1" t="s">
        <v>157</v>
      </c>
      <c r="BZ8" s="1" t="s">
        <v>158</v>
      </c>
      <c r="CA8" s="1" t="s">
        <v>159</v>
      </c>
    </row>
    <row r="9" spans="1:89" x14ac:dyDescent="0.25">
      <c r="A9" s="8" t="s">
        <v>7</v>
      </c>
      <c r="B9" s="7">
        <v>8</v>
      </c>
      <c r="C9" t="s">
        <v>4</v>
      </c>
      <c r="E9" s="5">
        <f>E8</f>
        <v>-24</v>
      </c>
      <c r="F9">
        <f>F6</f>
        <v>16</v>
      </c>
      <c r="G9">
        <f t="shared" si="10"/>
        <v>96</v>
      </c>
      <c r="T9" s="35" t="s">
        <v>98</v>
      </c>
      <c r="U9" s="36"/>
      <c r="V9" s="16"/>
      <c r="AA9" s="9">
        <f ca="1">U5-U11</f>
        <v>-96.887044074370124</v>
      </c>
      <c r="AB9" s="9">
        <f ca="1">U6-U12</f>
        <v>1.0219329144310905E-8</v>
      </c>
      <c r="AC9" s="9">
        <f ca="1">AA9+AB9</f>
        <v>-96.8870440641508</v>
      </c>
      <c r="AS9" s="6">
        <v>-3.0194196059501914</v>
      </c>
      <c r="AT9" s="6">
        <v>-286.06153410043373</v>
      </c>
      <c r="AU9" s="6">
        <v>-176.27581134544329</v>
      </c>
      <c r="AV9" s="6">
        <f t="shared" si="1"/>
        <v>3.6938507303729535</v>
      </c>
      <c r="AW9" s="6">
        <f t="shared" si="2"/>
        <v>6.713270336323145</v>
      </c>
      <c r="AX9" s="6">
        <f t="shared" si="3"/>
        <v>-0.55225807688316042</v>
      </c>
      <c r="AY9" s="6">
        <f t="shared" si="4"/>
        <v>0.55225807688316042</v>
      </c>
      <c r="AZ9" s="47">
        <f t="shared" si="5"/>
        <v>3.2637657012293948</v>
      </c>
      <c r="BA9" s="47">
        <f t="shared" si="6"/>
        <v>3.6938507303729535</v>
      </c>
      <c r="BB9" s="47">
        <f t="shared" si="7"/>
        <v>6.713270336323145</v>
      </c>
      <c r="BC9" s="47">
        <f t="shared" si="8"/>
        <v>-0.55225807688316042</v>
      </c>
      <c r="BD9" s="47">
        <f t="shared" si="9"/>
        <v>0.55225807688316042</v>
      </c>
      <c r="BE9" s="40"/>
      <c r="BF9" s="40" t="s">
        <v>152</v>
      </c>
      <c r="BG9">
        <f ca="1">(U11-BG5)</f>
        <v>-20.417803303840586</v>
      </c>
      <c r="BH9">
        <f ca="1">(U12 -BH5)</f>
        <v>56.175668267730195</v>
      </c>
      <c r="BO9" s="9">
        <f ca="1">U5-BG5</f>
        <v>-117.30484737821071</v>
      </c>
      <c r="BP9" s="9">
        <f ca="1">U6-BH5</f>
        <v>56.175668277949526</v>
      </c>
      <c r="BQ9">
        <f ca="1">SQRT(POWER(BO9,2)+POWER(BP9,2))</f>
        <v>130.06203490988264</v>
      </c>
      <c r="BR9">
        <f ca="1">BO9/BQ9</f>
        <v>-0.90191459375127314</v>
      </c>
      <c r="BS9">
        <f ca="1">BP9/BQ9</f>
        <v>0.43191441927594409</v>
      </c>
      <c r="BT9">
        <f ca="1">ATAN2(BR9,BS9)</f>
        <v>2.6949783357504198</v>
      </c>
      <c r="BU9" s="40">
        <f ca="1">BT9-BJ11</f>
        <v>0.77556371575406269</v>
      </c>
      <c r="BV9" s="9">
        <f ca="1">BO9+$BG$5</f>
        <v>-196.88704407437012</v>
      </c>
      <c r="BW9" s="9">
        <f ca="1">BP9+$BH$5</f>
        <v>2.0219331986481848E-8</v>
      </c>
      <c r="BX9">
        <f ca="1">SQRT(POWER(BV9,2)+POWER(BW9,2))</f>
        <v>196.88704407437012</v>
      </c>
      <c r="BY9">
        <f ca="1">BV9/BX9</f>
        <v>-1</v>
      </c>
      <c r="BZ9">
        <f ca="1">BW9/BX9</f>
        <v>1.0269508631987183E-10</v>
      </c>
      <c r="CA9">
        <f ca="1">ATAN2(BY9,BZ9)</f>
        <v>3.1415926534870979</v>
      </c>
      <c r="CB9" s="40">
        <f ca="1">CA9-$U$13</f>
        <v>-2.69517741458003E-12</v>
      </c>
    </row>
    <row r="10" spans="1:89" x14ac:dyDescent="0.25">
      <c r="E10">
        <v>0</v>
      </c>
      <c r="F10">
        <f>F9</f>
        <v>16</v>
      </c>
      <c r="G10">
        <f t="shared" si="10"/>
        <v>-192</v>
      </c>
      <c r="T10" s="37" t="s">
        <v>99</v>
      </c>
      <c r="U10" s="49">
        <v>1E-8</v>
      </c>
      <c r="V10" s="17" t="s">
        <v>68</v>
      </c>
      <c r="W10" t="str">
        <f>"+ Compression"</f>
        <v>+ Compression</v>
      </c>
      <c r="AS10" s="6">
        <v>-3.0019663134302483</v>
      </c>
      <c r="AT10" s="6">
        <v>-285.95422729518953</v>
      </c>
      <c r="AU10" s="6">
        <v>-177.09082431283969</v>
      </c>
      <c r="AV10" s="6">
        <f t="shared" si="1"/>
        <v>3.6960809991980241</v>
      </c>
      <c r="AW10" s="6">
        <f t="shared" si="2"/>
        <v>6.6980473126282725</v>
      </c>
      <c r="AX10" s="6">
        <f t="shared" si="3"/>
        <v>-0.55448834570823102</v>
      </c>
      <c r="AY10" s="6">
        <f t="shared" si="4"/>
        <v>0.55448834570823102</v>
      </c>
      <c r="AZ10" s="47">
        <f t="shared" si="5"/>
        <v>3.2812189937493379</v>
      </c>
      <c r="BA10" s="47">
        <f t="shared" si="6"/>
        <v>3.6960809991980241</v>
      </c>
      <c r="BB10" s="47">
        <f t="shared" si="7"/>
        <v>6.6980473126282725</v>
      </c>
      <c r="BC10" s="47">
        <f t="shared" si="8"/>
        <v>-0.55448834570823102</v>
      </c>
      <c r="BD10" s="47">
        <f t="shared" si="9"/>
        <v>0.55448834570823102</v>
      </c>
      <c r="BE10" s="40"/>
      <c r="BF10" s="40" t="s">
        <v>153</v>
      </c>
      <c r="BG10">
        <f ca="1">SQRT(POWER(BG9,2)+POWER(BH9,2))</f>
        <v>59.771166937582812</v>
      </c>
      <c r="BJ10" s="1" t="s">
        <v>159</v>
      </c>
    </row>
    <row r="11" spans="1:89" x14ac:dyDescent="0.25">
      <c r="A11" t="s">
        <v>10</v>
      </c>
      <c r="E11">
        <v>0</v>
      </c>
      <c r="F11">
        <v>0</v>
      </c>
      <c r="G11">
        <f t="shared" si="10"/>
        <v>0</v>
      </c>
      <c r="T11" s="37" t="s">
        <v>100</v>
      </c>
      <c r="U11" s="38">
        <v>-100</v>
      </c>
      <c r="V11" s="17" t="s">
        <v>70</v>
      </c>
      <c r="W11" t="str">
        <f>"+ Puts Top of Section in Compression"</f>
        <v>+ Puts Top of Section in Compression</v>
      </c>
      <c r="AS11" s="6">
        <v>-2.9845130209103052</v>
      </c>
      <c r="AT11" s="6">
        <v>-285.83181417806372</v>
      </c>
      <c r="AU11" s="6">
        <v>-177.90984581089612</v>
      </c>
      <c r="AV11" s="6">
        <f t="shared" si="1"/>
        <v>3.698340608579425</v>
      </c>
      <c r="AW11" s="6">
        <f t="shared" si="2"/>
        <v>6.6828536294897303</v>
      </c>
      <c r="AX11" s="6">
        <f t="shared" si="3"/>
        <v>-0.55674795508963193</v>
      </c>
      <c r="AY11" s="6">
        <f t="shared" si="4"/>
        <v>0.55674795508963193</v>
      </c>
      <c r="AZ11" s="47">
        <f t="shared" si="5"/>
        <v>3.298672286269281</v>
      </c>
      <c r="BA11" s="47">
        <f t="shared" si="6"/>
        <v>3.698340608579425</v>
      </c>
      <c r="BB11" s="47">
        <f t="shared" si="7"/>
        <v>6.6828536294897303</v>
      </c>
      <c r="BC11" s="47">
        <f t="shared" si="8"/>
        <v>-0.55674795508963193</v>
      </c>
      <c r="BD11" s="47">
        <f t="shared" si="9"/>
        <v>0.55674795508963193</v>
      </c>
      <c r="BE11" s="40"/>
      <c r="BF11" s="40" t="s">
        <v>154</v>
      </c>
      <c r="BG11">
        <f ca="1">BG9/BG10</f>
        <v>-0.34159954288933775</v>
      </c>
      <c r="BH11">
        <f ca="1">BH9/BG10</f>
        <v>0.93984560024388875</v>
      </c>
      <c r="BJ11">
        <f ca="1">ATAN2(BG11,BH11)</f>
        <v>1.9194146199963571</v>
      </c>
      <c r="BO11" s="9"/>
      <c r="BP11" s="9"/>
    </row>
    <row r="12" spans="1:89" x14ac:dyDescent="0.25">
      <c r="A12" s="8" t="s">
        <v>11</v>
      </c>
      <c r="B12" s="2">
        <v>60</v>
      </c>
      <c r="C12" t="s">
        <v>1</v>
      </c>
      <c r="G12">
        <f>SUM(G4:G11)</f>
        <v>480</v>
      </c>
      <c r="T12" s="37" t="s">
        <v>101</v>
      </c>
      <c r="U12" s="49">
        <v>1E-8</v>
      </c>
      <c r="V12" s="17" t="s">
        <v>70</v>
      </c>
      <c r="W12" t="str">
        <f>"+ Puts Left of Section in Compression"</f>
        <v>+ Puts Left of Section in Compression</v>
      </c>
      <c r="AS12" s="6">
        <v>-2.9670597283903621</v>
      </c>
      <c r="AT12" s="6">
        <v>-285.69398627622962</v>
      </c>
      <c r="AU12" s="6">
        <v>-178.73340841451844</v>
      </c>
      <c r="AV12" s="6">
        <f t="shared" si="1"/>
        <v>3.7006314906758915</v>
      </c>
      <c r="AW12" s="6">
        <f t="shared" si="2"/>
        <v>6.6676912190662536</v>
      </c>
      <c r="AX12" s="6">
        <f t="shared" si="3"/>
        <v>-0.55903883718609837</v>
      </c>
      <c r="AY12" s="6">
        <f t="shared" si="4"/>
        <v>0.55903883718609837</v>
      </c>
      <c r="AZ12" s="47">
        <f t="shared" si="5"/>
        <v>3.3161255787892241</v>
      </c>
      <c r="BA12" s="47">
        <f t="shared" si="6"/>
        <v>3.7006314906758915</v>
      </c>
      <c r="BB12" s="47">
        <f t="shared" si="7"/>
        <v>6.6676912190662536</v>
      </c>
      <c r="BC12" s="47">
        <f t="shared" si="8"/>
        <v>-0.55903883718609837</v>
      </c>
      <c r="BD12" s="47">
        <f t="shared" si="9"/>
        <v>0.55903883718609837</v>
      </c>
      <c r="BE12" s="40"/>
      <c r="BF12" s="40"/>
      <c r="BV12" t="s">
        <v>161</v>
      </c>
      <c r="BX12" s="1" t="s">
        <v>156</v>
      </c>
      <c r="BY12" s="1" t="s">
        <v>157</v>
      </c>
      <c r="BZ12" s="1" t="s">
        <v>158</v>
      </c>
      <c r="CA12" s="1" t="s">
        <v>159</v>
      </c>
    </row>
    <row r="13" spans="1:89" ht="15.75" thickBot="1" x14ac:dyDescent="0.3">
      <c r="A13" s="8" t="s">
        <v>12</v>
      </c>
      <c r="B13" s="3">
        <v>29000</v>
      </c>
      <c r="C13" t="s">
        <v>1</v>
      </c>
      <c r="T13" s="28" t="s">
        <v>96</v>
      </c>
      <c r="U13" s="29">
        <f>IF(AND(U11=0,U12=0),0,IF(ATAN2(U11,U12)&lt;0,ATAN2(U11,U12)+(2*PI()),ATAN2(U11,U12)))</f>
        <v>3.1415926534897931</v>
      </c>
      <c r="V13" s="18" t="s">
        <v>97</v>
      </c>
      <c r="X13" s="40">
        <f ca="1">U13-X7</f>
        <v>2.69517741458003E-12</v>
      </c>
      <c r="AS13" s="6">
        <v>-2.949606435870419</v>
      </c>
      <c r="AT13" s="6">
        <v>-285.54039339027815</v>
      </c>
      <c r="AU13" s="6">
        <v>-179.56205618942124</v>
      </c>
      <c r="AV13" s="6">
        <f t="shared" si="1"/>
        <v>3.7029556683104903</v>
      </c>
      <c r="AW13" s="6">
        <f t="shared" si="2"/>
        <v>6.6525621041809089</v>
      </c>
      <c r="AX13" s="6">
        <f t="shared" si="3"/>
        <v>-0.56136301482069717</v>
      </c>
      <c r="AY13" s="6">
        <f t="shared" si="4"/>
        <v>0.56136301482069717</v>
      </c>
      <c r="AZ13" s="47">
        <f t="shared" si="5"/>
        <v>3.3335788713091672</v>
      </c>
      <c r="BA13" s="47">
        <f t="shared" si="6"/>
        <v>3.7029556683104903</v>
      </c>
      <c r="BB13" s="47">
        <f t="shared" si="7"/>
        <v>6.6525621041809089</v>
      </c>
      <c r="BC13" s="47">
        <f t="shared" si="8"/>
        <v>-0.56136301482069717</v>
      </c>
      <c r="BD13" s="47">
        <f t="shared" si="9"/>
        <v>0.56136301482069717</v>
      </c>
      <c r="BE13" s="40"/>
      <c r="BF13" s="40"/>
      <c r="BG13" t="s">
        <v>155</v>
      </c>
      <c r="BV13">
        <f ca="1">BG5</f>
        <v>-79.582196696159414</v>
      </c>
      <c r="BW13">
        <f ca="1">BH5</f>
        <v>-56.175668257730194</v>
      </c>
      <c r="BX13">
        <f ca="1">SQRT(POWER(BV13,2)+POWER(BW13,2))</f>
        <v>97.411661186886462</v>
      </c>
      <c r="BY13">
        <f ca="1">BV13/BX13</f>
        <v>-0.81696786325693782</v>
      </c>
      <c r="BZ13">
        <f ca="1">BW13/BX13</f>
        <v>-0.57668319760973907</v>
      </c>
      <c r="CA13">
        <f ca="1">ATAN2(BY13,BZ13)</f>
        <v>-2.5269297016540606</v>
      </c>
    </row>
    <row r="14" spans="1:89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3" t="s">
        <v>109</v>
      </c>
      <c r="U14" s="44">
        <f>SQRT(POWER(U11,2)+POWER(U12,2))</f>
        <v>100</v>
      </c>
      <c r="V14" s="45" t="s">
        <v>70</v>
      </c>
      <c r="X14">
        <f>DEGREES(U13)</f>
        <v>179.99999999427041</v>
      </c>
      <c r="Y14" s="40">
        <f ca="1">DEGREES(U7)+360</f>
        <v>539.99999999411602</v>
      </c>
      <c r="Z14">
        <f ca="1">X14-Y14</f>
        <v>-359.99999999984561</v>
      </c>
      <c r="AS14" s="6">
        <v>-2.9321531433504759</v>
      </c>
      <c r="AT14" s="6">
        <v>-285.37064171715235</v>
      </c>
      <c r="AU14" s="6">
        <v>-180.39634618065389</v>
      </c>
      <c r="AV14" s="6">
        <f t="shared" si="1"/>
        <v>3.7053152625970105</v>
      </c>
      <c r="AW14" s="6">
        <f t="shared" si="2"/>
        <v>6.6374684059474864</v>
      </c>
      <c r="AX14" s="6">
        <f t="shared" si="3"/>
        <v>-0.56372260910721739</v>
      </c>
      <c r="AY14" s="6">
        <f t="shared" si="4"/>
        <v>0.56372260910721739</v>
      </c>
      <c r="AZ14" s="47">
        <f t="shared" si="5"/>
        <v>3.3510321638291103</v>
      </c>
      <c r="BA14" s="47">
        <f t="shared" si="6"/>
        <v>3.7053152625970105</v>
      </c>
      <c r="BB14" s="47">
        <f t="shared" si="7"/>
        <v>6.6374684059474864</v>
      </c>
      <c r="BC14" s="47">
        <f t="shared" si="8"/>
        <v>-0.56372260910721739</v>
      </c>
      <c r="BD14" s="47">
        <f t="shared" si="9"/>
        <v>0.56372260910721739</v>
      </c>
      <c r="BE14" s="40"/>
      <c r="BF14" s="40"/>
      <c r="BG14" t="s">
        <v>111</v>
      </c>
      <c r="BH14" s="1" t="s">
        <v>100</v>
      </c>
      <c r="BI14" s="1" t="s">
        <v>101</v>
      </c>
      <c r="BJ14" s="1" t="s">
        <v>156</v>
      </c>
      <c r="BK14" s="1" t="s">
        <v>157</v>
      </c>
      <c r="BL14" s="1" t="s">
        <v>158</v>
      </c>
      <c r="BM14" s="1" t="s">
        <v>159</v>
      </c>
      <c r="BN14" s="1" t="s">
        <v>160</v>
      </c>
      <c r="BO14" s="1"/>
      <c r="BQ14" s="1" t="s">
        <v>156</v>
      </c>
      <c r="BR14" s="1" t="s">
        <v>157</v>
      </c>
      <c r="BS14" s="1" t="s">
        <v>158</v>
      </c>
      <c r="BT14" s="1" t="s">
        <v>159</v>
      </c>
      <c r="BV14" s="1"/>
      <c r="BW14" s="1"/>
      <c r="BX14" s="1"/>
      <c r="BY14" s="1"/>
      <c r="BZ14" s="1"/>
    </row>
    <row r="15" spans="1:89" x14ac:dyDescent="0.25">
      <c r="A15">
        <v>1</v>
      </c>
      <c r="B15" s="20">
        <v>8</v>
      </c>
      <c r="C15" s="6">
        <f ca="1">OFFSET($G$14,MATCH(B15,$G$14:$G$29,0)-1,2)</f>
        <v>0.79</v>
      </c>
      <c r="D15" s="2">
        <v>-21</v>
      </c>
      <c r="E15" s="2">
        <v>22</v>
      </c>
      <c r="G15" s="1">
        <v>3</v>
      </c>
      <c r="H15" s="6">
        <v>0.375</v>
      </c>
      <c r="I15" s="6">
        <v>0.11</v>
      </c>
      <c r="K15" s="1">
        <f t="shared" ref="K15:K24" si="12">IF($B15=0,NA(),D15)</f>
        <v>-21</v>
      </c>
      <c r="L15" s="1">
        <f t="shared" ref="L15:L24" si="13">IF($B15=0,NA(),E15)</f>
        <v>22</v>
      </c>
      <c r="T15" s="39" t="s">
        <v>103</v>
      </c>
      <c r="U15" s="6">
        <f>SQRT(POWER(U12,2)+POWER(U11,2)+POWER(U10,2))</f>
        <v>100</v>
      </c>
      <c r="AS15" s="6">
        <v>-2.9146998508305328</v>
      </c>
      <c r="AT15" s="6">
        <v>-285.184291619806</v>
      </c>
      <c r="AU15" s="6">
        <v>-181.23684997266326</v>
      </c>
      <c r="AV15" s="6">
        <f t="shared" si="1"/>
        <v>3.7077125013533214</v>
      </c>
      <c r="AW15" s="6">
        <f t="shared" si="2"/>
        <v>6.6224123521838543</v>
      </c>
      <c r="AX15" s="6">
        <f t="shared" si="3"/>
        <v>-0.56611984786352831</v>
      </c>
      <c r="AY15" s="6">
        <f t="shared" si="4"/>
        <v>0.56611984786352831</v>
      </c>
      <c r="AZ15" s="47">
        <f t="shared" si="5"/>
        <v>3.3684854563490534</v>
      </c>
      <c r="BA15" s="47">
        <f t="shared" si="6"/>
        <v>3.7077125013533214</v>
      </c>
      <c r="BB15" s="47">
        <f t="shared" si="7"/>
        <v>6.6224123521838543</v>
      </c>
      <c r="BC15" s="47">
        <f t="shared" si="8"/>
        <v>-0.56611984786352831</v>
      </c>
      <c r="BD15" s="47">
        <f t="shared" si="9"/>
        <v>0.56611984786352831</v>
      </c>
      <c r="BE15" s="40"/>
      <c r="BF15" s="40"/>
      <c r="BG15" s="6">
        <f>AS2</f>
        <v>-3.1415926535897931</v>
      </c>
      <c r="BH15" s="9">
        <f ca="1">AT2-$BG$5</f>
        <v>-206.8253327162667</v>
      </c>
      <c r="BI15" s="9">
        <f ca="1">AU2-$BH$5</f>
        <v>-114.46433174226985</v>
      </c>
      <c r="BJ15">
        <f ca="1">SQRT(POWER(BH15,2)+POWER(BI15,2))</f>
        <v>236.38697403706243</v>
      </c>
      <c r="BK15" s="6">
        <f t="shared" ref="BK15" ca="1" si="14">BH15/BJ15</f>
        <v>-0.87494386507032806</v>
      </c>
      <c r="BL15" s="6">
        <f t="shared" ref="BL15" ca="1" si="15">BI15/BJ15</f>
        <v>-0.48422436222870435</v>
      </c>
      <c r="BM15" s="6">
        <f t="shared" ref="BM15" ca="1" si="16">ATAN2(BK15,BL15)</f>
        <v>-2.636116203640726</v>
      </c>
      <c r="BN15" s="6">
        <f ca="1">BM15-$BJ$11</f>
        <v>-4.5555308236370831</v>
      </c>
      <c r="BO15" s="9">
        <f ca="1">BH15+$BG$5</f>
        <v>-286.40752941242613</v>
      </c>
      <c r="BP15" s="9">
        <f ca="1">BI15+$BH$5</f>
        <v>-170.64000000000004</v>
      </c>
      <c r="BQ15">
        <f ca="1">SQRT(POWER(BO15,2)+POWER(BP15,2))</f>
        <v>333.38758600783228</v>
      </c>
      <c r="BR15">
        <f ca="1">BO15/BQ15</f>
        <v>-0.85908276562432517</v>
      </c>
      <c r="BS15">
        <f ca="1">BP15/BQ15</f>
        <v>-0.51183669447125479</v>
      </c>
      <c r="BT15">
        <f ca="1">ATAN2(BR15,BS15)</f>
        <v>-2.6042712501206959</v>
      </c>
      <c r="BU15" s="40">
        <f ca="1">BT15-$U$13</f>
        <v>-5.7458639036104895</v>
      </c>
      <c r="BV15" s="9" t="s">
        <v>162</v>
      </c>
      <c r="BW15" s="9"/>
      <c r="BX15" s="1" t="s">
        <v>156</v>
      </c>
      <c r="BY15" s="1" t="s">
        <v>157</v>
      </c>
      <c r="BZ15" s="1" t="s">
        <v>158</v>
      </c>
      <c r="CA15" s="1" t="s">
        <v>159</v>
      </c>
    </row>
    <row r="16" spans="1:89" x14ac:dyDescent="0.25">
      <c r="A16">
        <v>2</v>
      </c>
      <c r="B16" s="20">
        <v>8</v>
      </c>
      <c r="C16" s="6">
        <f t="shared" ref="C16:C24" ca="1" si="17">OFFSET($G$14,MATCH(B16,$G$14:$G$29,0)-1,2)</f>
        <v>0.79</v>
      </c>
      <c r="D16" s="2">
        <v>-11</v>
      </c>
      <c r="E16" s="2">
        <v>22</v>
      </c>
      <c r="G16" s="1">
        <v>4</v>
      </c>
      <c r="H16" s="6">
        <v>0.5</v>
      </c>
      <c r="I16" s="6">
        <v>0.2</v>
      </c>
      <c r="K16" s="1">
        <f t="shared" si="12"/>
        <v>-11</v>
      </c>
      <c r="L16" s="1">
        <f t="shared" si="13"/>
        <v>22</v>
      </c>
      <c r="T16" s="39" t="s">
        <v>104</v>
      </c>
      <c r="U16" s="41">
        <f>U10/U15</f>
        <v>1E-10</v>
      </c>
      <c r="V16" s="41">
        <f>U11/U15</f>
        <v>-1</v>
      </c>
      <c r="W16" s="41">
        <f>U12/U15</f>
        <v>1E-10</v>
      </c>
      <c r="X16" s="40"/>
      <c r="AS16" s="6">
        <v>-2.8972465583105897</v>
      </c>
      <c r="AT16" s="6">
        <v>-284.98085520954021</v>
      </c>
      <c r="AU16" s="6">
        <v>-182.08415533050189</v>
      </c>
      <c r="AV16" s="6">
        <f t="shared" si="1"/>
        <v>3.7101497280783038</v>
      </c>
      <c r="AW16" s="6">
        <f t="shared" si="2"/>
        <v>6.6073962863888935</v>
      </c>
      <c r="AX16" s="6">
        <f t="shared" si="3"/>
        <v>-0.56855707458851068</v>
      </c>
      <c r="AY16" s="6">
        <f t="shared" si="4"/>
        <v>0.56855707458851068</v>
      </c>
      <c r="AZ16" s="47">
        <f t="shared" si="5"/>
        <v>3.3859387488689965</v>
      </c>
      <c r="BA16" s="47">
        <f t="shared" si="6"/>
        <v>3.7101497280783038</v>
      </c>
      <c r="BB16" s="47">
        <f t="shared" si="7"/>
        <v>6.6073962863888935</v>
      </c>
      <c r="BC16" s="47">
        <f t="shared" si="8"/>
        <v>-0.56855707458851068</v>
      </c>
      <c r="BD16" s="47">
        <f t="shared" si="9"/>
        <v>0.56855707458851068</v>
      </c>
      <c r="BE16" s="40"/>
      <c r="BF16" s="40"/>
      <c r="BG16" s="6">
        <f t="shared" ref="BG16:BG79" si="18">AS3</f>
        <v>-3.12413936106985</v>
      </c>
      <c r="BH16" s="9">
        <f t="shared" ref="BH16:BH79" ca="1" si="19">AT3-$BG$5</f>
        <v>-206.81834033092935</v>
      </c>
      <c r="BI16" s="9">
        <f t="shared" ref="BI16:BI79" ca="1" si="20">AU3-$BH$5</f>
        <v>-115.26551922247501</v>
      </c>
      <c r="BJ16">
        <f t="shared" ref="BJ16:BJ79" ca="1" si="21">SQRT(POWER(BH16,2)+POWER(BI16,2))</f>
        <v>236.76985834110488</v>
      </c>
      <c r="BK16" s="6">
        <f t="shared" ref="BK16:BK79" ca="1" si="22">BH16/BJ16</f>
        <v>-0.87349944701565185</v>
      </c>
      <c r="BL16" s="6">
        <f t="shared" ref="BL16:BL79" ca="1" si="23">BI16/BJ16</f>
        <v>-0.48682513910371383</v>
      </c>
      <c r="BM16" s="6">
        <f t="shared" ref="BM16:BM79" ca="1" si="24">ATAN2(BK16,BL16)</f>
        <v>-2.6331412430699439</v>
      </c>
      <c r="BN16" s="6">
        <f t="shared" ref="BN16:BN79" ca="1" si="25">BM16-$BJ$11</f>
        <v>-4.552555863066301</v>
      </c>
      <c r="BO16" s="9">
        <f t="shared" ref="BO16:BO79" ca="1" si="26">BH16+$BG$5</f>
        <v>-286.40053702708877</v>
      </c>
      <c r="BP16" s="9">
        <f t="shared" ref="BP16:BP79" ca="1" si="27">BI16+$BH$5</f>
        <v>-171.4411874802052</v>
      </c>
      <c r="BQ16">
        <f t="shared" ref="BQ16:BQ79" ca="1" si="28">SQRT(POWER(BO16,2)+POWER(BP16,2))</f>
        <v>333.79237315137641</v>
      </c>
      <c r="BR16">
        <f t="shared" ref="BR16:BR79" ca="1" si="29">BO16/BQ16</f>
        <v>-0.85802001502654102</v>
      </c>
      <c r="BS16">
        <f t="shared" ref="BS16:BS79" ca="1" si="30">BP16/BQ16</f>
        <v>-0.51361625150870605</v>
      </c>
      <c r="BT16">
        <f t="shared" ref="BT16:BT79" ca="1" si="31">ATAN2(BR16,BS16)</f>
        <v>-2.6021985071021843</v>
      </c>
      <c r="BU16" s="40">
        <f t="shared" ref="BU16:BU79" ca="1" si="32">BT16-$U$13</f>
        <v>-5.7437911605919769</v>
      </c>
      <c r="BV16">
        <f ca="1">BG9+BV13</f>
        <v>-100</v>
      </c>
      <c r="BW16">
        <f ca="1">BW13+BH9</f>
        <v>1.000000082740371E-8</v>
      </c>
      <c r="BX16">
        <f ca="1">SQRT(POWER(BV16,2)+POWER(BW16,2))</f>
        <v>100</v>
      </c>
      <c r="BY16">
        <f ca="1">BV16/BX16</f>
        <v>-1</v>
      </c>
      <c r="BZ16">
        <f ca="1">BW16/BX16</f>
        <v>1.000000082740371E-10</v>
      </c>
      <c r="CA16">
        <f ca="1">ATAN2(BY16,BZ16)</f>
        <v>3.1415926534897931</v>
      </c>
    </row>
    <row r="17" spans="1:73" x14ac:dyDescent="0.25">
      <c r="A17">
        <v>3</v>
      </c>
      <c r="B17" s="20">
        <v>8</v>
      </c>
      <c r="C17" s="6">
        <f t="shared" ca="1" si="17"/>
        <v>0.79</v>
      </c>
      <c r="D17" s="2">
        <v>-1</v>
      </c>
      <c r="E17" s="2">
        <v>22</v>
      </c>
      <c r="G17" s="1">
        <v>5</v>
      </c>
      <c r="H17" s="6">
        <v>0.625</v>
      </c>
      <c r="I17" s="6">
        <v>0.31</v>
      </c>
      <c r="K17" s="1">
        <f t="shared" si="12"/>
        <v>-1</v>
      </c>
      <c r="L17" s="1">
        <f t="shared" si="13"/>
        <v>22</v>
      </c>
      <c r="AS17" s="6">
        <v>-2.8797932657906467</v>
      </c>
      <c r="AT17" s="6">
        <v>-284.75979354273727</v>
      </c>
      <c r="AU17" s="6">
        <v>-182.93886793258838</v>
      </c>
      <c r="AV17" s="6">
        <f t="shared" si="1"/>
        <v>3.7126294118472942</v>
      </c>
      <c r="AW17" s="6">
        <f t="shared" si="2"/>
        <v>6.5924226776379413</v>
      </c>
      <c r="AX17" s="6">
        <f t="shared" si="3"/>
        <v>-0.57103675835750112</v>
      </c>
      <c r="AY17" s="6">
        <f t="shared" si="4"/>
        <v>0.57103675835750112</v>
      </c>
      <c r="AZ17" s="47">
        <f t="shared" si="5"/>
        <v>3.4033920413889396</v>
      </c>
      <c r="BA17" s="47">
        <f t="shared" si="6"/>
        <v>3.7126294118472942</v>
      </c>
      <c r="BB17" s="47">
        <f t="shared" si="7"/>
        <v>6.5924226776379413</v>
      </c>
      <c r="BC17" s="47">
        <f t="shared" si="8"/>
        <v>-0.57103675835750112</v>
      </c>
      <c r="BD17" s="47">
        <f t="shared" si="9"/>
        <v>0.57103675835750112</v>
      </c>
      <c r="BE17" s="40"/>
      <c r="BF17" s="40"/>
      <c r="BG17" s="6">
        <f t="shared" si="18"/>
        <v>-3.1066860685499069</v>
      </c>
      <c r="BH17" s="9">
        <f t="shared" ca="1" si="19"/>
        <v>-206.79734610465727</v>
      </c>
      <c r="BI17" s="9">
        <f t="shared" ca="1" si="20"/>
        <v>-116.06719506194105</v>
      </c>
      <c r="BJ17">
        <f t="shared" ca="1" si="21"/>
        <v>237.14286016128776</v>
      </c>
      <c r="BK17" s="6">
        <f t="shared" ca="1" si="22"/>
        <v>-0.87203699054657757</v>
      </c>
      <c r="BL17" s="6">
        <f t="shared" ca="1" si="23"/>
        <v>-0.48943997294711034</v>
      </c>
      <c r="BM17" s="6">
        <f t="shared" ca="1" si="24"/>
        <v>-2.6301452220975929</v>
      </c>
      <c r="BN17" s="6">
        <f t="shared" ca="1" si="25"/>
        <v>-4.5495598420939505</v>
      </c>
      <c r="BO17" s="9">
        <f t="shared" ca="1" si="26"/>
        <v>-286.37954280081669</v>
      </c>
      <c r="BP17" s="9">
        <f t="shared" ca="1" si="27"/>
        <v>-172.24286331967124</v>
      </c>
      <c r="BQ17">
        <f t="shared" ca="1" si="28"/>
        <v>334.18684369580404</v>
      </c>
      <c r="BR17">
        <f t="shared" ca="1" si="29"/>
        <v>-0.85694439563723734</v>
      </c>
      <c r="BS17">
        <f t="shared" ca="1" si="30"/>
        <v>-0.51540886952586484</v>
      </c>
      <c r="BT17">
        <f t="shared" ca="1" si="31"/>
        <v>-2.6001079478426044</v>
      </c>
      <c r="BU17" s="40">
        <f t="shared" ca="1" si="32"/>
        <v>-5.741700601332397</v>
      </c>
    </row>
    <row r="18" spans="1:73" x14ac:dyDescent="0.25">
      <c r="A18">
        <v>4</v>
      </c>
      <c r="B18" s="20">
        <v>8</v>
      </c>
      <c r="C18" s="6">
        <f t="shared" ca="1" si="17"/>
        <v>0.79</v>
      </c>
      <c r="D18" s="2">
        <v>9</v>
      </c>
      <c r="E18" s="2">
        <v>22</v>
      </c>
      <c r="G18" s="1">
        <v>6</v>
      </c>
      <c r="H18" s="6">
        <v>0.75</v>
      </c>
      <c r="I18" s="6">
        <v>0.44</v>
      </c>
      <c r="K18" s="1">
        <f t="shared" si="12"/>
        <v>9</v>
      </c>
      <c r="L18" s="1">
        <f t="shared" si="13"/>
        <v>22</v>
      </c>
      <c r="T18" s="8" t="s">
        <v>105</v>
      </c>
      <c r="U18" s="6">
        <f ca="1">SQRT(POWER(U6,2)+POWER(U5,2)+POWER(U4,2))</f>
        <v>196.88704407437012</v>
      </c>
      <c r="AS18" s="6">
        <v>-2.8623399732707036</v>
      </c>
      <c r="AT18" s="6">
        <v>-284.52051348735336</v>
      </c>
      <c r="AU18" s="6">
        <v>-183.80161320632919</v>
      </c>
      <c r="AV18" s="6">
        <f t="shared" si="1"/>
        <v>3.7151541580854834</v>
      </c>
      <c r="AW18" s="6">
        <f t="shared" si="2"/>
        <v>6.577494131356187</v>
      </c>
      <c r="AX18" s="6">
        <f t="shared" si="3"/>
        <v>-0.57356150459569033</v>
      </c>
      <c r="AY18" s="6">
        <f t="shared" si="4"/>
        <v>0.57356150459569033</v>
      </c>
      <c r="AZ18" s="47">
        <f t="shared" si="5"/>
        <v>3.4208453339088827</v>
      </c>
      <c r="BA18" s="47">
        <f t="shared" si="6"/>
        <v>3.7151541580854834</v>
      </c>
      <c r="BB18" s="47">
        <f t="shared" si="7"/>
        <v>6.577494131356187</v>
      </c>
      <c r="BC18" s="47">
        <f t="shared" si="8"/>
        <v>-0.57356150459569033</v>
      </c>
      <c r="BD18" s="47">
        <f t="shared" si="9"/>
        <v>0.57356150459569033</v>
      </c>
      <c r="BE18" s="40"/>
      <c r="BF18" s="40"/>
      <c r="BG18" s="6">
        <f t="shared" si="18"/>
        <v>-3.0892327760299638</v>
      </c>
      <c r="BH18" s="9">
        <f t="shared" ca="1" si="19"/>
        <v>-206.7622988147881</v>
      </c>
      <c r="BI18" s="9">
        <f t="shared" ca="1" si="20"/>
        <v>-116.86984881136144</v>
      </c>
      <c r="BJ18">
        <f t="shared" ca="1" si="21"/>
        <v>237.50623101798024</v>
      </c>
      <c r="BK18" s="6">
        <f t="shared" ca="1" si="22"/>
        <v>-0.87055526050234577</v>
      </c>
      <c r="BL18" s="6">
        <f t="shared" ca="1" si="23"/>
        <v>-0.49207066404297362</v>
      </c>
      <c r="BM18" s="6">
        <f t="shared" ca="1" si="24"/>
        <v>-2.627125939651207</v>
      </c>
      <c r="BN18" s="6">
        <f t="shared" ca="1" si="25"/>
        <v>-4.5465405596475641</v>
      </c>
      <c r="BO18" s="9">
        <f t="shared" ca="1" si="26"/>
        <v>-286.34449551094752</v>
      </c>
      <c r="BP18" s="9">
        <f t="shared" ca="1" si="27"/>
        <v>-173.04551706909163</v>
      </c>
      <c r="BQ18">
        <f t="shared" ca="1" si="28"/>
        <v>334.57124964217763</v>
      </c>
      <c r="BR18">
        <f t="shared" ca="1" si="29"/>
        <v>-0.85585505573832665</v>
      </c>
      <c r="BS18">
        <f t="shared" ca="1" si="30"/>
        <v>-0.51721574180137408</v>
      </c>
      <c r="BT18">
        <f t="shared" ca="1" si="31"/>
        <v>-2.5979981017613349</v>
      </c>
      <c r="BU18" s="40">
        <f t="shared" ca="1" si="32"/>
        <v>-5.7395907552511281</v>
      </c>
    </row>
    <row r="19" spans="1:73" x14ac:dyDescent="0.25">
      <c r="A19">
        <v>5</v>
      </c>
      <c r="B19" s="20">
        <v>0</v>
      </c>
      <c r="C19" s="6">
        <f t="shared" ca="1" si="17"/>
        <v>0</v>
      </c>
      <c r="D19" s="2">
        <v>3</v>
      </c>
      <c r="E19" s="2">
        <v>22</v>
      </c>
      <c r="G19" s="1">
        <v>7</v>
      </c>
      <c r="H19" s="6">
        <v>0.875</v>
      </c>
      <c r="I19" s="6">
        <v>0.6</v>
      </c>
      <c r="K19" s="1" t="e">
        <f t="shared" si="12"/>
        <v>#N/A</v>
      </c>
      <c r="L19" s="1" t="e">
        <f t="shared" si="13"/>
        <v>#N/A</v>
      </c>
      <c r="T19" s="8" t="s">
        <v>106</v>
      </c>
      <c r="U19" s="41">
        <f ca="1">U4/U18</f>
        <v>5.305173813804409E-11</v>
      </c>
      <c r="V19" s="41">
        <f ca="1">U5/U18</f>
        <v>-1</v>
      </c>
      <c r="W19" s="41">
        <f ca="1">U6/U18</f>
        <v>1.026950718843311E-10</v>
      </c>
      <c r="X19" s="40"/>
      <c r="AS19" s="6">
        <v>-2.8448866807507605</v>
      </c>
      <c r="AT19" s="6">
        <v>-284.26236423371745</v>
      </c>
      <c r="AU19" s="6">
        <v>-184.67303827895239</v>
      </c>
      <c r="AV19" s="6">
        <f t="shared" si="1"/>
        <v>3.7177267203104054</v>
      </c>
      <c r="AW19" s="6">
        <f t="shared" si="2"/>
        <v>6.5626134010611654</v>
      </c>
      <c r="AX19" s="6">
        <f t="shared" si="3"/>
        <v>-0.5761340668206123</v>
      </c>
      <c r="AY19" s="6">
        <f t="shared" si="4"/>
        <v>0.5761340668206123</v>
      </c>
      <c r="AZ19" s="47">
        <f t="shared" si="5"/>
        <v>3.4382986264288258</v>
      </c>
      <c r="BA19" s="47">
        <f t="shared" si="6"/>
        <v>3.7177267203104054</v>
      </c>
      <c r="BB19" s="47">
        <f t="shared" si="7"/>
        <v>6.5626134010611654</v>
      </c>
      <c r="BC19" s="47">
        <f t="shared" si="8"/>
        <v>-0.5761340668206123</v>
      </c>
      <c r="BD19" s="47">
        <f t="shared" si="9"/>
        <v>0.5761340668206123</v>
      </c>
      <c r="BE19" s="40"/>
      <c r="BF19" s="40"/>
      <c r="BG19" s="6">
        <f t="shared" si="18"/>
        <v>-3.0717794835100207</v>
      </c>
      <c r="BH19" s="9">
        <f t="shared" ca="1" si="19"/>
        <v>-206.71311274108194</v>
      </c>
      <c r="BI19" s="9">
        <f t="shared" ca="1" si="20"/>
        <v>-117.67397241047695</v>
      </c>
      <c r="BJ19">
        <f t="shared" ca="1" si="21"/>
        <v>237.86020003768797</v>
      </c>
      <c r="BK19" s="6">
        <f t="shared" ca="1" si="22"/>
        <v>-0.86905296770257945</v>
      </c>
      <c r="BL19" s="6">
        <f t="shared" ca="1" si="23"/>
        <v>-0.49471905090398471</v>
      </c>
      <c r="BM19" s="6">
        <f t="shared" ca="1" si="24"/>
        <v>-2.6240811336172891</v>
      </c>
      <c r="BN19" s="6">
        <f t="shared" ca="1" si="25"/>
        <v>-4.5434957536136462</v>
      </c>
      <c r="BO19" s="9">
        <f t="shared" ca="1" si="26"/>
        <v>-286.29530943724137</v>
      </c>
      <c r="BP19" s="9">
        <f t="shared" ca="1" si="27"/>
        <v>-173.84964066820714</v>
      </c>
      <c r="BQ19">
        <f t="shared" ca="1" si="28"/>
        <v>334.94581915024781</v>
      </c>
      <c r="BR19">
        <f t="shared" ca="1" si="29"/>
        <v>-0.85475110620448402</v>
      </c>
      <c r="BS19">
        <f t="shared" ca="1" si="30"/>
        <v>-0.51903809729364858</v>
      </c>
      <c r="BT19">
        <f t="shared" ca="1" si="31"/>
        <v>-2.5958674479107788</v>
      </c>
      <c r="BU19" s="40">
        <f t="shared" ca="1" si="32"/>
        <v>-5.7374601014005719</v>
      </c>
    </row>
    <row r="20" spans="1:73" x14ac:dyDescent="0.25">
      <c r="A20">
        <v>6</v>
      </c>
      <c r="B20" s="20">
        <v>0</v>
      </c>
      <c r="C20" s="6">
        <f t="shared" ca="1" si="17"/>
        <v>0</v>
      </c>
      <c r="D20" s="2">
        <v>13</v>
      </c>
      <c r="E20" s="2">
        <v>22</v>
      </c>
      <c r="G20" s="1">
        <v>8</v>
      </c>
      <c r="H20" s="6">
        <v>1</v>
      </c>
      <c r="I20" s="6">
        <v>0.79</v>
      </c>
      <c r="K20" s="1" t="e">
        <f t="shared" si="12"/>
        <v>#N/A</v>
      </c>
      <c r="L20" s="1" t="e">
        <f t="shared" si="13"/>
        <v>#N/A</v>
      </c>
      <c r="AS20" s="6">
        <v>-2.8274333882308174</v>
      </c>
      <c r="AT20" s="6">
        <v>-283.98463344151526</v>
      </c>
      <c r="AU20" s="6">
        <v>-185.55381405709028</v>
      </c>
      <c r="AV20" s="6">
        <f t="shared" si="1"/>
        <v>3.7203500129121445</v>
      </c>
      <c r="AW20" s="6">
        <f t="shared" si="2"/>
        <v>6.5477834011429614</v>
      </c>
      <c r="AX20" s="6">
        <f t="shared" si="3"/>
        <v>-0.5787573594223514</v>
      </c>
      <c r="AY20" s="6">
        <f t="shared" si="4"/>
        <v>0.5787573594223514</v>
      </c>
      <c r="AZ20" s="47">
        <f t="shared" si="5"/>
        <v>3.4557519189487689</v>
      </c>
      <c r="BA20" s="47">
        <f t="shared" si="6"/>
        <v>3.7203500129121445</v>
      </c>
      <c r="BB20" s="47">
        <f t="shared" si="7"/>
        <v>6.5477834011429614</v>
      </c>
      <c r="BC20" s="47">
        <f t="shared" si="8"/>
        <v>-0.5787573594223514</v>
      </c>
      <c r="BD20" s="47">
        <f t="shared" si="9"/>
        <v>0.5787573594223514</v>
      </c>
      <c r="BE20" s="40"/>
      <c r="BF20" s="40"/>
      <c r="BG20" s="6">
        <f t="shared" si="18"/>
        <v>-3.0543261909900776</v>
      </c>
      <c r="BH20" s="9">
        <f t="shared" ca="1" si="19"/>
        <v>-206.64966729923384</v>
      </c>
      <c r="BI20" s="9">
        <f t="shared" ca="1" si="20"/>
        <v>-118.48006139810971</v>
      </c>
      <c r="BJ20">
        <f t="shared" ca="1" si="21"/>
        <v>238.20497464113524</v>
      </c>
      <c r="BK20" s="6">
        <f t="shared" ca="1" si="22"/>
        <v>-0.86752876429452974</v>
      </c>
      <c r="BL20" s="6">
        <f t="shared" ca="1" si="23"/>
        <v>-0.4973870154332603</v>
      </c>
      <c r="BM20" s="6">
        <f t="shared" ca="1" si="24"/>
        <v>-2.6210084738270325</v>
      </c>
      <c r="BN20" s="6">
        <f t="shared" ca="1" si="25"/>
        <v>-4.5404230938233896</v>
      </c>
      <c r="BO20" s="9">
        <f t="shared" ca="1" si="26"/>
        <v>-286.23186399539327</v>
      </c>
      <c r="BP20" s="9">
        <f t="shared" ca="1" si="27"/>
        <v>-174.65572965583991</v>
      </c>
      <c r="BQ20">
        <f t="shared" ca="1" si="28"/>
        <v>335.31075716101196</v>
      </c>
      <c r="BR20">
        <f t="shared" ca="1" si="29"/>
        <v>-0.85363161748475713</v>
      </c>
      <c r="BS20">
        <f t="shared" ca="1" si="30"/>
        <v>-0.52087720398416104</v>
      </c>
      <c r="BT20">
        <f t="shared" ca="1" si="31"/>
        <v>-2.5937144104741812</v>
      </c>
      <c r="BU20" s="40">
        <f t="shared" ca="1" si="32"/>
        <v>-5.7353070639639743</v>
      </c>
    </row>
    <row r="21" spans="1:73" x14ac:dyDescent="0.25">
      <c r="A21">
        <v>7</v>
      </c>
      <c r="B21" s="20">
        <v>0</v>
      </c>
      <c r="C21" s="6">
        <f t="shared" ca="1" si="17"/>
        <v>0</v>
      </c>
      <c r="D21" s="2">
        <v>23</v>
      </c>
      <c r="E21" s="2">
        <v>22</v>
      </c>
      <c r="G21" s="1">
        <v>9</v>
      </c>
      <c r="H21" s="6">
        <v>1.1279999999999999</v>
      </c>
      <c r="I21" s="6">
        <v>1</v>
      </c>
      <c r="K21" s="1" t="e">
        <f t="shared" si="12"/>
        <v>#N/A</v>
      </c>
      <c r="L21" s="1" t="e">
        <f t="shared" si="13"/>
        <v>#N/A</v>
      </c>
      <c r="T21" s="8" t="s">
        <v>107</v>
      </c>
      <c r="U21" s="41">
        <f ca="1">U16-U19</f>
        <v>4.6948261861955913E-11</v>
      </c>
      <c r="V21" s="41">
        <f t="shared" ref="V21:W21" ca="1" si="33">V16-V19</f>
        <v>0</v>
      </c>
      <c r="W21" s="41">
        <f t="shared" ca="1" si="33"/>
        <v>-2.6950718843310953E-12</v>
      </c>
      <c r="AS21" s="6">
        <v>-2.8099800957108743</v>
      </c>
      <c r="AT21" s="6">
        <v>-283.68654286487197</v>
      </c>
      <c r="AU21" s="6">
        <v>-186.44463744999541</v>
      </c>
      <c r="AV21" s="6">
        <f t="shared" si="1"/>
        <v>3.7230271252878979</v>
      </c>
      <c r="AW21" s="6">
        <f t="shared" si="2"/>
        <v>6.5330072209987726</v>
      </c>
      <c r="AX21" s="6">
        <f t="shared" si="3"/>
        <v>-0.58143447179810481</v>
      </c>
      <c r="AY21" s="6">
        <f t="shared" si="4"/>
        <v>0.58143447179810481</v>
      </c>
      <c r="AZ21" s="47">
        <f t="shared" si="5"/>
        <v>3.473205211468712</v>
      </c>
      <c r="BA21" s="47">
        <f t="shared" si="6"/>
        <v>3.7230271252878979</v>
      </c>
      <c r="BB21" s="47">
        <f t="shared" si="7"/>
        <v>6.5330072209987726</v>
      </c>
      <c r="BC21" s="47">
        <f t="shared" si="8"/>
        <v>-0.58143447179810481</v>
      </c>
      <c r="BD21" s="47">
        <f t="shared" si="9"/>
        <v>0.58143447179810481</v>
      </c>
      <c r="BE21" s="40"/>
      <c r="BF21" s="40"/>
      <c r="BG21" s="6">
        <f t="shared" si="18"/>
        <v>-3.0368728984701345</v>
      </c>
      <c r="BH21" s="9">
        <f t="shared" ca="1" si="19"/>
        <v>-206.57180635210295</v>
      </c>
      <c r="BI21" s="9">
        <f t="shared" ca="1" si="20"/>
        <v>-119.28861614096428</v>
      </c>
      <c r="BJ21">
        <f t="shared" ca="1" si="21"/>
        <v>238.54074100747872</v>
      </c>
      <c r="BK21" s="6">
        <f t="shared" ca="1" si="22"/>
        <v>-0.86598123859113241</v>
      </c>
      <c r="BL21" s="6">
        <f t="shared" ca="1" si="23"/>
        <v>-0.50007648855766884</v>
      </c>
      <c r="BM21" s="6">
        <f t="shared" ca="1" si="24"/>
        <v>-2.6179055543606862</v>
      </c>
      <c r="BN21" s="6">
        <f t="shared" ca="1" si="25"/>
        <v>-4.5373201743570437</v>
      </c>
      <c r="BO21" s="9">
        <f t="shared" ca="1" si="26"/>
        <v>-286.15400304826238</v>
      </c>
      <c r="BP21" s="9">
        <f t="shared" ca="1" si="27"/>
        <v>-175.46428439869447</v>
      </c>
      <c r="BQ21">
        <f t="shared" ca="1" si="28"/>
        <v>335.66624578603506</v>
      </c>
      <c r="BR21">
        <f t="shared" ca="1" si="29"/>
        <v>-0.85249561622787229</v>
      </c>
      <c r="BS21">
        <f t="shared" ca="1" si="30"/>
        <v>-0.52273437261410338</v>
      </c>
      <c r="BT21">
        <f t="shared" ca="1" si="31"/>
        <v>-2.5915373537345321</v>
      </c>
      <c r="BU21" s="40">
        <f t="shared" ca="1" si="32"/>
        <v>-5.7331300072243252</v>
      </c>
    </row>
    <row r="22" spans="1:73" x14ac:dyDescent="0.25">
      <c r="A22">
        <v>8</v>
      </c>
      <c r="B22" s="20">
        <v>0</v>
      </c>
      <c r="C22" s="6">
        <f t="shared" ca="1" si="17"/>
        <v>0</v>
      </c>
      <c r="D22" s="2">
        <v>33</v>
      </c>
      <c r="E22" s="2">
        <v>22</v>
      </c>
      <c r="G22" s="1">
        <v>10</v>
      </c>
      <c r="H22" s="6">
        <v>1.27</v>
      </c>
      <c r="I22" s="6">
        <v>1.27</v>
      </c>
      <c r="K22" s="1" t="e">
        <f t="shared" si="12"/>
        <v>#N/A</v>
      </c>
      <c r="L22" s="1" t="e">
        <f t="shared" si="13"/>
        <v>#N/A</v>
      </c>
      <c r="U22" s="1" t="s">
        <v>99</v>
      </c>
      <c r="V22" s="1" t="s">
        <v>100</v>
      </c>
      <c r="W22" s="1" t="s">
        <v>101</v>
      </c>
      <c r="AS22" s="6">
        <v>-2.7925268031909312</v>
      </c>
      <c r="AT22" s="6">
        <v>-283.36724350329962</v>
      </c>
      <c r="AU22" s="6">
        <v>-187.34623375281848</v>
      </c>
      <c r="AV22" s="6">
        <f t="shared" si="1"/>
        <v>3.7257613373261491</v>
      </c>
      <c r="AW22" s="6">
        <f t="shared" si="2"/>
        <v>6.5182881405170807</v>
      </c>
      <c r="AX22" s="6">
        <f t="shared" si="3"/>
        <v>-0.58416868383635601</v>
      </c>
      <c r="AY22" s="6">
        <f t="shared" si="4"/>
        <v>0.58416868383635601</v>
      </c>
      <c r="AZ22" s="47">
        <f t="shared" si="5"/>
        <v>3.4906585039886551</v>
      </c>
      <c r="BA22" s="47">
        <f t="shared" si="6"/>
        <v>3.7257613373261491</v>
      </c>
      <c r="BB22" s="47">
        <f t="shared" si="7"/>
        <v>6.5182881405170807</v>
      </c>
      <c r="BC22" s="47">
        <f t="shared" si="8"/>
        <v>-0.58416868383635601</v>
      </c>
      <c r="BD22" s="47">
        <f t="shared" si="9"/>
        <v>0.58416868383635601</v>
      </c>
      <c r="BE22" s="40"/>
      <c r="BF22" s="40"/>
      <c r="BG22" s="6">
        <f t="shared" si="18"/>
        <v>-3.0194196059501914</v>
      </c>
      <c r="BH22" s="9">
        <f t="shared" ca="1" si="19"/>
        <v>-206.4793374042743</v>
      </c>
      <c r="BI22" s="9">
        <f t="shared" ca="1" si="20"/>
        <v>-120.10014308771309</v>
      </c>
      <c r="BJ22">
        <f t="shared" ca="1" si="21"/>
        <v>238.86766450191058</v>
      </c>
      <c r="BK22" s="6">
        <f t="shared" ca="1" si="22"/>
        <v>-0.864408909572701</v>
      </c>
      <c r="BL22" s="6">
        <f t="shared" ca="1" si="23"/>
        <v>-0.50278945598663261</v>
      </c>
      <c r="BM22" s="6">
        <f t="shared" ca="1" si="24"/>
        <v>-2.6147698855533679</v>
      </c>
      <c r="BN22" s="6">
        <f t="shared" ca="1" si="25"/>
        <v>-4.5341845055497245</v>
      </c>
      <c r="BO22" s="9">
        <f t="shared" ca="1" si="26"/>
        <v>-286.06153410043373</v>
      </c>
      <c r="BP22" s="9">
        <f t="shared" ca="1" si="27"/>
        <v>-176.27581134544329</v>
      </c>
      <c r="BQ22">
        <f t="shared" ca="1" si="28"/>
        <v>336.01244464660522</v>
      </c>
      <c r="BR22">
        <f t="shared" ca="1" si="29"/>
        <v>-0.85134208169371106</v>
      </c>
      <c r="BS22">
        <f t="shared" ca="1" si="30"/>
        <v>-0.52461096055783907</v>
      </c>
      <c r="BT22">
        <f t="shared" ca="1" si="31"/>
        <v>-2.5893345768066327</v>
      </c>
      <c r="BU22" s="40">
        <f t="shared" ca="1" si="32"/>
        <v>-5.7309272302964258</v>
      </c>
    </row>
    <row r="23" spans="1:73" x14ac:dyDescent="0.25">
      <c r="A23">
        <v>9</v>
      </c>
      <c r="B23" s="20">
        <v>0</v>
      </c>
      <c r="C23" s="6">
        <f t="shared" ca="1" si="17"/>
        <v>0</v>
      </c>
      <c r="D23" s="2">
        <v>6</v>
      </c>
      <c r="E23" s="2">
        <v>2</v>
      </c>
      <c r="G23" s="1">
        <v>11</v>
      </c>
      <c r="H23" s="6">
        <v>1.41</v>
      </c>
      <c r="I23" s="6">
        <v>1.56</v>
      </c>
      <c r="K23" s="1" t="e">
        <f t="shared" si="12"/>
        <v>#N/A</v>
      </c>
      <c r="L23" s="1" t="e">
        <f t="shared" si="13"/>
        <v>#N/A</v>
      </c>
      <c r="T23" s="8" t="s">
        <v>108</v>
      </c>
      <c r="U23" s="41">
        <f ca="1">SQRT(POWER(U21,2)+POWER(V21,2)+POWER(W21,2))</f>
        <v>4.7025553737521223E-11</v>
      </c>
      <c r="V23" t="str">
        <f ca="1">IF(ABS(U23)&lt;=L1,"","NG")</f>
        <v/>
      </c>
      <c r="AS23" s="6">
        <v>-2.7750735106709881</v>
      </c>
      <c r="AT23" s="6">
        <v>-283.02581024967822</v>
      </c>
      <c r="AU23" s="6">
        <v>-188.25935920812537</v>
      </c>
      <c r="AV23" s="6">
        <f t="shared" si="1"/>
        <v>3.7285561363654254</v>
      </c>
      <c r="AW23" s="6">
        <f t="shared" si="2"/>
        <v>6.5036296470364139</v>
      </c>
      <c r="AX23" s="6">
        <f t="shared" si="3"/>
        <v>-0.58696348287563227</v>
      </c>
      <c r="AY23" s="6">
        <f t="shared" si="4"/>
        <v>0.58696348287563227</v>
      </c>
      <c r="AZ23" s="47">
        <f t="shared" si="5"/>
        <v>3.5081117965085982</v>
      </c>
      <c r="BA23" s="47">
        <f t="shared" si="6"/>
        <v>3.7285561363654254</v>
      </c>
      <c r="BB23" s="47">
        <f t="shared" si="7"/>
        <v>6.5036296470364139</v>
      </c>
      <c r="BC23" s="47">
        <f t="shared" si="8"/>
        <v>-0.58696348287563227</v>
      </c>
      <c r="BD23" s="47">
        <f t="shared" si="9"/>
        <v>0.58696348287563227</v>
      </c>
      <c r="BE23" s="40"/>
      <c r="BF23" s="40"/>
      <c r="BG23" s="6">
        <f t="shared" si="18"/>
        <v>-3.0019663134302483</v>
      </c>
      <c r="BH23" s="9">
        <f t="shared" ca="1" si="19"/>
        <v>-206.3720305990301</v>
      </c>
      <c r="BI23" s="9">
        <f t="shared" ca="1" si="20"/>
        <v>-120.91515605510949</v>
      </c>
      <c r="BJ23">
        <f t="shared" ca="1" si="21"/>
        <v>239.18589000482135</v>
      </c>
      <c r="BK23" s="6">
        <f t="shared" ca="1" si="22"/>
        <v>-0.86281022093264026</v>
      </c>
      <c r="BL23" s="6">
        <f t="shared" ca="1" si="23"/>
        <v>-0.5055279642652506</v>
      </c>
      <c r="BM23" s="6">
        <f t="shared" ca="1" si="24"/>
        <v>-2.6115988854925711</v>
      </c>
      <c r="BN23" s="6">
        <f t="shared" ca="1" si="25"/>
        <v>-4.5310135054889287</v>
      </c>
      <c r="BO23" s="9">
        <f t="shared" ca="1" si="26"/>
        <v>-285.95422729518953</v>
      </c>
      <c r="BP23" s="9">
        <f t="shared" ca="1" si="27"/>
        <v>-177.09082431283969</v>
      </c>
      <c r="BQ23">
        <f t="shared" ca="1" si="28"/>
        <v>336.34949110083392</v>
      </c>
      <c r="BR23">
        <f t="shared" ca="1" si="29"/>
        <v>-0.8501699418640225</v>
      </c>
      <c r="BS23">
        <f t="shared" ca="1" si="30"/>
        <v>-0.52650837595514532</v>
      </c>
      <c r="BT23">
        <f t="shared" ca="1" si="31"/>
        <v>-2.5871043079815621</v>
      </c>
      <c r="BU23" s="40">
        <f t="shared" ca="1" si="32"/>
        <v>-5.7286969614713552</v>
      </c>
    </row>
    <row r="24" spans="1:73" ht="15.75" thickBot="1" x14ac:dyDescent="0.3">
      <c r="A24">
        <v>10</v>
      </c>
      <c r="B24" s="20">
        <v>0</v>
      </c>
      <c r="C24" s="11">
        <f t="shared" ca="1" si="17"/>
        <v>0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 t="e">
        <f t="shared" si="12"/>
        <v>#N/A</v>
      </c>
      <c r="L24" s="1" t="e">
        <f t="shared" si="13"/>
        <v>#N/A</v>
      </c>
      <c r="AS24" s="6">
        <v>-2.757620218151045</v>
      </c>
      <c r="AT24" s="6">
        <v>-282.66123587184484</v>
      </c>
      <c r="AU24" s="6">
        <v>-189.18480376583352</v>
      </c>
      <c r="AV24" s="6">
        <f t="shared" si="1"/>
        <v>3.7314152359819084</v>
      </c>
      <c r="AW24" s="6">
        <f t="shared" si="2"/>
        <v>6.4890354541329529</v>
      </c>
      <c r="AX24" s="6">
        <f t="shared" si="3"/>
        <v>-0.58982258249211528</v>
      </c>
      <c r="AY24" s="6">
        <f t="shared" si="4"/>
        <v>0.58982258249211528</v>
      </c>
      <c r="AZ24" s="47">
        <f t="shared" si="5"/>
        <v>3.5255650890285413</v>
      </c>
      <c r="BA24" s="47">
        <f t="shared" si="6"/>
        <v>3.7314152359819084</v>
      </c>
      <c r="BB24" s="47">
        <f t="shared" si="7"/>
        <v>6.4890354541329529</v>
      </c>
      <c r="BC24" s="47">
        <f t="shared" si="8"/>
        <v>-0.58982258249211528</v>
      </c>
      <c r="BD24" s="47">
        <f t="shared" si="9"/>
        <v>0.58982258249211528</v>
      </c>
      <c r="BE24" s="40"/>
      <c r="BF24" s="40"/>
      <c r="BG24" s="6">
        <f t="shared" si="18"/>
        <v>-2.9845130209103052</v>
      </c>
      <c r="BH24" s="9">
        <f t="shared" ca="1" si="19"/>
        <v>-206.24961748190429</v>
      </c>
      <c r="BI24" s="9">
        <f t="shared" ca="1" si="20"/>
        <v>-121.73417755316592</v>
      </c>
      <c r="BJ24">
        <f t="shared" ca="1" si="21"/>
        <v>239.49554212130457</v>
      </c>
      <c r="BK24" s="6">
        <f t="shared" ca="1" si="22"/>
        <v>-0.86118353458720664</v>
      </c>
      <c r="BL24" s="6">
        <f t="shared" ca="1" si="23"/>
        <v>-0.50829412720971445</v>
      </c>
      <c r="BM24" s="6">
        <f t="shared" ca="1" si="24"/>
        <v>-2.6083898708870024</v>
      </c>
      <c r="BN24" s="6">
        <f t="shared" ca="1" si="25"/>
        <v>-4.5278044908833595</v>
      </c>
      <c r="BO24" s="9">
        <f t="shared" ca="1" si="26"/>
        <v>-285.83181417806372</v>
      </c>
      <c r="BP24" s="9">
        <f t="shared" ca="1" si="27"/>
        <v>-177.90984581089612</v>
      </c>
      <c r="BQ24">
        <f t="shared" ca="1" si="28"/>
        <v>336.67750033641983</v>
      </c>
      <c r="BR24">
        <f t="shared" ca="1" si="29"/>
        <v>-0.8489780691981218</v>
      </c>
      <c r="BS24">
        <f t="shared" ca="1" si="30"/>
        <v>-0.52842808216504644</v>
      </c>
      <c r="BT24">
        <f t="shared" ca="1" si="31"/>
        <v>-2.5848446986001612</v>
      </c>
      <c r="BU24" s="40">
        <f t="shared" ca="1" si="32"/>
        <v>-5.7264373520899543</v>
      </c>
    </row>
    <row r="25" spans="1:73" ht="15.75" thickTop="1" x14ac:dyDescent="0.25">
      <c r="C25" s="6">
        <f ca="1">SUM(C15:C24)</f>
        <v>3.16</v>
      </c>
      <c r="D25" s="25">
        <f ca="1">C25/(B5*F27)</f>
        <v>1.196969696969697E-2</v>
      </c>
      <c r="G25" s="1">
        <v>18</v>
      </c>
      <c r="H25" s="6">
        <v>2.2570000000000001</v>
      </c>
      <c r="I25" s="6">
        <v>4</v>
      </c>
      <c r="AS25" s="6">
        <v>-2.7401669256311019</v>
      </c>
      <c r="AT25" s="6">
        <v>-282.27242435852946</v>
      </c>
      <c r="AU25" s="6">
        <v>-190.1233940640206</v>
      </c>
      <c r="AV25" s="6">
        <f t="shared" si="1"/>
        <v>3.7343425966584323</v>
      </c>
      <c r="AW25" s="6">
        <f t="shared" si="2"/>
        <v>6.4745095222895337</v>
      </c>
      <c r="AX25" s="6">
        <f t="shared" si="3"/>
        <v>-0.59274994316863916</v>
      </c>
      <c r="AY25" s="6">
        <f t="shared" si="4"/>
        <v>0.59274994316863916</v>
      </c>
      <c r="AZ25" s="47">
        <f t="shared" si="5"/>
        <v>3.5430183815484844</v>
      </c>
      <c r="BA25" s="47">
        <f t="shared" si="6"/>
        <v>3.7343425966584323</v>
      </c>
      <c r="BB25" s="47">
        <f t="shared" si="7"/>
        <v>6.4745095222895337</v>
      </c>
      <c r="BC25" s="47">
        <f t="shared" si="8"/>
        <v>-0.59274994316863916</v>
      </c>
      <c r="BD25" s="47">
        <f t="shared" si="9"/>
        <v>0.59274994316863916</v>
      </c>
      <c r="BE25" s="40"/>
      <c r="BF25" s="40"/>
      <c r="BG25" s="6">
        <f t="shared" si="18"/>
        <v>-2.9670597283903621</v>
      </c>
      <c r="BH25" s="9">
        <f t="shared" ca="1" si="19"/>
        <v>-206.11178958007019</v>
      </c>
      <c r="BI25" s="9">
        <f t="shared" ca="1" si="20"/>
        <v>-122.55774015678824</v>
      </c>
      <c r="BJ25">
        <f t="shared" ca="1" si="21"/>
        <v>239.79672532425866</v>
      </c>
      <c r="BK25" s="6">
        <f t="shared" ca="1" si="22"/>
        <v>-0.85952712365592598</v>
      </c>
      <c r="BL25" s="6">
        <f t="shared" ca="1" si="23"/>
        <v>-0.51109013265741154</v>
      </c>
      <c r="BM25" s="6">
        <f t="shared" ca="1" si="24"/>
        <v>-2.6051400473637942</v>
      </c>
      <c r="BN25" s="6">
        <f t="shared" ca="1" si="25"/>
        <v>-4.5245546673601513</v>
      </c>
      <c r="BO25" s="9">
        <f t="shared" ca="1" si="26"/>
        <v>-285.69398627622962</v>
      </c>
      <c r="BP25" s="9">
        <f t="shared" ca="1" si="27"/>
        <v>-178.73340841451844</v>
      </c>
      <c r="BQ25">
        <f t="shared" ca="1" si="28"/>
        <v>336.9965653799361</v>
      </c>
      <c r="BR25">
        <f t="shared" ca="1" si="29"/>
        <v>-0.8477652760470511</v>
      </c>
      <c r="BS25">
        <f t="shared" ca="1" si="30"/>
        <v>-0.53037160249099602</v>
      </c>
      <c r="BT25">
        <f t="shared" ca="1" si="31"/>
        <v>-2.5825538165036948</v>
      </c>
      <c r="BU25" s="40">
        <f t="shared" ca="1" si="32"/>
        <v>-5.7241464699934879</v>
      </c>
    </row>
    <row r="26" spans="1:73" x14ac:dyDescent="0.25">
      <c r="E26" s="8" t="s">
        <v>86</v>
      </c>
      <c r="F26" s="21" t="s">
        <v>80</v>
      </c>
      <c r="G26" s="1" t="s">
        <v>81</v>
      </c>
      <c r="H26" s="24">
        <v>9.3749999999999997E-3</v>
      </c>
      <c r="I26" s="6">
        <f>IF(F26="web",(B5*F27)*H26,G12*H26)</f>
        <v>2.4750000000000001</v>
      </c>
      <c r="AS26" s="6">
        <v>-2.7227136331111588</v>
      </c>
      <c r="AT26" s="6">
        <v>-281.85818345286697</v>
      </c>
      <c r="AU26" s="6">
        <v>-191.07599665566153</v>
      </c>
      <c r="AV26" s="6">
        <f t="shared" si="1"/>
        <v>3.7373424487386977</v>
      </c>
      <c r="AW26" s="6">
        <f t="shared" si="2"/>
        <v>6.4600560818498565</v>
      </c>
      <c r="AX26" s="6">
        <f t="shared" si="3"/>
        <v>-0.59574979524890459</v>
      </c>
      <c r="AY26" s="6">
        <f t="shared" si="4"/>
        <v>0.59574979524890459</v>
      </c>
      <c r="AZ26" s="47">
        <f t="shared" si="5"/>
        <v>3.5604716740684275</v>
      </c>
      <c r="BA26" s="47">
        <f t="shared" si="6"/>
        <v>3.7373424487386977</v>
      </c>
      <c r="BB26" s="47">
        <f t="shared" si="7"/>
        <v>6.4600560818498565</v>
      </c>
      <c r="BC26" s="47">
        <f t="shared" si="8"/>
        <v>-0.59574979524890459</v>
      </c>
      <c r="BD26" s="47">
        <f t="shared" si="9"/>
        <v>0.59574979524890459</v>
      </c>
      <c r="BE26" s="40"/>
      <c r="BF26" s="40"/>
      <c r="BG26" s="6">
        <f t="shared" si="18"/>
        <v>-2.949606435870419</v>
      </c>
      <c r="BH26" s="9">
        <f t="shared" ca="1" si="19"/>
        <v>-205.95819669411873</v>
      </c>
      <c r="BI26" s="9">
        <f t="shared" ca="1" si="20"/>
        <v>-123.38638793169105</v>
      </c>
      <c r="BJ26">
        <f t="shared" ca="1" si="21"/>
        <v>240.08952395371824</v>
      </c>
      <c r="BK26" s="6">
        <f t="shared" ca="1" si="22"/>
        <v>-0.85783916475181576</v>
      </c>
      <c r="BL26" s="6">
        <f t="shared" ca="1" si="23"/>
        <v>-0.51391824974202571</v>
      </c>
      <c r="BM26" s="6">
        <f t="shared" ca="1" si="24"/>
        <v>-2.6018464989260348</v>
      </c>
      <c r="BN26" s="6">
        <f t="shared" ca="1" si="25"/>
        <v>-4.5212611189223919</v>
      </c>
      <c r="BO26" s="9">
        <f t="shared" ca="1" si="26"/>
        <v>-285.54039339027815</v>
      </c>
      <c r="BP26" s="9">
        <f t="shared" ca="1" si="27"/>
        <v>-179.56205618942124</v>
      </c>
      <c r="BQ26">
        <f t="shared" ca="1" si="28"/>
        <v>337.30675694454692</v>
      </c>
      <c r="BR26">
        <f t="shared" ca="1" si="29"/>
        <v>-0.84653030961138109</v>
      </c>
      <c r="BS26">
        <f t="shared" ca="1" si="30"/>
        <v>-0.53234052533060039</v>
      </c>
      <c r="BT26">
        <f t="shared" ca="1" si="31"/>
        <v>-2.580229638869096</v>
      </c>
      <c r="BU26" s="40">
        <f t="shared" ca="1" si="32"/>
        <v>-5.7218222923588886</v>
      </c>
    </row>
    <row r="27" spans="1:73" x14ac:dyDescent="0.25">
      <c r="A27" s="8" t="s">
        <v>15</v>
      </c>
      <c r="B27" s="34">
        <v>2.6150546533092824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4">
        <f>F28</f>
        <v>3.5355339059327377E-3</v>
      </c>
      <c r="I27" s="6">
        <f>IF(F26="web",(B5*F27)*H27,G12*H27)</f>
        <v>0.93338095116624276</v>
      </c>
      <c r="AS27" s="6">
        <v>-2.7052603405912157</v>
      </c>
      <c r="AT27" s="6">
        <v>-281.41721641816792</v>
      </c>
      <c r="AU27" s="6">
        <v>-192.04352150931419</v>
      </c>
      <c r="AV27" s="6">
        <f t="shared" si="1"/>
        <v>3.7404193177255758</v>
      </c>
      <c r="AW27" s="6">
        <f t="shared" si="2"/>
        <v>6.4456796583167915</v>
      </c>
      <c r="AX27" s="6">
        <f t="shared" si="3"/>
        <v>-0.59882666423578268</v>
      </c>
      <c r="AY27" s="6">
        <f t="shared" si="4"/>
        <v>0.59882666423578268</v>
      </c>
      <c r="AZ27" s="47">
        <f t="shared" si="5"/>
        <v>3.5779249665883706</v>
      </c>
      <c r="BA27" s="47">
        <f t="shared" si="6"/>
        <v>3.7404193177255758</v>
      </c>
      <c r="BB27" s="47">
        <f t="shared" si="7"/>
        <v>6.4456796583167915</v>
      </c>
      <c r="BC27" s="47">
        <f t="shared" si="8"/>
        <v>-0.59882666423578268</v>
      </c>
      <c r="BD27" s="47">
        <f t="shared" si="9"/>
        <v>0.59882666423578268</v>
      </c>
      <c r="BE27" s="40"/>
      <c r="BF27" s="40"/>
      <c r="BG27" s="6">
        <f t="shared" si="18"/>
        <v>-2.9321531433504759</v>
      </c>
      <c r="BH27" s="9">
        <f t="shared" ca="1" si="19"/>
        <v>-205.78844502099292</v>
      </c>
      <c r="BI27" s="9">
        <f t="shared" ca="1" si="20"/>
        <v>-124.2206779229237</v>
      </c>
      <c r="BJ27">
        <f t="shared" ca="1" si="21"/>
        <v>240.37400218781767</v>
      </c>
      <c r="BK27" s="6">
        <f t="shared" ca="1" si="22"/>
        <v>-0.85611772965446942</v>
      </c>
      <c r="BL27" s="6">
        <f t="shared" ca="1" si="23"/>
        <v>-0.51678083649771378</v>
      </c>
      <c r="BM27" s="6">
        <f t="shared" ca="1" si="24"/>
        <v>-2.5985061767704889</v>
      </c>
      <c r="BN27" s="6">
        <f t="shared" ca="1" si="25"/>
        <v>-4.5179207967668464</v>
      </c>
      <c r="BO27" s="9">
        <f t="shared" ca="1" si="26"/>
        <v>-285.37064171715235</v>
      </c>
      <c r="BP27" s="9">
        <f t="shared" ca="1" si="27"/>
        <v>-180.39634618065389</v>
      </c>
      <c r="BQ27">
        <f t="shared" ca="1" si="28"/>
        <v>337.60812322778855</v>
      </c>
      <c r="BR27">
        <f t="shared" ca="1" si="29"/>
        <v>-0.84527184650888598</v>
      </c>
      <c r="BS27">
        <f t="shared" ca="1" si="30"/>
        <v>-0.53433650960743662</v>
      </c>
      <c r="BT27">
        <f t="shared" ca="1" si="31"/>
        <v>-2.5778700445825757</v>
      </c>
      <c r="BU27" s="40">
        <f t="shared" ca="1" si="32"/>
        <v>-5.7194626980723688</v>
      </c>
    </row>
    <row r="28" spans="1:73" x14ac:dyDescent="0.25">
      <c r="A28" s="8" t="s">
        <v>17</v>
      </c>
      <c r="B28" s="34">
        <v>6.1655638725372182</v>
      </c>
      <c r="C28" t="s">
        <v>4</v>
      </c>
      <c r="E28" s="8" t="s">
        <v>87</v>
      </c>
      <c r="F28" s="23">
        <f>MAX(200/(B12*1000),(3*SQRT(B2*1000))/(B12*1000))</f>
        <v>3.5355339059327377E-3</v>
      </c>
      <c r="G28" s="1" t="s">
        <v>83</v>
      </c>
      <c r="H28" s="22" t="s">
        <v>85</v>
      </c>
      <c r="I28" s="7">
        <v>10</v>
      </c>
      <c r="AS28" s="6">
        <v>-2.6878070480712726</v>
      </c>
      <c r="AT28" s="6">
        <v>-280.94811277497638</v>
      </c>
      <c r="AU28" s="6">
        <v>-193.02692581517277</v>
      </c>
      <c r="AV28" s="6">
        <f t="shared" si="1"/>
        <v>3.743578052502432</v>
      </c>
      <c r="AW28" s="6">
        <f t="shared" si="2"/>
        <v>6.4313851005737046</v>
      </c>
      <c r="AX28" s="6">
        <f t="shared" si="3"/>
        <v>-0.60198539901263892</v>
      </c>
      <c r="AY28" s="6">
        <f t="shared" si="4"/>
        <v>0.60198539901263892</v>
      </c>
      <c r="AZ28" s="47">
        <f t="shared" si="5"/>
        <v>3.5953782591083137</v>
      </c>
      <c r="BA28" s="47">
        <f t="shared" si="6"/>
        <v>3.743578052502432</v>
      </c>
      <c r="BB28" s="47">
        <f t="shared" si="7"/>
        <v>6.4313851005737046</v>
      </c>
      <c r="BC28" s="47">
        <f t="shared" si="8"/>
        <v>-0.60198539901263892</v>
      </c>
      <c r="BD28" s="47">
        <f t="shared" si="9"/>
        <v>0.60198539901263892</v>
      </c>
      <c r="BE28" s="40"/>
      <c r="BF28" s="40"/>
      <c r="BG28" s="6">
        <f t="shared" si="18"/>
        <v>-2.9146998508305328</v>
      </c>
      <c r="BH28" s="9">
        <f t="shared" ca="1" si="19"/>
        <v>-205.60209492364658</v>
      </c>
      <c r="BI28" s="9">
        <f t="shared" ca="1" si="20"/>
        <v>-125.06118171493307</v>
      </c>
      <c r="BJ28">
        <f t="shared" ca="1" si="21"/>
        <v>240.65020384144222</v>
      </c>
      <c r="BK28" s="6">
        <f t="shared" ca="1" si="22"/>
        <v>-0.85436077610435823</v>
      </c>
      <c r="BL28" s="6">
        <f t="shared" ca="1" si="23"/>
        <v>-0.51968034815101349</v>
      </c>
      <c r="BM28" s="6">
        <f t="shared" ca="1" si="24"/>
        <v>-2.5951158870167474</v>
      </c>
      <c r="BN28" s="6">
        <f t="shared" ca="1" si="25"/>
        <v>-4.5145305070131041</v>
      </c>
      <c r="BO28" s="9">
        <f t="shared" ca="1" si="26"/>
        <v>-285.184291619806</v>
      </c>
      <c r="BP28" s="9">
        <f t="shared" ca="1" si="27"/>
        <v>-181.23684997266326</v>
      </c>
      <c r="BQ28">
        <f t="shared" ca="1" si="28"/>
        <v>337.90068951498785</v>
      </c>
      <c r="BR28">
        <f t="shared" ca="1" si="29"/>
        <v>-0.84398848676263627</v>
      </c>
      <c r="BS28">
        <f t="shared" ca="1" si="30"/>
        <v>-0.5363612907473051</v>
      </c>
      <c r="BT28">
        <f t="shared" ca="1" si="31"/>
        <v>-2.5754728058262648</v>
      </c>
      <c r="BU28" s="40">
        <f t="shared" ca="1" si="32"/>
        <v>-5.7170654593160579</v>
      </c>
    </row>
    <row r="29" spans="1:73" x14ac:dyDescent="0.25">
      <c r="A29" s="8" t="s">
        <v>18</v>
      </c>
      <c r="B29" s="6">
        <f>B28*B4</f>
        <v>4.932451098029774</v>
      </c>
      <c r="C29" t="s">
        <v>4</v>
      </c>
      <c r="G29" s="1" t="s">
        <v>84</v>
      </c>
      <c r="H29" s="22" t="s">
        <v>85</v>
      </c>
      <c r="I29" s="7">
        <v>5</v>
      </c>
      <c r="AS29" s="6">
        <v>-2.6703537555513295</v>
      </c>
      <c r="AT29" s="6">
        <v>-280.44933799970022</v>
      </c>
      <c r="AU29" s="6">
        <v>-194.02721813179403</v>
      </c>
      <c r="AV29" s="6">
        <f t="shared" si="1"/>
        <v>3.7468238566682324</v>
      </c>
      <c r="AW29" s="6">
        <f t="shared" si="2"/>
        <v>6.4171776122195618</v>
      </c>
      <c r="AX29" s="6">
        <f t="shared" si="3"/>
        <v>-0.60523120317843926</v>
      </c>
      <c r="AY29" s="6">
        <f t="shared" si="4"/>
        <v>0.60523120317843926</v>
      </c>
      <c r="AZ29" s="47">
        <f t="shared" si="5"/>
        <v>3.6128315516282568</v>
      </c>
      <c r="BA29" s="47">
        <f t="shared" si="6"/>
        <v>3.7468238566682324</v>
      </c>
      <c r="BB29" s="47">
        <f t="shared" si="7"/>
        <v>6.4171776122195618</v>
      </c>
      <c r="BC29" s="47">
        <f t="shared" si="8"/>
        <v>-0.60523120317843926</v>
      </c>
      <c r="BD29" s="47">
        <f t="shared" si="9"/>
        <v>0.60523120317843926</v>
      </c>
      <c r="BE29" s="40"/>
      <c r="BF29" s="40"/>
      <c r="BG29" s="6">
        <f t="shared" si="18"/>
        <v>-2.8972465583105897</v>
      </c>
      <c r="BH29" s="9">
        <f t="shared" ca="1" si="19"/>
        <v>-205.39865851338078</v>
      </c>
      <c r="BI29" s="9">
        <f t="shared" ca="1" si="20"/>
        <v>-125.90848707277169</v>
      </c>
      <c r="BJ29">
        <f t="shared" ca="1" si="21"/>
        <v>240.91815215141165</v>
      </c>
      <c r="BK29" s="6">
        <f t="shared" ca="1" si="22"/>
        <v>-0.85256613783212287</v>
      </c>
      <c r="BL29" s="6">
        <f t="shared" ca="1" si="23"/>
        <v>-0.52261934581683589</v>
      </c>
      <c r="BM29" s="6">
        <f t="shared" ca="1" si="24"/>
        <v>-2.5916722776419143</v>
      </c>
      <c r="BN29" s="6">
        <f t="shared" ca="1" si="25"/>
        <v>-4.5110868976382719</v>
      </c>
      <c r="BO29" s="9">
        <f t="shared" ca="1" si="26"/>
        <v>-284.98085520954021</v>
      </c>
      <c r="BP29" s="9">
        <f t="shared" ca="1" si="27"/>
        <v>-182.08415533050189</v>
      </c>
      <c r="BQ29">
        <f t="shared" ca="1" si="28"/>
        <v>338.18445774219612</v>
      </c>
      <c r="BR29">
        <f t="shared" ca="1" si="29"/>
        <v>-0.84267874730892001</v>
      </c>
      <c r="BS29">
        <f t="shared" ca="1" si="30"/>
        <v>-0.53841668699425504</v>
      </c>
      <c r="BT29">
        <f t="shared" ca="1" si="31"/>
        <v>-2.5730355791012824</v>
      </c>
      <c r="BU29" s="40">
        <f t="shared" ca="1" si="32"/>
        <v>-5.7146282325910756</v>
      </c>
    </row>
    <row r="30" spans="1:73" x14ac:dyDescent="0.25">
      <c r="A30" s="8" t="s">
        <v>102</v>
      </c>
      <c r="B30" s="1">
        <v>3.0000000000000001E-3</v>
      </c>
      <c r="AS30" s="6">
        <v>-2.6529004630313864</v>
      </c>
      <c r="AT30" s="6">
        <v>-279.91922200100811</v>
      </c>
      <c r="AU30" s="6">
        <v>-195.04546291326159</v>
      </c>
      <c r="AV30" s="6">
        <f t="shared" si="1"/>
        <v>3.7501623234896218</v>
      </c>
      <c r="AW30" s="6">
        <f t="shared" si="2"/>
        <v>6.4030627865210086</v>
      </c>
      <c r="AX30" s="6">
        <f t="shared" si="3"/>
        <v>-0.60856966999982864</v>
      </c>
      <c r="AY30" s="6">
        <f t="shared" si="4"/>
        <v>0.60856966999982864</v>
      </c>
      <c r="AZ30" s="47">
        <f t="shared" si="5"/>
        <v>3.6302848441481999</v>
      </c>
      <c r="BA30" s="47">
        <f t="shared" si="6"/>
        <v>3.7501623234896218</v>
      </c>
      <c r="BB30" s="47">
        <f t="shared" si="7"/>
        <v>6.4030627865210086</v>
      </c>
      <c r="BC30" s="47">
        <f t="shared" si="8"/>
        <v>-0.60856966999982864</v>
      </c>
      <c r="BD30" s="47">
        <f t="shared" si="9"/>
        <v>0.60856966999982864</v>
      </c>
      <c r="BE30" s="40"/>
      <c r="BF30" s="40"/>
      <c r="BG30" s="6">
        <f t="shared" si="18"/>
        <v>-2.8797932657906467</v>
      </c>
      <c r="BH30" s="9">
        <f t="shared" ca="1" si="19"/>
        <v>-205.17759684657784</v>
      </c>
      <c r="BI30" s="9">
        <f t="shared" ca="1" si="20"/>
        <v>-126.76319967485819</v>
      </c>
      <c r="BJ30">
        <f t="shared" ca="1" si="21"/>
        <v>241.17784939654968</v>
      </c>
      <c r="BK30" s="6">
        <f t="shared" ca="1" si="22"/>
        <v>-0.85073151352809573</v>
      </c>
      <c r="BL30" s="6">
        <f t="shared" ca="1" si="23"/>
        <v>-0.5256005059835801</v>
      </c>
      <c r="BM30" s="6">
        <f t="shared" ca="1" si="24"/>
        <v>-2.5881718241300971</v>
      </c>
      <c r="BN30" s="6">
        <f t="shared" ca="1" si="25"/>
        <v>-4.5075864441264546</v>
      </c>
      <c r="BO30" s="9">
        <f t="shared" ca="1" si="26"/>
        <v>-284.75979354273727</v>
      </c>
      <c r="BP30" s="9">
        <f t="shared" ca="1" si="27"/>
        <v>-182.93886793258838</v>
      </c>
      <c r="BQ30">
        <f t="shared" ca="1" si="28"/>
        <v>338.45940586569515</v>
      </c>
      <c r="BR30">
        <f t="shared" ca="1" si="29"/>
        <v>-0.84134105481392196</v>
      </c>
      <c r="BS30">
        <f t="shared" ca="1" si="30"/>
        <v>-0.54050460634910169</v>
      </c>
      <c r="BT30">
        <f t="shared" ca="1" si="31"/>
        <v>-2.570555895332292</v>
      </c>
      <c r="BU30" s="40">
        <f t="shared" ca="1" si="32"/>
        <v>-5.7121485488220856</v>
      </c>
    </row>
    <row r="31" spans="1:73" x14ac:dyDescent="0.25">
      <c r="A31" s="8" t="s">
        <v>49</v>
      </c>
      <c r="B31" s="1">
        <f>B2*0.85</f>
        <v>4.25</v>
      </c>
      <c r="C31" t="s">
        <v>1</v>
      </c>
      <c r="AS31" s="6">
        <v>-2.6354471705114433</v>
      </c>
      <c r="AT31" s="6">
        <v>-279.35594627204682</v>
      </c>
      <c r="AU31" s="6">
        <v>-196.08278546168177</v>
      </c>
      <c r="AV31" s="6">
        <f t="shared" si="1"/>
        <v>3.7535994748693522</v>
      </c>
      <c r="AW31" s="6">
        <f t="shared" si="2"/>
        <v>6.3890466453807955</v>
      </c>
      <c r="AX31" s="6">
        <f t="shared" si="3"/>
        <v>-0.61200682137955909</v>
      </c>
      <c r="AY31" s="6">
        <f t="shared" si="4"/>
        <v>0.61200682137955909</v>
      </c>
      <c r="AZ31" s="47">
        <f t="shared" si="5"/>
        <v>3.6477381366681429</v>
      </c>
      <c r="BA31" s="47">
        <f t="shared" si="6"/>
        <v>3.7535994748693522</v>
      </c>
      <c r="BB31" s="47">
        <f t="shared" si="7"/>
        <v>6.3890466453807955</v>
      </c>
      <c r="BC31" s="47">
        <f t="shared" si="8"/>
        <v>-0.61200682137955909</v>
      </c>
      <c r="BD31" s="47">
        <f t="shared" si="9"/>
        <v>0.61200682137955909</v>
      </c>
      <c r="BE31" s="40"/>
      <c r="BF31" s="40"/>
      <c r="BG31" s="6">
        <f t="shared" si="18"/>
        <v>-2.8623399732707036</v>
      </c>
      <c r="BH31" s="9">
        <f t="shared" ca="1" si="19"/>
        <v>-204.93831679119393</v>
      </c>
      <c r="BI31" s="9">
        <f t="shared" ca="1" si="20"/>
        <v>-127.625944948599</v>
      </c>
      <c r="BJ31">
        <f t="shared" ca="1" si="21"/>
        <v>241.4292764211304</v>
      </c>
      <c r="BK31" s="6">
        <f t="shared" ca="1" si="22"/>
        <v>-0.84885445472534782</v>
      </c>
      <c r="BL31" s="6">
        <f t="shared" ca="1" si="23"/>
        <v>-0.52862663070728111</v>
      </c>
      <c r="BM31" s="6">
        <f t="shared" ca="1" si="24"/>
        <v>-2.5846108138812247</v>
      </c>
      <c r="BN31" s="6">
        <f t="shared" ca="1" si="25"/>
        <v>-4.5040254338775814</v>
      </c>
      <c r="BO31" s="9">
        <f t="shared" ca="1" si="26"/>
        <v>-284.52051348735336</v>
      </c>
      <c r="BP31" s="9">
        <f t="shared" ca="1" si="27"/>
        <v>-183.80161320632919</v>
      </c>
      <c r="BQ31">
        <f t="shared" ca="1" si="28"/>
        <v>338.72548710180678</v>
      </c>
      <c r="BR31">
        <f t="shared" ca="1" si="29"/>
        <v>-0.83997373779504914</v>
      </c>
      <c r="BS31">
        <f t="shared" ca="1" si="30"/>
        <v>-0.54262705407546163</v>
      </c>
      <c r="BT31">
        <f t="shared" ca="1" si="31"/>
        <v>-2.5680311490941028</v>
      </c>
      <c r="BU31" s="40">
        <f t="shared" ca="1" si="32"/>
        <v>-5.7096238025838959</v>
      </c>
    </row>
    <row r="32" spans="1:73" x14ac:dyDescent="0.25">
      <c r="J32" t="s">
        <v>88</v>
      </c>
      <c r="N32" t="s">
        <v>89</v>
      </c>
      <c r="AS32" s="6">
        <v>-2.6179938779915002</v>
      </c>
      <c r="AT32" s="6">
        <v>-278.7575294077534</v>
      </c>
      <c r="AU32" s="6">
        <v>-197.14037735580348</v>
      </c>
      <c r="AV32" s="6">
        <f t="shared" si="1"/>
        <v>3.757141805117131</v>
      </c>
      <c r="AW32" s="6">
        <f t="shared" si="2"/>
        <v>6.3751356831086312</v>
      </c>
      <c r="AX32" s="6">
        <f t="shared" si="3"/>
        <v>-0.61554915162733792</v>
      </c>
      <c r="AY32" s="6">
        <f t="shared" si="4"/>
        <v>0.61554915162733792</v>
      </c>
      <c r="AZ32" s="47">
        <f t="shared" si="5"/>
        <v>3.665191429188086</v>
      </c>
      <c r="BA32" s="47">
        <f t="shared" si="6"/>
        <v>3.757141805117131</v>
      </c>
      <c r="BB32" s="47">
        <f t="shared" si="7"/>
        <v>6.3751356831086312</v>
      </c>
      <c r="BC32" s="47">
        <f t="shared" si="8"/>
        <v>-0.61554915162733792</v>
      </c>
      <c r="BD32" s="47">
        <f t="shared" si="9"/>
        <v>0.61554915162733792</v>
      </c>
      <c r="BE32" s="40"/>
      <c r="BF32" s="40"/>
      <c r="BG32" s="6">
        <f t="shared" si="18"/>
        <v>-2.8448866807507605</v>
      </c>
      <c r="BH32" s="9">
        <f t="shared" ca="1" si="19"/>
        <v>-204.68016753755802</v>
      </c>
      <c r="BI32" s="9">
        <f t="shared" ca="1" si="20"/>
        <v>-128.4973700212222</v>
      </c>
      <c r="BJ32">
        <f t="shared" ca="1" si="21"/>
        <v>241.67239206325101</v>
      </c>
      <c r="BK32" s="6">
        <f t="shared" ca="1" si="22"/>
        <v>-0.84693235247155862</v>
      </c>
      <c r="BL32" s="6">
        <f t="shared" ca="1" si="23"/>
        <v>-0.53170065858243165</v>
      </c>
      <c r="BM32" s="6">
        <f t="shared" ca="1" si="24"/>
        <v>-2.5809853292448506</v>
      </c>
      <c r="BN32" s="6">
        <f t="shared" ca="1" si="25"/>
        <v>-4.5003999492412081</v>
      </c>
      <c r="BO32" s="9">
        <f t="shared" ca="1" si="26"/>
        <v>-284.26236423371745</v>
      </c>
      <c r="BP32" s="9">
        <f t="shared" ca="1" si="27"/>
        <v>-184.67303827895239</v>
      </c>
      <c r="BQ32">
        <f t="shared" ca="1" si="28"/>
        <v>338.9826290341764</v>
      </c>
      <c r="BR32">
        <f t="shared" ca="1" si="29"/>
        <v>-0.8385750179696021</v>
      </c>
      <c r="BS32">
        <f t="shared" ca="1" si="30"/>
        <v>-0.54478614082709698</v>
      </c>
      <c r="BT32">
        <f t="shared" ca="1" si="31"/>
        <v>-2.5654585868691808</v>
      </c>
      <c r="BU32" s="40">
        <f t="shared" ca="1" si="32"/>
        <v>-5.7070512403589735</v>
      </c>
    </row>
    <row r="33" spans="1:73" x14ac:dyDescent="0.25">
      <c r="A33" t="s">
        <v>19</v>
      </c>
      <c r="J33">
        <f>(J38*COS(-1*$B$27))+(K38*SIN(-1*$B$27))+$I$2</f>
        <v>13.359134732726108</v>
      </c>
      <c r="K33">
        <f>(-1*J38*SIN(-1*$B$27))+(K38*COS(-1*$B$27))+$I$3</f>
        <v>-0.63383055981474357</v>
      </c>
      <c r="N33">
        <f>(N38*COS(-1*$B$27))+(O38*SIN(-1*$B$27))+$I$2</f>
        <v>12.739442194639274</v>
      </c>
      <c r="O33">
        <f>(-1*N38*SIN(-1*$B$27))+(O38*COS(-1*$B$27))+$I$3</f>
        <v>-1.6999207402839858</v>
      </c>
      <c r="AS33" s="6">
        <v>-2.6005405854715571</v>
      </c>
      <c r="AT33" s="6">
        <v>-278.12181096567451</v>
      </c>
      <c r="AU33" s="6">
        <v>-198.21950241336461</v>
      </c>
      <c r="AV33" s="6">
        <f t="shared" si="1"/>
        <v>3.7607963298695291</v>
      </c>
      <c r="AW33" s="6">
        <f t="shared" si="2"/>
        <v>6.3613369153410861</v>
      </c>
      <c r="AX33" s="6">
        <f t="shared" si="3"/>
        <v>-0.61920367637973595</v>
      </c>
      <c r="AY33" s="6">
        <f t="shared" si="4"/>
        <v>0.61920367637973595</v>
      </c>
      <c r="AZ33" s="47">
        <f t="shared" si="5"/>
        <v>3.6826447217080291</v>
      </c>
      <c r="BA33" s="47">
        <f t="shared" si="6"/>
        <v>3.7607963298695291</v>
      </c>
      <c r="BB33" s="47">
        <f t="shared" si="7"/>
        <v>6.3613369153410861</v>
      </c>
      <c r="BC33" s="47">
        <f t="shared" si="8"/>
        <v>-0.61920367637973595</v>
      </c>
      <c r="BD33" s="47">
        <f t="shared" si="9"/>
        <v>0.61920367637973595</v>
      </c>
      <c r="BE33" s="40"/>
      <c r="BF33" s="40"/>
      <c r="BG33" s="6">
        <f t="shared" si="18"/>
        <v>-2.8274333882308174</v>
      </c>
      <c r="BH33" s="9">
        <f t="shared" ca="1" si="19"/>
        <v>-204.40243674535583</v>
      </c>
      <c r="BI33" s="9">
        <f t="shared" ca="1" si="20"/>
        <v>-129.37814579936008</v>
      </c>
      <c r="BJ33">
        <f t="shared" ca="1" si="21"/>
        <v>241.90713250733154</v>
      </c>
      <c r="BK33" s="6">
        <f t="shared" ca="1" si="22"/>
        <v>-0.84496242267334121</v>
      </c>
      <c r="BL33" s="6">
        <f t="shared" ca="1" si="23"/>
        <v>-0.53482567652460178</v>
      </c>
      <c r="BM33" s="6">
        <f t="shared" ca="1" si="24"/>
        <v>-2.5772912290746586</v>
      </c>
      <c r="BN33" s="6">
        <f t="shared" ca="1" si="25"/>
        <v>-4.4967058490710157</v>
      </c>
      <c r="BO33" s="9">
        <f t="shared" ca="1" si="26"/>
        <v>-283.98463344151526</v>
      </c>
      <c r="BP33" s="9">
        <f t="shared" ca="1" si="27"/>
        <v>-185.55381405709028</v>
      </c>
      <c r="BQ33">
        <f t="shared" ca="1" si="28"/>
        <v>339.2307326025238</v>
      </c>
      <c r="BR33">
        <f t="shared" ca="1" si="29"/>
        <v>-0.83714300076184334</v>
      </c>
      <c r="BS33">
        <f t="shared" ca="1" si="30"/>
        <v>-0.54698409142812965</v>
      </c>
      <c r="BT33">
        <f t="shared" ca="1" si="31"/>
        <v>-2.5628352942674417</v>
      </c>
      <c r="BU33" s="40">
        <f t="shared" ca="1" si="32"/>
        <v>-5.7044279477572353</v>
      </c>
    </row>
    <row r="34" spans="1:73" x14ac:dyDescent="0.25">
      <c r="J34">
        <f>(J39*COS(-1*$B$27))+(K39*SIN(-1*$B$27))+$I$2</f>
        <v>-26.132291188009852</v>
      </c>
      <c r="K34">
        <f>(-1*J39*SIN(-1*$B$27))+(K39*COS(-1*$B$27))+$I$3</f>
        <v>22.321583916207807</v>
      </c>
      <c r="N34">
        <f>(N39*COS(-1*$B$27))+(O39*SIN(-1*$B$27))+$I$2</f>
        <v>-26.751983726096686</v>
      </c>
      <c r="O34">
        <f>(-1*N39*SIN(-1*$B$27))+(O39*COS(-1*$B$27))+$I$3</f>
        <v>21.255493735738565</v>
      </c>
      <c r="AS34" s="6">
        <v>-2.583087292951614</v>
      </c>
      <c r="AT34" s="6">
        <v>-277.44738490371947</v>
      </c>
      <c r="AU34" s="6">
        <v>-199.31997598097666</v>
      </c>
      <c r="AV34" s="6">
        <f t="shared" si="1"/>
        <v>3.7645653850826983</v>
      </c>
      <c r="AW34" s="6">
        <f t="shared" si="2"/>
        <v>6.3476526780343123</v>
      </c>
      <c r="AX34" s="6">
        <f t="shared" si="3"/>
        <v>-0.62297273159290523</v>
      </c>
      <c r="AY34" s="6">
        <f t="shared" si="4"/>
        <v>0.62297273159290523</v>
      </c>
      <c r="AZ34" s="47">
        <f t="shared" si="5"/>
        <v>3.7000980142279722</v>
      </c>
      <c r="BA34" s="47">
        <f t="shared" si="6"/>
        <v>3.7645653850826983</v>
      </c>
      <c r="BB34" s="47">
        <f t="shared" si="7"/>
        <v>6.3476526780343123</v>
      </c>
      <c r="BC34" s="47">
        <f t="shared" si="8"/>
        <v>-0.62297273159290523</v>
      </c>
      <c r="BD34" s="47">
        <f t="shared" si="9"/>
        <v>0.62297273159290523</v>
      </c>
      <c r="BE34" s="40"/>
      <c r="BF34" s="40"/>
      <c r="BG34" s="6">
        <f t="shared" si="18"/>
        <v>-2.8099800957108743</v>
      </c>
      <c r="BH34" s="9">
        <f t="shared" ca="1" si="19"/>
        <v>-204.10434616871254</v>
      </c>
      <c r="BI34" s="9">
        <f t="shared" ca="1" si="20"/>
        <v>-130.26896919226522</v>
      </c>
      <c r="BJ34">
        <f t="shared" ca="1" si="21"/>
        <v>242.13341045665916</v>
      </c>
      <c r="BK34" s="6">
        <f t="shared" ca="1" si="22"/>
        <v>-0.84294168980553119</v>
      </c>
      <c r="BL34" s="6">
        <f t="shared" ca="1" si="23"/>
        <v>-0.53800493267979965</v>
      </c>
      <c r="BM34" s="6">
        <f t="shared" ca="1" si="24"/>
        <v>-2.5735241283585166</v>
      </c>
      <c r="BN34" s="6">
        <f t="shared" ca="1" si="25"/>
        <v>-4.4929387483548737</v>
      </c>
      <c r="BO34" s="9">
        <f t="shared" ca="1" si="26"/>
        <v>-283.68654286487197</v>
      </c>
      <c r="BP34" s="9">
        <f t="shared" ca="1" si="27"/>
        <v>-186.44463744999541</v>
      </c>
      <c r="BQ34">
        <f t="shared" ca="1" si="28"/>
        <v>339.46967086395665</v>
      </c>
      <c r="BR34">
        <f t="shared" ca="1" si="29"/>
        <v>-0.83567566475934185</v>
      </c>
      <c r="BS34">
        <f t="shared" ca="1" si="30"/>
        <v>-0.5492232545413861</v>
      </c>
      <c r="BT34">
        <f t="shared" ca="1" si="31"/>
        <v>-2.5601581818916883</v>
      </c>
      <c r="BU34" s="40">
        <f t="shared" ca="1" si="32"/>
        <v>-5.7017508353814819</v>
      </c>
    </row>
    <row r="35" spans="1:73" x14ac:dyDescent="0.25">
      <c r="A35" s="8" t="s">
        <v>20</v>
      </c>
      <c r="AD35" t="s">
        <v>135</v>
      </c>
      <c r="AS35" s="6">
        <v>-2.5656340004316709</v>
      </c>
      <c r="AT35" s="6">
        <v>-276.75915316443627</v>
      </c>
      <c r="AU35" s="6">
        <v>-200.40036808848697</v>
      </c>
      <c r="AV35" s="6">
        <f t="shared" si="1"/>
        <v>3.768308455698389</v>
      </c>
      <c r="AW35" s="6">
        <f t="shared" si="2"/>
        <v>6.3339424561300604</v>
      </c>
      <c r="AX35" s="6">
        <f t="shared" si="3"/>
        <v>-0.62671580220859591</v>
      </c>
      <c r="AY35" s="6">
        <f t="shared" si="4"/>
        <v>0.62671580220859591</v>
      </c>
      <c r="AZ35" s="47">
        <f t="shared" si="5"/>
        <v>3.7175513067479153</v>
      </c>
      <c r="BA35" s="47">
        <f t="shared" si="6"/>
        <v>3.768308455698389</v>
      </c>
      <c r="BB35" s="47">
        <f t="shared" si="7"/>
        <v>6.3339424561300604</v>
      </c>
      <c r="BC35" s="47">
        <f t="shared" si="8"/>
        <v>-0.62671580220859591</v>
      </c>
      <c r="BD35" s="47">
        <f t="shared" si="9"/>
        <v>0.62671580220859591</v>
      </c>
      <c r="BE35" s="40"/>
      <c r="BF35" s="40"/>
      <c r="BG35" s="6">
        <f t="shared" si="18"/>
        <v>-2.7925268031909312</v>
      </c>
      <c r="BH35" s="9">
        <f t="shared" ca="1" si="19"/>
        <v>-203.78504680714019</v>
      </c>
      <c r="BI35" s="9">
        <f t="shared" ca="1" si="20"/>
        <v>-131.17056549508828</v>
      </c>
      <c r="BJ35">
        <f t="shared" ca="1" si="21"/>
        <v>242.35111420104832</v>
      </c>
      <c r="BK35" s="6">
        <f t="shared" ca="1" si="22"/>
        <v>-0.84086696889738788</v>
      </c>
      <c r="BL35" s="6">
        <f t="shared" ca="1" si="23"/>
        <v>-0.54124185039344408</v>
      </c>
      <c r="BM35" s="6">
        <f t="shared" ca="1" si="24"/>
        <v>-2.5696793759164414</v>
      </c>
      <c r="BN35" s="6">
        <f t="shared" ca="1" si="25"/>
        <v>-4.489093995912798</v>
      </c>
      <c r="BO35" s="9">
        <f t="shared" ca="1" si="26"/>
        <v>-283.36724350329962</v>
      </c>
      <c r="BP35" s="9">
        <f t="shared" ca="1" si="27"/>
        <v>-187.34623375281848</v>
      </c>
      <c r="BQ35">
        <f t="shared" ca="1" si="28"/>
        <v>339.69928759422504</v>
      </c>
      <c r="BR35">
        <f t="shared" ca="1" si="29"/>
        <v>-0.83417085007780545</v>
      </c>
      <c r="BS35">
        <f t="shared" ca="1" si="30"/>
        <v>-0.55150611318504106</v>
      </c>
      <c r="BT35">
        <f t="shared" ca="1" si="31"/>
        <v>-2.5574239698534367</v>
      </c>
      <c r="BU35" s="40">
        <f t="shared" ca="1" si="32"/>
        <v>-5.6990166233432298</v>
      </c>
    </row>
    <row r="36" spans="1:73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114.72423649320692</v>
      </c>
      <c r="H36" s="15" t="s">
        <v>4</v>
      </c>
      <c r="J36" t="s">
        <v>52</v>
      </c>
      <c r="N36" t="s">
        <v>53</v>
      </c>
      <c r="AD36" t="s">
        <v>8</v>
      </c>
      <c r="AE36" t="s">
        <v>9</v>
      </c>
      <c r="AS36" s="6">
        <v>-2.5481807079117278</v>
      </c>
      <c r="AT36" s="6">
        <v>-276.06846497785864</v>
      </c>
      <c r="AU36" s="6">
        <v>-201.44395741648066</v>
      </c>
      <c r="AV36" s="6">
        <f t="shared" si="1"/>
        <v>3.7719671079663901</v>
      </c>
      <c r="AW36" s="6">
        <f t="shared" si="2"/>
        <v>6.3201478158781175</v>
      </c>
      <c r="AX36" s="6">
        <f t="shared" si="3"/>
        <v>-0.63037445447659701</v>
      </c>
      <c r="AY36" s="6">
        <f t="shared" si="4"/>
        <v>0.63037445447659701</v>
      </c>
      <c r="AZ36" s="47">
        <f t="shared" si="5"/>
        <v>3.7350045992678584</v>
      </c>
      <c r="BA36" s="47">
        <f t="shared" si="6"/>
        <v>3.7719671079663901</v>
      </c>
      <c r="BB36" s="47">
        <f t="shared" si="7"/>
        <v>6.3201478158781175</v>
      </c>
      <c r="BC36" s="47">
        <f t="shared" si="8"/>
        <v>-0.63037445447659701</v>
      </c>
      <c r="BD36" s="47">
        <f t="shared" si="9"/>
        <v>0.63037445447659701</v>
      </c>
      <c r="BE36" s="40"/>
      <c r="BF36" s="40"/>
      <c r="BG36" s="6">
        <f t="shared" si="18"/>
        <v>-2.7750735106709881</v>
      </c>
      <c r="BH36" s="9">
        <f t="shared" ca="1" si="19"/>
        <v>-203.44361355351879</v>
      </c>
      <c r="BI36" s="9">
        <f t="shared" ca="1" si="20"/>
        <v>-132.08369095039518</v>
      </c>
      <c r="BJ36">
        <f t="shared" ca="1" si="21"/>
        <v>242.56010659379459</v>
      </c>
      <c r="BK36" s="6">
        <f t="shared" ca="1" si="22"/>
        <v>-0.83873484560351641</v>
      </c>
      <c r="BL36" s="6">
        <f t="shared" ca="1" si="23"/>
        <v>-0.54454004331219352</v>
      </c>
      <c r="BM36" s="6">
        <f t="shared" ca="1" si="24"/>
        <v>-2.565752029981252</v>
      </c>
      <c r="BN36" s="6">
        <f t="shared" ca="1" si="25"/>
        <v>-4.4851666499776091</v>
      </c>
      <c r="BO36" s="9">
        <f t="shared" ca="1" si="26"/>
        <v>-283.02581024967822</v>
      </c>
      <c r="BP36" s="9">
        <f t="shared" ca="1" si="27"/>
        <v>-188.25935920812537</v>
      </c>
      <c r="BQ36">
        <f t="shared" ca="1" si="28"/>
        <v>339.91939573513724</v>
      </c>
      <c r="BR36">
        <f t="shared" ca="1" si="29"/>
        <v>-0.83262624551795184</v>
      </c>
      <c r="BS36">
        <f t="shared" ca="1" si="30"/>
        <v>-0.55383529616184568</v>
      </c>
      <c r="BT36">
        <f t="shared" ca="1" si="31"/>
        <v>-2.5546291708141609</v>
      </c>
      <c r="BU36" s="40">
        <f t="shared" ca="1" si="32"/>
        <v>-5.6962218243039544</v>
      </c>
    </row>
    <row r="37" spans="1:73" x14ac:dyDescent="0.25">
      <c r="A37" s="3">
        <f t="shared" ref="A37:A43" si="34">E3-$I$2</f>
        <v>3</v>
      </c>
      <c r="B37" s="6">
        <f t="shared" ref="B37:B43" si="35">F3-$I$3</f>
        <v>-15</v>
      </c>
      <c r="C37" s="6">
        <f>A37*COS($B$27)+B37*SIN($B$27)</f>
        <v>-10.13180535551645</v>
      </c>
      <c r="D37" s="6">
        <f>-1*A37*SIN($B$27)+B37*COS($B$27)</f>
        <v>11.460650951753491</v>
      </c>
      <c r="F37" s="8" t="s">
        <v>23</v>
      </c>
      <c r="G37" s="1">
        <f>MAX(D37:D41)-MIN(D37:D41)</f>
        <v>26.77976862375332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f>-1*AE37</f>
        <v>3.1415926535897931</v>
      </c>
      <c r="AE37">
        <f>-1*PI()</f>
        <v>-3.1415926535897931</v>
      </c>
      <c r="AS37" s="6">
        <v>-2.5307274153917847</v>
      </c>
      <c r="AT37" s="6">
        <v>-275.37450870792134</v>
      </c>
      <c r="AU37" s="6">
        <v>-202.45373329087366</v>
      </c>
      <c r="AV37" s="6">
        <f t="shared" si="1"/>
        <v>3.7755504966007174</v>
      </c>
      <c r="AW37" s="6">
        <f t="shared" si="2"/>
        <v>6.3062779119925025</v>
      </c>
      <c r="AX37" s="6">
        <f t="shared" si="3"/>
        <v>-0.63395784311092429</v>
      </c>
      <c r="AY37" s="6">
        <f t="shared" si="4"/>
        <v>0.63395784311092429</v>
      </c>
      <c r="AZ37" s="47">
        <f t="shared" si="5"/>
        <v>3.7524578917878015</v>
      </c>
      <c r="BA37" s="47">
        <f t="shared" si="6"/>
        <v>3.7755504966007174</v>
      </c>
      <c r="BB37" s="47">
        <f t="shared" si="7"/>
        <v>6.3062779119925025</v>
      </c>
      <c r="BC37" s="47">
        <f t="shared" si="8"/>
        <v>-0.63395784311092429</v>
      </c>
      <c r="BD37" s="47">
        <f t="shared" si="9"/>
        <v>0.63395784311092429</v>
      </c>
      <c r="BE37" s="40"/>
      <c r="BF37" s="40"/>
      <c r="BG37" s="6">
        <f t="shared" si="18"/>
        <v>-2.757620218151045</v>
      </c>
      <c r="BH37" s="9">
        <f t="shared" ca="1" si="19"/>
        <v>-203.07903917568541</v>
      </c>
      <c r="BI37" s="9">
        <f t="shared" ca="1" si="20"/>
        <v>-133.00913550810333</v>
      </c>
      <c r="BJ37">
        <f t="shared" ca="1" si="21"/>
        <v>242.76022384470764</v>
      </c>
      <c r="BK37" s="6">
        <f t="shared" ca="1" si="22"/>
        <v>-0.83654165398032398</v>
      </c>
      <c r="BL37" s="6">
        <f t="shared" ca="1" si="23"/>
        <v>-0.54790333194448082</v>
      </c>
      <c r="BM37" s="6">
        <f t="shared" ca="1" si="24"/>
        <v>-2.5617368311593345</v>
      </c>
      <c r="BN37" s="6">
        <f t="shared" ca="1" si="25"/>
        <v>-4.4811514511556911</v>
      </c>
      <c r="BO37" s="9">
        <f t="shared" ca="1" si="26"/>
        <v>-282.66123587184484</v>
      </c>
      <c r="BP37" s="9">
        <f t="shared" ca="1" si="27"/>
        <v>-189.18480376583352</v>
      </c>
      <c r="BQ37">
        <f t="shared" ca="1" si="28"/>
        <v>340.12977558648942</v>
      </c>
      <c r="BR37">
        <f t="shared" ca="1" si="29"/>
        <v>-0.83103937426368812</v>
      </c>
      <c r="BS37">
        <f t="shared" ca="1" si="30"/>
        <v>-0.55621359064968701</v>
      </c>
      <c r="BT37">
        <f t="shared" ca="1" si="31"/>
        <v>-2.5517700711976778</v>
      </c>
      <c r="BU37" s="40">
        <f t="shared" ca="1" si="32"/>
        <v>-5.6933627246874714</v>
      </c>
    </row>
    <row r="38" spans="1:73" x14ac:dyDescent="0.25">
      <c r="A38" s="3">
        <f t="shared" si="34"/>
        <v>15</v>
      </c>
      <c r="B38" s="6">
        <f t="shared" si="35"/>
        <v>-15</v>
      </c>
      <c r="C38" s="6">
        <f t="shared" ref="C38:C41" si="36">A38*COS($B$27)+B38*SIN($B$27)</f>
        <v>-20.506429988483205</v>
      </c>
      <c r="D38" s="6">
        <f t="shared" ref="D38:D41" si="37">-1*A38*SIN($B$27)+B38*COS($B$27)</f>
        <v>5.4301315939336821</v>
      </c>
      <c r="F38" s="8" t="s">
        <v>24</v>
      </c>
      <c r="G38" s="6">
        <f>MAX(D37:D43)</f>
        <v>11.460650951753491</v>
      </c>
      <c r="H38" t="s">
        <v>4</v>
      </c>
      <c r="J38" s="9">
        <f>MIN(C37:C43,A37:A43)-1</f>
        <v>-22</v>
      </c>
      <c r="K38" s="9">
        <f>G40</f>
        <v>5.2950870792162732</v>
      </c>
      <c r="N38" s="9">
        <f>J38</f>
        <v>-22</v>
      </c>
      <c r="O38" s="9">
        <f>G41</f>
        <v>6.5281998537237174</v>
      </c>
      <c r="AD38">
        <f>AE37</f>
        <v>-3.1415926535897931</v>
      </c>
      <c r="AE38">
        <f>AE37</f>
        <v>-3.1415926535897931</v>
      </c>
      <c r="AS38" s="6">
        <v>-2.5132741228718416</v>
      </c>
      <c r="AT38" s="6">
        <v>-274.67646801505305</v>
      </c>
      <c r="AU38" s="6">
        <v>-203.43240454783248</v>
      </c>
      <c r="AV38" s="6">
        <f t="shared" si="1"/>
        <v>3.7790670552112209</v>
      </c>
      <c r="AW38" s="6">
        <f t="shared" si="2"/>
        <v>6.2923411780830625</v>
      </c>
      <c r="AX38" s="6">
        <f t="shared" si="3"/>
        <v>-0.63747440172142777</v>
      </c>
      <c r="AY38" s="6">
        <f t="shared" si="4"/>
        <v>0.63747440172142777</v>
      </c>
      <c r="AZ38" s="47">
        <f t="shared" si="5"/>
        <v>3.7699111843077446</v>
      </c>
      <c r="BA38" s="47">
        <f t="shared" si="6"/>
        <v>3.7790670552112209</v>
      </c>
      <c r="BB38" s="47">
        <f t="shared" si="7"/>
        <v>6.2923411780830625</v>
      </c>
      <c r="BC38" s="47">
        <f t="shared" si="8"/>
        <v>-0.63747440172142777</v>
      </c>
      <c r="BD38" s="47">
        <f t="shared" si="9"/>
        <v>0.63747440172142777</v>
      </c>
      <c r="BE38" s="40"/>
      <c r="BF38" s="40"/>
      <c r="BG38" s="6">
        <f t="shared" si="18"/>
        <v>-2.7401669256311019</v>
      </c>
      <c r="BH38" s="9">
        <f t="shared" ca="1" si="19"/>
        <v>-202.69022766237003</v>
      </c>
      <c r="BI38" s="9">
        <f t="shared" ca="1" si="20"/>
        <v>-133.94772580629041</v>
      </c>
      <c r="BJ38">
        <f t="shared" ca="1" si="21"/>
        <v>242.95127420637363</v>
      </c>
      <c r="BK38" s="6">
        <f t="shared" ca="1" si="22"/>
        <v>-0.83428345179287244</v>
      </c>
      <c r="BL38" s="6">
        <f t="shared" ca="1" si="23"/>
        <v>-0.55133576164127973</v>
      </c>
      <c r="BM38" s="6">
        <f t="shared" ca="1" si="24"/>
        <v>-2.5576281726811421</v>
      </c>
      <c r="BN38" s="6">
        <f t="shared" ca="1" si="25"/>
        <v>-4.4770427926774996</v>
      </c>
      <c r="BO38" s="9">
        <f t="shared" ca="1" si="26"/>
        <v>-282.27242435852946</v>
      </c>
      <c r="BP38" s="9">
        <f t="shared" ca="1" si="27"/>
        <v>-190.1233940640206</v>
      </c>
      <c r="BQ38">
        <f t="shared" ca="1" si="28"/>
        <v>340.33017280820781</v>
      </c>
      <c r="BR38">
        <f t="shared" ca="1" si="29"/>
        <v>-0.82940757802748033</v>
      </c>
      <c r="BS38">
        <f t="shared" ca="1" si="30"/>
        <v>-0.55864395594205563</v>
      </c>
      <c r="BT38">
        <f t="shared" ca="1" si="31"/>
        <v>-2.548842710521154</v>
      </c>
      <c r="BU38" s="40">
        <f t="shared" ca="1" si="32"/>
        <v>-5.6904353640109466</v>
      </c>
    </row>
    <row r="39" spans="1:73" x14ac:dyDescent="0.25">
      <c r="A39" s="3">
        <f t="shared" si="34"/>
        <v>15</v>
      </c>
      <c r="B39" s="6">
        <f t="shared" si="35"/>
        <v>1</v>
      </c>
      <c r="C39" s="6">
        <f t="shared" si="36"/>
        <v>-12.465737511390126</v>
      </c>
      <c r="D39" s="6">
        <f t="shared" si="37"/>
        <v>-8.4027012500219911</v>
      </c>
      <c r="J39" s="9">
        <f>MAX(C37:C43,A37:A43)+1</f>
        <v>23.678482626056677</v>
      </c>
      <c r="K39" s="9">
        <f>K38</f>
        <v>5.2950870792162732</v>
      </c>
      <c r="N39" s="9">
        <f>J39</f>
        <v>23.678482626056677</v>
      </c>
      <c r="O39" s="9">
        <f>G41</f>
        <v>6.5281998537237174</v>
      </c>
      <c r="AD39">
        <f>AD38</f>
        <v>-3.1415926535897931</v>
      </c>
      <c r="AE39">
        <f>-1*(AD39)</f>
        <v>3.1415926535897931</v>
      </c>
      <c r="AS39" s="6">
        <v>-2.4958208303518985</v>
      </c>
      <c r="AT39" s="6">
        <v>-273.97351684050244</v>
      </c>
      <c r="AU39" s="6">
        <v>-204.38243479206619</v>
      </c>
      <c r="AV39" s="6">
        <f t="shared" si="1"/>
        <v>3.7825246018202003</v>
      </c>
      <c r="AW39" s="6">
        <f t="shared" si="2"/>
        <v>6.2783454321720988</v>
      </c>
      <c r="AX39" s="6">
        <f t="shared" si="3"/>
        <v>-0.64093194833040723</v>
      </c>
      <c r="AY39" s="6">
        <f t="shared" si="4"/>
        <v>0.64093194833040723</v>
      </c>
      <c r="AZ39" s="47">
        <f t="shared" si="5"/>
        <v>3.7873644768276877</v>
      </c>
      <c r="BA39" s="47">
        <f t="shared" si="6"/>
        <v>3.7825246018202003</v>
      </c>
      <c r="BB39" s="47">
        <f t="shared" si="7"/>
        <v>6.2783454321720988</v>
      </c>
      <c r="BC39" s="47">
        <f t="shared" si="8"/>
        <v>-0.64093194833040723</v>
      </c>
      <c r="BD39" s="47">
        <f t="shared" si="9"/>
        <v>0.64093194833040723</v>
      </c>
      <c r="BE39" s="40"/>
      <c r="BF39" s="40"/>
      <c r="BG39" s="6">
        <f t="shared" si="18"/>
        <v>-2.7227136331111588</v>
      </c>
      <c r="BH39" s="9">
        <f t="shared" ca="1" si="19"/>
        <v>-202.27598675670754</v>
      </c>
      <c r="BI39" s="9">
        <f t="shared" ca="1" si="20"/>
        <v>-134.90032839793133</v>
      </c>
      <c r="BJ39">
        <f t="shared" ca="1" si="21"/>
        <v>243.13303646413303</v>
      </c>
      <c r="BK39" s="6">
        <f t="shared" ca="1" si="22"/>
        <v>-0.83195599289341038</v>
      </c>
      <c r="BL39" s="6">
        <f t="shared" ca="1" si="23"/>
        <v>-0.55484162234708001</v>
      </c>
      <c r="BM39" s="6">
        <f t="shared" ca="1" si="24"/>
        <v>-2.5534200673653622</v>
      </c>
      <c r="BN39" s="6">
        <f t="shared" ca="1" si="25"/>
        <v>-4.4728346873617193</v>
      </c>
      <c r="BO39" s="9">
        <f t="shared" ca="1" si="26"/>
        <v>-281.85818345286697</v>
      </c>
      <c r="BP39" s="9">
        <f t="shared" ca="1" si="27"/>
        <v>-191.07599665566153</v>
      </c>
      <c r="BQ39">
        <f t="shared" ca="1" si="28"/>
        <v>340.52029613123563</v>
      </c>
      <c r="BR39">
        <f t="shared" ca="1" si="29"/>
        <v>-0.82772799934439023</v>
      </c>
      <c r="BS39">
        <f t="shared" ca="1" si="30"/>
        <v>-0.56112953861058945</v>
      </c>
      <c r="BT39">
        <f t="shared" ca="1" si="31"/>
        <v>-2.5458428584408885</v>
      </c>
      <c r="BU39" s="40">
        <f t="shared" ca="1" si="32"/>
        <v>-5.6874355119306816</v>
      </c>
    </row>
    <row r="40" spans="1:73" x14ac:dyDescent="0.25">
      <c r="A40" s="3">
        <f t="shared" si="34"/>
        <v>15</v>
      </c>
      <c r="B40" s="6">
        <f t="shared" si="35"/>
        <v>1</v>
      </c>
      <c r="C40" s="6">
        <f t="shared" si="36"/>
        <v>-12.465737511390126</v>
      </c>
      <c r="D40" s="6">
        <f t="shared" si="37"/>
        <v>-8.4027012500219911</v>
      </c>
      <c r="F40" s="8" t="s">
        <v>50</v>
      </c>
      <c r="G40" s="9">
        <f>G38-B28</f>
        <v>5.2950870792162732</v>
      </c>
      <c r="AD40">
        <f>AE39</f>
        <v>3.1415926535897931</v>
      </c>
      <c r="AE40">
        <f>AE39</f>
        <v>3.1415926535897931</v>
      </c>
      <c r="AS40" s="6">
        <v>-2.4783675378319554</v>
      </c>
      <c r="AT40" s="6">
        <v>-273.26481458987007</v>
      </c>
      <c r="AU40" s="6">
        <v>-205.30607258612898</v>
      </c>
      <c r="AV40" s="6">
        <f t="shared" si="1"/>
        <v>3.7859304300754548</v>
      </c>
      <c r="AW40" s="6">
        <f t="shared" si="2"/>
        <v>6.2642979679074102</v>
      </c>
      <c r="AX40" s="6">
        <f t="shared" si="3"/>
        <v>-0.64433777658566171</v>
      </c>
      <c r="AY40" s="6">
        <f t="shared" si="4"/>
        <v>0.64433777658566171</v>
      </c>
      <c r="AZ40" s="47">
        <f t="shared" si="5"/>
        <v>3.8048177693476308</v>
      </c>
      <c r="BA40" s="47">
        <f t="shared" si="6"/>
        <v>3.7859304300754548</v>
      </c>
      <c r="BB40" s="47">
        <f t="shared" si="7"/>
        <v>6.2642979679074102</v>
      </c>
      <c r="BC40" s="47">
        <f t="shared" si="8"/>
        <v>-0.64433777658566171</v>
      </c>
      <c r="BD40" s="47">
        <f t="shared" si="9"/>
        <v>0.64433777658566171</v>
      </c>
      <c r="BE40" s="40"/>
      <c r="BF40" s="40"/>
      <c r="BG40" s="6">
        <f t="shared" si="18"/>
        <v>-2.7052603405912157</v>
      </c>
      <c r="BH40" s="9">
        <f t="shared" ca="1" si="19"/>
        <v>-201.8350197220085</v>
      </c>
      <c r="BI40" s="9">
        <f t="shared" ca="1" si="20"/>
        <v>-135.86785325158399</v>
      </c>
      <c r="BJ40">
        <f t="shared" ca="1" si="21"/>
        <v>243.30525833482827</v>
      </c>
      <c r="BK40" s="6">
        <f t="shared" ca="1" si="22"/>
        <v>-0.82955469644741564</v>
      </c>
      <c r="BL40" s="6">
        <f t="shared" ca="1" si="23"/>
        <v>-0.55842547005131871</v>
      </c>
      <c r="BM40" s="6">
        <f t="shared" ca="1" si="24"/>
        <v>-2.5491061111937734</v>
      </c>
      <c r="BN40" s="6">
        <f t="shared" ca="1" si="25"/>
        <v>-4.4685207311901305</v>
      </c>
      <c r="BO40" s="9">
        <f t="shared" ca="1" si="26"/>
        <v>-281.41721641816792</v>
      </c>
      <c r="BP40" s="9">
        <f t="shared" ca="1" si="27"/>
        <v>-192.04352150931419</v>
      </c>
      <c r="BQ40">
        <f t="shared" ca="1" si="28"/>
        <v>340.69981486676568</v>
      </c>
      <c r="BR40">
        <f t="shared" ca="1" si="29"/>
        <v>-0.82599756189541562</v>
      </c>
      <c r="BS40">
        <f t="shared" ca="1" si="30"/>
        <v>-0.56367368906383142</v>
      </c>
      <c r="BT40">
        <f t="shared" ca="1" si="31"/>
        <v>-2.5427659894540104</v>
      </c>
      <c r="BU40" s="40">
        <f t="shared" ca="1" si="32"/>
        <v>-5.6843586429438036</v>
      </c>
    </row>
    <row r="41" spans="1:73" x14ac:dyDescent="0.25">
      <c r="A41" s="3">
        <f t="shared" si="34"/>
        <v>15</v>
      </c>
      <c r="B41" s="6">
        <f t="shared" si="35"/>
        <v>9</v>
      </c>
      <c r="C41" s="6">
        <f t="shared" si="36"/>
        <v>-8.4453912728435867</v>
      </c>
      <c r="D41" s="6">
        <f t="shared" si="37"/>
        <v>-15.319117671999827</v>
      </c>
      <c r="F41" s="8" t="s">
        <v>51</v>
      </c>
      <c r="G41" s="9">
        <f>G38-B29</f>
        <v>6.5281998537237174</v>
      </c>
      <c r="J41" s="9"/>
      <c r="K41" s="9"/>
      <c r="N41" s="9"/>
      <c r="O41" s="9"/>
      <c r="AD41">
        <f>AD40</f>
        <v>3.1415926535897931</v>
      </c>
      <c r="AE41">
        <f>AE37</f>
        <v>-3.1415926535897931</v>
      </c>
      <c r="AS41" s="6">
        <v>-2.4609142453120123</v>
      </c>
      <c r="AT41" s="6">
        <v>-272.54950104699196</v>
      </c>
      <c r="AU41" s="6">
        <v>-206.20537740819844</v>
      </c>
      <c r="AV41" s="6">
        <f t="shared" si="1"/>
        <v>3.7892913893860913</v>
      </c>
      <c r="AW41" s="6">
        <f t="shared" si="2"/>
        <v>6.2502056346981032</v>
      </c>
      <c r="AX41" s="6">
        <f t="shared" si="3"/>
        <v>-0.64769873589629823</v>
      </c>
      <c r="AY41" s="6">
        <f t="shared" si="4"/>
        <v>0.64769873589629823</v>
      </c>
      <c r="AZ41" s="47">
        <f t="shared" si="5"/>
        <v>3.8222710618675739</v>
      </c>
      <c r="BA41" s="47">
        <f t="shared" si="6"/>
        <v>3.7892913893860913</v>
      </c>
      <c r="BB41" s="47">
        <f t="shared" si="7"/>
        <v>6.2502056346981032</v>
      </c>
      <c r="BC41" s="47">
        <f t="shared" si="8"/>
        <v>-0.64769873589629823</v>
      </c>
      <c r="BD41" s="47">
        <f t="shared" si="9"/>
        <v>0.64769873589629823</v>
      </c>
      <c r="BE41" s="40"/>
      <c r="BF41" s="40"/>
      <c r="BG41" s="6">
        <f t="shared" si="18"/>
        <v>-2.6878070480712726</v>
      </c>
      <c r="BH41" s="9">
        <f t="shared" ca="1" si="19"/>
        <v>-201.36591607881695</v>
      </c>
      <c r="BI41" s="9">
        <f t="shared" ca="1" si="20"/>
        <v>-136.85125755744258</v>
      </c>
      <c r="BJ41">
        <f t="shared" ca="1" si="21"/>
        <v>243.4676546346858</v>
      </c>
      <c r="BK41" s="6">
        <f t="shared" ca="1" si="22"/>
        <v>-0.82707461235850421</v>
      </c>
      <c r="BL41" s="6">
        <f t="shared" ca="1" si="23"/>
        <v>-0.56209215044512928</v>
      </c>
      <c r="BM41" s="6">
        <f t="shared" ca="1" si="24"/>
        <v>-2.5446794426725607</v>
      </c>
      <c r="BN41" s="6">
        <f t="shared" ca="1" si="25"/>
        <v>-4.4640940626689183</v>
      </c>
      <c r="BO41" s="9">
        <f t="shared" ca="1" si="26"/>
        <v>-280.94811277497638</v>
      </c>
      <c r="BP41" s="9">
        <f t="shared" ca="1" si="27"/>
        <v>-193.02692581517277</v>
      </c>
      <c r="BQ41">
        <f t="shared" ca="1" si="28"/>
        <v>340.86835605769721</v>
      </c>
      <c r="BR41">
        <f t="shared" ca="1" si="29"/>
        <v>-0.82421294843637993</v>
      </c>
      <c r="BS41">
        <f t="shared" ca="1" si="30"/>
        <v>-0.56627997989493628</v>
      </c>
      <c r="BT41">
        <f t="shared" ca="1" si="31"/>
        <v>-2.5396072546771542</v>
      </c>
      <c r="BU41" s="40">
        <f t="shared" ca="1" si="32"/>
        <v>-5.6811999081669473</v>
      </c>
    </row>
    <row r="42" spans="1:73" x14ac:dyDescent="0.25">
      <c r="A42" s="3">
        <f t="shared" si="34"/>
        <v>-21</v>
      </c>
      <c r="B42" s="6">
        <f t="shared" si="35"/>
        <v>9</v>
      </c>
      <c r="C42" s="6">
        <f t="shared" ref="C42:C43" si="38">A42*COS($B$27)+B42*SIN($B$27)</f>
        <v>22.678482626056677</v>
      </c>
      <c r="D42" s="6">
        <f t="shared" ref="D42:D43" si="39">-1*A42*SIN($B$27)+B42*COS($B$27)</f>
        <v>2.7724404014595994</v>
      </c>
      <c r="J42" s="9"/>
      <c r="K42" s="9"/>
      <c r="N42" s="9"/>
      <c r="O42" s="9"/>
      <c r="AS42" s="6">
        <v>-2.4434609527920692</v>
      </c>
      <c r="AT42" s="6">
        <v>-271.82669138223679</v>
      </c>
      <c r="AU42" s="6">
        <v>-207.08224210452204</v>
      </c>
      <c r="AV42" s="6">
        <f t="shared" si="1"/>
        <v>3.7926139554095215</v>
      </c>
      <c r="AW42" s="6">
        <f t="shared" si="2"/>
        <v>6.2360749082015907</v>
      </c>
      <c r="AX42" s="6">
        <f t="shared" si="3"/>
        <v>-0.6510213019197284</v>
      </c>
      <c r="AY42" s="6">
        <f t="shared" si="4"/>
        <v>0.6510213019197284</v>
      </c>
      <c r="AZ42" s="47">
        <f t="shared" si="5"/>
        <v>3.839724354387517</v>
      </c>
      <c r="BA42" s="47">
        <f t="shared" si="6"/>
        <v>3.7926139554095215</v>
      </c>
      <c r="BB42" s="47">
        <f t="shared" si="7"/>
        <v>6.2360749082015907</v>
      </c>
      <c r="BC42" s="47">
        <f t="shared" si="8"/>
        <v>-0.6510213019197284</v>
      </c>
      <c r="BD42" s="47">
        <f t="shared" si="9"/>
        <v>0.6510213019197284</v>
      </c>
      <c r="BE42" s="40"/>
      <c r="BF42" s="40"/>
      <c r="BG42" s="6">
        <f t="shared" si="18"/>
        <v>-2.6703537555513295</v>
      </c>
      <c r="BH42" s="9">
        <f t="shared" ca="1" si="19"/>
        <v>-200.86714130354079</v>
      </c>
      <c r="BI42" s="9">
        <f t="shared" ca="1" si="20"/>
        <v>-137.85154987406383</v>
      </c>
      <c r="BJ42">
        <f t="shared" ca="1" si="21"/>
        <v>243.61990529950162</v>
      </c>
      <c r="BK42" s="6">
        <f t="shared" ca="1" si="22"/>
        <v>-0.82451038250178532</v>
      </c>
      <c r="BL42" s="6">
        <f t="shared" ca="1" si="23"/>
        <v>-0.56584682480929382</v>
      </c>
      <c r="BM42" s="6">
        <f t="shared" ca="1" si="24"/>
        <v>-2.5401326976881782</v>
      </c>
      <c r="BN42" s="6">
        <f t="shared" ca="1" si="25"/>
        <v>-4.4595473176845353</v>
      </c>
      <c r="BO42" s="9">
        <f t="shared" ca="1" si="26"/>
        <v>-280.44933799970022</v>
      </c>
      <c r="BP42" s="9">
        <f t="shared" ca="1" si="27"/>
        <v>-194.02721813179403</v>
      </c>
      <c r="BQ42">
        <f t="shared" ca="1" si="28"/>
        <v>341.0255013344792</v>
      </c>
      <c r="BR42">
        <f t="shared" ca="1" si="29"/>
        <v>-0.82237057610725239</v>
      </c>
      <c r="BS42">
        <f t="shared" ca="1" si="30"/>
        <v>-0.56895222607265183</v>
      </c>
      <c r="BT42">
        <f t="shared" ca="1" si="31"/>
        <v>-2.5363614505113539</v>
      </c>
      <c r="BU42" s="40">
        <f t="shared" ca="1" si="32"/>
        <v>-5.677954104001147</v>
      </c>
    </row>
    <row r="43" spans="1:73" x14ac:dyDescent="0.25">
      <c r="A43" s="3">
        <f t="shared" si="34"/>
        <v>-21</v>
      </c>
      <c r="B43" s="6">
        <f t="shared" si="35"/>
        <v>1</v>
      </c>
      <c r="C43" s="6">
        <f t="shared" si="38"/>
        <v>18.65813638751014</v>
      </c>
      <c r="D43" s="6">
        <f t="shared" si="39"/>
        <v>9.688856823437435</v>
      </c>
      <c r="AD43" t="s">
        <v>134</v>
      </c>
      <c r="AS43" s="6">
        <v>-2.4260076602721261</v>
      </c>
      <c r="AT43" s="6">
        <v>-271.09547075041638</v>
      </c>
      <c r="AU43" s="6">
        <v>-207.93841237407105</v>
      </c>
      <c r="AV43" s="6">
        <f t="shared" si="1"/>
        <v>3.7959042933310432</v>
      </c>
      <c r="AW43" s="6">
        <f t="shared" si="2"/>
        <v>6.2219119536031693</v>
      </c>
      <c r="AX43" s="6">
        <f t="shared" si="3"/>
        <v>-0.65431163984125007</v>
      </c>
      <c r="AY43" s="6">
        <f t="shared" si="4"/>
        <v>0.65431163984125007</v>
      </c>
      <c r="AZ43" s="47">
        <f t="shared" si="5"/>
        <v>3.8571776469074601</v>
      </c>
      <c r="BA43" s="47">
        <f t="shared" si="6"/>
        <v>3.7959042933310432</v>
      </c>
      <c r="BB43" s="47">
        <f t="shared" si="7"/>
        <v>6.2219119536031693</v>
      </c>
      <c r="BC43" s="47">
        <f t="shared" si="8"/>
        <v>-0.65431163984125007</v>
      </c>
      <c r="BD43" s="47">
        <f t="shared" si="9"/>
        <v>0.65431163984125007</v>
      </c>
      <c r="BE43" s="40"/>
      <c r="BF43" s="40"/>
      <c r="BG43" s="6">
        <f t="shared" si="18"/>
        <v>-2.6529004630313864</v>
      </c>
      <c r="BH43" s="9">
        <f t="shared" ca="1" si="19"/>
        <v>-200.33702530484868</v>
      </c>
      <c r="BI43" s="9">
        <f t="shared" ca="1" si="20"/>
        <v>-138.86979465553139</v>
      </c>
      <c r="BJ43">
        <f t="shared" ca="1" si="21"/>
        <v>243.7616532099851</v>
      </c>
      <c r="BK43" s="6">
        <f t="shared" ca="1" si="22"/>
        <v>-0.8218561970954108</v>
      </c>
      <c r="BL43" s="6">
        <f t="shared" ca="1" si="23"/>
        <v>-0.56969499848240668</v>
      </c>
      <c r="BM43" s="6">
        <f t="shared" ca="1" si="24"/>
        <v>-2.535457959130075</v>
      </c>
      <c r="BN43" s="6">
        <f t="shared" ca="1" si="25"/>
        <v>-4.4548725791264321</v>
      </c>
      <c r="BO43" s="9">
        <f t="shared" ca="1" si="26"/>
        <v>-279.91922200100811</v>
      </c>
      <c r="BP43" s="9">
        <f t="shared" ca="1" si="27"/>
        <v>-195.04546291326159</v>
      </c>
      <c r="BQ43">
        <f t="shared" ca="1" si="28"/>
        <v>341.17078340429174</v>
      </c>
      <c r="BR43">
        <f t="shared" ca="1" si="29"/>
        <v>-0.82046656870175272</v>
      </c>
      <c r="BS43">
        <f t="shared" ca="1" si="30"/>
        <v>-0.57169450727007365</v>
      </c>
      <c r="BT43">
        <f t="shared" ca="1" si="31"/>
        <v>-2.5330229836899649</v>
      </c>
      <c r="BU43" s="40">
        <f t="shared" ca="1" si="32"/>
        <v>-5.674615637179758</v>
      </c>
    </row>
    <row r="44" spans="1:73" x14ac:dyDescent="0.25">
      <c r="A44" s="3">
        <f t="shared" ref="A44:A45" si="40">E10-$I$2</f>
        <v>3</v>
      </c>
      <c r="B44" s="6">
        <f t="shared" ref="B44:B45" si="41">F10-$I$3</f>
        <v>1</v>
      </c>
      <c r="C44" s="6">
        <f t="shared" ref="C44:C45" si="42">A44*COS($B$27)+B44*SIN($B$27)</f>
        <v>-2.0911128784233712</v>
      </c>
      <c r="D44" s="6">
        <f t="shared" ref="D44:D45" si="43">-1*A44*SIN($B$27)+B44*COS($B$27)</f>
        <v>-2.3721818922021818</v>
      </c>
      <c r="AD44" t="s">
        <v>8</v>
      </c>
      <c r="AE44" t="s">
        <v>9</v>
      </c>
      <c r="AS44" s="6">
        <v>-2.408554367752183</v>
      </c>
      <c r="AT44" s="6">
        <v>-270.35488878039246</v>
      </c>
      <c r="AU44" s="6">
        <v>-208.7755037866099</v>
      </c>
      <c r="AV44" s="6">
        <f t="shared" si="1"/>
        <v>3.7991683148271842</v>
      </c>
      <c r="AW44" s="6">
        <f t="shared" si="2"/>
        <v>6.2077226825793677</v>
      </c>
      <c r="AX44" s="6">
        <f t="shared" si="3"/>
        <v>-0.65757566133739109</v>
      </c>
      <c r="AY44" s="6">
        <f t="shared" si="4"/>
        <v>0.65757566133739109</v>
      </c>
      <c r="AZ44" s="47">
        <f t="shared" si="5"/>
        <v>3.8746309394274032</v>
      </c>
      <c r="BA44" s="47">
        <f t="shared" si="6"/>
        <v>3.7991683148271842</v>
      </c>
      <c r="BB44" s="47">
        <f t="shared" si="7"/>
        <v>6.2077226825793677</v>
      </c>
      <c r="BC44" s="47">
        <f t="shared" si="8"/>
        <v>-0.65757566133739109</v>
      </c>
      <c r="BD44" s="47">
        <f t="shared" si="9"/>
        <v>0.65757566133739109</v>
      </c>
      <c r="BE44" s="40"/>
      <c r="BF44" s="40"/>
      <c r="BG44" s="6">
        <f t="shared" si="18"/>
        <v>-2.6354471705114433</v>
      </c>
      <c r="BH44" s="9">
        <f t="shared" ca="1" si="19"/>
        <v>-199.77374957588739</v>
      </c>
      <c r="BI44" s="9">
        <f t="shared" ca="1" si="20"/>
        <v>-139.90711720395157</v>
      </c>
      <c r="BJ44">
        <f t="shared" ca="1" si="21"/>
        <v>243.89250186081901</v>
      </c>
      <c r="BK44" s="6">
        <f t="shared" ca="1" si="22"/>
        <v>-0.81910574557101945</v>
      </c>
      <c r="BL44" s="6">
        <f t="shared" ca="1" si="23"/>
        <v>-0.57364255209367487</v>
      </c>
      <c r="BM44" s="6">
        <f t="shared" ca="1" si="24"/>
        <v>-2.5306467006922939</v>
      </c>
      <c r="BN44" s="6">
        <f t="shared" ca="1" si="25"/>
        <v>-4.4500613206886506</v>
      </c>
      <c r="BO44" s="9">
        <f t="shared" ca="1" si="26"/>
        <v>-279.35594627204682</v>
      </c>
      <c r="BP44" s="9">
        <f t="shared" ca="1" si="27"/>
        <v>-196.08278546168177</v>
      </c>
      <c r="BQ44">
        <f t="shared" ca="1" si="28"/>
        <v>341.30368218342244</v>
      </c>
      <c r="BR44">
        <f t="shared" ca="1" si="29"/>
        <v>-0.81849672551120078</v>
      </c>
      <c r="BS44">
        <f t="shared" ca="1" si="30"/>
        <v>-0.57451119251711891</v>
      </c>
      <c r="BT44">
        <f t="shared" ca="1" si="31"/>
        <v>-2.529585832310234</v>
      </c>
      <c r="BU44" s="40">
        <f t="shared" ca="1" si="32"/>
        <v>-5.6711784858000271</v>
      </c>
    </row>
    <row r="45" spans="1:73" x14ac:dyDescent="0.25">
      <c r="A45" s="3">
        <f t="shared" si="40"/>
        <v>3</v>
      </c>
      <c r="B45" s="6">
        <f t="shared" si="41"/>
        <v>-15</v>
      </c>
      <c r="C45" s="6">
        <f t="shared" si="42"/>
        <v>-10.13180535551645</v>
      </c>
      <c r="D45" s="6">
        <f t="shared" si="43"/>
        <v>11.460650951753491</v>
      </c>
      <c r="AD45" s="40">
        <f>U13+PI()/2</f>
        <v>4.7123889802846897</v>
      </c>
      <c r="AE45">
        <v>0</v>
      </c>
      <c r="AS45" s="6">
        <v>-2.3911010752322399</v>
      </c>
      <c r="AT45" s="6">
        <v>-269.6039536056993</v>
      </c>
      <c r="AU45" s="6">
        <v>-209.59501669709414</v>
      </c>
      <c r="AV45" s="6">
        <f t="shared" si="1"/>
        <v>3.8024117303933442</v>
      </c>
      <c r="AW45" s="6">
        <f t="shared" si="2"/>
        <v>6.1935128056255841</v>
      </c>
      <c r="AX45" s="6">
        <f t="shared" si="3"/>
        <v>-0.66081907690355113</v>
      </c>
      <c r="AY45" s="6">
        <f t="shared" si="4"/>
        <v>0.66081907690355113</v>
      </c>
      <c r="AZ45" s="47">
        <f t="shared" si="5"/>
        <v>3.8920842319473463</v>
      </c>
      <c r="BA45" s="47">
        <f t="shared" si="6"/>
        <v>3.8024117303933442</v>
      </c>
      <c r="BB45" s="47">
        <f t="shared" si="7"/>
        <v>6.1935128056255841</v>
      </c>
      <c r="BC45" s="47">
        <f t="shared" si="8"/>
        <v>-0.66081907690355113</v>
      </c>
      <c r="BD45" s="47">
        <f t="shared" si="9"/>
        <v>0.66081907690355113</v>
      </c>
      <c r="BE45" s="40"/>
      <c r="BF45" s="40"/>
      <c r="BG45" s="6">
        <f t="shared" si="18"/>
        <v>-2.6179938779915002</v>
      </c>
      <c r="BH45" s="9">
        <f t="shared" ca="1" si="19"/>
        <v>-199.17533271159397</v>
      </c>
      <c r="BI45" s="9">
        <f t="shared" ca="1" si="20"/>
        <v>-140.96470909807329</v>
      </c>
      <c r="BJ45">
        <f t="shared" ca="1" si="21"/>
        <v>244.01201276141833</v>
      </c>
      <c r="BK45" s="6">
        <f t="shared" ca="1" si="22"/>
        <v>-0.81625216093904673</v>
      </c>
      <c r="BL45" s="6">
        <f t="shared" ca="1" si="23"/>
        <v>-0.57769577613336975</v>
      </c>
      <c r="BM45" s="6">
        <f t="shared" ca="1" si="24"/>
        <v>-2.5256897237222584</v>
      </c>
      <c r="BN45" s="6">
        <f t="shared" ca="1" si="25"/>
        <v>-4.4451043437186151</v>
      </c>
      <c r="BO45" s="9">
        <f t="shared" ca="1" si="26"/>
        <v>-278.7575294077534</v>
      </c>
      <c r="BP45" s="9">
        <f t="shared" ca="1" si="27"/>
        <v>-197.14037735580348</v>
      </c>
      <c r="BQ45">
        <f t="shared" ca="1" si="28"/>
        <v>341.42362042703354</v>
      </c>
      <c r="BR45">
        <f t="shared" ca="1" si="29"/>
        <v>-0.81645648610690469</v>
      </c>
      <c r="BS45">
        <f t="shared" ca="1" si="30"/>
        <v>-0.57740696765276911</v>
      </c>
      <c r="BT45">
        <f t="shared" ca="1" si="31"/>
        <v>-2.5260435020624552</v>
      </c>
      <c r="BU45" s="40">
        <f t="shared" ca="1" si="32"/>
        <v>-5.6676361555522483</v>
      </c>
    </row>
    <row r="46" spans="1:73" x14ac:dyDescent="0.25">
      <c r="AD46" s="40">
        <f>U13-PI()/2</f>
        <v>1.5707963266948965</v>
      </c>
      <c r="AE46">
        <f>AE45</f>
        <v>0</v>
      </c>
      <c r="AS46" s="6">
        <v>-2.3736477827122968</v>
      </c>
      <c r="AT46" s="6">
        <v>-268.84162543458706</v>
      </c>
      <c r="AU46" s="6">
        <v>-210.39834938369546</v>
      </c>
      <c r="AV46" s="6">
        <f t="shared" si="1"/>
        <v>3.8056400979938272</v>
      </c>
      <c r="AW46" s="6">
        <f t="shared" si="2"/>
        <v>6.1792878807061236</v>
      </c>
      <c r="AX46" s="6">
        <f t="shared" si="3"/>
        <v>-0.66404744450403408</v>
      </c>
      <c r="AY46" s="6">
        <f t="shared" si="4"/>
        <v>0.66404744450403408</v>
      </c>
      <c r="AZ46" s="47">
        <f t="shared" si="5"/>
        <v>3.9095375244672894</v>
      </c>
      <c r="BA46" s="47">
        <f t="shared" si="6"/>
        <v>3.8056400979938272</v>
      </c>
      <c r="BB46" s="47">
        <f t="shared" si="7"/>
        <v>6.1792878807061236</v>
      </c>
      <c r="BC46" s="47">
        <f t="shared" si="8"/>
        <v>-0.66404744450403408</v>
      </c>
      <c r="BD46" s="47">
        <f t="shared" si="9"/>
        <v>0.66404744450403408</v>
      </c>
      <c r="BE46" s="40"/>
      <c r="BF46" s="40"/>
      <c r="BG46" s="6">
        <f t="shared" si="18"/>
        <v>-2.6005405854715571</v>
      </c>
      <c r="BH46" s="9">
        <f t="shared" ca="1" si="19"/>
        <v>-198.53961426951508</v>
      </c>
      <c r="BI46" s="9">
        <f t="shared" ca="1" si="20"/>
        <v>-142.04383415563441</v>
      </c>
      <c r="BJ46">
        <f t="shared" ca="1" si="21"/>
        <v>244.11970271963142</v>
      </c>
      <c r="BK46" s="6">
        <f t="shared" ca="1" si="22"/>
        <v>-0.81328795692306521</v>
      </c>
      <c r="BL46" s="6">
        <f t="shared" ca="1" si="23"/>
        <v>-0.58186140886288917</v>
      </c>
      <c r="BM46" s="6">
        <f t="shared" ca="1" si="24"/>
        <v>-2.5205770865922554</v>
      </c>
      <c r="BN46" s="6">
        <f t="shared" ca="1" si="25"/>
        <v>-4.4399917065886125</v>
      </c>
      <c r="BO46" s="9">
        <f t="shared" ca="1" si="26"/>
        <v>-278.12181096567451</v>
      </c>
      <c r="BP46" s="9">
        <f t="shared" ca="1" si="27"/>
        <v>-198.21950241336461</v>
      </c>
      <c r="BQ46">
        <f t="shared" ca="1" si="28"/>
        <v>341.52995896674753</v>
      </c>
      <c r="BR46">
        <f t="shared" ca="1" si="29"/>
        <v>-0.81434089064131954</v>
      </c>
      <c r="BS46">
        <f t="shared" ca="1" si="30"/>
        <v>-0.58038686565902087</v>
      </c>
      <c r="BT46">
        <f t="shared" ca="1" si="31"/>
        <v>-2.5223889773100572</v>
      </c>
      <c r="BU46" s="40">
        <f t="shared" ca="1" si="32"/>
        <v>-5.6639816307998503</v>
      </c>
    </row>
    <row r="47" spans="1:73" x14ac:dyDescent="0.25">
      <c r="A47" t="s">
        <v>27</v>
      </c>
      <c r="AS47" s="6">
        <v>-2.3561944901923537</v>
      </c>
      <c r="AT47" s="6">
        <v>-268.06680970161364</v>
      </c>
      <c r="AU47" s="6">
        <v>-211.18680970238438</v>
      </c>
      <c r="AV47" s="6">
        <f t="shared" si="1"/>
        <v>3.8088588688082936</v>
      </c>
      <c r="AW47" s="6">
        <f t="shared" si="2"/>
        <v>6.1650533590006473</v>
      </c>
      <c r="AX47" s="6">
        <f t="shared" si="3"/>
        <v>-0.6672662153185005</v>
      </c>
      <c r="AY47" s="6">
        <f t="shared" si="4"/>
        <v>0.6672662153185005</v>
      </c>
      <c r="AZ47" s="47">
        <f t="shared" si="5"/>
        <v>3.9269908169872325</v>
      </c>
      <c r="BA47" s="47">
        <f t="shared" si="6"/>
        <v>3.8088588688082936</v>
      </c>
      <c r="BB47" s="47">
        <f t="shared" si="7"/>
        <v>6.1650533590006473</v>
      </c>
      <c r="BC47" s="47">
        <f t="shared" si="8"/>
        <v>-0.6672662153185005</v>
      </c>
      <c r="BD47" s="47">
        <f t="shared" si="9"/>
        <v>0.6672662153185005</v>
      </c>
      <c r="BE47" s="40"/>
      <c r="BF47" s="40"/>
      <c r="BG47" s="6">
        <f t="shared" si="18"/>
        <v>-2.583087292951614</v>
      </c>
      <c r="BH47" s="9">
        <f t="shared" ca="1" si="19"/>
        <v>-197.86518820756004</v>
      </c>
      <c r="BI47" s="9">
        <f t="shared" ca="1" si="20"/>
        <v>-143.14430772324647</v>
      </c>
      <c r="BJ47">
        <f t="shared" ca="1" si="21"/>
        <v>244.21491669834714</v>
      </c>
      <c r="BK47" s="6">
        <f t="shared" ca="1" si="22"/>
        <v>-0.81020926519391112</v>
      </c>
      <c r="BL47" s="6">
        <f t="shared" ca="1" si="23"/>
        <v>-0.58614072251801674</v>
      </c>
      <c r="BM47" s="6">
        <f t="shared" ca="1" si="24"/>
        <v>-2.5153053760080719</v>
      </c>
      <c r="BN47" s="6">
        <f t="shared" ca="1" si="25"/>
        <v>-4.4347199960044286</v>
      </c>
      <c r="BO47" s="9">
        <f t="shared" ca="1" si="26"/>
        <v>-277.44738490371947</v>
      </c>
      <c r="BP47" s="9">
        <f t="shared" ca="1" si="27"/>
        <v>-199.31997598097666</v>
      </c>
      <c r="BQ47">
        <f t="shared" ca="1" si="28"/>
        <v>341.62187315066609</v>
      </c>
      <c r="BR47">
        <f t="shared" ca="1" si="29"/>
        <v>-0.81214760151308096</v>
      </c>
      <c r="BS47">
        <f t="shared" ca="1" si="30"/>
        <v>-0.58345203175286797</v>
      </c>
      <c r="BT47">
        <f t="shared" ca="1" si="31"/>
        <v>-2.5186199220968879</v>
      </c>
      <c r="BU47" s="40">
        <f t="shared" ca="1" si="32"/>
        <v>-5.660212575586681</v>
      </c>
    </row>
    <row r="48" spans="1:73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AS48" s="6">
        <v>-2.3387411976724106</v>
      </c>
      <c r="AT48" s="6">
        <v>-267.27834938127046</v>
      </c>
      <c r="AU48" s="6">
        <v>-211.96162543822777</v>
      </c>
      <c r="AV48" s="6">
        <f t="shared" si="1"/>
        <v>3.8120734314078373</v>
      </c>
      <c r="AW48" s="6">
        <f t="shared" si="2"/>
        <v>6.1508146290802479</v>
      </c>
      <c r="AX48" s="6">
        <f t="shared" si="3"/>
        <v>-0.67048077791804417</v>
      </c>
      <c r="AY48" s="6">
        <f t="shared" si="4"/>
        <v>0.67048077791804417</v>
      </c>
      <c r="AZ48" s="47">
        <f t="shared" si="5"/>
        <v>3.9444441095071756</v>
      </c>
      <c r="BA48" s="47">
        <f t="shared" si="6"/>
        <v>3.8120734314078373</v>
      </c>
      <c r="BB48" s="47">
        <f t="shared" si="7"/>
        <v>6.1508146290802479</v>
      </c>
      <c r="BC48" s="47">
        <f t="shared" si="8"/>
        <v>-0.67048077791804417</v>
      </c>
      <c r="BD48" s="47">
        <f t="shared" si="9"/>
        <v>0.67048077791804417</v>
      </c>
      <c r="BE48" s="40"/>
      <c r="BF48" s="40"/>
      <c r="BG48" s="6">
        <f t="shared" si="18"/>
        <v>-2.5656340004316709</v>
      </c>
      <c r="BH48" s="9">
        <f t="shared" ca="1" si="19"/>
        <v>-197.17695646827684</v>
      </c>
      <c r="BI48" s="9">
        <f t="shared" ca="1" si="20"/>
        <v>-144.22469983075678</v>
      </c>
      <c r="BJ48">
        <f t="shared" ca="1" si="21"/>
        <v>244.29391356184999</v>
      </c>
      <c r="BK48" s="6">
        <f t="shared" ca="1" si="22"/>
        <v>-0.80713004099611285</v>
      </c>
      <c r="BL48" s="6">
        <f t="shared" ca="1" si="23"/>
        <v>-0.59037369260631278</v>
      </c>
      <c r="BM48" s="6">
        <f t="shared" ca="1" si="24"/>
        <v>-2.5100709018233318</v>
      </c>
      <c r="BN48" s="6">
        <f t="shared" ca="1" si="25"/>
        <v>-4.4294855218196894</v>
      </c>
      <c r="BO48" s="9">
        <f t="shared" ca="1" si="26"/>
        <v>-276.75915316443627</v>
      </c>
      <c r="BP48" s="9">
        <f t="shared" ca="1" si="27"/>
        <v>-200.40036808848697</v>
      </c>
      <c r="BQ48">
        <f t="shared" ca="1" si="28"/>
        <v>341.69567803865613</v>
      </c>
      <c r="BR48">
        <f t="shared" ca="1" si="29"/>
        <v>-0.80995801513511223</v>
      </c>
      <c r="BS48">
        <f t="shared" ca="1" si="30"/>
        <v>-0.58648786323195934</v>
      </c>
      <c r="BT48">
        <f t="shared" ca="1" si="31"/>
        <v>-2.5148768514811977</v>
      </c>
      <c r="BU48" s="40">
        <f t="shared" ca="1" si="32"/>
        <v>-5.6564695049709908</v>
      </c>
    </row>
    <row r="49" spans="1:73" x14ac:dyDescent="0.25">
      <c r="A49" t="s">
        <v>43</v>
      </c>
      <c r="B49" s="6">
        <f>C37</f>
        <v>-10.13180535551645</v>
      </c>
      <c r="C49" s="6">
        <f>D37</f>
        <v>11.460650951753491</v>
      </c>
      <c r="D49" s="6">
        <f t="shared" ref="D49:E56" si="44">C38</f>
        <v>-20.506429988483205</v>
      </c>
      <c r="E49" s="6">
        <f t="shared" si="44"/>
        <v>5.4301315939336821</v>
      </c>
      <c r="F49" s="6">
        <f t="shared" ref="F49:F54" si="45">IF(B49=D49,"V",(C49-E49)/(B49-D49))</f>
        <v>0.5812759083983654</v>
      </c>
      <c r="G49" s="6">
        <f t="shared" ref="G49:G54" si="46">IF(F49="V",0,(-1*B49*F49)+C49)</f>
        <v>17.35002531349674</v>
      </c>
      <c r="H49" s="6">
        <f>IF(AND(C49&lt;$G$41,E49&lt;$G$41),0,IF(AND(C49&lt;$G$41,E49&gt;$G$41),IF(F49="V",B49,($G$41-G49)/F49),B49))</f>
        <v>-10.13180535551645</v>
      </c>
      <c r="I49" s="6">
        <f>IF(AND(C49&lt;$G$41,E49&lt;$G$41),0,IF(AND(C49&lt;$G$41,E49&gt;$G$41),$G$41,C49))</f>
        <v>11.460650951753491</v>
      </c>
      <c r="J49" s="6">
        <f>IF(AND(C49&lt;$G$41,E49&lt;$G$41),0,IF(E49&gt;=$G$41,D49,IF(F49="V",D49,($G$41-G49)/F49)))</f>
        <v>-18.617364496648825</v>
      </c>
      <c r="K49" s="6">
        <f>IF(AND(C49&lt;$G$41,E49&lt;$G$41),0,IF(E49&gt;=$G$41,E49,$G$41))</f>
        <v>6.5281998537237174</v>
      </c>
      <c r="L49" s="6">
        <f>IF(AND(I49=0,K49=0,H49=0,J49=0),0,$B$31)</f>
        <v>4.25</v>
      </c>
      <c r="M49" s="6">
        <f>IF(AND(I49=0,K49=0,H49=0,J49=0),0,$B$31)</f>
        <v>4.25</v>
      </c>
      <c r="N49" s="10">
        <f>(1/6)*(K49-I49)*((L49*((2*H49)+J49))+(M49*(H49+(2*J49))))</f>
        <v>301.33323311010884</v>
      </c>
      <c r="O49" s="10">
        <f>((1/12)*(K49-I49)*(L49*H49*((3*I49)+K49)+L49*J49*(I49+K49)+M49*H49*(I49+K49)+M49*J49*(I49+(3*K49))))</f>
        <v>2637.2030675580168</v>
      </c>
      <c r="P49" s="10">
        <f>((-1/24)*(K49-I49)*(H49*H49*((3*L49)+M49)+2*H49*J49*(L49+M49)+J49*J49*(L49+(3*M49))))</f>
        <v>2228.6629441078953</v>
      </c>
      <c r="S49">
        <f>IF(AND(I49=0,K49=0,H49=0,J49=0),NA(),H49)</f>
        <v>-10.13180535551645</v>
      </c>
      <c r="T49">
        <f>IF(AND(I49=0,K49=0,H49=0,J49=0),NA(),I49)</f>
        <v>11.460650951753491</v>
      </c>
      <c r="V49">
        <f>IF(AND(I49=0,K49=0,H49=0,J49=0),NA(),J49)</f>
        <v>-18.617364496648825</v>
      </c>
      <c r="W49">
        <f>IF(AND(I49=0,K49=0,H49=0,J49=0),NA(),K49)</f>
        <v>6.5281998537237174</v>
      </c>
      <c r="AS49" s="6">
        <v>-2.3212879051524675</v>
      </c>
      <c r="AT49" s="6">
        <v>-266.47501669680025</v>
      </c>
      <c r="AU49" s="6">
        <v>-212.72395360093142</v>
      </c>
      <c r="AV49" s="6">
        <f t="shared" si="1"/>
        <v>3.8152891546697436</v>
      </c>
      <c r="AW49" s="6">
        <f t="shared" si="2"/>
        <v>6.1365770598222111</v>
      </c>
      <c r="AX49" s="6">
        <f t="shared" si="3"/>
        <v>-0.6736965011799505</v>
      </c>
      <c r="AY49" s="6">
        <f t="shared" si="4"/>
        <v>0.6736965011799505</v>
      </c>
      <c r="AZ49" s="47">
        <f t="shared" si="5"/>
        <v>3.9618974020271187</v>
      </c>
      <c r="BA49" s="47">
        <f t="shared" si="6"/>
        <v>3.8152891546697436</v>
      </c>
      <c r="BB49" s="47">
        <f t="shared" si="7"/>
        <v>6.1365770598222111</v>
      </c>
      <c r="BC49" s="47">
        <f t="shared" si="8"/>
        <v>-0.6736965011799505</v>
      </c>
      <c r="BD49" s="47">
        <f t="shared" si="9"/>
        <v>0.6736965011799505</v>
      </c>
      <c r="BE49" s="40"/>
      <c r="BF49" s="40"/>
      <c r="BG49" s="6">
        <f t="shared" si="18"/>
        <v>-2.5481807079117278</v>
      </c>
      <c r="BH49" s="9">
        <f t="shared" ca="1" si="19"/>
        <v>-196.48626828169921</v>
      </c>
      <c r="BI49" s="9">
        <f t="shared" ca="1" si="20"/>
        <v>-145.26828915875046</v>
      </c>
      <c r="BJ49">
        <f t="shared" ca="1" si="21"/>
        <v>244.35574365743526</v>
      </c>
      <c r="BK49" s="6">
        <f t="shared" ca="1" si="22"/>
        <v>-0.80409924211626171</v>
      </c>
      <c r="BL49" s="6">
        <f t="shared" ca="1" si="23"/>
        <v>-0.59449508730354839</v>
      </c>
      <c r="BM49" s="6">
        <f t="shared" ca="1" si="24"/>
        <v>-2.5049550741111961</v>
      </c>
      <c r="BN49" s="6">
        <f t="shared" ca="1" si="25"/>
        <v>-4.4243696941075532</v>
      </c>
      <c r="BO49" s="9">
        <f t="shared" ca="1" si="26"/>
        <v>-276.06846497785864</v>
      </c>
      <c r="BP49" s="9">
        <f t="shared" ca="1" si="27"/>
        <v>-201.44395741648066</v>
      </c>
      <c r="BQ49">
        <f t="shared" ca="1" si="28"/>
        <v>341.75058937014876</v>
      </c>
      <c r="BR49">
        <f t="shared" ca="1" si="29"/>
        <v>-0.80780684383502244</v>
      </c>
      <c r="BS49">
        <f t="shared" ca="1" si="30"/>
        <v>-0.58944728606831309</v>
      </c>
      <c r="BT49">
        <f t="shared" ca="1" si="31"/>
        <v>-2.5112181992131961</v>
      </c>
      <c r="BU49" s="40">
        <f t="shared" ca="1" si="32"/>
        <v>-5.6528108527029897</v>
      </c>
    </row>
    <row r="50" spans="1:73" x14ac:dyDescent="0.25">
      <c r="A50" t="s">
        <v>44</v>
      </c>
      <c r="B50" s="6">
        <f t="shared" ref="B50:C54" si="47">D49</f>
        <v>-20.506429988483205</v>
      </c>
      <c r="C50" s="6">
        <f t="shared" si="47"/>
        <v>5.4301315939336821</v>
      </c>
      <c r="D50" s="6">
        <f t="shared" si="44"/>
        <v>-12.465737511390126</v>
      </c>
      <c r="E50" s="6">
        <f t="shared" si="44"/>
        <v>-8.4027012500219911</v>
      </c>
      <c r="F50" s="6">
        <f t="shared" si="45"/>
        <v>-1.7203534252010846</v>
      </c>
      <c r="G50" s="6">
        <f t="shared" si="46"/>
        <v>-29.848175475399643</v>
      </c>
      <c r="H50" s="6">
        <f t="shared" ref="H50:H54" si="48">IF(AND(C50&lt;$G$41,E50&lt;$G$41),0,IF(AND(C50&lt;$G$41,E50&gt;$G$41),IF(F50="V",B50,($G$41-G50)/F50),B50))</f>
        <v>0</v>
      </c>
      <c r="I50" s="6">
        <f t="shared" ref="I50:I54" si="49">IF(AND(C50&lt;$G$41,E50&lt;$G$41),0,IF(AND(C50&lt;$G$41,E50&gt;$G$41),$G$41,C50))</f>
        <v>0</v>
      </c>
      <c r="J50" s="6">
        <f t="shared" ref="J50:J54" si="50">IF(AND(C50&lt;$G$41,E50&lt;$G$41),0,IF(E50&gt;=$G$41,D50,IF(F50="V",D50,($G$41-G50)/F50)))</f>
        <v>0</v>
      </c>
      <c r="K50" s="6">
        <f t="shared" ref="K50:K54" si="51">IF(AND(C50&lt;$G$41,E50&lt;$G$41),0,IF(E50&gt;=$G$41,E50,$G$41))</f>
        <v>0</v>
      </c>
      <c r="L50" s="6">
        <f t="shared" ref="L50:L54" si="52">IF(AND(I50=0,K50=0,H50=0,J50=0),0,$B$31)</f>
        <v>0</v>
      </c>
      <c r="M50" s="6">
        <f t="shared" ref="M50:M54" si="53">IF(AND(I50=0,K50=0,H50=0,J50=0),0,$B$31)</f>
        <v>0</v>
      </c>
      <c r="N50" s="10">
        <f t="shared" ref="N50:N54" si="54">(1/6)*(K50-I50)*((L50*((2*H50)+J50))+(M50*(H50+(2*J50))))</f>
        <v>0</v>
      </c>
      <c r="O50" s="10">
        <f t="shared" ref="O50:O54" si="55">((1/12)*(K50-I50)*(L50*H50*((3*I50)+K50)+L50*J50*(I50+K50)+M50*H50*(I50+K50)+M50*J50*(I50+(3*K50))))</f>
        <v>0</v>
      </c>
      <c r="P50" s="10">
        <f t="shared" ref="P50:P54" si="56">((-1/24)*(K50-I50)*(H50*H50*((3*L50)+M50)+2*H50*J50*(L50+M50)+J50*J50*(L50+(3*M50))))</f>
        <v>0</v>
      </c>
      <c r="S50" t="e">
        <f t="shared" ref="S50:S55" si="57">IF(AND(I50=0,K50=0,H50=0,J50=0),NA(),H50)</f>
        <v>#N/A</v>
      </c>
      <c r="T50" t="e">
        <f t="shared" ref="T50:T55" si="58">IF(AND(I50=0,K50=0,H50=0,J50=0),NA(),I50)</f>
        <v>#N/A</v>
      </c>
      <c r="V50" t="e">
        <f t="shared" ref="V50:V55" si="59">IF(AND(I50=0,K50=0,H50=0,J50=0),NA(),J50)</f>
        <v>#N/A</v>
      </c>
      <c r="W50" t="e">
        <f t="shared" ref="W50:W55" si="60">IF(AND(I50=0,K50=0,H50=0,J50=0),NA(),K50)</f>
        <v>#N/A</v>
      </c>
      <c r="AS50" s="6">
        <v>-2.3038346126325244</v>
      </c>
      <c r="AT50" s="6">
        <v>-265.65550378786537</v>
      </c>
      <c r="AU50" s="6">
        <v>-213.47488878167579</v>
      </c>
      <c r="AV50" s="6">
        <f t="shared" si="1"/>
        <v>3.8185114306462111</v>
      </c>
      <c r="AW50" s="6">
        <f t="shared" si="2"/>
        <v>6.1223460432787356</v>
      </c>
      <c r="AX50" s="6">
        <f t="shared" si="3"/>
        <v>-0.67691877715641802</v>
      </c>
      <c r="AY50" s="6">
        <f t="shared" si="4"/>
        <v>0.67691877715641802</v>
      </c>
      <c r="AZ50" s="47">
        <f t="shared" si="5"/>
        <v>3.9793506945470618</v>
      </c>
      <c r="BA50" s="47">
        <f t="shared" si="6"/>
        <v>3.8185114306462111</v>
      </c>
      <c r="BB50" s="47">
        <f t="shared" si="7"/>
        <v>6.1223460432787356</v>
      </c>
      <c r="BC50" s="47">
        <f t="shared" si="8"/>
        <v>-0.67691877715641802</v>
      </c>
      <c r="BD50" s="47">
        <f t="shared" si="9"/>
        <v>0.67691877715641802</v>
      </c>
      <c r="BE50" s="40"/>
      <c r="BF50" s="40"/>
      <c r="BG50" s="6">
        <f t="shared" si="18"/>
        <v>-2.5307274153917847</v>
      </c>
      <c r="BH50" s="9">
        <f t="shared" ca="1" si="19"/>
        <v>-195.79231201176191</v>
      </c>
      <c r="BI50" s="9">
        <f t="shared" ca="1" si="20"/>
        <v>-146.27806503314346</v>
      </c>
      <c r="BJ50">
        <f t="shared" ca="1" si="21"/>
        <v>244.40110832963029</v>
      </c>
      <c r="BK50" s="6">
        <f t="shared" ca="1" si="22"/>
        <v>-0.80111057331086899</v>
      </c>
      <c r="BL50" s="6">
        <f t="shared" ca="1" si="23"/>
        <v>-0.59851637348491205</v>
      </c>
      <c r="BM50" s="6">
        <f t="shared" ca="1" si="24"/>
        <v>-2.499944791055936</v>
      </c>
      <c r="BN50" s="6">
        <f t="shared" ca="1" si="25"/>
        <v>-4.4193594110522927</v>
      </c>
      <c r="BO50" s="9">
        <f t="shared" ca="1" si="26"/>
        <v>-275.37450870792134</v>
      </c>
      <c r="BP50" s="9">
        <f t="shared" ca="1" si="27"/>
        <v>-202.45373329087366</v>
      </c>
      <c r="BQ50">
        <f t="shared" ca="1" si="28"/>
        <v>341.78741078269871</v>
      </c>
      <c r="BR50">
        <f t="shared" ca="1" si="29"/>
        <v>-0.80568944326331171</v>
      </c>
      <c r="BS50">
        <f t="shared" ca="1" si="30"/>
        <v>-0.59233818129009297</v>
      </c>
      <c r="BT50">
        <f t="shared" ca="1" si="31"/>
        <v>-2.5076348105788688</v>
      </c>
      <c r="BU50" s="40">
        <f t="shared" ca="1" si="32"/>
        <v>-5.6492274640686624</v>
      </c>
    </row>
    <row r="51" spans="1:73" x14ac:dyDescent="0.25">
      <c r="A51" t="s">
        <v>45</v>
      </c>
      <c r="B51" s="6">
        <f t="shared" si="47"/>
        <v>-12.465737511390126</v>
      </c>
      <c r="C51" s="6">
        <f t="shared" si="47"/>
        <v>-8.4027012500219911</v>
      </c>
      <c r="D51" s="6">
        <f t="shared" si="44"/>
        <v>-12.465737511390126</v>
      </c>
      <c r="E51" s="6">
        <f t="shared" si="44"/>
        <v>-8.4027012500219911</v>
      </c>
      <c r="F51" s="6" t="str">
        <f t="shared" si="45"/>
        <v>V</v>
      </c>
      <c r="G51" s="6">
        <f t="shared" si="46"/>
        <v>0</v>
      </c>
      <c r="H51" s="6">
        <f t="shared" si="48"/>
        <v>0</v>
      </c>
      <c r="I51" s="6">
        <f t="shared" si="49"/>
        <v>0</v>
      </c>
      <c r="J51" s="6">
        <f t="shared" si="50"/>
        <v>0</v>
      </c>
      <c r="K51" s="6">
        <f t="shared" si="51"/>
        <v>0</v>
      </c>
      <c r="L51" s="6">
        <f t="shared" si="52"/>
        <v>0</v>
      </c>
      <c r="M51" s="6">
        <f t="shared" si="53"/>
        <v>0</v>
      </c>
      <c r="N51" s="10">
        <f t="shared" si="54"/>
        <v>0</v>
      </c>
      <c r="O51" s="10">
        <f t="shared" si="55"/>
        <v>0</v>
      </c>
      <c r="P51" s="10">
        <f t="shared" si="56"/>
        <v>0</v>
      </c>
      <c r="S51" t="e">
        <f t="shared" si="57"/>
        <v>#N/A</v>
      </c>
      <c r="T51" t="e">
        <f t="shared" si="58"/>
        <v>#N/A</v>
      </c>
      <c r="V51" t="e">
        <f t="shared" si="59"/>
        <v>#N/A</v>
      </c>
      <c r="W51" t="e">
        <f t="shared" si="60"/>
        <v>#N/A</v>
      </c>
      <c r="AS51" s="6">
        <v>-2.2863813201125813</v>
      </c>
      <c r="AT51" s="6">
        <v>-264.81841237607711</v>
      </c>
      <c r="AU51" s="6">
        <v>-214.21547074814035</v>
      </c>
      <c r="AV51" s="6">
        <f t="shared" si="1"/>
        <v>3.8217457178878287</v>
      </c>
      <c r="AW51" s="6">
        <f t="shared" si="2"/>
        <v>6.1081270380004096</v>
      </c>
      <c r="AX51" s="6">
        <f t="shared" si="3"/>
        <v>-0.68015306439803558</v>
      </c>
      <c r="AY51" s="6">
        <f t="shared" si="4"/>
        <v>0.68015306439803558</v>
      </c>
      <c r="AZ51" s="47">
        <f t="shared" si="5"/>
        <v>3.9968039870670049</v>
      </c>
      <c r="BA51" s="47">
        <f t="shared" si="6"/>
        <v>3.8217457178878287</v>
      </c>
      <c r="BB51" s="47">
        <f t="shared" si="7"/>
        <v>6.1081270380004096</v>
      </c>
      <c r="BC51" s="47">
        <f t="shared" si="8"/>
        <v>-0.68015306439803558</v>
      </c>
      <c r="BD51" s="47">
        <f t="shared" si="9"/>
        <v>0.68015306439803558</v>
      </c>
      <c r="BE51" s="40"/>
      <c r="BF51" s="40"/>
      <c r="BG51" s="6">
        <f t="shared" si="18"/>
        <v>-2.5132741228718416</v>
      </c>
      <c r="BH51" s="9">
        <f t="shared" ca="1" si="19"/>
        <v>-195.09427131889362</v>
      </c>
      <c r="BI51" s="9">
        <f t="shared" ca="1" si="20"/>
        <v>-147.25673629010228</v>
      </c>
      <c r="BJ51">
        <f t="shared" ca="1" si="21"/>
        <v>244.43060586649702</v>
      </c>
      <c r="BK51" s="6">
        <f t="shared" ca="1" si="22"/>
        <v>-0.79815811374067491</v>
      </c>
      <c r="BL51" s="6">
        <f t="shared" ca="1" si="23"/>
        <v>-0.60244802719398771</v>
      </c>
      <c r="BM51" s="6">
        <f t="shared" ca="1" si="24"/>
        <v>-2.4950279864936111</v>
      </c>
      <c r="BN51" s="6">
        <f t="shared" ca="1" si="25"/>
        <v>-4.4144426064899687</v>
      </c>
      <c r="BO51" s="9">
        <f t="shared" ca="1" si="26"/>
        <v>-274.67646801505305</v>
      </c>
      <c r="BP51" s="9">
        <f t="shared" ca="1" si="27"/>
        <v>-203.43240454783248</v>
      </c>
      <c r="BQ51">
        <f t="shared" ca="1" si="28"/>
        <v>341.80682453885765</v>
      </c>
      <c r="BR51">
        <f t="shared" ca="1" si="29"/>
        <v>-0.80360147397767057</v>
      </c>
      <c r="BS51">
        <f t="shared" ca="1" si="30"/>
        <v>-0.59516776712193953</v>
      </c>
      <c r="BT51">
        <f t="shared" ca="1" si="31"/>
        <v>-2.5041182519683653</v>
      </c>
      <c r="BU51" s="40">
        <f t="shared" ca="1" si="32"/>
        <v>-5.6457109054581585</v>
      </c>
    </row>
    <row r="52" spans="1:73" x14ac:dyDescent="0.25">
      <c r="A52" t="s">
        <v>46</v>
      </c>
      <c r="B52" s="6">
        <f t="shared" si="47"/>
        <v>-12.465737511390126</v>
      </c>
      <c r="C52" s="6">
        <f t="shared" si="47"/>
        <v>-8.4027012500219911</v>
      </c>
      <c r="D52" s="6">
        <f t="shared" si="44"/>
        <v>-8.4453912728435867</v>
      </c>
      <c r="E52" s="6">
        <f t="shared" si="44"/>
        <v>-15.319117671999827</v>
      </c>
      <c r="F52" s="6">
        <f t="shared" si="45"/>
        <v>-1.7203534252010848</v>
      </c>
      <c r="G52" s="6">
        <f t="shared" si="46"/>
        <v>-29.848175475399639</v>
      </c>
      <c r="H52" s="6">
        <f t="shared" si="48"/>
        <v>0</v>
      </c>
      <c r="I52" s="6">
        <f t="shared" si="49"/>
        <v>0</v>
      </c>
      <c r="J52" s="6">
        <f t="shared" si="50"/>
        <v>0</v>
      </c>
      <c r="K52" s="6">
        <f t="shared" si="51"/>
        <v>0</v>
      </c>
      <c r="L52" s="6">
        <f t="shared" si="52"/>
        <v>0</v>
      </c>
      <c r="M52" s="6">
        <f t="shared" si="53"/>
        <v>0</v>
      </c>
      <c r="N52" s="10">
        <f t="shared" si="54"/>
        <v>0</v>
      </c>
      <c r="O52" s="10">
        <f t="shared" si="55"/>
        <v>0</v>
      </c>
      <c r="P52" s="10">
        <f t="shared" si="56"/>
        <v>0</v>
      </c>
      <c r="S52" t="e">
        <f t="shared" si="57"/>
        <v>#N/A</v>
      </c>
      <c r="T52" t="e">
        <f t="shared" si="58"/>
        <v>#N/A</v>
      </c>
      <c r="V52" t="e">
        <f t="shared" si="59"/>
        <v>#N/A</v>
      </c>
      <c r="W52" t="e">
        <f t="shared" si="60"/>
        <v>#N/A</v>
      </c>
      <c r="AS52" s="6">
        <v>-2.2689280275926382</v>
      </c>
      <c r="AT52" s="6">
        <v>-263.96224210888329</v>
      </c>
      <c r="AU52" s="6">
        <v>-214.94669137783052</v>
      </c>
      <c r="AV52" s="6">
        <f t="shared" si="1"/>
        <v>3.8249975862092969</v>
      </c>
      <c r="AW52" s="6">
        <f t="shared" si="2"/>
        <v>6.0939256138019351</v>
      </c>
      <c r="AX52" s="6">
        <f t="shared" si="3"/>
        <v>-0.68340493271950375</v>
      </c>
      <c r="AY52" s="6">
        <f t="shared" si="4"/>
        <v>0.68340493271950375</v>
      </c>
      <c r="AZ52" s="47">
        <f t="shared" si="5"/>
        <v>4.014257279586948</v>
      </c>
      <c r="BA52" s="47">
        <f t="shared" si="6"/>
        <v>3.8249975862092969</v>
      </c>
      <c r="BB52" s="47">
        <f t="shared" si="7"/>
        <v>6.0939256138019351</v>
      </c>
      <c r="BC52" s="47">
        <f t="shared" si="8"/>
        <v>-0.68340493271950375</v>
      </c>
      <c r="BD52" s="47">
        <f t="shared" si="9"/>
        <v>0.68340493271950375</v>
      </c>
      <c r="BE52" s="40"/>
      <c r="BF52" s="40"/>
      <c r="BG52" s="6">
        <f t="shared" si="18"/>
        <v>-2.4958208303518985</v>
      </c>
      <c r="BH52" s="9">
        <f t="shared" ca="1" si="19"/>
        <v>-194.39132014434301</v>
      </c>
      <c r="BI52" s="9">
        <f t="shared" ca="1" si="20"/>
        <v>-148.206766534336</v>
      </c>
      <c r="BJ52">
        <f t="shared" ca="1" si="21"/>
        <v>244.44474016436442</v>
      </c>
      <c r="BK52" s="6">
        <f t="shared" ca="1" si="22"/>
        <v>-0.79523625672466691</v>
      </c>
      <c r="BL52" s="6">
        <f t="shared" ca="1" si="23"/>
        <v>-0.60629967507045524</v>
      </c>
      <c r="BM52" s="6">
        <f t="shared" ca="1" si="24"/>
        <v>-2.4901934766623031</v>
      </c>
      <c r="BN52" s="6">
        <f t="shared" ca="1" si="25"/>
        <v>-4.4096080966586602</v>
      </c>
      <c r="BO52" s="9">
        <f t="shared" ca="1" si="26"/>
        <v>-273.97351684050244</v>
      </c>
      <c r="BP52" s="9">
        <f t="shared" ca="1" si="27"/>
        <v>-204.38243479206619</v>
      </c>
      <c r="BQ52">
        <f t="shared" ca="1" si="28"/>
        <v>341.80940241819894</v>
      </c>
      <c r="BR52">
        <f t="shared" ca="1" si="29"/>
        <v>-0.80153885440898354</v>
      </c>
      <c r="BS52">
        <f t="shared" ca="1" si="30"/>
        <v>-0.59794269363604924</v>
      </c>
      <c r="BT52">
        <f t="shared" ca="1" si="31"/>
        <v>-2.5006607053593859</v>
      </c>
      <c r="BU52" s="40">
        <f t="shared" ca="1" si="32"/>
        <v>-5.642253358849179</v>
      </c>
    </row>
    <row r="53" spans="1:73" x14ac:dyDescent="0.25">
      <c r="A53" t="s">
        <v>47</v>
      </c>
      <c r="B53" s="6">
        <f t="shared" si="47"/>
        <v>-8.4453912728435867</v>
      </c>
      <c r="C53" s="6">
        <f t="shared" si="47"/>
        <v>-15.319117671999827</v>
      </c>
      <c r="D53" s="6">
        <f t="shared" si="44"/>
        <v>22.678482626056677</v>
      </c>
      <c r="E53" s="6">
        <f t="shared" si="44"/>
        <v>2.7724404014595994</v>
      </c>
      <c r="F53" s="6">
        <f t="shared" si="45"/>
        <v>0.5812759083983654</v>
      </c>
      <c r="G53" s="6">
        <f t="shared" si="46"/>
        <v>-10.410015188098043</v>
      </c>
      <c r="H53" s="6">
        <f t="shared" si="48"/>
        <v>0</v>
      </c>
      <c r="I53" s="6">
        <f t="shared" si="49"/>
        <v>0</v>
      </c>
      <c r="J53" s="6">
        <f t="shared" si="50"/>
        <v>0</v>
      </c>
      <c r="K53" s="6">
        <f t="shared" si="51"/>
        <v>0</v>
      </c>
      <c r="L53" s="6">
        <f t="shared" si="52"/>
        <v>0</v>
      </c>
      <c r="M53" s="6">
        <f t="shared" si="53"/>
        <v>0</v>
      </c>
      <c r="N53" s="10">
        <f t="shared" si="54"/>
        <v>0</v>
      </c>
      <c r="O53" s="10">
        <f t="shared" si="55"/>
        <v>0</v>
      </c>
      <c r="P53" s="10">
        <f t="shared" si="56"/>
        <v>0</v>
      </c>
      <c r="S53" t="e">
        <f t="shared" si="57"/>
        <v>#N/A</v>
      </c>
      <c r="T53" t="e">
        <f t="shared" si="58"/>
        <v>#N/A</v>
      </c>
      <c r="V53" t="e">
        <f t="shared" si="59"/>
        <v>#N/A</v>
      </c>
      <c r="W53" t="e">
        <f t="shared" si="60"/>
        <v>#N/A</v>
      </c>
      <c r="AS53" s="6">
        <v>-2.2514747350726951</v>
      </c>
      <c r="AT53" s="6">
        <v>-263.085377405229</v>
      </c>
      <c r="AU53" s="6">
        <v>-215.66950104677591</v>
      </c>
      <c r="AV53" s="6">
        <f t="shared" si="1"/>
        <v>3.828272763684581</v>
      </c>
      <c r="AW53" s="6">
        <f t="shared" si="2"/>
        <v>6.0797474987572766</v>
      </c>
      <c r="AX53" s="6">
        <f t="shared" si="3"/>
        <v>-0.68668011019478792</v>
      </c>
      <c r="AY53" s="6">
        <f t="shared" si="4"/>
        <v>0.68668011019478792</v>
      </c>
      <c r="AZ53" s="47">
        <f t="shared" si="5"/>
        <v>4.0317105721068911</v>
      </c>
      <c r="BA53" s="47">
        <f t="shared" si="6"/>
        <v>3.828272763684581</v>
      </c>
      <c r="BB53" s="47">
        <f t="shared" si="7"/>
        <v>6.0797474987572766</v>
      </c>
      <c r="BC53" s="47">
        <f t="shared" si="8"/>
        <v>-0.68668011019478792</v>
      </c>
      <c r="BD53" s="47">
        <f t="shared" si="9"/>
        <v>0.68668011019478792</v>
      </c>
      <c r="BE53" s="40"/>
      <c r="BF53" s="40"/>
      <c r="BG53" s="6">
        <f t="shared" si="18"/>
        <v>-2.4783675378319554</v>
      </c>
      <c r="BH53" s="9">
        <f t="shared" ca="1" si="19"/>
        <v>-193.68261789371064</v>
      </c>
      <c r="BI53" s="9">
        <f t="shared" ca="1" si="20"/>
        <v>-149.13040432839878</v>
      </c>
      <c r="BJ53">
        <f t="shared" ca="1" si="21"/>
        <v>244.44392806799848</v>
      </c>
      <c r="BK53" s="6">
        <f t="shared" ca="1" si="22"/>
        <v>-0.79233965606964374</v>
      </c>
      <c r="BL53" s="6">
        <f t="shared" ca="1" si="23"/>
        <v>-0.61008021556139558</v>
      </c>
      <c r="BM53" s="6">
        <f t="shared" ca="1" si="24"/>
        <v>-2.485430827752908</v>
      </c>
      <c r="BN53" s="6">
        <f t="shared" ca="1" si="25"/>
        <v>-4.4048454477492651</v>
      </c>
      <c r="BO53" s="9">
        <f t="shared" ca="1" si="26"/>
        <v>-273.26481458987007</v>
      </c>
      <c r="BP53" s="9">
        <f t="shared" ca="1" si="27"/>
        <v>-205.30607258612898</v>
      </c>
      <c r="BQ53">
        <f t="shared" ca="1" si="28"/>
        <v>341.79561485422386</v>
      </c>
      <c r="BR53">
        <f t="shared" ca="1" si="29"/>
        <v>-0.79949771943802661</v>
      </c>
      <c r="BS53">
        <f t="shared" ca="1" si="30"/>
        <v>-0.60066912407197559</v>
      </c>
      <c r="BT53">
        <f t="shared" ca="1" si="31"/>
        <v>-2.4972548771041314</v>
      </c>
      <c r="BU53" s="40">
        <f t="shared" ca="1" si="32"/>
        <v>-5.6388475305939245</v>
      </c>
    </row>
    <row r="54" spans="1:73" x14ac:dyDescent="0.25">
      <c r="A54" t="s">
        <v>48</v>
      </c>
      <c r="B54" s="6">
        <f t="shared" si="47"/>
        <v>22.678482626056677</v>
      </c>
      <c r="C54" s="6">
        <f t="shared" si="47"/>
        <v>2.7724404014595994</v>
      </c>
      <c r="D54" s="6">
        <f t="shared" si="44"/>
        <v>18.65813638751014</v>
      </c>
      <c r="E54" s="6">
        <f t="shared" si="44"/>
        <v>9.688856823437435</v>
      </c>
      <c r="F54" s="6">
        <f t="shared" si="45"/>
        <v>-1.7203534252010855</v>
      </c>
      <c r="G54" s="6">
        <f t="shared" si="46"/>
        <v>41.78744566555951</v>
      </c>
      <c r="H54" s="6">
        <f t="shared" si="48"/>
        <v>20.495350138716102</v>
      </c>
      <c r="I54" s="6">
        <f t="shared" si="49"/>
        <v>6.5281998537237174</v>
      </c>
      <c r="J54" s="6">
        <f t="shared" si="50"/>
        <v>18.65813638751014</v>
      </c>
      <c r="K54" s="6">
        <f t="shared" si="51"/>
        <v>9.688856823437435</v>
      </c>
      <c r="L54" s="6">
        <f t="shared" si="52"/>
        <v>4.25</v>
      </c>
      <c r="M54" s="6">
        <f t="shared" si="53"/>
        <v>4.25</v>
      </c>
      <c r="N54" s="10">
        <f t="shared" si="54"/>
        <v>262.97032266513185</v>
      </c>
      <c r="O54" s="10">
        <f t="shared" si="55"/>
        <v>2125.8021826885656</v>
      </c>
      <c r="P54" s="10">
        <f t="shared" si="56"/>
        <v>-2575.9404310481477</v>
      </c>
      <c r="S54">
        <f t="shared" si="57"/>
        <v>20.495350138716102</v>
      </c>
      <c r="T54">
        <f t="shared" si="58"/>
        <v>6.5281998537237174</v>
      </c>
      <c r="V54">
        <f t="shared" si="59"/>
        <v>18.65813638751014</v>
      </c>
      <c r="W54">
        <f t="shared" si="60"/>
        <v>9.688856823437435</v>
      </c>
      <c r="AS54" s="6">
        <v>-2.234021442552752</v>
      </c>
      <c r="AT54" s="6">
        <v>-262.18607258932417</v>
      </c>
      <c r="AU54" s="6">
        <v>-216.38481458610153</v>
      </c>
      <c r="AV54" s="6">
        <f t="shared" si="1"/>
        <v>3.8315771867396586</v>
      </c>
      <c r="AW54" s="6">
        <f t="shared" si="2"/>
        <v>6.0655986292924107</v>
      </c>
      <c r="AX54" s="6">
        <f t="shared" si="3"/>
        <v>-0.68998453324986553</v>
      </c>
      <c r="AY54" s="6">
        <f t="shared" si="4"/>
        <v>0.68998453324986553</v>
      </c>
      <c r="AZ54" s="47">
        <f t="shared" si="5"/>
        <v>4.0491638646268342</v>
      </c>
      <c r="BA54" s="47">
        <f t="shared" si="6"/>
        <v>3.8315771867396586</v>
      </c>
      <c r="BB54" s="47">
        <f t="shared" si="7"/>
        <v>6.0655986292924107</v>
      </c>
      <c r="BC54" s="47">
        <f t="shared" si="8"/>
        <v>-0.68998453324986553</v>
      </c>
      <c r="BD54" s="47">
        <f t="shared" si="9"/>
        <v>0.68998453324986553</v>
      </c>
      <c r="BE54" s="40"/>
      <c r="BF54" s="40"/>
      <c r="BG54" s="6">
        <f t="shared" si="18"/>
        <v>-2.4609142453120123</v>
      </c>
      <c r="BH54" s="9">
        <f t="shared" ca="1" si="19"/>
        <v>-192.96730435083253</v>
      </c>
      <c r="BI54" s="9">
        <f t="shared" ca="1" si="20"/>
        <v>-150.02970915046825</v>
      </c>
      <c r="BJ54">
        <f t="shared" ca="1" si="21"/>
        <v>244.42850524478712</v>
      </c>
      <c r="BK54" s="6">
        <f t="shared" ca="1" si="22"/>
        <v>-0.78946317720832981</v>
      </c>
      <c r="BL54" s="6">
        <f t="shared" ca="1" si="23"/>
        <v>-0.61379792426508695</v>
      </c>
      <c r="BM54" s="6">
        <f t="shared" ca="1" si="24"/>
        <v>-2.4807302395631781</v>
      </c>
      <c r="BN54" s="6">
        <f t="shared" ca="1" si="25"/>
        <v>-4.4001448595595356</v>
      </c>
      <c r="BO54" s="9">
        <f t="shared" ca="1" si="26"/>
        <v>-272.54950104699196</v>
      </c>
      <c r="BP54" s="9">
        <f t="shared" ca="1" si="27"/>
        <v>-206.20537740819844</v>
      </c>
      <c r="BQ54">
        <f t="shared" ca="1" si="28"/>
        <v>341.76583824750804</v>
      </c>
      <c r="BR54">
        <f t="shared" ca="1" si="29"/>
        <v>-0.79747438317580077</v>
      </c>
      <c r="BS54">
        <f t="shared" ca="1" si="30"/>
        <v>-0.60335280572677885</v>
      </c>
      <c r="BT54">
        <f t="shared" ca="1" si="31"/>
        <v>-2.4938939177934949</v>
      </c>
      <c r="BU54" s="40">
        <f t="shared" ca="1" si="32"/>
        <v>-5.6354865712832876</v>
      </c>
    </row>
    <row r="55" spans="1:73" x14ac:dyDescent="0.25">
      <c r="A55" t="s">
        <v>93</v>
      </c>
      <c r="B55" s="6">
        <f>D54</f>
        <v>18.65813638751014</v>
      </c>
      <c r="C55" s="6">
        <f>E54</f>
        <v>9.688856823437435</v>
      </c>
      <c r="D55" s="6">
        <f t="shared" si="44"/>
        <v>-2.0911128784233712</v>
      </c>
      <c r="E55" s="6">
        <f t="shared" si="44"/>
        <v>-2.3721818922021818</v>
      </c>
      <c r="F55" s="6">
        <f t="shared" ref="F55:F56" si="61">IF(B55=D55,"V",(C55-E55)/(B55-D55))</f>
        <v>0.5812759083983654</v>
      </c>
      <c r="G55" s="6">
        <f t="shared" ref="G55:G56" si="62">IF(F55="V",0,(-1*B55*F55)+C55)</f>
        <v>-1.1566683542331173</v>
      </c>
      <c r="H55" s="6">
        <f t="shared" ref="H55:H56" si="63">IF(AND(C55&lt;$G$41,E55&lt;$G$41),0,IF(AND(C55&lt;$G$41,E55&gt;$G$41),IF(F55="V",B55,($G$41-G55)/F55),B55))</f>
        <v>18.65813638751014</v>
      </c>
      <c r="I55" s="6">
        <f t="shared" ref="I55:I56" si="64">IF(AND(C55&lt;$G$41,E55&lt;$G$41),0,IF(AND(C55&lt;$G$41,E55&gt;$G$41),$G$41,C55))</f>
        <v>9.688856823437435</v>
      </c>
      <c r="J55" s="6">
        <f t="shared" ref="J55:J56" si="65">IF(AND(C55&lt;$G$41,E55&lt;$G$41),0,IF(E55&gt;=$G$41,D55,IF(F55="V",D55,($G$41-G55)/F55)))</f>
        <v>13.220689343777464</v>
      </c>
      <c r="K55" s="6">
        <f t="shared" ref="K55:K56" si="66">IF(AND(C55&lt;$G$41,E55&lt;$G$41),0,IF(E55&gt;=$G$41,E55,$G$41))</f>
        <v>6.5281998537237174</v>
      </c>
      <c r="L55" s="6">
        <f t="shared" ref="L55:L56" si="67">IF(AND(I55=0,K55=0,H55=0,J55=0),0,$B$31)</f>
        <v>4.25</v>
      </c>
      <c r="M55" s="6">
        <f t="shared" ref="M55:M56" si="68">IF(AND(I55=0,K55=0,H55=0,J55=0),0,$B$31)</f>
        <v>4.25</v>
      </c>
      <c r="N55" s="10">
        <f t="shared" ref="N55:N56" si="69">(1/6)*(K55-I55)*((L55*((2*H55)+J55))+(M55*(H55+(2*J55))))</f>
        <v>-214.11081955950175</v>
      </c>
      <c r="O55" s="10">
        <f t="shared" ref="O55:O56" si="70">((1/12)*(K55-I55)*(L55*H55*((3*I55)+K55)+L55*J55*(I55+K55)+M55*H55*(I55+K55)+M55*J55*(I55+(3*K55))))</f>
        <v>-1755.3615386521908</v>
      </c>
      <c r="P55" s="10">
        <f t="shared" ref="P55:P56" si="71">((-1/24)*(K55-I55)*(H55*H55*((3*L55)+M55)+2*H55*J55*(L55+M55)+J55*J55*(L55+(3*M55))))</f>
        <v>1722.9483615230597</v>
      </c>
      <c r="S55">
        <f t="shared" si="57"/>
        <v>18.65813638751014</v>
      </c>
      <c r="T55">
        <f t="shared" si="58"/>
        <v>9.688856823437435</v>
      </c>
      <c r="V55">
        <f t="shared" si="59"/>
        <v>13.220689343777464</v>
      </c>
      <c r="W55">
        <f t="shared" si="60"/>
        <v>6.5281998537237174</v>
      </c>
      <c r="AS55" s="6">
        <v>-2.2165681500328089</v>
      </c>
      <c r="AT55" s="6">
        <v>-261.2624347882151</v>
      </c>
      <c r="AU55" s="6">
        <v>-217.09351684209537</v>
      </c>
      <c r="AV55" s="6">
        <f t="shared" si="1"/>
        <v>3.8349170546513904</v>
      </c>
      <c r="AW55" s="6">
        <f t="shared" si="2"/>
        <v>6.0514852046841998</v>
      </c>
      <c r="AX55" s="6">
        <f t="shared" si="3"/>
        <v>-0.69332440116159733</v>
      </c>
      <c r="AY55" s="6">
        <f t="shared" si="4"/>
        <v>0.69332440116159733</v>
      </c>
      <c r="AZ55" s="47">
        <f t="shared" si="5"/>
        <v>4.0666171571467773</v>
      </c>
      <c r="BA55" s="47">
        <f t="shared" si="6"/>
        <v>3.8349170546513904</v>
      </c>
      <c r="BB55" s="47">
        <f t="shared" si="7"/>
        <v>6.0514852046841998</v>
      </c>
      <c r="BC55" s="47">
        <f t="shared" si="8"/>
        <v>-0.69332440116159733</v>
      </c>
      <c r="BD55" s="47">
        <f t="shared" si="9"/>
        <v>0.69332440116159733</v>
      </c>
      <c r="BE55" s="40"/>
      <c r="BF55" s="40"/>
      <c r="BG55" s="6">
        <f t="shared" si="18"/>
        <v>-2.4434609527920692</v>
      </c>
      <c r="BH55" s="9">
        <f t="shared" ca="1" si="19"/>
        <v>-192.24449468607736</v>
      </c>
      <c r="BI55" s="9">
        <f t="shared" ca="1" si="20"/>
        <v>-150.90657384679184</v>
      </c>
      <c r="BJ55">
        <f t="shared" ca="1" si="21"/>
        <v>244.39873110816771</v>
      </c>
      <c r="BK55" s="6">
        <f t="shared" ca="1" si="22"/>
        <v>-0.78660185269534988</v>
      </c>
      <c r="BL55" s="6">
        <f t="shared" ca="1" si="23"/>
        <v>-0.6174605455705191</v>
      </c>
      <c r="BM55" s="6">
        <f t="shared" ca="1" si="24"/>
        <v>-2.4760824431301574</v>
      </c>
      <c r="BN55" s="6">
        <f t="shared" ca="1" si="25"/>
        <v>-4.3954970631265144</v>
      </c>
      <c r="BO55" s="9">
        <f t="shared" ca="1" si="26"/>
        <v>-271.82669138223679</v>
      </c>
      <c r="BP55" s="9">
        <f t="shared" ca="1" si="27"/>
        <v>-207.08224210452204</v>
      </c>
      <c r="BQ55">
        <f t="shared" ca="1" si="28"/>
        <v>341.72036103055035</v>
      </c>
      <c r="BR55">
        <f t="shared" ca="1" si="29"/>
        <v>-0.79546530549853611</v>
      </c>
      <c r="BS55">
        <f t="shared" ca="1" si="30"/>
        <v>-0.60599913180475817</v>
      </c>
      <c r="BT55">
        <f t="shared" ca="1" si="31"/>
        <v>-2.4905713517700647</v>
      </c>
      <c r="BU55" s="40">
        <f t="shared" ca="1" si="32"/>
        <v>-5.6321640052598578</v>
      </c>
    </row>
    <row r="56" spans="1:73" ht="15.75" thickBot="1" x14ac:dyDescent="0.3">
      <c r="A56" t="s">
        <v>94</v>
      </c>
      <c r="B56" s="6">
        <f>D55</f>
        <v>-2.0911128784233712</v>
      </c>
      <c r="C56" s="6">
        <f>E55</f>
        <v>-2.3721818922021818</v>
      </c>
      <c r="D56" s="6">
        <f t="shared" si="44"/>
        <v>-10.13180535551645</v>
      </c>
      <c r="E56" s="6">
        <f t="shared" si="44"/>
        <v>11.460650951753491</v>
      </c>
      <c r="F56" s="6">
        <f t="shared" si="61"/>
        <v>-1.720353425201085</v>
      </c>
      <c r="G56" s="6">
        <f t="shared" si="62"/>
        <v>-5.9696350950799282</v>
      </c>
      <c r="H56" s="6">
        <f t="shared" si="63"/>
        <v>-7.2646903628786781</v>
      </c>
      <c r="I56" s="6">
        <f t="shared" si="64"/>
        <v>6.5281998537237174</v>
      </c>
      <c r="J56" s="6">
        <f t="shared" si="65"/>
        <v>-10.13180535551645</v>
      </c>
      <c r="K56" s="6">
        <f t="shared" si="66"/>
        <v>11.460650951753491</v>
      </c>
      <c r="L56" s="6">
        <f t="shared" si="67"/>
        <v>4.25</v>
      </c>
      <c r="M56" s="6">
        <f t="shared" si="68"/>
        <v>4.25</v>
      </c>
      <c r="N56" s="11">
        <f t="shared" si="69"/>
        <v>-182.34064936714515</v>
      </c>
      <c r="O56" s="11">
        <f t="shared" si="70"/>
        <v>-1664.7539996595342</v>
      </c>
      <c r="P56" s="11">
        <f t="shared" si="71"/>
        <v>-800.20218492589402</v>
      </c>
      <c r="S56">
        <f t="shared" ref="S56" si="72">IF(AND(I56=0,K56=0,H56=0,J56=0),NA(),H56)</f>
        <v>-7.2646903628786781</v>
      </c>
      <c r="T56">
        <f t="shared" ref="T56" si="73">IF(AND(I56=0,K56=0,H56=0,J56=0),NA(),I56)</f>
        <v>6.5281998537237174</v>
      </c>
      <c r="V56">
        <f t="shared" ref="V56" si="74">IF(AND(I56=0,K56=0,H56=0,J56=0),NA(),J56)</f>
        <v>-10.13180535551645</v>
      </c>
      <c r="W56">
        <f t="shared" ref="W56" si="75">IF(AND(I56=0,K56=0,H56=0,J56=0),NA(),K56)</f>
        <v>11.460650951753491</v>
      </c>
      <c r="AS56" s="6">
        <v>-2.1991148575128658</v>
      </c>
      <c r="AT56" s="6">
        <v>-260.31240454448675</v>
      </c>
      <c r="AU56" s="6">
        <v>-217.79646800899189</v>
      </c>
      <c r="AV56" s="6">
        <f t="shared" si="1"/>
        <v>3.8382988892255767</v>
      </c>
      <c r="AW56" s="6">
        <f t="shared" si="2"/>
        <v>6.0374137467384426</v>
      </c>
      <c r="AX56" s="6">
        <f t="shared" si="3"/>
        <v>-0.69670623573578361</v>
      </c>
      <c r="AY56" s="6">
        <f t="shared" si="4"/>
        <v>0.69670623573578361</v>
      </c>
      <c r="AZ56" s="47">
        <f t="shared" si="5"/>
        <v>4.0840704496667204</v>
      </c>
      <c r="BA56" s="47">
        <f t="shared" si="6"/>
        <v>3.8382988892255767</v>
      </c>
      <c r="BB56" s="47">
        <f t="shared" si="7"/>
        <v>6.0374137467384426</v>
      </c>
      <c r="BC56" s="47">
        <f t="shared" si="8"/>
        <v>-0.69670623573578361</v>
      </c>
      <c r="BD56" s="47">
        <f t="shared" si="9"/>
        <v>0.69670623573578361</v>
      </c>
      <c r="BE56" s="40"/>
      <c r="BF56" s="40"/>
      <c r="BG56" s="6">
        <f t="shared" si="18"/>
        <v>-2.4260076602721261</v>
      </c>
      <c r="BH56" s="9">
        <f t="shared" ca="1" si="19"/>
        <v>-191.51327405425695</v>
      </c>
      <c r="BI56" s="9">
        <f t="shared" ca="1" si="20"/>
        <v>-151.76274411634085</v>
      </c>
      <c r="BJ56">
        <f t="shared" ca="1" si="21"/>
        <v>244.35479254703165</v>
      </c>
      <c r="BK56" s="6">
        <f t="shared" ca="1" si="22"/>
        <v>-0.78375084056268651</v>
      </c>
      <c r="BL56" s="6">
        <f t="shared" ca="1" si="23"/>
        <v>-0.62107537378105915</v>
      </c>
      <c r="BM56" s="6">
        <f t="shared" ca="1" si="24"/>
        <v>-2.4714786087924581</v>
      </c>
      <c r="BN56" s="6">
        <f t="shared" ca="1" si="25"/>
        <v>-4.3908932287888156</v>
      </c>
      <c r="BO56" s="9">
        <f t="shared" ca="1" si="26"/>
        <v>-271.09547075041638</v>
      </c>
      <c r="BP56" s="9">
        <f t="shared" ca="1" si="27"/>
        <v>-207.93841237407105</v>
      </c>
      <c r="BQ56">
        <f t="shared" ca="1" si="28"/>
        <v>341.65938828318343</v>
      </c>
      <c r="BR56">
        <f t="shared" ca="1" si="29"/>
        <v>-0.79346706119405586</v>
      </c>
      <c r="BS56">
        <f t="shared" ca="1" si="30"/>
        <v>-0.60861319637358213</v>
      </c>
      <c r="BT56">
        <f t="shared" ca="1" si="31"/>
        <v>-2.4872810138485431</v>
      </c>
      <c r="BU56" s="40">
        <f t="shared" ca="1" si="32"/>
        <v>-5.6288736673383362</v>
      </c>
    </row>
    <row r="57" spans="1:73" ht="15.75" thickTop="1" x14ac:dyDescent="0.25">
      <c r="N57" s="6">
        <f>SUM(N49:N56)</f>
        <v>167.85208684859384</v>
      </c>
      <c r="O57" s="6">
        <f t="shared" ref="O57:P57" si="76">SUM(O49:O56)</f>
        <v>1342.8897119348576</v>
      </c>
      <c r="P57" s="6">
        <f t="shared" si="76"/>
        <v>575.46868965691328</v>
      </c>
      <c r="AS57" s="6">
        <v>-2.1816615649929227</v>
      </c>
      <c r="AT57" s="6">
        <v>-259.333733290667</v>
      </c>
      <c r="AU57" s="6">
        <v>-218.49450870875876</v>
      </c>
      <c r="AV57" s="6">
        <f t="shared" si="1"/>
        <v>3.8417296015478568</v>
      </c>
      <c r="AW57" s="6">
        <f t="shared" si="2"/>
        <v>6.0233911665407796</v>
      </c>
      <c r="AX57" s="6">
        <f t="shared" si="3"/>
        <v>-0.7001369480580637</v>
      </c>
      <c r="AY57" s="6">
        <f t="shared" si="4"/>
        <v>0.7001369480580637</v>
      </c>
      <c r="AZ57" s="47">
        <f t="shared" si="5"/>
        <v>4.1015237421866635</v>
      </c>
      <c r="BA57" s="47">
        <f t="shared" si="6"/>
        <v>3.8417296015478568</v>
      </c>
      <c r="BB57" s="47">
        <f t="shared" si="7"/>
        <v>6.0233911665407796</v>
      </c>
      <c r="BC57" s="47">
        <f t="shared" si="8"/>
        <v>-0.7001369480580637</v>
      </c>
      <c r="BD57" s="47">
        <f t="shared" si="9"/>
        <v>0.7001369480580637</v>
      </c>
      <c r="BE57" s="40"/>
      <c r="BF57" s="40"/>
      <c r="BG57" s="6">
        <f t="shared" si="18"/>
        <v>-2.408554367752183</v>
      </c>
      <c r="BH57" s="9">
        <f t="shared" ca="1" si="19"/>
        <v>-190.77269208423303</v>
      </c>
      <c r="BI57" s="9">
        <f t="shared" ca="1" si="20"/>
        <v>-152.59983552887971</v>
      </c>
      <c r="BJ57">
        <f t="shared" ca="1" si="21"/>
        <v>244.29680687333334</v>
      </c>
      <c r="BK57" s="6">
        <f t="shared" ca="1" si="22"/>
        <v>-0.78090538523963482</v>
      </c>
      <c r="BL57" s="6">
        <f t="shared" ca="1" si="23"/>
        <v>-0.62464932506466186</v>
      </c>
      <c r="BM57" s="6">
        <f t="shared" ca="1" si="24"/>
        <v>-2.4669102633514184</v>
      </c>
      <c r="BN57" s="6">
        <f t="shared" ca="1" si="25"/>
        <v>-4.3863248833477755</v>
      </c>
      <c r="BO57" s="9">
        <f t="shared" ca="1" si="26"/>
        <v>-270.35488878039246</v>
      </c>
      <c r="BP57" s="9">
        <f t="shared" ca="1" si="27"/>
        <v>-208.7755037866099</v>
      </c>
      <c r="BQ57">
        <f t="shared" ca="1" si="28"/>
        <v>341.58304534741058</v>
      </c>
      <c r="BR57">
        <f t="shared" ca="1" si="29"/>
        <v>-0.79147631143526231</v>
      </c>
      <c r="BS57">
        <f t="shared" ca="1" si="30"/>
        <v>-0.61119984328927279</v>
      </c>
      <c r="BT57">
        <f t="shared" ca="1" si="31"/>
        <v>-2.484016992352402</v>
      </c>
      <c r="BU57" s="40">
        <f t="shared" ca="1" si="32"/>
        <v>-5.6256096458421947</v>
      </c>
    </row>
    <row r="58" spans="1:73" x14ac:dyDescent="0.25">
      <c r="O58" s="6">
        <f>O57/N57</f>
        <v>8.0004350088668996</v>
      </c>
      <c r="P58" s="6">
        <f>-1*P57/N57</f>
        <v>-3.4284273759193611</v>
      </c>
      <c r="S58">
        <f>(P58*COS(-1*$B$27))+(O58*SIN(-1*$B$27))+$I$2</f>
        <v>-4.056510923783379</v>
      </c>
      <c r="T58">
        <f>(-1*P58*SIN(-1*$B$27))+(O58*COS(-1*$B$27))+$I$3</f>
        <v>6.3602743520998999</v>
      </c>
      <c r="AS58" s="6">
        <v>-2.1642082724729796</v>
      </c>
      <c r="AT58" s="6">
        <v>-258.32395741778373</v>
      </c>
      <c r="AU58" s="6">
        <v>-219.18846497326118</v>
      </c>
      <c r="AV58" s="6">
        <f t="shared" si="1"/>
        <v>3.8452165670981886</v>
      </c>
      <c r="AW58" s="6">
        <f t="shared" si="2"/>
        <v>6.0094248395711682</v>
      </c>
      <c r="AX58" s="6">
        <f t="shared" si="3"/>
        <v>-0.70362391360839549</v>
      </c>
      <c r="AY58" s="6">
        <f t="shared" si="4"/>
        <v>0.70362391360839549</v>
      </c>
      <c r="AZ58" s="47">
        <f t="shared" si="5"/>
        <v>4.1189770347066066</v>
      </c>
      <c r="BA58" s="47">
        <f t="shared" si="6"/>
        <v>3.8452165670981886</v>
      </c>
      <c r="BB58" s="47">
        <f t="shared" si="7"/>
        <v>6.0094248395711682</v>
      </c>
      <c r="BC58" s="47">
        <f t="shared" si="8"/>
        <v>-0.70362391360839549</v>
      </c>
      <c r="BD58" s="47">
        <f t="shared" si="9"/>
        <v>0.70362391360839549</v>
      </c>
      <c r="BE58" s="40"/>
      <c r="BF58" s="40"/>
      <c r="BG58" s="6">
        <f t="shared" si="18"/>
        <v>-2.3911010752322399</v>
      </c>
      <c r="BH58" s="9">
        <f t="shared" ca="1" si="19"/>
        <v>-190.02175690953987</v>
      </c>
      <c r="BI58" s="9">
        <f t="shared" ca="1" si="20"/>
        <v>-153.41934843936394</v>
      </c>
      <c r="BJ58">
        <f t="shared" ca="1" si="21"/>
        <v>244.22482382949369</v>
      </c>
      <c r="BK58" s="6">
        <f t="shared" ca="1" si="22"/>
        <v>-0.77806077994022482</v>
      </c>
      <c r="BL58" s="6">
        <f t="shared" ca="1" si="23"/>
        <v>-0.62818900238607245</v>
      </c>
      <c r="BM58" s="6">
        <f t="shared" ca="1" si="24"/>
        <v>-2.4623692138818543</v>
      </c>
      <c r="BN58" s="6">
        <f t="shared" ca="1" si="25"/>
        <v>-4.3817838338782114</v>
      </c>
      <c r="BO58" s="9">
        <f t="shared" ca="1" si="26"/>
        <v>-269.6039536056993</v>
      </c>
      <c r="BP58" s="9">
        <f t="shared" ca="1" si="27"/>
        <v>-209.59501669709414</v>
      </c>
      <c r="BQ58">
        <f t="shared" ca="1" si="28"/>
        <v>341.49138030714511</v>
      </c>
      <c r="BR58">
        <f t="shared" ca="1" si="29"/>
        <v>-0.78948977676453025</v>
      </c>
      <c r="BS58">
        <f t="shared" ca="1" si="30"/>
        <v>-0.61376371054689471</v>
      </c>
      <c r="BT58">
        <f t="shared" ca="1" si="31"/>
        <v>-2.480773576786242</v>
      </c>
      <c r="BU58" s="40">
        <f t="shared" ca="1" si="32"/>
        <v>-5.6223662302760351</v>
      </c>
    </row>
    <row r="59" spans="1:73" x14ac:dyDescent="0.25">
      <c r="A59" t="s">
        <v>54</v>
      </c>
      <c r="O59">
        <f>O57/12</f>
        <v>111.90747599457147</v>
      </c>
      <c r="P59">
        <f>P57/12</f>
        <v>47.955724138076107</v>
      </c>
      <c r="AS59" s="6">
        <v>-2.1467549799530365</v>
      </c>
      <c r="AT59" s="6">
        <v>-257.28036809137825</v>
      </c>
      <c r="AU59" s="6">
        <v>-219.87915316242226</v>
      </c>
      <c r="AV59" s="6">
        <f t="shared" si="1"/>
        <v>3.8487677114304448</v>
      </c>
      <c r="AW59" s="6">
        <f t="shared" si="2"/>
        <v>5.9955226913834814</v>
      </c>
      <c r="AX59" s="6">
        <f t="shared" si="3"/>
        <v>-0.70717505794065172</v>
      </c>
      <c r="AY59" s="6">
        <f t="shared" si="4"/>
        <v>0.70717505794065172</v>
      </c>
      <c r="AZ59" s="47">
        <f t="shared" si="5"/>
        <v>4.1364303272265497</v>
      </c>
      <c r="BA59" s="47">
        <f t="shared" si="6"/>
        <v>3.8487677114304448</v>
      </c>
      <c r="BB59" s="47">
        <f t="shared" si="7"/>
        <v>5.9955226913834814</v>
      </c>
      <c r="BC59" s="47">
        <f t="shared" si="8"/>
        <v>-0.70717505794065172</v>
      </c>
      <c r="BD59" s="47">
        <f t="shared" si="9"/>
        <v>0.70717505794065172</v>
      </c>
      <c r="BE59" s="40"/>
      <c r="BF59" s="40"/>
      <c r="BG59" s="6">
        <f t="shared" si="18"/>
        <v>-2.3736477827122968</v>
      </c>
      <c r="BH59" s="9">
        <f t="shared" ca="1" si="19"/>
        <v>-189.25942873842763</v>
      </c>
      <c r="BI59" s="9">
        <f t="shared" ca="1" si="20"/>
        <v>-154.22268112596527</v>
      </c>
      <c r="BJ59">
        <f t="shared" ca="1" si="21"/>
        <v>244.13882677705553</v>
      </c>
      <c r="BK59" s="6">
        <f t="shared" ca="1" si="22"/>
        <v>-0.77521232995543532</v>
      </c>
      <c r="BL59" s="6">
        <f t="shared" ca="1" si="23"/>
        <v>-0.63170075469724218</v>
      </c>
      <c r="BM59" s="6">
        <f t="shared" ca="1" si="24"/>
        <v>-2.4578474767767395</v>
      </c>
      <c r="BN59" s="6">
        <f t="shared" ca="1" si="25"/>
        <v>-4.3772620967730962</v>
      </c>
      <c r="BO59" s="9">
        <f t="shared" ca="1" si="26"/>
        <v>-268.84162543458706</v>
      </c>
      <c r="BP59" s="9">
        <f t="shared" ca="1" si="27"/>
        <v>-210.39834938369546</v>
      </c>
      <c r="BQ59">
        <f t="shared" ca="1" si="28"/>
        <v>341.38436547342701</v>
      </c>
      <c r="BR59">
        <f t="shared" ca="1" si="29"/>
        <v>-0.78750421116023073</v>
      </c>
      <c r="BS59">
        <f t="shared" ca="1" si="30"/>
        <v>-0.61630927090617638</v>
      </c>
      <c r="BT59">
        <f t="shared" ca="1" si="31"/>
        <v>-2.477545209185759</v>
      </c>
      <c r="BU59" s="40">
        <f t="shared" ca="1" si="32"/>
        <v>-5.6191378626755526</v>
      </c>
    </row>
    <row r="60" spans="1:73" x14ac:dyDescent="0.25">
      <c r="AS60" s="6">
        <v>-2.1293016874330934</v>
      </c>
      <c r="AT60" s="6">
        <v>-256.19997597621801</v>
      </c>
      <c r="AU60" s="6">
        <v>-220.56738489730992</v>
      </c>
      <c r="AV60" s="6">
        <f t="shared" si="1"/>
        <v>3.8523916088446128</v>
      </c>
      <c r="AW60" s="6">
        <f t="shared" si="2"/>
        <v>5.9816932962777063</v>
      </c>
      <c r="AX60" s="6">
        <f t="shared" si="3"/>
        <v>-0.71079895535481974</v>
      </c>
      <c r="AY60" s="6">
        <f t="shared" si="4"/>
        <v>0.71079895535481974</v>
      </c>
      <c r="AZ60" s="47">
        <f t="shared" si="5"/>
        <v>4.1538836197464928</v>
      </c>
      <c r="BA60" s="47">
        <f t="shared" si="6"/>
        <v>3.8523916088446128</v>
      </c>
      <c r="BB60" s="47">
        <f t="shared" si="7"/>
        <v>5.9816932962777063</v>
      </c>
      <c r="BC60" s="47">
        <f t="shared" si="8"/>
        <v>-0.71079895535481974</v>
      </c>
      <c r="BD60" s="47">
        <f t="shared" si="9"/>
        <v>0.71079895535481974</v>
      </c>
      <c r="BE60" s="40"/>
      <c r="BF60" s="40"/>
      <c r="BG60" s="6">
        <f t="shared" si="18"/>
        <v>-2.3561944901923537</v>
      </c>
      <c r="BH60" s="9">
        <f t="shared" ca="1" si="19"/>
        <v>-188.48461300545421</v>
      </c>
      <c r="BI60" s="9">
        <f t="shared" ca="1" si="20"/>
        <v>-155.01114144465419</v>
      </c>
      <c r="BJ60">
        <f t="shared" ca="1" si="21"/>
        <v>244.0387332203444</v>
      </c>
      <c r="BK60" s="6">
        <f t="shared" ca="1" si="22"/>
        <v>-0.77235531638033061</v>
      </c>
      <c r="BL60" s="6">
        <f t="shared" ca="1" si="23"/>
        <v>-0.63519073140202487</v>
      </c>
      <c r="BM60" s="6">
        <f t="shared" ca="1" si="24"/>
        <v>-2.4533372108806968</v>
      </c>
      <c r="BN60" s="6">
        <f t="shared" ca="1" si="25"/>
        <v>-4.3727518308770534</v>
      </c>
      <c r="BO60" s="9">
        <f t="shared" ca="1" si="26"/>
        <v>-268.06680970161364</v>
      </c>
      <c r="BP60" s="9">
        <f t="shared" ca="1" si="27"/>
        <v>-211.18680970238438</v>
      </c>
      <c r="BQ60">
        <f t="shared" ca="1" si="28"/>
        <v>341.26189804294336</v>
      </c>
      <c r="BR60">
        <f t="shared" ca="1" si="29"/>
        <v>-0.78551637683232056</v>
      </c>
      <c r="BS60">
        <f t="shared" ca="1" si="30"/>
        <v>-0.61884086947148509</v>
      </c>
      <c r="BT60">
        <f t="shared" ca="1" si="31"/>
        <v>-2.4743264383712926</v>
      </c>
      <c r="BU60" s="40">
        <f t="shared" ca="1" si="32"/>
        <v>-5.6159190918610857</v>
      </c>
    </row>
    <row r="61" spans="1:73" x14ac:dyDescent="0.25">
      <c r="A61">
        <f t="shared" ref="A61:A71" si="77">A14</f>
        <v>0</v>
      </c>
      <c r="B61" s="1" t="str">
        <f t="shared" ref="B61:D61" si="78">B14</f>
        <v>Bar #</v>
      </c>
      <c r="C61" s="1" t="str">
        <f t="shared" si="78"/>
        <v>As (in^2)</v>
      </c>
      <c r="D61" s="1" t="str">
        <f t="shared" si="78"/>
        <v>x</v>
      </c>
      <c r="E61" s="1" t="str">
        <f>E14</f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AS61" s="6">
        <v>-2.1118483949131504</v>
      </c>
      <c r="AT61" s="6">
        <v>-255.07946987251447</v>
      </c>
      <c r="AU61" s="6">
        <v>-221.25397211225189</v>
      </c>
      <c r="AV61" s="6">
        <f t="shared" si="1"/>
        <v>3.8560975970058311</v>
      </c>
      <c r="AW61" s="6">
        <f t="shared" si="2"/>
        <v>5.967945991918981</v>
      </c>
      <c r="AX61" s="6">
        <f t="shared" si="3"/>
        <v>-0.71450494351603799</v>
      </c>
      <c r="AY61" s="6">
        <f t="shared" si="4"/>
        <v>0.71450494351603799</v>
      </c>
      <c r="AZ61" s="47">
        <f t="shared" si="5"/>
        <v>4.1713369122664359</v>
      </c>
      <c r="BA61" s="47">
        <f t="shared" si="6"/>
        <v>3.8560975970058311</v>
      </c>
      <c r="BB61" s="47">
        <f t="shared" si="7"/>
        <v>5.967945991918981</v>
      </c>
      <c r="BC61" s="47">
        <f t="shared" si="8"/>
        <v>-0.71450494351603799</v>
      </c>
      <c r="BD61" s="47">
        <f t="shared" si="9"/>
        <v>0.71450494351603799</v>
      </c>
      <c r="BE61" s="40"/>
      <c r="BF61" s="40"/>
      <c r="BG61" s="6">
        <f t="shared" si="18"/>
        <v>-2.3387411976724106</v>
      </c>
      <c r="BH61" s="9">
        <f t="shared" ca="1" si="19"/>
        <v>-187.69615268511103</v>
      </c>
      <c r="BI61" s="9">
        <f t="shared" ca="1" si="20"/>
        <v>-155.78595718049758</v>
      </c>
      <c r="BJ61">
        <f t="shared" ca="1" si="21"/>
        <v>243.9243944082599</v>
      </c>
      <c r="BK61" s="6">
        <f t="shared" ca="1" si="22"/>
        <v>-0.7694849592245423</v>
      </c>
      <c r="BL61" s="6">
        <f t="shared" ca="1" si="23"/>
        <v>-0.63866493369152855</v>
      </c>
      <c r="BM61" s="6">
        <f t="shared" ca="1" si="24"/>
        <v>-2.4488306527570654</v>
      </c>
      <c r="BN61" s="6">
        <f t="shared" ca="1" si="25"/>
        <v>-4.3682452727534224</v>
      </c>
      <c r="BO61" s="9">
        <f t="shared" ca="1" si="26"/>
        <v>-267.27834938127046</v>
      </c>
      <c r="BP61" s="9">
        <f t="shared" ca="1" si="27"/>
        <v>-211.96162543822777</v>
      </c>
      <c r="BQ61">
        <f t="shared" ca="1" si="28"/>
        <v>341.12379967746614</v>
      </c>
      <c r="BR61">
        <f t="shared" ca="1" si="29"/>
        <v>-0.7835230190153345</v>
      </c>
      <c r="BS61">
        <f t="shared" ca="1" si="30"/>
        <v>-0.62136275932268081</v>
      </c>
      <c r="BT61">
        <f t="shared" ca="1" si="31"/>
        <v>-2.471111875771749</v>
      </c>
      <c r="BU61" s="40">
        <f t="shared" ca="1" si="32"/>
        <v>-5.6127045292615421</v>
      </c>
    </row>
    <row r="62" spans="1:73" x14ac:dyDescent="0.25">
      <c r="A62">
        <f t="shared" si="77"/>
        <v>1</v>
      </c>
      <c r="B62" s="1">
        <f t="shared" ref="B62:D67" si="79">B15</f>
        <v>8</v>
      </c>
      <c r="C62" s="1">
        <f t="shared" ca="1" si="79"/>
        <v>0.79</v>
      </c>
      <c r="D62" s="1">
        <f t="shared" si="79"/>
        <v>-21</v>
      </c>
      <c r="E62" s="1">
        <f t="shared" ref="E62" si="80">E15</f>
        <v>22</v>
      </c>
      <c r="F62" s="1">
        <f>D62-$I$2</f>
        <v>-18</v>
      </c>
      <c r="G62" s="1">
        <f>E62-$I$3</f>
        <v>7</v>
      </c>
      <c r="H62" s="6">
        <f>F62*COS($B$27)+G62*SIN($B$27)</f>
        <v>19.079739908178354</v>
      </c>
      <c r="I62" s="6">
        <f>-1*F62*SIN($B$27)+G62*COS($B$27)</f>
        <v>2.9939146674991051</v>
      </c>
      <c r="J62" s="6">
        <f>$G$38-I62</f>
        <v>8.4667362842543863</v>
      </c>
      <c r="K62">
        <f ca="1">IF($B$28=0,-1,IF(C62=0,0,(($B$28-J62)/$B$28)*$B$30)*IF($B$28&lt;0,-1,1))</f>
        <v>-1.1196895171099099E-3</v>
      </c>
      <c r="L62">
        <f ca="1">IF(AND(K62&gt;0,J62&lt;=$B$29),MIN((K62*B$13),B$12)-$B$31,MAX(K62*B$13,-1*B$12))</f>
        <v>-32.470995996187384</v>
      </c>
      <c r="M62" s="6">
        <f ca="1">L62*C62</f>
        <v>-25.652086836988033</v>
      </c>
      <c r="N62" s="6">
        <f ca="1">M62*I62</f>
        <v>-76.800159033219202</v>
      </c>
      <c r="O62" s="6">
        <f ca="1">M62*H62*-1</f>
        <v>489.43514495173724</v>
      </c>
      <c r="Q62">
        <f>IF($B62=0,NA(),H62)</f>
        <v>19.079739908178354</v>
      </c>
      <c r="R62">
        <f>IF($B62=0,NA(),I62)</f>
        <v>2.9939146674991051</v>
      </c>
      <c r="AS62" s="6">
        <v>-2.0943951023932073</v>
      </c>
      <c r="AT62" s="6">
        <v>-253.91516777434424</v>
      </c>
      <c r="AU62" s="6">
        <v>-221.93973225227506</v>
      </c>
      <c r="AV62" s="6">
        <f t="shared" si="1"/>
        <v>3.8598959114591191</v>
      </c>
      <c r="AW62" s="6">
        <f t="shared" si="2"/>
        <v>5.9542910138523268</v>
      </c>
      <c r="AX62" s="6">
        <f t="shared" si="3"/>
        <v>-0.71830325796932604</v>
      </c>
      <c r="AY62" s="6">
        <f t="shared" si="4"/>
        <v>0.71830325796932604</v>
      </c>
      <c r="AZ62" s="47">
        <f t="shared" si="5"/>
        <v>4.188790204786379</v>
      </c>
      <c r="BA62" s="47">
        <f t="shared" si="6"/>
        <v>3.8598959114591191</v>
      </c>
      <c r="BB62" s="47">
        <f t="shared" si="7"/>
        <v>5.9542910138523268</v>
      </c>
      <c r="BC62" s="47">
        <f t="shared" si="8"/>
        <v>-0.71830325796932604</v>
      </c>
      <c r="BD62" s="47">
        <f t="shared" si="9"/>
        <v>0.71830325796932604</v>
      </c>
      <c r="BE62" s="40"/>
      <c r="BF62" s="40"/>
      <c r="BG62" s="6">
        <f t="shared" si="18"/>
        <v>-2.3212879051524675</v>
      </c>
      <c r="BH62" s="9">
        <f t="shared" ca="1" si="19"/>
        <v>-186.89282000064082</v>
      </c>
      <c r="BI62" s="9">
        <f t="shared" ca="1" si="20"/>
        <v>-156.54828534320123</v>
      </c>
      <c r="BJ62">
        <f t="shared" ca="1" si="21"/>
        <v>243.7955943237865</v>
      </c>
      <c r="BK62" s="6">
        <f t="shared" ca="1" si="22"/>
        <v>-0.76659637972139594</v>
      </c>
      <c r="BL62" s="6">
        <f t="shared" ca="1" si="23"/>
        <v>-0.64212926315349428</v>
      </c>
      <c r="BM62" s="6">
        <f t="shared" ca="1" si="24"/>
        <v>-2.4443200536103911</v>
      </c>
      <c r="BN62" s="6">
        <f t="shared" ca="1" si="25"/>
        <v>-4.3637346736067482</v>
      </c>
      <c r="BO62" s="9">
        <f t="shared" ca="1" si="26"/>
        <v>-266.47501669680025</v>
      </c>
      <c r="BP62" s="9">
        <f t="shared" ca="1" si="27"/>
        <v>-212.72395360093142</v>
      </c>
      <c r="BQ62">
        <f t="shared" ca="1" si="28"/>
        <v>340.96981531973063</v>
      </c>
      <c r="BR62">
        <f t="shared" ca="1" si="29"/>
        <v>-0.78152084062609506</v>
      </c>
      <c r="BS62">
        <f t="shared" ca="1" si="30"/>
        <v>-0.62387913546381857</v>
      </c>
      <c r="BT62">
        <f t="shared" ca="1" si="31"/>
        <v>-2.4678961525098426</v>
      </c>
      <c r="BU62" s="40">
        <f t="shared" ca="1" si="32"/>
        <v>-5.6094888059996357</v>
      </c>
    </row>
    <row r="63" spans="1:73" x14ac:dyDescent="0.25">
      <c r="A63">
        <f t="shared" si="77"/>
        <v>2</v>
      </c>
      <c r="B63" s="1">
        <f t="shared" si="79"/>
        <v>8</v>
      </c>
      <c r="C63" s="1">
        <f t="shared" ca="1" si="79"/>
        <v>0.79</v>
      </c>
      <c r="D63" s="1">
        <f t="shared" si="79"/>
        <v>-11</v>
      </c>
      <c r="E63" s="1">
        <f t="shared" ref="E63" si="81">E16</f>
        <v>22</v>
      </c>
      <c r="F63" s="1">
        <f t="shared" ref="F63:F71" si="82">D63-$I$2</f>
        <v>-8</v>
      </c>
      <c r="G63" s="1">
        <f t="shared" ref="G63:G71" si="83">E63-$I$3</f>
        <v>7</v>
      </c>
      <c r="H63" s="6">
        <f t="shared" ref="H63:H71" si="84">F63*COS($B$27)+G63*SIN($B$27)</f>
        <v>10.434219380706057</v>
      </c>
      <c r="I63" s="6">
        <f t="shared" ref="I63:I71" si="85">-1*F63*SIN($B$27)+G63*COS($B$27)</f>
        <v>-2.0315181306840682</v>
      </c>
      <c r="J63" s="6">
        <f t="shared" ref="J63:J71" si="86">$G$38-I63</f>
        <v>13.49216908243756</v>
      </c>
      <c r="K63">
        <f t="shared" ref="K63:K71" ca="1" si="87">IF($B$28=0,-1,IF(C63=0,0,(($B$28-J63)/$B$28)*$B$30)*IF($B$28&lt;0,-1,1))</f>
        <v>-3.5649319484960611E-3</v>
      </c>
      <c r="L63">
        <f t="shared" ref="L63:L71" ca="1" si="88">IF(AND(K63&gt;0,J63&lt;=$B$29),MIN((K63*B$13),B$12)-$B$31,MAX(K63*B$13,-1*B$12))</f>
        <v>-60</v>
      </c>
      <c r="M63" s="6">
        <f t="shared" ref="M63:M71" ca="1" si="89">L63*C63</f>
        <v>-47.400000000000006</v>
      </c>
      <c r="N63" s="6">
        <f t="shared" ref="N63:N71" ca="1" si="90">M63*I63</f>
        <v>96.293959394424846</v>
      </c>
      <c r="O63" s="6">
        <f t="shared" ref="O63:O71" ca="1" si="91">M63*H63*-1</f>
        <v>494.58199864546719</v>
      </c>
      <c r="Q63">
        <f t="shared" ref="Q63:Q71" si="92">IF($B63=0,NA(),H63)</f>
        <v>10.434219380706057</v>
      </c>
      <c r="R63">
        <f t="shared" ref="R63:R71" si="93">IF($B63=0,NA(),I63)</f>
        <v>-2.0315181306840682</v>
      </c>
      <c r="AS63" s="6">
        <v>-2.0769418098732642</v>
      </c>
      <c r="AT63" s="6">
        <v>-252.70295890753755</v>
      </c>
      <c r="AU63" s="6">
        <v>-222.62549379493555</v>
      </c>
      <c r="AV63" s="6">
        <f t="shared" si="1"/>
        <v>3.8637978445357541</v>
      </c>
      <c r="AW63" s="6">
        <f t="shared" si="2"/>
        <v>5.9407396544090183</v>
      </c>
      <c r="AX63" s="6">
        <f t="shared" si="3"/>
        <v>-0.72220519104596104</v>
      </c>
      <c r="AY63" s="6">
        <f t="shared" si="4"/>
        <v>0.72220519104596104</v>
      </c>
      <c r="AZ63" s="47">
        <f t="shared" si="5"/>
        <v>4.2062434973063221</v>
      </c>
      <c r="BA63" s="47">
        <f t="shared" si="6"/>
        <v>3.8637978445357541</v>
      </c>
      <c r="BB63" s="47">
        <f t="shared" si="7"/>
        <v>5.9407396544090183</v>
      </c>
      <c r="BC63" s="47">
        <f t="shared" si="8"/>
        <v>-0.72220519104596104</v>
      </c>
      <c r="BD63" s="47">
        <f t="shared" si="9"/>
        <v>0.72220519104596104</v>
      </c>
      <c r="BE63" s="40"/>
      <c r="BF63" s="40"/>
      <c r="BG63" s="6">
        <f t="shared" si="18"/>
        <v>-2.3038346126325244</v>
      </c>
      <c r="BH63" s="9">
        <f t="shared" ca="1" si="19"/>
        <v>-186.07330709170594</v>
      </c>
      <c r="BI63" s="9">
        <f t="shared" ca="1" si="20"/>
        <v>-157.29922052394559</v>
      </c>
      <c r="BJ63">
        <f t="shared" ca="1" si="21"/>
        <v>243.65204778430484</v>
      </c>
      <c r="BK63" s="6">
        <f t="shared" ca="1" si="22"/>
        <v>-0.76368456076523106</v>
      </c>
      <c r="BL63" s="6">
        <f t="shared" ca="1" si="23"/>
        <v>-0.64558956903656373</v>
      </c>
      <c r="BM63" s="6">
        <f t="shared" ca="1" si="24"/>
        <v>-2.4397976160711439</v>
      </c>
      <c r="BN63" s="6">
        <f t="shared" ca="1" si="25"/>
        <v>-4.359212236067501</v>
      </c>
      <c r="BO63" s="9">
        <f t="shared" ca="1" si="26"/>
        <v>-265.65550378786537</v>
      </c>
      <c r="BP63" s="9">
        <f t="shared" ca="1" si="27"/>
        <v>-213.47488878167579</v>
      </c>
      <c r="BQ63">
        <f t="shared" ca="1" si="28"/>
        <v>340.79961096388212</v>
      </c>
      <c r="BR63">
        <f t="shared" ca="1" si="29"/>
        <v>-0.77950647606818868</v>
      </c>
      <c r="BS63">
        <f t="shared" ca="1" si="30"/>
        <v>-0.62639416805056103</v>
      </c>
      <c r="BT63">
        <f t="shared" ca="1" si="31"/>
        <v>-2.4646738765333751</v>
      </c>
      <c r="BU63" s="40">
        <f t="shared" ca="1" si="32"/>
        <v>-5.6062665300231682</v>
      </c>
    </row>
    <row r="64" spans="1:73" x14ac:dyDescent="0.25">
      <c r="A64">
        <f t="shared" si="77"/>
        <v>3</v>
      </c>
      <c r="B64" s="1">
        <f t="shared" si="79"/>
        <v>8</v>
      </c>
      <c r="C64" s="1">
        <f t="shared" ca="1" si="79"/>
        <v>0.79</v>
      </c>
      <c r="D64" s="1">
        <f t="shared" si="79"/>
        <v>-1</v>
      </c>
      <c r="E64" s="1">
        <f t="shared" ref="E64" si="94">E17</f>
        <v>22</v>
      </c>
      <c r="F64" s="1">
        <f t="shared" si="82"/>
        <v>2</v>
      </c>
      <c r="G64" s="1">
        <f t="shared" si="83"/>
        <v>7</v>
      </c>
      <c r="H64" s="6">
        <f t="shared" si="84"/>
        <v>1.7886988532337627</v>
      </c>
      <c r="I64" s="6">
        <f t="shared" si="85"/>
        <v>-7.0569509288672414</v>
      </c>
      <c r="J64" s="6">
        <f t="shared" si="86"/>
        <v>18.517601880620731</v>
      </c>
      <c r="K64">
        <f t="shared" ca="1" si="87"/>
        <v>-6.0101743798822117E-3</v>
      </c>
      <c r="L64">
        <f t="shared" ca="1" si="88"/>
        <v>-60</v>
      </c>
      <c r="M64" s="6">
        <f t="shared" ca="1" si="89"/>
        <v>-47.400000000000006</v>
      </c>
      <c r="N64" s="6">
        <f t="shared" ca="1" si="90"/>
        <v>334.4994740283073</v>
      </c>
      <c r="O64" s="6">
        <f t="shared" ca="1" si="91"/>
        <v>84.784325643280354</v>
      </c>
      <c r="Q64">
        <f t="shared" si="92"/>
        <v>1.7886988532337627</v>
      </c>
      <c r="R64">
        <f t="shared" si="93"/>
        <v>-7.0569509288672414</v>
      </c>
      <c r="AS64" s="6">
        <v>-2.0594885173533211</v>
      </c>
      <c r="AT64" s="6">
        <v>-251.43823446480147</v>
      </c>
      <c r="AU64" s="6">
        <v>-223.31210214420722</v>
      </c>
      <c r="AV64" s="6">
        <f t="shared" si="1"/>
        <v>3.8678159348626613</v>
      </c>
      <c r="AW64" s="6">
        <f t="shared" si="2"/>
        <v>5.9273044522159823</v>
      </c>
      <c r="AX64" s="6">
        <f t="shared" si="3"/>
        <v>-0.72622328137286818</v>
      </c>
      <c r="AY64" s="6">
        <f t="shared" si="4"/>
        <v>0.72622328137286818</v>
      </c>
      <c r="AZ64" s="47">
        <f t="shared" si="5"/>
        <v>4.2236967898262652</v>
      </c>
      <c r="BA64" s="47">
        <f t="shared" si="6"/>
        <v>3.8678159348626613</v>
      </c>
      <c r="BB64" s="47">
        <f t="shared" si="7"/>
        <v>5.9273044522159823</v>
      </c>
      <c r="BC64" s="47">
        <f t="shared" si="8"/>
        <v>-0.72622328137286818</v>
      </c>
      <c r="BD64" s="47">
        <f t="shared" si="9"/>
        <v>0.72622328137286818</v>
      </c>
      <c r="BE64" s="40"/>
      <c r="BF64" s="40"/>
      <c r="BG64" s="6">
        <f t="shared" si="18"/>
        <v>-2.2863813201125813</v>
      </c>
      <c r="BH64" s="9">
        <f t="shared" ca="1" si="19"/>
        <v>-185.23621567991768</v>
      </c>
      <c r="BI64" s="9">
        <f t="shared" ca="1" si="20"/>
        <v>-158.03980249041015</v>
      </c>
      <c r="BJ64">
        <f t="shared" ca="1" si="21"/>
        <v>243.49339779678797</v>
      </c>
      <c r="BK64" s="6">
        <f t="shared" ca="1" si="22"/>
        <v>-0.76074430500374413</v>
      </c>
      <c r="BL64" s="6">
        <f t="shared" ca="1" si="23"/>
        <v>-0.64905169470880386</v>
      </c>
      <c r="BM64" s="6">
        <f t="shared" ca="1" si="24"/>
        <v>-2.4352554300792759</v>
      </c>
      <c r="BN64" s="6">
        <f t="shared" ca="1" si="25"/>
        <v>-4.354670050075633</v>
      </c>
      <c r="BO64" s="9">
        <f t="shared" ca="1" si="26"/>
        <v>-264.81841237607711</v>
      </c>
      <c r="BP64" s="9">
        <f t="shared" ca="1" si="27"/>
        <v>-214.21547074814035</v>
      </c>
      <c r="BQ64">
        <f t="shared" ca="1" si="28"/>
        <v>340.61277051988731</v>
      </c>
      <c r="BR64">
        <f t="shared" ca="1" si="29"/>
        <v>-0.77747646387972169</v>
      </c>
      <c r="BS64">
        <f t="shared" ca="1" si="30"/>
        <v>-0.62891203527447592</v>
      </c>
      <c r="BT64">
        <f t="shared" ca="1" si="31"/>
        <v>-2.4614395892917575</v>
      </c>
      <c r="BU64" s="40">
        <f t="shared" ca="1" si="32"/>
        <v>-5.6030322427815502</v>
      </c>
    </row>
    <row r="65" spans="1:73" x14ac:dyDescent="0.25">
      <c r="A65">
        <f t="shared" si="77"/>
        <v>4</v>
      </c>
      <c r="B65" s="1">
        <f t="shared" si="79"/>
        <v>8</v>
      </c>
      <c r="C65" s="1">
        <f t="shared" ca="1" si="79"/>
        <v>0.79</v>
      </c>
      <c r="D65" s="1">
        <f t="shared" si="79"/>
        <v>9</v>
      </c>
      <c r="E65" s="1">
        <f t="shared" ref="E65" si="95">E18</f>
        <v>22</v>
      </c>
      <c r="F65" s="1">
        <f t="shared" si="82"/>
        <v>12</v>
      </c>
      <c r="G65" s="1">
        <f t="shared" si="83"/>
        <v>7</v>
      </c>
      <c r="H65" s="6">
        <f t="shared" si="84"/>
        <v>-6.8568216742385335</v>
      </c>
      <c r="I65" s="6">
        <f t="shared" si="85"/>
        <v>-12.082383727050416</v>
      </c>
      <c r="J65" s="6">
        <f t="shared" si="86"/>
        <v>23.543034678803906</v>
      </c>
      <c r="K65">
        <f t="shared" ca="1" si="87"/>
        <v>-8.4554168112683618E-3</v>
      </c>
      <c r="L65">
        <f t="shared" ca="1" si="88"/>
        <v>-60</v>
      </c>
      <c r="M65" s="6">
        <f t="shared" ca="1" si="89"/>
        <v>-47.400000000000006</v>
      </c>
      <c r="N65" s="6">
        <f t="shared" ca="1" si="90"/>
        <v>572.70498866218986</v>
      </c>
      <c r="O65" s="6">
        <f t="shared" ca="1" si="91"/>
        <v>-325.01334735890651</v>
      </c>
      <c r="Q65">
        <f t="shared" si="92"/>
        <v>-6.8568216742385335</v>
      </c>
      <c r="R65">
        <f t="shared" si="93"/>
        <v>-12.082383727050416</v>
      </c>
      <c r="AS65" s="6">
        <v>-2.042035224833378</v>
      </c>
      <c r="AT65" s="6">
        <v>-249.89154988250027</v>
      </c>
      <c r="AU65" s="6">
        <v>-224.00582495907628</v>
      </c>
      <c r="AV65" s="6">
        <f t="shared" si="1"/>
        <v>3.8724219854397304</v>
      </c>
      <c r="AW65" s="6">
        <f t="shared" si="2"/>
        <v>5.9144572102731079</v>
      </c>
      <c r="AX65" s="6">
        <f t="shared" si="3"/>
        <v>-0.73082933194993727</v>
      </c>
      <c r="AY65" s="6">
        <f t="shared" si="4"/>
        <v>0.73082933194993727</v>
      </c>
      <c r="AZ65" s="47">
        <f t="shared" si="5"/>
        <v>4.2411500823462083</v>
      </c>
      <c r="BA65" s="47">
        <f t="shared" si="6"/>
        <v>3.8724219854397304</v>
      </c>
      <c r="BB65" s="47">
        <f t="shared" si="7"/>
        <v>5.9144572102731079</v>
      </c>
      <c r="BC65" s="47">
        <f t="shared" si="8"/>
        <v>-0.73082933194993727</v>
      </c>
      <c r="BD65" s="47">
        <f t="shared" si="9"/>
        <v>0.73082933194993727</v>
      </c>
      <c r="BE65" s="40"/>
      <c r="BF65" s="40"/>
      <c r="BG65" s="6">
        <f t="shared" si="18"/>
        <v>-2.2689280275926382</v>
      </c>
      <c r="BH65" s="9">
        <f t="shared" ca="1" si="19"/>
        <v>-184.38004541272386</v>
      </c>
      <c r="BI65" s="9">
        <f t="shared" ca="1" si="20"/>
        <v>-158.77102312010032</v>
      </c>
      <c r="BJ65">
        <f t="shared" ca="1" si="21"/>
        <v>243.31921200143967</v>
      </c>
      <c r="BK65" s="6">
        <f t="shared" ca="1" si="22"/>
        <v>-0.7577701896043989</v>
      </c>
      <c r="BL65" s="6">
        <f t="shared" ca="1" si="23"/>
        <v>-0.65252152435526101</v>
      </c>
      <c r="BM65" s="6">
        <f t="shared" ca="1" si="24"/>
        <v>-2.4306854063886325</v>
      </c>
      <c r="BN65" s="6">
        <f t="shared" ca="1" si="25"/>
        <v>-4.3501000263849896</v>
      </c>
      <c r="BO65" s="9">
        <f t="shared" ca="1" si="26"/>
        <v>-263.96224210888329</v>
      </c>
      <c r="BP65" s="9">
        <f t="shared" ca="1" si="27"/>
        <v>-214.94669137783052</v>
      </c>
      <c r="BQ65">
        <f t="shared" ca="1" si="28"/>
        <v>340.40879159243968</v>
      </c>
      <c r="BR65">
        <f t="shared" ca="1" si="29"/>
        <v>-0.77542721759347699</v>
      </c>
      <c r="BS65">
        <f t="shared" ca="1" si="30"/>
        <v>-0.63143695664352628</v>
      </c>
      <c r="BT65">
        <f t="shared" ca="1" si="31"/>
        <v>-2.4581877209702894</v>
      </c>
      <c r="BU65" s="40">
        <f t="shared" ca="1" si="32"/>
        <v>-5.5997803744600825</v>
      </c>
    </row>
    <row r="66" spans="1:73" x14ac:dyDescent="0.25">
      <c r="A66">
        <f t="shared" si="77"/>
        <v>5</v>
      </c>
      <c r="B66" s="1">
        <f t="shared" si="79"/>
        <v>0</v>
      </c>
      <c r="C66" s="1">
        <f t="shared" ca="1" si="79"/>
        <v>0</v>
      </c>
      <c r="D66" s="1">
        <f t="shared" si="79"/>
        <v>3</v>
      </c>
      <c r="E66" s="1">
        <f t="shared" ref="E66" si="96">E19</f>
        <v>22</v>
      </c>
      <c r="F66" s="1">
        <f t="shared" si="82"/>
        <v>6</v>
      </c>
      <c r="G66" s="1">
        <f t="shared" si="83"/>
        <v>7</v>
      </c>
      <c r="H66" s="6">
        <f t="shared" si="84"/>
        <v>-1.6695093577551559</v>
      </c>
      <c r="I66" s="6">
        <f t="shared" si="85"/>
        <v>-9.0671240481405118</v>
      </c>
      <c r="J66" s="6">
        <f t="shared" si="86"/>
        <v>20.527774999894003</v>
      </c>
      <c r="K66">
        <f t="shared" ca="1" si="87"/>
        <v>0</v>
      </c>
      <c r="L66">
        <f t="shared" ca="1" si="88"/>
        <v>0</v>
      </c>
      <c r="M66" s="6">
        <f t="shared" ca="1" si="89"/>
        <v>0</v>
      </c>
      <c r="N66" s="6">
        <f t="shared" ca="1" si="90"/>
        <v>0</v>
      </c>
      <c r="O66" s="6">
        <f t="shared" ca="1" si="91"/>
        <v>0</v>
      </c>
      <c r="Q66" t="e">
        <f t="shared" si="92"/>
        <v>#N/A</v>
      </c>
      <c r="R66" t="e">
        <f t="shared" si="93"/>
        <v>#N/A</v>
      </c>
      <c r="AS66" s="6">
        <v>-2.0245819323134349</v>
      </c>
      <c r="AT66" s="6">
        <v>-247.24734528432884</v>
      </c>
      <c r="AU66" s="6">
        <v>-224.71982347008839</v>
      </c>
      <c r="AV66" s="6">
        <f t="shared" si="1"/>
        <v>3.8792958949617882</v>
      </c>
      <c r="AW66" s="6">
        <f t="shared" si="2"/>
        <v>5.903877827275223</v>
      </c>
      <c r="AX66" s="6">
        <f t="shared" si="3"/>
        <v>-0.73770324147199506</v>
      </c>
      <c r="AY66" s="6">
        <f t="shared" si="4"/>
        <v>0.73770324147199506</v>
      </c>
      <c r="AZ66" s="47">
        <f t="shared" si="5"/>
        <v>4.2586033748661514</v>
      </c>
      <c r="BA66" s="47">
        <f t="shared" si="6"/>
        <v>3.8792958949617882</v>
      </c>
      <c r="BB66" s="47">
        <f t="shared" si="7"/>
        <v>5.903877827275223</v>
      </c>
      <c r="BC66" s="47">
        <f t="shared" si="8"/>
        <v>-0.73770324147199506</v>
      </c>
      <c r="BD66" s="47">
        <f t="shared" si="9"/>
        <v>0.73770324147199506</v>
      </c>
      <c r="BE66" s="40"/>
      <c r="BF66" s="40"/>
      <c r="BG66" s="6">
        <f t="shared" si="18"/>
        <v>-2.2514747350726951</v>
      </c>
      <c r="BH66" s="9">
        <f t="shared" ca="1" si="19"/>
        <v>-183.50318070906957</v>
      </c>
      <c r="BI66" s="9">
        <f t="shared" ca="1" si="20"/>
        <v>-159.49383278904571</v>
      </c>
      <c r="BJ66">
        <f t="shared" ca="1" si="21"/>
        <v>243.12897817431289</v>
      </c>
      <c r="BK66" s="6">
        <f t="shared" ca="1" si="22"/>
        <v>-0.75475651683735445</v>
      </c>
      <c r="BL66" s="6">
        <f t="shared" ca="1" si="23"/>
        <v>-0.65600503069072902</v>
      </c>
      <c r="BM66" s="6">
        <f t="shared" ca="1" si="24"/>
        <v>-2.4260792064961247</v>
      </c>
      <c r="BN66" s="6">
        <f t="shared" ca="1" si="25"/>
        <v>-4.3454938264924818</v>
      </c>
      <c r="BO66" s="9">
        <f t="shared" ca="1" si="26"/>
        <v>-263.085377405229</v>
      </c>
      <c r="BP66" s="9">
        <f t="shared" ca="1" si="27"/>
        <v>-215.66950104677591</v>
      </c>
      <c r="BQ66">
        <f t="shared" ca="1" si="28"/>
        <v>340.18708012829802</v>
      </c>
      <c r="BR66">
        <f t="shared" ca="1" si="29"/>
        <v>-0.77335499427552945</v>
      </c>
      <c r="BS66">
        <f t="shared" ca="1" si="30"/>
        <v>-0.63397322721791316</v>
      </c>
      <c r="BT66">
        <f t="shared" ca="1" si="31"/>
        <v>-2.4549125434950052</v>
      </c>
      <c r="BU66" s="40">
        <f t="shared" ca="1" si="32"/>
        <v>-5.5965051969847988</v>
      </c>
    </row>
    <row r="67" spans="1:73" x14ac:dyDescent="0.25">
      <c r="A67">
        <f t="shared" si="77"/>
        <v>6</v>
      </c>
      <c r="B67" s="1">
        <f t="shared" si="79"/>
        <v>0</v>
      </c>
      <c r="C67" s="1">
        <f t="shared" ca="1" si="79"/>
        <v>0</v>
      </c>
      <c r="D67" s="1">
        <f t="shared" si="79"/>
        <v>13</v>
      </c>
      <c r="E67" s="1">
        <f t="shared" ref="E67" si="97">E20</f>
        <v>22</v>
      </c>
      <c r="F67" s="1">
        <f t="shared" si="82"/>
        <v>16</v>
      </c>
      <c r="G67" s="1">
        <f t="shared" si="83"/>
        <v>7</v>
      </c>
      <c r="H67" s="6">
        <f t="shared" si="84"/>
        <v>-10.315029885227451</v>
      </c>
      <c r="I67" s="6">
        <f t="shared" si="85"/>
        <v>-14.092556846323685</v>
      </c>
      <c r="J67" s="6">
        <f t="shared" si="86"/>
        <v>25.553207798077175</v>
      </c>
      <c r="K67">
        <f t="shared" ca="1" si="87"/>
        <v>0</v>
      </c>
      <c r="L67">
        <f t="shared" ca="1" si="88"/>
        <v>0</v>
      </c>
      <c r="M67" s="6">
        <f t="shared" ca="1" si="89"/>
        <v>0</v>
      </c>
      <c r="N67" s="6">
        <f t="shared" ca="1" si="90"/>
        <v>0</v>
      </c>
      <c r="O67" s="6">
        <f t="shared" ca="1" si="91"/>
        <v>0</v>
      </c>
      <c r="Q67" t="e">
        <f t="shared" si="92"/>
        <v>#N/A</v>
      </c>
      <c r="R67" t="e">
        <f t="shared" si="93"/>
        <v>#N/A</v>
      </c>
      <c r="AS67" s="6">
        <v>-2.0071286397934918</v>
      </c>
      <c r="AT67" s="6">
        <v>-244.56699758452544</v>
      </c>
      <c r="AU67" s="6">
        <v>-225.42436733294178</v>
      </c>
      <c r="AV67" s="6">
        <f t="shared" ref="AV67:AV130" si="98">IF(AND(AT67=0,AU67=0),0,IF(ATAN2(AT67,AU67)&lt;0,ATAN2(AT67,AU67)+(2*PI()),ATAN2(AT67,AU67)))</f>
        <v>3.8862835681153025</v>
      </c>
      <c r="AW67" s="6">
        <f t="shared" ref="AW67:AW130" si="99">ABS(AS67-AV67)</f>
        <v>5.8934122079087938</v>
      </c>
      <c r="AX67" s="6">
        <f t="shared" ref="AX67:AX130" si="100">$U$13-AV67</f>
        <v>-0.7446909146255094</v>
      </c>
      <c r="AY67" s="6">
        <f t="shared" ref="AY67:AY130" si="101">ABS(AX67)</f>
        <v>0.7446909146255094</v>
      </c>
      <c r="AZ67" s="47">
        <f t="shared" ref="AZ67:AZ130" si="102">AS67+(2*PI())</f>
        <v>4.2760566673860945</v>
      </c>
      <c r="BA67" s="47">
        <f t="shared" ref="BA67:BA130" si="103">AV67</f>
        <v>3.8862835681153025</v>
      </c>
      <c r="BB67" s="47">
        <f t="shared" ref="BB67:BB130" si="104">AW67</f>
        <v>5.8934122079087938</v>
      </c>
      <c r="BC67" s="47">
        <f t="shared" ref="BC67:BC130" si="105">AX67</f>
        <v>-0.7446909146255094</v>
      </c>
      <c r="BD67" s="47">
        <f t="shared" ref="BD67:BD130" si="106">AY67</f>
        <v>0.7446909146255094</v>
      </c>
      <c r="BE67" s="40"/>
      <c r="BF67" s="40"/>
      <c r="BG67" s="6">
        <f t="shared" si="18"/>
        <v>-2.234021442552752</v>
      </c>
      <c r="BH67" s="9">
        <f t="shared" ca="1" si="19"/>
        <v>-182.60387589316474</v>
      </c>
      <c r="BI67" s="9">
        <f t="shared" ca="1" si="20"/>
        <v>-160.20914632837133</v>
      </c>
      <c r="BJ67">
        <f t="shared" ca="1" si="21"/>
        <v>242.92209874458069</v>
      </c>
      <c r="BK67" s="6">
        <f t="shared" ca="1" si="22"/>
        <v>-0.75169725947890287</v>
      </c>
      <c r="BL67" s="6">
        <f t="shared" ca="1" si="23"/>
        <v>-0.6595083245053901</v>
      </c>
      <c r="BM67" s="6">
        <f t="shared" ca="1" si="24"/>
        <v>-2.4214281676731382</v>
      </c>
      <c r="BN67" s="6">
        <f t="shared" ca="1" si="25"/>
        <v>-4.3408427876694953</v>
      </c>
      <c r="BO67" s="9">
        <f t="shared" ca="1" si="26"/>
        <v>-262.18607258932417</v>
      </c>
      <c r="BP67" s="9">
        <f t="shared" ca="1" si="27"/>
        <v>-216.38481458610153</v>
      </c>
      <c r="BQ67">
        <f t="shared" ca="1" si="28"/>
        <v>339.94694386518006</v>
      </c>
      <c r="BR67">
        <f t="shared" ca="1" si="29"/>
        <v>-0.77125586013005853</v>
      </c>
      <c r="BS67">
        <f t="shared" ca="1" si="30"/>
        <v>-0.63652525339930055</v>
      </c>
      <c r="BT67">
        <f t="shared" ca="1" si="31"/>
        <v>-2.4516081204399276</v>
      </c>
      <c r="BU67" s="40">
        <f t="shared" ca="1" si="32"/>
        <v>-5.5932007739297207</v>
      </c>
    </row>
    <row r="68" spans="1:73" x14ac:dyDescent="0.25">
      <c r="A68">
        <f t="shared" si="77"/>
        <v>7</v>
      </c>
      <c r="B68" s="1">
        <f t="shared" ref="B68:D68" si="107">B21</f>
        <v>0</v>
      </c>
      <c r="C68" s="1">
        <f t="shared" ca="1" si="107"/>
        <v>0</v>
      </c>
      <c r="D68" s="1">
        <f t="shared" si="107"/>
        <v>23</v>
      </c>
      <c r="E68" s="1">
        <f>E21</f>
        <v>22</v>
      </c>
      <c r="F68" s="1">
        <f t="shared" si="82"/>
        <v>26</v>
      </c>
      <c r="G68" s="1">
        <f t="shared" si="83"/>
        <v>7</v>
      </c>
      <c r="H68" s="6">
        <f t="shared" si="84"/>
        <v>-18.960550412699746</v>
      </c>
      <c r="I68" s="6">
        <f t="shared" si="85"/>
        <v>-19.117989644506856</v>
      </c>
      <c r="J68" s="6">
        <f t="shared" si="86"/>
        <v>30.57864059626035</v>
      </c>
      <c r="K68">
        <f t="shared" ca="1" si="87"/>
        <v>0</v>
      </c>
      <c r="L68">
        <f t="shared" ca="1" si="88"/>
        <v>0</v>
      </c>
      <c r="M68" s="6">
        <f t="shared" ca="1" si="89"/>
        <v>0</v>
      </c>
      <c r="N68" s="6">
        <f t="shared" ca="1" si="90"/>
        <v>0</v>
      </c>
      <c r="O68" s="6">
        <f t="shared" ca="1" si="91"/>
        <v>0</v>
      </c>
      <c r="Q68" t="e">
        <f t="shared" si="92"/>
        <v>#N/A</v>
      </c>
      <c r="R68" t="e">
        <f t="shared" si="93"/>
        <v>#N/A</v>
      </c>
      <c r="AS68" s="6">
        <v>-1.9896753472735484</v>
      </c>
      <c r="AT68" s="6">
        <v>-241.84474994922894</v>
      </c>
      <c r="AU68" s="6">
        <v>-226.12053948906114</v>
      </c>
      <c r="AV68" s="6">
        <f t="shared" si="98"/>
        <v>3.8934022217397706</v>
      </c>
      <c r="AW68" s="6">
        <f t="shared" si="99"/>
        <v>5.8830775690133192</v>
      </c>
      <c r="AX68" s="6">
        <f t="shared" si="100"/>
        <v>-0.75180956824997747</v>
      </c>
      <c r="AY68" s="6">
        <f t="shared" si="101"/>
        <v>0.75180956824997747</v>
      </c>
      <c r="AZ68" s="47">
        <f t="shared" si="102"/>
        <v>4.2935099599060376</v>
      </c>
      <c r="BA68" s="47">
        <f t="shared" si="103"/>
        <v>3.8934022217397706</v>
      </c>
      <c r="BB68" s="47">
        <f t="shared" si="104"/>
        <v>5.8830775690133192</v>
      </c>
      <c r="BC68" s="47">
        <f t="shared" si="105"/>
        <v>-0.75180956824997747</v>
      </c>
      <c r="BD68" s="47">
        <f t="shared" si="106"/>
        <v>0.75180956824997747</v>
      </c>
      <c r="BE68" s="40"/>
      <c r="BF68" s="40"/>
      <c r="BG68" s="6">
        <f t="shared" si="18"/>
        <v>-2.2165681500328089</v>
      </c>
      <c r="BH68" s="9">
        <f t="shared" ca="1" si="19"/>
        <v>-181.68023809205567</v>
      </c>
      <c r="BI68" s="9">
        <f t="shared" ca="1" si="20"/>
        <v>-160.91784858436517</v>
      </c>
      <c r="BJ68">
        <f t="shared" ca="1" si="21"/>
        <v>242.69788401674768</v>
      </c>
      <c r="BK68" s="6">
        <f t="shared" ca="1" si="22"/>
        <v>-0.74858599953643845</v>
      </c>
      <c r="BL68" s="6">
        <f t="shared" ca="1" si="23"/>
        <v>-0.6630377072972784</v>
      </c>
      <c r="BM68" s="6">
        <f t="shared" ca="1" si="24"/>
        <v>-2.416723221110562</v>
      </c>
      <c r="BN68" s="6">
        <f t="shared" ca="1" si="25"/>
        <v>-4.3361378411069191</v>
      </c>
      <c r="BO68" s="9">
        <f t="shared" ca="1" si="26"/>
        <v>-261.2624347882151</v>
      </c>
      <c r="BP68" s="9">
        <f t="shared" ca="1" si="27"/>
        <v>-217.09351684209537</v>
      </c>
      <c r="BQ68">
        <f t="shared" ca="1" si="28"/>
        <v>339.68758423930586</v>
      </c>
      <c r="BR68">
        <f t="shared" ca="1" si="29"/>
        <v>-0.76912565224685636</v>
      </c>
      <c r="BS68">
        <f t="shared" ca="1" si="30"/>
        <v>-0.63909759118294873</v>
      </c>
      <c r="BT68">
        <f t="shared" ca="1" si="31"/>
        <v>-2.4482682525281958</v>
      </c>
      <c r="BU68" s="40">
        <f t="shared" ca="1" si="32"/>
        <v>-5.5898609060179894</v>
      </c>
    </row>
    <row r="69" spans="1:73" x14ac:dyDescent="0.25">
      <c r="A69">
        <f t="shared" si="77"/>
        <v>8</v>
      </c>
      <c r="B69" s="1">
        <f t="shared" ref="B69:D71" si="108">B22</f>
        <v>0</v>
      </c>
      <c r="C69" s="1">
        <f t="shared" ca="1" si="108"/>
        <v>0</v>
      </c>
      <c r="D69" s="1">
        <f t="shared" si="108"/>
        <v>33</v>
      </c>
      <c r="E69" s="1">
        <f t="shared" ref="E69" si="109">E22</f>
        <v>22</v>
      </c>
      <c r="F69" s="1">
        <f t="shared" si="82"/>
        <v>36</v>
      </c>
      <c r="G69" s="1">
        <f t="shared" si="83"/>
        <v>7</v>
      </c>
      <c r="H69" s="6">
        <f t="shared" si="84"/>
        <v>-27.606070940172042</v>
      </c>
      <c r="I69" s="6">
        <f t="shared" si="85"/>
        <v>-24.143422442690031</v>
      </c>
      <c r="J69" s="6">
        <f t="shared" si="86"/>
        <v>35.604073394443525</v>
      </c>
      <c r="K69">
        <f t="shared" ca="1" si="87"/>
        <v>0</v>
      </c>
      <c r="L69">
        <f t="shared" ca="1" si="88"/>
        <v>0</v>
      </c>
      <c r="M69" s="6">
        <f t="shared" ca="1" si="89"/>
        <v>0</v>
      </c>
      <c r="N69" s="6">
        <f t="shared" ca="1" si="90"/>
        <v>0</v>
      </c>
      <c r="O69" s="6">
        <f t="shared" ca="1" si="91"/>
        <v>0</v>
      </c>
      <c r="Q69" t="e">
        <f t="shared" si="92"/>
        <v>#N/A</v>
      </c>
      <c r="R69" t="e">
        <f t="shared" si="93"/>
        <v>#N/A</v>
      </c>
      <c r="AS69" s="6">
        <v>-1.9722220547536051</v>
      </c>
      <c r="AT69" s="6">
        <v>-239.07420085390413</v>
      </c>
      <c r="AU69" s="6">
        <v>-226.80945051338739</v>
      </c>
      <c r="AV69" s="6">
        <f t="shared" si="98"/>
        <v>3.9006711164912229</v>
      </c>
      <c r="AW69" s="6">
        <f t="shared" si="99"/>
        <v>5.8728931712448276</v>
      </c>
      <c r="AX69" s="6">
        <f t="shared" si="100"/>
        <v>-0.75907846300142978</v>
      </c>
      <c r="AY69" s="6">
        <f t="shared" si="101"/>
        <v>0.75907846300142978</v>
      </c>
      <c r="AZ69" s="47">
        <f t="shared" si="102"/>
        <v>4.3109632524259816</v>
      </c>
      <c r="BA69" s="47">
        <f t="shared" si="103"/>
        <v>3.9006711164912229</v>
      </c>
      <c r="BB69" s="47">
        <f t="shared" si="104"/>
        <v>5.8728931712448276</v>
      </c>
      <c r="BC69" s="47">
        <f t="shared" si="105"/>
        <v>-0.75907846300142978</v>
      </c>
      <c r="BD69" s="47">
        <f t="shared" si="106"/>
        <v>0.75907846300142978</v>
      </c>
      <c r="BE69" s="40"/>
      <c r="BF69" s="40"/>
      <c r="BG69" s="6">
        <f t="shared" si="18"/>
        <v>-2.1991148575128658</v>
      </c>
      <c r="BH69" s="9">
        <f t="shared" ca="1" si="19"/>
        <v>-180.73020784832732</v>
      </c>
      <c r="BI69" s="9">
        <f t="shared" ca="1" si="20"/>
        <v>-161.6207997512617</v>
      </c>
      <c r="BJ69">
        <f t="shared" ca="1" si="21"/>
        <v>242.45554425736901</v>
      </c>
      <c r="BK69" s="6">
        <f t="shared" ca="1" si="22"/>
        <v>-0.7454158592326533</v>
      </c>
      <c r="BL69" s="6">
        <f t="shared" ca="1" si="23"/>
        <v>-0.66659972757603592</v>
      </c>
      <c r="BM69" s="6">
        <f t="shared" ca="1" si="24"/>
        <v>-2.4119548019704307</v>
      </c>
      <c r="BN69" s="6">
        <f t="shared" ca="1" si="25"/>
        <v>-4.3313694219667873</v>
      </c>
      <c r="BO69" s="9">
        <f t="shared" ca="1" si="26"/>
        <v>-260.31240454448675</v>
      </c>
      <c r="BP69" s="9">
        <f t="shared" ca="1" si="27"/>
        <v>-217.79646800899189</v>
      </c>
      <c r="BQ69">
        <f t="shared" ca="1" si="28"/>
        <v>339.40808687614435</v>
      </c>
      <c r="BR69">
        <f t="shared" ca="1" si="29"/>
        <v>-0.76695993587058831</v>
      </c>
      <c r="BS69">
        <f t="shared" ca="1" si="30"/>
        <v>-0.64169498733384467</v>
      </c>
      <c r="BT69">
        <f t="shared" ca="1" si="31"/>
        <v>-2.4448864179540095</v>
      </c>
      <c r="BU69" s="40">
        <f t="shared" ca="1" si="32"/>
        <v>-5.5864790714438026</v>
      </c>
    </row>
    <row r="70" spans="1:73" x14ac:dyDescent="0.25">
      <c r="A70">
        <f t="shared" si="77"/>
        <v>9</v>
      </c>
      <c r="B70" s="1">
        <f t="shared" si="108"/>
        <v>0</v>
      </c>
      <c r="C70" s="1">
        <f t="shared" ca="1" si="108"/>
        <v>0</v>
      </c>
      <c r="D70" s="1">
        <f t="shared" si="108"/>
        <v>6</v>
      </c>
      <c r="E70" s="1">
        <f t="shared" ref="E70" si="110">E23</f>
        <v>2</v>
      </c>
      <c r="F70" s="1">
        <f t="shared" si="82"/>
        <v>9</v>
      </c>
      <c r="G70" s="1">
        <f t="shared" si="83"/>
        <v>-13</v>
      </c>
      <c r="H70" s="6">
        <f t="shared" si="84"/>
        <v>-14.314031112363192</v>
      </c>
      <c r="I70" s="6">
        <f t="shared" si="85"/>
        <v>6.7162871673491278</v>
      </c>
      <c r="J70" s="6">
        <f t="shared" si="86"/>
        <v>4.7443637844043636</v>
      </c>
      <c r="K70">
        <f t="shared" ca="1" si="87"/>
        <v>0</v>
      </c>
      <c r="L70">
        <f t="shared" ca="1" si="88"/>
        <v>0</v>
      </c>
      <c r="M70" s="6">
        <f t="shared" ca="1" si="89"/>
        <v>0</v>
      </c>
      <c r="N70" s="6">
        <f t="shared" ca="1" si="90"/>
        <v>0</v>
      </c>
      <c r="O70" s="6">
        <f t="shared" ca="1" si="91"/>
        <v>0</v>
      </c>
      <c r="Q70" t="e">
        <f t="shared" si="92"/>
        <v>#N/A</v>
      </c>
      <c r="R70" t="e">
        <f t="shared" si="93"/>
        <v>#N/A</v>
      </c>
      <c r="AS70" s="6">
        <v>-1.9547687622336618</v>
      </c>
      <c r="AT70" s="6">
        <v>-236.2481609363397</v>
      </c>
      <c r="AU70" s="6">
        <v>-227.49225578217971</v>
      </c>
      <c r="AV70" s="6">
        <f t="shared" si="98"/>
        <v>3.9081120119808106</v>
      </c>
      <c r="AW70" s="6">
        <f t="shared" si="99"/>
        <v>5.8628807742144726</v>
      </c>
      <c r="AX70" s="6">
        <f t="shared" si="100"/>
        <v>-0.76651935849101749</v>
      </c>
      <c r="AY70" s="6">
        <f t="shared" si="101"/>
        <v>0.76651935849101749</v>
      </c>
      <c r="AZ70" s="47">
        <f t="shared" si="102"/>
        <v>4.3284165449459246</v>
      </c>
      <c r="BA70" s="47">
        <f t="shared" si="103"/>
        <v>3.9081120119808106</v>
      </c>
      <c r="BB70" s="47">
        <f t="shared" si="104"/>
        <v>5.8628807742144726</v>
      </c>
      <c r="BC70" s="47">
        <f t="shared" si="105"/>
        <v>-0.76651935849101749</v>
      </c>
      <c r="BD70" s="47">
        <f t="shared" si="106"/>
        <v>0.76651935849101749</v>
      </c>
      <c r="BE70" s="40"/>
      <c r="BF70" s="40"/>
      <c r="BG70" s="6">
        <f t="shared" si="18"/>
        <v>-2.1816615649929227</v>
      </c>
      <c r="BH70" s="9">
        <f t="shared" ca="1" si="19"/>
        <v>-179.75153659450757</v>
      </c>
      <c r="BI70" s="9">
        <f t="shared" ca="1" si="20"/>
        <v>-162.31884045102856</v>
      </c>
      <c r="BJ70">
        <f t="shared" ca="1" si="21"/>
        <v>242.19418009822834</v>
      </c>
      <c r="BK70" s="6">
        <f t="shared" ca="1" si="22"/>
        <v>-0.74217942198943221</v>
      </c>
      <c r="BL70" s="6">
        <f t="shared" ca="1" si="23"/>
        <v>-0.6702012425946644</v>
      </c>
      <c r="BM70" s="6">
        <f t="shared" ca="1" si="24"/>
        <v>-2.4071127484529411</v>
      </c>
      <c r="BN70" s="6">
        <f t="shared" ca="1" si="25"/>
        <v>-4.3265273684492982</v>
      </c>
      <c r="BO70" s="9">
        <f t="shared" ca="1" si="26"/>
        <v>-259.333733290667</v>
      </c>
      <c r="BP70" s="9">
        <f t="shared" ca="1" si="27"/>
        <v>-218.49450870875876</v>
      </c>
      <c r="BQ70">
        <f t="shared" ca="1" si="28"/>
        <v>339.10741006111419</v>
      </c>
      <c r="BR70">
        <f t="shared" ca="1" si="29"/>
        <v>-0.76475395581573902</v>
      </c>
      <c r="BS70">
        <f t="shared" ca="1" si="30"/>
        <v>-0.64432242477208479</v>
      </c>
      <c r="BT70">
        <f t="shared" ca="1" si="31"/>
        <v>-2.4414557056317294</v>
      </c>
      <c r="BU70" s="40">
        <f t="shared" ca="1" si="32"/>
        <v>-5.5830483591215225</v>
      </c>
    </row>
    <row r="71" spans="1:73" ht="15.75" thickBot="1" x14ac:dyDescent="0.3">
      <c r="A71">
        <f t="shared" si="77"/>
        <v>10</v>
      </c>
      <c r="B71" s="1">
        <f t="shared" si="108"/>
        <v>0</v>
      </c>
      <c r="C71" s="1">
        <f t="shared" ca="1" si="108"/>
        <v>0</v>
      </c>
      <c r="D71" s="1">
        <f t="shared" si="108"/>
        <v>10</v>
      </c>
      <c r="E71" s="1">
        <f t="shared" ref="E71" si="111">E24</f>
        <v>2</v>
      </c>
      <c r="F71" s="1">
        <f t="shared" si="82"/>
        <v>13</v>
      </c>
      <c r="G71" s="1">
        <f t="shared" si="83"/>
        <v>-13</v>
      </c>
      <c r="H71" s="6">
        <f t="shared" si="84"/>
        <v>-17.77223932335211</v>
      </c>
      <c r="I71" s="6">
        <f t="shared" si="85"/>
        <v>4.7061140480758583</v>
      </c>
      <c r="J71" s="6">
        <f t="shared" si="86"/>
        <v>6.754536903677633</v>
      </c>
      <c r="K71" s="12">
        <f t="shared" ca="1" si="87"/>
        <v>0</v>
      </c>
      <c r="L71">
        <f t="shared" ca="1" si="88"/>
        <v>0</v>
      </c>
      <c r="M71" s="11">
        <f t="shared" ca="1" si="89"/>
        <v>0</v>
      </c>
      <c r="N71" s="11">
        <f t="shared" ca="1" si="90"/>
        <v>0</v>
      </c>
      <c r="O71" s="11">
        <f t="shared" ca="1" si="91"/>
        <v>0</v>
      </c>
      <c r="Q71" t="e">
        <f t="shared" si="92"/>
        <v>#N/A</v>
      </c>
      <c r="R71" t="e">
        <f t="shared" si="93"/>
        <v>#N/A</v>
      </c>
      <c r="AS71" s="6">
        <v>-1.9373154697137185</v>
      </c>
      <c r="AT71" s="6">
        <v>-233.35847195594033</v>
      </c>
      <c r="AU71" s="6">
        <v>-228.17017618313145</v>
      </c>
      <c r="AV71" s="6">
        <f t="shared" si="98"/>
        <v>3.9157497439620039</v>
      </c>
      <c r="AW71" s="6">
        <f t="shared" si="99"/>
        <v>5.8530652136757224</v>
      </c>
      <c r="AX71" s="6">
        <f t="shared" si="100"/>
        <v>-0.77415709047221082</v>
      </c>
      <c r="AY71" s="6">
        <f t="shared" si="101"/>
        <v>0.77415709047221082</v>
      </c>
      <c r="AZ71" s="47">
        <f t="shared" si="102"/>
        <v>4.3458698374658677</v>
      </c>
      <c r="BA71" s="47">
        <f t="shared" si="103"/>
        <v>3.9157497439620039</v>
      </c>
      <c r="BB71" s="47">
        <f t="shared" si="104"/>
        <v>5.8530652136757224</v>
      </c>
      <c r="BC71" s="47">
        <f t="shared" si="105"/>
        <v>-0.77415709047221082</v>
      </c>
      <c r="BD71" s="47">
        <f t="shared" si="106"/>
        <v>0.77415709047221082</v>
      </c>
      <c r="BE71" s="40"/>
      <c r="BF71" s="40"/>
      <c r="BG71" s="6">
        <f t="shared" si="18"/>
        <v>-2.1642082724729796</v>
      </c>
      <c r="BH71" s="9">
        <f t="shared" ca="1" si="19"/>
        <v>-178.7417607216243</v>
      </c>
      <c r="BI71" s="9">
        <f t="shared" ca="1" si="20"/>
        <v>-163.01279671553098</v>
      </c>
      <c r="BJ71">
        <f t="shared" ca="1" si="21"/>
        <v>241.91277130173475</v>
      </c>
      <c r="BK71" s="6">
        <f t="shared" ca="1" si="22"/>
        <v>-0.7388686416174447</v>
      </c>
      <c r="BL71" s="6">
        <f t="shared" ca="1" si="23"/>
        <v>-0.67384948648373411</v>
      </c>
      <c r="BM71" s="6">
        <f t="shared" ca="1" si="24"/>
        <v>-2.4021861878640767</v>
      </c>
      <c r="BN71" s="6">
        <f t="shared" ca="1" si="25"/>
        <v>-4.3216008078604338</v>
      </c>
      <c r="BO71" s="9">
        <f t="shared" ca="1" si="26"/>
        <v>-258.32395741778373</v>
      </c>
      <c r="BP71" s="9">
        <f t="shared" ca="1" si="27"/>
        <v>-219.18846497326118</v>
      </c>
      <c r="BQ71">
        <f t="shared" ca="1" si="28"/>
        <v>338.78437117629773</v>
      </c>
      <c r="BR71">
        <f t="shared" ca="1" si="29"/>
        <v>-0.76250258098050294</v>
      </c>
      <c r="BS71">
        <f t="shared" ca="1" si="30"/>
        <v>-0.64698517293526259</v>
      </c>
      <c r="BT71">
        <f t="shared" ca="1" si="31"/>
        <v>-2.4379687400813976</v>
      </c>
      <c r="BU71" s="40">
        <f t="shared" ca="1" si="32"/>
        <v>-5.5795613935711907</v>
      </c>
    </row>
    <row r="72" spans="1:73" ht="15.75" thickTop="1" x14ac:dyDescent="0.25">
      <c r="K72" s="13">
        <f ca="1">MIN(K62:K71)</f>
        <v>-8.4554168112683618E-3</v>
      </c>
      <c r="M72" s="9">
        <f ca="1">SUM(M62:M71)</f>
        <v>-167.85208683698806</v>
      </c>
      <c r="N72" s="9">
        <f t="shared" ref="N72:O72" ca="1" si="112">SUM(N62:N71)</f>
        <v>926.69826305170284</v>
      </c>
      <c r="O72" s="9">
        <f t="shared" ca="1" si="112"/>
        <v>743.78812188157849</v>
      </c>
      <c r="AS72" s="6">
        <v>-1.9198621771937752</v>
      </c>
      <c r="AT72" s="6">
        <v>-230.39577486607743</v>
      </c>
      <c r="AU72" s="6">
        <v>-228.84452379316477</v>
      </c>
      <c r="AV72" s="6">
        <f t="shared" si="98"/>
        <v>3.9236129662681809</v>
      </c>
      <c r="AW72" s="6">
        <f t="shared" si="99"/>
        <v>5.8434751434619558</v>
      </c>
      <c r="AX72" s="6">
        <f t="shared" si="100"/>
        <v>-0.78202031277838779</v>
      </c>
      <c r="AY72" s="6">
        <f t="shared" si="101"/>
        <v>0.78202031277838779</v>
      </c>
      <c r="AZ72" s="47">
        <f t="shared" si="102"/>
        <v>4.3633231299858108</v>
      </c>
      <c r="BA72" s="47">
        <f t="shared" si="103"/>
        <v>3.9236129662681809</v>
      </c>
      <c r="BB72" s="47">
        <f t="shared" si="104"/>
        <v>5.8434751434619558</v>
      </c>
      <c r="BC72" s="47">
        <f t="shared" si="105"/>
        <v>-0.78202031277838779</v>
      </c>
      <c r="BD72" s="47">
        <f t="shared" si="106"/>
        <v>0.78202031277838779</v>
      </c>
      <c r="BE72" s="40"/>
      <c r="BF72" s="40"/>
      <c r="BG72" s="6">
        <f t="shared" si="18"/>
        <v>-2.1467549799530365</v>
      </c>
      <c r="BH72" s="9">
        <f t="shared" ca="1" si="19"/>
        <v>-177.69817139521882</v>
      </c>
      <c r="BI72" s="9">
        <f t="shared" ca="1" si="20"/>
        <v>-163.70348490469206</v>
      </c>
      <c r="BJ72">
        <f t="shared" ca="1" si="21"/>
        <v>241.61016345995321</v>
      </c>
      <c r="BK72" s="6">
        <f t="shared" ca="1" si="22"/>
        <v>-0.73547473686748377</v>
      </c>
      <c r="BL72" s="6">
        <f t="shared" ca="1" si="23"/>
        <v>-0.6775521466497656</v>
      </c>
      <c r="BM72" s="6">
        <f t="shared" ca="1" si="24"/>
        <v>-2.3971634062845184</v>
      </c>
      <c r="BN72" s="6">
        <f t="shared" ca="1" si="25"/>
        <v>-4.3165780262808759</v>
      </c>
      <c r="BO72" s="9">
        <f t="shared" ca="1" si="26"/>
        <v>-257.28036809137825</v>
      </c>
      <c r="BP72" s="9">
        <f t="shared" ca="1" si="27"/>
        <v>-219.87915316242226</v>
      </c>
      <c r="BQ72">
        <f t="shared" ca="1" si="28"/>
        <v>338.43763059189951</v>
      </c>
      <c r="BR72">
        <f t="shared" ca="1" si="29"/>
        <v>-0.76020024026706512</v>
      </c>
      <c r="BS72">
        <f t="shared" ca="1" si="30"/>
        <v>-0.6496888445232043</v>
      </c>
      <c r="BT72">
        <f t="shared" ca="1" si="31"/>
        <v>-2.4344175957491414</v>
      </c>
      <c r="BU72" s="40">
        <f t="shared" ca="1" si="32"/>
        <v>-5.5760102492389345</v>
      </c>
    </row>
    <row r="73" spans="1:73" x14ac:dyDescent="0.25">
      <c r="N73" s="50">
        <f ca="1">N72/12</f>
        <v>77.224855254308565</v>
      </c>
      <c r="O73" s="50">
        <f ca="1">O72/12</f>
        <v>61.982343490131541</v>
      </c>
      <c r="AS73" s="6">
        <v>-1.9024088846738318</v>
      </c>
      <c r="AT73" s="6">
        <v>-227.34920842746419</v>
      </c>
      <c r="AU73" s="6">
        <v>-229.51673416097401</v>
      </c>
      <c r="AV73" s="6">
        <f t="shared" si="98"/>
        <v>3.931735117818028</v>
      </c>
      <c r="AW73" s="6">
        <f t="shared" si="99"/>
        <v>5.8341440024918594</v>
      </c>
      <c r="AX73" s="6">
        <f t="shared" si="100"/>
        <v>-0.79014246432823487</v>
      </c>
      <c r="AY73" s="6">
        <f t="shared" si="101"/>
        <v>0.79014246432823487</v>
      </c>
      <c r="AZ73" s="47">
        <f t="shared" si="102"/>
        <v>4.3807764225057539</v>
      </c>
      <c r="BA73" s="47">
        <f t="shared" si="103"/>
        <v>3.931735117818028</v>
      </c>
      <c r="BB73" s="47">
        <f t="shared" si="104"/>
        <v>5.8341440024918594</v>
      </c>
      <c r="BC73" s="47">
        <f t="shared" si="105"/>
        <v>-0.79014246432823487</v>
      </c>
      <c r="BD73" s="47">
        <f t="shared" si="106"/>
        <v>0.79014246432823487</v>
      </c>
      <c r="BE73" s="40"/>
      <c r="BF73" s="40"/>
      <c r="BG73" s="6">
        <f t="shared" si="18"/>
        <v>-2.1293016874330934</v>
      </c>
      <c r="BH73" s="9">
        <f t="shared" ca="1" si="19"/>
        <v>-176.61777928005858</v>
      </c>
      <c r="BI73" s="9">
        <f t="shared" ca="1" si="20"/>
        <v>-164.39171663957973</v>
      </c>
      <c r="BJ73">
        <f t="shared" ca="1" si="21"/>
        <v>241.28505228780205</v>
      </c>
      <c r="BK73" s="6">
        <f t="shared" ca="1" si="22"/>
        <v>-0.73198806807721728</v>
      </c>
      <c r="BL73" s="6">
        <f t="shared" ca="1" si="23"/>
        <v>-0.68131745038020497</v>
      </c>
      <c r="BM73" s="6">
        <f t="shared" ca="1" si="24"/>
        <v>-2.3920316980672407</v>
      </c>
      <c r="BN73" s="6">
        <f t="shared" ca="1" si="25"/>
        <v>-4.3114463180635978</v>
      </c>
      <c r="BO73" s="9">
        <f t="shared" ca="1" si="26"/>
        <v>-256.19997597621801</v>
      </c>
      <c r="BP73" s="9">
        <f t="shared" ca="1" si="27"/>
        <v>-220.56738489730992</v>
      </c>
      <c r="BQ73">
        <f t="shared" ca="1" si="28"/>
        <v>338.06567257066007</v>
      </c>
      <c r="BR73">
        <f t="shared" ca="1" si="29"/>
        <v>-0.75784084798692164</v>
      </c>
      <c r="BS73">
        <f t="shared" ca="1" si="30"/>
        <v>-0.65243946012060272</v>
      </c>
      <c r="BT73">
        <f t="shared" ca="1" si="31"/>
        <v>-2.4307936983349734</v>
      </c>
      <c r="BU73" s="40">
        <f t="shared" ca="1" si="32"/>
        <v>-5.5723863518247665</v>
      </c>
    </row>
    <row r="74" spans="1:73" x14ac:dyDescent="0.25">
      <c r="AS74" s="6">
        <v>-1.8849555921538885</v>
      </c>
      <c r="AT74" s="6">
        <v>-224.20601173857125</v>
      </c>
      <c r="AU74" s="6">
        <v>-230.18840783945808</v>
      </c>
      <c r="AV74" s="6">
        <f t="shared" si="98"/>
        <v>3.9401557024429925</v>
      </c>
      <c r="AW74" s="6">
        <f t="shared" si="99"/>
        <v>5.8251112945968808</v>
      </c>
      <c r="AX74" s="6">
        <f t="shared" si="100"/>
        <v>-0.79856304895319941</v>
      </c>
      <c r="AY74" s="6">
        <f t="shared" si="101"/>
        <v>0.79856304895319941</v>
      </c>
      <c r="AZ74" s="47">
        <f t="shared" si="102"/>
        <v>4.3982297150256979</v>
      </c>
      <c r="BA74" s="47">
        <f t="shared" si="103"/>
        <v>3.9401557024429925</v>
      </c>
      <c r="BB74" s="47">
        <f t="shared" si="104"/>
        <v>5.8251112945968808</v>
      </c>
      <c r="BC74" s="47">
        <f t="shared" si="105"/>
        <v>-0.79856304895319941</v>
      </c>
      <c r="BD74" s="47">
        <f t="shared" si="106"/>
        <v>0.79856304895319941</v>
      </c>
      <c r="BE74" s="40"/>
      <c r="BF74" s="40"/>
      <c r="BG74" s="6">
        <f t="shared" si="18"/>
        <v>-2.1118483949131504</v>
      </c>
      <c r="BH74" s="9">
        <f t="shared" ca="1" si="19"/>
        <v>-175.49727317635507</v>
      </c>
      <c r="BI74" s="9">
        <f t="shared" ca="1" si="20"/>
        <v>-165.07830385452169</v>
      </c>
      <c r="BJ74">
        <f t="shared" ca="1" si="21"/>
        <v>240.93596513559777</v>
      </c>
      <c r="BK74" s="6">
        <f t="shared" ca="1" si="22"/>
        <v>-0.72839799187965115</v>
      </c>
      <c r="BL74" s="6">
        <f t="shared" ca="1" si="23"/>
        <v>-0.68515426396227852</v>
      </c>
      <c r="BM74" s="6">
        <f t="shared" ca="1" si="24"/>
        <v>-2.3867771905648034</v>
      </c>
      <c r="BN74" s="6">
        <f t="shared" ca="1" si="25"/>
        <v>-4.3061918105611605</v>
      </c>
      <c r="BO74" s="9">
        <f t="shared" ca="1" si="26"/>
        <v>-255.07946987251449</v>
      </c>
      <c r="BP74" s="9">
        <f t="shared" ca="1" si="27"/>
        <v>-221.25397211225189</v>
      </c>
      <c r="BQ74">
        <f t="shared" ca="1" si="28"/>
        <v>337.66678268063646</v>
      </c>
      <c r="BR74">
        <f t="shared" ca="1" si="29"/>
        <v>-0.75541771638748179</v>
      </c>
      <c r="BS74">
        <f t="shared" ca="1" si="30"/>
        <v>-0.65524352249215101</v>
      </c>
      <c r="BT74">
        <f t="shared" ca="1" si="31"/>
        <v>-2.4270877101737551</v>
      </c>
      <c r="BU74" s="40">
        <f t="shared" ca="1" si="32"/>
        <v>-5.5686803636635478</v>
      </c>
    </row>
    <row r="75" spans="1:73" x14ac:dyDescent="0.25">
      <c r="A75" s="8" t="s">
        <v>63</v>
      </c>
      <c r="B75" s="9">
        <f ca="1">N57+M72</f>
        <v>1.1605777672230033E-8</v>
      </c>
      <c r="C75" t="s">
        <v>68</v>
      </c>
      <c r="E75">
        <f>((O59*COS(-1*B27))+(P59*SIN(-1*B27)))</f>
        <v>-120.8496649832793</v>
      </c>
      <c r="F75">
        <f>(-1*(O59)*SIN(-1*B27))+((P59)*COS(-1*B27))</f>
        <v>14.778130277948001</v>
      </c>
      <c r="AS75" s="6">
        <v>-1.8675022996339452</v>
      </c>
      <c r="AT75" s="6">
        <v>-220.95099146403393</v>
      </c>
      <c r="AU75" s="6">
        <v>-230.86136472477156</v>
      </c>
      <c r="AV75" s="6">
        <f t="shared" si="98"/>
        <v>3.9489220107361573</v>
      </c>
      <c r="AW75" s="6">
        <f t="shared" si="99"/>
        <v>5.8164243103701025</v>
      </c>
      <c r="AX75" s="6">
        <f t="shared" si="100"/>
        <v>-0.80732935724636423</v>
      </c>
      <c r="AY75" s="6">
        <f t="shared" si="101"/>
        <v>0.80732935724636423</v>
      </c>
      <c r="AZ75" s="47">
        <f t="shared" si="102"/>
        <v>4.415683007545641</v>
      </c>
      <c r="BA75" s="47">
        <f t="shared" si="103"/>
        <v>3.9489220107361573</v>
      </c>
      <c r="BB75" s="47">
        <f t="shared" si="104"/>
        <v>5.8164243103701025</v>
      </c>
      <c r="BC75" s="47">
        <f t="shared" si="105"/>
        <v>-0.80732935724636423</v>
      </c>
      <c r="BD75" s="47">
        <f t="shared" si="106"/>
        <v>0.80732935724636423</v>
      </c>
      <c r="BE75" s="40"/>
      <c r="BF75" s="40"/>
      <c r="BG75" s="6">
        <f t="shared" si="18"/>
        <v>-2.0943951023932073</v>
      </c>
      <c r="BH75" s="9">
        <f t="shared" ca="1" si="19"/>
        <v>-174.33297107818481</v>
      </c>
      <c r="BI75" s="9">
        <f t="shared" ca="1" si="20"/>
        <v>-165.76406399454487</v>
      </c>
      <c r="BJ75">
        <f t="shared" ca="1" si="21"/>
        <v>240.56123901604514</v>
      </c>
      <c r="BK75" s="6">
        <f t="shared" ca="1" si="22"/>
        <v>-0.72469268861122316</v>
      </c>
      <c r="BL75" s="6">
        <f t="shared" ca="1" si="23"/>
        <v>-0.68907220744522613</v>
      </c>
      <c r="BM75" s="6">
        <f t="shared" ca="1" si="24"/>
        <v>-2.3813846379303607</v>
      </c>
      <c r="BN75" s="6">
        <f t="shared" ca="1" si="25"/>
        <v>-4.3007992579267178</v>
      </c>
      <c r="BO75" s="9">
        <f t="shared" ca="1" si="26"/>
        <v>-253.91516777434424</v>
      </c>
      <c r="BP75" s="9">
        <f t="shared" ca="1" si="27"/>
        <v>-221.93973225227506</v>
      </c>
      <c r="BQ75">
        <f t="shared" ca="1" si="28"/>
        <v>337.23902084142776</v>
      </c>
      <c r="BR75">
        <f t="shared" ca="1" si="29"/>
        <v>-0.75292345215809708</v>
      </c>
      <c r="BS75">
        <f t="shared" ca="1" si="30"/>
        <v>-0.65810810296662781</v>
      </c>
      <c r="BT75">
        <f t="shared" ca="1" si="31"/>
        <v>-2.4232893957204666</v>
      </c>
      <c r="BU75" s="40">
        <f t="shared" ca="1" si="32"/>
        <v>-5.5648820492102598</v>
      </c>
    </row>
    <row r="76" spans="1:73" x14ac:dyDescent="0.25">
      <c r="A76" s="8" t="s">
        <v>66</v>
      </c>
      <c r="B76" s="9">
        <f ca="1">O57+N72</f>
        <v>2269.5879749865603</v>
      </c>
      <c r="C76" t="s">
        <v>69</v>
      </c>
      <c r="E76">
        <f ca="1">((N73*COS(-1*B27))+(O73*SIN(-1*B27)))</f>
        <v>-97.913717321576385</v>
      </c>
      <c r="F76">
        <f ca="1">(-1*(N73)*SIN(-1*B27))+((O73)*COS(-1*B27))</f>
        <v>-14.778130255482061</v>
      </c>
      <c r="AS76" s="6">
        <v>-1.8500490071140019</v>
      </c>
      <c r="AT76" s="6">
        <v>-217.56579499479375</v>
      </c>
      <c r="AU76" s="6">
        <v>-231.53771649778929</v>
      </c>
      <c r="AV76" s="6">
        <f t="shared" si="98"/>
        <v>3.958091478792984</v>
      </c>
      <c r="AW76" s="6">
        <f t="shared" si="99"/>
        <v>5.8081404859069856</v>
      </c>
      <c r="AX76" s="6">
        <f t="shared" si="100"/>
        <v>-0.81649882530319084</v>
      </c>
      <c r="AY76" s="6">
        <f t="shared" si="101"/>
        <v>0.81649882530319084</v>
      </c>
      <c r="AZ76" s="47">
        <f t="shared" si="102"/>
        <v>4.4331363000655841</v>
      </c>
      <c r="BA76" s="47">
        <f t="shared" si="103"/>
        <v>3.958091478792984</v>
      </c>
      <c r="BB76" s="47">
        <f t="shared" si="104"/>
        <v>5.8081404859069856</v>
      </c>
      <c r="BC76" s="47">
        <f t="shared" si="105"/>
        <v>-0.81649882530319084</v>
      </c>
      <c r="BD76" s="47">
        <f t="shared" si="106"/>
        <v>0.81649882530319084</v>
      </c>
      <c r="BE76" s="40"/>
      <c r="BF76" s="40"/>
      <c r="BG76" s="6">
        <f t="shared" si="18"/>
        <v>-2.0769418098732642</v>
      </c>
      <c r="BH76" s="9">
        <f t="shared" ca="1" si="19"/>
        <v>-173.12076221137812</v>
      </c>
      <c r="BI76" s="9">
        <f t="shared" ca="1" si="20"/>
        <v>-166.44982553720536</v>
      </c>
      <c r="BJ76">
        <f t="shared" ca="1" si="21"/>
        <v>240.15899468896563</v>
      </c>
      <c r="BK76" s="6">
        <f t="shared" ca="1" si="22"/>
        <v>-0.72085895610776529</v>
      </c>
      <c r="BL76" s="6">
        <f t="shared" ca="1" si="23"/>
        <v>-0.69308178839096823</v>
      </c>
      <c r="BM76" s="6">
        <f t="shared" ca="1" si="24"/>
        <v>-2.3758371769624915</v>
      </c>
      <c r="BN76" s="6">
        <f t="shared" ca="1" si="25"/>
        <v>-4.2952517969588486</v>
      </c>
      <c r="BO76" s="9">
        <f t="shared" ca="1" si="26"/>
        <v>-252.70295890753755</v>
      </c>
      <c r="BP76" s="9">
        <f t="shared" ca="1" si="27"/>
        <v>-222.62549379493555</v>
      </c>
      <c r="BQ76">
        <f t="shared" ca="1" si="28"/>
        <v>336.78018933432452</v>
      </c>
      <c r="BR76">
        <f t="shared" ca="1" si="29"/>
        <v>-0.75034983324591342</v>
      </c>
      <c r="BS76">
        <f t="shared" ca="1" si="30"/>
        <v>-0.66104094256545876</v>
      </c>
      <c r="BT76">
        <f t="shared" ca="1" si="31"/>
        <v>-2.4193874626438321</v>
      </c>
      <c r="BU76" s="40">
        <f t="shared" ca="1" si="32"/>
        <v>-5.5609801161336252</v>
      </c>
    </row>
    <row r="77" spans="1:73" x14ac:dyDescent="0.25">
      <c r="A77" s="8" t="s">
        <v>67</v>
      </c>
      <c r="B77" s="9">
        <f ca="1">P57+O72</f>
        <v>1319.2568115384918</v>
      </c>
      <c r="C77" t="s">
        <v>69</v>
      </c>
      <c r="AS77" s="6">
        <v>-1.8325957145940586</v>
      </c>
      <c r="AT77" s="6">
        <v>-214.02789938479327</v>
      </c>
      <c r="AU77" s="6">
        <v>-232.2199651055378</v>
      </c>
      <c r="AV77" s="6">
        <f t="shared" si="98"/>
        <v>3.9677349846306798</v>
      </c>
      <c r="AW77" s="6">
        <f t="shared" si="99"/>
        <v>5.8003306992247383</v>
      </c>
      <c r="AX77" s="6">
        <f t="shared" si="100"/>
        <v>-0.82614233114088664</v>
      </c>
      <c r="AY77" s="6">
        <f t="shared" si="101"/>
        <v>0.82614233114088664</v>
      </c>
      <c r="AZ77" s="47">
        <f t="shared" si="102"/>
        <v>4.4505895925855281</v>
      </c>
      <c r="BA77" s="47">
        <f t="shared" si="103"/>
        <v>3.9677349846306798</v>
      </c>
      <c r="BB77" s="47">
        <f t="shared" si="104"/>
        <v>5.8003306992247383</v>
      </c>
      <c r="BC77" s="47">
        <f t="shared" si="105"/>
        <v>-0.82614233114088664</v>
      </c>
      <c r="BD77" s="47">
        <f t="shared" si="106"/>
        <v>0.82614233114088664</v>
      </c>
      <c r="BE77" s="40"/>
      <c r="BF77" s="40"/>
      <c r="BG77" s="6">
        <f t="shared" si="18"/>
        <v>-2.0594885173533211</v>
      </c>
      <c r="BH77" s="9">
        <f t="shared" ca="1" si="19"/>
        <v>-171.85603776864207</v>
      </c>
      <c r="BI77" s="9">
        <f t="shared" ca="1" si="20"/>
        <v>-167.13643388647702</v>
      </c>
      <c r="BJ77">
        <f t="shared" ca="1" si="21"/>
        <v>239.72710578869805</v>
      </c>
      <c r="BK77" s="6">
        <f t="shared" ca="1" si="22"/>
        <v>-0.71688196127525361</v>
      </c>
      <c r="BL77" s="6">
        <f t="shared" ca="1" si="23"/>
        <v>-0.69719455935782071</v>
      </c>
      <c r="BM77" s="6">
        <f t="shared" ca="1" si="24"/>
        <v>-2.3701160352755064</v>
      </c>
      <c r="BN77" s="6">
        <f t="shared" ca="1" si="25"/>
        <v>-4.2895306552718635</v>
      </c>
      <c r="BO77" s="9">
        <f t="shared" ca="1" si="26"/>
        <v>-251.4382344648015</v>
      </c>
      <c r="BP77" s="9">
        <f t="shared" ca="1" si="27"/>
        <v>-223.31210214420722</v>
      </c>
      <c r="BQ77">
        <f t="shared" ca="1" si="28"/>
        <v>336.28779447794614</v>
      </c>
      <c r="BR77">
        <f t="shared" ca="1" si="29"/>
        <v>-0.74768766096650852</v>
      </c>
      <c r="BS77">
        <f t="shared" ca="1" si="30"/>
        <v>-0.66405057159709702</v>
      </c>
      <c r="BT77">
        <f t="shared" ca="1" si="31"/>
        <v>-2.4153693723169249</v>
      </c>
      <c r="BU77" s="40">
        <f t="shared" ca="1" si="32"/>
        <v>-5.5569620258067181</v>
      </c>
    </row>
    <row r="78" spans="1:73" x14ac:dyDescent="0.25">
      <c r="AS78" s="6">
        <v>-1.8151424220741152</v>
      </c>
      <c r="AT78" s="6">
        <v>-210.30917419199969</v>
      </c>
      <c r="AU78" s="6">
        <v>-232.91113926955191</v>
      </c>
      <c r="AV78" s="6">
        <f t="shared" si="98"/>
        <v>3.9779415584977942</v>
      </c>
      <c r="AW78" s="6">
        <f t="shared" si="99"/>
        <v>5.7930839805719092</v>
      </c>
      <c r="AX78" s="6">
        <f t="shared" si="100"/>
        <v>-0.83634890500800108</v>
      </c>
      <c r="AY78" s="6">
        <f t="shared" si="101"/>
        <v>0.83634890500800108</v>
      </c>
      <c r="AZ78" s="47">
        <f t="shared" si="102"/>
        <v>4.4680428851054712</v>
      </c>
      <c r="BA78" s="47">
        <f t="shared" si="103"/>
        <v>3.9779415584977942</v>
      </c>
      <c r="BB78" s="47">
        <f t="shared" si="104"/>
        <v>5.7930839805719092</v>
      </c>
      <c r="BC78" s="47">
        <f t="shared" si="105"/>
        <v>-0.83634890500800108</v>
      </c>
      <c r="BD78" s="47">
        <f t="shared" si="106"/>
        <v>0.83634890500800108</v>
      </c>
      <c r="BE78" s="40"/>
      <c r="BF78" s="40"/>
      <c r="BG78" s="6">
        <f t="shared" si="18"/>
        <v>-2.042035224833378</v>
      </c>
      <c r="BH78" s="9">
        <f t="shared" ca="1" si="19"/>
        <v>-170.30935318634084</v>
      </c>
      <c r="BI78" s="9">
        <f t="shared" ca="1" si="20"/>
        <v>-167.83015670134608</v>
      </c>
      <c r="BJ78">
        <f t="shared" ca="1" si="21"/>
        <v>239.107166938066</v>
      </c>
      <c r="BK78" s="6">
        <f t="shared" ca="1" si="22"/>
        <v>-0.7122720551093088</v>
      </c>
      <c r="BL78" s="6">
        <f t="shared" ca="1" si="23"/>
        <v>-0.70190349729173018</v>
      </c>
      <c r="BM78" s="6">
        <f t="shared" ca="1" si="24"/>
        <v>-2.3635262334217511</v>
      </c>
      <c r="BN78" s="6">
        <f t="shared" ca="1" si="25"/>
        <v>-4.2829408534181077</v>
      </c>
      <c r="BO78" s="9">
        <f t="shared" ca="1" si="26"/>
        <v>-249.89154988250027</v>
      </c>
      <c r="BP78" s="9">
        <f t="shared" ca="1" si="27"/>
        <v>-224.00582495907628</v>
      </c>
      <c r="BQ78">
        <f t="shared" ca="1" si="28"/>
        <v>335.59558447374491</v>
      </c>
      <c r="BR78">
        <f t="shared" ca="1" si="29"/>
        <v>-0.74462108991797649</v>
      </c>
      <c r="BS78">
        <f t="shared" ca="1" si="30"/>
        <v>-0.667487402464919</v>
      </c>
      <c r="BT78">
        <f t="shared" ca="1" si="31"/>
        <v>-2.4107633217398559</v>
      </c>
      <c r="BU78" s="40">
        <f t="shared" ca="1" si="32"/>
        <v>-5.5523559752296485</v>
      </c>
    </row>
    <row r="79" spans="1:73" x14ac:dyDescent="0.25">
      <c r="A79" s="8" t="s">
        <v>64</v>
      </c>
      <c r="B79">
        <f ca="1">((B76*COS(-1*B27))+(B77*SIN(-1*B27)))</f>
        <v>-2625.160587658268</v>
      </c>
      <c r="C79" t="s">
        <v>69</v>
      </c>
      <c r="AS79" s="6">
        <v>-1.7976891295541719</v>
      </c>
      <c r="AT79" s="6">
        <v>-206.37378860845268</v>
      </c>
      <c r="AU79" s="6">
        <v>-233.61498807661704</v>
      </c>
      <c r="AV79" s="6">
        <f t="shared" si="98"/>
        <v>3.9888252844455629</v>
      </c>
      <c r="AW79" s="6">
        <f t="shared" si="99"/>
        <v>5.7865144139997344</v>
      </c>
      <c r="AX79" s="6">
        <f t="shared" si="100"/>
        <v>-0.84723263095576984</v>
      </c>
      <c r="AY79" s="6">
        <f t="shared" si="101"/>
        <v>0.84723263095576984</v>
      </c>
      <c r="AZ79" s="47">
        <f t="shared" si="102"/>
        <v>4.4854961776254143</v>
      </c>
      <c r="BA79" s="47">
        <f t="shared" si="103"/>
        <v>3.9888252844455629</v>
      </c>
      <c r="BB79" s="47">
        <f t="shared" si="104"/>
        <v>5.7865144139997344</v>
      </c>
      <c r="BC79" s="47">
        <f t="shared" si="105"/>
        <v>-0.84723263095576984</v>
      </c>
      <c r="BD79" s="47">
        <f t="shared" si="106"/>
        <v>0.84723263095576984</v>
      </c>
      <c r="BE79" s="40"/>
      <c r="BF79" s="40"/>
      <c r="BG79" s="6">
        <f t="shared" si="18"/>
        <v>-2.0245819323134349</v>
      </c>
      <c r="BH79" s="9">
        <f t="shared" ca="1" si="19"/>
        <v>-167.66514858816942</v>
      </c>
      <c r="BI79" s="9">
        <f t="shared" ca="1" si="20"/>
        <v>-168.54415521235819</v>
      </c>
      <c r="BJ79">
        <f t="shared" ca="1" si="21"/>
        <v>237.73669112558207</v>
      </c>
      <c r="BK79" s="6">
        <f t="shared" ca="1" si="22"/>
        <v>-0.7052556666551818</v>
      </c>
      <c r="BL79" s="6">
        <f t="shared" ca="1" si="23"/>
        <v>-0.70895306237490452</v>
      </c>
      <c r="BM79" s="6">
        <f t="shared" ca="1" si="24"/>
        <v>-2.3535800336277313</v>
      </c>
      <c r="BN79" s="6">
        <f t="shared" ca="1" si="25"/>
        <v>-4.2729946536240888</v>
      </c>
      <c r="BO79" s="9">
        <f t="shared" ca="1" si="26"/>
        <v>-247.24734528432884</v>
      </c>
      <c r="BP79" s="9">
        <f t="shared" ca="1" si="27"/>
        <v>-224.71982347008839</v>
      </c>
      <c r="BQ79">
        <f t="shared" ca="1" si="28"/>
        <v>334.11113242538897</v>
      </c>
      <c r="BR79">
        <f t="shared" ca="1" si="29"/>
        <v>-0.74001528619984591</v>
      </c>
      <c r="BS79">
        <f t="shared" ca="1" si="30"/>
        <v>-0.67259005061817578</v>
      </c>
      <c r="BT79">
        <f t="shared" ca="1" si="31"/>
        <v>-2.4038894122177981</v>
      </c>
      <c r="BU79" s="40">
        <f t="shared" ca="1" si="32"/>
        <v>-5.5454820657075912</v>
      </c>
    </row>
    <row r="80" spans="1:73" x14ac:dyDescent="0.25">
      <c r="A80" s="8" t="s">
        <v>65</v>
      </c>
      <c r="B80">
        <f ca="1">(-1*(B76)*SIN(-1*B27))+((B77)*COS(-1*B27))</f>
        <v>2.6959105525747873E-7</v>
      </c>
      <c r="C80" t="s">
        <v>69</v>
      </c>
      <c r="AS80" s="6">
        <v>-1.7802358370342286</v>
      </c>
      <c r="AT80" s="6">
        <v>-202.17507906121557</v>
      </c>
      <c r="AU80" s="6">
        <v>-234.33626196699402</v>
      </c>
      <c r="AV80" s="6">
        <f t="shared" si="98"/>
        <v>4.0005357033640774</v>
      </c>
      <c r="AW80" s="6">
        <f t="shared" si="99"/>
        <v>5.7807715403983062</v>
      </c>
      <c r="AX80" s="6">
        <f t="shared" si="100"/>
        <v>-0.85894304987428427</v>
      </c>
      <c r="AY80" s="6">
        <f t="shared" si="101"/>
        <v>0.85894304987428427</v>
      </c>
      <c r="AZ80" s="47">
        <f t="shared" si="102"/>
        <v>4.5029494701453574</v>
      </c>
      <c r="BA80" s="47">
        <f t="shared" si="103"/>
        <v>4.0005357033640774</v>
      </c>
      <c r="BB80" s="47">
        <f t="shared" si="104"/>
        <v>5.7807715403983062</v>
      </c>
      <c r="BC80" s="47">
        <f t="shared" si="105"/>
        <v>-0.85894304987428427</v>
      </c>
      <c r="BD80" s="47">
        <f t="shared" si="106"/>
        <v>0.85894304987428427</v>
      </c>
      <c r="BE80" s="40"/>
      <c r="BF80" s="40"/>
      <c r="BG80" s="6">
        <f t="shared" ref="BG80:BG143" si="113">AS67</f>
        <v>-2.0071286397934918</v>
      </c>
      <c r="BH80" s="9">
        <f t="shared" ref="BH80:BH143" ca="1" si="114">AT67-$BG$5</f>
        <v>-164.98480088836601</v>
      </c>
      <c r="BI80" s="9">
        <f t="shared" ref="BI80:BI143" ca="1" si="115">AU67-$BH$5</f>
        <v>-169.24869907521159</v>
      </c>
      <c r="BJ80">
        <f t="shared" ref="BJ80:BJ143" ca="1" si="116">SQRT(POWER(BH80,2)+POWER(BI80,2))</f>
        <v>236.35800528610261</v>
      </c>
      <c r="BK80" s="6">
        <f t="shared" ref="BK80:BK143" ca="1" si="117">BH80/BJ80</f>
        <v>-0.69802924884502227</v>
      </c>
      <c r="BL80" s="6">
        <f t="shared" ref="BL80:BL143" ca="1" si="118">BI80/BJ80</f>
        <v>-0.71606924787820203</v>
      </c>
      <c r="BM80" s="6">
        <f t="shared" ref="BM80:BM143" ca="1" si="119">ATAN2(BK80,BL80)</f>
        <v>-2.3434379385680892</v>
      </c>
      <c r="BN80" s="6">
        <f t="shared" ref="BN80:BN143" ca="1" si="120">BM80-$BJ$11</f>
        <v>-4.2628525585644468</v>
      </c>
      <c r="BO80" s="9">
        <f t="shared" ref="BO80:BO143" ca="1" si="121">BH80+$BG$5</f>
        <v>-244.56699758452544</v>
      </c>
      <c r="BP80" s="9">
        <f t="shared" ref="BP80:BP143" ca="1" si="122">BI80+$BH$5</f>
        <v>-225.42436733294178</v>
      </c>
      <c r="BQ80">
        <f t="shared" ref="BQ80:BQ143" ca="1" si="123">SQRT(POWER(BO80,2)+POWER(BP80,2))</f>
        <v>332.60962357539557</v>
      </c>
      <c r="BR80">
        <f t="shared" ref="BR80:BR143" ca="1" si="124">BO80/BQ80</f>
        <v>-0.73529741850384933</v>
      </c>
      <c r="BS80">
        <f t="shared" ref="BS80:BS143" ca="1" si="125">BP80/BQ80</f>
        <v>-0.67774457308161096</v>
      </c>
      <c r="BT80">
        <f t="shared" ref="BT80:BT143" ca="1" si="126">ATAN2(BR80,BS80)</f>
        <v>-2.3969017390642837</v>
      </c>
      <c r="BU80" s="40">
        <f t="shared" ref="BU80:BU143" ca="1" si="127">BT80-$U$13</f>
        <v>-5.5384943925540764</v>
      </c>
    </row>
    <row r="81" spans="1:73" x14ac:dyDescent="0.25">
      <c r="AS81" s="6">
        <v>-1.7627825445142853</v>
      </c>
      <c r="AT81" s="6">
        <v>-197.65071195007653</v>
      </c>
      <c r="AU81" s="6">
        <v>-235.08113203010362</v>
      </c>
      <c r="AV81" s="6">
        <f t="shared" si="98"/>
        <v>4.0132740135193634</v>
      </c>
      <c r="AW81" s="6">
        <f t="shared" si="99"/>
        <v>5.7760565580336483</v>
      </c>
      <c r="AX81" s="6">
        <f t="shared" si="100"/>
        <v>-0.87168136002957031</v>
      </c>
      <c r="AY81" s="6">
        <f t="shared" si="101"/>
        <v>0.87168136002957031</v>
      </c>
      <c r="AZ81" s="47">
        <f t="shared" si="102"/>
        <v>4.5204027626653005</v>
      </c>
      <c r="BA81" s="47">
        <f t="shared" si="103"/>
        <v>4.0132740135193634</v>
      </c>
      <c r="BB81" s="47">
        <f t="shared" si="104"/>
        <v>5.7760565580336483</v>
      </c>
      <c r="BC81" s="47">
        <f t="shared" si="105"/>
        <v>-0.87168136002957031</v>
      </c>
      <c r="BD81" s="47">
        <f t="shared" si="106"/>
        <v>0.87168136002957031</v>
      </c>
      <c r="BE81" s="40"/>
      <c r="BF81" s="40"/>
      <c r="BG81" s="6">
        <f t="shared" si="113"/>
        <v>-1.9896753472735484</v>
      </c>
      <c r="BH81" s="9">
        <f t="shared" ca="1" si="114"/>
        <v>-162.26255325306954</v>
      </c>
      <c r="BI81" s="9">
        <f t="shared" ca="1" si="115"/>
        <v>-169.94487123133095</v>
      </c>
      <c r="BJ81">
        <f t="shared" ca="1" si="116"/>
        <v>234.96892442627151</v>
      </c>
      <c r="BK81" s="6">
        <f t="shared" ca="1" si="117"/>
        <v>-0.69057026859730231</v>
      </c>
      <c r="BL81" s="6">
        <f t="shared" ca="1" si="118"/>
        <v>-0.7232653068753192</v>
      </c>
      <c r="BM81" s="6">
        <f t="shared" ca="1" si="119"/>
        <v>-2.333073546978544</v>
      </c>
      <c r="BN81" s="6">
        <f t="shared" ca="1" si="120"/>
        <v>-4.2524881669749011</v>
      </c>
      <c r="BO81" s="9">
        <f t="shared" ca="1" si="121"/>
        <v>-241.84474994922897</v>
      </c>
      <c r="BP81" s="9">
        <f t="shared" ca="1" si="122"/>
        <v>-226.12053948906114</v>
      </c>
      <c r="BQ81">
        <f t="shared" ca="1" si="123"/>
        <v>331.08817776663233</v>
      </c>
      <c r="BR81">
        <f t="shared" ca="1" si="124"/>
        <v>-0.73045419978629789</v>
      </c>
      <c r="BS81">
        <f t="shared" ca="1" si="125"/>
        <v>-0.68296168414821001</v>
      </c>
      <c r="BT81">
        <f t="shared" ca="1" si="126"/>
        <v>-2.3897830854398157</v>
      </c>
      <c r="BU81" s="40">
        <f t="shared" ca="1" si="127"/>
        <v>-5.5313757389296088</v>
      </c>
    </row>
    <row r="82" spans="1:73" x14ac:dyDescent="0.25">
      <c r="B82">
        <f>ATAN2(1,0)</f>
        <v>0</v>
      </c>
      <c r="AS82" s="6">
        <v>-1.745329251994342</v>
      </c>
      <c r="AT82" s="6">
        <v>-192.71493855329064</v>
      </c>
      <c r="AU82" s="6">
        <v>-235.85783533296808</v>
      </c>
      <c r="AV82" s="6">
        <f t="shared" si="98"/>
        <v>4.0273192705527361</v>
      </c>
      <c r="AW82" s="6">
        <f t="shared" si="99"/>
        <v>5.7726485225470778</v>
      </c>
      <c r="AX82" s="6">
        <f t="shared" si="100"/>
        <v>-0.88572661706294298</v>
      </c>
      <c r="AY82" s="6">
        <f t="shared" si="101"/>
        <v>0.88572661706294298</v>
      </c>
      <c r="AZ82" s="47">
        <f t="shared" si="102"/>
        <v>4.5378560551852445</v>
      </c>
      <c r="BA82" s="47">
        <f t="shared" si="103"/>
        <v>4.0273192705527361</v>
      </c>
      <c r="BB82" s="47">
        <f t="shared" si="104"/>
        <v>5.7726485225470778</v>
      </c>
      <c r="BC82" s="47">
        <f t="shared" si="105"/>
        <v>-0.88572661706294298</v>
      </c>
      <c r="BD82" s="47">
        <f t="shared" si="106"/>
        <v>0.88572661706294298</v>
      </c>
      <c r="BE82" s="40"/>
      <c r="BF82" s="40"/>
      <c r="BG82" s="6">
        <f t="shared" si="113"/>
        <v>-1.9722220547536051</v>
      </c>
      <c r="BH82" s="9">
        <f t="shared" ca="1" si="114"/>
        <v>-159.4920041577447</v>
      </c>
      <c r="BI82" s="9">
        <f t="shared" ca="1" si="115"/>
        <v>-170.6337822556572</v>
      </c>
      <c r="BJ82">
        <f t="shared" ca="1" si="116"/>
        <v>233.56709322403506</v>
      </c>
      <c r="BK82" s="6">
        <f t="shared" ca="1" si="117"/>
        <v>-0.68285305929102635</v>
      </c>
      <c r="BL82" s="6">
        <f t="shared" ca="1" si="118"/>
        <v>-0.73055574696041237</v>
      </c>
      <c r="BM82" s="6">
        <f t="shared" ca="1" si="119"/>
        <v>-2.3224571966321412</v>
      </c>
      <c r="BN82" s="6">
        <f t="shared" ca="1" si="120"/>
        <v>-4.2418718166284979</v>
      </c>
      <c r="BO82" s="9">
        <f t="shared" ca="1" si="121"/>
        <v>-239.07420085390413</v>
      </c>
      <c r="BP82" s="9">
        <f t="shared" ca="1" si="122"/>
        <v>-226.80945051338739</v>
      </c>
      <c r="BQ82">
        <f t="shared" ca="1" si="123"/>
        <v>329.54362435968568</v>
      </c>
      <c r="BR82">
        <f t="shared" ca="1" si="124"/>
        <v>-0.72547056954427003</v>
      </c>
      <c r="BS82">
        <f t="shared" ca="1" si="125"/>
        <v>-0.68825318940424285</v>
      </c>
      <c r="BT82">
        <f t="shared" ca="1" si="126"/>
        <v>-2.3825141906883633</v>
      </c>
      <c r="BU82" s="40">
        <f t="shared" ca="1" si="127"/>
        <v>-5.5241068441781565</v>
      </c>
    </row>
    <row r="83" spans="1:73" x14ac:dyDescent="0.25">
      <c r="A83" t="s">
        <v>74</v>
      </c>
      <c r="B83">
        <f ca="1">ATAN2(B79,B80)</f>
        <v>3.1415926534870979</v>
      </c>
      <c r="AS83" s="6">
        <v>-1.7278759594743986</v>
      </c>
      <c r="AT83" s="6">
        <v>-187.24565780521033</v>
      </c>
      <c r="AU83" s="6">
        <v>-236.67770486414418</v>
      </c>
      <c r="AV83" s="6">
        <f t="shared" si="98"/>
        <v>4.0430726832030128</v>
      </c>
      <c r="AW83" s="6">
        <f t="shared" si="99"/>
        <v>5.7709486426774115</v>
      </c>
      <c r="AX83" s="6">
        <f t="shared" si="100"/>
        <v>-0.90148002971321972</v>
      </c>
      <c r="AY83" s="6">
        <f t="shared" si="101"/>
        <v>0.90148002971321972</v>
      </c>
      <c r="AZ83" s="47">
        <f t="shared" si="102"/>
        <v>4.5553093477051876</v>
      </c>
      <c r="BA83" s="47">
        <f t="shared" si="103"/>
        <v>4.0430726832030128</v>
      </c>
      <c r="BB83" s="47">
        <f t="shared" si="104"/>
        <v>5.7709486426774115</v>
      </c>
      <c r="BC83" s="47">
        <f t="shared" si="105"/>
        <v>-0.90148002971321972</v>
      </c>
      <c r="BD83" s="47">
        <f t="shared" si="106"/>
        <v>0.90148002971321972</v>
      </c>
      <c r="BE83" s="40"/>
      <c r="BF83" s="40"/>
      <c r="BG83" s="6">
        <f t="shared" si="113"/>
        <v>-1.9547687622336618</v>
      </c>
      <c r="BH83" s="9">
        <f t="shared" ca="1" si="114"/>
        <v>-156.6659642401803</v>
      </c>
      <c r="BI83" s="9">
        <f t="shared" ca="1" si="115"/>
        <v>-171.31658752444952</v>
      </c>
      <c r="BJ83">
        <f t="shared" ca="1" si="116"/>
        <v>232.1499461820481</v>
      </c>
      <c r="BK83" s="6">
        <f t="shared" ca="1" si="117"/>
        <v>-0.67484816092666877</v>
      </c>
      <c r="BL83" s="6">
        <f t="shared" ca="1" si="118"/>
        <v>-0.73795661098325616</v>
      </c>
      <c r="BM83" s="6">
        <f t="shared" ca="1" si="119"/>
        <v>-2.3115552535364965</v>
      </c>
      <c r="BN83" s="6">
        <f t="shared" ca="1" si="120"/>
        <v>-4.2309698735328531</v>
      </c>
      <c r="BO83" s="9">
        <f t="shared" ca="1" si="121"/>
        <v>-236.24816093633973</v>
      </c>
      <c r="BP83" s="9">
        <f t="shared" ca="1" si="122"/>
        <v>-227.49225578217971</v>
      </c>
      <c r="BQ83">
        <f t="shared" ca="1" si="123"/>
        <v>327.97243784602898</v>
      </c>
      <c r="BR83">
        <f t="shared" ca="1" si="124"/>
        <v>-0.72032931330421601</v>
      </c>
      <c r="BS83">
        <f t="shared" ca="1" si="125"/>
        <v>-0.6936322371362772</v>
      </c>
      <c r="BT83">
        <f t="shared" ca="1" si="126"/>
        <v>-2.3750732951987756</v>
      </c>
      <c r="BU83" s="40">
        <f t="shared" ca="1" si="127"/>
        <v>-5.5166659486885692</v>
      </c>
    </row>
    <row r="84" spans="1:73" x14ac:dyDescent="0.25">
      <c r="AS84" s="6">
        <v>-1.7104226669544553</v>
      </c>
      <c r="AT84" s="6">
        <v>-181.06205489039957</v>
      </c>
      <c r="AU84" s="6">
        <v>-237.55681188735156</v>
      </c>
      <c r="AV84" s="6">
        <f t="shared" si="98"/>
        <v>4.0611354623369733</v>
      </c>
      <c r="AW84" s="6">
        <f t="shared" si="99"/>
        <v>5.7715581292914289</v>
      </c>
      <c r="AX84" s="6">
        <f t="shared" si="100"/>
        <v>-0.9195428088471802</v>
      </c>
      <c r="AY84" s="6">
        <f t="shared" si="101"/>
        <v>0.9195428088471802</v>
      </c>
      <c r="AZ84" s="47">
        <f t="shared" si="102"/>
        <v>4.5727626402251307</v>
      </c>
      <c r="BA84" s="47">
        <f t="shared" si="103"/>
        <v>4.0611354623369733</v>
      </c>
      <c r="BB84" s="47">
        <f t="shared" si="104"/>
        <v>5.7715581292914289</v>
      </c>
      <c r="BC84" s="47">
        <f t="shared" si="105"/>
        <v>-0.9195428088471802</v>
      </c>
      <c r="BD84" s="47">
        <f t="shared" si="106"/>
        <v>0.9195428088471802</v>
      </c>
      <c r="BE84" s="40"/>
      <c r="BF84" s="40"/>
      <c r="BG84" s="6">
        <f t="shared" si="113"/>
        <v>-1.9373154697137185</v>
      </c>
      <c r="BH84" s="9">
        <f t="shared" ca="1" si="114"/>
        <v>-153.7762752597809</v>
      </c>
      <c r="BI84" s="9">
        <f t="shared" ca="1" si="115"/>
        <v>-171.99450792540125</v>
      </c>
      <c r="BJ84">
        <f t="shared" ca="1" si="116"/>
        <v>230.7146583753898</v>
      </c>
      <c r="BK84" s="6">
        <f t="shared" ca="1" si="117"/>
        <v>-0.66652147870715495</v>
      </c>
      <c r="BL84" s="6">
        <f t="shared" ca="1" si="118"/>
        <v>-0.74548582711009836</v>
      </c>
      <c r="BM84" s="6">
        <f t="shared" ca="1" si="119"/>
        <v>-2.3003292098981913</v>
      </c>
      <c r="BN84" s="6">
        <f t="shared" ca="1" si="120"/>
        <v>-4.2197438298945489</v>
      </c>
      <c r="BO84" s="9">
        <f t="shared" ca="1" si="121"/>
        <v>-233.35847195594033</v>
      </c>
      <c r="BP84" s="9">
        <f t="shared" ca="1" si="122"/>
        <v>-228.17017618313145</v>
      </c>
      <c r="BQ84">
        <f t="shared" ca="1" si="123"/>
        <v>326.37065697309959</v>
      </c>
      <c r="BR84">
        <f t="shared" ca="1" si="124"/>
        <v>-0.71501057760586118</v>
      </c>
      <c r="BS84">
        <f t="shared" ca="1" si="125"/>
        <v>-0.69911363447706598</v>
      </c>
      <c r="BT84">
        <f t="shared" ca="1" si="126"/>
        <v>-2.3674355632175823</v>
      </c>
      <c r="BU84" s="40">
        <f t="shared" ca="1" si="127"/>
        <v>-5.5090282167073754</v>
      </c>
    </row>
    <row r="85" spans="1:73" x14ac:dyDescent="0.25">
      <c r="AS85" s="6">
        <v>-1.692969374434512</v>
      </c>
      <c r="AT85" s="6">
        <v>-174.47756401423476</v>
      </c>
      <c r="AU85" s="6">
        <v>-238.40684325963309</v>
      </c>
      <c r="AV85" s="6">
        <f t="shared" si="98"/>
        <v>4.0806067459321671</v>
      </c>
      <c r="AW85" s="6">
        <f t="shared" si="99"/>
        <v>5.7735761203666787</v>
      </c>
      <c r="AX85" s="6">
        <f t="shared" si="100"/>
        <v>-0.93901409244237399</v>
      </c>
      <c r="AY85" s="6">
        <f t="shared" si="101"/>
        <v>0.93901409244237399</v>
      </c>
      <c r="AZ85" s="47">
        <f t="shared" si="102"/>
        <v>4.5902159327450747</v>
      </c>
      <c r="BA85" s="47">
        <f t="shared" si="103"/>
        <v>4.0806067459321671</v>
      </c>
      <c r="BB85" s="47">
        <f t="shared" si="104"/>
        <v>5.7735761203666787</v>
      </c>
      <c r="BC85" s="47">
        <f t="shared" si="105"/>
        <v>-0.93901409244237399</v>
      </c>
      <c r="BD85" s="47">
        <f t="shared" si="106"/>
        <v>0.93901409244237399</v>
      </c>
      <c r="BE85" s="40"/>
      <c r="BF85" s="40"/>
      <c r="BG85" s="6">
        <f t="shared" si="113"/>
        <v>-1.9198621771937752</v>
      </c>
      <c r="BH85" s="9">
        <f t="shared" ca="1" si="114"/>
        <v>-150.813578169918</v>
      </c>
      <c r="BI85" s="9">
        <f t="shared" ca="1" si="115"/>
        <v>-172.66885553543457</v>
      </c>
      <c r="BJ85">
        <f t="shared" ca="1" si="116"/>
        <v>229.25808389745114</v>
      </c>
      <c r="BK85" s="6">
        <f t="shared" ca="1" si="117"/>
        <v>-0.65783319657063022</v>
      </c>
      <c r="BL85" s="6">
        <f t="shared" ca="1" si="118"/>
        <v>-0.75316365120049877</v>
      </c>
      <c r="BM85" s="6">
        <f t="shared" ca="1" si="119"/>
        <v>-2.2887345242472898</v>
      </c>
      <c r="BN85" s="6">
        <f t="shared" ca="1" si="120"/>
        <v>-4.2081491442436469</v>
      </c>
      <c r="BO85" s="9">
        <f t="shared" ca="1" si="121"/>
        <v>-230.39577486607743</v>
      </c>
      <c r="BP85" s="9">
        <f t="shared" ca="1" si="122"/>
        <v>-228.84452379316477</v>
      </c>
      <c r="BQ85">
        <f t="shared" ca="1" si="123"/>
        <v>324.73378196033224</v>
      </c>
      <c r="BR85">
        <f t="shared" ca="1" si="124"/>
        <v>-0.70949124379742345</v>
      </c>
      <c r="BS85">
        <f t="shared" ca="1" si="125"/>
        <v>-0.70471425058301818</v>
      </c>
      <c r="BT85">
        <f t="shared" ca="1" si="126"/>
        <v>-2.3595723409114053</v>
      </c>
      <c r="BU85" s="40">
        <f t="shared" ca="1" si="127"/>
        <v>-5.5011649944011989</v>
      </c>
    </row>
    <row r="86" spans="1:73" x14ac:dyDescent="0.25">
      <c r="AS86" s="6">
        <v>-1.6755160819145687</v>
      </c>
      <c r="AT86" s="6">
        <v>-167.91425792504305</v>
      </c>
      <c r="AU86" s="6">
        <v>-239.13728855134195</v>
      </c>
      <c r="AV86" s="6">
        <f t="shared" si="98"/>
        <v>4.1002102865409142</v>
      </c>
      <c r="AW86" s="6">
        <f t="shared" si="99"/>
        <v>5.7757263684554827</v>
      </c>
      <c r="AX86" s="6">
        <f t="shared" si="100"/>
        <v>-0.95861763305112113</v>
      </c>
      <c r="AY86" s="6">
        <f t="shared" si="101"/>
        <v>0.95861763305112113</v>
      </c>
      <c r="AZ86" s="47">
        <f t="shared" si="102"/>
        <v>4.6076692252650178</v>
      </c>
      <c r="BA86" s="47">
        <f t="shared" si="103"/>
        <v>4.1002102865409142</v>
      </c>
      <c r="BB86" s="47">
        <f t="shared" si="104"/>
        <v>5.7757263684554827</v>
      </c>
      <c r="BC86" s="47">
        <f t="shared" si="105"/>
        <v>-0.95861763305112113</v>
      </c>
      <c r="BD86" s="47">
        <f t="shared" si="106"/>
        <v>0.95861763305112113</v>
      </c>
      <c r="BE86" s="40"/>
      <c r="BF86" s="40"/>
      <c r="BG86" s="6">
        <f t="shared" si="113"/>
        <v>-1.9024088846738318</v>
      </c>
      <c r="BH86" s="9">
        <f t="shared" ca="1" si="114"/>
        <v>-147.76701173130476</v>
      </c>
      <c r="BI86" s="9">
        <f t="shared" ca="1" si="115"/>
        <v>-173.34106590324382</v>
      </c>
      <c r="BJ86">
        <f t="shared" ca="1" si="116"/>
        <v>227.776677657025</v>
      </c>
      <c r="BK86" s="6">
        <f t="shared" ca="1" si="117"/>
        <v>-0.64873635550082576</v>
      </c>
      <c r="BL86" s="6">
        <f t="shared" ca="1" si="118"/>
        <v>-0.76101323316451353</v>
      </c>
      <c r="BM86" s="6">
        <f t="shared" ca="1" si="119"/>
        <v>-2.2767191095084338</v>
      </c>
      <c r="BN86" s="6">
        <f t="shared" ca="1" si="120"/>
        <v>-4.1961337295047905</v>
      </c>
      <c r="BO86" s="9">
        <f t="shared" ca="1" si="121"/>
        <v>-227.34920842746419</v>
      </c>
      <c r="BP86" s="9">
        <f t="shared" ca="1" si="122"/>
        <v>-229.51673416097401</v>
      </c>
      <c r="BQ86">
        <f t="shared" ca="1" si="123"/>
        <v>323.05664183315247</v>
      </c>
      <c r="BR86">
        <f t="shared" ca="1" si="124"/>
        <v>-0.70374410857920744</v>
      </c>
      <c r="BS86">
        <f t="shared" ca="1" si="125"/>
        <v>-0.7104535379882746</v>
      </c>
      <c r="BT86">
        <f t="shared" ca="1" si="126"/>
        <v>-2.3514501893615583</v>
      </c>
      <c r="BU86" s="40">
        <f t="shared" ca="1" si="127"/>
        <v>-5.4930428428513514</v>
      </c>
    </row>
    <row r="87" spans="1:73" x14ac:dyDescent="0.25">
      <c r="A87" t="s">
        <v>119</v>
      </c>
      <c r="AS87" s="6">
        <v>-1.6580627893946254</v>
      </c>
      <c r="AT87" s="6">
        <v>-161.36686489362103</v>
      </c>
      <c r="AU87" s="6">
        <v>-239.74983257446064</v>
      </c>
      <c r="AV87" s="6">
        <f t="shared" si="98"/>
        <v>4.1199708550616805</v>
      </c>
      <c r="AW87" s="6">
        <f t="shared" si="99"/>
        <v>5.7780336444563059</v>
      </c>
      <c r="AX87" s="6">
        <f t="shared" si="100"/>
        <v>-0.97837820157188737</v>
      </c>
      <c r="AY87" s="6">
        <f t="shared" si="101"/>
        <v>0.97837820157188737</v>
      </c>
      <c r="AZ87" s="47">
        <f t="shared" si="102"/>
        <v>4.6251225177849609</v>
      </c>
      <c r="BA87" s="47">
        <f t="shared" si="103"/>
        <v>4.1199708550616805</v>
      </c>
      <c r="BB87" s="47">
        <f t="shared" si="104"/>
        <v>5.7780336444563059</v>
      </c>
      <c r="BC87" s="47">
        <f t="shared" si="105"/>
        <v>-0.97837820157188737</v>
      </c>
      <c r="BD87" s="47">
        <f t="shared" si="106"/>
        <v>0.97837820157188737</v>
      </c>
      <c r="BE87" s="40"/>
      <c r="BF87" s="40"/>
      <c r="BG87" s="6">
        <f t="shared" si="113"/>
        <v>-1.8849555921538885</v>
      </c>
      <c r="BH87" s="9">
        <f t="shared" ca="1" si="114"/>
        <v>-144.62381504241182</v>
      </c>
      <c r="BI87" s="9">
        <f t="shared" ca="1" si="115"/>
        <v>-174.01273958172789</v>
      </c>
      <c r="BJ87">
        <f t="shared" ca="1" si="116"/>
        <v>226.26639479639923</v>
      </c>
      <c r="BK87" s="6">
        <f t="shared" ca="1" si="117"/>
        <v>-0.63917496529941331</v>
      </c>
      <c r="BL87" s="6">
        <f t="shared" ca="1" si="118"/>
        <v>-0.76906135238646189</v>
      </c>
      <c r="BM87" s="6">
        <f t="shared" ca="1" si="119"/>
        <v>-2.2642213321603477</v>
      </c>
      <c r="BN87" s="6">
        <f t="shared" ca="1" si="120"/>
        <v>-4.1836359521567044</v>
      </c>
      <c r="BO87" s="9">
        <f t="shared" ca="1" si="121"/>
        <v>-224.20601173857125</v>
      </c>
      <c r="BP87" s="9">
        <f t="shared" ca="1" si="122"/>
        <v>-230.18840783945808</v>
      </c>
      <c r="BQ87">
        <f t="shared" ca="1" si="123"/>
        <v>321.33322082128552</v>
      </c>
      <c r="BR87">
        <f t="shared" ca="1" si="124"/>
        <v>-0.69773679536006306</v>
      </c>
      <c r="BS87">
        <f t="shared" ca="1" si="125"/>
        <v>-0.71635421713051251</v>
      </c>
      <c r="BT87">
        <f t="shared" ca="1" si="126"/>
        <v>-2.3430296047365937</v>
      </c>
      <c r="BU87" s="40">
        <f t="shared" ca="1" si="127"/>
        <v>-5.4846222582263868</v>
      </c>
    </row>
    <row r="88" spans="1:73" x14ac:dyDescent="0.25">
      <c r="A88" t="s">
        <v>120</v>
      </c>
      <c r="AS88" s="6">
        <v>-1.640609496874682</v>
      </c>
      <c r="AT88" s="6">
        <v>-154.82988643446168</v>
      </c>
      <c r="AU88" s="6">
        <v>-240.24582301644799</v>
      </c>
      <c r="AV88" s="6">
        <f t="shared" si="98"/>
        <v>4.1399150485183949</v>
      </c>
      <c r="AW88" s="6">
        <f t="shared" si="99"/>
        <v>5.7805245453930771</v>
      </c>
      <c r="AX88" s="6">
        <f t="shared" si="100"/>
        <v>-0.99832239502860176</v>
      </c>
      <c r="AY88" s="6">
        <f t="shared" si="101"/>
        <v>0.99832239502860176</v>
      </c>
      <c r="AZ88" s="47">
        <f t="shared" si="102"/>
        <v>4.642575810304904</v>
      </c>
      <c r="BA88" s="47">
        <f t="shared" si="103"/>
        <v>4.1399150485183949</v>
      </c>
      <c r="BB88" s="47">
        <f t="shared" si="104"/>
        <v>5.7805245453930771</v>
      </c>
      <c r="BC88" s="47">
        <f t="shared" si="105"/>
        <v>-0.99832239502860176</v>
      </c>
      <c r="BD88" s="47">
        <f t="shared" si="106"/>
        <v>0.99832239502860176</v>
      </c>
      <c r="BE88" s="40"/>
      <c r="BF88" s="40"/>
      <c r="BG88" s="6">
        <f t="shared" si="113"/>
        <v>-1.8675022996339452</v>
      </c>
      <c r="BH88" s="9">
        <f t="shared" ca="1" si="114"/>
        <v>-141.36879476787453</v>
      </c>
      <c r="BI88" s="9">
        <f t="shared" ca="1" si="115"/>
        <v>-174.68569646704137</v>
      </c>
      <c r="BJ88">
        <f t="shared" ca="1" si="116"/>
        <v>224.72255935774837</v>
      </c>
      <c r="BK88" s="6">
        <f t="shared" ca="1" si="117"/>
        <v>-0.62908145569320284</v>
      </c>
      <c r="BL88" s="6">
        <f t="shared" ca="1" si="118"/>
        <v>-0.77733938669214542</v>
      </c>
      <c r="BM88" s="6">
        <f t="shared" ca="1" si="119"/>
        <v>-2.2511673209757461</v>
      </c>
      <c r="BN88" s="6">
        <f t="shared" ca="1" si="120"/>
        <v>-4.1705819409721032</v>
      </c>
      <c r="BO88" s="9">
        <f t="shared" ca="1" si="121"/>
        <v>-220.95099146403396</v>
      </c>
      <c r="BP88" s="9">
        <f t="shared" ca="1" si="122"/>
        <v>-230.86136472477156</v>
      </c>
      <c r="BQ88">
        <f t="shared" ca="1" si="123"/>
        <v>319.5564274921154</v>
      </c>
      <c r="BR88">
        <f t="shared" ca="1" si="124"/>
        <v>-0.69143028415376062</v>
      </c>
      <c r="BS88">
        <f t="shared" ca="1" si="125"/>
        <v>-0.72244318956929054</v>
      </c>
      <c r="BT88">
        <f t="shared" ca="1" si="126"/>
        <v>-2.3342632964434289</v>
      </c>
      <c r="BU88" s="40">
        <f t="shared" ca="1" si="127"/>
        <v>-5.475855949933222</v>
      </c>
    </row>
    <row r="89" spans="1:73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AS89" s="6">
        <v>-1.6231562043547387</v>
      </c>
      <c r="AT89" s="6">
        <v>-148.2974928171673</v>
      </c>
      <c r="AU89" s="6">
        <v>-240.62626586657456</v>
      </c>
      <c r="AV89" s="6">
        <f t="shared" si="98"/>
        <v>4.160071750758779</v>
      </c>
      <c r="AW89" s="6">
        <f t="shared" si="99"/>
        <v>5.7832279551135173</v>
      </c>
      <c r="AX89" s="6">
        <f t="shared" si="100"/>
        <v>-1.0184790972689859</v>
      </c>
      <c r="AY89" s="6">
        <f t="shared" si="101"/>
        <v>1.0184790972689859</v>
      </c>
      <c r="AZ89" s="47">
        <f t="shared" si="102"/>
        <v>4.6600291028248471</v>
      </c>
      <c r="BA89" s="47">
        <f t="shared" si="103"/>
        <v>4.160071750758779</v>
      </c>
      <c r="BB89" s="47">
        <f t="shared" si="104"/>
        <v>5.7832279551135173</v>
      </c>
      <c r="BC89" s="47">
        <f t="shared" si="105"/>
        <v>-1.0184790972689859</v>
      </c>
      <c r="BD89" s="47">
        <f t="shared" si="106"/>
        <v>1.0184790972689859</v>
      </c>
      <c r="BE89" s="40"/>
      <c r="BF89" s="40"/>
      <c r="BG89" s="6">
        <f t="shared" si="113"/>
        <v>-1.8500490071140019</v>
      </c>
      <c r="BH89" s="9">
        <f t="shared" ca="1" si="114"/>
        <v>-137.98359829863432</v>
      </c>
      <c r="BI89" s="9">
        <f t="shared" ca="1" si="115"/>
        <v>-175.3620482400591</v>
      </c>
      <c r="BJ89">
        <f t="shared" ca="1" si="116"/>
        <v>223.13969024444685</v>
      </c>
      <c r="BK89" s="6">
        <f t="shared" ca="1" si="117"/>
        <v>-0.61837317308935469</v>
      </c>
      <c r="BL89" s="6">
        <f t="shared" ca="1" si="118"/>
        <v>-0.78588460908927527</v>
      </c>
      <c r="BM89" s="6">
        <f t="shared" ca="1" si="119"/>
        <v>-2.2374672816406331</v>
      </c>
      <c r="BN89" s="6">
        <f t="shared" ca="1" si="120"/>
        <v>-4.1568819016369902</v>
      </c>
      <c r="BO89" s="9">
        <f t="shared" ca="1" si="121"/>
        <v>-217.56579499479375</v>
      </c>
      <c r="BP89" s="9">
        <f t="shared" ca="1" si="122"/>
        <v>-231.53771649778929</v>
      </c>
      <c r="BQ89">
        <f t="shared" ca="1" si="123"/>
        <v>317.71778249372079</v>
      </c>
      <c r="BR89">
        <f t="shared" ca="1" si="124"/>
        <v>-0.684776890003296</v>
      </c>
      <c r="BS89">
        <f t="shared" ca="1" si="125"/>
        <v>-0.72875277763958735</v>
      </c>
      <c r="BT89">
        <f t="shared" ca="1" si="126"/>
        <v>-2.3250938283866023</v>
      </c>
      <c r="BU89" s="40">
        <f t="shared" ca="1" si="127"/>
        <v>-5.4666864818763958</v>
      </c>
    </row>
    <row r="90" spans="1:73" x14ac:dyDescent="0.25">
      <c r="A90" s="6">
        <f>E3-$I$2</f>
        <v>3</v>
      </c>
      <c r="B90" s="1">
        <f>F3-$I$3</f>
        <v>-15</v>
      </c>
      <c r="C90" s="1"/>
      <c r="AS90" s="6">
        <v>-1.6057029118347954</v>
      </c>
      <c r="AT90" s="6">
        <v>-141.76337860581089</v>
      </c>
      <c r="AU90" s="6">
        <v>-240.89181387614397</v>
      </c>
      <c r="AV90" s="6">
        <f t="shared" si="98"/>
        <v>4.1804727605794989</v>
      </c>
      <c r="AW90" s="6">
        <f t="shared" si="99"/>
        <v>5.7861756724142941</v>
      </c>
      <c r="AX90" s="6">
        <f t="shared" si="100"/>
        <v>-1.0388801070897058</v>
      </c>
      <c r="AY90" s="6">
        <f t="shared" si="101"/>
        <v>1.0388801070897058</v>
      </c>
      <c r="AZ90" s="47">
        <f t="shared" si="102"/>
        <v>4.677482395344791</v>
      </c>
      <c r="BA90" s="47">
        <f t="shared" si="103"/>
        <v>4.1804727605794989</v>
      </c>
      <c r="BB90" s="47">
        <f t="shared" si="104"/>
        <v>5.7861756724142941</v>
      </c>
      <c r="BC90" s="47">
        <f t="shared" si="105"/>
        <v>-1.0388801070897058</v>
      </c>
      <c r="BD90" s="47">
        <f t="shared" si="106"/>
        <v>1.0388801070897058</v>
      </c>
      <c r="BE90" s="40"/>
      <c r="BF90" s="40"/>
      <c r="BG90" s="6">
        <f t="shared" si="113"/>
        <v>-1.8325957145940586</v>
      </c>
      <c r="BH90" s="9">
        <f t="shared" ca="1" si="114"/>
        <v>-134.44570268863384</v>
      </c>
      <c r="BI90" s="9">
        <f t="shared" ca="1" si="115"/>
        <v>-176.0442968478076</v>
      </c>
      <c r="BJ90">
        <f t="shared" ca="1" si="116"/>
        <v>221.51126703641856</v>
      </c>
      <c r="BK90" s="6">
        <f t="shared" ca="1" si="117"/>
        <v>-0.60694746812373068</v>
      </c>
      <c r="BL90" s="6">
        <f t="shared" ca="1" si="118"/>
        <v>-0.79474195242115719</v>
      </c>
      <c r="BM90" s="6">
        <f t="shared" ca="1" si="119"/>
        <v>-2.2230103488739816</v>
      </c>
      <c r="BN90" s="6">
        <f t="shared" ca="1" si="120"/>
        <v>-4.1424249688703387</v>
      </c>
      <c r="BO90" s="9">
        <f t="shared" ca="1" si="121"/>
        <v>-214.02789938479327</v>
      </c>
      <c r="BP90" s="9">
        <f t="shared" ca="1" si="122"/>
        <v>-232.2199651055378</v>
      </c>
      <c r="BQ90">
        <f t="shared" ca="1" si="123"/>
        <v>315.80698837847837</v>
      </c>
      <c r="BR90">
        <f t="shared" ca="1" si="124"/>
        <v>-0.67771742634235788</v>
      </c>
      <c r="BS90">
        <f t="shared" ca="1" si="125"/>
        <v>-0.73532243949976861</v>
      </c>
      <c r="BT90">
        <f t="shared" ca="1" si="126"/>
        <v>-2.3154503225489065</v>
      </c>
      <c r="BU90" s="40">
        <f t="shared" ca="1" si="127"/>
        <v>-5.4570429760387</v>
      </c>
    </row>
    <row r="91" spans="1:73" x14ac:dyDescent="0.25">
      <c r="A91" s="6">
        <f t="shared" ref="A91:A98" si="128">E4-$I$2</f>
        <v>15</v>
      </c>
      <c r="B91" s="1">
        <f t="shared" ref="B91:B98" si="129">F4-$I$3</f>
        <v>-15</v>
      </c>
      <c r="C91" s="1">
        <f>((A90*B91)-(A91*B90))*0.5</f>
        <v>90</v>
      </c>
      <c r="D91" s="6">
        <f>(A91+A90)*((A90*B91)-(A91*B90))*(1/6)</f>
        <v>540</v>
      </c>
      <c r="E91" s="6">
        <f>(B91+B90)*((A90*B91)-(A91*B90))*(1/6)</f>
        <v>-900</v>
      </c>
      <c r="AS91" s="6">
        <v>-1.5882496193148521</v>
      </c>
      <c r="AT91" s="6">
        <v>-135.22055658398904</v>
      </c>
      <c r="AU91" s="6">
        <v>-241.04274500026878</v>
      </c>
      <c r="AV91" s="6">
        <f t="shared" si="98"/>
        <v>4.2011536744226339</v>
      </c>
      <c r="AW91" s="6">
        <f t="shared" si="99"/>
        <v>5.789403293737486</v>
      </c>
      <c r="AX91" s="6">
        <f t="shared" si="100"/>
        <v>-1.0595610209328408</v>
      </c>
      <c r="AY91" s="6">
        <f t="shared" si="101"/>
        <v>1.0595610209328408</v>
      </c>
      <c r="AZ91" s="47">
        <f t="shared" si="102"/>
        <v>4.6949356878647341</v>
      </c>
      <c r="BA91" s="47">
        <f t="shared" si="103"/>
        <v>4.2011536744226339</v>
      </c>
      <c r="BB91" s="47">
        <f t="shared" si="104"/>
        <v>5.789403293737486</v>
      </c>
      <c r="BC91" s="47">
        <f t="shared" si="105"/>
        <v>-1.0595610209328408</v>
      </c>
      <c r="BD91" s="47">
        <f t="shared" si="106"/>
        <v>1.0595610209328408</v>
      </c>
      <c r="BE91" s="40"/>
      <c r="BF91" s="40"/>
      <c r="BG91" s="6">
        <f t="shared" si="113"/>
        <v>-1.8151424220741152</v>
      </c>
      <c r="BH91" s="9">
        <f t="shared" ca="1" si="114"/>
        <v>-130.72697749584029</v>
      </c>
      <c r="BI91" s="9">
        <f t="shared" ca="1" si="115"/>
        <v>-176.73547101182172</v>
      </c>
      <c r="BJ91">
        <f t="shared" ca="1" si="116"/>
        <v>219.82940967706847</v>
      </c>
      <c r="BK91" s="6">
        <f t="shared" ca="1" si="117"/>
        <v>-0.5946746510754839</v>
      </c>
      <c r="BL91" s="6">
        <f t="shared" ca="1" si="118"/>
        <v>-0.80396645413117307</v>
      </c>
      <c r="BM91" s="6">
        <f t="shared" ca="1" si="119"/>
        <v>-2.2076572351730626</v>
      </c>
      <c r="BN91" s="6">
        <f t="shared" ca="1" si="120"/>
        <v>-4.1270718551694197</v>
      </c>
      <c r="BO91" s="9">
        <f t="shared" ca="1" si="121"/>
        <v>-210.30917419199972</v>
      </c>
      <c r="BP91" s="9">
        <f t="shared" ca="1" si="122"/>
        <v>-232.91113926955191</v>
      </c>
      <c r="BQ91">
        <f t="shared" ca="1" si="123"/>
        <v>313.81132475607296</v>
      </c>
      <c r="BR91">
        <f t="shared" ca="1" si="124"/>
        <v>-0.67017713384140631</v>
      </c>
      <c r="BS91">
        <f t="shared" ca="1" si="125"/>
        <v>-0.74220119191235323</v>
      </c>
      <c r="BT91">
        <f t="shared" ca="1" si="126"/>
        <v>-2.305243748681792</v>
      </c>
      <c r="BU91" s="40">
        <f t="shared" ca="1" si="127"/>
        <v>-5.4468364021715852</v>
      </c>
    </row>
    <row r="92" spans="1:73" x14ac:dyDescent="0.25">
      <c r="A92" s="6">
        <f t="shared" si="128"/>
        <v>15</v>
      </c>
      <c r="B92" s="1">
        <f t="shared" si="129"/>
        <v>1</v>
      </c>
      <c r="C92" s="1">
        <f t="shared" ref="C92:C98" si="130">((A91*B92)-(A92*B91))*0.5</f>
        <v>120</v>
      </c>
      <c r="D92" s="6">
        <f t="shared" ref="D92:D98" si="131">(A92+A91)*((A91*B92)-(A92*B91))*(1/6)</f>
        <v>1200</v>
      </c>
      <c r="E92" s="6">
        <f t="shared" ref="E92:E98" si="132">(B92+B91)*((A91*B92)-(A92*B91))*(1/6)</f>
        <v>-560</v>
      </c>
      <c r="AS92" s="6">
        <v>-1.5707963267949088</v>
      </c>
      <c r="AT92" s="6">
        <v>-128.66105356563219</v>
      </c>
      <c r="AU92" s="6">
        <v>-241.07892606363367</v>
      </c>
      <c r="AV92" s="6">
        <f t="shared" si="98"/>
        <v>4.2221551709545793</v>
      </c>
      <c r="AW92" s="6">
        <f t="shared" si="99"/>
        <v>5.7929514977494883</v>
      </c>
      <c r="AX92" s="6">
        <f t="shared" si="100"/>
        <v>-1.0805625174647862</v>
      </c>
      <c r="AY92" s="6">
        <f t="shared" si="101"/>
        <v>1.0805625174647862</v>
      </c>
      <c r="AZ92" s="47">
        <f t="shared" si="102"/>
        <v>4.7123889803846772</v>
      </c>
      <c r="BA92" s="47">
        <f t="shared" si="103"/>
        <v>4.2221551709545793</v>
      </c>
      <c r="BB92" s="47">
        <f t="shared" si="104"/>
        <v>5.7929514977494883</v>
      </c>
      <c r="BC92" s="47">
        <f t="shared" si="105"/>
        <v>-1.0805625174647862</v>
      </c>
      <c r="BD92" s="47">
        <f t="shared" si="106"/>
        <v>1.0805625174647862</v>
      </c>
      <c r="BE92" s="40"/>
      <c r="BF92" s="40"/>
      <c r="BG92" s="6">
        <f t="shared" si="113"/>
        <v>-1.7976891295541719</v>
      </c>
      <c r="BH92" s="9">
        <f t="shared" ca="1" si="114"/>
        <v>-126.79159191229327</v>
      </c>
      <c r="BI92" s="9">
        <f t="shared" ca="1" si="115"/>
        <v>-177.43931981888684</v>
      </c>
      <c r="BJ92">
        <f t="shared" ca="1" si="116"/>
        <v>218.08443318458728</v>
      </c>
      <c r="BK92" s="6">
        <f t="shared" ca="1" si="117"/>
        <v>-0.58138763074839228</v>
      </c>
      <c r="BL92" s="6">
        <f t="shared" ca="1" si="118"/>
        <v>-0.81362670974641138</v>
      </c>
      <c r="BM92" s="6">
        <f t="shared" ca="1" si="119"/>
        <v>-2.1912294685296834</v>
      </c>
      <c r="BN92" s="6">
        <f t="shared" ca="1" si="120"/>
        <v>-4.1106440885260405</v>
      </c>
      <c r="BO92" s="9">
        <f t="shared" ca="1" si="121"/>
        <v>-206.37378860845268</v>
      </c>
      <c r="BP92" s="9">
        <f t="shared" ca="1" si="122"/>
        <v>-233.61498807661704</v>
      </c>
      <c r="BQ92">
        <f t="shared" ca="1" si="123"/>
        <v>311.71477872992199</v>
      </c>
      <c r="BR92">
        <f t="shared" ca="1" si="124"/>
        <v>-0.662059686259728</v>
      </c>
      <c r="BS92">
        <f t="shared" ca="1" si="125"/>
        <v>-0.7494511137023353</v>
      </c>
      <c r="BT92">
        <f t="shared" ca="1" si="126"/>
        <v>-2.2943600227340233</v>
      </c>
      <c r="BU92" s="40">
        <f t="shared" ca="1" si="127"/>
        <v>-5.4359526762238168</v>
      </c>
    </row>
    <row r="93" spans="1:73" x14ac:dyDescent="0.25">
      <c r="A93" s="6">
        <f t="shared" si="128"/>
        <v>15</v>
      </c>
      <c r="B93" s="1">
        <f t="shared" si="129"/>
        <v>1</v>
      </c>
      <c r="C93" s="1">
        <f t="shared" si="130"/>
        <v>0</v>
      </c>
      <c r="D93" s="6">
        <f t="shared" si="131"/>
        <v>0</v>
      </c>
      <c r="E93" s="6">
        <f t="shared" si="132"/>
        <v>0</v>
      </c>
      <c r="AS93" s="6">
        <v>-1.5533430342749655</v>
      </c>
      <c r="AT93" s="6">
        <v>-117.24033629292798</v>
      </c>
      <c r="AU93" s="6">
        <v>-240.3460169685971</v>
      </c>
      <c r="AV93" s="6">
        <f t="shared" si="98"/>
        <v>4.258550434342955</v>
      </c>
      <c r="AW93" s="6">
        <f t="shared" si="99"/>
        <v>5.8118934686179209</v>
      </c>
      <c r="AX93" s="6">
        <f t="shared" si="100"/>
        <v>-1.1169577808531619</v>
      </c>
      <c r="AY93" s="6">
        <f t="shared" si="101"/>
        <v>1.1169577808531619</v>
      </c>
      <c r="AZ93" s="47">
        <f t="shared" si="102"/>
        <v>4.7298422729046212</v>
      </c>
      <c r="BA93" s="47">
        <f t="shared" si="103"/>
        <v>4.258550434342955</v>
      </c>
      <c r="BB93" s="47">
        <f t="shared" si="104"/>
        <v>5.8118934686179209</v>
      </c>
      <c r="BC93" s="47">
        <f t="shared" si="105"/>
        <v>-1.1169577808531619</v>
      </c>
      <c r="BD93" s="47">
        <f t="shared" si="106"/>
        <v>1.1169577808531619</v>
      </c>
      <c r="BE93" s="40"/>
      <c r="BF93" s="40"/>
      <c r="BG93" s="6">
        <f t="shared" si="113"/>
        <v>-1.7802358370342286</v>
      </c>
      <c r="BH93" s="9">
        <f t="shared" ca="1" si="114"/>
        <v>-122.59288236505616</v>
      </c>
      <c r="BI93" s="9">
        <f t="shared" ca="1" si="115"/>
        <v>-178.16059370926382</v>
      </c>
      <c r="BJ93">
        <f t="shared" ca="1" si="116"/>
        <v>216.26421793123771</v>
      </c>
      <c r="BK93" s="6">
        <f t="shared" ca="1" si="117"/>
        <v>-0.56686623213848153</v>
      </c>
      <c r="BL93" s="6">
        <f t="shared" ca="1" si="118"/>
        <v>-0.82380985358341097</v>
      </c>
      <c r="BM93" s="6">
        <f t="shared" ca="1" si="119"/>
        <v>-2.173493187002971</v>
      </c>
      <c r="BN93" s="6">
        <f t="shared" ca="1" si="120"/>
        <v>-4.0929078069993281</v>
      </c>
      <c r="BO93" s="9">
        <f t="shared" ca="1" si="121"/>
        <v>-202.17507906121557</v>
      </c>
      <c r="BP93" s="9">
        <f t="shared" ca="1" si="122"/>
        <v>-234.33626196699402</v>
      </c>
      <c r="BQ93">
        <f t="shared" ca="1" si="123"/>
        <v>309.49676293310796</v>
      </c>
      <c r="BR93">
        <f t="shared" ca="1" si="124"/>
        <v>-0.65323810544962635</v>
      </c>
      <c r="BS93">
        <f t="shared" ca="1" si="125"/>
        <v>-0.75715254578491831</v>
      </c>
      <c r="BT93">
        <f t="shared" ca="1" si="126"/>
        <v>-2.2826496038155089</v>
      </c>
      <c r="BU93" s="40">
        <f t="shared" ca="1" si="127"/>
        <v>-5.424242257305302</v>
      </c>
    </row>
    <row r="94" spans="1:73" x14ac:dyDescent="0.25">
      <c r="A94" s="6">
        <f t="shared" si="128"/>
        <v>15</v>
      </c>
      <c r="B94" s="1">
        <f t="shared" si="129"/>
        <v>9</v>
      </c>
      <c r="C94" s="1">
        <f t="shared" si="130"/>
        <v>60</v>
      </c>
      <c r="D94" s="6">
        <f t="shared" si="131"/>
        <v>600</v>
      </c>
      <c r="E94" s="6">
        <f t="shared" si="132"/>
        <v>200</v>
      </c>
      <c r="AS94" s="6">
        <v>-1.5358897417550221</v>
      </c>
      <c r="AT94" s="6">
        <v>-106.32710829754372</v>
      </c>
      <c r="AU94" s="6">
        <v>-239.54220566597041</v>
      </c>
      <c r="AV94" s="6">
        <f t="shared" si="98"/>
        <v>4.2946391794950403</v>
      </c>
      <c r="AW94" s="6">
        <f t="shared" si="99"/>
        <v>5.8305289212500622</v>
      </c>
      <c r="AX94" s="6">
        <f t="shared" si="100"/>
        <v>-1.1530465260052472</v>
      </c>
      <c r="AY94" s="6">
        <f t="shared" si="101"/>
        <v>1.1530465260052472</v>
      </c>
      <c r="AZ94" s="47">
        <f t="shared" si="102"/>
        <v>4.7472955654245643</v>
      </c>
      <c r="BA94" s="47">
        <f t="shared" si="103"/>
        <v>4.2946391794950403</v>
      </c>
      <c r="BB94" s="47">
        <f t="shared" si="104"/>
        <v>5.8305289212500622</v>
      </c>
      <c r="BC94" s="47">
        <f t="shared" si="105"/>
        <v>-1.1530465260052472</v>
      </c>
      <c r="BD94" s="47">
        <f t="shared" si="106"/>
        <v>1.1530465260052472</v>
      </c>
      <c r="BE94" s="40"/>
      <c r="BF94" s="40"/>
      <c r="BG94" s="6">
        <f t="shared" si="113"/>
        <v>-1.7627825445142853</v>
      </c>
      <c r="BH94" s="9">
        <f t="shared" ca="1" si="114"/>
        <v>-118.06851525391711</v>
      </c>
      <c r="BI94" s="9">
        <f t="shared" ca="1" si="115"/>
        <v>-178.90546377237342</v>
      </c>
      <c r="BJ94">
        <f t="shared" ca="1" si="116"/>
        <v>214.35330476079085</v>
      </c>
      <c r="BK94" s="6">
        <f t="shared" ca="1" si="117"/>
        <v>-0.55081266596601597</v>
      </c>
      <c r="BL94" s="6">
        <f t="shared" ca="1" si="118"/>
        <v>-0.83462890377185595</v>
      </c>
      <c r="BM94" s="6">
        <f t="shared" ca="1" si="119"/>
        <v>-2.1541339375669706</v>
      </c>
      <c r="BN94" s="6">
        <f t="shared" ca="1" si="120"/>
        <v>-4.0735485575633277</v>
      </c>
      <c r="BO94" s="9">
        <f t="shared" ca="1" si="121"/>
        <v>-197.65071195007653</v>
      </c>
      <c r="BP94" s="9">
        <f t="shared" ca="1" si="122"/>
        <v>-235.08113203010362</v>
      </c>
      <c r="BQ94">
        <f t="shared" ca="1" si="123"/>
        <v>307.13017202959259</v>
      </c>
      <c r="BR94">
        <f t="shared" ca="1" si="124"/>
        <v>-0.64354052434494291</v>
      </c>
      <c r="BS94">
        <f t="shared" ca="1" si="125"/>
        <v>-0.76541204166503407</v>
      </c>
      <c r="BT94">
        <f t="shared" ca="1" si="126"/>
        <v>-2.2699112936602233</v>
      </c>
      <c r="BU94" s="40">
        <f t="shared" ca="1" si="127"/>
        <v>-5.4115039471500168</v>
      </c>
    </row>
    <row r="95" spans="1:73" x14ac:dyDescent="0.25">
      <c r="A95" s="6">
        <f t="shared" si="128"/>
        <v>-21</v>
      </c>
      <c r="B95" s="1">
        <f t="shared" si="129"/>
        <v>9</v>
      </c>
      <c r="C95" s="1">
        <f t="shared" si="130"/>
        <v>162</v>
      </c>
      <c r="D95" s="6">
        <f t="shared" si="131"/>
        <v>-324</v>
      </c>
      <c r="E95" s="6">
        <f t="shared" si="132"/>
        <v>972</v>
      </c>
      <c r="AS95" s="6">
        <v>-1.5184364492350788</v>
      </c>
      <c r="AT95" s="6">
        <v>-95.86738090242531</v>
      </c>
      <c r="AU95" s="6">
        <v>-238.66862096861237</v>
      </c>
      <c r="AV95" s="6">
        <f t="shared" si="98"/>
        <v>4.3304388857501985</v>
      </c>
      <c r="AW95" s="6">
        <f t="shared" si="99"/>
        <v>5.8488753349852773</v>
      </c>
      <c r="AX95" s="6">
        <f t="shared" si="100"/>
        <v>-1.1888462322604054</v>
      </c>
      <c r="AY95" s="6">
        <f t="shared" si="101"/>
        <v>1.1888462322604054</v>
      </c>
      <c r="AZ95" s="47">
        <f t="shared" si="102"/>
        <v>4.7647488579445074</v>
      </c>
      <c r="BA95" s="47">
        <f t="shared" si="103"/>
        <v>4.3304388857501985</v>
      </c>
      <c r="BB95" s="47">
        <f t="shared" si="104"/>
        <v>5.8488753349852773</v>
      </c>
      <c r="BC95" s="47">
        <f t="shared" si="105"/>
        <v>-1.1888462322604054</v>
      </c>
      <c r="BD95" s="47">
        <f t="shared" si="106"/>
        <v>1.1888462322604054</v>
      </c>
      <c r="BE95" s="40"/>
      <c r="BF95" s="40"/>
      <c r="BG95" s="6">
        <f t="shared" si="113"/>
        <v>-1.745329251994342</v>
      </c>
      <c r="BH95" s="9">
        <f t="shared" ca="1" si="114"/>
        <v>-113.13274185713122</v>
      </c>
      <c r="BI95" s="9">
        <f t="shared" ca="1" si="115"/>
        <v>-179.68216707523789</v>
      </c>
      <c r="BJ95">
        <f t="shared" ca="1" si="116"/>
        <v>212.33157665539525</v>
      </c>
      <c r="BK95" s="6">
        <f t="shared" ca="1" si="117"/>
        <v>-0.5328116695555869</v>
      </c>
      <c r="BL95" s="6">
        <f t="shared" ca="1" si="118"/>
        <v>-0.84623384757724507</v>
      </c>
      <c r="BM95" s="6">
        <f t="shared" ca="1" si="119"/>
        <v>-2.1327159981659838</v>
      </c>
      <c r="BN95" s="6">
        <f t="shared" ca="1" si="120"/>
        <v>-4.0521306181623409</v>
      </c>
      <c r="BO95" s="9">
        <f t="shared" ca="1" si="121"/>
        <v>-192.71493855329064</v>
      </c>
      <c r="BP95" s="9">
        <f t="shared" ca="1" si="122"/>
        <v>-235.85783533296808</v>
      </c>
      <c r="BQ95">
        <f t="shared" ca="1" si="123"/>
        <v>304.57834136647352</v>
      </c>
      <c r="BR95">
        <f t="shared" ca="1" si="124"/>
        <v>-0.63272699460075177</v>
      </c>
      <c r="BS95">
        <f t="shared" ca="1" si="125"/>
        <v>-0.77437494168103094</v>
      </c>
      <c r="BT95">
        <f t="shared" ca="1" si="126"/>
        <v>-2.2558660366268493</v>
      </c>
      <c r="BU95" s="40">
        <f t="shared" ca="1" si="127"/>
        <v>-5.3974586901166424</v>
      </c>
    </row>
    <row r="96" spans="1:73" x14ac:dyDescent="0.25">
      <c r="A96" s="6">
        <f t="shared" si="128"/>
        <v>-21</v>
      </c>
      <c r="B96" s="1">
        <f t="shared" si="129"/>
        <v>1</v>
      </c>
      <c r="C96" s="1">
        <f t="shared" si="130"/>
        <v>84</v>
      </c>
      <c r="D96" s="6">
        <f t="shared" si="131"/>
        <v>-1176</v>
      </c>
      <c r="E96" s="6">
        <f t="shared" si="132"/>
        <v>280</v>
      </c>
      <c r="AS96" s="6">
        <v>-1.5009831567151355</v>
      </c>
      <c r="AT96" s="6">
        <v>-85.808580907927322</v>
      </c>
      <c r="AU96" s="6">
        <v>-237.72438172961475</v>
      </c>
      <c r="AV96" s="6">
        <f t="shared" si="98"/>
        <v>4.3659853346117714</v>
      </c>
      <c r="AW96" s="6">
        <f t="shared" si="99"/>
        <v>5.8669684913269071</v>
      </c>
      <c r="AX96" s="6">
        <f t="shared" si="100"/>
        <v>-1.2243926811219783</v>
      </c>
      <c r="AY96" s="6">
        <f t="shared" si="101"/>
        <v>1.2243926811219783</v>
      </c>
      <c r="AZ96" s="47">
        <f t="shared" si="102"/>
        <v>4.7822021504644505</v>
      </c>
      <c r="BA96" s="47">
        <f t="shared" si="103"/>
        <v>4.3659853346117714</v>
      </c>
      <c r="BB96" s="47">
        <f t="shared" si="104"/>
        <v>5.8669684913269071</v>
      </c>
      <c r="BC96" s="47">
        <f t="shared" si="105"/>
        <v>-1.2243926811219783</v>
      </c>
      <c r="BD96" s="47">
        <f t="shared" si="106"/>
        <v>1.2243926811219783</v>
      </c>
      <c r="BE96" s="40"/>
      <c r="BF96" s="40"/>
      <c r="BG96" s="6">
        <f t="shared" si="113"/>
        <v>-1.7278759594743986</v>
      </c>
      <c r="BH96" s="9">
        <f t="shared" ca="1" si="114"/>
        <v>-107.66346110905091</v>
      </c>
      <c r="BI96" s="9">
        <f t="shared" ca="1" si="115"/>
        <v>-180.50203660641398</v>
      </c>
      <c r="BJ96">
        <f t="shared" ca="1" si="116"/>
        <v>210.17232471722659</v>
      </c>
      <c r="BK96" s="6">
        <f t="shared" ca="1" si="117"/>
        <v>-0.51226278842328654</v>
      </c>
      <c r="BL96" s="6">
        <f t="shared" ca="1" si="118"/>
        <v>-0.85882875801686986</v>
      </c>
      <c r="BM96" s="6">
        <f t="shared" ca="1" si="119"/>
        <v>-2.1086137906692359</v>
      </c>
      <c r="BN96" s="6">
        <f t="shared" ca="1" si="120"/>
        <v>-4.028028410665593</v>
      </c>
      <c r="BO96" s="9">
        <f t="shared" ca="1" si="121"/>
        <v>-187.24565780521033</v>
      </c>
      <c r="BP96" s="9">
        <f t="shared" ca="1" si="122"/>
        <v>-236.67770486414418</v>
      </c>
      <c r="BQ96">
        <f t="shared" ca="1" si="123"/>
        <v>301.79011306977048</v>
      </c>
      <c r="BR96">
        <f t="shared" ca="1" si="124"/>
        <v>-0.62044994085648275</v>
      </c>
      <c r="BS96">
        <f t="shared" ca="1" si="125"/>
        <v>-0.78424605251871504</v>
      </c>
      <c r="BT96">
        <f t="shared" ca="1" si="126"/>
        <v>-2.2401126239765734</v>
      </c>
      <c r="BU96" s="40">
        <f t="shared" ca="1" si="127"/>
        <v>-5.3817052774663665</v>
      </c>
    </row>
    <row r="97" spans="1:73" x14ac:dyDescent="0.25">
      <c r="A97" s="6">
        <f t="shared" si="128"/>
        <v>3</v>
      </c>
      <c r="B97" s="1">
        <f t="shared" si="129"/>
        <v>1</v>
      </c>
      <c r="C97" s="1">
        <f t="shared" si="130"/>
        <v>-12</v>
      </c>
      <c r="D97" s="6">
        <f t="shared" si="131"/>
        <v>72</v>
      </c>
      <c r="E97" s="6">
        <f t="shared" si="132"/>
        <v>-8</v>
      </c>
      <c r="AS97" s="6">
        <v>-1.4835298641951922</v>
      </c>
      <c r="AT97" s="6">
        <v>-76.100936550665011</v>
      </c>
      <c r="AU97" s="6">
        <v>-236.70713071198276</v>
      </c>
      <c r="AV97" s="6">
        <f t="shared" si="98"/>
        <v>4.4013275156612348</v>
      </c>
      <c r="AW97" s="6">
        <f t="shared" si="99"/>
        <v>5.8848573798564274</v>
      </c>
      <c r="AX97" s="6">
        <f t="shared" si="100"/>
        <v>-1.2597348621714417</v>
      </c>
      <c r="AY97" s="6">
        <f t="shared" si="101"/>
        <v>1.2597348621714417</v>
      </c>
      <c r="AZ97" s="47">
        <f t="shared" si="102"/>
        <v>4.7996554429843936</v>
      </c>
      <c r="BA97" s="47">
        <f t="shared" si="103"/>
        <v>4.4013275156612348</v>
      </c>
      <c r="BB97" s="47">
        <f t="shared" si="104"/>
        <v>5.8848573798564274</v>
      </c>
      <c r="BC97" s="47">
        <f t="shared" si="105"/>
        <v>-1.2597348621714417</v>
      </c>
      <c r="BD97" s="47">
        <f t="shared" si="106"/>
        <v>1.2597348621714417</v>
      </c>
      <c r="BE97" s="40"/>
      <c r="BF97" s="40"/>
      <c r="BG97" s="6">
        <f t="shared" si="113"/>
        <v>-1.7104226669544553</v>
      </c>
      <c r="BH97" s="9">
        <f t="shared" ca="1" si="114"/>
        <v>-101.47985819424015</v>
      </c>
      <c r="BI97" s="9">
        <f t="shared" ca="1" si="115"/>
        <v>-181.38114362962136</v>
      </c>
      <c r="BJ97">
        <f t="shared" ca="1" si="116"/>
        <v>207.83955562768227</v>
      </c>
      <c r="BK97" s="6">
        <f t="shared" ca="1" si="117"/>
        <v>-0.48826056179617805</v>
      </c>
      <c r="BL97" s="6">
        <f t="shared" ca="1" si="118"/>
        <v>-0.87269789950158605</v>
      </c>
      <c r="BM97" s="6">
        <f t="shared" ca="1" si="119"/>
        <v>-2.080891792463504</v>
      </c>
      <c r="BN97" s="6">
        <f t="shared" ca="1" si="120"/>
        <v>-4.0003064124598611</v>
      </c>
      <c r="BO97" s="9">
        <f t="shared" ca="1" si="121"/>
        <v>-181.06205489039957</v>
      </c>
      <c r="BP97" s="9">
        <f t="shared" ca="1" si="122"/>
        <v>-237.55681188735156</v>
      </c>
      <c r="BQ97">
        <f t="shared" ca="1" si="123"/>
        <v>298.69165806097868</v>
      </c>
      <c r="BR97">
        <f t="shared" ca="1" si="124"/>
        <v>-0.60618383541677379</v>
      </c>
      <c r="BS97">
        <f t="shared" ca="1" si="125"/>
        <v>-0.79532456121976369</v>
      </c>
      <c r="BT97">
        <f t="shared" ca="1" si="126"/>
        <v>-2.2220498448426129</v>
      </c>
      <c r="BU97" s="40">
        <f t="shared" ca="1" si="127"/>
        <v>-5.363642498332406</v>
      </c>
    </row>
    <row r="98" spans="1:73" x14ac:dyDescent="0.25">
      <c r="A98" s="6">
        <f t="shared" si="128"/>
        <v>3</v>
      </c>
      <c r="B98" s="1">
        <f t="shared" si="129"/>
        <v>-15</v>
      </c>
      <c r="C98" s="1">
        <f t="shared" si="130"/>
        <v>-24</v>
      </c>
      <c r="D98" s="6">
        <f t="shared" si="131"/>
        <v>-48</v>
      </c>
      <c r="E98" s="6">
        <f t="shared" si="132"/>
        <v>112</v>
      </c>
      <c r="AS98" s="6">
        <v>-1.4660765716752489</v>
      </c>
      <c r="AT98" s="6">
        <v>-66.698303705298883</v>
      </c>
      <c r="AU98" s="6">
        <v>-235.61346658932021</v>
      </c>
      <c r="AV98" s="6">
        <f t="shared" si="98"/>
        <v>4.4365231694116805</v>
      </c>
      <c r="AW98" s="6">
        <f t="shared" si="99"/>
        <v>5.9025997410869291</v>
      </c>
      <c r="AX98" s="6">
        <f t="shared" si="100"/>
        <v>-1.2949305159218873</v>
      </c>
      <c r="AY98" s="6">
        <f t="shared" si="101"/>
        <v>1.2949305159218873</v>
      </c>
      <c r="AZ98" s="47">
        <f t="shared" si="102"/>
        <v>4.8171087355043376</v>
      </c>
      <c r="BA98" s="47">
        <f t="shared" si="103"/>
        <v>4.4365231694116805</v>
      </c>
      <c r="BB98" s="47">
        <f t="shared" si="104"/>
        <v>5.9025997410869291</v>
      </c>
      <c r="BC98" s="47">
        <f t="shared" si="105"/>
        <v>-1.2949305159218873</v>
      </c>
      <c r="BD98" s="47">
        <f t="shared" si="106"/>
        <v>1.2949305159218873</v>
      </c>
      <c r="BE98" s="40"/>
      <c r="BF98" s="40"/>
      <c r="BG98" s="6">
        <f t="shared" si="113"/>
        <v>-1.692969374434512</v>
      </c>
      <c r="BH98" s="9">
        <f t="shared" ca="1" si="114"/>
        <v>-94.895367318075344</v>
      </c>
      <c r="BI98" s="9">
        <f t="shared" ca="1" si="115"/>
        <v>-182.2311750019029</v>
      </c>
      <c r="BJ98">
        <f t="shared" ca="1" si="116"/>
        <v>205.45883256994964</v>
      </c>
      <c r="BK98" s="6">
        <f t="shared" ca="1" si="117"/>
        <v>-0.46187046879947435</v>
      </c>
      <c r="BL98" s="6">
        <f t="shared" ca="1" si="118"/>
        <v>-0.88694738854734445</v>
      </c>
      <c r="BM98" s="6">
        <f t="shared" ca="1" si="119"/>
        <v>-2.0508992537698356</v>
      </c>
      <c r="BN98" s="6">
        <f t="shared" ca="1" si="120"/>
        <v>-3.9703138737661927</v>
      </c>
      <c r="BO98" s="9">
        <f t="shared" ca="1" si="121"/>
        <v>-174.47756401423476</v>
      </c>
      <c r="BP98" s="9">
        <f t="shared" ca="1" si="122"/>
        <v>-238.40684325963309</v>
      </c>
      <c r="BQ98">
        <f t="shared" ca="1" si="123"/>
        <v>295.43229894066195</v>
      </c>
      <c r="BR98">
        <f t="shared" ca="1" si="124"/>
        <v>-0.59058391597622462</v>
      </c>
      <c r="BS98">
        <f t="shared" ca="1" si="125"/>
        <v>-0.80697623149023889</v>
      </c>
      <c r="BT98">
        <f t="shared" ca="1" si="126"/>
        <v>-2.2025785612474196</v>
      </c>
      <c r="BU98" s="40">
        <f t="shared" ca="1" si="127"/>
        <v>-5.3441712147372122</v>
      </c>
    </row>
    <row r="99" spans="1:73" x14ac:dyDescent="0.25">
      <c r="C99" s="1">
        <f>SUM(C91:C98)</f>
        <v>480</v>
      </c>
      <c r="D99" s="6">
        <f>SUM(D91:D98)/C99</f>
        <v>1.8</v>
      </c>
      <c r="E99" s="6">
        <f>SUM(E91:E98)/C99</f>
        <v>0.2</v>
      </c>
      <c r="AS99" s="6">
        <v>-1.4486232791553055</v>
      </c>
      <c r="AT99" s="6">
        <v>-57.872619786300078</v>
      </c>
      <c r="AU99" s="6">
        <v>-234.4786442441125</v>
      </c>
      <c r="AV99" s="6">
        <f t="shared" si="98"/>
        <v>4.4704111151585781</v>
      </c>
      <c r="AW99" s="6">
        <f t="shared" si="99"/>
        <v>5.9190343943138837</v>
      </c>
      <c r="AX99" s="6">
        <f t="shared" si="100"/>
        <v>-1.328818461668785</v>
      </c>
      <c r="AY99" s="6">
        <f t="shared" si="101"/>
        <v>1.328818461668785</v>
      </c>
      <c r="AZ99" s="47">
        <f t="shared" si="102"/>
        <v>4.8345620280242807</v>
      </c>
      <c r="BA99" s="47">
        <f t="shared" si="103"/>
        <v>4.4704111151585781</v>
      </c>
      <c r="BB99" s="47">
        <f t="shared" si="104"/>
        <v>5.9190343943138837</v>
      </c>
      <c r="BC99" s="47">
        <f t="shared" si="105"/>
        <v>-1.328818461668785</v>
      </c>
      <c r="BD99" s="47">
        <f t="shared" si="106"/>
        <v>1.328818461668785</v>
      </c>
      <c r="BE99" s="40"/>
      <c r="BF99" s="40"/>
      <c r="BG99" s="6">
        <f t="shared" si="113"/>
        <v>-1.6755160819145687</v>
      </c>
      <c r="BH99" s="9">
        <f t="shared" ca="1" si="114"/>
        <v>-88.332061228883632</v>
      </c>
      <c r="BI99" s="9">
        <f t="shared" ca="1" si="115"/>
        <v>-182.96162029361176</v>
      </c>
      <c r="BJ99">
        <f t="shared" ca="1" si="116"/>
        <v>203.16866771578489</v>
      </c>
      <c r="BK99" s="6">
        <f t="shared" ca="1" si="117"/>
        <v>-0.43477206511218758</v>
      </c>
      <c r="BL99" s="6">
        <f t="shared" ca="1" si="118"/>
        <v>-0.90054053290125913</v>
      </c>
      <c r="BM99" s="6">
        <f t="shared" ca="1" si="119"/>
        <v>-2.0205814791251941</v>
      </c>
      <c r="BN99" s="6">
        <f t="shared" ca="1" si="120"/>
        <v>-3.9399960991215512</v>
      </c>
      <c r="BO99" s="9">
        <f t="shared" ca="1" si="121"/>
        <v>-167.91425792504305</v>
      </c>
      <c r="BP99" s="9">
        <f t="shared" ca="1" si="122"/>
        <v>-239.13728855134195</v>
      </c>
      <c r="BQ99">
        <f t="shared" ca="1" si="123"/>
        <v>292.20171250388944</v>
      </c>
      <c r="BR99">
        <f t="shared" ca="1" si="124"/>
        <v>-0.57465186116186084</v>
      </c>
      <c r="BS99">
        <f t="shared" ca="1" si="125"/>
        <v>-0.81839797071058862</v>
      </c>
      <c r="BT99">
        <f t="shared" ca="1" si="126"/>
        <v>-2.1829750206386715</v>
      </c>
      <c r="BU99" s="40">
        <f t="shared" ca="1" si="127"/>
        <v>-5.3245676741284651</v>
      </c>
    </row>
    <row r="100" spans="1:73" x14ac:dyDescent="0.25">
      <c r="A100" s="8" t="s">
        <v>124</v>
      </c>
      <c r="B100" s="1">
        <f>B31*C99*0.65</f>
        <v>1326</v>
      </c>
      <c r="C100" t="s">
        <v>68</v>
      </c>
      <c r="AS100" s="6">
        <v>-1.4311699866353622</v>
      </c>
      <c r="AT100" s="6">
        <v>-50.897741490191471</v>
      </c>
      <c r="AU100" s="6">
        <v>-233.48371271954036</v>
      </c>
      <c r="AV100" s="6">
        <f t="shared" si="98"/>
        <v>4.4977541258174192</v>
      </c>
      <c r="AW100" s="6">
        <f t="shared" si="99"/>
        <v>5.9289241124527816</v>
      </c>
      <c r="AX100" s="6">
        <f t="shared" si="100"/>
        <v>-1.3561614723276261</v>
      </c>
      <c r="AY100" s="6">
        <f t="shared" si="101"/>
        <v>1.3561614723276261</v>
      </c>
      <c r="AZ100" s="47">
        <f t="shared" si="102"/>
        <v>4.8520153205442238</v>
      </c>
      <c r="BA100" s="47">
        <f t="shared" si="103"/>
        <v>4.4977541258174192</v>
      </c>
      <c r="BB100" s="47">
        <f t="shared" si="104"/>
        <v>5.9289241124527816</v>
      </c>
      <c r="BC100" s="47">
        <f t="shared" si="105"/>
        <v>-1.3561614723276261</v>
      </c>
      <c r="BD100" s="47">
        <f t="shared" si="106"/>
        <v>1.3561614723276261</v>
      </c>
      <c r="BE100" s="40"/>
      <c r="BF100" s="40"/>
      <c r="BG100" s="6">
        <f t="shared" si="113"/>
        <v>-1.6580627893946254</v>
      </c>
      <c r="BH100" s="9">
        <f t="shared" ca="1" si="114"/>
        <v>-81.784668197461613</v>
      </c>
      <c r="BI100" s="9">
        <f t="shared" ca="1" si="115"/>
        <v>-183.57416431673045</v>
      </c>
      <c r="BJ100">
        <f t="shared" ca="1" si="116"/>
        <v>200.9681710041539</v>
      </c>
      <c r="BK100" s="6">
        <f t="shared" ca="1" si="117"/>
        <v>-0.40695333887360285</v>
      </c>
      <c r="BL100" s="6">
        <f t="shared" ca="1" si="118"/>
        <v>-0.91344894765915974</v>
      </c>
      <c r="BM100" s="6">
        <f t="shared" ca="1" si="119"/>
        <v>-1.9899125628842214</v>
      </c>
      <c r="BN100" s="6">
        <f t="shared" ca="1" si="120"/>
        <v>-3.9093271828805785</v>
      </c>
      <c r="BO100" s="9">
        <f t="shared" ca="1" si="121"/>
        <v>-161.36686489362103</v>
      </c>
      <c r="BP100" s="9">
        <f t="shared" ca="1" si="122"/>
        <v>-239.74983257446064</v>
      </c>
      <c r="BQ100">
        <f t="shared" ca="1" si="123"/>
        <v>288.99696763993575</v>
      </c>
      <c r="BR100">
        <f t="shared" ca="1" si="124"/>
        <v>-0.55836871304016467</v>
      </c>
      <c r="BS100">
        <f t="shared" ca="1" si="125"/>
        <v>-0.82959290034201116</v>
      </c>
      <c r="BT100">
        <f t="shared" ca="1" si="126"/>
        <v>-2.1632144521179062</v>
      </c>
      <c r="BU100" s="40">
        <f t="shared" ca="1" si="127"/>
        <v>-5.3048071056076989</v>
      </c>
    </row>
    <row r="101" spans="1:73" x14ac:dyDescent="0.25">
      <c r="A101" s="8" t="s">
        <v>77</v>
      </c>
      <c r="B101" s="1">
        <f>B100*E99</f>
        <v>265.2</v>
      </c>
      <c r="C101" t="s">
        <v>69</v>
      </c>
      <c r="AS101" s="6">
        <v>-1.4137166941154189</v>
      </c>
      <c r="AT101" s="6">
        <v>-45.364564790970839</v>
      </c>
      <c r="AU101" s="6">
        <v>-232.61493023745044</v>
      </c>
      <c r="AV101" s="6">
        <f t="shared" si="98"/>
        <v>4.5197864310991971</v>
      </c>
      <c r="AW101" s="6">
        <f t="shared" si="99"/>
        <v>5.9335031252146155</v>
      </c>
      <c r="AX101" s="6">
        <f t="shared" si="100"/>
        <v>-1.378193777609404</v>
      </c>
      <c r="AY101" s="6">
        <f t="shared" si="101"/>
        <v>1.378193777609404</v>
      </c>
      <c r="AZ101" s="47">
        <f t="shared" si="102"/>
        <v>4.8694686130641678</v>
      </c>
      <c r="BA101" s="47">
        <f t="shared" si="103"/>
        <v>4.5197864310991971</v>
      </c>
      <c r="BB101" s="47">
        <f t="shared" si="104"/>
        <v>5.9335031252146155</v>
      </c>
      <c r="BC101" s="47">
        <f t="shared" si="105"/>
        <v>-1.378193777609404</v>
      </c>
      <c r="BD101" s="47">
        <f t="shared" si="106"/>
        <v>1.378193777609404</v>
      </c>
      <c r="BE101" s="40"/>
      <c r="BF101" s="40"/>
      <c r="BG101" s="6">
        <f t="shared" si="113"/>
        <v>-1.640609496874682</v>
      </c>
      <c r="BH101" s="9">
        <f t="shared" ca="1" si="114"/>
        <v>-75.24768973830227</v>
      </c>
      <c r="BI101" s="9">
        <f t="shared" ca="1" si="115"/>
        <v>-184.07015475871779</v>
      </c>
      <c r="BJ101">
        <f t="shared" ca="1" si="116"/>
        <v>198.85682458454909</v>
      </c>
      <c r="BK101" s="6">
        <f t="shared" ca="1" si="117"/>
        <v>-0.37840134426117611</v>
      </c>
      <c r="BL101" s="6">
        <f t="shared" ca="1" si="118"/>
        <v>-0.92564162755427903</v>
      </c>
      <c r="BM101" s="6">
        <f t="shared" ca="1" si="119"/>
        <v>-1.9588649338115871</v>
      </c>
      <c r="BN101" s="6">
        <f t="shared" ca="1" si="120"/>
        <v>-3.8782795538079444</v>
      </c>
      <c r="BO101" s="9">
        <f t="shared" ca="1" si="121"/>
        <v>-154.82988643446168</v>
      </c>
      <c r="BP101" s="9">
        <f t="shared" ca="1" si="122"/>
        <v>-240.24582301644799</v>
      </c>
      <c r="BQ101">
        <f t="shared" ca="1" si="123"/>
        <v>285.81523614069062</v>
      </c>
      <c r="BR101">
        <f t="shared" ca="1" si="124"/>
        <v>-0.54171320089544739</v>
      </c>
      <c r="BS101">
        <f t="shared" ca="1" si="125"/>
        <v>-0.84056338724429869</v>
      </c>
      <c r="BT101">
        <f t="shared" ca="1" si="126"/>
        <v>-2.1432702586611914</v>
      </c>
      <c r="BU101" s="40">
        <f t="shared" ca="1" si="127"/>
        <v>-5.2848629121509845</v>
      </c>
    </row>
    <row r="102" spans="1:73" x14ac:dyDescent="0.25">
      <c r="A102" s="8" t="s">
        <v>125</v>
      </c>
      <c r="B102" s="1">
        <f>B100*D99*-1</f>
        <v>-2386.8000000000002</v>
      </c>
      <c r="C102" t="s">
        <v>69</v>
      </c>
      <c r="J102" t="s">
        <v>127</v>
      </c>
      <c r="AS102" s="6">
        <v>-1.3962634015954756</v>
      </c>
      <c r="AT102" s="6">
        <v>-40.854849512122016</v>
      </c>
      <c r="AU102" s="6">
        <v>-231.84205903892601</v>
      </c>
      <c r="AV102" s="6">
        <f t="shared" si="98"/>
        <v>4.5379613101273968</v>
      </c>
      <c r="AW102" s="6">
        <f t="shared" si="99"/>
        <v>5.9342247117228721</v>
      </c>
      <c r="AX102" s="6">
        <f t="shared" si="100"/>
        <v>-1.3963686566376037</v>
      </c>
      <c r="AY102" s="6">
        <f t="shared" si="101"/>
        <v>1.3963686566376037</v>
      </c>
      <c r="AZ102" s="47">
        <f t="shared" si="102"/>
        <v>4.8869219055841109</v>
      </c>
      <c r="BA102" s="47">
        <f t="shared" si="103"/>
        <v>4.5379613101273968</v>
      </c>
      <c r="BB102" s="47">
        <f t="shared" si="104"/>
        <v>5.9342247117228721</v>
      </c>
      <c r="BC102" s="47">
        <f t="shared" si="105"/>
        <v>-1.3963686566376037</v>
      </c>
      <c r="BD102" s="47">
        <f t="shared" si="106"/>
        <v>1.3963686566376037</v>
      </c>
      <c r="BE102" s="40"/>
      <c r="BF102" s="40"/>
      <c r="BG102" s="6">
        <f t="shared" si="113"/>
        <v>-1.6231562043547387</v>
      </c>
      <c r="BH102" s="9">
        <f t="shared" ca="1" si="114"/>
        <v>-68.715296121007881</v>
      </c>
      <c r="BI102" s="9">
        <f t="shared" ca="1" si="115"/>
        <v>-184.45059760884436</v>
      </c>
      <c r="BJ102">
        <f t="shared" ca="1" si="116"/>
        <v>196.83448600094857</v>
      </c>
      <c r="BK102" s="6">
        <f t="shared" ca="1" si="117"/>
        <v>-0.34910191560983239</v>
      </c>
      <c r="BL102" s="6">
        <f t="shared" ca="1" si="118"/>
        <v>-0.93708476271762398</v>
      </c>
      <c r="BM102" s="6">
        <f t="shared" ca="1" si="119"/>
        <v>-1.9274088779755159</v>
      </c>
      <c r="BN102" s="6">
        <f t="shared" ca="1" si="120"/>
        <v>-3.8468234979718732</v>
      </c>
      <c r="BO102" s="9">
        <f t="shared" ca="1" si="121"/>
        <v>-148.2974928171673</v>
      </c>
      <c r="BP102" s="9">
        <f t="shared" ca="1" si="122"/>
        <v>-240.62626586657456</v>
      </c>
      <c r="BQ102">
        <f t="shared" ca="1" si="123"/>
        <v>282.65375674267841</v>
      </c>
      <c r="BR102">
        <f t="shared" ca="1" si="124"/>
        <v>-0.52466131894427281</v>
      </c>
      <c r="BS102">
        <f t="shared" ca="1" si="125"/>
        <v>-0.85131104797462598</v>
      </c>
      <c r="BT102">
        <f t="shared" ca="1" si="126"/>
        <v>-2.1231135564208072</v>
      </c>
      <c r="BU102" s="40">
        <f t="shared" ca="1" si="127"/>
        <v>-5.2647062099106003</v>
      </c>
    </row>
    <row r="103" spans="1:73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AS103" s="6">
        <v>-1.3788101090755323</v>
      </c>
      <c r="AT103" s="6">
        <v>-38.524650657480706</v>
      </c>
      <c r="AU103" s="6">
        <v>-231.41077132630542</v>
      </c>
      <c r="AV103" s="6">
        <f t="shared" si="98"/>
        <v>4.5474245141497729</v>
      </c>
      <c r="AW103" s="6">
        <f t="shared" si="99"/>
        <v>5.9262346232253051</v>
      </c>
      <c r="AX103" s="6">
        <f t="shared" si="100"/>
        <v>-1.4058318606599798</v>
      </c>
      <c r="AY103" s="6">
        <f t="shared" si="101"/>
        <v>1.4058318606599798</v>
      </c>
      <c r="AZ103" s="47">
        <f t="shared" si="102"/>
        <v>4.904375198104054</v>
      </c>
      <c r="BA103" s="47">
        <f t="shared" si="103"/>
        <v>4.5474245141497729</v>
      </c>
      <c r="BB103" s="47">
        <f t="shared" si="104"/>
        <v>5.9262346232253051</v>
      </c>
      <c r="BC103" s="47">
        <f t="shared" si="105"/>
        <v>-1.4058318606599798</v>
      </c>
      <c r="BD103" s="47">
        <f t="shared" si="106"/>
        <v>1.4058318606599798</v>
      </c>
      <c r="BE103" s="40"/>
      <c r="BF103" s="40"/>
      <c r="BG103" s="6">
        <f t="shared" si="113"/>
        <v>-1.6057029118347954</v>
      </c>
      <c r="BH103" s="9">
        <f t="shared" ca="1" si="114"/>
        <v>-62.181181909651471</v>
      </c>
      <c r="BI103" s="9">
        <f t="shared" ca="1" si="115"/>
        <v>-184.71614561841378</v>
      </c>
      <c r="BJ103">
        <f t="shared" ca="1" si="116"/>
        <v>194.90139516125637</v>
      </c>
      <c r="BK103" s="6">
        <f t="shared" ca="1" si="117"/>
        <v>-0.31903918316338559</v>
      </c>
      <c r="BL103" s="6">
        <f t="shared" ca="1" si="118"/>
        <v>-0.94774152573707549</v>
      </c>
      <c r="BM103" s="6">
        <f t="shared" ca="1" si="119"/>
        <v>-1.895511844581264</v>
      </c>
      <c r="BN103" s="6">
        <f t="shared" ca="1" si="120"/>
        <v>-3.8149264645776211</v>
      </c>
      <c r="BO103" s="9">
        <f t="shared" ca="1" si="121"/>
        <v>-141.76337860581089</v>
      </c>
      <c r="BP103" s="9">
        <f t="shared" ca="1" si="122"/>
        <v>-240.89181387614397</v>
      </c>
      <c r="BQ103">
        <f t="shared" ca="1" si="123"/>
        <v>279.50978785415236</v>
      </c>
      <c r="BR103">
        <f t="shared" ca="1" si="124"/>
        <v>-0.50718574005638306</v>
      </c>
      <c r="BS103">
        <f t="shared" ca="1" si="125"/>
        <v>-0.86183677403755476</v>
      </c>
      <c r="BT103">
        <f t="shared" ca="1" si="126"/>
        <v>-2.1027125466000873</v>
      </c>
      <c r="BU103" s="40">
        <f t="shared" ca="1" si="127"/>
        <v>-5.2443052000898804</v>
      </c>
    </row>
    <row r="104" spans="1:73" x14ac:dyDescent="0.25">
      <c r="A104">
        <f>A15</f>
        <v>1</v>
      </c>
      <c r="B104">
        <f t="shared" ref="B104:C104" si="133">B15</f>
        <v>8</v>
      </c>
      <c r="C104">
        <f t="shared" ca="1" si="133"/>
        <v>0.79</v>
      </c>
      <c r="D104" s="9">
        <f>D15-$I$2</f>
        <v>-18</v>
      </c>
      <c r="E104" s="5">
        <f>E15-$I$3</f>
        <v>7</v>
      </c>
      <c r="F104" s="5">
        <f ca="1">($B$12-$B$31)*C104*0.65</f>
        <v>28.627625000000002</v>
      </c>
      <c r="G104">
        <f ca="1">E104*F104</f>
        <v>200.39337500000002</v>
      </c>
      <c r="H104">
        <f ca="1">D104*F104*-1</f>
        <v>515.29725000000008</v>
      </c>
      <c r="J104">
        <f ca="1">-1*C104*$B$12*0.9</f>
        <v>-42.660000000000004</v>
      </c>
      <c r="K104">
        <f ca="1">E104*J104</f>
        <v>-298.62</v>
      </c>
      <c r="L104">
        <f ca="1">D104*J104*-1</f>
        <v>-767.88000000000011</v>
      </c>
      <c r="AS104" s="6">
        <v>-1.3613568165555889</v>
      </c>
      <c r="AT104" s="6">
        <v>-35.253994153544703</v>
      </c>
      <c r="AU104" s="6">
        <v>-230.75948858207656</v>
      </c>
      <c r="AV104" s="6">
        <f t="shared" si="98"/>
        <v>4.5607874215120709</v>
      </c>
      <c r="AW104" s="6">
        <f t="shared" si="99"/>
        <v>5.9221442380676601</v>
      </c>
      <c r="AX104" s="6">
        <f t="shared" si="100"/>
        <v>-1.4191947680222778</v>
      </c>
      <c r="AY104" s="6">
        <f t="shared" si="101"/>
        <v>1.4191947680222778</v>
      </c>
      <c r="AZ104" s="47">
        <f t="shared" si="102"/>
        <v>4.9218284906239971</v>
      </c>
      <c r="BA104" s="47">
        <f t="shared" si="103"/>
        <v>4.5607874215120709</v>
      </c>
      <c r="BB104" s="47">
        <f t="shared" si="104"/>
        <v>5.9221442380676601</v>
      </c>
      <c r="BC104" s="47">
        <f t="shared" si="105"/>
        <v>-1.4191947680222778</v>
      </c>
      <c r="BD104" s="47">
        <f t="shared" si="106"/>
        <v>1.4191947680222778</v>
      </c>
      <c r="BE104" s="40"/>
      <c r="BF104" s="40"/>
      <c r="BG104" s="6">
        <f t="shared" si="113"/>
        <v>-1.5882496193148521</v>
      </c>
      <c r="BH104" s="9">
        <f t="shared" ca="1" si="114"/>
        <v>-55.638359887829623</v>
      </c>
      <c r="BI104" s="9">
        <f t="shared" ca="1" si="115"/>
        <v>-184.86707674253859</v>
      </c>
      <c r="BJ104">
        <f t="shared" ca="1" si="116"/>
        <v>193.05818592937027</v>
      </c>
      <c r="BK104" s="6">
        <f t="shared" ca="1" si="117"/>
        <v>-0.28819477205791594</v>
      </c>
      <c r="BL104" s="6">
        <f t="shared" ca="1" si="118"/>
        <v>-0.9575718110713608</v>
      </c>
      <c r="BM104" s="6">
        <f t="shared" ca="1" si="119"/>
        <v>-1.8631374141391113</v>
      </c>
      <c r="BN104" s="6">
        <f t="shared" ca="1" si="120"/>
        <v>-3.7825520341354686</v>
      </c>
      <c r="BO104" s="9">
        <f t="shared" ca="1" si="121"/>
        <v>-135.22055658398904</v>
      </c>
      <c r="BP104" s="9">
        <f t="shared" ca="1" si="122"/>
        <v>-241.04274500026878</v>
      </c>
      <c r="BQ104">
        <f t="shared" ca="1" si="123"/>
        <v>276.38054171766214</v>
      </c>
      <c r="BR104">
        <f t="shared" ca="1" si="124"/>
        <v>-0.48925498062784839</v>
      </c>
      <c r="BS104">
        <f t="shared" ca="1" si="125"/>
        <v>-0.87214079363990515</v>
      </c>
      <c r="BT104">
        <f t="shared" ca="1" si="126"/>
        <v>-2.0820316327569524</v>
      </c>
      <c r="BU104" s="40">
        <f t="shared" ca="1" si="127"/>
        <v>-5.2236242862467455</v>
      </c>
    </row>
    <row r="105" spans="1:73" x14ac:dyDescent="0.25">
      <c r="A105">
        <f t="shared" ref="A105:C113" si="134">A16</f>
        <v>2</v>
      </c>
      <c r="B105">
        <f t="shared" si="134"/>
        <v>8</v>
      </c>
      <c r="C105">
        <f t="shared" ca="1" si="134"/>
        <v>0.79</v>
      </c>
      <c r="D105" s="9">
        <f t="shared" ref="D105:D113" si="135">D16-$I$2</f>
        <v>-8</v>
      </c>
      <c r="E105" s="5">
        <f t="shared" ref="E105:E113" si="136">E16-$I$3</f>
        <v>7</v>
      </c>
      <c r="F105" s="5">
        <f t="shared" ref="F105:F113" ca="1" si="137">($B$12-$B$31)*C105*0.65</f>
        <v>28.627625000000002</v>
      </c>
      <c r="G105">
        <f t="shared" ref="G105:G113" ca="1" si="138">E105*F105</f>
        <v>200.39337500000002</v>
      </c>
      <c r="H105">
        <f t="shared" ref="H105:H113" ca="1" si="139">D105*F105*-1</f>
        <v>229.02100000000002</v>
      </c>
      <c r="J105">
        <f t="shared" ref="J105:J113" ca="1" si="140">-1*C105*$B$12*0.9</f>
        <v>-42.660000000000004</v>
      </c>
      <c r="K105">
        <f t="shared" ref="K105:K113" ca="1" si="141">E105*J105</f>
        <v>-298.62</v>
      </c>
      <c r="L105">
        <f t="shared" ref="L105:L113" ca="1" si="142">D105*J105*-1</f>
        <v>-341.28000000000003</v>
      </c>
      <c r="AS105" s="6">
        <v>-1.3439035240356456</v>
      </c>
      <c r="AT105" s="6">
        <v>-32.438656291178987</v>
      </c>
      <c r="AU105" s="6">
        <v>-230.15747372002107</v>
      </c>
      <c r="AV105" s="6">
        <f t="shared" si="98"/>
        <v>4.5723701120283842</v>
      </c>
      <c r="AW105" s="6">
        <f t="shared" si="99"/>
        <v>5.9162736360640302</v>
      </c>
      <c r="AX105" s="6">
        <f t="shared" si="100"/>
        <v>-1.4307774585385911</v>
      </c>
      <c r="AY105" s="6">
        <f t="shared" si="101"/>
        <v>1.4307774585385911</v>
      </c>
      <c r="AZ105" s="47">
        <f t="shared" si="102"/>
        <v>4.9392817831439402</v>
      </c>
      <c r="BA105" s="47">
        <f t="shared" si="103"/>
        <v>4.5723701120283842</v>
      </c>
      <c r="BB105" s="47">
        <f t="shared" si="104"/>
        <v>5.9162736360640302</v>
      </c>
      <c r="BC105" s="47">
        <f t="shared" si="105"/>
        <v>-1.4307774585385911</v>
      </c>
      <c r="BD105" s="47">
        <f t="shared" si="106"/>
        <v>1.4307774585385911</v>
      </c>
      <c r="BE105" s="40"/>
      <c r="BF105" s="40"/>
      <c r="BG105" s="6">
        <f t="shared" si="113"/>
        <v>-1.5707963267949088</v>
      </c>
      <c r="BH105" s="9">
        <f t="shared" ca="1" si="114"/>
        <v>-49.078856869472773</v>
      </c>
      <c r="BI105" s="9">
        <f t="shared" ca="1" si="115"/>
        <v>-184.90325780590348</v>
      </c>
      <c r="BJ105">
        <f t="shared" ca="1" si="116"/>
        <v>191.3059040878002</v>
      </c>
      <c r="BK105" s="6">
        <f t="shared" ca="1" si="117"/>
        <v>-0.25654648299274624</v>
      </c>
      <c r="BL105" s="6">
        <f t="shared" ca="1" si="118"/>
        <v>-0.96653189397145722</v>
      </c>
      <c r="BM105" s="6">
        <f t="shared" ca="1" si="119"/>
        <v>-1.830243724133066</v>
      </c>
      <c r="BN105" s="6">
        <f t="shared" ca="1" si="120"/>
        <v>-3.7496583441294229</v>
      </c>
      <c r="BO105" s="9">
        <f t="shared" ca="1" si="121"/>
        <v>-128.66105356563219</v>
      </c>
      <c r="BP105" s="9">
        <f t="shared" ca="1" si="122"/>
        <v>-241.07892606363367</v>
      </c>
      <c r="BQ105">
        <f t="shared" ca="1" si="123"/>
        <v>273.26308806096267</v>
      </c>
      <c r="BR105">
        <f t="shared" ca="1" si="124"/>
        <v>-0.47083217304830061</v>
      </c>
      <c r="BS105">
        <f t="shared" ca="1" si="125"/>
        <v>-0.88222279772323664</v>
      </c>
      <c r="BT105">
        <f t="shared" ca="1" si="126"/>
        <v>-2.061030136225007</v>
      </c>
      <c r="BU105" s="40">
        <f t="shared" ca="1" si="127"/>
        <v>-5.2026227897148001</v>
      </c>
    </row>
    <row r="106" spans="1:73" x14ac:dyDescent="0.25">
      <c r="A106">
        <f t="shared" si="134"/>
        <v>3</v>
      </c>
      <c r="B106">
        <f t="shared" si="134"/>
        <v>8</v>
      </c>
      <c r="C106">
        <f t="shared" ca="1" si="134"/>
        <v>0.79</v>
      </c>
      <c r="D106" s="9">
        <f t="shared" si="135"/>
        <v>2</v>
      </c>
      <c r="E106" s="5">
        <f t="shared" si="136"/>
        <v>7</v>
      </c>
      <c r="F106" s="5">
        <f t="shared" ca="1" si="137"/>
        <v>28.627625000000002</v>
      </c>
      <c r="G106">
        <f t="shared" ca="1" si="138"/>
        <v>200.39337500000002</v>
      </c>
      <c r="H106">
        <f t="shared" ca="1" si="139"/>
        <v>-57.255250000000004</v>
      </c>
      <c r="J106">
        <f t="shared" ca="1" si="140"/>
        <v>-42.660000000000004</v>
      </c>
      <c r="K106">
        <f t="shared" ca="1" si="141"/>
        <v>-298.62</v>
      </c>
      <c r="L106">
        <f t="shared" ca="1" si="142"/>
        <v>85.320000000000007</v>
      </c>
      <c r="AS106" s="6">
        <v>-1.3264502315157023</v>
      </c>
      <c r="AT106" s="6">
        <v>-29.984897510117115</v>
      </c>
      <c r="AU106" s="6">
        <v>-229.59622450194161</v>
      </c>
      <c r="AV106" s="6">
        <f t="shared" si="98"/>
        <v>4.5825255751128244</v>
      </c>
      <c r="AW106" s="6">
        <f t="shared" si="99"/>
        <v>5.9089758066285265</v>
      </c>
      <c r="AX106" s="6">
        <f t="shared" si="100"/>
        <v>-1.4409329216230313</v>
      </c>
      <c r="AY106" s="6">
        <f t="shared" si="101"/>
        <v>1.4409329216230313</v>
      </c>
      <c r="AZ106" s="47">
        <f t="shared" si="102"/>
        <v>4.9567350756638842</v>
      </c>
      <c r="BA106" s="47">
        <f t="shared" si="103"/>
        <v>4.5825255751128244</v>
      </c>
      <c r="BB106" s="47">
        <f t="shared" si="104"/>
        <v>5.9089758066285265</v>
      </c>
      <c r="BC106" s="47">
        <f t="shared" si="105"/>
        <v>-1.4409329216230313</v>
      </c>
      <c r="BD106" s="47">
        <f t="shared" si="106"/>
        <v>1.4409329216230313</v>
      </c>
      <c r="BE106" s="40"/>
      <c r="BF106" s="40"/>
      <c r="BG106" s="6">
        <f t="shared" si="113"/>
        <v>-1.5533430342749655</v>
      </c>
      <c r="BH106" s="9">
        <f t="shared" ca="1" si="114"/>
        <v>-37.658139596768564</v>
      </c>
      <c r="BI106" s="9">
        <f t="shared" ca="1" si="115"/>
        <v>-184.1703487108669</v>
      </c>
      <c r="BJ106">
        <f t="shared" ca="1" si="116"/>
        <v>187.98099058727192</v>
      </c>
      <c r="BK106" s="6">
        <f t="shared" ca="1" si="117"/>
        <v>-0.20032950927176554</v>
      </c>
      <c r="BL106" s="6">
        <f t="shared" ca="1" si="118"/>
        <v>-0.97972857859456863</v>
      </c>
      <c r="BM106" s="6">
        <f t="shared" ca="1" si="119"/>
        <v>-1.7724905631278445</v>
      </c>
      <c r="BN106" s="6">
        <f t="shared" ca="1" si="120"/>
        <v>-3.6919051831242014</v>
      </c>
      <c r="BO106" s="9">
        <f t="shared" ca="1" si="121"/>
        <v>-117.24033629292798</v>
      </c>
      <c r="BP106" s="9">
        <f t="shared" ca="1" si="122"/>
        <v>-240.3460169685971</v>
      </c>
      <c r="BQ106">
        <f t="shared" ca="1" si="123"/>
        <v>267.41635014850533</v>
      </c>
      <c r="BR106">
        <f t="shared" ca="1" si="124"/>
        <v>-0.4384187288018121</v>
      </c>
      <c r="BS106">
        <f t="shared" ca="1" si="125"/>
        <v>-0.89877083744178254</v>
      </c>
      <c r="BT106">
        <f t="shared" ca="1" si="126"/>
        <v>-2.0246348728366312</v>
      </c>
      <c r="BU106" s="40">
        <f t="shared" ca="1" si="127"/>
        <v>-5.1662275263264243</v>
      </c>
    </row>
    <row r="107" spans="1:73" x14ac:dyDescent="0.25">
      <c r="A107">
        <f t="shared" si="134"/>
        <v>4</v>
      </c>
      <c r="B107">
        <f t="shared" si="134"/>
        <v>8</v>
      </c>
      <c r="C107">
        <f t="shared" ca="1" si="134"/>
        <v>0.79</v>
      </c>
      <c r="D107" s="9">
        <f t="shared" si="135"/>
        <v>12</v>
      </c>
      <c r="E107" s="5">
        <f t="shared" si="136"/>
        <v>7</v>
      </c>
      <c r="F107" s="5">
        <f t="shared" ca="1" si="137"/>
        <v>28.627625000000002</v>
      </c>
      <c r="G107">
        <f t="shared" ca="1" si="138"/>
        <v>200.39337500000002</v>
      </c>
      <c r="H107">
        <f t="shared" ca="1" si="139"/>
        <v>-343.53150000000005</v>
      </c>
      <c r="J107">
        <f t="shared" ca="1" si="140"/>
        <v>-42.660000000000004</v>
      </c>
      <c r="K107">
        <f t="shared" ca="1" si="141"/>
        <v>-298.62</v>
      </c>
      <c r="L107">
        <f t="shared" ca="1" si="142"/>
        <v>511.92000000000007</v>
      </c>
      <c r="AS107" s="6">
        <v>-1.308996938995759</v>
      </c>
      <c r="AT107" s="6">
        <v>-27.823288516001728</v>
      </c>
      <c r="AU107" s="6">
        <v>-229.06912240518335</v>
      </c>
      <c r="AV107" s="6">
        <f t="shared" si="98"/>
        <v>4.5915186508218184</v>
      </c>
      <c r="AW107" s="6">
        <f t="shared" si="99"/>
        <v>5.9005155898175774</v>
      </c>
      <c r="AX107" s="6">
        <f t="shared" si="100"/>
        <v>-1.4499259973320253</v>
      </c>
      <c r="AY107" s="6">
        <f t="shared" si="101"/>
        <v>1.4499259973320253</v>
      </c>
      <c r="AZ107" s="47">
        <f t="shared" si="102"/>
        <v>4.9741883681838273</v>
      </c>
      <c r="BA107" s="47">
        <f t="shared" si="103"/>
        <v>4.5915186508218184</v>
      </c>
      <c r="BB107" s="47">
        <f t="shared" si="104"/>
        <v>5.9005155898175774</v>
      </c>
      <c r="BC107" s="47">
        <f t="shared" si="105"/>
        <v>-1.4499259973320253</v>
      </c>
      <c r="BD107" s="47">
        <f t="shared" si="106"/>
        <v>1.4499259973320253</v>
      </c>
      <c r="BE107" s="40"/>
      <c r="BF107" s="40"/>
      <c r="BG107" s="6">
        <f t="shared" si="113"/>
        <v>-1.5358897417550221</v>
      </c>
      <c r="BH107" s="9">
        <f t="shared" ca="1" si="114"/>
        <v>-26.744911601384302</v>
      </c>
      <c r="BI107" s="9">
        <f t="shared" ca="1" si="115"/>
        <v>-183.36653740824022</v>
      </c>
      <c r="BJ107">
        <f t="shared" ca="1" si="116"/>
        <v>185.30671152889585</v>
      </c>
      <c r="BK107" s="6">
        <f t="shared" ca="1" si="117"/>
        <v>-0.14432780864072389</v>
      </c>
      <c r="BL107" s="6">
        <f t="shared" ca="1" si="118"/>
        <v>-0.98952993065039052</v>
      </c>
      <c r="BM107" s="6">
        <f t="shared" ca="1" si="119"/>
        <v>-1.7156299618747826</v>
      </c>
      <c r="BN107" s="6">
        <f t="shared" ca="1" si="120"/>
        <v>-3.6350445818711394</v>
      </c>
      <c r="BO107" s="9">
        <f t="shared" ca="1" si="121"/>
        <v>-106.32710829754372</v>
      </c>
      <c r="BP107" s="9">
        <f t="shared" ca="1" si="122"/>
        <v>-239.54220566597041</v>
      </c>
      <c r="BQ107">
        <f t="shared" ca="1" si="123"/>
        <v>262.07999209065093</v>
      </c>
      <c r="BR107">
        <f t="shared" ca="1" si="124"/>
        <v>-0.40570479054641528</v>
      </c>
      <c r="BS107">
        <f t="shared" ca="1" si="125"/>
        <v>-0.9140041700822209</v>
      </c>
      <c r="BT107">
        <f t="shared" ca="1" si="126"/>
        <v>-1.988546127684546</v>
      </c>
      <c r="BU107" s="40">
        <f t="shared" ca="1" si="127"/>
        <v>-5.1301387811743391</v>
      </c>
    </row>
    <row r="108" spans="1:73" x14ac:dyDescent="0.25">
      <c r="A108">
        <f t="shared" si="134"/>
        <v>5</v>
      </c>
      <c r="B108">
        <f t="shared" si="134"/>
        <v>0</v>
      </c>
      <c r="C108">
        <f t="shared" ca="1" si="134"/>
        <v>0</v>
      </c>
      <c r="D108" s="9">
        <f t="shared" si="135"/>
        <v>6</v>
      </c>
      <c r="E108" s="5">
        <f t="shared" si="136"/>
        <v>7</v>
      </c>
      <c r="F108" s="5">
        <f t="shared" ca="1" si="137"/>
        <v>0</v>
      </c>
      <c r="G108">
        <f t="shared" ca="1" si="138"/>
        <v>0</v>
      </c>
      <c r="H108">
        <f t="shared" ca="1" si="139"/>
        <v>0</v>
      </c>
      <c r="J108">
        <f t="shared" ca="1" si="140"/>
        <v>0</v>
      </c>
      <c r="K108">
        <f t="shared" ca="1" si="141"/>
        <v>0</v>
      </c>
      <c r="L108">
        <f t="shared" ca="1" si="142"/>
        <v>0</v>
      </c>
      <c r="AS108" s="6">
        <v>-1.2915436464758157</v>
      </c>
      <c r="AT108" s="6">
        <v>-25.901265153534869</v>
      </c>
      <c r="AU108" s="6">
        <v>-228.5709146691959</v>
      </c>
      <c r="AV108" s="6">
        <f t="shared" si="98"/>
        <v>4.5995520288082563</v>
      </c>
      <c r="AW108" s="6">
        <f t="shared" si="99"/>
        <v>5.8910956752840722</v>
      </c>
      <c r="AX108" s="6">
        <f t="shared" si="100"/>
        <v>-1.4579593753184632</v>
      </c>
      <c r="AY108" s="6">
        <f t="shared" si="101"/>
        <v>1.4579593753184632</v>
      </c>
      <c r="AZ108" s="47">
        <f t="shared" si="102"/>
        <v>4.9916416607037704</v>
      </c>
      <c r="BA108" s="47">
        <f t="shared" si="103"/>
        <v>4.5995520288082563</v>
      </c>
      <c r="BB108" s="47">
        <f t="shared" si="104"/>
        <v>5.8910956752840722</v>
      </c>
      <c r="BC108" s="47">
        <f t="shared" si="105"/>
        <v>-1.4579593753184632</v>
      </c>
      <c r="BD108" s="47">
        <f t="shared" si="106"/>
        <v>1.4579593753184632</v>
      </c>
      <c r="BE108" s="40"/>
      <c r="BF108" s="40"/>
      <c r="BG108" s="6">
        <f t="shared" si="113"/>
        <v>-1.5184364492350788</v>
      </c>
      <c r="BH108" s="9">
        <f t="shared" ca="1" si="114"/>
        <v>-16.285184206265896</v>
      </c>
      <c r="BI108" s="9">
        <f t="shared" ca="1" si="115"/>
        <v>-182.49295271088218</v>
      </c>
      <c r="BJ108">
        <f t="shared" ca="1" si="116"/>
        <v>183.21813505700874</v>
      </c>
      <c r="BK108" s="6">
        <f t="shared" ca="1" si="117"/>
        <v>-8.8884128207061625E-2</v>
      </c>
      <c r="BL108" s="6">
        <f t="shared" ca="1" si="118"/>
        <v>-0.99604197288712215</v>
      </c>
      <c r="BM108" s="6">
        <f t="shared" ca="1" si="119"/>
        <v>-1.6597979095748123</v>
      </c>
      <c r="BN108" s="6">
        <f t="shared" ca="1" si="120"/>
        <v>-3.5792125295711692</v>
      </c>
      <c r="BO108" s="9">
        <f t="shared" ca="1" si="121"/>
        <v>-95.86738090242531</v>
      </c>
      <c r="BP108" s="9">
        <f t="shared" ca="1" si="122"/>
        <v>-238.66862096861237</v>
      </c>
      <c r="BQ108">
        <f t="shared" ca="1" si="123"/>
        <v>257.20277089516327</v>
      </c>
      <c r="BR108">
        <f t="shared" ca="1" si="124"/>
        <v>-0.37273074690747088</v>
      </c>
      <c r="BS108">
        <f t="shared" ca="1" si="125"/>
        <v>-0.92793954022328373</v>
      </c>
      <c r="BT108">
        <f t="shared" ca="1" si="126"/>
        <v>-1.9527464214293879</v>
      </c>
      <c r="BU108" s="40">
        <f t="shared" ca="1" si="127"/>
        <v>-5.0943390749191808</v>
      </c>
    </row>
    <row r="109" spans="1:73" x14ac:dyDescent="0.25">
      <c r="A109">
        <f t="shared" si="134"/>
        <v>6</v>
      </c>
      <c r="B109">
        <f t="shared" si="134"/>
        <v>0</v>
      </c>
      <c r="C109">
        <f t="shared" ca="1" si="134"/>
        <v>0</v>
      </c>
      <c r="D109" s="9">
        <f t="shared" si="135"/>
        <v>16</v>
      </c>
      <c r="E109" s="5">
        <f t="shared" si="136"/>
        <v>7</v>
      </c>
      <c r="F109" s="5">
        <f t="shared" ca="1" si="137"/>
        <v>0</v>
      </c>
      <c r="G109">
        <f t="shared" ca="1" si="138"/>
        <v>0</v>
      </c>
      <c r="H109">
        <f t="shared" ca="1" si="139"/>
        <v>0</v>
      </c>
      <c r="J109">
        <f t="shared" ca="1" si="140"/>
        <v>0</v>
      </c>
      <c r="K109">
        <f t="shared" ca="1" si="141"/>
        <v>0</v>
      </c>
      <c r="L109">
        <f t="shared" ca="1" si="142"/>
        <v>0</v>
      </c>
      <c r="AS109" s="6">
        <v>-1.2740903539558723</v>
      </c>
      <c r="AT109" s="6">
        <v>-24.178270037749517</v>
      </c>
      <c r="AU109" s="6">
        <v>-228.09736126560784</v>
      </c>
      <c r="AV109" s="6">
        <f t="shared" si="98"/>
        <v>4.6067835484419311</v>
      </c>
      <c r="AW109" s="6">
        <f t="shared" si="99"/>
        <v>5.8808739023978038</v>
      </c>
      <c r="AX109" s="6">
        <f t="shared" si="100"/>
        <v>-1.4651908949521379</v>
      </c>
      <c r="AY109" s="6">
        <f t="shared" si="101"/>
        <v>1.4651908949521379</v>
      </c>
      <c r="AZ109" s="47">
        <f t="shared" si="102"/>
        <v>5.0090949532237143</v>
      </c>
      <c r="BA109" s="47">
        <f t="shared" si="103"/>
        <v>4.6067835484419311</v>
      </c>
      <c r="BB109" s="47">
        <f t="shared" si="104"/>
        <v>5.8808739023978038</v>
      </c>
      <c r="BC109" s="47">
        <f t="shared" si="105"/>
        <v>-1.4651908949521379</v>
      </c>
      <c r="BD109" s="47">
        <f t="shared" si="106"/>
        <v>1.4651908949521379</v>
      </c>
      <c r="BE109" s="40"/>
      <c r="BF109" s="40"/>
      <c r="BG109" s="6">
        <f t="shared" si="113"/>
        <v>-1.5009831567151355</v>
      </c>
      <c r="BH109" s="9">
        <f t="shared" ca="1" si="114"/>
        <v>-6.2263842117679076</v>
      </c>
      <c r="BI109" s="9">
        <f t="shared" ca="1" si="115"/>
        <v>-181.54871347188455</v>
      </c>
      <c r="BJ109">
        <f t="shared" ca="1" si="116"/>
        <v>181.65545195134933</v>
      </c>
      <c r="BK109" s="6">
        <f t="shared" ca="1" si="117"/>
        <v>-3.4275790486241214E-2</v>
      </c>
      <c r="BL109" s="6">
        <f t="shared" ca="1" si="118"/>
        <v>-0.99941241246371526</v>
      </c>
      <c r="BM109" s="6">
        <f t="shared" ca="1" si="119"/>
        <v>-1.6050788322018343</v>
      </c>
      <c r="BN109" s="6">
        <f t="shared" ca="1" si="120"/>
        <v>-3.5244934521981914</v>
      </c>
      <c r="BO109" s="9">
        <f t="shared" ca="1" si="121"/>
        <v>-85.808580907927322</v>
      </c>
      <c r="BP109" s="9">
        <f t="shared" ca="1" si="122"/>
        <v>-237.72438172961475</v>
      </c>
      <c r="BQ109">
        <f t="shared" ca="1" si="123"/>
        <v>252.73700604810506</v>
      </c>
      <c r="BR109">
        <f t="shared" ca="1" si="124"/>
        <v>-0.33951728023396316</v>
      </c>
      <c r="BS109">
        <f t="shared" ca="1" si="125"/>
        <v>-0.94059981736258735</v>
      </c>
      <c r="BT109">
        <f t="shared" ca="1" si="126"/>
        <v>-1.9171999725678148</v>
      </c>
      <c r="BU109" s="40">
        <f t="shared" ca="1" si="127"/>
        <v>-5.0587926260576079</v>
      </c>
    </row>
    <row r="110" spans="1:73" x14ac:dyDescent="0.25">
      <c r="A110">
        <f t="shared" si="134"/>
        <v>7</v>
      </c>
      <c r="B110">
        <f t="shared" si="134"/>
        <v>0</v>
      </c>
      <c r="C110">
        <f t="shared" ca="1" si="134"/>
        <v>0</v>
      </c>
      <c r="D110" s="9">
        <f t="shared" si="135"/>
        <v>26</v>
      </c>
      <c r="E110" s="5">
        <f t="shared" si="136"/>
        <v>7</v>
      </c>
      <c r="F110" s="5">
        <f t="shared" ca="1" si="137"/>
        <v>0</v>
      </c>
      <c r="G110">
        <f t="shared" ca="1" si="138"/>
        <v>0</v>
      </c>
      <c r="H110">
        <f t="shared" ca="1" si="139"/>
        <v>0</v>
      </c>
      <c r="J110">
        <f t="shared" ca="1" si="140"/>
        <v>0</v>
      </c>
      <c r="K110">
        <f t="shared" ca="1" si="141"/>
        <v>0</v>
      </c>
      <c r="L110">
        <f t="shared" ca="1" si="142"/>
        <v>0</v>
      </c>
      <c r="AS110" s="6">
        <v>-1.256637061435929</v>
      </c>
      <c r="AT110" s="6">
        <v>-22.622487782191332</v>
      </c>
      <c r="AU110" s="6">
        <v>-227.6449877008252</v>
      </c>
      <c r="AV110" s="6">
        <f t="shared" si="98"/>
        <v>4.6133380160185524</v>
      </c>
      <c r="AW110" s="6">
        <f t="shared" si="99"/>
        <v>5.8699750774544812</v>
      </c>
      <c r="AX110" s="6">
        <f t="shared" si="100"/>
        <v>-1.4717453625287593</v>
      </c>
      <c r="AY110" s="6">
        <f t="shared" si="101"/>
        <v>1.4717453625287593</v>
      </c>
      <c r="AZ110" s="47">
        <f t="shared" si="102"/>
        <v>5.0265482457436574</v>
      </c>
      <c r="BA110" s="47">
        <f t="shared" si="103"/>
        <v>4.6133380160185524</v>
      </c>
      <c r="BB110" s="47">
        <f t="shared" si="104"/>
        <v>5.8699750774544812</v>
      </c>
      <c r="BC110" s="47">
        <f t="shared" si="105"/>
        <v>-1.4717453625287593</v>
      </c>
      <c r="BD110" s="47">
        <f t="shared" si="106"/>
        <v>1.4717453625287593</v>
      </c>
      <c r="BE110" s="40"/>
      <c r="BF110" s="40"/>
      <c r="BG110" s="6">
        <f t="shared" si="113"/>
        <v>-1.4835298641951922</v>
      </c>
      <c r="BH110" s="9">
        <f t="shared" ca="1" si="114"/>
        <v>3.481260145494403</v>
      </c>
      <c r="BI110" s="9">
        <f t="shared" ca="1" si="115"/>
        <v>-180.53146245425256</v>
      </c>
      <c r="BJ110">
        <f t="shared" ca="1" si="116"/>
        <v>180.56502459798745</v>
      </c>
      <c r="BK110" s="6">
        <f t="shared" ca="1" si="117"/>
        <v>1.9279814312019344E-2</v>
      </c>
      <c r="BL110" s="6">
        <f t="shared" ca="1" si="118"/>
        <v>-0.99981412710568063</v>
      </c>
      <c r="BM110" s="6">
        <f t="shared" ca="1" si="119"/>
        <v>-1.5515153178624284</v>
      </c>
      <c r="BN110" s="6">
        <f t="shared" ca="1" si="120"/>
        <v>-3.4709299378587852</v>
      </c>
      <c r="BO110" s="9">
        <f t="shared" ca="1" si="121"/>
        <v>-76.100936550665011</v>
      </c>
      <c r="BP110" s="9">
        <f t="shared" ca="1" si="122"/>
        <v>-236.70713071198276</v>
      </c>
      <c r="BQ110">
        <f t="shared" ca="1" si="123"/>
        <v>248.63953481654528</v>
      </c>
      <c r="BR110">
        <f t="shared" ca="1" si="124"/>
        <v>-0.30606933288712462</v>
      </c>
      <c r="BS110">
        <f t="shared" ca="1" si="125"/>
        <v>-0.95200922446477931</v>
      </c>
      <c r="BT110">
        <f t="shared" ca="1" si="126"/>
        <v>-1.8818577915183516</v>
      </c>
      <c r="BU110" s="40">
        <f t="shared" ca="1" si="127"/>
        <v>-5.0234504450081445</v>
      </c>
    </row>
    <row r="111" spans="1:73" x14ac:dyDescent="0.25">
      <c r="A111">
        <f t="shared" si="134"/>
        <v>8</v>
      </c>
      <c r="B111">
        <f t="shared" si="134"/>
        <v>0</v>
      </c>
      <c r="C111">
        <f t="shared" ca="1" si="134"/>
        <v>0</v>
      </c>
      <c r="D111" s="9">
        <f t="shared" si="135"/>
        <v>36</v>
      </c>
      <c r="E111" s="5">
        <f t="shared" si="136"/>
        <v>7</v>
      </c>
      <c r="F111" s="5">
        <f t="shared" ca="1" si="137"/>
        <v>0</v>
      </c>
      <c r="G111">
        <f t="shared" ca="1" si="138"/>
        <v>0</v>
      </c>
      <c r="H111">
        <f t="shared" ca="1" si="139"/>
        <v>0</v>
      </c>
      <c r="J111">
        <f t="shared" ca="1" si="140"/>
        <v>0</v>
      </c>
      <c r="K111">
        <f t="shared" ca="1" si="141"/>
        <v>0</v>
      </c>
      <c r="L111">
        <f t="shared" ca="1" si="142"/>
        <v>0</v>
      </c>
      <c r="AS111" s="6">
        <v>-1.2391837689159857</v>
      </c>
      <c r="AT111" s="6">
        <v>-21.208594108563148</v>
      </c>
      <c r="AU111" s="6">
        <v>-227.21090799889942</v>
      </c>
      <c r="AV111" s="6">
        <f t="shared" si="98"/>
        <v>4.6193154663657756</v>
      </c>
      <c r="AW111" s="6">
        <f t="shared" si="99"/>
        <v>5.8584992352817613</v>
      </c>
      <c r="AX111" s="6">
        <f t="shared" si="100"/>
        <v>-1.4777228128759825</v>
      </c>
      <c r="AY111" s="6">
        <f t="shared" si="101"/>
        <v>1.4777228128759825</v>
      </c>
      <c r="AZ111" s="47">
        <f t="shared" si="102"/>
        <v>5.0440015382636005</v>
      </c>
      <c r="BA111" s="47">
        <f t="shared" si="103"/>
        <v>4.6193154663657756</v>
      </c>
      <c r="BB111" s="47">
        <f t="shared" si="104"/>
        <v>5.8584992352817613</v>
      </c>
      <c r="BC111" s="47">
        <f t="shared" si="105"/>
        <v>-1.4777228128759825</v>
      </c>
      <c r="BD111" s="47">
        <f t="shared" si="106"/>
        <v>1.4777228128759825</v>
      </c>
      <c r="BE111" s="40"/>
      <c r="BF111" s="40"/>
      <c r="BG111" s="6">
        <f t="shared" si="113"/>
        <v>-1.4660765716752489</v>
      </c>
      <c r="BH111" s="9">
        <f t="shared" ca="1" si="114"/>
        <v>12.883892990860531</v>
      </c>
      <c r="BI111" s="9">
        <f t="shared" ca="1" si="115"/>
        <v>-179.43779833159002</v>
      </c>
      <c r="BJ111">
        <f t="shared" ca="1" si="116"/>
        <v>179.89974477104829</v>
      </c>
      <c r="BK111" s="6">
        <f t="shared" ca="1" si="117"/>
        <v>7.1617072093445061E-2</v>
      </c>
      <c r="BL111" s="6">
        <f t="shared" ca="1" si="118"/>
        <v>-0.99743220069574767</v>
      </c>
      <c r="BM111" s="6">
        <f t="shared" ca="1" si="119"/>
        <v>-1.4991178922476065</v>
      </c>
      <c r="BN111" s="6">
        <f t="shared" ca="1" si="120"/>
        <v>-3.4185325122439636</v>
      </c>
      <c r="BO111" s="9">
        <f t="shared" ca="1" si="121"/>
        <v>-66.698303705298883</v>
      </c>
      <c r="BP111" s="9">
        <f t="shared" ca="1" si="122"/>
        <v>-235.61346658932021</v>
      </c>
      <c r="BQ111">
        <f t="shared" ca="1" si="123"/>
        <v>244.8721489990256</v>
      </c>
      <c r="BR111">
        <f t="shared" ca="1" si="124"/>
        <v>-0.27238011336913737</v>
      </c>
      <c r="BS111">
        <f t="shared" ca="1" si="125"/>
        <v>-0.96218972860918439</v>
      </c>
      <c r="BT111">
        <f t="shared" ca="1" si="126"/>
        <v>-1.8466621377679056</v>
      </c>
      <c r="BU111" s="40">
        <f t="shared" ca="1" si="127"/>
        <v>-4.9882547912576989</v>
      </c>
    </row>
    <row r="112" spans="1:73" x14ac:dyDescent="0.25">
      <c r="A112">
        <f t="shared" si="134"/>
        <v>9</v>
      </c>
      <c r="B112">
        <f t="shared" si="134"/>
        <v>0</v>
      </c>
      <c r="C112">
        <f t="shared" ca="1" si="134"/>
        <v>0</v>
      </c>
      <c r="D112" s="9">
        <f t="shared" si="135"/>
        <v>9</v>
      </c>
      <c r="E112" s="5">
        <f t="shared" si="136"/>
        <v>-13</v>
      </c>
      <c r="F112" s="5">
        <f t="shared" ca="1" si="137"/>
        <v>0</v>
      </c>
      <c r="G112">
        <f t="shared" ca="1" si="138"/>
        <v>0</v>
      </c>
      <c r="H112">
        <f t="shared" ca="1" si="139"/>
        <v>0</v>
      </c>
      <c r="J112">
        <f t="shared" ca="1" si="140"/>
        <v>0</v>
      </c>
      <c r="K112">
        <f t="shared" ca="1" si="141"/>
        <v>0</v>
      </c>
      <c r="L112">
        <f t="shared" ca="1" si="142"/>
        <v>0</v>
      </c>
      <c r="AS112" s="6">
        <v>-1.2217304763960424</v>
      </c>
      <c r="AT112" s="6">
        <v>-19.916168881099974</v>
      </c>
      <c r="AU112" s="6">
        <v>-226.79269522477006</v>
      </c>
      <c r="AV112" s="6">
        <f t="shared" si="98"/>
        <v>4.624797057649185</v>
      </c>
      <c r="AW112" s="6">
        <f t="shared" si="99"/>
        <v>5.8465275340452276</v>
      </c>
      <c r="AX112" s="6">
        <f t="shared" si="100"/>
        <v>-1.4832044041593919</v>
      </c>
      <c r="AY112" s="6">
        <f t="shared" si="101"/>
        <v>1.4832044041593919</v>
      </c>
      <c r="AZ112" s="47">
        <f t="shared" si="102"/>
        <v>5.0614548307835436</v>
      </c>
      <c r="BA112" s="47">
        <f t="shared" si="103"/>
        <v>4.624797057649185</v>
      </c>
      <c r="BB112" s="47">
        <f t="shared" si="104"/>
        <v>5.8465275340452276</v>
      </c>
      <c r="BC112" s="47">
        <f t="shared" si="105"/>
        <v>-1.4832044041593919</v>
      </c>
      <c r="BD112" s="47">
        <f t="shared" si="106"/>
        <v>1.4832044041593919</v>
      </c>
      <c r="BE112" s="40"/>
      <c r="BF112" s="40"/>
      <c r="BG112" s="6">
        <f t="shared" si="113"/>
        <v>-1.4486232791553055</v>
      </c>
      <c r="BH112" s="9">
        <f t="shared" ca="1" si="114"/>
        <v>21.709576909859337</v>
      </c>
      <c r="BI112" s="9">
        <f t="shared" ca="1" si="115"/>
        <v>-178.30297598638231</v>
      </c>
      <c r="BJ112">
        <f t="shared" ca="1" si="116"/>
        <v>179.61975663942295</v>
      </c>
      <c r="BK112" s="6">
        <f t="shared" ca="1" si="117"/>
        <v>0.12086408152439573</v>
      </c>
      <c r="BL112" s="6">
        <f t="shared" ca="1" si="118"/>
        <v>-0.99266906559903645</v>
      </c>
      <c r="BM112" s="6">
        <f t="shared" ca="1" si="119"/>
        <v>-1.4496360275828699</v>
      </c>
      <c r="BN112" s="6">
        <f t="shared" ca="1" si="120"/>
        <v>-3.3690506475792272</v>
      </c>
      <c r="BO112" s="9">
        <f t="shared" ca="1" si="121"/>
        <v>-57.872619786300078</v>
      </c>
      <c r="BP112" s="9">
        <f t="shared" ca="1" si="122"/>
        <v>-234.4786442441125</v>
      </c>
      <c r="BQ112">
        <f t="shared" ca="1" si="123"/>
        <v>241.51495756471633</v>
      </c>
      <c r="BR112">
        <f t="shared" ca="1" si="124"/>
        <v>-0.23962333583746065</v>
      </c>
      <c r="BS112">
        <f t="shared" ca="1" si="125"/>
        <v>-0.97086593148700373</v>
      </c>
      <c r="BT112">
        <f t="shared" ca="1" si="126"/>
        <v>-1.8127741920210076</v>
      </c>
      <c r="BU112" s="40">
        <f t="shared" ca="1" si="127"/>
        <v>-4.9543668455108012</v>
      </c>
    </row>
    <row r="113" spans="1:73" x14ac:dyDescent="0.25">
      <c r="A113">
        <f t="shared" si="134"/>
        <v>10</v>
      </c>
      <c r="B113">
        <f t="shared" si="134"/>
        <v>0</v>
      </c>
      <c r="C113">
        <f t="shared" ca="1" si="134"/>
        <v>0</v>
      </c>
      <c r="D113" s="9">
        <f t="shared" si="135"/>
        <v>13</v>
      </c>
      <c r="E113" s="5">
        <f t="shared" si="136"/>
        <v>-13</v>
      </c>
      <c r="F113" s="5">
        <f t="shared" ca="1" si="137"/>
        <v>0</v>
      </c>
      <c r="G113">
        <f t="shared" ca="1" si="138"/>
        <v>0</v>
      </c>
      <c r="H113">
        <f t="shared" ca="1" si="139"/>
        <v>0</v>
      </c>
      <c r="J113">
        <f t="shared" ca="1" si="140"/>
        <v>0</v>
      </c>
      <c r="K113">
        <f t="shared" ca="1" si="141"/>
        <v>0</v>
      </c>
      <c r="L113">
        <f t="shared" ca="1" si="142"/>
        <v>0</v>
      </c>
      <c r="AS113" s="6">
        <v>-1.2042771838760991</v>
      </c>
      <c r="AT113" s="6">
        <v>-18.728554623746689</v>
      </c>
      <c r="AU113" s="6">
        <v>-226.38828513364572</v>
      </c>
      <c r="AV113" s="6">
        <f t="shared" si="98"/>
        <v>4.6298493558237839</v>
      </c>
      <c r="AW113" s="6">
        <f t="shared" si="99"/>
        <v>5.8341265396998825</v>
      </c>
      <c r="AX113" s="6">
        <f t="shared" si="100"/>
        <v>-1.4882567023339908</v>
      </c>
      <c r="AY113" s="6">
        <f t="shared" si="101"/>
        <v>1.4882567023339908</v>
      </c>
      <c r="AZ113" s="47">
        <f t="shared" si="102"/>
        <v>5.0789081233034867</v>
      </c>
      <c r="BA113" s="47">
        <f t="shared" si="103"/>
        <v>4.6298493558237839</v>
      </c>
      <c r="BB113" s="47">
        <f t="shared" si="104"/>
        <v>5.8341265396998825</v>
      </c>
      <c r="BC113" s="47">
        <f t="shared" si="105"/>
        <v>-1.4882567023339908</v>
      </c>
      <c r="BD113" s="47">
        <f t="shared" si="106"/>
        <v>1.4882567023339908</v>
      </c>
      <c r="BE113" s="40"/>
      <c r="BF113" s="40"/>
      <c r="BG113" s="6">
        <f t="shared" si="113"/>
        <v>-1.4311699866353622</v>
      </c>
      <c r="BH113" s="9">
        <f t="shared" ca="1" si="114"/>
        <v>28.684455205967943</v>
      </c>
      <c r="BI113" s="9">
        <f t="shared" ca="1" si="115"/>
        <v>-177.30804446181017</v>
      </c>
      <c r="BJ113">
        <f t="shared" ca="1" si="116"/>
        <v>179.61330853067216</v>
      </c>
      <c r="BK113" s="6">
        <f t="shared" ca="1" si="117"/>
        <v>0.15970116825207062</v>
      </c>
      <c r="BL113" s="6">
        <f t="shared" ca="1" si="118"/>
        <v>-0.98716540501525074</v>
      </c>
      <c r="BM113" s="6">
        <f t="shared" ca="1" si="119"/>
        <v>-1.4104083982584168</v>
      </c>
      <c r="BN113" s="6">
        <f t="shared" ca="1" si="120"/>
        <v>-3.3298230182547739</v>
      </c>
      <c r="BO113" s="9">
        <f t="shared" ca="1" si="121"/>
        <v>-50.897741490191471</v>
      </c>
      <c r="BP113" s="9">
        <f t="shared" ca="1" si="122"/>
        <v>-233.48371271954036</v>
      </c>
      <c r="BQ113">
        <f t="shared" ca="1" si="123"/>
        <v>238.96699394289416</v>
      </c>
      <c r="BR113">
        <f t="shared" ca="1" si="124"/>
        <v>-0.21299067561754775</v>
      </c>
      <c r="BS113">
        <f t="shared" ca="1" si="125"/>
        <v>-0.97705423191344942</v>
      </c>
      <c r="BT113">
        <f t="shared" ca="1" si="126"/>
        <v>-1.7854311813621671</v>
      </c>
      <c r="BU113" s="40">
        <f t="shared" ca="1" si="127"/>
        <v>-4.9270238348519602</v>
      </c>
    </row>
    <row r="114" spans="1:73" x14ac:dyDescent="0.25">
      <c r="F114" s="5">
        <f ca="1">SUM(F104:F113)</f>
        <v>114.51050000000001</v>
      </c>
      <c r="G114" s="5">
        <f t="shared" ref="G114:H114" ca="1" si="143">SUM(G104:G113)</f>
        <v>801.57350000000008</v>
      </c>
      <c r="H114" s="5">
        <f t="shared" ca="1" si="143"/>
        <v>343.53149999999994</v>
      </c>
      <c r="J114">
        <f ca="1">SUM(J104:J113)</f>
        <v>-170.64000000000001</v>
      </c>
      <c r="K114">
        <f t="shared" ref="K114:L114" ca="1" si="144">SUM(K104:K113)</f>
        <v>-1194.48</v>
      </c>
      <c r="L114">
        <f t="shared" ca="1" si="144"/>
        <v>-511.91999999999996</v>
      </c>
      <c r="AS114" s="6">
        <v>-1.1868238913561557</v>
      </c>
      <c r="AT114" s="6">
        <v>-17.632020885431466</v>
      </c>
      <c r="AU114" s="6">
        <v>-225.99590322073942</v>
      </c>
      <c r="AV114" s="6">
        <f t="shared" si="98"/>
        <v>4.6345274998080592</v>
      </c>
      <c r="AW114" s="6">
        <f t="shared" si="99"/>
        <v>5.8213513911642147</v>
      </c>
      <c r="AX114" s="6">
        <f t="shared" si="100"/>
        <v>-1.4929348463182661</v>
      </c>
      <c r="AY114" s="6">
        <f t="shared" si="101"/>
        <v>1.4929348463182661</v>
      </c>
      <c r="AZ114" s="47">
        <f t="shared" si="102"/>
        <v>5.0963614158234307</v>
      </c>
      <c r="BA114" s="47">
        <f t="shared" si="103"/>
        <v>4.6345274998080592</v>
      </c>
      <c r="BB114" s="47">
        <f t="shared" si="104"/>
        <v>5.8213513911642147</v>
      </c>
      <c r="BC114" s="47">
        <f t="shared" si="105"/>
        <v>-1.4929348463182661</v>
      </c>
      <c r="BD114" s="47">
        <f t="shared" si="106"/>
        <v>1.4929348463182661</v>
      </c>
      <c r="BE114" s="40"/>
      <c r="BF114" s="40"/>
      <c r="BG114" s="6">
        <f t="shared" si="113"/>
        <v>-1.4137166941154189</v>
      </c>
      <c r="BH114" s="9">
        <f t="shared" ca="1" si="114"/>
        <v>34.217631905188576</v>
      </c>
      <c r="BI114" s="9">
        <f t="shared" ca="1" si="115"/>
        <v>-176.43926197972024</v>
      </c>
      <c r="BJ114">
        <f t="shared" ca="1" si="116"/>
        <v>179.72662435250749</v>
      </c>
      <c r="BK114" s="6">
        <f t="shared" ca="1" si="117"/>
        <v>0.19038710613111887</v>
      </c>
      <c r="BL114" s="6">
        <f t="shared" ca="1" si="118"/>
        <v>-0.98170909633099457</v>
      </c>
      <c r="BM114" s="6">
        <f t="shared" ca="1" si="119"/>
        <v>-1.379239876755441</v>
      </c>
      <c r="BN114" s="6">
        <f t="shared" ca="1" si="120"/>
        <v>-3.2986544967517979</v>
      </c>
      <c r="BO114" s="9">
        <f t="shared" ca="1" si="121"/>
        <v>-45.364564790970839</v>
      </c>
      <c r="BP114" s="9">
        <f t="shared" ca="1" si="122"/>
        <v>-232.61493023745044</v>
      </c>
      <c r="BQ114">
        <f t="shared" ca="1" si="123"/>
        <v>236.99715084373508</v>
      </c>
      <c r="BR114">
        <f t="shared" ca="1" si="124"/>
        <v>-0.1914139669167674</v>
      </c>
      <c r="BS114">
        <f t="shared" ca="1" si="125"/>
        <v>-0.98150939540545756</v>
      </c>
      <c r="BT114">
        <f t="shared" ca="1" si="126"/>
        <v>-1.7633988760803887</v>
      </c>
      <c r="BU114" s="40">
        <f t="shared" ca="1" si="127"/>
        <v>-4.9049915295701823</v>
      </c>
    </row>
    <row r="115" spans="1:73" x14ac:dyDescent="0.25">
      <c r="A115" s="8" t="s">
        <v>99</v>
      </c>
      <c r="B115" s="5">
        <f ca="1">B100+F114</f>
        <v>1440.5105000000001</v>
      </c>
      <c r="J115">
        <f ca="1">J114</f>
        <v>-170.64000000000001</v>
      </c>
      <c r="AS115" s="6">
        <v>-1.1693705988362124</v>
      </c>
      <c r="AT115" s="6">
        <v>-16.615142649484092</v>
      </c>
      <c r="AU115" s="6">
        <v>-225.61400868985666</v>
      </c>
      <c r="AV115" s="6">
        <f t="shared" si="98"/>
        <v>4.638877574982593</v>
      </c>
      <c r="AW115" s="6">
        <f t="shared" si="99"/>
        <v>5.8082481738188054</v>
      </c>
      <c r="AX115" s="6">
        <f t="shared" si="100"/>
        <v>-1.4972849214927999</v>
      </c>
      <c r="AY115" s="6">
        <f t="shared" si="101"/>
        <v>1.4972849214927999</v>
      </c>
      <c r="AZ115" s="47">
        <f t="shared" si="102"/>
        <v>5.1138147083433738</v>
      </c>
      <c r="BA115" s="47">
        <f t="shared" si="103"/>
        <v>4.638877574982593</v>
      </c>
      <c r="BB115" s="47">
        <f t="shared" si="104"/>
        <v>5.8082481738188054</v>
      </c>
      <c r="BC115" s="47">
        <f t="shared" si="105"/>
        <v>-1.4972849214927999</v>
      </c>
      <c r="BD115" s="47">
        <f t="shared" si="106"/>
        <v>1.4972849214927999</v>
      </c>
      <c r="BE115" s="40"/>
      <c r="BF115" s="40"/>
      <c r="BG115" s="6">
        <f t="shared" si="113"/>
        <v>-1.3962634015954756</v>
      </c>
      <c r="BH115" s="9">
        <f t="shared" ca="1" si="114"/>
        <v>38.727347184037399</v>
      </c>
      <c r="BI115" s="9">
        <f t="shared" ca="1" si="115"/>
        <v>-175.66639078119582</v>
      </c>
      <c r="BJ115">
        <f t="shared" ca="1" si="116"/>
        <v>179.88465268055739</v>
      </c>
      <c r="BK115" s="6">
        <f t="shared" ca="1" si="117"/>
        <v>0.21528989053229661</v>
      </c>
      <c r="BL115" s="6">
        <f t="shared" ca="1" si="118"/>
        <v>-0.97655018459605636</v>
      </c>
      <c r="BM115" s="6">
        <f t="shared" ca="1" si="119"/>
        <v>-1.3538076550128815</v>
      </c>
      <c r="BN115" s="6">
        <f t="shared" ca="1" si="120"/>
        <v>-3.2732222750092386</v>
      </c>
      <c r="BO115" s="9">
        <f t="shared" ca="1" si="121"/>
        <v>-40.854849512122016</v>
      </c>
      <c r="BP115" s="9">
        <f t="shared" ca="1" si="122"/>
        <v>-231.84205903892601</v>
      </c>
      <c r="BQ115">
        <f t="shared" ca="1" si="123"/>
        <v>235.41422868651543</v>
      </c>
      <c r="BR115">
        <f t="shared" ca="1" si="124"/>
        <v>-0.17354452082216978</v>
      </c>
      <c r="BS115">
        <f t="shared" ca="1" si="125"/>
        <v>-0.98482602488592041</v>
      </c>
      <c r="BT115">
        <f t="shared" ca="1" si="126"/>
        <v>-1.7452239970521894</v>
      </c>
      <c r="BU115" s="40">
        <f t="shared" ca="1" si="127"/>
        <v>-4.8868166505419826</v>
      </c>
    </row>
    <row r="116" spans="1:73" x14ac:dyDescent="0.25">
      <c r="A116" s="8" t="s">
        <v>100</v>
      </c>
      <c r="B116" s="5">
        <f ca="1">B101+G114</f>
        <v>1066.7735</v>
      </c>
      <c r="C116">
        <f ca="1">B116/12</f>
        <v>88.897791666666663</v>
      </c>
      <c r="J116">
        <f ca="1">K114</f>
        <v>-1194.48</v>
      </c>
      <c r="K116">
        <f ca="1">J116/12</f>
        <v>-99.54</v>
      </c>
      <c r="AS116" s="6">
        <v>-1.1519173063162691</v>
      </c>
      <c r="AT116" s="6">
        <v>-15.668331235545041</v>
      </c>
      <c r="AU116" s="6">
        <v>-225.24125084240126</v>
      </c>
      <c r="AV116" s="6">
        <f t="shared" si="98"/>
        <v>4.6429384173523882</v>
      </c>
      <c r="AW116" s="6">
        <f t="shared" si="99"/>
        <v>5.7948557236686575</v>
      </c>
      <c r="AX116" s="6">
        <f t="shared" si="100"/>
        <v>-1.5013457638625951</v>
      </c>
      <c r="AY116" s="6">
        <f t="shared" si="101"/>
        <v>1.5013457638625951</v>
      </c>
      <c r="AZ116" s="47">
        <f t="shared" si="102"/>
        <v>5.1312680008633169</v>
      </c>
      <c r="BA116" s="47">
        <f t="shared" si="103"/>
        <v>4.6429384173523882</v>
      </c>
      <c r="BB116" s="47">
        <f t="shared" si="104"/>
        <v>5.7948557236686575</v>
      </c>
      <c r="BC116" s="47">
        <f t="shared" si="105"/>
        <v>-1.5013457638625951</v>
      </c>
      <c r="BD116" s="47">
        <f t="shared" si="106"/>
        <v>1.5013457638625951</v>
      </c>
      <c r="BE116" s="40"/>
      <c r="BF116" s="40"/>
      <c r="BG116" s="6">
        <f t="shared" si="113"/>
        <v>-1.3788101090755323</v>
      </c>
      <c r="BH116" s="9">
        <f t="shared" ca="1" si="114"/>
        <v>41.057546038678709</v>
      </c>
      <c r="BI116" s="9">
        <f t="shared" ca="1" si="115"/>
        <v>-175.23510306857523</v>
      </c>
      <c r="BJ116">
        <f t="shared" ca="1" si="116"/>
        <v>179.9807307301879</v>
      </c>
      <c r="BK116" s="6">
        <f t="shared" ca="1" si="117"/>
        <v>0.22812189878386901</v>
      </c>
      <c r="BL116" s="6">
        <f t="shared" ca="1" si="118"/>
        <v>-0.97363257920801016</v>
      </c>
      <c r="BM116" s="6">
        <f t="shared" ca="1" si="119"/>
        <v>-1.3406480442247029</v>
      </c>
      <c r="BN116" s="6">
        <f t="shared" ca="1" si="120"/>
        <v>-3.2600626642210599</v>
      </c>
      <c r="BO116" s="9">
        <f t="shared" ca="1" si="121"/>
        <v>-38.524650657480706</v>
      </c>
      <c r="BP116" s="9">
        <f t="shared" ca="1" si="122"/>
        <v>-231.41077132630542</v>
      </c>
      <c r="BQ116">
        <f t="shared" ca="1" si="123"/>
        <v>234.59559628031499</v>
      </c>
      <c r="BR116">
        <f t="shared" ca="1" si="124"/>
        <v>-0.16421727972867889</v>
      </c>
      <c r="BS116">
        <f t="shared" ca="1" si="125"/>
        <v>-0.9864241912273406</v>
      </c>
      <c r="BT116">
        <f t="shared" ca="1" si="126"/>
        <v>-1.7357607930298129</v>
      </c>
      <c r="BU116" s="40">
        <f t="shared" ca="1" si="127"/>
        <v>-4.8773534465196065</v>
      </c>
    </row>
    <row r="117" spans="1:73" x14ac:dyDescent="0.25">
      <c r="A117" s="8" t="s">
        <v>101</v>
      </c>
      <c r="B117" s="5">
        <f ca="1">B102+H114</f>
        <v>-2043.2685000000001</v>
      </c>
      <c r="C117">
        <f ca="1">B117/12</f>
        <v>-170.27237500000001</v>
      </c>
      <c r="J117">
        <f ca="1">L114</f>
        <v>-511.91999999999996</v>
      </c>
      <c r="K117">
        <f ca="1">J117/12</f>
        <v>-42.66</v>
      </c>
      <c r="AS117" s="6">
        <v>-1.1344640137963258</v>
      </c>
      <c r="AT117" s="6">
        <v>-14.783475709986748</v>
      </c>
      <c r="AU117" s="6">
        <v>-224.8764346622925</v>
      </c>
      <c r="AV117" s="6">
        <f t="shared" si="98"/>
        <v>4.6467430015804698</v>
      </c>
      <c r="AW117" s="6">
        <f t="shared" si="99"/>
        <v>5.7812070153767952</v>
      </c>
      <c r="AX117" s="6">
        <f t="shared" si="100"/>
        <v>-1.5051503480906767</v>
      </c>
      <c r="AY117" s="6">
        <f t="shared" si="101"/>
        <v>1.5051503480906767</v>
      </c>
      <c r="AZ117" s="47">
        <f t="shared" si="102"/>
        <v>5.1487212933832609</v>
      </c>
      <c r="BA117" s="47">
        <f t="shared" si="103"/>
        <v>4.6467430015804698</v>
      </c>
      <c r="BB117" s="47">
        <f t="shared" si="104"/>
        <v>5.7812070153767952</v>
      </c>
      <c r="BC117" s="47">
        <f t="shared" si="105"/>
        <v>-1.5051503480906767</v>
      </c>
      <c r="BD117" s="47">
        <f t="shared" si="106"/>
        <v>1.5051503480906767</v>
      </c>
      <c r="BE117" s="40"/>
      <c r="BF117" s="40"/>
      <c r="BG117" s="6">
        <f t="shared" si="113"/>
        <v>-1.3613568165555889</v>
      </c>
      <c r="BH117" s="9">
        <f t="shared" ca="1" si="114"/>
        <v>44.328202542614711</v>
      </c>
      <c r="BI117" s="9">
        <f t="shared" ca="1" si="115"/>
        <v>-174.58382032434636</v>
      </c>
      <c r="BJ117">
        <f t="shared" ca="1" si="116"/>
        <v>180.12356830715609</v>
      </c>
      <c r="BK117" s="6">
        <f t="shared" ca="1" si="117"/>
        <v>0.24609884735918594</v>
      </c>
      <c r="BL117" s="6">
        <f t="shared" ca="1" si="118"/>
        <v>-0.96924473551754731</v>
      </c>
      <c r="BM117" s="6">
        <f t="shared" ca="1" si="119"/>
        <v>-1.3221430820806663</v>
      </c>
      <c r="BN117" s="6">
        <f t="shared" ca="1" si="120"/>
        <v>-3.2415577020770234</v>
      </c>
      <c r="BO117" s="9">
        <f t="shared" ca="1" si="121"/>
        <v>-35.253994153544703</v>
      </c>
      <c r="BP117" s="9">
        <f t="shared" ca="1" si="122"/>
        <v>-230.75948858207656</v>
      </c>
      <c r="BQ117">
        <f t="shared" ca="1" si="123"/>
        <v>233.43689869949799</v>
      </c>
      <c r="BR117">
        <f t="shared" ca="1" si="124"/>
        <v>-0.15102151523580243</v>
      </c>
      <c r="BS117">
        <f t="shared" ca="1" si="125"/>
        <v>-0.98853047597728738</v>
      </c>
      <c r="BT117">
        <f t="shared" ca="1" si="126"/>
        <v>-1.7223978856675153</v>
      </c>
      <c r="BU117" s="40">
        <f t="shared" ca="1" si="127"/>
        <v>-4.8639905391573084</v>
      </c>
    </row>
    <row r="118" spans="1:73" x14ac:dyDescent="0.25">
      <c r="AS118" s="6">
        <v>-1.1170107212763825</v>
      </c>
      <c r="AT118" s="6">
        <v>-13.953665406456809</v>
      </c>
      <c r="AU118" s="6">
        <v>-224.51849337858374</v>
      </c>
      <c r="AV118" s="6">
        <f t="shared" si="98"/>
        <v>4.6503195213704789</v>
      </c>
      <c r="AW118" s="6">
        <f t="shared" si="99"/>
        <v>5.7673302426468611</v>
      </c>
      <c r="AX118" s="6">
        <f t="shared" si="100"/>
        <v>-1.5087268678806858</v>
      </c>
      <c r="AY118" s="6">
        <f t="shared" si="101"/>
        <v>1.5087268678806858</v>
      </c>
      <c r="AZ118" s="47">
        <f t="shared" si="102"/>
        <v>5.166174585903204</v>
      </c>
      <c r="BA118" s="47">
        <f t="shared" si="103"/>
        <v>4.6503195213704789</v>
      </c>
      <c r="BB118" s="47">
        <f t="shared" si="104"/>
        <v>5.7673302426468611</v>
      </c>
      <c r="BC118" s="47">
        <f t="shared" si="105"/>
        <v>-1.5087268678806858</v>
      </c>
      <c r="BD118" s="47">
        <f t="shared" si="106"/>
        <v>1.5087268678806858</v>
      </c>
      <c r="BE118" s="40"/>
      <c r="BF118" s="40"/>
      <c r="BG118" s="6">
        <f t="shared" si="113"/>
        <v>-1.3439035240356456</v>
      </c>
      <c r="BH118" s="9">
        <f t="shared" ca="1" si="114"/>
        <v>47.143540404980428</v>
      </c>
      <c r="BI118" s="9">
        <f t="shared" ca="1" si="115"/>
        <v>-173.98180546229088</v>
      </c>
      <c r="BJ118">
        <f t="shared" ca="1" si="116"/>
        <v>180.25587933222721</v>
      </c>
      <c r="BK118" s="6">
        <f t="shared" ca="1" si="117"/>
        <v>0.26153676972772022</v>
      </c>
      <c r="BL118" s="6">
        <f t="shared" ca="1" si="118"/>
        <v>-0.96519351328134673</v>
      </c>
      <c r="BM118" s="6">
        <f t="shared" ca="1" si="119"/>
        <v>-1.3061822783217141</v>
      </c>
      <c r="BN118" s="6">
        <f t="shared" ca="1" si="120"/>
        <v>-3.2255968983180709</v>
      </c>
      <c r="BO118" s="9">
        <f t="shared" ca="1" si="121"/>
        <v>-32.438656291178987</v>
      </c>
      <c r="BP118" s="9">
        <f t="shared" ca="1" si="122"/>
        <v>-230.15747372002107</v>
      </c>
      <c r="BQ118">
        <f t="shared" ca="1" si="123"/>
        <v>232.43220330057417</v>
      </c>
      <c r="BR118">
        <f t="shared" ca="1" si="124"/>
        <v>-0.13956179836763116</v>
      </c>
      <c r="BS118">
        <f t="shared" ca="1" si="125"/>
        <v>-0.99021336308716446</v>
      </c>
      <c r="BT118">
        <f t="shared" ca="1" si="126"/>
        <v>-1.7108151951512016</v>
      </c>
      <c r="BU118" s="40">
        <f t="shared" ca="1" si="127"/>
        <v>-4.8524078486409952</v>
      </c>
    </row>
    <row r="119" spans="1:73" x14ac:dyDescent="0.25">
      <c r="A119" s="8" t="s">
        <v>8</v>
      </c>
      <c r="B119">
        <f ca="1">B117/B115</f>
        <v>-1.418433603920277</v>
      </c>
      <c r="J119">
        <f ca="1">J117/J115</f>
        <v>2.9999999999999996</v>
      </c>
      <c r="AS119" s="6">
        <v>-1.0995574287564391</v>
      </c>
      <c r="AT119" s="6">
        <v>-13.172972916762484</v>
      </c>
      <c r="AU119" s="6">
        <v>-224.16646631006017</v>
      </c>
      <c r="AV119" s="6">
        <f t="shared" si="98"/>
        <v>4.6536922388806534</v>
      </c>
      <c r="AW119" s="6">
        <f t="shared" si="99"/>
        <v>5.7532496676370926</v>
      </c>
      <c r="AX119" s="6">
        <f t="shared" si="100"/>
        <v>-1.5120995853908603</v>
      </c>
      <c r="AY119" s="6">
        <f t="shared" si="101"/>
        <v>1.5120995853908603</v>
      </c>
      <c r="AZ119" s="47">
        <f t="shared" si="102"/>
        <v>5.1836278784231471</v>
      </c>
      <c r="BA119" s="47">
        <f t="shared" si="103"/>
        <v>4.6536922388806534</v>
      </c>
      <c r="BB119" s="47">
        <f t="shared" si="104"/>
        <v>5.7532496676370926</v>
      </c>
      <c r="BC119" s="47">
        <f t="shared" si="105"/>
        <v>-1.5120995853908603</v>
      </c>
      <c r="BD119" s="47">
        <f t="shared" si="106"/>
        <v>1.5120995853908603</v>
      </c>
      <c r="BE119" s="40"/>
      <c r="BF119" s="40"/>
      <c r="BG119" s="6">
        <f t="shared" si="113"/>
        <v>-1.3264502315157023</v>
      </c>
      <c r="BH119" s="9">
        <f t="shared" ca="1" si="114"/>
        <v>49.597299186042299</v>
      </c>
      <c r="BI119" s="9">
        <f t="shared" ca="1" si="115"/>
        <v>-173.42055624421141</v>
      </c>
      <c r="BJ119">
        <f t="shared" ca="1" si="116"/>
        <v>180.37344986056425</v>
      </c>
      <c r="BK119" s="6">
        <f t="shared" ca="1" si="117"/>
        <v>0.27497006474280422</v>
      </c>
      <c r="BL119" s="6">
        <f t="shared" ca="1" si="118"/>
        <v>-0.9614527879700272</v>
      </c>
      <c r="BM119" s="6">
        <f t="shared" ca="1" si="119"/>
        <v>-1.2922377599835435</v>
      </c>
      <c r="BN119" s="6">
        <f t="shared" ca="1" si="120"/>
        <v>-3.2116523799799008</v>
      </c>
      <c r="BO119" s="9">
        <f t="shared" ca="1" si="121"/>
        <v>-29.984897510117115</v>
      </c>
      <c r="BP119" s="9">
        <f t="shared" ca="1" si="122"/>
        <v>-229.59622450194161</v>
      </c>
      <c r="BQ119">
        <f t="shared" ca="1" si="123"/>
        <v>231.54593579728021</v>
      </c>
      <c r="BR119">
        <f t="shared" ca="1" si="124"/>
        <v>-0.12949869928345045</v>
      </c>
      <c r="BS119">
        <f t="shared" ca="1" si="125"/>
        <v>-0.99157959180486077</v>
      </c>
      <c r="BT119">
        <f t="shared" ca="1" si="126"/>
        <v>-1.7006597320667616</v>
      </c>
      <c r="BU119" s="40">
        <f t="shared" ca="1" si="127"/>
        <v>-4.8422523855565549</v>
      </c>
    </row>
    <row r="120" spans="1:73" x14ac:dyDescent="0.25">
      <c r="A120" s="8" t="s">
        <v>9</v>
      </c>
      <c r="B120">
        <f ca="1">B116/B115</f>
        <v>0.74055239444627441</v>
      </c>
      <c r="J120">
        <f ca="1">J116/J115</f>
        <v>6.9999999999999991</v>
      </c>
      <c r="AS120" s="6">
        <v>-1.0821041362364958</v>
      </c>
      <c r="AT120" s="6">
        <v>-12.436282693196556</v>
      </c>
      <c r="AU120" s="6">
        <v>-223.81948076748077</v>
      </c>
      <c r="AV120" s="6">
        <f t="shared" si="98"/>
        <v>4.6568821588421558</v>
      </c>
      <c r="AW120" s="6">
        <f t="shared" si="99"/>
        <v>5.7389862950786519</v>
      </c>
      <c r="AX120" s="6">
        <f t="shared" si="100"/>
        <v>-1.5152895053523627</v>
      </c>
      <c r="AY120" s="6">
        <f t="shared" si="101"/>
        <v>1.5152895053523627</v>
      </c>
      <c r="AZ120" s="47">
        <f t="shared" si="102"/>
        <v>5.2010811709430902</v>
      </c>
      <c r="BA120" s="47">
        <f t="shared" si="103"/>
        <v>4.6568821588421558</v>
      </c>
      <c r="BB120" s="47">
        <f t="shared" si="104"/>
        <v>5.7389862950786519</v>
      </c>
      <c r="BC120" s="47">
        <f t="shared" si="105"/>
        <v>-1.5152895053523627</v>
      </c>
      <c r="BD120" s="47">
        <f t="shared" si="106"/>
        <v>1.5152895053523627</v>
      </c>
      <c r="BE120" s="40"/>
      <c r="BF120" s="40"/>
      <c r="BG120" s="6">
        <f t="shared" si="113"/>
        <v>-1.308996938995759</v>
      </c>
      <c r="BH120" s="9">
        <f t="shared" ca="1" si="114"/>
        <v>51.75890818015769</v>
      </c>
      <c r="BI120" s="9">
        <f t="shared" ca="1" si="115"/>
        <v>-172.89345414745316</v>
      </c>
      <c r="BJ120">
        <f t="shared" ca="1" si="116"/>
        <v>180.47473801903547</v>
      </c>
      <c r="BK120" s="6">
        <f t="shared" ca="1" si="117"/>
        <v>0.28679309219830229</v>
      </c>
      <c r="BL120" s="6">
        <f t="shared" ca="1" si="118"/>
        <v>-0.9579925481272471</v>
      </c>
      <c r="BM120" s="6">
        <f t="shared" ca="1" si="119"/>
        <v>-1.2799187033147017</v>
      </c>
      <c r="BN120" s="6">
        <f t="shared" ca="1" si="120"/>
        <v>-3.199333323311059</v>
      </c>
      <c r="BO120" s="9">
        <f t="shared" ca="1" si="121"/>
        <v>-27.823288516001725</v>
      </c>
      <c r="BP120" s="9">
        <f t="shared" ca="1" si="122"/>
        <v>-229.06912240518335</v>
      </c>
      <c r="BQ120">
        <f t="shared" ca="1" si="123"/>
        <v>230.75267760813858</v>
      </c>
      <c r="BR120">
        <f t="shared" ca="1" si="124"/>
        <v>-0.12057623254647948</v>
      </c>
      <c r="BS120">
        <f t="shared" ca="1" si="125"/>
        <v>-0.99270407078086342</v>
      </c>
      <c r="BT120">
        <f t="shared" ca="1" si="126"/>
        <v>-1.6916666563577678</v>
      </c>
      <c r="BU120" s="40">
        <f t="shared" ca="1" si="127"/>
        <v>-4.8332593098475609</v>
      </c>
    </row>
    <row r="121" spans="1:73" x14ac:dyDescent="0.25">
      <c r="AS121" s="6">
        <v>-1.0646508437165525</v>
      </c>
      <c r="AT121" s="6">
        <v>-11.739154324996189</v>
      </c>
      <c r="AU121" s="6">
        <v>-223.47673715383002</v>
      </c>
      <c r="AV121" s="6">
        <f t="shared" si="98"/>
        <v>4.6599075687493396</v>
      </c>
      <c r="AW121" s="6">
        <f t="shared" si="99"/>
        <v>5.7245584124658926</v>
      </c>
      <c r="AX121" s="6">
        <f t="shared" si="100"/>
        <v>-1.5183149152595465</v>
      </c>
      <c r="AY121" s="6">
        <f t="shared" si="101"/>
        <v>1.5183149152595465</v>
      </c>
      <c r="AZ121" s="47">
        <f t="shared" si="102"/>
        <v>5.2185344634630333</v>
      </c>
      <c r="BA121" s="47">
        <f t="shared" si="103"/>
        <v>4.6599075687493396</v>
      </c>
      <c r="BB121" s="47">
        <f t="shared" si="104"/>
        <v>5.7245584124658926</v>
      </c>
      <c r="BC121" s="47">
        <f t="shared" si="105"/>
        <v>-1.5183149152595465</v>
      </c>
      <c r="BD121" s="47">
        <f t="shared" si="106"/>
        <v>1.5183149152595465</v>
      </c>
      <c r="BE121" s="40"/>
      <c r="BF121" s="40"/>
      <c r="BG121" s="6">
        <f t="shared" si="113"/>
        <v>-1.2915436464758157</v>
      </c>
      <c r="BH121" s="9">
        <f t="shared" ca="1" si="114"/>
        <v>53.680931542624549</v>
      </c>
      <c r="BI121" s="9">
        <f t="shared" ca="1" si="115"/>
        <v>-172.39524641146571</v>
      </c>
      <c r="BJ121">
        <f t="shared" ca="1" si="116"/>
        <v>180.55958406175486</v>
      </c>
      <c r="BK121" s="6">
        <f t="shared" ca="1" si="117"/>
        <v>0.29730314135119318</v>
      </c>
      <c r="BL121" s="6">
        <f t="shared" ca="1" si="118"/>
        <v>-0.95478313880310672</v>
      </c>
      <c r="BM121" s="6">
        <f t="shared" ca="1" si="119"/>
        <v>-1.2689294969419571</v>
      </c>
      <c r="BN121" s="6">
        <f t="shared" ca="1" si="120"/>
        <v>-3.188344116938314</v>
      </c>
      <c r="BO121" s="9">
        <f t="shared" ca="1" si="121"/>
        <v>-25.901265153534865</v>
      </c>
      <c r="BP121" s="9">
        <f t="shared" ca="1" si="122"/>
        <v>-228.5709146691959</v>
      </c>
      <c r="BQ121">
        <f t="shared" ca="1" si="123"/>
        <v>230.03377701821651</v>
      </c>
      <c r="BR121">
        <f t="shared" ca="1" si="124"/>
        <v>-0.11259766061000567</v>
      </c>
      <c r="BS121">
        <f t="shared" ca="1" si="125"/>
        <v>-0.99364066282794306</v>
      </c>
      <c r="BT121">
        <f t="shared" ca="1" si="126"/>
        <v>-1.6836332783713297</v>
      </c>
      <c r="BU121" s="40">
        <f t="shared" ca="1" si="127"/>
        <v>-4.825225931861123</v>
      </c>
    </row>
    <row r="122" spans="1:73" x14ac:dyDescent="0.25">
      <c r="AS122" s="6">
        <v>-1.0471975511966092</v>
      </c>
      <c r="AT122" s="6">
        <v>-11.077712608129939</v>
      </c>
      <c r="AU122" s="6">
        <v>-223.13749652742118</v>
      </c>
      <c r="AV122" s="6">
        <f t="shared" si="98"/>
        <v>4.6627844749832983</v>
      </c>
      <c r="AW122" s="6">
        <f t="shared" si="99"/>
        <v>5.7099820261799072</v>
      </c>
      <c r="AX122" s="6">
        <f t="shared" si="100"/>
        <v>-1.5211918214935052</v>
      </c>
      <c r="AY122" s="6">
        <f t="shared" si="101"/>
        <v>1.5211918214935052</v>
      </c>
      <c r="AZ122" s="47">
        <f t="shared" si="102"/>
        <v>5.2359877559829773</v>
      </c>
      <c r="BA122" s="47">
        <f t="shared" si="103"/>
        <v>4.6627844749832983</v>
      </c>
      <c r="BB122" s="47">
        <f t="shared" si="104"/>
        <v>5.7099820261799072</v>
      </c>
      <c r="BC122" s="47">
        <f t="shared" si="105"/>
        <v>-1.5211918214935052</v>
      </c>
      <c r="BD122" s="47">
        <f t="shared" si="106"/>
        <v>1.5211918214935052</v>
      </c>
      <c r="BE122" s="40"/>
      <c r="BF122" s="40"/>
      <c r="BG122" s="6">
        <f t="shared" si="113"/>
        <v>-1.2740903539558723</v>
      </c>
      <c r="BH122" s="9">
        <f t="shared" ca="1" si="114"/>
        <v>55.403926658409901</v>
      </c>
      <c r="BI122" s="9">
        <f t="shared" ca="1" si="115"/>
        <v>-171.92169300787765</v>
      </c>
      <c r="BJ122">
        <f t="shared" ca="1" si="116"/>
        <v>180.62852381577332</v>
      </c>
      <c r="BK122" s="6">
        <f t="shared" ca="1" si="117"/>
        <v>0.30672855808154353</v>
      </c>
      <c r="BL122" s="6">
        <f t="shared" ca="1" si="118"/>
        <v>-0.95179703280542816</v>
      </c>
      <c r="BM122" s="6">
        <f t="shared" ca="1" si="119"/>
        <v>-1.2590423281903764</v>
      </c>
      <c r="BN122" s="6">
        <f t="shared" ca="1" si="120"/>
        <v>-3.1784569481867333</v>
      </c>
      <c r="BO122" s="9">
        <f t="shared" ca="1" si="121"/>
        <v>-24.178270037749513</v>
      </c>
      <c r="BP122" s="9">
        <f t="shared" ca="1" si="122"/>
        <v>-228.09736126560784</v>
      </c>
      <c r="BQ122">
        <f t="shared" ca="1" si="123"/>
        <v>229.37522742953641</v>
      </c>
      <c r="BR122">
        <f t="shared" ca="1" si="124"/>
        <v>-0.1054092471480035</v>
      </c>
      <c r="BS122">
        <f t="shared" ca="1" si="125"/>
        <v>-0.99442892687999129</v>
      </c>
      <c r="BT122">
        <f t="shared" ca="1" si="126"/>
        <v>-1.6764017587376552</v>
      </c>
      <c r="BU122" s="40">
        <f t="shared" ca="1" si="127"/>
        <v>-4.8179944122274483</v>
      </c>
    </row>
    <row r="123" spans="1:73" x14ac:dyDescent="0.25">
      <c r="A123" t="s">
        <v>128</v>
      </c>
      <c r="AS123" s="6">
        <v>-1.0297442586766659</v>
      </c>
      <c r="AT123" s="6">
        <v>-10.448558441517399</v>
      </c>
      <c r="AU123" s="6">
        <v>-222.80107011115524</v>
      </c>
      <c r="AV123" s="6">
        <f t="shared" si="98"/>
        <v>4.6655269576831406</v>
      </c>
      <c r="AW123" s="6">
        <f t="shared" si="99"/>
        <v>5.6952712163598065</v>
      </c>
      <c r="AX123" s="6">
        <f t="shared" si="100"/>
        <v>-1.5239343041933475</v>
      </c>
      <c r="AY123" s="6">
        <f t="shared" si="101"/>
        <v>1.5239343041933475</v>
      </c>
      <c r="AZ123" s="47">
        <f t="shared" si="102"/>
        <v>5.2534410485029204</v>
      </c>
      <c r="BA123" s="47">
        <f t="shared" si="103"/>
        <v>4.6655269576831406</v>
      </c>
      <c r="BB123" s="47">
        <f t="shared" si="104"/>
        <v>5.6952712163598065</v>
      </c>
      <c r="BC123" s="47">
        <f t="shared" si="105"/>
        <v>-1.5239343041933475</v>
      </c>
      <c r="BD123" s="47">
        <f t="shared" si="106"/>
        <v>1.5239343041933475</v>
      </c>
      <c r="BE123" s="40"/>
      <c r="BF123" s="40"/>
      <c r="BG123" s="6">
        <f t="shared" si="113"/>
        <v>-1.256637061435929</v>
      </c>
      <c r="BH123" s="9">
        <f t="shared" ca="1" si="114"/>
        <v>56.959708913968086</v>
      </c>
      <c r="BI123" s="9">
        <f t="shared" ca="1" si="115"/>
        <v>-171.469319443095</v>
      </c>
      <c r="BJ123">
        <f t="shared" ca="1" si="116"/>
        <v>180.68241737878685</v>
      </c>
      <c r="BK123" s="6">
        <f t="shared" ca="1" si="117"/>
        <v>0.31524765796417487</v>
      </c>
      <c r="BL123" s="6">
        <f t="shared" ca="1" si="118"/>
        <v>-0.94900943838725993</v>
      </c>
      <c r="BM123" s="6">
        <f t="shared" ca="1" si="119"/>
        <v>-1.2500787193518867</v>
      </c>
      <c r="BN123" s="6">
        <f t="shared" ca="1" si="120"/>
        <v>-3.1694933393482438</v>
      </c>
      <c r="BO123" s="9">
        <f t="shared" ca="1" si="121"/>
        <v>-22.622487782191328</v>
      </c>
      <c r="BP123" s="9">
        <f t="shared" ca="1" si="122"/>
        <v>-227.6449877008252</v>
      </c>
      <c r="BQ123">
        <f t="shared" ca="1" si="123"/>
        <v>228.76629423663849</v>
      </c>
      <c r="BR123">
        <f t="shared" ca="1" si="124"/>
        <v>-9.8889077421476984E-2</v>
      </c>
      <c r="BS123">
        <f t="shared" ca="1" si="125"/>
        <v>-0.99509846264916368</v>
      </c>
      <c r="BT123">
        <f t="shared" ca="1" si="126"/>
        <v>-1.669847291161034</v>
      </c>
      <c r="BU123" s="40">
        <f t="shared" ca="1" si="127"/>
        <v>-4.8114399446508269</v>
      </c>
    </row>
    <row r="124" spans="1:73" x14ac:dyDescent="0.25">
      <c r="AS124" s="6">
        <v>-1.0122909661567225</v>
      </c>
      <c r="AT124" s="6">
        <v>-9.8486960605489635</v>
      </c>
      <c r="AU124" s="6">
        <v>-222.46681034345579</v>
      </c>
      <c r="AV124" s="6">
        <f t="shared" si="98"/>
        <v>4.6681474616170515</v>
      </c>
      <c r="AW124" s="6">
        <f t="shared" si="99"/>
        <v>5.6804384277737743</v>
      </c>
      <c r="AX124" s="6">
        <f t="shared" si="100"/>
        <v>-1.5265548081272584</v>
      </c>
      <c r="AY124" s="6">
        <f t="shared" si="101"/>
        <v>1.5265548081272584</v>
      </c>
      <c r="AZ124" s="47">
        <f t="shared" si="102"/>
        <v>5.2708943410228635</v>
      </c>
      <c r="BA124" s="47">
        <f t="shared" si="103"/>
        <v>4.6681474616170515</v>
      </c>
      <c r="BB124" s="47">
        <f t="shared" si="104"/>
        <v>5.6804384277737743</v>
      </c>
      <c r="BC124" s="47">
        <f t="shared" si="105"/>
        <v>-1.5265548081272584</v>
      </c>
      <c r="BD124" s="47">
        <f t="shared" si="106"/>
        <v>1.5265548081272584</v>
      </c>
      <c r="BE124" s="40"/>
      <c r="BF124" s="40"/>
      <c r="BG124" s="6">
        <f t="shared" si="113"/>
        <v>-1.2391837689159857</v>
      </c>
      <c r="BH124" s="9">
        <f t="shared" ca="1" si="114"/>
        <v>58.373602587596267</v>
      </c>
      <c r="BI124" s="9">
        <f t="shared" ca="1" si="115"/>
        <v>-171.03523974116922</v>
      </c>
      <c r="BJ124">
        <f t="shared" ca="1" si="116"/>
        <v>180.72224741955225</v>
      </c>
      <c r="BK124" s="6">
        <f t="shared" ca="1" si="117"/>
        <v>0.32300175225289313</v>
      </c>
      <c r="BL124" s="6">
        <f t="shared" ca="1" si="118"/>
        <v>-0.94639836646179842</v>
      </c>
      <c r="BM124" s="6">
        <f t="shared" ca="1" si="119"/>
        <v>-1.2418967850881424</v>
      </c>
      <c r="BN124" s="6">
        <f t="shared" ca="1" si="120"/>
        <v>-3.1613114050844997</v>
      </c>
      <c r="BO124" s="9">
        <f t="shared" ca="1" si="121"/>
        <v>-21.208594108563148</v>
      </c>
      <c r="BP124" s="9">
        <f t="shared" ca="1" si="122"/>
        <v>-227.21090799889942</v>
      </c>
      <c r="BQ124">
        <f t="shared" ca="1" si="123"/>
        <v>228.19860029751743</v>
      </c>
      <c r="BR124">
        <f t="shared" ca="1" si="124"/>
        <v>-9.2939194547697127E-2</v>
      </c>
      <c r="BS124">
        <f t="shared" ca="1" si="125"/>
        <v>-0.99567178634167652</v>
      </c>
      <c r="BT124">
        <f t="shared" ca="1" si="126"/>
        <v>-1.6638698408138104</v>
      </c>
      <c r="BU124" s="40">
        <f t="shared" ca="1" si="127"/>
        <v>-4.8054624943036037</v>
      </c>
    </row>
    <row r="125" spans="1:73" x14ac:dyDescent="0.25">
      <c r="A125" s="8" t="s">
        <v>77</v>
      </c>
      <c r="B125" s="3">
        <f ca="1">B116</f>
        <v>1066.7735</v>
      </c>
      <c r="C125" s="1" t="str">
        <f>"+ t ( "</f>
        <v xml:space="preserve">+ t ( </v>
      </c>
      <c r="D125" s="1">
        <f ca="1">J116</f>
        <v>-1194.48</v>
      </c>
      <c r="E125" s="1" t="s">
        <v>129</v>
      </c>
      <c r="F125" s="3">
        <f ca="1">B116</f>
        <v>1066.7735</v>
      </c>
      <c r="G125" s="1" t="s">
        <v>130</v>
      </c>
      <c r="AS125" s="6">
        <v>-0.99483767363677922</v>
      </c>
      <c r="AT125" s="6">
        <v>-9.2754731809342275</v>
      </c>
      <c r="AU125" s="6">
        <v>-222.13410315734907</v>
      </c>
      <c r="AV125" s="6">
        <f t="shared" si="98"/>
        <v>4.6706570362969515</v>
      </c>
      <c r="AW125" s="6">
        <f t="shared" si="99"/>
        <v>5.6654947099337303</v>
      </c>
      <c r="AX125" s="6">
        <f t="shared" si="100"/>
        <v>-1.5290643828071584</v>
      </c>
      <c r="AY125" s="6">
        <f t="shared" si="101"/>
        <v>1.5290643828071584</v>
      </c>
      <c r="AZ125" s="47">
        <f t="shared" si="102"/>
        <v>5.2883476335428075</v>
      </c>
      <c r="BA125" s="47">
        <f t="shared" si="103"/>
        <v>4.6706570362969515</v>
      </c>
      <c r="BB125" s="47">
        <f t="shared" si="104"/>
        <v>5.6654947099337303</v>
      </c>
      <c r="BC125" s="47">
        <f t="shared" si="105"/>
        <v>-1.5290643828071584</v>
      </c>
      <c r="BD125" s="47">
        <f t="shared" si="106"/>
        <v>1.5290643828071584</v>
      </c>
      <c r="BE125" s="40"/>
      <c r="BF125" s="40"/>
      <c r="BG125" s="6">
        <f t="shared" si="113"/>
        <v>-1.2217304763960424</v>
      </c>
      <c r="BH125" s="9">
        <f t="shared" ca="1" si="114"/>
        <v>59.666027815059437</v>
      </c>
      <c r="BI125" s="9">
        <f t="shared" ca="1" si="115"/>
        <v>-170.61702696703986</v>
      </c>
      <c r="BJ125">
        <f t="shared" ca="1" si="116"/>
        <v>180.74901041582234</v>
      </c>
      <c r="BK125" s="6">
        <f t="shared" ca="1" si="117"/>
        <v>0.33010431248168215</v>
      </c>
      <c r="BL125" s="6">
        <f t="shared" ca="1" si="118"/>
        <v>-0.94394445963785178</v>
      </c>
      <c r="BM125" s="6">
        <f t="shared" ca="1" si="119"/>
        <v>-1.234382246763936</v>
      </c>
      <c r="BN125" s="6">
        <f t="shared" ca="1" si="120"/>
        <v>-3.1537968667602931</v>
      </c>
      <c r="BO125" s="9">
        <f t="shared" ca="1" si="121"/>
        <v>-19.916168881099978</v>
      </c>
      <c r="BP125" s="9">
        <f t="shared" ca="1" si="122"/>
        <v>-226.79269522477006</v>
      </c>
      <c r="BQ125">
        <f t="shared" ca="1" si="123"/>
        <v>227.66550109802745</v>
      </c>
      <c r="BR125">
        <f t="shared" ca="1" si="124"/>
        <v>-8.7479959787691061E-2</v>
      </c>
      <c r="BS125">
        <f t="shared" ca="1" si="125"/>
        <v>-0.9961662796117644</v>
      </c>
      <c r="BT125">
        <f t="shared" ca="1" si="126"/>
        <v>-1.658388249530401</v>
      </c>
      <c r="BU125" s="40">
        <f t="shared" ca="1" si="127"/>
        <v>-4.7999809030201943</v>
      </c>
    </row>
    <row r="126" spans="1:73" x14ac:dyDescent="0.25">
      <c r="A126" s="8" t="s">
        <v>125</v>
      </c>
      <c r="B126" s="3">
        <f ca="1">B117</f>
        <v>-2043.2685000000001</v>
      </c>
      <c r="D126" s="1">
        <f ca="1">J117</f>
        <v>-511.91999999999996</v>
      </c>
      <c r="F126" s="3">
        <f ca="1">B117</f>
        <v>-2043.2685000000001</v>
      </c>
      <c r="AS126" s="6">
        <v>-0.9773843811168359</v>
      </c>
      <c r="AT126" s="6">
        <v>-8.7265314534321927</v>
      </c>
      <c r="AU126" s="6">
        <v>-221.80236122506062</v>
      </c>
      <c r="AV126" s="6">
        <f t="shared" si="98"/>
        <v>4.6730655354070993</v>
      </c>
      <c r="AW126" s="6">
        <f t="shared" si="99"/>
        <v>5.650449916523935</v>
      </c>
      <c r="AX126" s="6">
        <f t="shared" si="100"/>
        <v>-1.5314728819173062</v>
      </c>
      <c r="AY126" s="6">
        <f t="shared" si="101"/>
        <v>1.5314728819173062</v>
      </c>
      <c r="AZ126" s="47">
        <f t="shared" si="102"/>
        <v>5.3058009260627506</v>
      </c>
      <c r="BA126" s="47">
        <f t="shared" si="103"/>
        <v>4.6730655354070993</v>
      </c>
      <c r="BB126" s="47">
        <f t="shared" si="104"/>
        <v>5.650449916523935</v>
      </c>
      <c r="BC126" s="47">
        <f t="shared" si="105"/>
        <v>-1.5314728819173062</v>
      </c>
      <c r="BD126" s="47">
        <f t="shared" si="106"/>
        <v>1.5314728819173062</v>
      </c>
      <c r="BE126" s="40"/>
      <c r="BF126" s="40"/>
      <c r="BG126" s="6">
        <f t="shared" si="113"/>
        <v>-1.2042771838760991</v>
      </c>
      <c r="BH126" s="9">
        <f t="shared" ca="1" si="114"/>
        <v>60.853642072412725</v>
      </c>
      <c r="BI126" s="9">
        <f t="shared" ca="1" si="115"/>
        <v>-170.21261687591553</v>
      </c>
      <c r="BJ126">
        <f t="shared" ca="1" si="116"/>
        <v>180.76365978045621</v>
      </c>
      <c r="BK126" s="6">
        <f t="shared" ca="1" si="117"/>
        <v>0.33664754379459677</v>
      </c>
      <c r="BL126" s="6">
        <f t="shared" ca="1" si="118"/>
        <v>-0.94163072977524742</v>
      </c>
      <c r="BM126" s="6">
        <f t="shared" ca="1" si="119"/>
        <v>-1.227441971896702</v>
      </c>
      <c r="BN126" s="6">
        <f t="shared" ca="1" si="120"/>
        <v>-3.1468565918930591</v>
      </c>
      <c r="BO126" s="9">
        <f t="shared" ca="1" si="121"/>
        <v>-18.728554623746689</v>
      </c>
      <c r="BP126" s="9">
        <f t="shared" ca="1" si="122"/>
        <v>-226.38828513364572</v>
      </c>
      <c r="BQ126">
        <f t="shared" ca="1" si="123"/>
        <v>227.1616481804258</v>
      </c>
      <c r="BR126">
        <f t="shared" ca="1" si="124"/>
        <v>-8.2445935631138376E-2</v>
      </c>
      <c r="BS126">
        <f t="shared" ca="1" si="125"/>
        <v>-0.9965955386704809</v>
      </c>
      <c r="BT126">
        <f t="shared" ca="1" si="126"/>
        <v>-1.6533359513558024</v>
      </c>
      <c r="BU126" s="40">
        <f t="shared" ca="1" si="127"/>
        <v>-4.7949286048455955</v>
      </c>
    </row>
    <row r="127" spans="1:73" x14ac:dyDescent="0.25">
      <c r="A127" s="8" t="s">
        <v>75</v>
      </c>
      <c r="B127" s="3">
        <f ca="1">B115</f>
        <v>1440.5105000000001</v>
      </c>
      <c r="D127" s="1">
        <f ca="1">J115</f>
        <v>-170.64000000000001</v>
      </c>
      <c r="F127" s="3">
        <f ca="1">B115</f>
        <v>1440.5105000000001</v>
      </c>
      <c r="AS127" s="6">
        <v>-0.95993108859689258</v>
      </c>
      <c r="AT127" s="6">
        <v>-8.1997651880266176</v>
      </c>
      <c r="AU127" s="6">
        <v>-221.47101796859957</v>
      </c>
      <c r="AV127" s="6">
        <f t="shared" si="98"/>
        <v>4.6753817835089091</v>
      </c>
      <c r="AW127" s="6">
        <f t="shared" si="99"/>
        <v>5.6353128721058017</v>
      </c>
      <c r="AX127" s="6">
        <f t="shared" si="100"/>
        <v>-1.533789130019116</v>
      </c>
      <c r="AY127" s="6">
        <f t="shared" si="101"/>
        <v>1.533789130019116</v>
      </c>
      <c r="AZ127" s="47">
        <f t="shared" si="102"/>
        <v>5.3232542185826937</v>
      </c>
      <c r="BA127" s="47">
        <f t="shared" si="103"/>
        <v>4.6753817835089091</v>
      </c>
      <c r="BB127" s="47">
        <f t="shared" si="104"/>
        <v>5.6353128721058017</v>
      </c>
      <c r="BC127" s="47">
        <f t="shared" si="105"/>
        <v>-1.533789130019116</v>
      </c>
      <c r="BD127" s="47">
        <f t="shared" si="106"/>
        <v>1.533789130019116</v>
      </c>
      <c r="BE127" s="40"/>
      <c r="BF127" s="40"/>
      <c r="BG127" s="6">
        <f t="shared" si="113"/>
        <v>-1.1868238913561557</v>
      </c>
      <c r="BH127" s="9">
        <f t="shared" ca="1" si="114"/>
        <v>61.950175810727949</v>
      </c>
      <c r="BI127" s="9">
        <f t="shared" ca="1" si="115"/>
        <v>-169.82023496300923</v>
      </c>
      <c r="BJ127">
        <f t="shared" ca="1" si="116"/>
        <v>180.76707799229305</v>
      </c>
      <c r="BK127" s="6">
        <f t="shared" ca="1" si="117"/>
        <v>0.34270718152211971</v>
      </c>
      <c r="BL127" s="6">
        <f t="shared" ca="1" si="118"/>
        <v>-0.9394422748275516</v>
      </c>
      <c r="BM127" s="6">
        <f t="shared" ca="1" si="119"/>
        <v>-1.2209992482469056</v>
      </c>
      <c r="BN127" s="6">
        <f t="shared" ca="1" si="120"/>
        <v>-3.1404138682432627</v>
      </c>
      <c r="BO127" s="9">
        <f t="shared" ca="1" si="121"/>
        <v>-17.632020885431466</v>
      </c>
      <c r="BP127" s="9">
        <f t="shared" ca="1" si="122"/>
        <v>-225.99590322073942</v>
      </c>
      <c r="BQ127">
        <f t="shared" ca="1" si="123"/>
        <v>226.68267784076954</v>
      </c>
      <c r="BR127">
        <f t="shared" ca="1" si="124"/>
        <v>-7.7782833048305799E-2</v>
      </c>
      <c r="BS127">
        <f t="shared" ca="1" si="125"/>
        <v>-0.99697032597915336</v>
      </c>
      <c r="BT127">
        <f t="shared" ca="1" si="126"/>
        <v>-1.6486578073715268</v>
      </c>
      <c r="BU127" s="40">
        <f t="shared" ca="1" si="127"/>
        <v>-4.7902504608613201</v>
      </c>
    </row>
    <row r="128" spans="1:73" x14ac:dyDescent="0.25">
      <c r="AS128" s="6">
        <v>-0.94247779607694926</v>
      </c>
      <c r="AT128" s="6">
        <v>-7.6932868249021631</v>
      </c>
      <c r="AU128" s="6">
        <v>-221.13952214666884</v>
      </c>
      <c r="AV128" s="6">
        <f t="shared" si="98"/>
        <v>4.6776137159384659</v>
      </c>
      <c r="AW128" s="6">
        <f t="shared" si="99"/>
        <v>5.6200915120154153</v>
      </c>
      <c r="AX128" s="6">
        <f t="shared" si="100"/>
        <v>-1.5360210624486728</v>
      </c>
      <c r="AY128" s="6">
        <f t="shared" si="101"/>
        <v>1.5360210624486728</v>
      </c>
      <c r="AZ128" s="47">
        <f t="shared" si="102"/>
        <v>5.3407075111026368</v>
      </c>
      <c r="BA128" s="47">
        <f t="shared" si="103"/>
        <v>4.6776137159384659</v>
      </c>
      <c r="BB128" s="47">
        <f t="shared" si="104"/>
        <v>5.6200915120154153</v>
      </c>
      <c r="BC128" s="47">
        <f t="shared" si="105"/>
        <v>-1.5360210624486728</v>
      </c>
      <c r="BD128" s="47">
        <f t="shared" si="106"/>
        <v>1.5360210624486728</v>
      </c>
      <c r="BE128" s="40"/>
      <c r="BF128" s="40"/>
      <c r="BG128" s="6">
        <f t="shared" si="113"/>
        <v>-1.1693705988362124</v>
      </c>
      <c r="BH128" s="9">
        <f t="shared" ca="1" si="114"/>
        <v>62.967054046675322</v>
      </c>
      <c r="BI128" s="9">
        <f t="shared" ca="1" si="115"/>
        <v>-169.43834043212647</v>
      </c>
      <c r="BJ128">
        <f t="shared" ca="1" si="116"/>
        <v>180.76006501357017</v>
      </c>
      <c r="BK128" s="6">
        <f t="shared" ca="1" si="117"/>
        <v>0.34834604668873187</v>
      </c>
      <c r="BL128" s="6">
        <f t="shared" ca="1" si="118"/>
        <v>-0.9373660073612291</v>
      </c>
      <c r="BM128" s="6">
        <f t="shared" ca="1" si="119"/>
        <v>-1.214990271994119</v>
      </c>
      <c r="BN128" s="6">
        <f t="shared" ca="1" si="120"/>
        <v>-3.1344048919904761</v>
      </c>
      <c r="BO128" s="9">
        <f t="shared" ca="1" si="121"/>
        <v>-16.615142649484092</v>
      </c>
      <c r="BP128" s="9">
        <f t="shared" ca="1" si="122"/>
        <v>-225.61400868985666</v>
      </c>
      <c r="BQ128">
        <f t="shared" ca="1" si="123"/>
        <v>226.22498509751176</v>
      </c>
      <c r="BR128">
        <f t="shared" ca="1" si="124"/>
        <v>-7.3445214914357584E-2</v>
      </c>
      <c r="BS128">
        <f t="shared" ca="1" si="125"/>
        <v>-0.99729925318641643</v>
      </c>
      <c r="BT128">
        <f t="shared" ca="1" si="126"/>
        <v>-1.644307732196993</v>
      </c>
      <c r="BU128" s="40">
        <f t="shared" ca="1" si="127"/>
        <v>-4.7859003856867863</v>
      </c>
    </row>
    <row r="129" spans="1:73" x14ac:dyDescent="0.25">
      <c r="A129" s="15" t="s">
        <v>131</v>
      </c>
      <c r="AS129" s="6">
        <v>-0.92502450355700594</v>
      </c>
      <c r="AT129" s="6">
        <v>-7.2053977701654386</v>
      </c>
      <c r="AU129" s="6">
        <v>-220.8073329301034</v>
      </c>
      <c r="AV129" s="6">
        <f t="shared" si="98"/>
        <v>4.6797684974120566</v>
      </c>
      <c r="AW129" s="6">
        <f t="shared" si="99"/>
        <v>5.6047930009690621</v>
      </c>
      <c r="AX129" s="6">
        <f t="shared" si="100"/>
        <v>-1.5381758439222635</v>
      </c>
      <c r="AY129" s="6">
        <f t="shared" si="101"/>
        <v>1.5381758439222635</v>
      </c>
      <c r="AZ129" s="47">
        <f t="shared" si="102"/>
        <v>5.3581608036225798</v>
      </c>
      <c r="BA129" s="47">
        <f t="shared" si="103"/>
        <v>4.6797684974120566</v>
      </c>
      <c r="BB129" s="47">
        <f t="shared" si="104"/>
        <v>5.6047930009690621</v>
      </c>
      <c r="BC129" s="47">
        <f t="shared" si="105"/>
        <v>-1.5381758439222635</v>
      </c>
      <c r="BD129" s="47">
        <f t="shared" si="106"/>
        <v>1.5381758439222635</v>
      </c>
      <c r="BE129" s="40"/>
      <c r="BF129" s="40"/>
      <c r="BG129" s="6">
        <f t="shared" si="113"/>
        <v>-1.1519173063162691</v>
      </c>
      <c r="BH129" s="9">
        <f t="shared" ca="1" si="114"/>
        <v>63.913865460614375</v>
      </c>
      <c r="BI129" s="9">
        <f t="shared" ca="1" si="115"/>
        <v>-169.06558258467106</v>
      </c>
      <c r="BJ129">
        <f t="shared" ca="1" si="116"/>
        <v>180.74333573554446</v>
      </c>
      <c r="BK129" s="6">
        <f t="shared" ca="1" si="117"/>
        <v>0.35361671953498897</v>
      </c>
      <c r="BL129" s="6">
        <f t="shared" ca="1" si="118"/>
        <v>-0.93539040815336194</v>
      </c>
      <c r="BM129" s="6">
        <f t="shared" ca="1" si="119"/>
        <v>-1.2093615005354692</v>
      </c>
      <c r="BN129" s="6">
        <f t="shared" ca="1" si="120"/>
        <v>-3.1287761205318265</v>
      </c>
      <c r="BO129" s="9">
        <f t="shared" ca="1" si="121"/>
        <v>-15.66833123554504</v>
      </c>
      <c r="BP129" s="9">
        <f t="shared" ca="1" si="122"/>
        <v>-225.24125084240126</v>
      </c>
      <c r="BQ129">
        <f t="shared" ca="1" si="123"/>
        <v>225.78555685596075</v>
      </c>
      <c r="BR129">
        <f t="shared" ca="1" si="124"/>
        <v>-6.9394745411198319E-2</v>
      </c>
      <c r="BS129">
        <f t="shared" ca="1" si="125"/>
        <v>-0.99758927886646565</v>
      </c>
      <c r="BT129">
        <f t="shared" ca="1" si="126"/>
        <v>-1.6402468898271985</v>
      </c>
      <c r="BU129" s="40">
        <f t="shared" ca="1" si="127"/>
        <v>-4.7818395433169911</v>
      </c>
    </row>
    <row r="130" spans="1:73" x14ac:dyDescent="0.25">
      <c r="A130" s="8" t="s">
        <v>133</v>
      </c>
      <c r="B130" s="1">
        <f>U10</f>
        <v>1E-8</v>
      </c>
      <c r="AS130" s="6">
        <v>-0.90757121103706262</v>
      </c>
      <c r="AT130" s="6">
        <v>-6.7345637137165228</v>
      </c>
      <c r="AU130" s="6">
        <v>-220.47391530744056</v>
      </c>
      <c r="AV130" s="6">
        <f t="shared" si="98"/>
        <v>4.6818526227544233</v>
      </c>
      <c r="AW130" s="6">
        <f t="shared" si="99"/>
        <v>5.5894238337914857</v>
      </c>
      <c r="AX130" s="6">
        <f t="shared" si="100"/>
        <v>-1.5402599692646302</v>
      </c>
      <c r="AY130" s="6">
        <f t="shared" si="101"/>
        <v>1.5402599692646302</v>
      </c>
      <c r="AZ130" s="47">
        <f t="shared" si="102"/>
        <v>5.3756140961425238</v>
      </c>
      <c r="BA130" s="47">
        <f t="shared" si="103"/>
        <v>4.6818526227544233</v>
      </c>
      <c r="BB130" s="47">
        <f t="shared" si="104"/>
        <v>5.5894238337914857</v>
      </c>
      <c r="BC130" s="47">
        <f t="shared" si="105"/>
        <v>-1.5402599692646302</v>
      </c>
      <c r="BD130" s="47">
        <f t="shared" si="106"/>
        <v>1.5402599692646302</v>
      </c>
      <c r="BE130" s="40"/>
      <c r="BF130" s="40"/>
      <c r="BG130" s="6">
        <f t="shared" si="113"/>
        <v>-1.1344640137963258</v>
      </c>
      <c r="BH130" s="9">
        <f t="shared" ca="1" si="114"/>
        <v>64.798720986172668</v>
      </c>
      <c r="BI130" s="9">
        <f t="shared" ca="1" si="115"/>
        <v>-168.7007664045623</v>
      </c>
      <c r="BJ130">
        <f t="shared" ca="1" si="116"/>
        <v>180.71752219121021</v>
      </c>
      <c r="BK130" s="6">
        <f t="shared" ca="1" si="117"/>
        <v>0.35856357590832644</v>
      </c>
      <c r="BL130" s="6">
        <f t="shared" ca="1" si="118"/>
        <v>-0.93350530905390883</v>
      </c>
      <c r="BM130" s="6">
        <f t="shared" ca="1" si="119"/>
        <v>-1.2040676312469978</v>
      </c>
      <c r="BN130" s="6">
        <f t="shared" ca="1" si="120"/>
        <v>-3.1234822512433551</v>
      </c>
      <c r="BO130" s="9">
        <f t="shared" ca="1" si="121"/>
        <v>-14.783475709986746</v>
      </c>
      <c r="BP130" s="9">
        <f t="shared" ca="1" si="122"/>
        <v>-224.8764346622925</v>
      </c>
      <c r="BQ130">
        <f t="shared" ca="1" si="123"/>
        <v>225.36184686075873</v>
      </c>
      <c r="BR130">
        <f t="shared" ca="1" si="124"/>
        <v>-6.5598839892010694E-2</v>
      </c>
      <c r="BS130">
        <f t="shared" ca="1" si="125"/>
        <v>-0.99784607640899325</v>
      </c>
      <c r="BT130">
        <f t="shared" ca="1" si="126"/>
        <v>-1.636442305599116</v>
      </c>
      <c r="BU130" s="40">
        <f t="shared" ca="1" si="127"/>
        <v>-4.7780349590889095</v>
      </c>
    </row>
    <row r="131" spans="1:73" x14ac:dyDescent="0.25">
      <c r="A131" s="8" t="s">
        <v>132</v>
      </c>
      <c r="B131">
        <f ca="1">(U10-B127)/(D127-F127)</f>
        <v>0.89408810659835936</v>
      </c>
      <c r="AS131" s="6">
        <v>-0.8901179185171193</v>
      </c>
      <c r="AT131" s="6">
        <v>-6.279393668860541</v>
      </c>
      <c r="AU131" s="6">
        <v>-220.13873571161702</v>
      </c>
      <c r="AV131" s="6">
        <f t="shared" ref="AV131:AV194" si="145">IF(AND(AT131=0,AU131=0),0,IF(ATAN2(AT131,AU131)&lt;0,ATAN2(AT131,AU131)+(2*PI()),ATAN2(AT131,AU131)))</f>
        <v>4.6838720027421052</v>
      </c>
      <c r="AW131" s="6">
        <f t="shared" ref="AW131:AW194" si="146">ABS(AS131-AV131)</f>
        <v>5.5739899212592245</v>
      </c>
      <c r="AX131" s="6">
        <f t="shared" ref="AX131:AX194" si="147">$U$13-AV131</f>
        <v>-1.5422793492523121</v>
      </c>
      <c r="AY131" s="6">
        <f t="shared" ref="AY131:AY194" si="148">ABS(AX131)</f>
        <v>1.5422793492523121</v>
      </c>
      <c r="AZ131" s="47">
        <f t="shared" ref="AZ131:AZ182" si="149">AS131+(2*PI())</f>
        <v>5.3930673886624669</v>
      </c>
      <c r="BA131" s="47">
        <f t="shared" ref="BA131:BA182" si="150">AV131</f>
        <v>4.6838720027421052</v>
      </c>
      <c r="BB131" s="47">
        <f t="shared" ref="BB131:BB182" si="151">AW131</f>
        <v>5.5739899212592245</v>
      </c>
      <c r="BC131" s="47">
        <f t="shared" ref="BC131:BC182" si="152">AX131</f>
        <v>-1.5422793492523121</v>
      </c>
      <c r="BD131" s="47">
        <f t="shared" ref="BD131:BD182" si="153">AY131</f>
        <v>1.5422793492523121</v>
      </c>
      <c r="BE131" s="40"/>
      <c r="BF131" s="40"/>
      <c r="BG131" s="6">
        <f t="shared" si="113"/>
        <v>-1.1170107212763825</v>
      </c>
      <c r="BH131" s="9">
        <f t="shared" ca="1" si="114"/>
        <v>65.628531289702607</v>
      </c>
      <c r="BI131" s="9">
        <f t="shared" ca="1" si="115"/>
        <v>-168.34282512085355</v>
      </c>
      <c r="BJ131">
        <f t="shared" ca="1" si="116"/>
        <v>180.68317821234425</v>
      </c>
      <c r="BK131" s="6">
        <f t="shared" ca="1" si="117"/>
        <v>0.36322435734761099</v>
      </c>
      <c r="BL131" s="6">
        <f t="shared" ca="1" si="118"/>
        <v>-0.9317017045328484</v>
      </c>
      <c r="BM131" s="6">
        <f t="shared" ca="1" si="119"/>
        <v>-1.199070039339269</v>
      </c>
      <c r="BN131" s="6">
        <f t="shared" ca="1" si="120"/>
        <v>-3.1184846593356261</v>
      </c>
      <c r="BO131" s="9">
        <f t="shared" ca="1" si="121"/>
        <v>-13.953665406456807</v>
      </c>
      <c r="BP131" s="9">
        <f t="shared" ca="1" si="122"/>
        <v>-224.51849337858374</v>
      </c>
      <c r="BQ131">
        <f t="shared" ca="1" si="123"/>
        <v>224.95168069446493</v>
      </c>
      <c r="BR131">
        <f t="shared" ca="1" si="124"/>
        <v>-6.2029611707631688E-2</v>
      </c>
      <c r="BS131">
        <f t="shared" ca="1" si="125"/>
        <v>-0.99807430949373721</v>
      </c>
      <c r="BT131">
        <f t="shared" ca="1" si="126"/>
        <v>-1.6328657858091074</v>
      </c>
      <c r="BU131" s="40">
        <f t="shared" ca="1" si="127"/>
        <v>-4.7744584392989005</v>
      </c>
    </row>
    <row r="132" spans="1:73" x14ac:dyDescent="0.25">
      <c r="A132" s="8" t="s">
        <v>77</v>
      </c>
      <c r="B132">
        <f ca="1">(B125+(B131*(D125-F125)))/12</f>
        <v>-79.582196696159414</v>
      </c>
      <c r="AS132" s="6">
        <v>-0.87266462599717598</v>
      </c>
      <c r="AT132" s="6">
        <v>-5.8386219767053547</v>
      </c>
      <c r="AU132" s="6">
        <v>-219.80125782136912</v>
      </c>
      <c r="AV132" s="6">
        <f t="shared" si="145"/>
        <v>4.6858320381447669</v>
      </c>
      <c r="AW132" s="6">
        <f t="shared" si="146"/>
        <v>5.5584966641419431</v>
      </c>
      <c r="AX132" s="6">
        <f t="shared" si="147"/>
        <v>-1.5442393846549738</v>
      </c>
      <c r="AY132" s="6">
        <f t="shared" si="148"/>
        <v>1.5442393846549738</v>
      </c>
      <c r="AZ132" s="47">
        <f t="shared" si="149"/>
        <v>5.41052068118241</v>
      </c>
      <c r="BA132" s="47">
        <f t="shared" si="150"/>
        <v>4.6858320381447669</v>
      </c>
      <c r="BB132" s="47">
        <f t="shared" si="151"/>
        <v>5.5584966641419431</v>
      </c>
      <c r="BC132" s="47">
        <f t="shared" si="152"/>
        <v>-1.5442393846549738</v>
      </c>
      <c r="BD132" s="47">
        <f t="shared" si="153"/>
        <v>1.5442393846549738</v>
      </c>
      <c r="BE132" s="40"/>
      <c r="BF132" s="40"/>
      <c r="BG132" s="6">
        <f t="shared" si="113"/>
        <v>-1.0995574287564391</v>
      </c>
      <c r="BH132" s="9">
        <f t="shared" ca="1" si="114"/>
        <v>66.409223779396925</v>
      </c>
      <c r="BI132" s="9">
        <f t="shared" ca="1" si="115"/>
        <v>-167.99079805232998</v>
      </c>
      <c r="BJ132">
        <f t="shared" ca="1" si="116"/>
        <v>180.64078507701612</v>
      </c>
      <c r="BK132" s="6">
        <f t="shared" ca="1" si="117"/>
        <v>0.36763139482085055</v>
      </c>
      <c r="BL132" s="6">
        <f t="shared" ca="1" si="118"/>
        <v>-0.9299715896424342</v>
      </c>
      <c r="BM132" s="6">
        <f t="shared" ca="1" si="119"/>
        <v>-1.1943355574568366</v>
      </c>
      <c r="BN132" s="6">
        <f t="shared" ca="1" si="120"/>
        <v>-3.1137501774531939</v>
      </c>
      <c r="BO132" s="9">
        <f t="shared" ca="1" si="121"/>
        <v>-13.17297291676249</v>
      </c>
      <c r="BP132" s="9">
        <f t="shared" ca="1" si="122"/>
        <v>-224.16646631006017</v>
      </c>
      <c r="BQ132">
        <f t="shared" ca="1" si="123"/>
        <v>224.55318263922493</v>
      </c>
      <c r="BR132">
        <f t="shared" ca="1" si="124"/>
        <v>-5.8663042589454865E-2</v>
      </c>
      <c r="BS132">
        <f t="shared" ca="1" si="125"/>
        <v>-0.9982778408009203</v>
      </c>
      <c r="BT132">
        <f t="shared" ca="1" si="126"/>
        <v>-1.6294930682989328</v>
      </c>
      <c r="BU132" s="40">
        <f t="shared" ca="1" si="127"/>
        <v>-4.7710857217887259</v>
      </c>
    </row>
    <row r="133" spans="1:73" x14ac:dyDescent="0.25">
      <c r="A133" s="8" t="s">
        <v>125</v>
      </c>
      <c r="B133">
        <f ca="1">(B126+(B131*(D126-F126)))/12</f>
        <v>-56.175668257730194</v>
      </c>
      <c r="AS133" s="6">
        <v>-0.85521133347723266</v>
      </c>
      <c r="AT133" s="6">
        <v>-5.4110927857869626</v>
      </c>
      <c r="AU133" s="6">
        <v>-219.46093844438116</v>
      </c>
      <c r="AV133" s="6">
        <f t="shared" si="145"/>
        <v>4.6877376839070726</v>
      </c>
      <c r="AW133" s="6">
        <f t="shared" si="146"/>
        <v>5.5429490173843057</v>
      </c>
      <c r="AX133" s="6">
        <f t="shared" si="147"/>
        <v>-1.5461450304172795</v>
      </c>
      <c r="AY133" s="6">
        <f t="shared" si="148"/>
        <v>1.5461450304172795</v>
      </c>
      <c r="AZ133" s="47">
        <f t="shared" si="149"/>
        <v>5.427973973702354</v>
      </c>
      <c r="BA133" s="47">
        <f t="shared" si="150"/>
        <v>4.6877376839070726</v>
      </c>
      <c r="BB133" s="47">
        <f t="shared" si="151"/>
        <v>5.5429490173843057</v>
      </c>
      <c r="BC133" s="47">
        <f t="shared" si="152"/>
        <v>-1.5461450304172795</v>
      </c>
      <c r="BD133" s="47">
        <f t="shared" si="153"/>
        <v>1.5461450304172795</v>
      </c>
      <c r="BE133" s="40"/>
      <c r="BF133" s="40"/>
      <c r="BG133" s="6">
        <f t="shared" si="113"/>
        <v>-1.0821041362364958</v>
      </c>
      <c r="BH133" s="9">
        <f t="shared" ca="1" si="114"/>
        <v>67.145914002962854</v>
      </c>
      <c r="BI133" s="9">
        <f t="shared" ca="1" si="115"/>
        <v>-167.64381250975057</v>
      </c>
      <c r="BJ133">
        <f t="shared" ca="1" si="116"/>
        <v>180.59075734958776</v>
      </c>
      <c r="BK133" s="6">
        <f t="shared" ca="1" si="117"/>
        <v>0.37181257218486397</v>
      </c>
      <c r="BL133" s="6">
        <f t="shared" ca="1" si="118"/>
        <v>-0.92830782134229339</v>
      </c>
      <c r="BM133" s="6">
        <f t="shared" ca="1" si="119"/>
        <v>-1.1898355126482703</v>
      </c>
      <c r="BN133" s="6">
        <f t="shared" ca="1" si="120"/>
        <v>-3.1092501326446271</v>
      </c>
      <c r="BO133" s="9">
        <f t="shared" ca="1" si="121"/>
        <v>-12.43628269319656</v>
      </c>
      <c r="BP133" s="9">
        <f t="shared" ca="1" si="122"/>
        <v>-223.81948076748077</v>
      </c>
      <c r="BQ133">
        <f t="shared" ca="1" si="123"/>
        <v>224.16471867412542</v>
      </c>
      <c r="BR133">
        <f t="shared" ca="1" si="124"/>
        <v>-5.5478323113261792E-2</v>
      </c>
      <c r="BS133">
        <f t="shared" ca="1" si="125"/>
        <v>-0.99845989186573758</v>
      </c>
      <c r="BT133">
        <f t="shared" ca="1" si="126"/>
        <v>-1.6263031483374302</v>
      </c>
      <c r="BU133" s="40">
        <f t="shared" ca="1" si="127"/>
        <v>-4.7678958018272235</v>
      </c>
    </row>
    <row r="134" spans="1:73" x14ac:dyDescent="0.25">
      <c r="AS134" s="6">
        <v>-0.83775804095728934</v>
      </c>
      <c r="AT134" s="6">
        <v>-4.9957467760435179</v>
      </c>
      <c r="AU134" s="6">
        <v>-219.1172233457811</v>
      </c>
      <c r="AV134" s="6">
        <f t="shared" si="145"/>
        <v>4.6895935042907269</v>
      </c>
      <c r="AW134" s="6">
        <f t="shared" si="146"/>
        <v>5.527351545248016</v>
      </c>
      <c r="AX134" s="6">
        <f t="shared" si="147"/>
        <v>-1.5480008508009337</v>
      </c>
      <c r="AY134" s="6">
        <f t="shared" si="148"/>
        <v>1.5480008508009337</v>
      </c>
      <c r="AZ134" s="47">
        <f t="shared" si="149"/>
        <v>5.4454272662222971</v>
      </c>
      <c r="BA134" s="47">
        <f t="shared" si="150"/>
        <v>4.6895935042907269</v>
      </c>
      <c r="BB134" s="47">
        <f t="shared" si="151"/>
        <v>5.527351545248016</v>
      </c>
      <c r="BC134" s="47">
        <f t="shared" si="152"/>
        <v>-1.5480008508009337</v>
      </c>
      <c r="BD134" s="47">
        <f t="shared" si="153"/>
        <v>1.5480008508009337</v>
      </c>
      <c r="BE134" s="40"/>
      <c r="BF134" s="40"/>
      <c r="BG134" s="6">
        <f t="shared" si="113"/>
        <v>-1.0646508437165525</v>
      </c>
      <c r="BH134" s="9">
        <f t="shared" ca="1" si="114"/>
        <v>67.843042371163222</v>
      </c>
      <c r="BI134" s="9">
        <f t="shared" ca="1" si="115"/>
        <v>-167.30106889609982</v>
      </c>
      <c r="BJ134">
        <f t="shared" ca="1" si="116"/>
        <v>180.53344856827221</v>
      </c>
      <c r="BK134" s="6">
        <f t="shared" ca="1" si="117"/>
        <v>0.37579209231970701</v>
      </c>
      <c r="BL134" s="6">
        <f t="shared" ca="1" si="118"/>
        <v>-0.92670399985646812</v>
      </c>
      <c r="BM134" s="6">
        <f t="shared" ca="1" si="119"/>
        <v>-1.1855449588259199</v>
      </c>
      <c r="BN134" s="6">
        <f t="shared" ca="1" si="120"/>
        <v>-3.1049595788222772</v>
      </c>
      <c r="BO134" s="9">
        <f t="shared" ca="1" si="121"/>
        <v>-11.739154324996193</v>
      </c>
      <c r="BP134" s="9">
        <f t="shared" ca="1" si="122"/>
        <v>-223.47673715383002</v>
      </c>
      <c r="BQ134">
        <f t="shared" ca="1" si="123"/>
        <v>223.78485157219225</v>
      </c>
      <c r="BR134">
        <f t="shared" ca="1" si="124"/>
        <v>-5.2457323373424049E-2</v>
      </c>
      <c r="BS134">
        <f t="shared" ca="1" si="125"/>
        <v>-0.9986231667773865</v>
      </c>
      <c r="BT134">
        <f t="shared" ca="1" si="126"/>
        <v>-1.623277738430247</v>
      </c>
      <c r="BU134" s="40">
        <f t="shared" ca="1" si="127"/>
        <v>-4.7648703919200397</v>
      </c>
    </row>
    <row r="135" spans="1:73" x14ac:dyDescent="0.25">
      <c r="A135" s="8"/>
      <c r="AS135" s="6">
        <v>-0.82030474843734602</v>
      </c>
      <c r="AT135" s="6">
        <v>-4.522816288448757</v>
      </c>
      <c r="AU135" s="6">
        <v>-218.34428000857906</v>
      </c>
      <c r="AV135" s="6">
        <f t="shared" si="145"/>
        <v>4.6916777917178809</v>
      </c>
      <c r="AW135" s="6">
        <f t="shared" si="146"/>
        <v>5.5119825401552269</v>
      </c>
      <c r="AX135" s="6">
        <f t="shared" si="147"/>
        <v>-1.5500851382280878</v>
      </c>
      <c r="AY135" s="6">
        <f t="shared" si="148"/>
        <v>1.5500851382280878</v>
      </c>
      <c r="AZ135" s="47">
        <f t="shared" si="149"/>
        <v>5.4628805587422402</v>
      </c>
      <c r="BA135" s="47">
        <f t="shared" si="150"/>
        <v>4.6916777917178809</v>
      </c>
      <c r="BB135" s="47">
        <f t="shared" si="151"/>
        <v>5.5119825401552269</v>
      </c>
      <c r="BC135" s="47">
        <f t="shared" si="152"/>
        <v>-1.5500851382280878</v>
      </c>
      <c r="BD135" s="47">
        <f t="shared" si="153"/>
        <v>1.5500851382280878</v>
      </c>
      <c r="BE135" s="40"/>
      <c r="BF135" s="40"/>
      <c r="BG135" s="6">
        <f t="shared" si="113"/>
        <v>-1.0471975511966092</v>
      </c>
      <c r="BH135" s="9">
        <f t="shared" ca="1" si="114"/>
        <v>68.504484088029471</v>
      </c>
      <c r="BI135" s="9">
        <f t="shared" ca="1" si="115"/>
        <v>-166.96182826969098</v>
      </c>
      <c r="BJ135">
        <f t="shared" ca="1" si="116"/>
        <v>180.46915647645963</v>
      </c>
      <c r="BK135" s="6">
        <f t="shared" ca="1" si="117"/>
        <v>0.37959109149471304</v>
      </c>
      <c r="BL135" s="6">
        <f t="shared" ca="1" si="118"/>
        <v>-0.92515436725870359</v>
      </c>
      <c r="BM135" s="6">
        <f t="shared" ca="1" si="119"/>
        <v>-1.1814420599075435</v>
      </c>
      <c r="BN135" s="6">
        <f t="shared" ca="1" si="120"/>
        <v>-3.1008566799039006</v>
      </c>
      <c r="BO135" s="9">
        <f t="shared" ca="1" si="121"/>
        <v>-11.077712608129943</v>
      </c>
      <c r="BP135" s="9">
        <f t="shared" ca="1" si="122"/>
        <v>-223.13749652742118</v>
      </c>
      <c r="BQ135">
        <f t="shared" ca="1" si="123"/>
        <v>223.41230510684323</v>
      </c>
      <c r="BR135">
        <f t="shared" ca="1" si="124"/>
        <v>-4.9584165038860373E-2</v>
      </c>
      <c r="BS135">
        <f t="shared" ca="1" si="125"/>
        <v>-0.99876994877569236</v>
      </c>
      <c r="BT135">
        <f t="shared" ca="1" si="126"/>
        <v>-1.6204008321962879</v>
      </c>
      <c r="BU135" s="40">
        <f t="shared" ca="1" si="127"/>
        <v>-4.7619934856860811</v>
      </c>
    </row>
    <row r="136" spans="1:73" x14ac:dyDescent="0.25">
      <c r="A136" s="8"/>
      <c r="AS136" s="6">
        <v>-0.8028514559174027</v>
      </c>
      <c r="AT136" s="6">
        <v>-4.0211076607557628</v>
      </c>
      <c r="AU136" s="6">
        <v>-217.28260200346793</v>
      </c>
      <c r="AV136" s="6">
        <f t="shared" si="145"/>
        <v>4.6938847436823359</v>
      </c>
      <c r="AW136" s="6">
        <f t="shared" si="146"/>
        <v>5.4967361995997388</v>
      </c>
      <c r="AX136" s="6">
        <f t="shared" si="147"/>
        <v>-1.5522920901925428</v>
      </c>
      <c r="AY136" s="6">
        <f t="shared" si="148"/>
        <v>1.5522920901925428</v>
      </c>
      <c r="AZ136" s="47">
        <f t="shared" si="149"/>
        <v>5.4803338512621833</v>
      </c>
      <c r="BA136" s="47">
        <f t="shared" si="150"/>
        <v>4.6938847436823359</v>
      </c>
      <c r="BB136" s="47">
        <f t="shared" si="151"/>
        <v>5.4967361995997388</v>
      </c>
      <c r="BC136" s="47">
        <f t="shared" si="152"/>
        <v>-1.5522920901925428</v>
      </c>
      <c r="BD136" s="47">
        <f t="shared" si="153"/>
        <v>1.5522920901925428</v>
      </c>
      <c r="BE136" s="40"/>
      <c r="BF136" s="40"/>
      <c r="BG136" s="6">
        <f t="shared" si="113"/>
        <v>-1.0297442586766659</v>
      </c>
      <c r="BH136" s="9">
        <f t="shared" ca="1" si="114"/>
        <v>69.133638254642023</v>
      </c>
      <c r="BI136" s="9">
        <f t="shared" ca="1" si="115"/>
        <v>-166.62540185342505</v>
      </c>
      <c r="BJ136">
        <f t="shared" ca="1" si="116"/>
        <v>180.39812770962754</v>
      </c>
      <c r="BK136" s="6">
        <f t="shared" ca="1" si="117"/>
        <v>0.38322813619175095</v>
      </c>
      <c r="BL136" s="6">
        <f t="shared" ca="1" si="118"/>
        <v>-0.92365372062856799</v>
      </c>
      <c r="BM136" s="6">
        <f t="shared" ca="1" si="119"/>
        <v>-1.1775075898789222</v>
      </c>
      <c r="BN136" s="6">
        <f t="shared" ca="1" si="120"/>
        <v>-3.0969222098752791</v>
      </c>
      <c r="BO136" s="9">
        <f t="shared" ca="1" si="121"/>
        <v>-10.448558441517392</v>
      </c>
      <c r="BP136" s="9">
        <f t="shared" ca="1" si="122"/>
        <v>-222.80107011115524</v>
      </c>
      <c r="BQ136">
        <f t="shared" ca="1" si="123"/>
        <v>223.04593521555535</v>
      </c>
      <c r="BR136">
        <f t="shared" ca="1" si="124"/>
        <v>-4.6844872700413612E-2</v>
      </c>
      <c r="BS136">
        <f t="shared" ca="1" si="125"/>
        <v>-0.99890217634244949</v>
      </c>
      <c r="BT136">
        <f t="shared" ca="1" si="126"/>
        <v>-1.6176583494964456</v>
      </c>
      <c r="BU136" s="40">
        <f t="shared" ca="1" si="127"/>
        <v>-4.7592510029862387</v>
      </c>
    </row>
    <row r="137" spans="1:73" x14ac:dyDescent="0.25">
      <c r="AS137" s="6">
        <v>-0.78539816339745938</v>
      </c>
      <c r="AT137" s="6">
        <v>-3.5401525497955615</v>
      </c>
      <c r="AU137" s="6">
        <v>-216.23507248512192</v>
      </c>
      <c r="AV137" s="6">
        <f t="shared" si="145"/>
        <v>4.6960186651304863</v>
      </c>
      <c r="AW137" s="6">
        <f t="shared" si="146"/>
        <v>5.4814168285279461</v>
      </c>
      <c r="AX137" s="6">
        <f t="shared" si="147"/>
        <v>-1.5544260116406932</v>
      </c>
      <c r="AY137" s="6">
        <f t="shared" si="148"/>
        <v>1.5544260116406932</v>
      </c>
      <c r="AZ137" s="47">
        <f t="shared" si="149"/>
        <v>5.4977871437821264</v>
      </c>
      <c r="BA137" s="47">
        <f t="shared" si="150"/>
        <v>4.6960186651304863</v>
      </c>
      <c r="BB137" s="47">
        <f t="shared" si="151"/>
        <v>5.4814168285279461</v>
      </c>
      <c r="BC137" s="47">
        <f t="shared" si="152"/>
        <v>-1.5544260116406932</v>
      </c>
      <c r="BD137" s="47">
        <f t="shared" si="153"/>
        <v>1.5544260116406932</v>
      </c>
      <c r="BE137" s="40"/>
      <c r="BF137" s="40"/>
      <c r="BG137" s="6">
        <f t="shared" si="113"/>
        <v>-1.0122909661567225</v>
      </c>
      <c r="BH137" s="9">
        <f t="shared" ca="1" si="114"/>
        <v>69.733500635610454</v>
      </c>
      <c r="BI137" s="9">
        <f t="shared" ca="1" si="115"/>
        <v>-166.2911420857256</v>
      </c>
      <c r="BJ137">
        <f t="shared" ca="1" si="116"/>
        <v>180.32056190870654</v>
      </c>
      <c r="BK137" s="6">
        <f t="shared" ca="1" si="117"/>
        <v>0.38671962807500249</v>
      </c>
      <c r="BL137" s="6">
        <f t="shared" ca="1" si="118"/>
        <v>-0.92219733748343236</v>
      </c>
      <c r="BM137" s="6">
        <f t="shared" ca="1" si="119"/>
        <v>-1.1737245243885173</v>
      </c>
      <c r="BN137" s="6">
        <f t="shared" ca="1" si="120"/>
        <v>-3.0931391443848746</v>
      </c>
      <c r="BO137" s="9">
        <f t="shared" ca="1" si="121"/>
        <v>-9.84869606054896</v>
      </c>
      <c r="BP137" s="9">
        <f t="shared" ca="1" si="122"/>
        <v>-222.46681034345579</v>
      </c>
      <c r="BQ137">
        <f t="shared" ca="1" si="123"/>
        <v>222.68470652131504</v>
      </c>
      <c r="BR137">
        <f t="shared" ca="1" si="124"/>
        <v>-4.4227087770871497E-2</v>
      </c>
      <c r="BS137">
        <f t="shared" ca="1" si="125"/>
        <v>-0.99902150362607689</v>
      </c>
      <c r="BT137">
        <f t="shared" ca="1" si="126"/>
        <v>-1.6150378455625347</v>
      </c>
      <c r="BU137" s="40">
        <f t="shared" ca="1" si="127"/>
        <v>-4.7566304990523278</v>
      </c>
    </row>
    <row r="138" spans="1:73" x14ac:dyDescent="0.25">
      <c r="AS138" s="6">
        <v>-0.76794487087751606</v>
      </c>
      <c r="AT138" s="6">
        <v>-3.0784766501389869</v>
      </c>
      <c r="AU138" s="6">
        <v>-215.20013799695221</v>
      </c>
      <c r="AV138" s="6">
        <f t="shared" si="145"/>
        <v>4.6980847763386429</v>
      </c>
      <c r="AW138" s="6">
        <f t="shared" si="146"/>
        <v>5.4660296472161587</v>
      </c>
      <c r="AX138" s="6">
        <f t="shared" si="147"/>
        <v>-1.5564921228488497</v>
      </c>
      <c r="AY138" s="6">
        <f t="shared" si="148"/>
        <v>1.5564921228488497</v>
      </c>
      <c r="AZ138" s="47">
        <f t="shared" si="149"/>
        <v>5.5152404363020704</v>
      </c>
      <c r="BA138" s="47">
        <f t="shared" si="150"/>
        <v>4.6980847763386429</v>
      </c>
      <c r="BB138" s="47">
        <f t="shared" si="151"/>
        <v>5.4660296472161587</v>
      </c>
      <c r="BC138" s="47">
        <f t="shared" si="152"/>
        <v>-1.5564921228488497</v>
      </c>
      <c r="BD138" s="47">
        <f t="shared" si="153"/>
        <v>1.5564921228488497</v>
      </c>
      <c r="BE138" s="40"/>
      <c r="BF138" s="40"/>
      <c r="BG138" s="6">
        <f t="shared" si="113"/>
        <v>-0.99483767363677922</v>
      </c>
      <c r="BH138" s="9">
        <f t="shared" ca="1" si="114"/>
        <v>70.306723515225187</v>
      </c>
      <c r="BI138" s="9">
        <f t="shared" ca="1" si="115"/>
        <v>-165.95843489961888</v>
      </c>
      <c r="BJ138">
        <f t="shared" ca="1" si="116"/>
        <v>180.23661527496947</v>
      </c>
      <c r="BK138" s="6">
        <f t="shared" ca="1" si="117"/>
        <v>0.39008013664684649</v>
      </c>
      <c r="BL138" s="6">
        <f t="shared" ca="1" si="118"/>
        <v>-0.92078091150586827</v>
      </c>
      <c r="BM138" s="6">
        <f t="shared" ca="1" si="119"/>
        <v>-1.1700777045203827</v>
      </c>
      <c r="BN138" s="6">
        <f t="shared" ca="1" si="120"/>
        <v>-3.0894923245167396</v>
      </c>
      <c r="BO138" s="9">
        <f t="shared" ca="1" si="121"/>
        <v>-9.2754731809342275</v>
      </c>
      <c r="BP138" s="9">
        <f t="shared" ca="1" si="122"/>
        <v>-222.13410315734907</v>
      </c>
      <c r="BQ138">
        <f t="shared" ca="1" si="123"/>
        <v>222.32767301496688</v>
      </c>
      <c r="BR138">
        <f t="shared" ca="1" si="124"/>
        <v>-4.171983206206549E-2</v>
      </c>
      <c r="BS138">
        <f t="shared" ca="1" si="125"/>
        <v>-0.99912934878959148</v>
      </c>
      <c r="BT138">
        <f t="shared" ca="1" si="126"/>
        <v>-1.6125282708826345</v>
      </c>
      <c r="BU138" s="40">
        <f t="shared" ca="1" si="127"/>
        <v>-4.7541209243724278</v>
      </c>
    </row>
    <row r="139" spans="1:73" x14ac:dyDescent="0.25">
      <c r="AS139" s="6">
        <v>-0.75049157835757274</v>
      </c>
      <c r="AT139" s="6">
        <v>-2.6347300975998791</v>
      </c>
      <c r="AU139" s="6">
        <v>-214.17630346262041</v>
      </c>
      <c r="AV139" s="6">
        <f t="shared" si="145"/>
        <v>4.7000879127074606</v>
      </c>
      <c r="AW139" s="6">
        <f t="shared" si="146"/>
        <v>5.4505794910650334</v>
      </c>
      <c r="AX139" s="6">
        <f t="shared" si="147"/>
        <v>-1.5584952592176675</v>
      </c>
      <c r="AY139" s="6">
        <f t="shared" si="148"/>
        <v>1.5584952592176675</v>
      </c>
      <c r="AZ139" s="47">
        <f t="shared" si="149"/>
        <v>5.5326937288220135</v>
      </c>
      <c r="BA139" s="47">
        <f t="shared" si="150"/>
        <v>4.7000879127074606</v>
      </c>
      <c r="BB139" s="47">
        <f t="shared" si="151"/>
        <v>5.4505794910650334</v>
      </c>
      <c r="BC139" s="47">
        <f t="shared" si="152"/>
        <v>-1.5584952592176675</v>
      </c>
      <c r="BD139" s="47">
        <f t="shared" si="153"/>
        <v>1.5584952592176675</v>
      </c>
      <c r="BE139" s="40"/>
      <c r="BF139" s="40"/>
      <c r="BG139" s="6">
        <f t="shared" si="113"/>
        <v>-0.9773843811168359</v>
      </c>
      <c r="BH139" s="9">
        <f t="shared" ca="1" si="114"/>
        <v>70.855665242727227</v>
      </c>
      <c r="BI139" s="9">
        <f t="shared" ca="1" si="115"/>
        <v>-165.62669296733043</v>
      </c>
      <c r="BJ139">
        <f t="shared" ca="1" si="116"/>
        <v>180.14640357299328</v>
      </c>
      <c r="BK139" s="6">
        <f t="shared" ca="1" si="117"/>
        <v>0.39332267443250574</v>
      </c>
      <c r="BL139" s="6">
        <f t="shared" ca="1" si="118"/>
        <v>-0.91940049694203507</v>
      </c>
      <c r="BM139" s="6">
        <f t="shared" ca="1" si="119"/>
        <v>-1.1665535580260731</v>
      </c>
      <c r="BN139" s="6">
        <f t="shared" ca="1" si="120"/>
        <v>-3.08596817802243</v>
      </c>
      <c r="BO139" s="9">
        <f t="shared" ca="1" si="121"/>
        <v>-8.7265314534321874</v>
      </c>
      <c r="BP139" s="9">
        <f t="shared" ca="1" si="122"/>
        <v>-221.80236122506062</v>
      </c>
      <c r="BQ139">
        <f t="shared" ca="1" si="123"/>
        <v>221.97396197802124</v>
      </c>
      <c r="BR139">
        <f t="shared" ca="1" si="124"/>
        <v>-3.9313311235559444E-2</v>
      </c>
      <c r="BS139">
        <f t="shared" ca="1" si="125"/>
        <v>-0.9992269329635266</v>
      </c>
      <c r="BT139">
        <f t="shared" ca="1" si="126"/>
        <v>-1.6101197717724869</v>
      </c>
      <c r="BU139" s="40">
        <f t="shared" ca="1" si="127"/>
        <v>-4.75171242526228</v>
      </c>
    </row>
    <row r="140" spans="1:73" x14ac:dyDescent="0.25">
      <c r="AS140" s="6">
        <v>-0.73303828583762942</v>
      </c>
      <c r="AT140" s="6">
        <v>-2.207673521388068</v>
      </c>
      <c r="AU140" s="6">
        <v>-213.16212138886272</v>
      </c>
      <c r="AV140" s="6">
        <f t="shared" si="145"/>
        <v>4.702032569131859</v>
      </c>
      <c r="AW140" s="6">
        <f t="shared" si="146"/>
        <v>5.4350708549694886</v>
      </c>
      <c r="AX140" s="6">
        <f t="shared" si="147"/>
        <v>-1.5604399156420659</v>
      </c>
      <c r="AY140" s="6">
        <f t="shared" si="148"/>
        <v>1.5604399156420659</v>
      </c>
      <c r="AZ140" s="47">
        <f t="shared" si="149"/>
        <v>5.5501470213419566</v>
      </c>
      <c r="BA140" s="47">
        <f t="shared" si="150"/>
        <v>4.702032569131859</v>
      </c>
      <c r="BB140" s="47">
        <f t="shared" si="151"/>
        <v>5.4350708549694886</v>
      </c>
      <c r="BC140" s="47">
        <f t="shared" si="152"/>
        <v>-1.5604399156420659</v>
      </c>
      <c r="BD140" s="47">
        <f t="shared" si="153"/>
        <v>1.5604399156420659</v>
      </c>
      <c r="BE140" s="40"/>
      <c r="BF140" s="40"/>
      <c r="BG140" s="6">
        <f t="shared" si="113"/>
        <v>-0.95993108859689258</v>
      </c>
      <c r="BH140" s="9">
        <f t="shared" ca="1" si="114"/>
        <v>71.382431508132797</v>
      </c>
      <c r="BI140" s="9">
        <f t="shared" ca="1" si="115"/>
        <v>-165.29534971086937</v>
      </c>
      <c r="BJ140">
        <f t="shared" ca="1" si="116"/>
        <v>180.05000462108262</v>
      </c>
      <c r="BK140" s="6">
        <f t="shared" ca="1" si="117"/>
        <v>0.39645892627638624</v>
      </c>
      <c r="BL140" s="6">
        <f t="shared" ca="1" si="118"/>
        <v>-0.91805246025255816</v>
      </c>
      <c r="BM140" s="6">
        <f t="shared" ca="1" si="119"/>
        <v>-1.1631398664962169</v>
      </c>
      <c r="BN140" s="6">
        <f t="shared" ca="1" si="120"/>
        <v>-3.0825544864925742</v>
      </c>
      <c r="BO140" s="9">
        <f t="shared" ca="1" si="121"/>
        <v>-8.1997651880266176</v>
      </c>
      <c r="BP140" s="9">
        <f t="shared" ca="1" si="122"/>
        <v>-221.47101796859957</v>
      </c>
      <c r="BQ140">
        <f t="shared" ca="1" si="123"/>
        <v>221.62276044934222</v>
      </c>
      <c r="BR140">
        <f t="shared" ca="1" si="124"/>
        <v>-3.6998750360303777E-2</v>
      </c>
      <c r="BS140">
        <f t="shared" ca="1" si="125"/>
        <v>-0.99931531183694766</v>
      </c>
      <c r="BT140">
        <f t="shared" ca="1" si="126"/>
        <v>-1.6078035236706769</v>
      </c>
      <c r="BU140" s="40">
        <f t="shared" ca="1" si="127"/>
        <v>-4.7493961771604702</v>
      </c>
    </row>
    <row r="141" spans="1:73" x14ac:dyDescent="0.25">
      <c r="AS141" s="6">
        <v>-0.7155849933176861</v>
      </c>
      <c r="AT141" s="6">
        <v>-1.7961658595586585</v>
      </c>
      <c r="AU141" s="6">
        <v>-212.1561815511815</v>
      </c>
      <c r="AV141" s="6">
        <f t="shared" si="145"/>
        <v>4.7039229393129052</v>
      </c>
      <c r="AW141" s="6">
        <f t="shared" si="146"/>
        <v>5.4195079326305908</v>
      </c>
      <c r="AX141" s="6">
        <f t="shared" si="147"/>
        <v>-1.5623302858231121</v>
      </c>
      <c r="AY141" s="6">
        <f t="shared" si="148"/>
        <v>1.5623302858231121</v>
      </c>
      <c r="AZ141" s="47">
        <f t="shared" si="149"/>
        <v>5.5676003138619006</v>
      </c>
      <c r="BA141" s="47">
        <f t="shared" si="150"/>
        <v>4.7039229393129052</v>
      </c>
      <c r="BB141" s="47">
        <f t="shared" si="151"/>
        <v>5.4195079326305908</v>
      </c>
      <c r="BC141" s="47">
        <f t="shared" si="152"/>
        <v>-1.5623302858231121</v>
      </c>
      <c r="BD141" s="47">
        <f t="shared" si="153"/>
        <v>1.5623302858231121</v>
      </c>
      <c r="BE141" s="40"/>
      <c r="BF141" s="40"/>
      <c r="BG141" s="6">
        <f t="shared" si="113"/>
        <v>-0.94247779607694926</v>
      </c>
      <c r="BH141" s="9">
        <f t="shared" ca="1" si="114"/>
        <v>71.888909871257255</v>
      </c>
      <c r="BI141" s="9">
        <f t="shared" ca="1" si="115"/>
        <v>-164.96385388893864</v>
      </c>
      <c r="BJ141">
        <f t="shared" ca="1" si="116"/>
        <v>179.94746025540024</v>
      </c>
      <c r="BK141" s="6">
        <f t="shared" ca="1" si="117"/>
        <v>0.39949944149934097</v>
      </c>
      <c r="BL141" s="6">
        <f t="shared" ca="1" si="118"/>
        <v>-0.91673343794241224</v>
      </c>
      <c r="BM141" s="6">
        <f t="shared" ca="1" si="119"/>
        <v>-1.1598255697788529</v>
      </c>
      <c r="BN141" s="6">
        <f t="shared" ca="1" si="120"/>
        <v>-3.0792401897752102</v>
      </c>
      <c r="BO141" s="9">
        <f t="shared" ca="1" si="121"/>
        <v>-7.6932868249021595</v>
      </c>
      <c r="BP141" s="9">
        <f t="shared" ca="1" si="122"/>
        <v>-221.13952214666884</v>
      </c>
      <c r="BQ141">
        <f t="shared" ca="1" si="123"/>
        <v>221.27330367088402</v>
      </c>
      <c r="BR141">
        <f t="shared" ca="1" si="124"/>
        <v>-3.4768255805250455E-2</v>
      </c>
      <c r="BS141">
        <f t="shared" ca="1" si="125"/>
        <v>-0.99939540142441152</v>
      </c>
      <c r="BT141">
        <f t="shared" ca="1" si="126"/>
        <v>-1.6055715912411206</v>
      </c>
      <c r="BU141" s="40">
        <f t="shared" ca="1" si="127"/>
        <v>-4.7471642447309135</v>
      </c>
    </row>
    <row r="142" spans="1:73" x14ac:dyDescent="0.25">
      <c r="AS142" s="6">
        <v>-0.69813170079774278</v>
      </c>
      <c r="AT142" s="6">
        <v>-1.3991534494305258</v>
      </c>
      <c r="AU142" s="6">
        <v>-211.15710097191825</v>
      </c>
      <c r="AV142" s="6">
        <f t="shared" si="145"/>
        <v>4.7057629518653181</v>
      </c>
      <c r="AW142" s="6">
        <f t="shared" si="146"/>
        <v>5.4038946526630607</v>
      </c>
      <c r="AX142" s="6">
        <f t="shared" si="147"/>
        <v>-1.564170298375525</v>
      </c>
      <c r="AY142" s="6">
        <f t="shared" si="148"/>
        <v>1.564170298375525</v>
      </c>
      <c r="AZ142" s="47">
        <f t="shared" si="149"/>
        <v>5.5850536063818437</v>
      </c>
      <c r="BA142" s="47">
        <f t="shared" si="150"/>
        <v>4.7057629518653181</v>
      </c>
      <c r="BB142" s="47">
        <f t="shared" si="151"/>
        <v>5.4038946526630607</v>
      </c>
      <c r="BC142" s="47">
        <f t="shared" si="152"/>
        <v>-1.564170298375525</v>
      </c>
      <c r="BD142" s="47">
        <f t="shared" si="153"/>
        <v>1.564170298375525</v>
      </c>
      <c r="BE142" s="40"/>
      <c r="BF142" s="40"/>
      <c r="BG142" s="6">
        <f t="shared" si="113"/>
        <v>-0.92502450355700594</v>
      </c>
      <c r="BH142" s="9">
        <f t="shared" ca="1" si="114"/>
        <v>72.376798925993981</v>
      </c>
      <c r="BI142" s="9">
        <f t="shared" ca="1" si="115"/>
        <v>-164.6316646723732</v>
      </c>
      <c r="BJ142">
        <f t="shared" ca="1" si="116"/>
        <v>179.83877789723354</v>
      </c>
      <c r="BK142" s="6">
        <f t="shared" ca="1" si="117"/>
        <v>0.40245379651852803</v>
      </c>
      <c r="BL142" s="6">
        <f t="shared" ca="1" si="118"/>
        <v>-0.91544029934661675</v>
      </c>
      <c r="BM142" s="6">
        <f t="shared" ca="1" si="119"/>
        <v>-1.1566006000082336</v>
      </c>
      <c r="BN142" s="6">
        <f t="shared" ca="1" si="120"/>
        <v>-3.0760152200045905</v>
      </c>
      <c r="BO142" s="9">
        <f t="shared" ca="1" si="121"/>
        <v>-7.2053977701654333</v>
      </c>
      <c r="BP142" s="9">
        <f t="shared" ca="1" si="122"/>
        <v>-220.8073329301034</v>
      </c>
      <c r="BQ142">
        <f t="shared" ca="1" si="123"/>
        <v>220.92486513005238</v>
      </c>
      <c r="BR142">
        <f t="shared" ca="1" si="124"/>
        <v>-3.2614698060011556E-2</v>
      </c>
      <c r="BS142">
        <f t="shared" ca="1" si="125"/>
        <v>-0.9994679992228136</v>
      </c>
      <c r="BT142">
        <f t="shared" ca="1" si="126"/>
        <v>-1.6034168097675299</v>
      </c>
      <c r="BU142" s="40">
        <f t="shared" ca="1" si="127"/>
        <v>-4.7450094632573228</v>
      </c>
    </row>
    <row r="143" spans="1:73" x14ac:dyDescent="0.25">
      <c r="AS143" s="6">
        <v>-0.68067840827779946</v>
      </c>
      <c r="AT143" s="6">
        <v>-1.0156604128370077</v>
      </c>
      <c r="AU143" s="6">
        <v>-210.16351402603198</v>
      </c>
      <c r="AV143" s="6">
        <f t="shared" si="145"/>
        <v>4.7075563027874763</v>
      </c>
      <c r="AW143" s="6">
        <f t="shared" si="146"/>
        <v>5.3882347110652757</v>
      </c>
      <c r="AX143" s="6">
        <f t="shared" si="147"/>
        <v>-1.5659636492976832</v>
      </c>
      <c r="AY143" s="6">
        <f t="shared" si="148"/>
        <v>1.5659636492976832</v>
      </c>
      <c r="AZ143" s="47">
        <f t="shared" si="149"/>
        <v>5.6025068989017868</v>
      </c>
      <c r="BA143" s="47">
        <f t="shared" si="150"/>
        <v>4.7075563027874763</v>
      </c>
      <c r="BB143" s="47">
        <f t="shared" si="151"/>
        <v>5.3882347110652757</v>
      </c>
      <c r="BC143" s="47">
        <f t="shared" si="152"/>
        <v>-1.5659636492976832</v>
      </c>
      <c r="BD143" s="47">
        <f t="shared" si="153"/>
        <v>1.5659636492976832</v>
      </c>
      <c r="BE143" s="40"/>
      <c r="BF143" s="40"/>
      <c r="BG143" s="6">
        <f t="shared" si="113"/>
        <v>-0.90757121103706262</v>
      </c>
      <c r="BH143" s="9">
        <f t="shared" ca="1" si="114"/>
        <v>72.847632982442889</v>
      </c>
      <c r="BI143" s="9">
        <f t="shared" ca="1" si="115"/>
        <v>-164.29824704971037</v>
      </c>
      <c r="BJ143">
        <f t="shared" ca="1" si="116"/>
        <v>179.72393166952577</v>
      </c>
      <c r="BK143" s="6">
        <f t="shared" ca="1" si="117"/>
        <v>0.40533073311791473</v>
      </c>
      <c r="BL143" s="6">
        <f t="shared" ca="1" si="118"/>
        <v>-0.91417011370427859</v>
      </c>
      <c r="BM143" s="6">
        <f t="shared" ca="1" si="119"/>
        <v>-1.1534557400885974</v>
      </c>
      <c r="BN143" s="6">
        <f t="shared" ca="1" si="120"/>
        <v>-3.0728703600849547</v>
      </c>
      <c r="BO143" s="9">
        <f t="shared" ca="1" si="121"/>
        <v>-6.7345637137165255</v>
      </c>
      <c r="BP143" s="9">
        <f t="shared" ca="1" si="122"/>
        <v>-220.47391530744056</v>
      </c>
      <c r="BQ143">
        <f t="shared" ca="1" si="123"/>
        <v>220.57674782126645</v>
      </c>
      <c r="BR143">
        <f t="shared" ca="1" si="124"/>
        <v>-3.05316121496793E-2</v>
      </c>
      <c r="BS143">
        <f t="shared" ca="1" si="125"/>
        <v>-0.99953380165932448</v>
      </c>
      <c r="BT143">
        <f t="shared" ca="1" si="126"/>
        <v>-1.6013326844251625</v>
      </c>
      <c r="BU143" s="40">
        <f t="shared" ca="1" si="127"/>
        <v>-4.7429253379149561</v>
      </c>
    </row>
    <row r="144" spans="1:73" x14ac:dyDescent="0.25">
      <c r="AS144" s="6">
        <v>-0.66322511575785614</v>
      </c>
      <c r="AT144" s="6">
        <v>-0.6447799235287448</v>
      </c>
      <c r="AU144" s="6">
        <v>-209.17406248250319</v>
      </c>
      <c r="AV144" s="6">
        <f t="shared" si="145"/>
        <v>4.7093064859602318</v>
      </c>
      <c r="AW144" s="6">
        <f t="shared" si="146"/>
        <v>5.3725316017180882</v>
      </c>
      <c r="AX144" s="6">
        <f t="shared" si="147"/>
        <v>-1.5677138324704387</v>
      </c>
      <c r="AY144" s="6">
        <f t="shared" si="148"/>
        <v>1.5677138324704387</v>
      </c>
      <c r="AZ144" s="47">
        <f t="shared" si="149"/>
        <v>5.6199601914217299</v>
      </c>
      <c r="BA144" s="47">
        <f t="shared" si="150"/>
        <v>4.7093064859602318</v>
      </c>
      <c r="BB144" s="47">
        <f t="shared" si="151"/>
        <v>5.3725316017180882</v>
      </c>
      <c r="BC144" s="47">
        <f t="shared" si="152"/>
        <v>-1.5677138324704387</v>
      </c>
      <c r="BD144" s="47">
        <f t="shared" si="153"/>
        <v>1.5677138324704387</v>
      </c>
      <c r="BE144" s="40"/>
      <c r="BF144" s="40"/>
      <c r="BG144" s="6">
        <f t="shared" ref="BG144:BG207" si="154">AS131</f>
        <v>-0.8901179185171193</v>
      </c>
      <c r="BH144" s="9">
        <f t="shared" ref="BH144:BH207" ca="1" si="155">AT131-$BG$5</f>
        <v>73.302803027298879</v>
      </c>
      <c r="BI144" s="9">
        <f t="shared" ref="BI144:BI207" ca="1" si="156">AU131-$BH$5</f>
        <v>-163.96306745388682</v>
      </c>
      <c r="BJ144">
        <f t="shared" ref="BJ144:BJ207" ca="1" si="157">SQRT(POWER(BH144,2)+POWER(BI144,2))</f>
        <v>179.60286306333433</v>
      </c>
      <c r="BK144" s="6">
        <f t="shared" ref="BK144:BK207" ca="1" si="158">BH144/BJ144</f>
        <v>0.40813827673476294</v>
      </c>
      <c r="BL144" s="6">
        <f t="shared" ref="BL144:BL207" ca="1" si="159">BI144/BJ144</f>
        <v>-0.91292012085613383</v>
      </c>
      <c r="BM144" s="6">
        <f t="shared" ref="BM144:BM207" ca="1" si="160">ATAN2(BK144,BL144)</f>
        <v>-1.1503825022659437</v>
      </c>
      <c r="BN144" s="6">
        <f t="shared" ref="BN144:BN207" ca="1" si="161">BM144-$BJ$11</f>
        <v>-3.0697971222623011</v>
      </c>
      <c r="BO144" s="9">
        <f t="shared" ref="BO144:BO207" ca="1" si="162">BH144+$BG$5</f>
        <v>-6.2793936688605356</v>
      </c>
      <c r="BP144" s="9">
        <f t="shared" ref="BP144:BP207" ca="1" si="163">BI144+$BH$5</f>
        <v>-220.13873571161702</v>
      </c>
      <c r="BQ144">
        <f t="shared" ref="BQ144:BQ207" ca="1" si="164">SQRT(POWER(BO144,2)+POWER(BP144,2))</f>
        <v>220.22827644414261</v>
      </c>
      <c r="BR144">
        <f t="shared" ref="BR144:BR207" ca="1" si="165">BO144/BQ144</f>
        <v>-2.851311271308616E-2</v>
      </c>
      <c r="BS144">
        <f t="shared" ref="BS144:BS207" ca="1" si="166">BP144/BQ144</f>
        <v>-0.99959341854746653</v>
      </c>
      <c r="BT144">
        <f t="shared" ref="BT144:BT207" ca="1" si="167">ATAN2(BR144,BS144)</f>
        <v>-1.5993133044374812</v>
      </c>
      <c r="BU144" s="40">
        <f t="shared" ref="BU144:BU207" ca="1" si="168">BT144-$U$13</f>
        <v>-4.7409059579272741</v>
      </c>
    </row>
    <row r="145" spans="45:73" x14ac:dyDescent="0.25">
      <c r="AS145" s="6">
        <v>-0.64577182323791282</v>
      </c>
      <c r="AT145" s="6">
        <v>-0.28566641466792364</v>
      </c>
      <c r="AU145" s="6">
        <v>-208.1873853039707</v>
      </c>
      <c r="AV145" s="6">
        <f t="shared" si="145"/>
        <v>4.7110168211879904</v>
      </c>
      <c r="AW145" s="6">
        <f t="shared" si="146"/>
        <v>5.3567886444259027</v>
      </c>
      <c r="AX145" s="6">
        <f t="shared" si="147"/>
        <v>-1.5694241676981973</v>
      </c>
      <c r="AY145" s="6">
        <f t="shared" si="148"/>
        <v>1.5694241676981973</v>
      </c>
      <c r="AZ145" s="47">
        <f t="shared" si="149"/>
        <v>5.637413483941673</v>
      </c>
      <c r="BA145" s="47">
        <f t="shared" si="150"/>
        <v>4.7110168211879904</v>
      </c>
      <c r="BB145" s="47">
        <f t="shared" si="151"/>
        <v>5.3567886444259027</v>
      </c>
      <c r="BC145" s="47">
        <f t="shared" si="152"/>
        <v>-1.5694241676981973</v>
      </c>
      <c r="BD145" s="47">
        <f t="shared" si="153"/>
        <v>1.5694241676981973</v>
      </c>
      <c r="BE145" s="40"/>
      <c r="BF145" s="40"/>
      <c r="BG145" s="6">
        <f t="shared" si="154"/>
        <v>-0.87266462599717598</v>
      </c>
      <c r="BH145" s="9">
        <f t="shared" ca="1" si="155"/>
        <v>73.74357471945406</v>
      </c>
      <c r="BI145" s="9">
        <f t="shared" ca="1" si="156"/>
        <v>-163.62558956363893</v>
      </c>
      <c r="BJ145">
        <f t="shared" ca="1" si="157"/>
        <v>179.47548125705674</v>
      </c>
      <c r="BK145" s="6">
        <f t="shared" ca="1" si="158"/>
        <v>0.41088383885614771</v>
      </c>
      <c r="BL145" s="6">
        <f t="shared" ca="1" si="159"/>
        <v>-0.91168770473602156</v>
      </c>
      <c r="BM145" s="6">
        <f t="shared" ca="1" si="160"/>
        <v>-1.147373022627997</v>
      </c>
      <c r="BN145" s="6">
        <f t="shared" ca="1" si="161"/>
        <v>-3.0667876426243543</v>
      </c>
      <c r="BO145" s="9">
        <f t="shared" ca="1" si="162"/>
        <v>-5.8386219767053547</v>
      </c>
      <c r="BP145" s="9">
        <f t="shared" ca="1" si="163"/>
        <v>-219.80125782136912</v>
      </c>
      <c r="BQ145">
        <f t="shared" ca="1" si="164"/>
        <v>219.878790351509</v>
      </c>
      <c r="BR145">
        <f t="shared" ca="1" si="165"/>
        <v>-2.6553820708998116E-2</v>
      </c>
      <c r="BS145">
        <f t="shared" ca="1" si="166"/>
        <v>-0.99964738513425544</v>
      </c>
      <c r="BT145">
        <f t="shared" ca="1" si="167"/>
        <v>-1.5973532690348198</v>
      </c>
      <c r="BU145" s="40">
        <f t="shared" ca="1" si="168"/>
        <v>-4.7389459225246124</v>
      </c>
    </row>
    <row r="146" spans="45:73" x14ac:dyDescent="0.25">
      <c r="AS146" s="6">
        <v>-0.6283185307179695</v>
      </c>
      <c r="AT146" s="6">
        <v>6.2471627323293429E-2</v>
      </c>
      <c r="AU146" s="6">
        <v>-207.20210798576957</v>
      </c>
      <c r="AV146" s="6">
        <f t="shared" si="145"/>
        <v>4.7126904813010544</v>
      </c>
      <c r="AW146" s="6">
        <f t="shared" si="146"/>
        <v>5.3410090120190237</v>
      </c>
      <c r="AX146" s="6">
        <f t="shared" si="147"/>
        <v>-1.5710978278112613</v>
      </c>
      <c r="AY146" s="6">
        <f t="shared" si="148"/>
        <v>1.5710978278112613</v>
      </c>
      <c r="AZ146" s="47">
        <f t="shared" si="149"/>
        <v>5.654866776461617</v>
      </c>
      <c r="BA146" s="47">
        <f t="shared" si="150"/>
        <v>4.7126904813010544</v>
      </c>
      <c r="BB146" s="47">
        <f t="shared" si="151"/>
        <v>5.3410090120190237</v>
      </c>
      <c r="BC146" s="47">
        <f t="shared" si="152"/>
        <v>-1.5710978278112613</v>
      </c>
      <c r="BD146" s="47">
        <f t="shared" si="153"/>
        <v>1.5710978278112613</v>
      </c>
      <c r="BE146" s="40"/>
      <c r="BF146" s="40"/>
      <c r="BG146" s="6">
        <f t="shared" si="154"/>
        <v>-0.85521133347723266</v>
      </c>
      <c r="BH146" s="9">
        <f t="shared" ca="1" si="155"/>
        <v>74.171103910372452</v>
      </c>
      <c r="BI146" s="9">
        <f t="shared" ca="1" si="156"/>
        <v>-163.28527018665096</v>
      </c>
      <c r="BJ146">
        <f t="shared" ca="1" si="157"/>
        <v>179.34166307696287</v>
      </c>
      <c r="BK146" s="6">
        <f t="shared" ca="1" si="158"/>
        <v>0.41357430637041981</v>
      </c>
      <c r="BL146" s="6">
        <f t="shared" ca="1" si="159"/>
        <v>-0.91047036915554058</v>
      </c>
      <c r="BM146" s="6">
        <f t="shared" ca="1" si="160"/>
        <v>-1.1444199686667298</v>
      </c>
      <c r="BN146" s="6">
        <f t="shared" ca="1" si="161"/>
        <v>-3.0638345886630871</v>
      </c>
      <c r="BO146" s="9">
        <f t="shared" ca="1" si="162"/>
        <v>-5.4110927857869626</v>
      </c>
      <c r="BP146" s="9">
        <f t="shared" ca="1" si="163"/>
        <v>-219.46093844438116</v>
      </c>
      <c r="BQ146">
        <f t="shared" ca="1" si="164"/>
        <v>219.52763704833353</v>
      </c>
      <c r="BR146">
        <f t="shared" ca="1" si="165"/>
        <v>-2.4648799843800983E-2</v>
      </c>
      <c r="BS146">
        <f t="shared" ca="1" si="166"/>
        <v>-0.9996961721774571</v>
      </c>
      <c r="BT146">
        <f t="shared" ca="1" si="167"/>
        <v>-1.5954476232725139</v>
      </c>
      <c r="BU146" s="40">
        <f t="shared" ca="1" si="168"/>
        <v>-4.7370402767623068</v>
      </c>
    </row>
    <row r="147" spans="45:73" x14ac:dyDescent="0.25">
      <c r="AS147" s="6">
        <v>-0.61086523819802618</v>
      </c>
      <c r="AT147" s="6">
        <v>0.40037820565994481</v>
      </c>
      <c r="AU147" s="6">
        <v>-206.21683121536446</v>
      </c>
      <c r="AV147" s="6">
        <f t="shared" si="145"/>
        <v>4.7143305178441484</v>
      </c>
      <c r="AW147" s="6">
        <f t="shared" si="146"/>
        <v>5.3251957560421745</v>
      </c>
      <c r="AX147" s="6">
        <f t="shared" si="147"/>
        <v>-1.5727378643543553</v>
      </c>
      <c r="AY147" s="6">
        <f t="shared" si="148"/>
        <v>1.5727378643543553</v>
      </c>
      <c r="AZ147" s="47">
        <f t="shared" si="149"/>
        <v>5.67232006898156</v>
      </c>
      <c r="BA147" s="47">
        <f t="shared" si="150"/>
        <v>4.7143305178441484</v>
      </c>
      <c r="BB147" s="47">
        <f t="shared" si="151"/>
        <v>5.3251957560421745</v>
      </c>
      <c r="BC147" s="47">
        <f t="shared" si="152"/>
        <v>-1.5727378643543553</v>
      </c>
      <c r="BD147" s="47">
        <f t="shared" si="153"/>
        <v>1.5727378643543553</v>
      </c>
      <c r="BE147" s="40"/>
      <c r="BF147" s="40"/>
      <c r="BG147" s="6">
        <f t="shared" si="154"/>
        <v>-0.83775804095728934</v>
      </c>
      <c r="BH147" s="9">
        <f t="shared" ca="1" si="155"/>
        <v>74.586449920115896</v>
      </c>
      <c r="BI147" s="9">
        <f t="shared" ca="1" si="156"/>
        <v>-162.9415550880509</v>
      </c>
      <c r="BJ147">
        <f t="shared" ca="1" si="157"/>
        <v>179.20125246827459</v>
      </c>
      <c r="BK147" s="6">
        <f t="shared" ca="1" si="158"/>
        <v>0.41621611954593074</v>
      </c>
      <c r="BL147" s="6">
        <f t="shared" ca="1" si="159"/>
        <v>-0.90926571574547299</v>
      </c>
      <c r="BM147" s="6">
        <f t="shared" ca="1" si="160"/>
        <v>-1.1415164582714861</v>
      </c>
      <c r="BN147" s="6">
        <f t="shared" ca="1" si="161"/>
        <v>-3.0609310782678429</v>
      </c>
      <c r="BO147" s="9">
        <f t="shared" ca="1" si="162"/>
        <v>-4.9957467760435179</v>
      </c>
      <c r="BP147" s="9">
        <f t="shared" ca="1" si="163"/>
        <v>-219.1172233457811</v>
      </c>
      <c r="BQ147">
        <f t="shared" ca="1" si="164"/>
        <v>219.1741660246829</v>
      </c>
      <c r="BR147">
        <f t="shared" ca="1" si="165"/>
        <v>-2.2793501928876546E-2</v>
      </c>
      <c r="BS147">
        <f t="shared" ca="1" si="166"/>
        <v>-0.99974019438543049</v>
      </c>
      <c r="BT147">
        <f t="shared" ca="1" si="167"/>
        <v>-1.5935918028888598</v>
      </c>
      <c r="BU147" s="40">
        <f t="shared" ca="1" si="168"/>
        <v>-4.7351844563786525</v>
      </c>
    </row>
    <row r="148" spans="45:73" x14ac:dyDescent="0.25">
      <c r="AS148" s="6">
        <v>-0.59341194567808286</v>
      </c>
      <c r="AT148" s="6">
        <v>0.72875593446962628</v>
      </c>
      <c r="AU148" s="6">
        <v>-205.23011857811417</v>
      </c>
      <c r="AV148" s="6">
        <f t="shared" si="145"/>
        <v>4.7159398864435609</v>
      </c>
      <c r="AW148" s="6">
        <f t="shared" si="146"/>
        <v>5.309351832121644</v>
      </c>
      <c r="AX148" s="6">
        <f t="shared" si="147"/>
        <v>-1.5743472329537678</v>
      </c>
      <c r="AY148" s="6">
        <f t="shared" si="148"/>
        <v>1.5743472329537678</v>
      </c>
      <c r="AZ148" s="47">
        <f t="shared" si="149"/>
        <v>5.6897733615015031</v>
      </c>
      <c r="BA148" s="47">
        <f t="shared" si="150"/>
        <v>4.7159398864435609</v>
      </c>
      <c r="BB148" s="47">
        <f t="shared" si="151"/>
        <v>5.309351832121644</v>
      </c>
      <c r="BC148" s="47">
        <f t="shared" si="152"/>
        <v>-1.5743472329537678</v>
      </c>
      <c r="BD148" s="47">
        <f t="shared" si="153"/>
        <v>1.5743472329537678</v>
      </c>
      <c r="BE148" s="40"/>
      <c r="BF148" s="40"/>
      <c r="BG148" s="6">
        <f t="shared" si="154"/>
        <v>-0.82030474843734602</v>
      </c>
      <c r="BH148" s="9">
        <f t="shared" ca="1" si="155"/>
        <v>75.059380407710663</v>
      </c>
      <c r="BI148" s="9">
        <f t="shared" ca="1" si="156"/>
        <v>-162.16861175084887</v>
      </c>
      <c r="BJ148">
        <f t="shared" ca="1" si="157"/>
        <v>178.69686405862578</v>
      </c>
      <c r="BK148" s="6">
        <f t="shared" ca="1" si="158"/>
        <v>0.42003747969010602</v>
      </c>
      <c r="BL148" s="6">
        <f t="shared" ca="1" si="159"/>
        <v>-0.90750675791179847</v>
      </c>
      <c r="BM148" s="6">
        <f t="shared" ca="1" si="160"/>
        <v>-1.1373097074932679</v>
      </c>
      <c r="BN148" s="6">
        <f t="shared" ca="1" si="161"/>
        <v>-3.0567243274896247</v>
      </c>
      <c r="BO148" s="9">
        <f t="shared" ca="1" si="162"/>
        <v>-4.5228162884487517</v>
      </c>
      <c r="BP148" s="9">
        <f t="shared" ca="1" si="163"/>
        <v>-218.34428000857906</v>
      </c>
      <c r="BQ148">
        <f t="shared" ca="1" si="164"/>
        <v>218.39111813359955</v>
      </c>
      <c r="BR148">
        <f t="shared" ca="1" si="165"/>
        <v>-2.0709708009654239E-2</v>
      </c>
      <c r="BS148">
        <f t="shared" ca="1" si="166"/>
        <v>-0.99978553099860112</v>
      </c>
      <c r="BT148">
        <f t="shared" ca="1" si="167"/>
        <v>-1.5915075154617055</v>
      </c>
      <c r="BU148" s="40">
        <f t="shared" ca="1" si="168"/>
        <v>-4.7331001689514984</v>
      </c>
    </row>
    <row r="149" spans="45:73" x14ac:dyDescent="0.25">
      <c r="AS149" s="6">
        <v>-0.57595865315813954</v>
      </c>
      <c r="AT149" s="6">
        <v>1.0482718943132907</v>
      </c>
      <c r="AU149" s="6">
        <v>-204.24048299058563</v>
      </c>
      <c r="AV149" s="6">
        <f t="shared" si="145"/>
        <v>4.7175214726029582</v>
      </c>
      <c r="AW149" s="6">
        <f t="shared" si="146"/>
        <v>5.2934801257610982</v>
      </c>
      <c r="AX149" s="6">
        <f t="shared" si="147"/>
        <v>-1.5759288191131651</v>
      </c>
      <c r="AY149" s="6">
        <f t="shared" si="148"/>
        <v>1.5759288191131651</v>
      </c>
      <c r="AZ149" s="47">
        <f t="shared" si="149"/>
        <v>5.7072266540214471</v>
      </c>
      <c r="BA149" s="47">
        <f t="shared" si="150"/>
        <v>4.7175214726029582</v>
      </c>
      <c r="BB149" s="47">
        <f t="shared" si="151"/>
        <v>5.2934801257610982</v>
      </c>
      <c r="BC149" s="47">
        <f t="shared" si="152"/>
        <v>-1.5759288191131651</v>
      </c>
      <c r="BD149" s="47">
        <f t="shared" si="153"/>
        <v>1.5759288191131651</v>
      </c>
      <c r="BE149" s="40"/>
      <c r="BF149" s="40"/>
      <c r="BG149" s="6">
        <f t="shared" si="154"/>
        <v>-0.8028514559174027</v>
      </c>
      <c r="BH149" s="9">
        <f t="shared" ca="1" si="155"/>
        <v>75.561089035403654</v>
      </c>
      <c r="BI149" s="9">
        <f t="shared" ca="1" si="156"/>
        <v>-161.10693374573773</v>
      </c>
      <c r="BJ149">
        <f t="shared" ca="1" si="157"/>
        <v>177.9464028216635</v>
      </c>
      <c r="BK149" s="6">
        <f t="shared" ca="1" si="158"/>
        <v>0.4246283590859119</v>
      </c>
      <c r="BL149" s="6">
        <f t="shared" ca="1" si="159"/>
        <v>-0.90536774664221709</v>
      </c>
      <c r="BM149" s="6">
        <f t="shared" ca="1" si="160"/>
        <v>-1.1322449668610253</v>
      </c>
      <c r="BN149" s="6">
        <f t="shared" ca="1" si="161"/>
        <v>-3.0516595868573821</v>
      </c>
      <c r="BO149" s="9">
        <f t="shared" ca="1" si="162"/>
        <v>-4.0211076607557601</v>
      </c>
      <c r="BP149" s="9">
        <f t="shared" ca="1" si="163"/>
        <v>-217.28260200346793</v>
      </c>
      <c r="BQ149">
        <f t="shared" ca="1" si="164"/>
        <v>217.31980682905282</v>
      </c>
      <c r="BR149">
        <f t="shared" ca="1" si="165"/>
        <v>-1.8503180724428064E-2</v>
      </c>
      <c r="BS149">
        <f t="shared" ca="1" si="166"/>
        <v>-0.99982880149707587</v>
      </c>
      <c r="BT149">
        <f t="shared" ca="1" si="167"/>
        <v>-1.5893005634972508</v>
      </c>
      <c r="BU149" s="40">
        <f t="shared" ca="1" si="168"/>
        <v>-4.7308932169870435</v>
      </c>
    </row>
    <row r="150" spans="45:73" x14ac:dyDescent="0.25">
      <c r="AS150" s="6">
        <v>-0.55850536063819622</v>
      </c>
      <c r="AT150" s="6">
        <v>1.3595631267485091</v>
      </c>
      <c r="AU150" s="6">
        <v>-203.24637149722531</v>
      </c>
      <c r="AV150" s="6">
        <f t="shared" si="145"/>
        <v>4.7190781175092065</v>
      </c>
      <c r="AW150" s="6">
        <f t="shared" si="146"/>
        <v>5.2775834781474025</v>
      </c>
      <c r="AX150" s="6">
        <f t="shared" si="147"/>
        <v>-1.5774854640194134</v>
      </c>
      <c r="AY150" s="6">
        <f t="shared" si="148"/>
        <v>1.5774854640194134</v>
      </c>
      <c r="AZ150" s="47">
        <f t="shared" si="149"/>
        <v>5.7246799465413902</v>
      </c>
      <c r="BA150" s="47">
        <f t="shared" si="150"/>
        <v>4.7190781175092065</v>
      </c>
      <c r="BB150" s="47">
        <f t="shared" si="151"/>
        <v>5.2775834781474025</v>
      </c>
      <c r="BC150" s="47">
        <f t="shared" si="152"/>
        <v>-1.5774854640194134</v>
      </c>
      <c r="BD150" s="47">
        <f t="shared" si="153"/>
        <v>1.5774854640194134</v>
      </c>
      <c r="BE150" s="40"/>
      <c r="BF150" s="40"/>
      <c r="BG150" s="6">
        <f t="shared" si="154"/>
        <v>-0.78539816339745938</v>
      </c>
      <c r="BH150" s="9">
        <f t="shared" ca="1" si="155"/>
        <v>76.04204414636385</v>
      </c>
      <c r="BI150" s="9">
        <f t="shared" ca="1" si="156"/>
        <v>-160.05940422739172</v>
      </c>
      <c r="BJ150">
        <f t="shared" ca="1" si="157"/>
        <v>177.2044168738046</v>
      </c>
      <c r="BK150" s="6">
        <f t="shared" ca="1" si="158"/>
        <v>0.42912047841627377</v>
      </c>
      <c r="BL150" s="6">
        <f t="shared" ca="1" si="159"/>
        <v>-0.90324726127666088</v>
      </c>
      <c r="BM150" s="6">
        <f t="shared" ca="1" si="160"/>
        <v>-1.1272775082548234</v>
      </c>
      <c r="BN150" s="6">
        <f t="shared" ca="1" si="161"/>
        <v>-3.0466921282511805</v>
      </c>
      <c r="BO150" s="9">
        <f t="shared" ca="1" si="162"/>
        <v>-3.5401525497955646</v>
      </c>
      <c r="BP150" s="9">
        <f t="shared" ca="1" si="163"/>
        <v>-216.23507248512192</v>
      </c>
      <c r="BQ150">
        <f t="shared" ca="1" si="164"/>
        <v>216.26404983889893</v>
      </c>
      <c r="BR150">
        <f t="shared" ca="1" si="165"/>
        <v>-1.6369584091450808E-2</v>
      </c>
      <c r="BS150">
        <f t="shared" ca="1" si="166"/>
        <v>-0.99986600938159353</v>
      </c>
      <c r="BT150">
        <f t="shared" ca="1" si="167"/>
        <v>-1.5871666420491002</v>
      </c>
      <c r="BU150" s="40">
        <f t="shared" ca="1" si="168"/>
        <v>-4.7287592955388931</v>
      </c>
    </row>
    <row r="151" spans="45:73" x14ac:dyDescent="0.25">
      <c r="AS151" s="6">
        <v>-0.5410520681182529</v>
      </c>
      <c r="AT151" s="6">
        <v>1.6632421092365917</v>
      </c>
      <c r="AU151" s="6">
        <v>-202.24614794932623</v>
      </c>
      <c r="AV151" s="6">
        <f t="shared" si="145"/>
        <v>4.7206126456146471</v>
      </c>
      <c r="AW151" s="6">
        <f t="shared" si="146"/>
        <v>5.2616647137329</v>
      </c>
      <c r="AX151" s="6">
        <f t="shared" si="147"/>
        <v>-1.579019992124854</v>
      </c>
      <c r="AY151" s="6">
        <f t="shared" si="148"/>
        <v>1.579019992124854</v>
      </c>
      <c r="AZ151" s="47">
        <f t="shared" si="149"/>
        <v>5.7421332390613333</v>
      </c>
      <c r="BA151" s="47">
        <f t="shared" si="150"/>
        <v>4.7206126456146471</v>
      </c>
      <c r="BB151" s="47">
        <f t="shared" si="151"/>
        <v>5.2616647137329</v>
      </c>
      <c r="BC151" s="47">
        <f t="shared" si="152"/>
        <v>-1.579019992124854</v>
      </c>
      <c r="BD151" s="47">
        <f t="shared" si="153"/>
        <v>1.579019992124854</v>
      </c>
      <c r="BE151" s="40"/>
      <c r="BF151" s="40"/>
      <c r="BG151" s="6">
        <f t="shared" si="154"/>
        <v>-0.76794487087751606</v>
      </c>
      <c r="BH151" s="9">
        <f t="shared" ca="1" si="155"/>
        <v>76.503720046020433</v>
      </c>
      <c r="BI151" s="9">
        <f t="shared" ca="1" si="156"/>
        <v>-159.02446973922201</v>
      </c>
      <c r="BJ151">
        <f t="shared" ca="1" si="157"/>
        <v>176.46983072672964</v>
      </c>
      <c r="BK151" s="6">
        <f t="shared" ca="1" si="158"/>
        <v>0.43352294117904722</v>
      </c>
      <c r="BL151" s="6">
        <f t="shared" ca="1" si="159"/>
        <v>-0.90114253005363598</v>
      </c>
      <c r="BM151" s="6">
        <f t="shared" ca="1" si="160"/>
        <v>-1.1223977931864839</v>
      </c>
      <c r="BN151" s="6">
        <f t="shared" ca="1" si="161"/>
        <v>-3.041812413182841</v>
      </c>
      <c r="BO151" s="9">
        <f t="shared" ca="1" si="162"/>
        <v>-3.0784766501389811</v>
      </c>
      <c r="BP151" s="9">
        <f t="shared" ca="1" si="163"/>
        <v>-215.20013799695221</v>
      </c>
      <c r="BQ151">
        <f t="shared" ca="1" si="164"/>
        <v>215.2221559514557</v>
      </c>
      <c r="BR151">
        <f t="shared" ca="1" si="165"/>
        <v>-1.4303716253234379E-2</v>
      </c>
      <c r="BS151">
        <f t="shared" ca="1" si="166"/>
        <v>-0.99989769661768246</v>
      </c>
      <c r="BT151">
        <f t="shared" ca="1" si="167"/>
        <v>-1.5851005308409429</v>
      </c>
      <c r="BU151" s="40">
        <f t="shared" ca="1" si="168"/>
        <v>-4.7266931843307365</v>
      </c>
    </row>
    <row r="152" spans="45:73" x14ac:dyDescent="0.25">
      <c r="AS152" s="6">
        <v>-0.52359877559830958</v>
      </c>
      <c r="AT152" s="6">
        <v>1.9599021810064245</v>
      </c>
      <c r="AU152" s="6">
        <v>-201.23807299870603</v>
      </c>
      <c r="AV152" s="6">
        <f t="shared" si="145"/>
        <v>4.7221278940413489</v>
      </c>
      <c r="AW152" s="6">
        <f t="shared" si="146"/>
        <v>5.2457266696396587</v>
      </c>
      <c r="AX152" s="6">
        <f t="shared" si="147"/>
        <v>-1.5805352405515558</v>
      </c>
      <c r="AY152" s="6">
        <f t="shared" si="148"/>
        <v>1.5805352405515558</v>
      </c>
      <c r="AZ152" s="47">
        <f t="shared" si="149"/>
        <v>5.7595865315812764</v>
      </c>
      <c r="BA152" s="47">
        <f t="shared" si="150"/>
        <v>4.7221278940413489</v>
      </c>
      <c r="BB152" s="47">
        <f t="shared" si="151"/>
        <v>5.2457266696396587</v>
      </c>
      <c r="BC152" s="47">
        <f t="shared" si="152"/>
        <v>-1.5805352405515558</v>
      </c>
      <c r="BD152" s="47">
        <f t="shared" si="153"/>
        <v>1.5805352405515558</v>
      </c>
      <c r="BE152" s="40"/>
      <c r="BF152" s="40"/>
      <c r="BG152" s="6">
        <f t="shared" si="154"/>
        <v>-0.75049157835757274</v>
      </c>
      <c r="BH152" s="9">
        <f t="shared" ca="1" si="155"/>
        <v>76.947466598559529</v>
      </c>
      <c r="BI152" s="9">
        <f t="shared" ca="1" si="156"/>
        <v>-158.00063520489022</v>
      </c>
      <c r="BJ152">
        <f t="shared" ca="1" si="157"/>
        <v>175.74160958943452</v>
      </c>
      <c r="BK152" s="6">
        <f t="shared" ca="1" si="158"/>
        <v>0.4378443259870175</v>
      </c>
      <c r="BL152" s="6">
        <f t="shared" ca="1" si="159"/>
        <v>-0.89905080290324779</v>
      </c>
      <c r="BM152" s="6">
        <f t="shared" ca="1" si="160"/>
        <v>-1.1175967793972539</v>
      </c>
      <c r="BN152" s="6">
        <f t="shared" ca="1" si="161"/>
        <v>-3.0370113993936112</v>
      </c>
      <c r="BO152" s="9">
        <f t="shared" ca="1" si="162"/>
        <v>-2.6347300975998849</v>
      </c>
      <c r="BP152" s="9">
        <f t="shared" ca="1" si="163"/>
        <v>-214.17630346262041</v>
      </c>
      <c r="BQ152">
        <f t="shared" ca="1" si="164"/>
        <v>214.19250866358436</v>
      </c>
      <c r="BR152">
        <f t="shared" ca="1" si="165"/>
        <v>-1.2300757454305053E-2</v>
      </c>
      <c r="BS152">
        <f t="shared" ca="1" si="166"/>
        <v>-0.99992434282102083</v>
      </c>
      <c r="BT152">
        <f t="shared" ca="1" si="167"/>
        <v>-1.5830973944721258</v>
      </c>
      <c r="BU152" s="40">
        <f t="shared" ca="1" si="168"/>
        <v>-4.7246900479619187</v>
      </c>
    </row>
    <row r="153" spans="45:73" x14ac:dyDescent="0.25">
      <c r="AS153" s="6">
        <v>-0.50614548307836627</v>
      </c>
      <c r="AT153" s="6">
        <v>2.2501231441615177</v>
      </c>
      <c r="AU153" s="6">
        <v>-200.22028066907586</v>
      </c>
      <c r="AV153" s="6">
        <f t="shared" si="145"/>
        <v>4.7236267451862517</v>
      </c>
      <c r="AW153" s="6">
        <f t="shared" si="146"/>
        <v>5.2297722282646184</v>
      </c>
      <c r="AX153" s="6">
        <f t="shared" si="147"/>
        <v>-1.5820340916964586</v>
      </c>
      <c r="AY153" s="6">
        <f t="shared" si="148"/>
        <v>1.5820340916964586</v>
      </c>
      <c r="AZ153" s="47">
        <f t="shared" si="149"/>
        <v>5.7770398241012195</v>
      </c>
      <c r="BA153" s="47">
        <f t="shared" si="150"/>
        <v>4.7236267451862517</v>
      </c>
      <c r="BB153" s="47">
        <f t="shared" si="151"/>
        <v>5.2297722282646184</v>
      </c>
      <c r="BC153" s="47">
        <f t="shared" si="152"/>
        <v>-1.5820340916964586</v>
      </c>
      <c r="BD153" s="47">
        <f t="shared" si="153"/>
        <v>1.5820340916964586</v>
      </c>
      <c r="BE153" s="40"/>
      <c r="BF153" s="40"/>
      <c r="BG153" s="6">
        <f t="shared" si="154"/>
        <v>-0.73303828583762942</v>
      </c>
      <c r="BH153" s="9">
        <f t="shared" ca="1" si="155"/>
        <v>77.37452317477134</v>
      </c>
      <c r="BI153" s="9">
        <f t="shared" ca="1" si="156"/>
        <v>-156.98645313113252</v>
      </c>
      <c r="BJ153">
        <f t="shared" ca="1" si="157"/>
        <v>175.01875129030174</v>
      </c>
      <c r="BK153" s="6">
        <f t="shared" ca="1" si="158"/>
        <v>0.44209276208599524</v>
      </c>
      <c r="BL153" s="6">
        <f t="shared" ca="1" si="159"/>
        <v>-0.89696933599269468</v>
      </c>
      <c r="BM153" s="6">
        <f t="shared" ca="1" si="160"/>
        <v>-1.1128658433871135</v>
      </c>
      <c r="BN153" s="6">
        <f t="shared" ca="1" si="161"/>
        <v>-3.0322804633834703</v>
      </c>
      <c r="BO153" s="9">
        <f t="shared" ca="1" si="162"/>
        <v>-2.2076735213880738</v>
      </c>
      <c r="BP153" s="9">
        <f t="shared" ca="1" si="163"/>
        <v>-213.16212138886272</v>
      </c>
      <c r="BQ153">
        <f t="shared" ca="1" si="164"/>
        <v>213.17355327849017</v>
      </c>
      <c r="BR153">
        <f t="shared" ca="1" si="165"/>
        <v>-1.0356226123903684E-2</v>
      </c>
      <c r="BS153">
        <f t="shared" ca="1" si="166"/>
        <v>-0.9999463728522997</v>
      </c>
      <c r="BT153">
        <f t="shared" ca="1" si="167"/>
        <v>-1.5811527380477273</v>
      </c>
      <c r="BU153" s="40">
        <f t="shared" ca="1" si="168"/>
        <v>-4.7227453915375204</v>
      </c>
    </row>
    <row r="154" spans="45:73" x14ac:dyDescent="0.25">
      <c r="AS154" s="6">
        <v>-0.48869219055842295</v>
      </c>
      <c r="AT154" s="6">
        <v>2.5344770191746644</v>
      </c>
      <c r="AU154" s="6">
        <v>-199.19075058795386</v>
      </c>
      <c r="AV154" s="6">
        <f t="shared" si="145"/>
        <v>4.7251121628134394</v>
      </c>
      <c r="AW154" s="6">
        <f t="shared" si="146"/>
        <v>5.2138043533718621</v>
      </c>
      <c r="AX154" s="6">
        <f t="shared" si="147"/>
        <v>-1.5835195093236463</v>
      </c>
      <c r="AY154" s="6">
        <f t="shared" si="148"/>
        <v>1.5835195093236463</v>
      </c>
      <c r="AZ154" s="47">
        <f t="shared" si="149"/>
        <v>5.7944931166211635</v>
      </c>
      <c r="BA154" s="47">
        <f t="shared" si="150"/>
        <v>4.7251121628134394</v>
      </c>
      <c r="BB154" s="47">
        <f t="shared" si="151"/>
        <v>5.2138043533718621</v>
      </c>
      <c r="BC154" s="47">
        <f t="shared" si="152"/>
        <v>-1.5835195093236463</v>
      </c>
      <c r="BD154" s="47">
        <f t="shared" si="153"/>
        <v>1.5835195093236463</v>
      </c>
      <c r="BE154" s="40"/>
      <c r="BF154" s="40"/>
      <c r="BG154" s="6">
        <f t="shared" si="154"/>
        <v>-0.7155849933176861</v>
      </c>
      <c r="BH154" s="9">
        <f t="shared" ca="1" si="155"/>
        <v>77.786030836600759</v>
      </c>
      <c r="BI154" s="9">
        <f t="shared" ca="1" si="156"/>
        <v>-155.98051329345131</v>
      </c>
      <c r="BJ154">
        <f t="shared" ca="1" si="157"/>
        <v>174.30027860161653</v>
      </c>
      <c r="BK154" s="6">
        <f t="shared" ca="1" si="158"/>
        <v>0.44627599829825709</v>
      </c>
      <c r="BL154" s="6">
        <f t="shared" ca="1" si="159"/>
        <v>-0.89489537564057964</v>
      </c>
      <c r="BM154" s="6">
        <f t="shared" ca="1" si="160"/>
        <v>-1.1081967089538385</v>
      </c>
      <c r="BN154" s="6">
        <f t="shared" ca="1" si="161"/>
        <v>-3.0276113289501954</v>
      </c>
      <c r="BO154" s="9">
        <f t="shared" ca="1" si="162"/>
        <v>-1.7961658595586556</v>
      </c>
      <c r="BP154" s="9">
        <f t="shared" ca="1" si="163"/>
        <v>-212.1561815511815</v>
      </c>
      <c r="BQ154">
        <f t="shared" ca="1" si="164"/>
        <v>212.1637848035638</v>
      </c>
      <c r="BR154">
        <f t="shared" ca="1" si="165"/>
        <v>-8.4659399398520005E-3</v>
      </c>
      <c r="BS154">
        <f t="shared" ca="1" si="166"/>
        <v>-0.99996416328833249</v>
      </c>
      <c r="BT154">
        <f t="shared" ca="1" si="167"/>
        <v>-1.5792623678666811</v>
      </c>
      <c r="BU154" s="40">
        <f t="shared" ca="1" si="168"/>
        <v>-4.7208550213564742</v>
      </c>
    </row>
    <row r="155" spans="45:73" x14ac:dyDescent="0.25">
      <c r="AS155" s="6">
        <v>-0.47123889803847963</v>
      </c>
      <c r="AT155" s="6">
        <v>2.8135343827585189</v>
      </c>
      <c r="AU155" s="6">
        <v>-198.14727465264059</v>
      </c>
      <c r="AV155" s="6">
        <f t="shared" si="145"/>
        <v>4.7265872343078321</v>
      </c>
      <c r="AW155" s="6">
        <f t="shared" si="146"/>
        <v>5.1978261323463117</v>
      </c>
      <c r="AX155" s="6">
        <f t="shared" si="147"/>
        <v>-1.584994580818039</v>
      </c>
      <c r="AY155" s="6">
        <f t="shared" si="148"/>
        <v>1.584994580818039</v>
      </c>
      <c r="AZ155" s="47">
        <f t="shared" si="149"/>
        <v>5.8119464091411066</v>
      </c>
      <c r="BA155" s="47">
        <f t="shared" si="150"/>
        <v>4.7265872343078321</v>
      </c>
      <c r="BB155" s="47">
        <f t="shared" si="151"/>
        <v>5.1978261323463117</v>
      </c>
      <c r="BC155" s="47">
        <f t="shared" si="152"/>
        <v>-1.584994580818039</v>
      </c>
      <c r="BD155" s="47">
        <f t="shared" si="153"/>
        <v>1.584994580818039</v>
      </c>
      <c r="BE155" s="40"/>
      <c r="BF155" s="40"/>
      <c r="BG155" s="6">
        <f t="shared" si="154"/>
        <v>-0.69813170079774278</v>
      </c>
      <c r="BH155" s="9">
        <f t="shared" ca="1" si="155"/>
        <v>78.183043246728886</v>
      </c>
      <c r="BI155" s="9">
        <f t="shared" ca="1" si="156"/>
        <v>-154.98143271418806</v>
      </c>
      <c r="BJ155">
        <f t="shared" ca="1" si="157"/>
        <v>173.58523191061585</v>
      </c>
      <c r="BK155" s="6">
        <f t="shared" ca="1" si="158"/>
        <v>0.45040146783332147</v>
      </c>
      <c r="BL155" s="6">
        <f t="shared" ca="1" si="159"/>
        <v>-0.8928261408435515</v>
      </c>
      <c r="BM155" s="6">
        <f t="shared" ca="1" si="160"/>
        <v>-1.1035813791344262</v>
      </c>
      <c r="BN155" s="6">
        <f t="shared" ca="1" si="161"/>
        <v>-3.0229959991307833</v>
      </c>
      <c r="BO155" s="9">
        <f t="shared" ca="1" si="162"/>
        <v>-1.3991534494305284</v>
      </c>
      <c r="BP155" s="9">
        <f t="shared" ca="1" si="163"/>
        <v>-211.15710097191825</v>
      </c>
      <c r="BQ155">
        <f t="shared" ca="1" si="164"/>
        <v>211.16173640420732</v>
      </c>
      <c r="BR155">
        <f t="shared" ca="1" si="165"/>
        <v>-6.6259800343385069E-3</v>
      </c>
      <c r="BS155">
        <f t="shared" ca="1" si="166"/>
        <v>-0.99997804795334611</v>
      </c>
      <c r="BT155">
        <f t="shared" ca="1" si="167"/>
        <v>-1.5774223553142683</v>
      </c>
      <c r="BU155" s="40">
        <f t="shared" ca="1" si="168"/>
        <v>-4.7190150088040612</v>
      </c>
    </row>
    <row r="156" spans="45:73" x14ac:dyDescent="0.25">
      <c r="AS156" s="6">
        <v>-0.45378560551853631</v>
      </c>
      <c r="AT156" s="6">
        <v>3.0878712049692578</v>
      </c>
      <c r="AU156" s="6">
        <v>-197.0874165818405</v>
      </c>
      <c r="AV156" s="6">
        <f t="shared" si="145"/>
        <v>4.7280552194301126</v>
      </c>
      <c r="AW156" s="6">
        <f t="shared" si="146"/>
        <v>5.1818408249486492</v>
      </c>
      <c r="AX156" s="6">
        <f t="shared" si="147"/>
        <v>-1.5864625659403195</v>
      </c>
      <c r="AY156" s="6">
        <f t="shared" si="148"/>
        <v>1.5864625659403195</v>
      </c>
      <c r="AZ156" s="47">
        <f t="shared" si="149"/>
        <v>5.8293997016610497</v>
      </c>
      <c r="BA156" s="47">
        <f t="shared" si="150"/>
        <v>4.7280552194301126</v>
      </c>
      <c r="BB156" s="47">
        <f t="shared" si="151"/>
        <v>5.1818408249486492</v>
      </c>
      <c r="BC156" s="47">
        <f t="shared" si="152"/>
        <v>-1.5864625659403195</v>
      </c>
      <c r="BD156" s="47">
        <f t="shared" si="153"/>
        <v>1.5864625659403195</v>
      </c>
      <c r="BE156" s="40"/>
      <c r="BF156" s="40"/>
      <c r="BG156" s="6">
        <f t="shared" si="154"/>
        <v>-0.68067840827779946</v>
      </c>
      <c r="BH156" s="9">
        <f t="shared" ca="1" si="155"/>
        <v>78.566536283322407</v>
      </c>
      <c r="BI156" s="9">
        <f t="shared" ca="1" si="156"/>
        <v>-153.98784576830178</v>
      </c>
      <c r="BJ156">
        <f t="shared" ca="1" si="157"/>
        <v>172.87266200276119</v>
      </c>
      <c r="BK156" s="6">
        <f t="shared" ca="1" si="158"/>
        <v>0.45447634908327789</v>
      </c>
      <c r="BL156" s="6">
        <f t="shared" ca="1" si="159"/>
        <v>-0.89075880468504742</v>
      </c>
      <c r="BM156" s="6">
        <f t="shared" ca="1" si="160"/>
        <v>-1.0990120714932501</v>
      </c>
      <c r="BN156" s="6">
        <f t="shared" ca="1" si="161"/>
        <v>-3.0184266914896072</v>
      </c>
      <c r="BO156" s="9">
        <f t="shared" ca="1" si="162"/>
        <v>-1.0156604128370077</v>
      </c>
      <c r="BP156" s="9">
        <f t="shared" ca="1" si="163"/>
        <v>-210.16351402603198</v>
      </c>
      <c r="BQ156">
        <f t="shared" ca="1" si="164"/>
        <v>210.16596821047014</v>
      </c>
      <c r="BR156">
        <f t="shared" ca="1" si="165"/>
        <v>-4.8326587862211707E-3</v>
      </c>
      <c r="BS156">
        <f t="shared" ca="1" si="166"/>
        <v>-0.99998832263634752</v>
      </c>
      <c r="BT156">
        <f t="shared" ca="1" si="167"/>
        <v>-1.5756290043921102</v>
      </c>
      <c r="BU156" s="40">
        <f t="shared" ca="1" si="168"/>
        <v>-4.7172216578819031</v>
      </c>
    </row>
    <row r="157" spans="45:73" x14ac:dyDescent="0.25">
      <c r="AS157" s="6">
        <v>-0.43633231299859299</v>
      </c>
      <c r="AT157" s="6">
        <v>3.3580767056567025</v>
      </c>
      <c r="AU157" s="6">
        <v>-196.00846224671034</v>
      </c>
      <c r="AV157" s="6">
        <f t="shared" si="145"/>
        <v>4.7295196092127556</v>
      </c>
      <c r="AW157" s="6">
        <f t="shared" si="146"/>
        <v>5.165851922211349</v>
      </c>
      <c r="AX157" s="6">
        <f t="shared" si="147"/>
        <v>-1.5879269557229625</v>
      </c>
      <c r="AY157" s="6">
        <f t="shared" si="148"/>
        <v>1.5879269557229625</v>
      </c>
      <c r="AZ157" s="47">
        <f t="shared" si="149"/>
        <v>5.8468529941809937</v>
      </c>
      <c r="BA157" s="47">
        <f t="shared" si="150"/>
        <v>4.7295196092127556</v>
      </c>
      <c r="BB157" s="47">
        <f t="shared" si="151"/>
        <v>5.165851922211349</v>
      </c>
      <c r="BC157" s="47">
        <f t="shared" si="152"/>
        <v>-1.5879269557229625</v>
      </c>
      <c r="BD157" s="47">
        <f t="shared" si="153"/>
        <v>1.5879269557229625</v>
      </c>
      <c r="BE157" s="40"/>
      <c r="BF157" s="40"/>
      <c r="BG157" s="6">
        <f t="shared" si="154"/>
        <v>-0.66322511575785614</v>
      </c>
      <c r="BH157" s="9">
        <f t="shared" ca="1" si="155"/>
        <v>78.937416772630669</v>
      </c>
      <c r="BI157" s="9">
        <f t="shared" ca="1" si="156"/>
        <v>-152.99839422477299</v>
      </c>
      <c r="BJ157">
        <f t="shared" ca="1" si="157"/>
        <v>172.16162290735716</v>
      </c>
      <c r="BK157" s="6">
        <f t="shared" ca="1" si="158"/>
        <v>0.45850762463541667</v>
      </c>
      <c r="BL157" s="6">
        <f t="shared" ca="1" si="159"/>
        <v>-0.88869047375967058</v>
      </c>
      <c r="BM157" s="6">
        <f t="shared" ca="1" si="160"/>
        <v>-1.0944811543107333</v>
      </c>
      <c r="BN157" s="6">
        <f t="shared" ca="1" si="161"/>
        <v>-3.0138957743070902</v>
      </c>
      <c r="BO157" s="9">
        <f t="shared" ca="1" si="162"/>
        <v>-0.6447799235287448</v>
      </c>
      <c r="BP157" s="9">
        <f t="shared" ca="1" si="163"/>
        <v>-209.17406248250319</v>
      </c>
      <c r="BQ157">
        <f t="shared" ca="1" si="164"/>
        <v>209.17505624854971</v>
      </c>
      <c r="BR157">
        <f t="shared" ca="1" si="165"/>
        <v>-3.0824895429338041E-3</v>
      </c>
      <c r="BS157">
        <f t="shared" ca="1" si="166"/>
        <v>-0.99999524911782345</v>
      </c>
      <c r="BT157">
        <f t="shared" ca="1" si="167"/>
        <v>-1.5738788212193544</v>
      </c>
      <c r="BU157" s="40">
        <f t="shared" ca="1" si="168"/>
        <v>-4.7154714747091475</v>
      </c>
    </row>
    <row r="158" spans="45:73" x14ac:dyDescent="0.25">
      <c r="AS158" s="6">
        <v>-0.41887902047864967</v>
      </c>
      <c r="AT158" s="6">
        <v>3.6247623584650341</v>
      </c>
      <c r="AU158" s="6">
        <v>-194.90735801374524</v>
      </c>
      <c r="AV158" s="6">
        <f t="shared" si="145"/>
        <v>4.7309841970719484</v>
      </c>
      <c r="AW158" s="6">
        <f t="shared" si="146"/>
        <v>5.1498632175505978</v>
      </c>
      <c r="AX158" s="6">
        <f t="shared" si="147"/>
        <v>-1.5893915435821553</v>
      </c>
      <c r="AY158" s="6">
        <f t="shared" si="148"/>
        <v>1.5893915435821553</v>
      </c>
      <c r="AZ158" s="47">
        <f t="shared" si="149"/>
        <v>5.8643062867009368</v>
      </c>
      <c r="BA158" s="47">
        <f t="shared" si="150"/>
        <v>4.7309841970719484</v>
      </c>
      <c r="BB158" s="47">
        <f t="shared" si="151"/>
        <v>5.1498632175505978</v>
      </c>
      <c r="BC158" s="47">
        <f t="shared" si="152"/>
        <v>-1.5893915435821553</v>
      </c>
      <c r="BD158" s="47">
        <f t="shared" si="153"/>
        <v>1.5893915435821553</v>
      </c>
      <c r="BE158" s="40"/>
      <c r="BF158" s="40"/>
      <c r="BG158" s="6">
        <f t="shared" si="154"/>
        <v>-0.64577182323791282</v>
      </c>
      <c r="BH158" s="9">
        <f t="shared" ca="1" si="155"/>
        <v>79.296530281491485</v>
      </c>
      <c r="BI158" s="9">
        <f t="shared" ca="1" si="156"/>
        <v>-152.01171704624051</v>
      </c>
      <c r="BJ158">
        <f t="shared" ca="1" si="157"/>
        <v>171.45116457472602</v>
      </c>
      <c r="BK158" s="6">
        <f t="shared" ca="1" si="158"/>
        <v>0.46250213860128397</v>
      </c>
      <c r="BL158" s="6">
        <f t="shared" ca="1" si="159"/>
        <v>-0.88661816572256091</v>
      </c>
      <c r="BM158" s="6">
        <f t="shared" ca="1" si="160"/>
        <v>-1.0899810835781583</v>
      </c>
      <c r="BN158" s="6">
        <f t="shared" ca="1" si="161"/>
        <v>-3.0093957035745156</v>
      </c>
      <c r="BO158" s="9">
        <f t="shared" ca="1" si="162"/>
        <v>-0.2856664146679293</v>
      </c>
      <c r="BP158" s="9">
        <f t="shared" ca="1" si="163"/>
        <v>-208.1873853039707</v>
      </c>
      <c r="BQ158">
        <f t="shared" ca="1" si="164"/>
        <v>208.18758129390048</v>
      </c>
      <c r="BR158">
        <f t="shared" ca="1" si="165"/>
        <v>-1.3721587661112754E-3</v>
      </c>
      <c r="BS158">
        <f t="shared" ca="1" si="166"/>
        <v>-0.99999905858971716</v>
      </c>
      <c r="BT158">
        <f t="shared" ca="1" si="167"/>
        <v>-1.5721684859915961</v>
      </c>
      <c r="BU158" s="40">
        <f t="shared" ca="1" si="168"/>
        <v>-4.713761139481389</v>
      </c>
    </row>
    <row r="159" spans="45:73" x14ac:dyDescent="0.25">
      <c r="AS159" s="6">
        <v>-0.40142572795870635</v>
      </c>
      <c r="AT159" s="6">
        <v>3.888572564980203</v>
      </c>
      <c r="AU159" s="6">
        <v>-193.78063331632666</v>
      </c>
      <c r="AV159" s="6">
        <f t="shared" si="145"/>
        <v>4.7324531667527614</v>
      </c>
      <c r="AW159" s="6">
        <f t="shared" si="146"/>
        <v>5.1338788947114677</v>
      </c>
      <c r="AX159" s="6">
        <f t="shared" si="147"/>
        <v>-1.5908605132629683</v>
      </c>
      <c r="AY159" s="6">
        <f t="shared" si="148"/>
        <v>1.5908605132629683</v>
      </c>
      <c r="AZ159" s="47">
        <f t="shared" si="149"/>
        <v>5.8817595792208799</v>
      </c>
      <c r="BA159" s="47">
        <f t="shared" si="150"/>
        <v>4.7324531667527614</v>
      </c>
      <c r="BB159" s="47">
        <f t="shared" si="151"/>
        <v>5.1338788947114677</v>
      </c>
      <c r="BC159" s="47">
        <f t="shared" si="152"/>
        <v>-1.5908605132629683</v>
      </c>
      <c r="BD159" s="47">
        <f t="shared" si="153"/>
        <v>1.5908605132629683</v>
      </c>
      <c r="BE159" s="40"/>
      <c r="BF159" s="40"/>
      <c r="BG159" s="6">
        <f t="shared" si="154"/>
        <v>-0.6283185307179695</v>
      </c>
      <c r="BH159" s="9">
        <f t="shared" ca="1" si="155"/>
        <v>79.644668323482705</v>
      </c>
      <c r="BI159" s="9">
        <f t="shared" ca="1" si="156"/>
        <v>-151.02643972803938</v>
      </c>
      <c r="BJ159">
        <f t="shared" ca="1" si="157"/>
        <v>170.7403253167941</v>
      </c>
      <c r="BK159" s="6">
        <f t="shared" ca="1" si="158"/>
        <v>0.46646665441048457</v>
      </c>
      <c r="BL159" s="6">
        <f t="shared" ca="1" si="159"/>
        <v>-0.88453878395641283</v>
      </c>
      <c r="BM159" s="6">
        <f t="shared" ca="1" si="160"/>
        <v>-1.0855043383763698</v>
      </c>
      <c r="BN159" s="6">
        <f t="shared" ca="1" si="161"/>
        <v>-3.0049189583727269</v>
      </c>
      <c r="BO159" s="9">
        <f t="shared" ca="1" si="162"/>
        <v>6.2471627323290591E-2</v>
      </c>
      <c r="BP159" s="9">
        <f t="shared" ca="1" si="163"/>
        <v>-207.20210798576957</v>
      </c>
      <c r="BQ159">
        <f t="shared" ca="1" si="164"/>
        <v>207.2021174033961</v>
      </c>
      <c r="BR159">
        <f t="shared" ca="1" si="165"/>
        <v>3.0150091179650593E-4</v>
      </c>
      <c r="BS159">
        <f t="shared" ca="1" si="166"/>
        <v>-0.99999995454859902</v>
      </c>
      <c r="BT159">
        <f t="shared" ca="1" si="167"/>
        <v>-1.5704948258785323</v>
      </c>
      <c r="BU159" s="40">
        <f t="shared" ca="1" si="168"/>
        <v>-4.7120874793683249</v>
      </c>
    </row>
    <row r="160" spans="45:73" x14ac:dyDescent="0.25">
      <c r="AS160" s="6">
        <v>-0.38397243543876303</v>
      </c>
      <c r="AT160" s="6">
        <v>4.1501975223756737</v>
      </c>
      <c r="AU160" s="6">
        <v>-192.6243022807372</v>
      </c>
      <c r="AV160" s="6">
        <f t="shared" si="145"/>
        <v>4.7339312025394875</v>
      </c>
      <c r="AW160" s="6">
        <f t="shared" si="146"/>
        <v>5.1179036379782508</v>
      </c>
      <c r="AX160" s="6">
        <f t="shared" si="147"/>
        <v>-1.5923385490496944</v>
      </c>
      <c r="AY160" s="6">
        <f t="shared" si="148"/>
        <v>1.5923385490496944</v>
      </c>
      <c r="AZ160" s="47">
        <f t="shared" si="149"/>
        <v>5.899212871740823</v>
      </c>
      <c r="BA160" s="47">
        <f t="shared" si="150"/>
        <v>4.7339312025394875</v>
      </c>
      <c r="BB160" s="47">
        <f t="shared" si="151"/>
        <v>5.1179036379782508</v>
      </c>
      <c r="BC160" s="47">
        <f t="shared" si="152"/>
        <v>-1.5923385490496944</v>
      </c>
      <c r="BD160" s="47">
        <f t="shared" si="153"/>
        <v>1.5923385490496944</v>
      </c>
      <c r="BE160" s="40"/>
      <c r="BF160" s="40"/>
      <c r="BG160" s="6">
        <f t="shared" si="154"/>
        <v>-0.61086523819802618</v>
      </c>
      <c r="BH160" s="9">
        <f t="shared" ca="1" si="155"/>
        <v>79.982574901819362</v>
      </c>
      <c r="BI160" s="9">
        <f t="shared" ca="1" si="156"/>
        <v>-150.04116295763427</v>
      </c>
      <c r="BJ160">
        <f t="shared" ca="1" si="157"/>
        <v>170.02812376076054</v>
      </c>
      <c r="BK160" s="6">
        <f t="shared" ca="1" si="158"/>
        <v>0.47040791330709208</v>
      </c>
      <c r="BL160" s="6">
        <f t="shared" ca="1" si="159"/>
        <v>-0.88244908923861864</v>
      </c>
      <c r="BM160" s="6">
        <f t="shared" ca="1" si="160"/>
        <v>-1.0810433543250946</v>
      </c>
      <c r="BN160" s="6">
        <f t="shared" ca="1" si="161"/>
        <v>-3.0004579743214519</v>
      </c>
      <c r="BO160" s="9">
        <f t="shared" ca="1" si="162"/>
        <v>0.40037820565994764</v>
      </c>
      <c r="BP160" s="9">
        <f t="shared" ca="1" si="163"/>
        <v>-206.21683121536446</v>
      </c>
      <c r="BQ160">
        <f t="shared" ca="1" si="164"/>
        <v>206.21721989012869</v>
      </c>
      <c r="BR160">
        <f t="shared" ca="1" si="165"/>
        <v>1.941536239666439E-3</v>
      </c>
      <c r="BS160">
        <f t="shared" ca="1" si="166"/>
        <v>-0.99999811521673876</v>
      </c>
      <c r="BT160">
        <f t="shared" ca="1" si="167"/>
        <v>-1.5688547893354376</v>
      </c>
      <c r="BU160" s="40">
        <f t="shared" ca="1" si="168"/>
        <v>-4.710447442825231</v>
      </c>
    </row>
    <row r="161" spans="45:73" x14ac:dyDescent="0.25">
      <c r="AS161" s="6">
        <v>-0.36651914291881971</v>
      </c>
      <c r="AT161" s="6">
        <v>4.4103890414293492</v>
      </c>
      <c r="AU161" s="6">
        <v>-191.43373720506</v>
      </c>
      <c r="AV161" s="6">
        <f t="shared" si="145"/>
        <v>4.7354236295257888</v>
      </c>
      <c r="AW161" s="6">
        <f t="shared" si="146"/>
        <v>5.1019427724446089</v>
      </c>
      <c r="AX161" s="6">
        <f t="shared" si="147"/>
        <v>-1.5938309760359957</v>
      </c>
      <c r="AY161" s="6">
        <f t="shared" si="148"/>
        <v>1.5938309760359957</v>
      </c>
      <c r="AZ161" s="47">
        <f t="shared" si="149"/>
        <v>5.9166661642607661</v>
      </c>
      <c r="BA161" s="47">
        <f t="shared" si="150"/>
        <v>4.7354236295257888</v>
      </c>
      <c r="BB161" s="47">
        <f t="shared" si="151"/>
        <v>5.1019427724446089</v>
      </c>
      <c r="BC161" s="47">
        <f t="shared" si="152"/>
        <v>-1.5938309760359957</v>
      </c>
      <c r="BD161" s="47">
        <f t="shared" si="153"/>
        <v>1.5938309760359957</v>
      </c>
      <c r="BE161" s="40"/>
      <c r="BF161" s="40"/>
      <c r="BG161" s="6">
        <f t="shared" si="154"/>
        <v>-0.59341194567808286</v>
      </c>
      <c r="BH161" s="9">
        <f t="shared" ca="1" si="155"/>
        <v>80.310952630629046</v>
      </c>
      <c r="BI161" s="9">
        <f t="shared" ca="1" si="156"/>
        <v>-149.05445032038398</v>
      </c>
      <c r="BJ161">
        <f t="shared" ca="1" si="157"/>
        <v>169.31355017467138</v>
      </c>
      <c r="BK161" s="6">
        <f t="shared" ca="1" si="158"/>
        <v>0.47433269545040369</v>
      </c>
      <c r="BL161" s="6">
        <f t="shared" ca="1" si="159"/>
        <v>-0.88034566735274755</v>
      </c>
      <c r="BM161" s="6">
        <f t="shared" ca="1" si="160"/>
        <v>-1.076590452881546</v>
      </c>
      <c r="BN161" s="6">
        <f t="shared" ca="1" si="161"/>
        <v>-2.9960050728779031</v>
      </c>
      <c r="BO161" s="9">
        <f t="shared" ca="1" si="162"/>
        <v>0.72875593446963194</v>
      </c>
      <c r="BP161" s="9">
        <f t="shared" ca="1" si="163"/>
        <v>-205.23011857811417</v>
      </c>
      <c r="BQ161">
        <f t="shared" ca="1" si="164"/>
        <v>205.23141245140528</v>
      </c>
      <c r="BR161">
        <f t="shared" ca="1" si="165"/>
        <v>3.5508985966862497E-3</v>
      </c>
      <c r="BS161">
        <f t="shared" ca="1" si="166"/>
        <v>-0.99999369553970496</v>
      </c>
      <c r="BT161">
        <f t="shared" ca="1" si="167"/>
        <v>-1.5672454207360251</v>
      </c>
      <c r="BU161" s="40">
        <f t="shared" ca="1" si="168"/>
        <v>-4.7088380742258185</v>
      </c>
    </row>
    <row r="162" spans="45:73" x14ac:dyDescent="0.25">
      <c r="AS162" s="6">
        <v>-0.34906585039887639</v>
      </c>
      <c r="AT162" s="6">
        <v>4.6699803870811198</v>
      </c>
      <c r="AU162" s="6">
        <v>-190.20350372230644</v>
      </c>
      <c r="AV162" s="6">
        <f t="shared" si="145"/>
        <v>4.7369365951098334</v>
      </c>
      <c r="AW162" s="6">
        <f t="shared" si="146"/>
        <v>5.0860024455087096</v>
      </c>
      <c r="AX162" s="6">
        <f t="shared" si="147"/>
        <v>-1.5953439416200403</v>
      </c>
      <c r="AY162" s="6">
        <f t="shared" si="148"/>
        <v>1.5953439416200403</v>
      </c>
      <c r="AZ162" s="47">
        <f t="shared" si="149"/>
        <v>5.9341194567807101</v>
      </c>
      <c r="BA162" s="47">
        <f t="shared" si="150"/>
        <v>4.7369365951098334</v>
      </c>
      <c r="BB162" s="47">
        <f t="shared" si="151"/>
        <v>5.0860024455087096</v>
      </c>
      <c r="BC162" s="47">
        <f t="shared" si="152"/>
        <v>-1.5953439416200403</v>
      </c>
      <c r="BD162" s="47">
        <f t="shared" si="153"/>
        <v>1.5953439416200403</v>
      </c>
      <c r="BE162" s="40"/>
      <c r="BF162" s="40"/>
      <c r="BG162" s="6">
        <f t="shared" si="154"/>
        <v>-0.57595865315813954</v>
      </c>
      <c r="BH162" s="9">
        <f t="shared" ca="1" si="155"/>
        <v>80.630468590472702</v>
      </c>
      <c r="BI162" s="9">
        <f t="shared" ca="1" si="156"/>
        <v>-148.06481473285544</v>
      </c>
      <c r="BJ162">
        <f t="shared" ca="1" si="157"/>
        <v>168.59555696101248</v>
      </c>
      <c r="BK162" s="6">
        <f t="shared" ca="1" si="158"/>
        <v>0.47824788531715817</v>
      </c>
      <c r="BL162" s="6">
        <f t="shared" ca="1" si="159"/>
        <v>-0.87822489157941008</v>
      </c>
      <c r="BM162" s="6">
        <f t="shared" ca="1" si="160"/>
        <v>-1.0721377644429977</v>
      </c>
      <c r="BN162" s="6">
        <f t="shared" ca="1" si="161"/>
        <v>-2.9915523844393546</v>
      </c>
      <c r="BO162" s="9">
        <f t="shared" ca="1" si="162"/>
        <v>1.048271894313288</v>
      </c>
      <c r="BP162" s="9">
        <f t="shared" ca="1" si="163"/>
        <v>-204.24048299058563</v>
      </c>
      <c r="BQ162">
        <f t="shared" ca="1" si="164"/>
        <v>204.24317312016112</v>
      </c>
      <c r="BR162">
        <f t="shared" ca="1" si="165"/>
        <v>5.1324696845390511E-3</v>
      </c>
      <c r="BS162">
        <f t="shared" ca="1" si="166"/>
        <v>-0.99998682879072831</v>
      </c>
      <c r="BT162">
        <f t="shared" ca="1" si="167"/>
        <v>-1.5656638345766281</v>
      </c>
      <c r="BU162" s="40">
        <f t="shared" ca="1" si="168"/>
        <v>-4.7072564880664212</v>
      </c>
    </row>
    <row r="163" spans="45:73" x14ac:dyDescent="0.25">
      <c r="AS163" s="6">
        <v>-0.33161255787893307</v>
      </c>
      <c r="AT163" s="6">
        <v>4.9299114272774425</v>
      </c>
      <c r="AU163" s="6">
        <v>-188.92714309507869</v>
      </c>
      <c r="AV163" s="6">
        <f t="shared" si="145"/>
        <v>4.7384773066143211</v>
      </c>
      <c r="AW163" s="6">
        <f t="shared" si="146"/>
        <v>5.0700898644932542</v>
      </c>
      <c r="AX163" s="6">
        <f t="shared" si="147"/>
        <v>-1.596884653124528</v>
      </c>
      <c r="AY163" s="6">
        <f t="shared" si="148"/>
        <v>1.596884653124528</v>
      </c>
      <c r="AZ163" s="47">
        <f t="shared" si="149"/>
        <v>5.9515727493006532</v>
      </c>
      <c r="BA163" s="47">
        <f t="shared" si="150"/>
        <v>4.7384773066143211</v>
      </c>
      <c r="BB163" s="47">
        <f t="shared" si="151"/>
        <v>5.0700898644932542</v>
      </c>
      <c r="BC163" s="47">
        <f t="shared" si="152"/>
        <v>-1.596884653124528</v>
      </c>
      <c r="BD163" s="47">
        <f t="shared" si="153"/>
        <v>1.596884653124528</v>
      </c>
      <c r="BE163" s="40"/>
      <c r="BF163" s="40"/>
      <c r="BG163" s="6">
        <f t="shared" si="154"/>
        <v>-0.55850536063819622</v>
      </c>
      <c r="BH163" s="9">
        <f t="shared" ca="1" si="155"/>
        <v>80.941759822907926</v>
      </c>
      <c r="BI163" s="9">
        <f t="shared" ca="1" si="156"/>
        <v>-147.07070323949512</v>
      </c>
      <c r="BJ163">
        <f t="shared" ca="1" si="157"/>
        <v>167.8730479695563</v>
      </c>
      <c r="BK163" s="6">
        <f t="shared" ca="1" si="158"/>
        <v>0.48216054215913612</v>
      </c>
      <c r="BL163" s="6">
        <f t="shared" ca="1" si="159"/>
        <v>-0.87608287940400253</v>
      </c>
      <c r="BM163" s="6">
        <f t="shared" ca="1" si="160"/>
        <v>-1.0676771442267079</v>
      </c>
      <c r="BN163" s="6">
        <f t="shared" ca="1" si="161"/>
        <v>-2.9870917642230648</v>
      </c>
      <c r="BO163" s="9">
        <f t="shared" ca="1" si="162"/>
        <v>1.3595631267485118</v>
      </c>
      <c r="BP163" s="9">
        <f t="shared" ca="1" si="163"/>
        <v>-203.24637149722531</v>
      </c>
      <c r="BQ163">
        <f t="shared" ca="1" si="164"/>
        <v>203.25091866627253</v>
      </c>
      <c r="BR163">
        <f t="shared" ca="1" si="165"/>
        <v>6.6890872408839836E-3</v>
      </c>
      <c r="BS163">
        <f t="shared" ca="1" si="166"/>
        <v>-0.99997762780568444</v>
      </c>
      <c r="BT163">
        <f t="shared" ca="1" si="167"/>
        <v>-1.5641071896703798</v>
      </c>
      <c r="BU163" s="40">
        <f t="shared" ca="1" si="168"/>
        <v>-4.7056998431601729</v>
      </c>
    </row>
    <row r="164" spans="45:73" x14ac:dyDescent="0.25">
      <c r="AS164" s="6">
        <v>-0.31415926535898975</v>
      </c>
      <c r="AT164" s="6">
        <v>5.1912612265842766</v>
      </c>
      <c r="AU164" s="6">
        <v>-187.59688037781703</v>
      </c>
      <c r="AV164" s="6">
        <f t="shared" si="145"/>
        <v>4.7400543484451756</v>
      </c>
      <c r="AW164" s="6">
        <f t="shared" si="146"/>
        <v>5.0542136138041656</v>
      </c>
      <c r="AX164" s="6">
        <f t="shared" si="147"/>
        <v>-1.5984616949553825</v>
      </c>
      <c r="AY164" s="6">
        <f t="shared" si="148"/>
        <v>1.5984616949553825</v>
      </c>
      <c r="AZ164" s="47">
        <f t="shared" si="149"/>
        <v>5.9690260418205963</v>
      </c>
      <c r="BA164" s="47">
        <f t="shared" si="150"/>
        <v>4.7400543484451756</v>
      </c>
      <c r="BB164" s="47">
        <f t="shared" si="151"/>
        <v>5.0542136138041656</v>
      </c>
      <c r="BC164" s="47">
        <f t="shared" si="152"/>
        <v>-1.5984616949553825</v>
      </c>
      <c r="BD164" s="47">
        <f t="shared" si="153"/>
        <v>1.5984616949553825</v>
      </c>
      <c r="BE164" s="40"/>
      <c r="BF164" s="40"/>
      <c r="BG164" s="6">
        <f t="shared" si="154"/>
        <v>-0.5410520681182529</v>
      </c>
      <c r="BH164" s="9">
        <f t="shared" ca="1" si="155"/>
        <v>81.245438805396006</v>
      </c>
      <c r="BI164" s="9">
        <f t="shared" ca="1" si="156"/>
        <v>-146.07047969159603</v>
      </c>
      <c r="BJ164">
        <f t="shared" ca="1" si="157"/>
        <v>167.1448664004202</v>
      </c>
      <c r="BK164" s="6">
        <f t="shared" ca="1" si="158"/>
        <v>0.48607797867246827</v>
      </c>
      <c r="BL164" s="6">
        <f t="shared" ca="1" si="159"/>
        <v>-0.87391544136128385</v>
      </c>
      <c r="BM164" s="6">
        <f t="shared" ca="1" si="160"/>
        <v>-1.063200077107981</v>
      </c>
      <c r="BN164" s="6">
        <f t="shared" ca="1" si="161"/>
        <v>-2.9826146971043381</v>
      </c>
      <c r="BO164" s="9">
        <f t="shared" ca="1" si="162"/>
        <v>1.6632421092365917</v>
      </c>
      <c r="BP164" s="9">
        <f t="shared" ca="1" si="163"/>
        <v>-202.24614794932623</v>
      </c>
      <c r="BQ164">
        <f t="shared" ca="1" si="164"/>
        <v>202.25298696102041</v>
      </c>
      <c r="BR164">
        <f t="shared" ca="1" si="165"/>
        <v>8.2235725376809555E-3</v>
      </c>
      <c r="BS164">
        <f t="shared" ca="1" si="166"/>
        <v>-0.99996618585566055</v>
      </c>
      <c r="BT164">
        <f t="shared" ca="1" si="167"/>
        <v>-1.5625726615649389</v>
      </c>
      <c r="BU164" s="40">
        <f t="shared" ca="1" si="168"/>
        <v>-4.7041653150547322</v>
      </c>
    </row>
    <row r="165" spans="45:73" x14ac:dyDescent="0.25">
      <c r="AS165" s="6">
        <v>-0.29670597283904643</v>
      </c>
      <c r="AT165" s="6">
        <v>5.4039590241524866</v>
      </c>
      <c r="AU165" s="6">
        <v>-184.45113739996091</v>
      </c>
      <c r="AV165" s="6">
        <f t="shared" si="145"/>
        <v>4.7416781121515381</v>
      </c>
      <c r="AW165" s="6">
        <f t="shared" si="146"/>
        <v>5.0383840849905841</v>
      </c>
      <c r="AX165" s="6">
        <f t="shared" si="147"/>
        <v>-1.600085458661745</v>
      </c>
      <c r="AY165" s="6">
        <f t="shared" si="148"/>
        <v>1.600085458661745</v>
      </c>
      <c r="AZ165" s="47">
        <f t="shared" si="149"/>
        <v>5.9864793343405402</v>
      </c>
      <c r="BA165" s="47">
        <f t="shared" si="150"/>
        <v>4.7416781121515381</v>
      </c>
      <c r="BB165" s="47">
        <f t="shared" si="151"/>
        <v>5.0383840849905841</v>
      </c>
      <c r="BC165" s="47">
        <f t="shared" si="152"/>
        <v>-1.600085458661745</v>
      </c>
      <c r="BD165" s="47">
        <f t="shared" si="153"/>
        <v>1.600085458661745</v>
      </c>
      <c r="BE165" s="40"/>
      <c r="BF165" s="40"/>
      <c r="BG165" s="6">
        <f t="shared" si="154"/>
        <v>-0.52359877559830958</v>
      </c>
      <c r="BH165" s="9">
        <f t="shared" ca="1" si="155"/>
        <v>81.542098877165841</v>
      </c>
      <c r="BI165" s="9">
        <f t="shared" ca="1" si="156"/>
        <v>-145.06240474097584</v>
      </c>
      <c r="BJ165">
        <f t="shared" ca="1" si="157"/>
        <v>166.40978083793087</v>
      </c>
      <c r="BK165" s="6">
        <f t="shared" ca="1" si="158"/>
        <v>0.49000784969833588</v>
      </c>
      <c r="BL165" s="6">
        <f t="shared" ca="1" si="159"/>
        <v>-0.87171802048254854</v>
      </c>
      <c r="BM165" s="6">
        <f t="shared" ca="1" si="160"/>
        <v>-1.0586975690239955</v>
      </c>
      <c r="BN165" s="6">
        <f t="shared" ca="1" si="161"/>
        <v>-2.9781121890203526</v>
      </c>
      <c r="BO165" s="9">
        <f t="shared" ca="1" si="162"/>
        <v>1.9599021810064272</v>
      </c>
      <c r="BP165" s="9">
        <f t="shared" ca="1" si="163"/>
        <v>-201.23807299870603</v>
      </c>
      <c r="BQ165">
        <f t="shared" ca="1" si="164"/>
        <v>201.24761673319674</v>
      </c>
      <c r="BR165">
        <f t="shared" ca="1" si="165"/>
        <v>9.7387597071758626E-3</v>
      </c>
      <c r="BS165">
        <f t="shared" ca="1" si="166"/>
        <v>-0.9999525771552199</v>
      </c>
      <c r="BT165">
        <f t="shared" ca="1" si="167"/>
        <v>-1.5610574131382371</v>
      </c>
      <c r="BU165" s="40">
        <f t="shared" ca="1" si="168"/>
        <v>-4.7026500666280304</v>
      </c>
    </row>
    <row r="166" spans="45:73" x14ac:dyDescent="0.25">
      <c r="AS166" s="6">
        <v>-0.27925268031910311</v>
      </c>
      <c r="AT166" s="6">
        <v>5.5866053157607674</v>
      </c>
      <c r="AU166" s="6">
        <v>-180.31592496575598</v>
      </c>
      <c r="AV166" s="6">
        <f t="shared" si="145"/>
        <v>4.7433613906732308</v>
      </c>
      <c r="AW166" s="6">
        <f t="shared" si="146"/>
        <v>5.0226140709923337</v>
      </c>
      <c r="AX166" s="6">
        <f t="shared" si="147"/>
        <v>-1.6017687371834377</v>
      </c>
      <c r="AY166" s="6">
        <f t="shared" si="148"/>
        <v>1.6017687371834377</v>
      </c>
      <c r="AZ166" s="47">
        <f t="shared" si="149"/>
        <v>6.0039326268604833</v>
      </c>
      <c r="BA166" s="47">
        <f t="shared" si="150"/>
        <v>4.7433613906732308</v>
      </c>
      <c r="BB166" s="47">
        <f t="shared" si="151"/>
        <v>5.0226140709923337</v>
      </c>
      <c r="BC166" s="47">
        <f t="shared" si="152"/>
        <v>-1.6017687371834377</v>
      </c>
      <c r="BD166" s="47">
        <f t="shared" si="153"/>
        <v>1.6017687371834377</v>
      </c>
      <c r="BE166" s="40"/>
      <c r="BF166" s="40"/>
      <c r="BG166" s="6">
        <f t="shared" si="154"/>
        <v>-0.50614548307836627</v>
      </c>
      <c r="BH166" s="9">
        <f t="shared" ca="1" si="155"/>
        <v>81.832319840320935</v>
      </c>
      <c r="BI166" s="9">
        <f t="shared" ca="1" si="156"/>
        <v>-144.04461241134567</v>
      </c>
      <c r="BJ166">
        <f t="shared" ca="1" si="157"/>
        <v>165.6664689524811</v>
      </c>
      <c r="BK166" s="6">
        <f t="shared" ca="1" si="158"/>
        <v>0.49395825454451675</v>
      </c>
      <c r="BL166" s="6">
        <f t="shared" ca="1" si="159"/>
        <v>-0.86948561964378357</v>
      </c>
      <c r="BM166" s="6">
        <f t="shared" ca="1" si="160"/>
        <v>-1.0541600204258654</v>
      </c>
      <c r="BN166" s="6">
        <f t="shared" ca="1" si="161"/>
        <v>-2.9735746404222225</v>
      </c>
      <c r="BO166" s="9">
        <f t="shared" ca="1" si="162"/>
        <v>2.2501231441615204</v>
      </c>
      <c r="BP166" s="9">
        <f t="shared" ca="1" si="163"/>
        <v>-200.22028066907586</v>
      </c>
      <c r="BQ166">
        <f t="shared" ca="1" si="164"/>
        <v>200.23292397946798</v>
      </c>
      <c r="BR166">
        <f t="shared" ca="1" si="165"/>
        <v>1.123752827178536E-2</v>
      </c>
      <c r="BS166">
        <f t="shared" ca="1" si="166"/>
        <v>-0.99993685698565027</v>
      </c>
      <c r="BT166">
        <f t="shared" ca="1" si="167"/>
        <v>-1.5595585619933341</v>
      </c>
      <c r="BU166" s="40">
        <f t="shared" ca="1" si="168"/>
        <v>-4.7011512154831276</v>
      </c>
    </row>
    <row r="167" spans="45:73" x14ac:dyDescent="0.25">
      <c r="AS167" s="6">
        <v>-0.26179938779915979</v>
      </c>
      <c r="AT167" s="6">
        <v>5.7648791931138277</v>
      </c>
      <c r="AU167" s="6">
        <v>-176.06485600031664</v>
      </c>
      <c r="AV167" s="6">
        <f t="shared" si="145"/>
        <v>4.7451202163261108</v>
      </c>
      <c r="AW167" s="6">
        <f t="shared" si="146"/>
        <v>5.0069196041252706</v>
      </c>
      <c r="AX167" s="6">
        <f t="shared" si="147"/>
        <v>-1.6035275628363177</v>
      </c>
      <c r="AY167" s="6">
        <f t="shared" si="148"/>
        <v>1.6035275628363177</v>
      </c>
      <c r="AZ167" s="47">
        <f t="shared" si="149"/>
        <v>6.0213859193804264</v>
      </c>
      <c r="BA167" s="47">
        <f t="shared" si="150"/>
        <v>4.7451202163261108</v>
      </c>
      <c r="BB167" s="47">
        <f t="shared" si="151"/>
        <v>5.0069196041252706</v>
      </c>
      <c r="BC167" s="47">
        <f t="shared" si="152"/>
        <v>-1.6035275628363177</v>
      </c>
      <c r="BD167" s="47">
        <f t="shared" si="153"/>
        <v>1.6035275628363177</v>
      </c>
      <c r="BE167" s="40"/>
      <c r="BF167" s="40"/>
      <c r="BG167" s="6">
        <f t="shared" si="154"/>
        <v>-0.48869219055842295</v>
      </c>
      <c r="BH167" s="9">
        <f t="shared" ca="1" si="155"/>
        <v>82.116673715334073</v>
      </c>
      <c r="BI167" s="9">
        <f t="shared" ca="1" si="156"/>
        <v>-143.01508233022366</v>
      </c>
      <c r="BJ167">
        <f t="shared" ca="1" si="157"/>
        <v>164.91349816188878</v>
      </c>
      <c r="BK167" s="6">
        <f t="shared" ca="1" si="158"/>
        <v>0.49793785609182528</v>
      </c>
      <c r="BL167" s="6">
        <f t="shared" ca="1" si="159"/>
        <v>-0.86721271408500267</v>
      </c>
      <c r="BM167" s="6">
        <f t="shared" ca="1" si="160"/>
        <v>-1.0495770776031554</v>
      </c>
      <c r="BN167" s="6">
        <f t="shared" ca="1" si="161"/>
        <v>-2.9689916975995123</v>
      </c>
      <c r="BO167" s="9">
        <f t="shared" ca="1" si="162"/>
        <v>2.5344770191746591</v>
      </c>
      <c r="BP167" s="9">
        <f t="shared" ca="1" si="163"/>
        <v>-199.19075058795386</v>
      </c>
      <c r="BQ167">
        <f t="shared" ca="1" si="164"/>
        <v>199.20687411219814</v>
      </c>
      <c r="BR167">
        <f t="shared" ca="1" si="165"/>
        <v>1.2722839161399522E-2</v>
      </c>
      <c r="BS167">
        <f t="shared" ca="1" si="166"/>
        <v>-0.99991906140630871</v>
      </c>
      <c r="BT167">
        <f t="shared" ca="1" si="167"/>
        <v>-1.5580731443661471</v>
      </c>
      <c r="BU167" s="40">
        <f t="shared" ca="1" si="168"/>
        <v>-4.69966579785594</v>
      </c>
    </row>
    <row r="168" spans="45:73" x14ac:dyDescent="0.25">
      <c r="AS168" s="6">
        <v>-0.2443460952792165</v>
      </c>
      <c r="AT168" s="6">
        <v>5.9400880719531468</v>
      </c>
      <c r="AU168" s="6">
        <v>-171.67940755225212</v>
      </c>
      <c r="AV168" s="6">
        <f t="shared" si="145"/>
        <v>4.7469750700115876</v>
      </c>
      <c r="AW168" s="6">
        <f t="shared" si="146"/>
        <v>4.9913211652908043</v>
      </c>
      <c r="AX168" s="6">
        <f t="shared" si="147"/>
        <v>-1.6053824165217945</v>
      </c>
      <c r="AY168" s="6">
        <f t="shared" si="148"/>
        <v>1.6053824165217945</v>
      </c>
      <c r="AZ168" s="47">
        <f t="shared" si="149"/>
        <v>6.0388392119003695</v>
      </c>
      <c r="BA168" s="47">
        <f t="shared" si="150"/>
        <v>4.7469750700115876</v>
      </c>
      <c r="BB168" s="47">
        <f t="shared" si="151"/>
        <v>4.9913211652908043</v>
      </c>
      <c r="BC168" s="47">
        <f t="shared" si="152"/>
        <v>-1.6053824165217945</v>
      </c>
      <c r="BD168" s="47">
        <f t="shared" si="153"/>
        <v>1.6053824165217945</v>
      </c>
      <c r="BE168" s="40"/>
      <c r="BF168" s="40"/>
      <c r="BG168" s="6">
        <f t="shared" si="154"/>
        <v>-0.47123889803847963</v>
      </c>
      <c r="BH168" s="9">
        <f t="shared" ca="1" si="155"/>
        <v>82.395731078917933</v>
      </c>
      <c r="BI168" s="9">
        <f t="shared" ca="1" si="156"/>
        <v>-141.9716063949104</v>
      </c>
      <c r="BJ168">
        <f t="shared" ca="1" si="157"/>
        <v>164.14930253394539</v>
      </c>
      <c r="BK168" s="6">
        <f t="shared" ca="1" si="158"/>
        <v>0.50195602300459874</v>
      </c>
      <c r="BL168" s="6">
        <f t="shared" ca="1" si="159"/>
        <v>-0.86489314424928043</v>
      </c>
      <c r="BM168" s="6">
        <f t="shared" ca="1" si="160"/>
        <v>-1.0449374538925387</v>
      </c>
      <c r="BN168" s="6">
        <f t="shared" ca="1" si="161"/>
        <v>-2.9643520738888958</v>
      </c>
      <c r="BO168" s="9">
        <f t="shared" ca="1" si="162"/>
        <v>2.8135343827585189</v>
      </c>
      <c r="BP168" s="9">
        <f t="shared" ca="1" si="163"/>
        <v>-198.14727465264059</v>
      </c>
      <c r="BQ168">
        <f t="shared" ca="1" si="164"/>
        <v>198.16724862598247</v>
      </c>
      <c r="BR168">
        <f t="shared" ca="1" si="165"/>
        <v>1.4197776889301907E-2</v>
      </c>
      <c r="BS168">
        <f t="shared" ca="1" si="166"/>
        <v>-0.99989920648603459</v>
      </c>
      <c r="BT168">
        <f t="shared" ca="1" si="167"/>
        <v>-1.5565980728717541</v>
      </c>
      <c r="BU168" s="40">
        <f t="shared" ca="1" si="168"/>
        <v>-4.6981907263615472</v>
      </c>
    </row>
    <row r="169" spans="45:73" x14ac:dyDescent="0.25">
      <c r="AS169" s="6">
        <v>-0.2268928027592732</v>
      </c>
      <c r="AT169" s="6">
        <v>6.1138682502142814</v>
      </c>
      <c r="AU169" s="6">
        <v>-167.13693280902842</v>
      </c>
      <c r="AV169" s="6">
        <f t="shared" si="145"/>
        <v>4.7489526731231244</v>
      </c>
      <c r="AW169" s="6">
        <f t="shared" si="146"/>
        <v>4.975845475882398</v>
      </c>
      <c r="AX169" s="6">
        <f t="shared" si="147"/>
        <v>-1.6073600196333313</v>
      </c>
      <c r="AY169" s="6">
        <f t="shared" si="148"/>
        <v>1.6073600196333313</v>
      </c>
      <c r="AZ169" s="47">
        <f t="shared" si="149"/>
        <v>6.0562925044203126</v>
      </c>
      <c r="BA169" s="47">
        <f t="shared" si="150"/>
        <v>4.7489526731231244</v>
      </c>
      <c r="BB169" s="47">
        <f t="shared" si="151"/>
        <v>4.975845475882398</v>
      </c>
      <c r="BC169" s="47">
        <f t="shared" si="152"/>
        <v>-1.6073600196333313</v>
      </c>
      <c r="BD169" s="47">
        <f t="shared" si="153"/>
        <v>1.6073600196333313</v>
      </c>
      <c r="BE169" s="40"/>
      <c r="BF169" s="40"/>
      <c r="BG169" s="6">
        <f t="shared" si="154"/>
        <v>-0.45378560551853631</v>
      </c>
      <c r="BH169" s="9">
        <f t="shared" ca="1" si="155"/>
        <v>82.670067901128675</v>
      </c>
      <c r="BI169" s="9">
        <f t="shared" ca="1" si="156"/>
        <v>-140.91174832411031</v>
      </c>
      <c r="BJ169">
        <f t="shared" ca="1" si="157"/>
        <v>163.37215473432011</v>
      </c>
      <c r="BK169" s="6">
        <f t="shared" ca="1" si="158"/>
        <v>0.50602300028158909</v>
      </c>
      <c r="BL169" s="6">
        <f t="shared" ca="1" si="159"/>
        <v>-0.86251998422414466</v>
      </c>
      <c r="BM169" s="6">
        <f t="shared" ca="1" si="160"/>
        <v>-1.040228713759153</v>
      </c>
      <c r="BN169" s="6">
        <f t="shared" ca="1" si="161"/>
        <v>-2.9596433337555101</v>
      </c>
      <c r="BO169" s="9">
        <f t="shared" ca="1" si="162"/>
        <v>3.0878712049692609</v>
      </c>
      <c r="BP169" s="9">
        <f t="shared" ca="1" si="163"/>
        <v>-197.0874165818405</v>
      </c>
      <c r="BQ169">
        <f t="shared" ca="1" si="164"/>
        <v>197.11160474077221</v>
      </c>
      <c r="BR169">
        <f t="shared" ca="1" si="165"/>
        <v>1.5665598223048405E-2</v>
      </c>
      <c r="BS169">
        <f t="shared" ca="1" si="166"/>
        <v>-0.99987728698691525</v>
      </c>
      <c r="BT169">
        <f t="shared" ca="1" si="167"/>
        <v>-1.5551300877494734</v>
      </c>
      <c r="BU169" s="40">
        <f t="shared" ca="1" si="168"/>
        <v>-4.6967227412392667</v>
      </c>
    </row>
    <row r="170" spans="45:73" x14ac:dyDescent="0.25">
      <c r="AS170" s="6">
        <v>-0.20943951023932991</v>
      </c>
      <c r="AT170" s="6">
        <v>6.2883287198977769</v>
      </c>
      <c r="AU170" s="6">
        <v>-162.4090786187129</v>
      </c>
      <c r="AV170" s="6">
        <f t="shared" si="145"/>
        <v>4.751088720446595</v>
      </c>
      <c r="AW170" s="6">
        <f t="shared" si="146"/>
        <v>4.9605282306859246</v>
      </c>
      <c r="AX170" s="6">
        <f t="shared" si="147"/>
        <v>-1.6094960669568019</v>
      </c>
      <c r="AY170" s="6">
        <f t="shared" si="148"/>
        <v>1.6094960669568019</v>
      </c>
      <c r="AZ170" s="47">
        <f t="shared" si="149"/>
        <v>6.0737457969402566</v>
      </c>
      <c r="BA170" s="47">
        <f t="shared" si="150"/>
        <v>4.751088720446595</v>
      </c>
      <c r="BB170" s="47">
        <f t="shared" si="151"/>
        <v>4.9605282306859246</v>
      </c>
      <c r="BC170" s="47">
        <f t="shared" si="152"/>
        <v>-1.6094960669568019</v>
      </c>
      <c r="BD170" s="47">
        <f t="shared" si="153"/>
        <v>1.6094960669568019</v>
      </c>
      <c r="BE170" s="40"/>
      <c r="BF170" s="40"/>
      <c r="BG170" s="6">
        <f t="shared" si="154"/>
        <v>-0.43633231299859299</v>
      </c>
      <c r="BH170" s="9">
        <f t="shared" ca="1" si="155"/>
        <v>82.940273401816114</v>
      </c>
      <c r="BI170" s="9">
        <f t="shared" ca="1" si="156"/>
        <v>-139.83279398898014</v>
      </c>
      <c r="BJ170">
        <f t="shared" ca="1" si="157"/>
        <v>162.58013170966669</v>
      </c>
      <c r="BK170" s="6">
        <f t="shared" ca="1" si="158"/>
        <v>0.51015011815791667</v>
      </c>
      <c r="BL170" s="6">
        <f t="shared" ca="1" si="159"/>
        <v>-0.86008537770587845</v>
      </c>
      <c r="BM170" s="6">
        <f t="shared" ca="1" si="160"/>
        <v>-1.0354370068820864</v>
      </c>
      <c r="BN170" s="6">
        <f t="shared" ca="1" si="161"/>
        <v>-2.9548516268784435</v>
      </c>
      <c r="BO170" s="9">
        <f t="shared" ca="1" si="162"/>
        <v>3.3580767056566998</v>
      </c>
      <c r="BP170" s="9">
        <f t="shared" ca="1" si="163"/>
        <v>-196.00846224671034</v>
      </c>
      <c r="BQ170">
        <f t="shared" ca="1" si="164"/>
        <v>196.03722593293639</v>
      </c>
      <c r="BR170">
        <f t="shared" ca="1" si="165"/>
        <v>1.7129790985746175E-2</v>
      </c>
      <c r="BS170">
        <f t="shared" ca="1" si="166"/>
        <v>-0.99985327436618643</v>
      </c>
      <c r="BT170">
        <f t="shared" ca="1" si="167"/>
        <v>-1.5536656979668306</v>
      </c>
      <c r="BU170" s="40">
        <f t="shared" ca="1" si="168"/>
        <v>-4.6952583514566237</v>
      </c>
    </row>
    <row r="171" spans="45:73" x14ac:dyDescent="0.25">
      <c r="AS171" s="6">
        <v>-0.19198621771938662</v>
      </c>
      <c r="AT171" s="6">
        <v>6.4662701204818269</v>
      </c>
      <c r="AU171" s="6">
        <v>-157.45934547612083</v>
      </c>
      <c r="AV171" s="6">
        <f t="shared" si="145"/>
        <v>4.7534322019426929</v>
      </c>
      <c r="AW171" s="6">
        <f t="shared" si="146"/>
        <v>4.9454184196620794</v>
      </c>
      <c r="AX171" s="6">
        <f t="shared" si="147"/>
        <v>-1.6118395484528998</v>
      </c>
      <c r="AY171" s="6">
        <f t="shared" si="148"/>
        <v>1.6118395484528998</v>
      </c>
      <c r="AZ171" s="47">
        <f t="shared" si="149"/>
        <v>6.0911990894601997</v>
      </c>
      <c r="BA171" s="47">
        <f t="shared" si="150"/>
        <v>4.7534322019426929</v>
      </c>
      <c r="BB171" s="47">
        <f t="shared" si="151"/>
        <v>4.9454184196620794</v>
      </c>
      <c r="BC171" s="47">
        <f t="shared" si="152"/>
        <v>-1.6118395484528998</v>
      </c>
      <c r="BD171" s="47">
        <f t="shared" si="153"/>
        <v>1.6118395484528998</v>
      </c>
      <c r="BE171" s="40"/>
      <c r="BF171" s="40"/>
      <c r="BG171" s="6">
        <f t="shared" si="154"/>
        <v>-0.41887902047864967</v>
      </c>
      <c r="BH171" s="9">
        <f t="shared" ca="1" si="155"/>
        <v>83.206959054624448</v>
      </c>
      <c r="BI171" s="9">
        <f t="shared" ca="1" si="156"/>
        <v>-138.73168975601504</v>
      </c>
      <c r="BJ171">
        <f t="shared" ca="1" si="157"/>
        <v>161.77107212872502</v>
      </c>
      <c r="BK171" s="6">
        <f t="shared" ca="1" si="158"/>
        <v>0.51435005010299195</v>
      </c>
      <c r="BL171" s="6">
        <f t="shared" ca="1" si="159"/>
        <v>-0.85758033207335727</v>
      </c>
      <c r="BM171" s="6">
        <f t="shared" ca="1" si="160"/>
        <v>-1.0305467380117928</v>
      </c>
      <c r="BN171" s="6">
        <f t="shared" ca="1" si="161"/>
        <v>-2.9499613580081498</v>
      </c>
      <c r="BO171" s="9">
        <f t="shared" ca="1" si="162"/>
        <v>3.6247623584650341</v>
      </c>
      <c r="BP171" s="9">
        <f t="shared" ca="1" si="163"/>
        <v>-194.90735801374524</v>
      </c>
      <c r="BQ171">
        <f t="shared" ca="1" si="164"/>
        <v>194.94106060564462</v>
      </c>
      <c r="BR171">
        <f t="shared" ca="1" si="165"/>
        <v>1.8594145056991022E-2</v>
      </c>
      <c r="BS171">
        <f t="shared" ca="1" si="166"/>
        <v>-0.9998271139400049</v>
      </c>
      <c r="BT171">
        <f t="shared" ca="1" si="167"/>
        <v>-1.5522011101076381</v>
      </c>
      <c r="BU171" s="40">
        <f t="shared" ca="1" si="168"/>
        <v>-4.6937937635974309</v>
      </c>
    </row>
    <row r="172" spans="45:73" x14ac:dyDescent="0.25">
      <c r="AS172" s="6">
        <v>-0.17453292519944333</v>
      </c>
      <c r="AT172" s="6">
        <v>6.6515280571304523</v>
      </c>
      <c r="AU172" s="6">
        <v>-152.23916914307716</v>
      </c>
      <c r="AV172" s="6">
        <f t="shared" si="145"/>
        <v>4.7560525165257435</v>
      </c>
      <c r="AW172" s="6">
        <f t="shared" si="146"/>
        <v>4.9305854417251869</v>
      </c>
      <c r="AX172" s="6">
        <f t="shared" si="147"/>
        <v>-1.6144598630359503</v>
      </c>
      <c r="AY172" s="6">
        <f t="shared" si="148"/>
        <v>1.6144598630359503</v>
      </c>
      <c r="AZ172" s="47">
        <f t="shared" si="149"/>
        <v>6.1086523819801428</v>
      </c>
      <c r="BA172" s="47">
        <f t="shared" si="150"/>
        <v>4.7560525165257435</v>
      </c>
      <c r="BB172" s="47">
        <f t="shared" si="151"/>
        <v>4.9305854417251869</v>
      </c>
      <c r="BC172" s="47">
        <f t="shared" si="152"/>
        <v>-1.6144598630359503</v>
      </c>
      <c r="BD172" s="47">
        <f t="shared" si="153"/>
        <v>1.6144598630359503</v>
      </c>
      <c r="BE172" s="40"/>
      <c r="BF172" s="40"/>
      <c r="BG172" s="6">
        <f t="shared" si="154"/>
        <v>-0.40142572795870635</v>
      </c>
      <c r="BH172" s="9">
        <f t="shared" ca="1" si="155"/>
        <v>83.470769261139623</v>
      </c>
      <c r="BI172" s="9">
        <f t="shared" ca="1" si="156"/>
        <v>-137.60496505859646</v>
      </c>
      <c r="BJ172">
        <f t="shared" ca="1" si="157"/>
        <v>160.9425230628126</v>
      </c>
      <c r="BK172" s="6">
        <f t="shared" ca="1" si="158"/>
        <v>0.51863713624374264</v>
      </c>
      <c r="BL172" s="6">
        <f t="shared" ca="1" si="159"/>
        <v>-0.85499445665389529</v>
      </c>
      <c r="BM172" s="6">
        <f t="shared" ca="1" si="160"/>
        <v>-1.0255401511882694</v>
      </c>
      <c r="BN172" s="6">
        <f t="shared" ca="1" si="161"/>
        <v>-2.9449547711846265</v>
      </c>
      <c r="BO172" s="9">
        <f t="shared" ca="1" si="162"/>
        <v>3.8885725649802083</v>
      </c>
      <c r="BP172" s="9">
        <f t="shared" ca="1" si="163"/>
        <v>-193.78063331632666</v>
      </c>
      <c r="BQ172">
        <f t="shared" ca="1" si="164"/>
        <v>193.81964514741475</v>
      </c>
      <c r="BR172">
        <f t="shared" ca="1" si="165"/>
        <v>2.0062840183319136E-2</v>
      </c>
      <c r="BS172">
        <f t="shared" ca="1" si="166"/>
        <v>-0.99979872096526434</v>
      </c>
      <c r="BT172">
        <f t="shared" ca="1" si="167"/>
        <v>-1.5507321404268246</v>
      </c>
      <c r="BU172" s="40">
        <f t="shared" ca="1" si="168"/>
        <v>-4.6923247939166179</v>
      </c>
    </row>
    <row r="173" spans="45:73" x14ac:dyDescent="0.25">
      <c r="AS173" s="6">
        <v>-0.15707963267950004</v>
      </c>
      <c r="AT173" s="6">
        <v>6.8495339041067584</v>
      </c>
      <c r="AU173" s="6">
        <v>-146.68132074714106</v>
      </c>
      <c r="AV173" s="6">
        <f t="shared" si="145"/>
        <v>4.7590517845934048</v>
      </c>
      <c r="AW173" s="6">
        <f t="shared" si="146"/>
        <v>4.9161314172729051</v>
      </c>
      <c r="AX173" s="6">
        <f t="shared" si="147"/>
        <v>-1.6174591311036117</v>
      </c>
      <c r="AY173" s="6">
        <f t="shared" si="148"/>
        <v>1.6174591311036117</v>
      </c>
      <c r="AZ173" s="47">
        <f t="shared" si="149"/>
        <v>6.1261056745000859</v>
      </c>
      <c r="BA173" s="47">
        <f t="shared" si="150"/>
        <v>4.7590517845934048</v>
      </c>
      <c r="BB173" s="47">
        <f t="shared" si="151"/>
        <v>4.9161314172729051</v>
      </c>
      <c r="BC173" s="47">
        <f t="shared" si="152"/>
        <v>-1.6174591311036117</v>
      </c>
      <c r="BD173" s="47">
        <f t="shared" si="153"/>
        <v>1.6174591311036117</v>
      </c>
      <c r="BE173" s="40"/>
      <c r="BF173" s="40"/>
      <c r="BG173" s="6">
        <f t="shared" si="154"/>
        <v>-0.38397243543876303</v>
      </c>
      <c r="BH173" s="9">
        <f t="shared" ca="1" si="155"/>
        <v>83.732394218535092</v>
      </c>
      <c r="BI173" s="9">
        <f t="shared" ca="1" si="156"/>
        <v>-136.448634023007</v>
      </c>
      <c r="BJ173">
        <f t="shared" ca="1" si="157"/>
        <v>160.09167238901802</v>
      </c>
      <c r="BK173" s="6">
        <f t="shared" ca="1" si="158"/>
        <v>0.5230277938197051</v>
      </c>
      <c r="BL173" s="6">
        <f t="shared" ca="1" si="159"/>
        <v>-0.85231562633339775</v>
      </c>
      <c r="BM173" s="6">
        <f t="shared" ca="1" si="160"/>
        <v>-1.0203967997367889</v>
      </c>
      <c r="BN173" s="6">
        <f t="shared" ca="1" si="161"/>
        <v>-2.9398114197331457</v>
      </c>
      <c r="BO173" s="9">
        <f t="shared" ca="1" si="162"/>
        <v>4.1501975223756773</v>
      </c>
      <c r="BP173" s="9">
        <f t="shared" ca="1" si="163"/>
        <v>-192.6243022807372</v>
      </c>
      <c r="BQ173">
        <f t="shared" ca="1" si="164"/>
        <v>192.66900624806146</v>
      </c>
      <c r="BR173">
        <f t="shared" ca="1" si="165"/>
        <v>2.154055601985249E-2</v>
      </c>
      <c r="BS173">
        <f t="shared" ca="1" si="166"/>
        <v>-0.99976797530544836</v>
      </c>
      <c r="BT173">
        <f t="shared" ca="1" si="167"/>
        <v>-1.5492541046400989</v>
      </c>
      <c r="BU173" s="40">
        <f t="shared" ca="1" si="168"/>
        <v>-4.6908467581298918</v>
      </c>
    </row>
    <row r="174" spans="45:73" x14ac:dyDescent="0.25">
      <c r="AS174" s="6">
        <v>-0.13962634015955674</v>
      </c>
      <c r="AT174" s="6">
        <v>7.0467663841838135</v>
      </c>
      <c r="AU174" s="6">
        <v>-139.67618490944815</v>
      </c>
      <c r="AV174" s="6">
        <f t="shared" si="145"/>
        <v>4.7627969783235073</v>
      </c>
      <c r="AW174" s="6">
        <f t="shared" si="146"/>
        <v>4.9024233184830637</v>
      </c>
      <c r="AX174" s="6">
        <f t="shared" si="147"/>
        <v>-1.6212043248337142</v>
      </c>
      <c r="AY174" s="6">
        <f t="shared" si="148"/>
        <v>1.6212043248337142</v>
      </c>
      <c r="AZ174" s="47">
        <f t="shared" si="149"/>
        <v>6.1435589670200299</v>
      </c>
      <c r="BA174" s="47">
        <f t="shared" si="150"/>
        <v>4.7627969783235073</v>
      </c>
      <c r="BB174" s="47">
        <f t="shared" si="151"/>
        <v>4.9024233184830637</v>
      </c>
      <c r="BC174" s="47">
        <f t="shared" si="152"/>
        <v>-1.6212043248337142</v>
      </c>
      <c r="BD174" s="47">
        <f t="shared" si="153"/>
        <v>1.6212043248337142</v>
      </c>
      <c r="BE174" s="40"/>
      <c r="BF174" s="40"/>
      <c r="BG174" s="6">
        <f t="shared" si="154"/>
        <v>-0.36651914291881971</v>
      </c>
      <c r="BH174" s="9">
        <f t="shared" ca="1" si="155"/>
        <v>83.992585737588769</v>
      </c>
      <c r="BI174" s="9">
        <f t="shared" ca="1" si="156"/>
        <v>-135.2580689473298</v>
      </c>
      <c r="BJ174">
        <f t="shared" ca="1" si="157"/>
        <v>159.21526206443534</v>
      </c>
      <c r="BK174" s="6">
        <f t="shared" ca="1" si="158"/>
        <v>0.52754104505129973</v>
      </c>
      <c r="BL174" s="6">
        <f t="shared" ca="1" si="159"/>
        <v>-0.84952954379832057</v>
      </c>
      <c r="BM174" s="6">
        <f t="shared" ca="1" si="160"/>
        <v>-1.0150928617166621</v>
      </c>
      <c r="BN174" s="6">
        <f t="shared" ca="1" si="161"/>
        <v>-2.9345074817130192</v>
      </c>
      <c r="BO174" s="9">
        <f t="shared" ca="1" si="162"/>
        <v>4.4103890414293545</v>
      </c>
      <c r="BP174" s="9">
        <f t="shared" ca="1" si="163"/>
        <v>-191.43373720506</v>
      </c>
      <c r="BQ174">
        <f t="shared" ca="1" si="164"/>
        <v>191.48453533325539</v>
      </c>
      <c r="BR174">
        <f t="shared" ca="1" si="165"/>
        <v>2.3032612183295179E-2</v>
      </c>
      <c r="BS174">
        <f t="shared" ca="1" si="166"/>
        <v>-0.99973471419972904</v>
      </c>
      <c r="BT174">
        <f t="shared" ca="1" si="167"/>
        <v>-1.5477616776537977</v>
      </c>
      <c r="BU174" s="40">
        <f t="shared" ca="1" si="168"/>
        <v>-4.6893543311435906</v>
      </c>
    </row>
    <row r="175" spans="45:73" x14ac:dyDescent="0.25">
      <c r="AS175" s="6">
        <v>-0.12217304763961345</v>
      </c>
      <c r="AT175" s="6">
        <v>7.2309350963823373</v>
      </c>
      <c r="AU175" s="6">
        <v>-134.80104213534531</v>
      </c>
      <c r="AV175" s="6">
        <f t="shared" si="145"/>
        <v>4.7659791564344811</v>
      </c>
      <c r="AW175" s="6">
        <f t="shared" si="146"/>
        <v>4.8881522040740943</v>
      </c>
      <c r="AX175" s="6">
        <f t="shared" si="147"/>
        <v>-1.624386502944688</v>
      </c>
      <c r="AY175" s="6">
        <f t="shared" si="148"/>
        <v>1.624386502944688</v>
      </c>
      <c r="AZ175" s="47">
        <f t="shared" si="149"/>
        <v>6.161012259539973</v>
      </c>
      <c r="BA175" s="47">
        <f t="shared" si="150"/>
        <v>4.7659791564344811</v>
      </c>
      <c r="BB175" s="47">
        <f t="shared" si="151"/>
        <v>4.8881522040740943</v>
      </c>
      <c r="BC175" s="47">
        <f t="shared" si="152"/>
        <v>-1.624386502944688</v>
      </c>
      <c r="BD175" s="47">
        <f t="shared" si="153"/>
        <v>1.624386502944688</v>
      </c>
      <c r="BE175" s="40"/>
      <c r="BF175" s="40"/>
      <c r="BG175" s="6">
        <f t="shared" si="154"/>
        <v>-0.34906585039887639</v>
      </c>
      <c r="BH175" s="9">
        <f t="shared" ca="1" si="155"/>
        <v>84.252177083240539</v>
      </c>
      <c r="BI175" s="9">
        <f t="shared" ca="1" si="156"/>
        <v>-134.02783546457624</v>
      </c>
      <c r="BJ175">
        <f t="shared" ca="1" si="157"/>
        <v>158.30947546683754</v>
      </c>
      <c r="BK175" s="6">
        <f t="shared" ca="1" si="158"/>
        <v>0.53219920560528655</v>
      </c>
      <c r="BL175" s="6">
        <f t="shared" ca="1" si="159"/>
        <v>-0.84661916205168786</v>
      </c>
      <c r="BM175" s="6">
        <f t="shared" ca="1" si="160"/>
        <v>-1.0096002432605486</v>
      </c>
      <c r="BN175" s="6">
        <f t="shared" ca="1" si="161"/>
        <v>-2.9290148632569055</v>
      </c>
      <c r="BO175" s="9">
        <f t="shared" ca="1" si="162"/>
        <v>4.6699803870811252</v>
      </c>
      <c r="BP175" s="9">
        <f t="shared" ca="1" si="163"/>
        <v>-190.20350372230644</v>
      </c>
      <c r="BQ175">
        <f t="shared" ca="1" si="164"/>
        <v>190.26082504040909</v>
      </c>
      <c r="BR175">
        <f t="shared" ca="1" si="165"/>
        <v>2.4545149460427695E-2</v>
      </c>
      <c r="BS175">
        <f t="shared" ca="1" si="166"/>
        <v>-0.9996987224348971</v>
      </c>
      <c r="BT175">
        <f t="shared" ca="1" si="167"/>
        <v>-1.5462487120697532</v>
      </c>
      <c r="BU175" s="40">
        <f t="shared" ca="1" si="168"/>
        <v>-4.6878413655595459</v>
      </c>
    </row>
    <row r="176" spans="45:73" x14ac:dyDescent="0.25">
      <c r="AS176" s="6">
        <v>-0.10471975511967016</v>
      </c>
      <c r="AT176" s="6">
        <v>7.4920722729646316</v>
      </c>
      <c r="AU176" s="6">
        <v>-126.39223752053785</v>
      </c>
      <c r="AV176" s="6">
        <f t="shared" si="145"/>
        <v>4.771596064140466</v>
      </c>
      <c r="AW176" s="6">
        <f t="shared" si="146"/>
        <v>4.8763158192601361</v>
      </c>
      <c r="AX176" s="6">
        <f t="shared" si="147"/>
        <v>-1.6300034106506729</v>
      </c>
      <c r="AY176" s="6">
        <f t="shared" si="148"/>
        <v>1.6300034106506729</v>
      </c>
      <c r="AZ176" s="47">
        <f t="shared" si="149"/>
        <v>6.1784655520599161</v>
      </c>
      <c r="BA176" s="47">
        <f t="shared" si="150"/>
        <v>4.771596064140466</v>
      </c>
      <c r="BB176" s="47">
        <f t="shared" si="151"/>
        <v>4.8763158192601361</v>
      </c>
      <c r="BC176" s="47">
        <f t="shared" si="152"/>
        <v>-1.6300034106506729</v>
      </c>
      <c r="BD176" s="47">
        <f t="shared" si="153"/>
        <v>1.6300034106506729</v>
      </c>
      <c r="BE176" s="40"/>
      <c r="BF176" s="40"/>
      <c r="BG176" s="6">
        <f t="shared" si="154"/>
        <v>-0.33161255787893307</v>
      </c>
      <c r="BH176" s="9">
        <f t="shared" ca="1" si="155"/>
        <v>84.51210812343686</v>
      </c>
      <c r="BI176" s="9">
        <f t="shared" ca="1" si="156"/>
        <v>-132.7514748373485</v>
      </c>
      <c r="BJ176">
        <f t="shared" ca="1" si="157"/>
        <v>157.36978900334921</v>
      </c>
      <c r="BK176" s="6">
        <f t="shared" ca="1" si="158"/>
        <v>0.53702879478117771</v>
      </c>
      <c r="BL176" s="6">
        <f t="shared" ca="1" si="159"/>
        <v>-0.84356391196866398</v>
      </c>
      <c r="BM176" s="6">
        <f t="shared" ca="1" si="160"/>
        <v>-1.0038853877448843</v>
      </c>
      <c r="BN176" s="6">
        <f t="shared" ca="1" si="161"/>
        <v>-2.9233000077412417</v>
      </c>
      <c r="BO176" s="9">
        <f t="shared" ca="1" si="162"/>
        <v>4.929911427277446</v>
      </c>
      <c r="BP176" s="9">
        <f t="shared" ca="1" si="163"/>
        <v>-188.92714309507869</v>
      </c>
      <c r="BQ176">
        <f t="shared" ca="1" si="164"/>
        <v>188.99145331138428</v>
      </c>
      <c r="BR176">
        <f t="shared" ca="1" si="165"/>
        <v>2.6085367041200919E-2</v>
      </c>
      <c r="BS176">
        <f t="shared" ca="1" si="166"/>
        <v>-0.99965971891755534</v>
      </c>
      <c r="BT176">
        <f t="shared" ca="1" si="167"/>
        <v>-1.5447080005652651</v>
      </c>
      <c r="BU176" s="40">
        <f t="shared" ca="1" si="168"/>
        <v>-4.6863006540550582</v>
      </c>
    </row>
    <row r="177" spans="45:73" x14ac:dyDescent="0.25">
      <c r="AS177" s="6">
        <v>-8.7266462599726868E-2</v>
      </c>
      <c r="AT177" s="6">
        <v>7.8343125447008539</v>
      </c>
      <c r="AU177" s="6">
        <v>-116.87933450150331</v>
      </c>
      <c r="AV177" s="6">
        <f t="shared" si="145"/>
        <v>4.7793179305679434</v>
      </c>
      <c r="AW177" s="6">
        <f t="shared" si="146"/>
        <v>4.8665843931676704</v>
      </c>
      <c r="AX177" s="6">
        <f t="shared" si="147"/>
        <v>-1.6377252770781503</v>
      </c>
      <c r="AY177" s="6">
        <f t="shared" si="148"/>
        <v>1.6377252770781503</v>
      </c>
      <c r="AZ177" s="47">
        <f t="shared" si="149"/>
        <v>6.1959188445798592</v>
      </c>
      <c r="BA177" s="47">
        <f t="shared" si="150"/>
        <v>4.7793179305679434</v>
      </c>
      <c r="BB177" s="47">
        <f t="shared" si="151"/>
        <v>4.8665843931676704</v>
      </c>
      <c r="BC177" s="47">
        <f t="shared" si="152"/>
        <v>-1.6377252770781503</v>
      </c>
      <c r="BD177" s="47">
        <f t="shared" si="153"/>
        <v>1.6377252770781503</v>
      </c>
      <c r="BE177" s="40"/>
      <c r="BF177" s="40"/>
      <c r="BG177" s="6">
        <f t="shared" si="154"/>
        <v>-0.31415926535898975</v>
      </c>
      <c r="BH177" s="9">
        <f t="shared" ca="1" si="155"/>
        <v>84.773457922743688</v>
      </c>
      <c r="BI177" s="9">
        <f t="shared" ca="1" si="156"/>
        <v>-131.42121212008684</v>
      </c>
      <c r="BJ177">
        <f t="shared" ca="1" si="157"/>
        <v>156.39077390719714</v>
      </c>
      <c r="BK177" s="6">
        <f t="shared" ca="1" si="158"/>
        <v>0.54206175853473659</v>
      </c>
      <c r="BL177" s="6">
        <f t="shared" ca="1" si="159"/>
        <v>-0.84033865193398594</v>
      </c>
      <c r="BM177" s="6">
        <f t="shared" ca="1" si="160"/>
        <v>-0.99790766804247832</v>
      </c>
      <c r="BN177" s="6">
        <f t="shared" ca="1" si="161"/>
        <v>-2.9173222880388354</v>
      </c>
      <c r="BO177" s="9">
        <f t="shared" ca="1" si="162"/>
        <v>5.1912612265842739</v>
      </c>
      <c r="BP177" s="9">
        <f t="shared" ca="1" si="163"/>
        <v>-187.59688037781703</v>
      </c>
      <c r="BQ177">
        <f t="shared" ca="1" si="164"/>
        <v>187.66869403449161</v>
      </c>
      <c r="BR177">
        <f t="shared" ca="1" si="165"/>
        <v>2.7661839143134723E-2</v>
      </c>
      <c r="BS177">
        <f t="shared" ca="1" si="166"/>
        <v>-0.99961733811254971</v>
      </c>
      <c r="BT177">
        <f t="shared" ca="1" si="167"/>
        <v>-1.5431309587344109</v>
      </c>
      <c r="BU177" s="40">
        <f t="shared" ca="1" si="168"/>
        <v>-4.6847236122242037</v>
      </c>
    </row>
    <row r="178" spans="45:73" x14ac:dyDescent="0.25">
      <c r="AS178" s="6">
        <v>-6.9813170079783576E-2</v>
      </c>
      <c r="AT178" s="6">
        <v>8.3265655596738135</v>
      </c>
      <c r="AU178" s="6">
        <v>-105.4746351133351</v>
      </c>
      <c r="AV178" s="6">
        <f t="shared" si="145"/>
        <v>4.7911693673555291</v>
      </c>
      <c r="AW178" s="6">
        <f t="shared" si="146"/>
        <v>4.8609825374353131</v>
      </c>
      <c r="AX178" s="6">
        <f t="shared" si="147"/>
        <v>-1.649576713865736</v>
      </c>
      <c r="AY178" s="6">
        <f t="shared" si="148"/>
        <v>1.649576713865736</v>
      </c>
      <c r="AZ178" s="47">
        <f t="shared" si="149"/>
        <v>6.2133721370998023</v>
      </c>
      <c r="BA178" s="47">
        <f t="shared" si="150"/>
        <v>4.7911693673555291</v>
      </c>
      <c r="BB178" s="47">
        <f t="shared" si="151"/>
        <v>4.8609825374353131</v>
      </c>
      <c r="BC178" s="47">
        <f t="shared" si="152"/>
        <v>-1.649576713865736</v>
      </c>
      <c r="BD178" s="47">
        <f t="shared" si="153"/>
        <v>1.649576713865736</v>
      </c>
      <c r="BE178" s="40"/>
      <c r="BF178" s="40"/>
      <c r="BG178" s="6">
        <f t="shared" si="154"/>
        <v>-0.29670597283904643</v>
      </c>
      <c r="BH178" s="9">
        <f t="shared" ca="1" si="155"/>
        <v>84.986155720311899</v>
      </c>
      <c r="BI178" s="9">
        <f t="shared" ca="1" si="156"/>
        <v>-128.27546914223072</v>
      </c>
      <c r="BJ178">
        <f t="shared" ca="1" si="157"/>
        <v>153.8741129877813</v>
      </c>
      <c r="BK178" s="6">
        <f t="shared" ca="1" si="158"/>
        <v>0.5523096385098929</v>
      </c>
      <c r="BL178" s="6">
        <f t="shared" ca="1" si="159"/>
        <v>-0.83363904851504622</v>
      </c>
      <c r="BM178" s="6">
        <f t="shared" ca="1" si="160"/>
        <v>-0.98566407369327969</v>
      </c>
      <c r="BN178" s="6">
        <f t="shared" ca="1" si="161"/>
        <v>-2.9050786936896369</v>
      </c>
      <c r="BO178" s="9">
        <f t="shared" ca="1" si="162"/>
        <v>5.4039590241524849</v>
      </c>
      <c r="BP178" s="9">
        <f t="shared" ca="1" si="163"/>
        <v>-184.45113739996091</v>
      </c>
      <c r="BQ178">
        <f t="shared" ca="1" si="164"/>
        <v>184.53028169185126</v>
      </c>
      <c r="BR178">
        <f t="shared" ca="1" si="165"/>
        <v>2.9284944317034121E-2</v>
      </c>
      <c r="BS178">
        <f t="shared" ca="1" si="166"/>
        <v>-0.99957110404230287</v>
      </c>
      <c r="BT178">
        <f t="shared" ca="1" si="167"/>
        <v>-1.5415071950280486</v>
      </c>
      <c r="BU178" s="40">
        <f t="shared" ca="1" si="168"/>
        <v>-4.6830998485178412</v>
      </c>
    </row>
    <row r="179" spans="45:73" x14ac:dyDescent="0.25">
      <c r="AS179" s="6">
        <v>-5.2359877559840284E-2</v>
      </c>
      <c r="AT179" s="6">
        <v>9.1220117902946427</v>
      </c>
      <c r="AU179" s="6">
        <v>-90.154221438203663</v>
      </c>
      <c r="AV179" s="6">
        <f t="shared" si="145"/>
        <v>4.8132280927965976</v>
      </c>
      <c r="AW179" s="6">
        <f t="shared" si="146"/>
        <v>4.8655879703564375</v>
      </c>
      <c r="AX179" s="6">
        <f t="shared" si="147"/>
        <v>-1.6716354393068045</v>
      </c>
      <c r="AY179" s="6">
        <f t="shared" si="148"/>
        <v>1.6716354393068045</v>
      </c>
      <c r="AZ179" s="47">
        <f t="shared" si="149"/>
        <v>6.2308254296197463</v>
      </c>
      <c r="BA179" s="47">
        <f t="shared" si="150"/>
        <v>4.8132280927965976</v>
      </c>
      <c r="BB179" s="47">
        <f t="shared" si="151"/>
        <v>4.8655879703564375</v>
      </c>
      <c r="BC179" s="47">
        <f t="shared" si="152"/>
        <v>-1.6716354393068045</v>
      </c>
      <c r="BD179" s="47">
        <f t="shared" si="153"/>
        <v>1.6716354393068045</v>
      </c>
      <c r="BE179" s="40"/>
      <c r="BF179" s="40"/>
      <c r="BG179" s="6">
        <f t="shared" si="154"/>
        <v>-0.27925268031910311</v>
      </c>
      <c r="BH179" s="9">
        <f t="shared" ca="1" si="155"/>
        <v>85.168802011920178</v>
      </c>
      <c r="BI179" s="9">
        <f t="shared" ca="1" si="156"/>
        <v>-124.14025670802579</v>
      </c>
      <c r="BJ179">
        <f t="shared" ca="1" si="157"/>
        <v>150.54742831307414</v>
      </c>
      <c r="BK179" s="6">
        <f t="shared" ca="1" si="158"/>
        <v>0.56572737884838242</v>
      </c>
      <c r="BL179" s="6">
        <f t="shared" ca="1" si="159"/>
        <v>-0.82459234341663579</v>
      </c>
      <c r="BM179" s="6">
        <f t="shared" ca="1" si="160"/>
        <v>-0.96948123265213415</v>
      </c>
      <c r="BN179" s="6">
        <f t="shared" ca="1" si="161"/>
        <v>-2.8888958526484911</v>
      </c>
      <c r="BO179" s="9">
        <f t="shared" ca="1" si="162"/>
        <v>5.5866053157607638</v>
      </c>
      <c r="BP179" s="9">
        <f t="shared" ca="1" si="163"/>
        <v>-180.31592496575598</v>
      </c>
      <c r="BQ179">
        <f t="shared" ca="1" si="164"/>
        <v>180.40244719850733</v>
      </c>
      <c r="BR179">
        <f t="shared" ca="1" si="165"/>
        <v>3.0967458604447291E-2</v>
      </c>
      <c r="BS179">
        <f t="shared" ca="1" si="166"/>
        <v>-0.99952039324247</v>
      </c>
      <c r="BT179">
        <f t="shared" ca="1" si="167"/>
        <v>-1.5398239165063552</v>
      </c>
      <c r="BU179" s="40">
        <f t="shared" ca="1" si="168"/>
        <v>-4.6814165699961485</v>
      </c>
    </row>
    <row r="180" spans="45:73" x14ac:dyDescent="0.25">
      <c r="AS180" s="6">
        <v>-3.4906585039896992E-2</v>
      </c>
      <c r="AT180" s="6">
        <v>10.478045003172952</v>
      </c>
      <c r="AU180" s="6">
        <v>-65.92987959423823</v>
      </c>
      <c r="AV180" s="6">
        <f t="shared" si="145"/>
        <v>4.8699979549291585</v>
      </c>
      <c r="AW180" s="6">
        <f t="shared" si="146"/>
        <v>4.9049045399690554</v>
      </c>
      <c r="AX180" s="6">
        <f t="shared" si="147"/>
        <v>-1.7284053014393654</v>
      </c>
      <c r="AY180" s="6">
        <f t="shared" si="148"/>
        <v>1.7284053014393654</v>
      </c>
      <c r="AZ180" s="47">
        <f t="shared" si="149"/>
        <v>6.2482787221396894</v>
      </c>
      <c r="BA180" s="47">
        <f t="shared" si="150"/>
        <v>4.8699979549291585</v>
      </c>
      <c r="BB180" s="47">
        <f t="shared" si="151"/>
        <v>4.9049045399690554</v>
      </c>
      <c r="BC180" s="47">
        <f t="shared" si="152"/>
        <v>-1.7284053014393654</v>
      </c>
      <c r="BD180" s="47">
        <f t="shared" si="153"/>
        <v>1.7284053014393654</v>
      </c>
      <c r="BE180" s="40"/>
      <c r="BF180" s="40"/>
      <c r="BG180" s="6">
        <f t="shared" si="154"/>
        <v>-0.26179938779915979</v>
      </c>
      <c r="BH180" s="9">
        <f t="shared" ca="1" si="155"/>
        <v>85.347075889273242</v>
      </c>
      <c r="BI180" s="9">
        <f t="shared" ca="1" si="156"/>
        <v>-119.88918774258644</v>
      </c>
      <c r="BJ180">
        <f t="shared" ca="1" si="157"/>
        <v>147.16501180792432</v>
      </c>
      <c r="BK180" s="6">
        <f t="shared" ca="1" si="158"/>
        <v>0.57994135182529583</v>
      </c>
      <c r="BL180" s="6">
        <f t="shared" ca="1" si="159"/>
        <v>-0.81465822799689969</v>
      </c>
      <c r="BM180" s="6">
        <f t="shared" ca="1" si="160"/>
        <v>-0.95213962910774574</v>
      </c>
      <c r="BN180" s="6">
        <f t="shared" ca="1" si="161"/>
        <v>-2.8715542491041028</v>
      </c>
      <c r="BO180" s="9">
        <f t="shared" ca="1" si="162"/>
        <v>5.7648791931138277</v>
      </c>
      <c r="BP180" s="9">
        <f t="shared" ca="1" si="163"/>
        <v>-176.06485600031664</v>
      </c>
      <c r="BQ180">
        <f t="shared" ca="1" si="164"/>
        <v>176.15921023472893</v>
      </c>
      <c r="BR180">
        <f t="shared" ca="1" si="165"/>
        <v>3.2725391907878286E-2</v>
      </c>
      <c r="BS180">
        <f t="shared" ca="1" si="166"/>
        <v>-0.99946438091833767</v>
      </c>
      <c r="BT180">
        <f t="shared" ca="1" si="167"/>
        <v>-1.5380650908534752</v>
      </c>
      <c r="BU180" s="40">
        <f t="shared" ca="1" si="168"/>
        <v>-4.6796577443432685</v>
      </c>
    </row>
    <row r="181" spans="45:73" x14ac:dyDescent="0.25">
      <c r="AS181" s="6">
        <v>-1.7453292519953697E-2</v>
      </c>
      <c r="AT181" s="6">
        <v>11.599413382697968</v>
      </c>
      <c r="AU181" s="6">
        <v>-36.972625881570053</v>
      </c>
      <c r="AV181" s="6">
        <f t="shared" si="145"/>
        <v>5.0163938152606438</v>
      </c>
      <c r="AW181" s="6">
        <f t="shared" si="146"/>
        <v>5.0338471077805975</v>
      </c>
      <c r="AX181" s="6">
        <f t="shared" si="147"/>
        <v>-1.8748011617708507</v>
      </c>
      <c r="AY181" s="6">
        <f t="shared" si="148"/>
        <v>1.8748011617708507</v>
      </c>
      <c r="AZ181" s="47">
        <f t="shared" si="149"/>
        <v>6.2657320146596325</v>
      </c>
      <c r="BA181" s="47">
        <f t="shared" si="150"/>
        <v>5.0163938152606438</v>
      </c>
      <c r="BB181" s="47">
        <f t="shared" si="151"/>
        <v>5.0338471077805975</v>
      </c>
      <c r="BC181" s="47">
        <f t="shared" si="152"/>
        <v>-1.8748011617708507</v>
      </c>
      <c r="BD181" s="47">
        <f t="shared" si="153"/>
        <v>1.8748011617708507</v>
      </c>
      <c r="BE181" s="40"/>
      <c r="BF181" s="40"/>
      <c r="BG181" s="6">
        <f t="shared" si="154"/>
        <v>-0.2443460952792165</v>
      </c>
      <c r="BH181" s="9">
        <f t="shared" ca="1" si="155"/>
        <v>85.522284768112556</v>
      </c>
      <c r="BI181" s="9">
        <f t="shared" ca="1" si="156"/>
        <v>-115.50373929452192</v>
      </c>
      <c r="BJ181">
        <f t="shared" ca="1" si="157"/>
        <v>143.71908357269407</v>
      </c>
      <c r="BK181" s="6">
        <f t="shared" ca="1" si="158"/>
        <v>0.59506561440641814</v>
      </c>
      <c r="BL181" s="6">
        <f t="shared" ca="1" si="159"/>
        <v>-0.80367712083343024</v>
      </c>
      <c r="BM181" s="6">
        <f t="shared" ca="1" si="160"/>
        <v>-0.93344903781680721</v>
      </c>
      <c r="BN181" s="6">
        <f t="shared" ca="1" si="161"/>
        <v>-2.8528636578131641</v>
      </c>
      <c r="BO181" s="9">
        <f t="shared" ca="1" si="162"/>
        <v>5.9400880719531415</v>
      </c>
      <c r="BP181" s="9">
        <f t="shared" ca="1" si="163"/>
        <v>-171.67940755225212</v>
      </c>
      <c r="BQ181">
        <f t="shared" ca="1" si="164"/>
        <v>171.7821400023729</v>
      </c>
      <c r="BR181">
        <f t="shared" ca="1" si="165"/>
        <v>3.4579194739750525E-2</v>
      </c>
      <c r="BS181">
        <f t="shared" ca="1" si="166"/>
        <v>-0.99940196082014487</v>
      </c>
      <c r="BT181">
        <f t="shared" ca="1" si="167"/>
        <v>-1.5362102371679989</v>
      </c>
      <c r="BU181" s="40">
        <f t="shared" ca="1" si="168"/>
        <v>-4.6778028906577918</v>
      </c>
    </row>
    <row r="182" spans="45:73" x14ac:dyDescent="0.25">
      <c r="AS182" s="6">
        <v>-1.0401401961956935E-14</v>
      </c>
      <c r="AT182" s="6">
        <v>12.599109831981837</v>
      </c>
      <c r="AU182" s="6">
        <v>1.9759091423300288E-9</v>
      </c>
      <c r="AV182" s="6">
        <f t="shared" si="145"/>
        <v>1.568292656132214E-10</v>
      </c>
      <c r="AW182" s="6">
        <f t="shared" si="146"/>
        <v>1.5683966701518336E-10</v>
      </c>
      <c r="AX182" s="6">
        <f t="shared" si="147"/>
        <v>3.1415926533329639</v>
      </c>
      <c r="AY182" s="6">
        <f t="shared" si="148"/>
        <v>3.1415926533329639</v>
      </c>
      <c r="AZ182" s="47">
        <f t="shared" si="149"/>
        <v>6.2831853071795756</v>
      </c>
      <c r="BA182" s="47">
        <f t="shared" si="150"/>
        <v>1.568292656132214E-10</v>
      </c>
      <c r="BB182" s="47">
        <f t="shared" si="151"/>
        <v>1.5683966701518336E-10</v>
      </c>
      <c r="BC182" s="47">
        <f t="shared" si="152"/>
        <v>3.1415926533329639</v>
      </c>
      <c r="BD182" s="47">
        <f t="shared" si="153"/>
        <v>3.1415926533329639</v>
      </c>
      <c r="BE182" s="40"/>
      <c r="BF182" s="40"/>
      <c r="BG182" s="6">
        <f t="shared" si="154"/>
        <v>-0.2268928027592732</v>
      </c>
      <c r="BH182" s="9">
        <f t="shared" ca="1" si="155"/>
        <v>85.696064946373696</v>
      </c>
      <c r="BI182" s="9">
        <f t="shared" ca="1" si="156"/>
        <v>-110.96126455129823</v>
      </c>
      <c r="BJ182">
        <f t="shared" ca="1" si="157"/>
        <v>140.20063401467303</v>
      </c>
      <c r="BK182" s="6">
        <f t="shared" ca="1" si="158"/>
        <v>0.61123878325261338</v>
      </c>
      <c r="BL182" s="6">
        <f t="shared" ca="1" si="159"/>
        <v>-0.79144623939207948</v>
      </c>
      <c r="BM182" s="6">
        <f t="shared" ca="1" si="160"/>
        <v>-0.91317146547085259</v>
      </c>
      <c r="BN182" s="6">
        <f t="shared" ca="1" si="161"/>
        <v>-2.8325860854672098</v>
      </c>
      <c r="BO182" s="9">
        <f t="shared" ca="1" si="162"/>
        <v>6.1138682502142814</v>
      </c>
      <c r="BP182" s="9">
        <f t="shared" ca="1" si="163"/>
        <v>-167.13693280902842</v>
      </c>
      <c r="BQ182">
        <f t="shared" ca="1" si="164"/>
        <v>167.24871806322062</v>
      </c>
      <c r="BR182">
        <f t="shared" ca="1" si="165"/>
        <v>3.655554626076845E-2</v>
      </c>
      <c r="BS182">
        <f t="shared" ca="1" si="166"/>
        <v>-0.99933162265465048</v>
      </c>
      <c r="BT182">
        <f t="shared" ca="1" si="167"/>
        <v>-1.5342326340564623</v>
      </c>
      <c r="BU182" s="40">
        <f t="shared" ca="1" si="168"/>
        <v>-4.6758252875462549</v>
      </c>
    </row>
    <row r="183" spans="45:73" x14ac:dyDescent="0.25">
      <c r="AS183" s="6">
        <v>1.7453292519932894E-2</v>
      </c>
      <c r="AT183" s="6">
        <v>11.599413380923865</v>
      </c>
      <c r="AU183" s="6">
        <v>36.972625897392568</v>
      </c>
      <c r="AV183" s="6">
        <f t="shared" si="145"/>
        <v>1.266791492084858</v>
      </c>
      <c r="AW183" s="6">
        <f t="shared" si="146"/>
        <v>1.2493381995649251</v>
      </c>
      <c r="AX183" s="6">
        <f t="shared" si="147"/>
        <v>1.8748011614049351</v>
      </c>
      <c r="AY183" s="6">
        <f t="shared" si="148"/>
        <v>1.8748011614049351</v>
      </c>
      <c r="BF183" s="40"/>
      <c r="BG183" s="6">
        <f t="shared" si="154"/>
        <v>-0.20943951023932991</v>
      </c>
      <c r="BH183" s="9">
        <f t="shared" ca="1" si="155"/>
        <v>85.870525416057191</v>
      </c>
      <c r="BI183" s="9">
        <f t="shared" ca="1" si="156"/>
        <v>-106.2334103609827</v>
      </c>
      <c r="BJ183">
        <f t="shared" ca="1" si="157"/>
        <v>136.59899198806215</v>
      </c>
      <c r="BK183" s="6">
        <f t="shared" ca="1" si="158"/>
        <v>0.62863220413487175</v>
      </c>
      <c r="BL183" s="6">
        <f t="shared" ca="1" si="159"/>
        <v>-0.7777027400778096</v>
      </c>
      <c r="BM183" s="6">
        <f t="shared" ca="1" si="160"/>
        <v>-0.89100313245380514</v>
      </c>
      <c r="BN183" s="6">
        <f t="shared" ca="1" si="161"/>
        <v>-2.8104177524501623</v>
      </c>
      <c r="BO183" s="9">
        <f t="shared" ca="1" si="162"/>
        <v>6.2883287198977769</v>
      </c>
      <c r="BP183" s="9">
        <f t="shared" ca="1" si="163"/>
        <v>-162.4090786187129</v>
      </c>
      <c r="BQ183">
        <f t="shared" ca="1" si="164"/>
        <v>162.5307721505954</v>
      </c>
      <c r="BR183">
        <f t="shared" ca="1" si="165"/>
        <v>3.869008087939943E-2</v>
      </c>
      <c r="BS183">
        <f t="shared" ca="1" si="166"/>
        <v>-0.99925125851386631</v>
      </c>
      <c r="BT183">
        <f t="shared" ca="1" si="167"/>
        <v>-1.532096586732991</v>
      </c>
      <c r="BU183" s="40">
        <f t="shared" ca="1" si="168"/>
        <v>-4.6736892402227843</v>
      </c>
    </row>
    <row r="184" spans="45:73" x14ac:dyDescent="0.25">
      <c r="AS184" s="6">
        <v>3.490658503987619E-2</v>
      </c>
      <c r="AT184" s="6">
        <v>10.478045006312719</v>
      </c>
      <c r="AU184" s="6">
        <v>65.929879593877331</v>
      </c>
      <c r="AV184" s="6">
        <f t="shared" si="145"/>
        <v>1.4131873522031293</v>
      </c>
      <c r="AW184" s="6">
        <f t="shared" si="146"/>
        <v>1.3782807671632531</v>
      </c>
      <c r="AX184" s="6">
        <f t="shared" si="147"/>
        <v>1.7284053012866638</v>
      </c>
      <c r="AY184" s="6">
        <f t="shared" si="148"/>
        <v>1.7284053012866638</v>
      </c>
      <c r="BF184" s="40"/>
      <c r="BG184" s="6">
        <f t="shared" si="154"/>
        <v>-0.19198621771938662</v>
      </c>
      <c r="BH184" s="9">
        <f t="shared" ca="1" si="155"/>
        <v>86.048466816641238</v>
      </c>
      <c r="BI184" s="9">
        <f t="shared" ca="1" si="156"/>
        <v>-101.28367721839064</v>
      </c>
      <c r="BJ184">
        <f t="shared" ca="1" si="157"/>
        <v>132.90117348004776</v>
      </c>
      <c r="BK184" s="6">
        <f t="shared" ca="1" si="158"/>
        <v>0.64746205442316551</v>
      </c>
      <c r="BL184" s="6">
        <f t="shared" ca="1" si="159"/>
        <v>-0.76209768933000577</v>
      </c>
      <c r="BM184" s="6">
        <f t="shared" ca="1" si="160"/>
        <v>-0.86654683098583252</v>
      </c>
      <c r="BN184" s="6">
        <f t="shared" ca="1" si="161"/>
        <v>-2.7859614509821897</v>
      </c>
      <c r="BO184" s="9">
        <f t="shared" ca="1" si="162"/>
        <v>6.4662701204818234</v>
      </c>
      <c r="BP184" s="9">
        <f t="shared" ca="1" si="163"/>
        <v>-157.45934547612083</v>
      </c>
      <c r="BQ184">
        <f t="shared" ca="1" si="164"/>
        <v>157.59206238589368</v>
      </c>
      <c r="BR184">
        <f t="shared" ca="1" si="165"/>
        <v>4.103169932917021E-2</v>
      </c>
      <c r="BS184">
        <f t="shared" ca="1" si="166"/>
        <v>-0.99915784521273754</v>
      </c>
      <c r="BT184">
        <f t="shared" ca="1" si="167"/>
        <v>-1.5297531052368931</v>
      </c>
      <c r="BU184" s="40">
        <f t="shared" ca="1" si="168"/>
        <v>-4.6713457587266864</v>
      </c>
    </row>
    <row r="185" spans="45:73" x14ac:dyDescent="0.25">
      <c r="AS185" s="6">
        <v>5.2359877559819482E-2</v>
      </c>
      <c r="AT185" s="6">
        <v>9.1220117795605056</v>
      </c>
      <c r="AU185" s="6">
        <v>90.154221434970253</v>
      </c>
      <c r="AV185" s="6">
        <f t="shared" si="145"/>
        <v>1.4699572144972541</v>
      </c>
      <c r="AW185" s="6">
        <f t="shared" si="146"/>
        <v>1.4175973369374346</v>
      </c>
      <c r="AX185" s="6">
        <f t="shared" si="147"/>
        <v>1.671635438992539</v>
      </c>
      <c r="AY185" s="6">
        <f t="shared" si="148"/>
        <v>1.671635438992539</v>
      </c>
      <c r="BF185" s="40"/>
      <c r="BG185" s="6">
        <f t="shared" si="154"/>
        <v>-0.17453292519944333</v>
      </c>
      <c r="BH185" s="9">
        <f t="shared" ca="1" si="155"/>
        <v>86.233724753289863</v>
      </c>
      <c r="BI185" s="9">
        <f t="shared" ca="1" si="156"/>
        <v>-96.063500885346969</v>
      </c>
      <c r="BJ185">
        <f t="shared" ca="1" si="157"/>
        <v>129.09086523521026</v>
      </c>
      <c r="BK185" s="6">
        <f t="shared" ca="1" si="158"/>
        <v>0.66800795390260603</v>
      </c>
      <c r="BL185" s="6">
        <f t="shared" ca="1" si="159"/>
        <v>-0.74415413290719123</v>
      </c>
      <c r="BM185" s="6">
        <f t="shared" ca="1" si="160"/>
        <v>-0.83926769338688301</v>
      </c>
      <c r="BN185" s="6">
        <f t="shared" ca="1" si="161"/>
        <v>-2.7586823133832401</v>
      </c>
      <c r="BO185" s="9">
        <f t="shared" ca="1" si="162"/>
        <v>6.6515280571304487</v>
      </c>
      <c r="BP185" s="9">
        <f t="shared" ca="1" si="163"/>
        <v>-152.23916914307716</v>
      </c>
      <c r="BQ185">
        <f t="shared" ca="1" si="164"/>
        <v>152.38440683635991</v>
      </c>
      <c r="BR185">
        <f t="shared" ca="1" si="165"/>
        <v>4.3649663343003874E-2</v>
      </c>
      <c r="BS185">
        <f t="shared" ca="1" si="166"/>
        <v>-0.99904689924449608</v>
      </c>
      <c r="BT185">
        <f t="shared" ca="1" si="167"/>
        <v>-1.5271327906538423</v>
      </c>
      <c r="BU185" s="40">
        <f t="shared" ca="1" si="168"/>
        <v>-4.6687254441436359</v>
      </c>
    </row>
    <row r="186" spans="45:73" x14ac:dyDescent="0.25">
      <c r="AS186" s="6">
        <v>6.9813170079762774E-2</v>
      </c>
      <c r="AT186" s="6">
        <v>8.3265655640470175</v>
      </c>
      <c r="AU186" s="6">
        <v>105.4746351036198</v>
      </c>
      <c r="AV186" s="6">
        <f t="shared" si="145"/>
        <v>1.492015939775625</v>
      </c>
      <c r="AW186" s="6">
        <f t="shared" si="146"/>
        <v>1.4222027696958621</v>
      </c>
      <c r="AX186" s="6">
        <f t="shared" si="147"/>
        <v>1.6495767137141681</v>
      </c>
      <c r="AY186" s="6">
        <f t="shared" si="148"/>
        <v>1.6495767137141681</v>
      </c>
      <c r="BF186" s="40"/>
      <c r="BG186" s="6">
        <f t="shared" si="154"/>
        <v>-0.15707963267950004</v>
      </c>
      <c r="BH186" s="9">
        <f t="shared" ca="1" si="155"/>
        <v>86.431730600266178</v>
      </c>
      <c r="BI186" s="9">
        <f t="shared" ca="1" si="156"/>
        <v>-90.505652489410863</v>
      </c>
      <c r="BJ186">
        <f t="shared" ca="1" si="157"/>
        <v>125.14678256787504</v>
      </c>
      <c r="BK186" s="6">
        <f t="shared" ca="1" si="158"/>
        <v>0.69064285015388849</v>
      </c>
      <c r="BL186" s="6">
        <f t="shared" ca="1" si="159"/>
        <v>-0.72319599938834955</v>
      </c>
      <c r="BM186" s="6">
        <f t="shared" ca="1" si="160"/>
        <v>-0.80841874919939027</v>
      </c>
      <c r="BN186" s="6">
        <f t="shared" ca="1" si="161"/>
        <v>-2.7278333691957473</v>
      </c>
      <c r="BO186" s="9">
        <f t="shared" ca="1" si="162"/>
        <v>6.8495339041067638</v>
      </c>
      <c r="BP186" s="9">
        <f t="shared" ca="1" si="163"/>
        <v>-146.68132074714106</v>
      </c>
      <c r="BQ186">
        <f t="shared" ca="1" si="164"/>
        <v>146.84115898081566</v>
      </c>
      <c r="BR186">
        <f t="shared" ca="1" si="165"/>
        <v>4.6645871986080098E-2</v>
      </c>
      <c r="BS186">
        <f t="shared" ca="1" si="166"/>
        <v>-0.9989114888851055</v>
      </c>
      <c r="BT186">
        <f t="shared" ca="1" si="167"/>
        <v>-1.5241335225861818</v>
      </c>
      <c r="BU186" s="40">
        <f t="shared" ca="1" si="168"/>
        <v>-4.6657261760759745</v>
      </c>
    </row>
    <row r="187" spans="45:73" x14ac:dyDescent="0.25">
      <c r="AS187" s="6">
        <v>8.7266462599706066E-2</v>
      </c>
      <c r="AT187" s="6">
        <v>7.8343125413767902</v>
      </c>
      <c r="AU187" s="6">
        <v>116.87933448544246</v>
      </c>
      <c r="AV187" s="6">
        <f t="shared" si="145"/>
        <v>1.503867376630786</v>
      </c>
      <c r="AW187" s="6">
        <f t="shared" si="146"/>
        <v>1.4166009140310798</v>
      </c>
      <c r="AX187" s="6">
        <f t="shared" si="147"/>
        <v>1.6377252768590072</v>
      </c>
      <c r="AY187" s="6">
        <f t="shared" si="148"/>
        <v>1.6377252768590072</v>
      </c>
      <c r="BF187" s="40"/>
      <c r="BG187" s="6">
        <f t="shared" si="154"/>
        <v>-0.13962634015955674</v>
      </c>
      <c r="BH187" s="9">
        <f t="shared" ca="1" si="155"/>
        <v>86.628963080343226</v>
      </c>
      <c r="BI187" s="9">
        <f t="shared" ca="1" si="156"/>
        <v>-83.500516651717959</v>
      </c>
      <c r="BJ187">
        <f t="shared" ca="1" si="157"/>
        <v>120.32004623286718</v>
      </c>
      <c r="BK187" s="6">
        <f t="shared" ca="1" si="158"/>
        <v>0.71998778086140114</v>
      </c>
      <c r="BL187" s="6">
        <f t="shared" ca="1" si="159"/>
        <v>-0.69398674008245664</v>
      </c>
      <c r="BM187" s="6">
        <f t="shared" ca="1" si="160"/>
        <v>-0.76701161518704786</v>
      </c>
      <c r="BN187" s="6">
        <f t="shared" ca="1" si="161"/>
        <v>-2.6864262351834052</v>
      </c>
      <c r="BO187" s="9">
        <f t="shared" ca="1" si="162"/>
        <v>7.0467663841838117</v>
      </c>
      <c r="BP187" s="9">
        <f t="shared" ca="1" si="163"/>
        <v>-139.67618490944815</v>
      </c>
      <c r="BQ187">
        <f t="shared" ca="1" si="164"/>
        <v>139.85382921940899</v>
      </c>
      <c r="BR187">
        <f t="shared" ca="1" si="165"/>
        <v>5.0386653147183602E-2</v>
      </c>
      <c r="BS187">
        <f t="shared" ca="1" si="166"/>
        <v>-0.99872978587034511</v>
      </c>
      <c r="BT187">
        <f t="shared" ca="1" si="167"/>
        <v>-1.5203883288560791</v>
      </c>
      <c r="BU187" s="40">
        <f t="shared" ca="1" si="168"/>
        <v>-4.661980982345872</v>
      </c>
    </row>
    <row r="188" spans="45:73" x14ac:dyDescent="0.25">
      <c r="AS188" s="6">
        <v>0.10471975511964936</v>
      </c>
      <c r="AT188" s="6">
        <v>7.4920722657674226</v>
      </c>
      <c r="AU188" s="6">
        <v>126.39223751830534</v>
      </c>
      <c r="AV188" s="6">
        <f t="shared" si="145"/>
        <v>1.5115892430948212</v>
      </c>
      <c r="AW188" s="6">
        <f t="shared" si="146"/>
        <v>1.406869487975172</v>
      </c>
      <c r="AX188" s="6">
        <f t="shared" si="147"/>
        <v>1.6300034103949719</v>
      </c>
      <c r="AY188" s="6">
        <f t="shared" si="148"/>
        <v>1.6300034103949719</v>
      </c>
      <c r="BF188" s="40"/>
      <c r="BG188" s="6">
        <f t="shared" si="154"/>
        <v>-0.12217304763961345</v>
      </c>
      <c r="BH188" s="9">
        <f t="shared" ca="1" si="155"/>
        <v>86.813131792541753</v>
      </c>
      <c r="BI188" s="9">
        <f t="shared" ca="1" si="156"/>
        <v>-78.625373877615118</v>
      </c>
      <c r="BJ188">
        <f t="shared" ca="1" si="157"/>
        <v>117.1258693415933</v>
      </c>
      <c r="BK188" s="6">
        <f t="shared" ca="1" si="158"/>
        <v>0.74119519693257896</v>
      </c>
      <c r="BL188" s="6">
        <f t="shared" ca="1" si="159"/>
        <v>-0.6712895649748144</v>
      </c>
      <c r="BM188" s="6">
        <f t="shared" ca="1" si="160"/>
        <v>-0.73594726499455887</v>
      </c>
      <c r="BN188" s="6">
        <f t="shared" ca="1" si="161"/>
        <v>-2.6553618849909162</v>
      </c>
      <c r="BO188" s="9">
        <f t="shared" ca="1" si="162"/>
        <v>7.2309350963823391</v>
      </c>
      <c r="BP188" s="9">
        <f t="shared" ca="1" si="163"/>
        <v>-134.80104213534531</v>
      </c>
      <c r="BQ188">
        <f t="shared" ca="1" si="164"/>
        <v>134.99484206125521</v>
      </c>
      <c r="BR188">
        <f t="shared" ca="1" si="165"/>
        <v>5.3564528732892122E-2</v>
      </c>
      <c r="BS188">
        <f t="shared" ca="1" si="166"/>
        <v>-0.99856439014298071</v>
      </c>
      <c r="BT188">
        <f t="shared" ca="1" si="167"/>
        <v>-1.5172061507451053</v>
      </c>
      <c r="BU188" s="40">
        <f t="shared" ca="1" si="168"/>
        <v>-4.6587988042348982</v>
      </c>
    </row>
    <row r="189" spans="45:73" x14ac:dyDescent="0.25">
      <c r="AS189" s="6">
        <v>0.12217304763959265</v>
      </c>
      <c r="AT189" s="6">
        <v>7.2309350942380499</v>
      </c>
      <c r="AU189" s="6">
        <v>134.80104212557592</v>
      </c>
      <c r="AV189" s="6">
        <f t="shared" si="145"/>
        <v>1.5172061507570904</v>
      </c>
      <c r="AW189" s="6">
        <f t="shared" si="146"/>
        <v>1.3950331031174978</v>
      </c>
      <c r="AX189" s="6">
        <f t="shared" si="147"/>
        <v>1.6243865027327027</v>
      </c>
      <c r="AY189" s="6">
        <f t="shared" si="148"/>
        <v>1.6243865027327027</v>
      </c>
      <c r="BF189" s="40"/>
      <c r="BG189" s="6">
        <f t="shared" si="154"/>
        <v>-0.10471975511967016</v>
      </c>
      <c r="BH189" s="9">
        <f t="shared" ca="1" si="155"/>
        <v>87.074268969124049</v>
      </c>
      <c r="BI189" s="9">
        <f t="shared" ca="1" si="156"/>
        <v>-70.216569262807653</v>
      </c>
      <c r="BJ189">
        <f t="shared" ca="1" si="157"/>
        <v>111.85836989490784</v>
      </c>
      <c r="BK189" s="6">
        <f t="shared" ca="1" si="158"/>
        <v>0.77843320129670468</v>
      </c>
      <c r="BL189" s="6">
        <f t="shared" ca="1" si="159"/>
        <v>-0.62772744970963623</v>
      </c>
      <c r="BM189" s="6">
        <f t="shared" ca="1" si="160"/>
        <v>-0.67863037263736692</v>
      </c>
      <c r="BN189" s="6">
        <f t="shared" ca="1" si="161"/>
        <v>-2.5980449926337239</v>
      </c>
      <c r="BO189" s="9">
        <f t="shared" ca="1" si="162"/>
        <v>7.4920722729646343</v>
      </c>
      <c r="BP189" s="9">
        <f t="shared" ca="1" si="163"/>
        <v>-126.39223752053785</v>
      </c>
      <c r="BQ189">
        <f t="shared" ca="1" si="164"/>
        <v>126.61409420910209</v>
      </c>
      <c r="BR189">
        <f t="shared" ca="1" si="165"/>
        <v>5.9172498289104696E-2</v>
      </c>
      <c r="BS189">
        <f t="shared" ca="1" si="166"/>
        <v>-0.99824777257263442</v>
      </c>
      <c r="BT189">
        <f t="shared" ca="1" si="167"/>
        <v>-1.5115892430391205</v>
      </c>
      <c r="BU189" s="40">
        <f t="shared" ca="1" si="168"/>
        <v>-4.6531818965289133</v>
      </c>
    </row>
    <row r="190" spans="45:73" x14ac:dyDescent="0.25">
      <c r="AS190" s="6">
        <v>0.13962634015953596</v>
      </c>
      <c r="AT190" s="6">
        <v>7.0467663855604652</v>
      </c>
      <c r="AU190" s="6">
        <v>139.67618490853403</v>
      </c>
      <c r="AV190" s="6">
        <f t="shared" si="145"/>
        <v>1.5203883288459188</v>
      </c>
      <c r="AW190" s="6">
        <f t="shared" si="146"/>
        <v>1.3807619886863829</v>
      </c>
      <c r="AX190" s="6">
        <f t="shared" si="147"/>
        <v>1.6212043246438743</v>
      </c>
      <c r="AY190" s="6">
        <f t="shared" si="148"/>
        <v>1.6212043246438743</v>
      </c>
      <c r="BF190" s="40"/>
      <c r="BG190" s="6">
        <f t="shared" si="154"/>
        <v>-8.7266462599726868E-2</v>
      </c>
      <c r="BH190" s="9">
        <f t="shared" ca="1" si="155"/>
        <v>87.416509240860265</v>
      </c>
      <c r="BI190" s="9">
        <f t="shared" ca="1" si="156"/>
        <v>-60.703666243773114</v>
      </c>
      <c r="BJ190">
        <f t="shared" ca="1" si="157"/>
        <v>106.42641205684239</v>
      </c>
      <c r="BK190" s="6">
        <f t="shared" ca="1" si="158"/>
        <v>0.82137983937832149</v>
      </c>
      <c r="BL190" s="6">
        <f t="shared" ca="1" si="159"/>
        <v>-0.57038159109743602</v>
      </c>
      <c r="BM190" s="6">
        <f t="shared" ca="1" si="160"/>
        <v>-0.60697035356143447</v>
      </c>
      <c r="BN190" s="6">
        <f t="shared" ca="1" si="161"/>
        <v>-2.5263849735577915</v>
      </c>
      <c r="BO190" s="9">
        <f t="shared" ca="1" si="162"/>
        <v>7.8343125447008504</v>
      </c>
      <c r="BP190" s="9">
        <f t="shared" ca="1" si="163"/>
        <v>-116.87933450150331</v>
      </c>
      <c r="BQ190">
        <f t="shared" ca="1" si="164"/>
        <v>117.14160356834098</v>
      </c>
      <c r="BR190">
        <f t="shared" ca="1" si="165"/>
        <v>6.6878993509170079E-2</v>
      </c>
      <c r="BS190">
        <f t="shared" ca="1" si="166"/>
        <v>-0.99776109376303124</v>
      </c>
      <c r="BT190">
        <f t="shared" ca="1" si="167"/>
        <v>-1.5038673766116426</v>
      </c>
      <c r="BU190" s="40">
        <f t="shared" ca="1" si="168"/>
        <v>-4.6454600301014359</v>
      </c>
    </row>
    <row r="191" spans="45:73" x14ac:dyDescent="0.25">
      <c r="AS191" s="6">
        <v>0.15707963267947925</v>
      </c>
      <c r="AT191" s="6">
        <v>6.8495339049202437</v>
      </c>
      <c r="AU191" s="6">
        <v>146.68132074897323</v>
      </c>
      <c r="AV191" s="6">
        <f t="shared" si="145"/>
        <v>1.52413352258123</v>
      </c>
      <c r="AW191" s="6">
        <f t="shared" si="146"/>
        <v>1.3670538899017508</v>
      </c>
      <c r="AX191" s="6">
        <f t="shared" si="147"/>
        <v>1.6174591309085631</v>
      </c>
      <c r="AY191" s="6">
        <f t="shared" si="148"/>
        <v>1.6174591309085631</v>
      </c>
      <c r="BF191" s="40"/>
      <c r="BG191" s="6">
        <f t="shared" si="154"/>
        <v>-6.9813170079783576E-2</v>
      </c>
      <c r="BH191" s="9">
        <f t="shared" ca="1" si="155"/>
        <v>87.908762255833224</v>
      </c>
      <c r="BI191" s="9">
        <f t="shared" ca="1" si="156"/>
        <v>-49.298966855604903</v>
      </c>
      <c r="BJ191">
        <f t="shared" ca="1" si="157"/>
        <v>100.78858375025735</v>
      </c>
      <c r="BK191" s="6">
        <f t="shared" ca="1" si="158"/>
        <v>0.87220952001529406</v>
      </c>
      <c r="BL191" s="6">
        <f t="shared" ca="1" si="159"/>
        <v>-0.48913244954172724</v>
      </c>
      <c r="BM191" s="6">
        <f t="shared" ca="1" si="160"/>
        <v>-0.51109481688143887</v>
      </c>
      <c r="BN191" s="6">
        <f t="shared" ca="1" si="161"/>
        <v>-2.430509436877796</v>
      </c>
      <c r="BO191" s="9">
        <f t="shared" ca="1" si="162"/>
        <v>8.32656555967381</v>
      </c>
      <c r="BP191" s="9">
        <f t="shared" ca="1" si="163"/>
        <v>-105.4746351133351</v>
      </c>
      <c r="BQ191">
        <f t="shared" ca="1" si="164"/>
        <v>105.80278987961862</v>
      </c>
      <c r="BR191">
        <f t="shared" ca="1" si="165"/>
        <v>7.8698922487277459E-2</v>
      </c>
      <c r="BS191">
        <f t="shared" ca="1" si="166"/>
        <v>-0.99689842993122502</v>
      </c>
      <c r="BT191">
        <f t="shared" ca="1" si="167"/>
        <v>-1.4920159398240569</v>
      </c>
      <c r="BU191" s="40">
        <f t="shared" ca="1" si="168"/>
        <v>-4.6336085933138502</v>
      </c>
    </row>
    <row r="192" spans="45:73" x14ac:dyDescent="0.25">
      <c r="AS192" s="6">
        <v>0.17453292519942254</v>
      </c>
      <c r="AT192" s="6">
        <v>6.6515280714886638</v>
      </c>
      <c r="AU192" s="6">
        <v>152.23916914963178</v>
      </c>
      <c r="AV192" s="6">
        <f t="shared" si="145"/>
        <v>1.5271327905615861</v>
      </c>
      <c r="AW192" s="6">
        <f t="shared" si="146"/>
        <v>1.3525998653621636</v>
      </c>
      <c r="AX192" s="6">
        <f t="shared" si="147"/>
        <v>1.614459862928207</v>
      </c>
      <c r="AY192" s="6">
        <f t="shared" si="148"/>
        <v>1.614459862928207</v>
      </c>
      <c r="BF192" s="40"/>
      <c r="BG192" s="6">
        <f t="shared" si="154"/>
        <v>-5.2359877559840284E-2</v>
      </c>
      <c r="BH192" s="9">
        <f t="shared" ca="1" si="155"/>
        <v>88.704208486454064</v>
      </c>
      <c r="BI192" s="9">
        <f t="shared" ca="1" si="156"/>
        <v>-33.978553180473469</v>
      </c>
      <c r="BJ192">
        <f t="shared" ca="1" si="157"/>
        <v>94.989360875029433</v>
      </c>
      <c r="BK192" s="6">
        <f t="shared" ca="1" si="158"/>
        <v>0.93383309108854529</v>
      </c>
      <c r="BL192" s="6">
        <f t="shared" ca="1" si="159"/>
        <v>-0.35770904096487782</v>
      </c>
      <c r="BM192" s="6">
        <f t="shared" ca="1" si="160"/>
        <v>-0.36581345181518093</v>
      </c>
      <c r="BN192" s="6">
        <f t="shared" ca="1" si="161"/>
        <v>-2.2852280718115381</v>
      </c>
      <c r="BO192" s="9">
        <f t="shared" ca="1" si="162"/>
        <v>9.1220117902946498</v>
      </c>
      <c r="BP192" s="9">
        <f t="shared" ca="1" si="163"/>
        <v>-90.154221438203663</v>
      </c>
      <c r="BQ192">
        <f t="shared" ca="1" si="164"/>
        <v>90.614539353411359</v>
      </c>
      <c r="BR192">
        <f t="shared" ca="1" si="165"/>
        <v>0.10066830174700032</v>
      </c>
      <c r="BS192">
        <f t="shared" ca="1" si="166"/>
        <v>-0.99492004353283325</v>
      </c>
      <c r="BT192">
        <f t="shared" ca="1" si="167"/>
        <v>-1.4699572143829887</v>
      </c>
      <c r="BU192" s="40">
        <f t="shared" ca="1" si="168"/>
        <v>-4.6115498678727818</v>
      </c>
    </row>
    <row r="193" spans="45:73" x14ac:dyDescent="0.25">
      <c r="AS193" s="6">
        <v>0.19198621771936583</v>
      </c>
      <c r="AT193" s="6">
        <v>6.4662701220877006</v>
      </c>
      <c r="AU193" s="6">
        <v>157.45934548462981</v>
      </c>
      <c r="AV193" s="6">
        <f t="shared" si="145"/>
        <v>1.529753105228927</v>
      </c>
      <c r="AW193" s="6">
        <f t="shared" si="146"/>
        <v>1.3377668875095612</v>
      </c>
      <c r="AX193" s="6">
        <f t="shared" si="147"/>
        <v>1.6118395482608661</v>
      </c>
      <c r="AY193" s="6">
        <f t="shared" si="148"/>
        <v>1.6118395482608661</v>
      </c>
      <c r="BF193" s="40"/>
      <c r="BG193" s="6">
        <f t="shared" si="154"/>
        <v>-3.4906585039896992E-2</v>
      </c>
      <c r="BH193" s="9">
        <f t="shared" ca="1" si="155"/>
        <v>90.060241699332366</v>
      </c>
      <c r="BI193" s="9">
        <f t="shared" ca="1" si="156"/>
        <v>-9.7542113365080354</v>
      </c>
      <c r="BJ193">
        <f t="shared" ca="1" si="157"/>
        <v>90.586929375817931</v>
      </c>
      <c r="BK193" s="6">
        <f t="shared" ca="1" si="158"/>
        <v>0.99418583144263017</v>
      </c>
      <c r="BL193" s="6">
        <f t="shared" ca="1" si="159"/>
        <v>-0.10767791119225099</v>
      </c>
      <c r="BM193" s="6">
        <f t="shared" ca="1" si="160"/>
        <v>-0.10788708358045583</v>
      </c>
      <c r="BN193" s="6">
        <f t="shared" ca="1" si="161"/>
        <v>-2.0273017035768128</v>
      </c>
      <c r="BO193" s="9">
        <f t="shared" ca="1" si="162"/>
        <v>10.478045003172952</v>
      </c>
      <c r="BP193" s="9">
        <f t="shared" ca="1" si="163"/>
        <v>-65.92987959423823</v>
      </c>
      <c r="BQ193">
        <f t="shared" ca="1" si="164"/>
        <v>66.75731008960193</v>
      </c>
      <c r="BR193">
        <f t="shared" ca="1" si="165"/>
        <v>0.15695726788735612</v>
      </c>
      <c r="BS193">
        <f t="shared" ca="1" si="166"/>
        <v>-0.9876053949110124</v>
      </c>
      <c r="BT193">
        <f t="shared" ca="1" si="167"/>
        <v>-1.4131873522504275</v>
      </c>
      <c r="BU193" s="40">
        <f t="shared" ca="1" si="168"/>
        <v>-4.5547800057402208</v>
      </c>
    </row>
    <row r="194" spans="45:73" x14ac:dyDescent="0.25">
      <c r="AS194" s="6">
        <v>0.20943951023930912</v>
      </c>
      <c r="AT194" s="6">
        <v>6.2883287331014017</v>
      </c>
      <c r="AU194" s="6">
        <v>162.40907862184162</v>
      </c>
      <c r="AV194" s="6">
        <f t="shared" si="145"/>
        <v>1.5320965866525589</v>
      </c>
      <c r="AW194" s="6">
        <f t="shared" si="146"/>
        <v>1.3226570764132497</v>
      </c>
      <c r="AX194" s="6">
        <f t="shared" si="147"/>
        <v>1.6094960668372342</v>
      </c>
      <c r="AY194" s="6">
        <f t="shared" si="148"/>
        <v>1.6094960668372342</v>
      </c>
      <c r="BF194" s="40"/>
      <c r="BG194" s="6">
        <f t="shared" si="154"/>
        <v>-1.7453292519953697E-2</v>
      </c>
      <c r="BH194" s="9">
        <f t="shared" ca="1" si="155"/>
        <v>91.181610078857375</v>
      </c>
      <c r="BI194" s="9">
        <f t="shared" ca="1" si="156"/>
        <v>19.203042376160141</v>
      </c>
      <c r="BJ194">
        <f t="shared" ca="1" si="157"/>
        <v>93.181773180560299</v>
      </c>
      <c r="BK194" s="6">
        <f t="shared" ca="1" si="158"/>
        <v>0.97853482463971608</v>
      </c>
      <c r="BL194" s="6">
        <f t="shared" ca="1" si="159"/>
        <v>0.20608152990338571</v>
      </c>
      <c r="BM194" s="6">
        <f t="shared" ca="1" si="160"/>
        <v>0.20756883326391426</v>
      </c>
      <c r="BN194" s="6">
        <f t="shared" ca="1" si="161"/>
        <v>-1.7118457867324428</v>
      </c>
      <c r="BO194" s="9">
        <f t="shared" ca="1" si="162"/>
        <v>11.599413382697961</v>
      </c>
      <c r="BP194" s="9">
        <f t="shared" ca="1" si="163"/>
        <v>-36.972625881570053</v>
      </c>
      <c r="BQ194">
        <f t="shared" ca="1" si="164"/>
        <v>38.74947038865507</v>
      </c>
      <c r="BR194">
        <f t="shared" ca="1" si="165"/>
        <v>0.29934379144686313</v>
      </c>
      <c r="BS194">
        <f t="shared" ca="1" si="166"/>
        <v>-0.95414532149050391</v>
      </c>
      <c r="BT194">
        <f t="shared" ca="1" si="167"/>
        <v>-1.2667914919189429</v>
      </c>
      <c r="BU194" s="40">
        <f t="shared" ca="1" si="168"/>
        <v>-4.4083841454087356</v>
      </c>
    </row>
    <row r="195" spans="45:73" x14ac:dyDescent="0.25">
      <c r="AS195" s="6">
        <v>0.22689280275925242</v>
      </c>
      <c r="AT195" s="6">
        <v>6.1138682438764196</v>
      </c>
      <c r="AU195" s="6">
        <v>167.13693281377249</v>
      </c>
      <c r="AV195" s="6">
        <f t="shared" ref="AV195:AV258" si="169">IF(AND(AT195=0,AU195=0),0,IF(ATAN2(AT195,AU195)&lt;0,ATAN2(AT195,AU195)+(2*PI()),ATAN2(AT195,AU195)))</f>
        <v>1.5342326340953687</v>
      </c>
      <c r="AW195" s="6">
        <f t="shared" ref="AW195:AW258" si="170">ABS(AS195-AV195)</f>
        <v>1.3073398313361162</v>
      </c>
      <c r="AX195" s="6">
        <f t="shared" ref="AX195:AX258" si="171">$U$13-AV195</f>
        <v>1.6073600193944244</v>
      </c>
      <c r="AY195" s="6">
        <f t="shared" ref="AY195:AY258" si="172">ABS(AX195)</f>
        <v>1.6073600193944244</v>
      </c>
      <c r="BF195" s="40"/>
      <c r="BG195" s="6">
        <f t="shared" si="154"/>
        <v>-1.0401401961956935E-14</v>
      </c>
      <c r="BH195" s="9">
        <f t="shared" ca="1" si="155"/>
        <v>92.181306528141249</v>
      </c>
      <c r="BI195" s="9">
        <f t="shared" ca="1" si="156"/>
        <v>56.1756682597061</v>
      </c>
      <c r="BJ195">
        <f t="shared" ca="1" si="157"/>
        <v>107.94952050685397</v>
      </c>
      <c r="BK195" s="6">
        <f t="shared" ca="1" si="158"/>
        <v>0.8539297450819936</v>
      </c>
      <c r="BL195" s="6">
        <f t="shared" ca="1" si="159"/>
        <v>0.52038830738613029</v>
      </c>
      <c r="BM195" s="6">
        <f t="shared" ca="1" si="160"/>
        <v>0.54730561762127927</v>
      </c>
      <c r="BN195" s="6">
        <f t="shared" ca="1" si="161"/>
        <v>-1.3721090023750779</v>
      </c>
      <c r="BO195" s="9">
        <f t="shared" ca="1" si="162"/>
        <v>12.599109831981835</v>
      </c>
      <c r="BP195" s="9">
        <f t="shared" ca="1" si="163"/>
        <v>1.975905661311117E-9</v>
      </c>
      <c r="BQ195">
        <f t="shared" ca="1" si="164"/>
        <v>12.599109831981835</v>
      </c>
      <c r="BR195">
        <f t="shared" ca="1" si="165"/>
        <v>1</v>
      </c>
      <c r="BS195">
        <f t="shared" ca="1" si="166"/>
        <v>1.5682898932235975E-10</v>
      </c>
      <c r="BT195">
        <f t="shared" ca="1" si="167"/>
        <v>1.5682898932235975E-10</v>
      </c>
      <c r="BU195" s="40">
        <f t="shared" ca="1" si="168"/>
        <v>-3.1415926533329643</v>
      </c>
    </row>
    <row r="196" spans="45:73" x14ac:dyDescent="0.25">
      <c r="AS196" s="6">
        <v>0.24434609527919571</v>
      </c>
      <c r="AT196" s="6">
        <v>5.9400880730005321</v>
      </c>
      <c r="AU196" s="6">
        <v>171.67940753755147</v>
      </c>
      <c r="AV196" s="6">
        <f t="shared" si="169"/>
        <v>1.5362102371589461</v>
      </c>
      <c r="AW196" s="6">
        <f t="shared" si="170"/>
        <v>1.2918641418797505</v>
      </c>
      <c r="AX196" s="6">
        <f t="shared" si="171"/>
        <v>1.605382416330847</v>
      </c>
      <c r="AY196" s="6">
        <f t="shared" si="172"/>
        <v>1.605382416330847</v>
      </c>
      <c r="BF196" s="40"/>
      <c r="BG196" s="6">
        <f t="shared" si="154"/>
        <v>1.7453292519932894E-2</v>
      </c>
      <c r="BH196" s="9">
        <f t="shared" ca="1" si="155"/>
        <v>91.181610077083278</v>
      </c>
      <c r="BI196" s="9">
        <f t="shared" ca="1" si="156"/>
        <v>93.148294155122755</v>
      </c>
      <c r="BJ196">
        <f t="shared" ca="1" si="157"/>
        <v>130.3483437572512</v>
      </c>
      <c r="BK196" s="6">
        <f t="shared" ca="1" si="158"/>
        <v>0.69952258271030698</v>
      </c>
      <c r="BL196" s="6">
        <f t="shared" ca="1" si="159"/>
        <v>0.71461049270095522</v>
      </c>
      <c r="BM196" s="6">
        <f t="shared" ca="1" si="160"/>
        <v>0.79606712926704826</v>
      </c>
      <c r="BN196" s="6">
        <f t="shared" ca="1" si="161"/>
        <v>-1.1233474907293088</v>
      </c>
      <c r="BO196" s="9">
        <f t="shared" ca="1" si="162"/>
        <v>11.599413380923863</v>
      </c>
      <c r="BP196" s="9">
        <f t="shared" ca="1" si="163"/>
        <v>36.972625897392561</v>
      </c>
      <c r="BQ196">
        <f t="shared" ca="1" si="164"/>
        <v>38.749470403220982</v>
      </c>
      <c r="BR196">
        <f t="shared" ca="1" si="165"/>
        <v>0.29934379128855609</v>
      </c>
      <c r="BS196">
        <f t="shared" ca="1" si="166"/>
        <v>0.9541453215401694</v>
      </c>
      <c r="BT196">
        <f t="shared" ca="1" si="167"/>
        <v>1.266791492084858</v>
      </c>
      <c r="BU196" s="40">
        <f t="shared" ca="1" si="168"/>
        <v>-1.8748011614049351</v>
      </c>
    </row>
    <row r="197" spans="45:73" x14ac:dyDescent="0.25">
      <c r="AS197" s="6">
        <v>0.26179938779913903</v>
      </c>
      <c r="AT197" s="6">
        <v>5.7648791885795676</v>
      </c>
      <c r="AU197" s="6">
        <v>176.0648560066569</v>
      </c>
      <c r="AV197" s="6">
        <f t="shared" si="169"/>
        <v>1.5380650908803788</v>
      </c>
      <c r="AW197" s="6">
        <f t="shared" si="170"/>
        <v>1.2762657030812399</v>
      </c>
      <c r="AX197" s="6">
        <f t="shared" si="171"/>
        <v>1.6035275626094143</v>
      </c>
      <c r="AY197" s="6">
        <f t="shared" si="172"/>
        <v>1.6035275626094143</v>
      </c>
      <c r="BF197" s="40"/>
      <c r="BG197" s="6">
        <f t="shared" si="154"/>
        <v>3.490658503987619E-2</v>
      </c>
      <c r="BH197" s="9">
        <f t="shared" ca="1" si="155"/>
        <v>90.060241702472126</v>
      </c>
      <c r="BI197" s="9">
        <f t="shared" ca="1" si="156"/>
        <v>122.10554785160753</v>
      </c>
      <c r="BJ197">
        <f t="shared" ca="1" si="157"/>
        <v>151.72544925505713</v>
      </c>
      <c r="BK197" s="6">
        <f t="shared" ca="1" si="158"/>
        <v>0.5935737356168701</v>
      </c>
      <c r="BL197" s="6">
        <f t="shared" ca="1" si="159"/>
        <v>0.80477960982236241</v>
      </c>
      <c r="BM197" s="6">
        <f t="shared" ca="1" si="160"/>
        <v>0.93530408101852314</v>
      </c>
      <c r="BN197" s="6">
        <f t="shared" ca="1" si="161"/>
        <v>-0.98411053897783396</v>
      </c>
      <c r="BO197" s="9">
        <f t="shared" ca="1" si="162"/>
        <v>10.478045006312712</v>
      </c>
      <c r="BP197" s="9">
        <f t="shared" ca="1" si="163"/>
        <v>65.929879593877331</v>
      </c>
      <c r="BQ197">
        <f t="shared" ca="1" si="164"/>
        <v>66.757310089738311</v>
      </c>
      <c r="BR197">
        <f t="shared" ca="1" si="165"/>
        <v>0.15695726793406792</v>
      </c>
      <c r="BS197">
        <f t="shared" ca="1" si="166"/>
        <v>0.98760539490358867</v>
      </c>
      <c r="BT197">
        <f t="shared" ca="1" si="167"/>
        <v>1.4131873522031293</v>
      </c>
      <c r="BU197" s="40">
        <f t="shared" ca="1" si="168"/>
        <v>-1.7284053012866638</v>
      </c>
    </row>
    <row r="198" spans="45:73" x14ac:dyDescent="0.25">
      <c r="AS198" s="6">
        <v>0.27925268031908235</v>
      </c>
      <c r="AT198" s="6">
        <v>5.5866053152437027</v>
      </c>
      <c r="AU198" s="6">
        <v>180.3159249594936</v>
      </c>
      <c r="AV198" s="6">
        <f t="shared" si="169"/>
        <v>1.5398239165081449</v>
      </c>
      <c r="AW198" s="6">
        <f t="shared" si="170"/>
        <v>1.2605712361890626</v>
      </c>
      <c r="AX198" s="6">
        <f t="shared" si="171"/>
        <v>1.6017687369816482</v>
      </c>
      <c r="AY198" s="6">
        <f t="shared" si="172"/>
        <v>1.6017687369816482</v>
      </c>
      <c r="BF198" s="40"/>
      <c r="BG198" s="6">
        <f t="shared" si="154"/>
        <v>5.2359877559819482E-2</v>
      </c>
      <c r="BH198" s="9">
        <f t="shared" ca="1" si="155"/>
        <v>88.704208475719923</v>
      </c>
      <c r="BI198" s="9">
        <f t="shared" ca="1" si="156"/>
        <v>146.32988969270045</v>
      </c>
      <c r="BJ198">
        <f t="shared" ca="1" si="157"/>
        <v>171.11654864092446</v>
      </c>
      <c r="BK198" s="6">
        <f t="shared" ca="1" si="158"/>
        <v>0.51838474525254252</v>
      </c>
      <c r="BL198" s="6">
        <f t="shared" ca="1" si="159"/>
        <v>0.85514750534013517</v>
      </c>
      <c r="BM198" s="6">
        <f t="shared" ca="1" si="160"/>
        <v>1.0258353208232784</v>
      </c>
      <c r="BN198" s="6">
        <f t="shared" ca="1" si="161"/>
        <v>-0.89357929917307866</v>
      </c>
      <c r="BO198" s="9">
        <f t="shared" ca="1" si="162"/>
        <v>9.1220117795605091</v>
      </c>
      <c r="BP198" s="9">
        <f t="shared" ca="1" si="163"/>
        <v>90.154221434970253</v>
      </c>
      <c r="BQ198">
        <f t="shared" ca="1" si="164"/>
        <v>90.614539349113784</v>
      </c>
      <c r="BR198">
        <f t="shared" ca="1" si="165"/>
        <v>0.10066830163331535</v>
      </c>
      <c r="BS198">
        <f t="shared" ca="1" si="166"/>
        <v>0.99492004354433616</v>
      </c>
      <c r="BT198">
        <f t="shared" ca="1" si="167"/>
        <v>1.4699572144972541</v>
      </c>
      <c r="BU198" s="40">
        <f t="shared" ca="1" si="168"/>
        <v>-1.671635438992539</v>
      </c>
    </row>
    <row r="199" spans="45:73" x14ac:dyDescent="0.25">
      <c r="AS199" s="6">
        <v>0.29670597283902567</v>
      </c>
      <c r="AT199" s="6">
        <v>5.4039590271133005</v>
      </c>
      <c r="AU199" s="6">
        <v>184.45113739166572</v>
      </c>
      <c r="AV199" s="6">
        <f t="shared" si="169"/>
        <v>1.5415071950106938</v>
      </c>
      <c r="AW199" s="6">
        <f t="shared" si="170"/>
        <v>1.244801222171668</v>
      </c>
      <c r="AX199" s="6">
        <f t="shared" si="171"/>
        <v>1.6000854584790993</v>
      </c>
      <c r="AY199" s="6">
        <f t="shared" si="172"/>
        <v>1.6000854584790993</v>
      </c>
      <c r="BF199" s="40"/>
      <c r="BG199" s="6">
        <f t="shared" si="154"/>
        <v>6.9813170079762774E-2</v>
      </c>
      <c r="BH199" s="9">
        <f t="shared" ca="1" si="155"/>
        <v>87.90876226020643</v>
      </c>
      <c r="BI199" s="9">
        <f t="shared" ca="1" si="156"/>
        <v>161.65030336134998</v>
      </c>
      <c r="BJ199">
        <f t="shared" ca="1" si="157"/>
        <v>184.00752989738754</v>
      </c>
      <c r="BK199" s="6">
        <f t="shared" ca="1" si="158"/>
        <v>0.4777454613364413</v>
      </c>
      <c r="BL199" s="6">
        <f t="shared" ca="1" si="159"/>
        <v>0.87849830630026315</v>
      </c>
      <c r="BM199" s="6">
        <f t="shared" ca="1" si="160"/>
        <v>1.072709765732244</v>
      </c>
      <c r="BN199" s="6">
        <f t="shared" ca="1" si="161"/>
        <v>-0.84670485426411313</v>
      </c>
      <c r="BO199" s="9">
        <f t="shared" ca="1" si="162"/>
        <v>8.3265655640470158</v>
      </c>
      <c r="BP199" s="9">
        <f t="shared" ca="1" si="163"/>
        <v>105.47463510361979</v>
      </c>
      <c r="BQ199">
        <f t="shared" ca="1" si="164"/>
        <v>105.80278987027761</v>
      </c>
      <c r="BR199">
        <f t="shared" ca="1" si="165"/>
        <v>7.8698922535559115E-2</v>
      </c>
      <c r="BS199">
        <f t="shared" ca="1" si="166"/>
        <v>0.9968984299274134</v>
      </c>
      <c r="BT199">
        <f t="shared" ca="1" si="167"/>
        <v>1.492015939775625</v>
      </c>
      <c r="BU199" s="40">
        <f t="shared" ca="1" si="168"/>
        <v>-1.6495767137141681</v>
      </c>
    </row>
    <row r="200" spans="45:73" x14ac:dyDescent="0.25">
      <c r="AS200" s="6">
        <v>0.31415926535896899</v>
      </c>
      <c r="AT200" s="6">
        <v>5.1912612371005018</v>
      </c>
      <c r="AU200" s="6">
        <v>187.59688038625887</v>
      </c>
      <c r="AV200" s="6">
        <f t="shared" si="169"/>
        <v>1.5431309586796405</v>
      </c>
      <c r="AW200" s="6">
        <f t="shared" si="170"/>
        <v>1.2289716933206716</v>
      </c>
      <c r="AX200" s="6">
        <f t="shared" si="171"/>
        <v>1.5984616948101527</v>
      </c>
      <c r="AY200" s="6">
        <f t="shared" si="172"/>
        <v>1.5984616948101527</v>
      </c>
      <c r="BF200" s="40"/>
      <c r="BG200" s="6">
        <f t="shared" si="154"/>
        <v>8.7266462599706066E-2</v>
      </c>
      <c r="BH200" s="9">
        <f t="shared" ca="1" si="155"/>
        <v>87.416509237536204</v>
      </c>
      <c r="BI200" s="9">
        <f t="shared" ca="1" si="156"/>
        <v>173.05500274317265</v>
      </c>
      <c r="BJ200">
        <f t="shared" ca="1" si="157"/>
        <v>193.88058196146346</v>
      </c>
      <c r="BK200" s="6">
        <f t="shared" ca="1" si="158"/>
        <v>0.4508781042080402</v>
      </c>
      <c r="BL200" s="6">
        <f t="shared" ca="1" si="159"/>
        <v>0.89258553379816963</v>
      </c>
      <c r="BM200" s="6">
        <f t="shared" ca="1" si="160"/>
        <v>1.1030474559276215</v>
      </c>
      <c r="BN200" s="6">
        <f t="shared" ca="1" si="161"/>
        <v>-0.81636716406873555</v>
      </c>
      <c r="BO200" s="9">
        <f t="shared" ca="1" si="162"/>
        <v>7.8343125413767893</v>
      </c>
      <c r="BP200" s="9">
        <f t="shared" ca="1" si="163"/>
        <v>116.87933448544246</v>
      </c>
      <c r="BQ200">
        <f t="shared" ca="1" si="164"/>
        <v>117.14160355209378</v>
      </c>
      <c r="BR200">
        <f t="shared" ca="1" si="165"/>
        <v>6.6878993490069566E-2</v>
      </c>
      <c r="BS200">
        <f t="shared" ca="1" si="166"/>
        <v>0.99776109376431155</v>
      </c>
      <c r="BT200">
        <f t="shared" ca="1" si="167"/>
        <v>1.503867376630786</v>
      </c>
      <c r="BU200" s="40">
        <f t="shared" ca="1" si="168"/>
        <v>-1.6377252768590072</v>
      </c>
    </row>
    <row r="201" spans="45:73" x14ac:dyDescent="0.25">
      <c r="AS201" s="6">
        <v>0.33161255787891231</v>
      </c>
      <c r="AT201" s="6">
        <v>4.9299114342483197</v>
      </c>
      <c r="AU201" s="6">
        <v>188.92714309152069</v>
      </c>
      <c r="AV201" s="6">
        <f t="shared" si="169"/>
        <v>1.5447080005279021</v>
      </c>
      <c r="AW201" s="6">
        <f t="shared" si="170"/>
        <v>1.2130954426489899</v>
      </c>
      <c r="AX201" s="6">
        <f t="shared" si="171"/>
        <v>1.596884652961891</v>
      </c>
      <c r="AY201" s="6">
        <f t="shared" si="172"/>
        <v>1.596884652961891</v>
      </c>
      <c r="BF201" s="40"/>
      <c r="BG201" s="6">
        <f t="shared" si="154"/>
        <v>0.10471975511964936</v>
      </c>
      <c r="BH201" s="9">
        <f t="shared" ca="1" si="155"/>
        <v>87.074268961926833</v>
      </c>
      <c r="BI201" s="9">
        <f t="shared" ca="1" si="156"/>
        <v>182.56790577603553</v>
      </c>
      <c r="BJ201">
        <f t="shared" ca="1" si="157"/>
        <v>202.26954425889568</v>
      </c>
      <c r="BK201" s="6">
        <f t="shared" ca="1" si="158"/>
        <v>0.43048630618594658</v>
      </c>
      <c r="BL201" s="6">
        <f t="shared" ca="1" si="159"/>
        <v>0.90259710845225938</v>
      </c>
      <c r="BM201" s="6">
        <f t="shared" ca="1" si="160"/>
        <v>1.1257648335945603</v>
      </c>
      <c r="BN201" s="6">
        <f t="shared" ca="1" si="161"/>
        <v>-0.79364978640179684</v>
      </c>
      <c r="BO201" s="9">
        <f t="shared" ca="1" si="162"/>
        <v>7.492072265767419</v>
      </c>
      <c r="BP201" s="9">
        <f t="shared" ca="1" si="163"/>
        <v>126.39223751830534</v>
      </c>
      <c r="BQ201">
        <f t="shared" ca="1" si="164"/>
        <v>126.61409420644762</v>
      </c>
      <c r="BR201">
        <f t="shared" ca="1" si="165"/>
        <v>5.9172498233501541E-2</v>
      </c>
      <c r="BS201">
        <f t="shared" ca="1" si="166"/>
        <v>0.99824777257593034</v>
      </c>
      <c r="BT201">
        <f t="shared" ca="1" si="167"/>
        <v>1.5115892430948212</v>
      </c>
      <c r="BU201" s="40">
        <f t="shared" ca="1" si="168"/>
        <v>-1.6300034103949719</v>
      </c>
    </row>
    <row r="202" spans="45:73" x14ac:dyDescent="0.25">
      <c r="AS202" s="6">
        <v>0.34906585039885563</v>
      </c>
      <c r="AT202" s="6">
        <v>4.6699803997814797</v>
      </c>
      <c r="AU202" s="6">
        <v>190.20350373319025</v>
      </c>
      <c r="AV202" s="6">
        <f t="shared" si="169"/>
        <v>1.5462487120044253</v>
      </c>
      <c r="AW202" s="6">
        <f t="shared" si="170"/>
        <v>1.1971828616055697</v>
      </c>
      <c r="AX202" s="6">
        <f t="shared" si="171"/>
        <v>1.5953439414853678</v>
      </c>
      <c r="AY202" s="6">
        <f t="shared" si="172"/>
        <v>1.5953439414853678</v>
      </c>
      <c r="BF202" s="40"/>
      <c r="BG202" s="6">
        <f t="shared" si="154"/>
        <v>0.12217304763959265</v>
      </c>
      <c r="BH202" s="9">
        <f t="shared" ca="1" si="155"/>
        <v>86.813131790397463</v>
      </c>
      <c r="BI202" s="9">
        <f t="shared" ca="1" si="156"/>
        <v>190.97671038330611</v>
      </c>
      <c r="BJ202">
        <f t="shared" ca="1" si="157"/>
        <v>209.78232470846083</v>
      </c>
      <c r="BK202" s="6">
        <f t="shared" ca="1" si="158"/>
        <v>0.41382481537013954</v>
      </c>
      <c r="BL202" s="6">
        <f t="shared" ca="1" si="159"/>
        <v>0.91035653575062003</v>
      </c>
      <c r="BM202" s="6">
        <f t="shared" ca="1" si="160"/>
        <v>1.1441448090703241</v>
      </c>
      <c r="BN202" s="6">
        <f t="shared" ca="1" si="161"/>
        <v>-0.77526981092603298</v>
      </c>
      <c r="BO202" s="9">
        <f t="shared" ca="1" si="162"/>
        <v>7.230935094238049</v>
      </c>
      <c r="BP202" s="9">
        <f t="shared" ca="1" si="163"/>
        <v>134.80104212557592</v>
      </c>
      <c r="BQ202">
        <f t="shared" ca="1" si="164"/>
        <v>134.99484205138495</v>
      </c>
      <c r="BR202">
        <f t="shared" ca="1" si="165"/>
        <v>5.3564528720924307E-2</v>
      </c>
      <c r="BS202">
        <f t="shared" ca="1" si="166"/>
        <v>0.99856439014362297</v>
      </c>
      <c r="BT202">
        <f t="shared" ca="1" si="167"/>
        <v>1.5172061507570904</v>
      </c>
      <c r="BU202" s="40">
        <f t="shared" ca="1" si="168"/>
        <v>-1.6243865027327027</v>
      </c>
    </row>
    <row r="203" spans="45:73" x14ac:dyDescent="0.25">
      <c r="AS203" s="6">
        <v>0.36651914291879895</v>
      </c>
      <c r="AT203" s="6">
        <v>4.4103890434446411</v>
      </c>
      <c r="AU203" s="6">
        <v>191.43373720339767</v>
      </c>
      <c r="AV203" s="6">
        <f t="shared" si="169"/>
        <v>1.5477616776430758</v>
      </c>
      <c r="AW203" s="6">
        <f t="shared" si="170"/>
        <v>1.181242534724277</v>
      </c>
      <c r="AX203" s="6">
        <f t="shared" si="171"/>
        <v>1.5938309758467173</v>
      </c>
      <c r="AY203" s="6">
        <f t="shared" si="172"/>
        <v>1.5938309758467173</v>
      </c>
      <c r="BF203" s="40"/>
      <c r="BG203" s="6">
        <f t="shared" si="154"/>
        <v>0.13962634015953596</v>
      </c>
      <c r="BH203" s="9">
        <f t="shared" ca="1" si="155"/>
        <v>86.628963081719874</v>
      </c>
      <c r="BI203" s="9">
        <f t="shared" ca="1" si="156"/>
        <v>195.85185316626422</v>
      </c>
      <c r="BJ203">
        <f t="shared" ca="1" si="157"/>
        <v>214.15537731580289</v>
      </c>
      <c r="BK203" s="6">
        <f t="shared" ca="1" si="158"/>
        <v>0.40451453597624593</v>
      </c>
      <c r="BL203" s="6">
        <f t="shared" ca="1" si="159"/>
        <v>0.91453156871915708</v>
      </c>
      <c r="BM203" s="6">
        <f t="shared" ca="1" si="160"/>
        <v>1.1543483920671198</v>
      </c>
      <c r="BN203" s="6">
        <f t="shared" ca="1" si="161"/>
        <v>-0.76506622792923729</v>
      </c>
      <c r="BO203" s="9">
        <f t="shared" ca="1" si="162"/>
        <v>7.0467663855604599</v>
      </c>
      <c r="BP203" s="9">
        <f t="shared" ca="1" si="163"/>
        <v>139.67618490853403</v>
      </c>
      <c r="BQ203">
        <f t="shared" ca="1" si="164"/>
        <v>139.85382921856538</v>
      </c>
      <c r="BR203">
        <f t="shared" ca="1" si="165"/>
        <v>5.0386653157331013E-2</v>
      </c>
      <c r="BS203">
        <f t="shared" ca="1" si="166"/>
        <v>0.99872978586983319</v>
      </c>
      <c r="BT203">
        <f t="shared" ca="1" si="167"/>
        <v>1.5203883288459188</v>
      </c>
      <c r="BU203" s="40">
        <f t="shared" ca="1" si="168"/>
        <v>-1.6212043246438743</v>
      </c>
    </row>
    <row r="204" spans="45:73" x14ac:dyDescent="0.25">
      <c r="AS204" s="6">
        <v>0.38397243543874227</v>
      </c>
      <c r="AT204" s="6">
        <v>4.1501975234221931</v>
      </c>
      <c r="AU204" s="6">
        <v>192.62430229796684</v>
      </c>
      <c r="AV204" s="6">
        <f t="shared" si="169"/>
        <v>1.5492541046365949</v>
      </c>
      <c r="AW204" s="6">
        <f t="shared" si="170"/>
        <v>1.1652816691978525</v>
      </c>
      <c r="AX204" s="6">
        <f t="shared" si="171"/>
        <v>1.5923385488531983</v>
      </c>
      <c r="AY204" s="6">
        <f t="shared" si="172"/>
        <v>1.5923385488531983</v>
      </c>
      <c r="BF204" s="40"/>
      <c r="BG204" s="6">
        <f t="shared" si="154"/>
        <v>0.15707963267947925</v>
      </c>
      <c r="BH204" s="9">
        <f t="shared" ca="1" si="155"/>
        <v>86.431730601079664</v>
      </c>
      <c r="BI204" s="9">
        <f t="shared" ca="1" si="156"/>
        <v>202.85698900670343</v>
      </c>
      <c r="BJ204">
        <f t="shared" ca="1" si="157"/>
        <v>220.50261232820668</v>
      </c>
      <c r="BK204" s="6">
        <f t="shared" ca="1" si="158"/>
        <v>0.39197599379199427</v>
      </c>
      <c r="BL204" s="6">
        <f t="shared" ca="1" si="159"/>
        <v>0.91997544548252941</v>
      </c>
      <c r="BM204" s="6">
        <f t="shared" ca="1" si="160"/>
        <v>1.1680178376970538</v>
      </c>
      <c r="BN204" s="6">
        <f t="shared" ca="1" si="161"/>
        <v>-0.75139678229930329</v>
      </c>
      <c r="BO204" s="9">
        <f t="shared" ca="1" si="162"/>
        <v>6.8495339049202499</v>
      </c>
      <c r="BP204" s="9">
        <f t="shared" ca="1" si="163"/>
        <v>146.68132074897323</v>
      </c>
      <c r="BQ204">
        <f t="shared" ca="1" si="164"/>
        <v>146.84115898268379</v>
      </c>
      <c r="BR204">
        <f t="shared" ca="1" si="165"/>
        <v>4.6645871991026572E-2</v>
      </c>
      <c r="BS204">
        <f t="shared" ca="1" si="166"/>
        <v>0.99891148888487447</v>
      </c>
      <c r="BT204">
        <f t="shared" ca="1" si="167"/>
        <v>1.52413352258123</v>
      </c>
      <c r="BU204" s="40">
        <f t="shared" ca="1" si="168"/>
        <v>-1.6174591309085631</v>
      </c>
    </row>
    <row r="205" spans="45:73" x14ac:dyDescent="0.25">
      <c r="AS205" s="6">
        <v>0.40142572795868559</v>
      </c>
      <c r="AT205" s="6">
        <v>3.8885725595497949</v>
      </c>
      <c r="AU205" s="6">
        <v>193.7806333123454</v>
      </c>
      <c r="AV205" s="6">
        <f t="shared" si="169"/>
        <v>1.5507321404544248</v>
      </c>
      <c r="AW205" s="6">
        <f t="shared" si="170"/>
        <v>1.1493064124957391</v>
      </c>
      <c r="AX205" s="6">
        <f t="shared" si="171"/>
        <v>1.5908605130353684</v>
      </c>
      <c r="AY205" s="6">
        <f t="shared" si="172"/>
        <v>1.5908605130353684</v>
      </c>
      <c r="BF205" s="40"/>
      <c r="BG205" s="6">
        <f t="shared" si="154"/>
        <v>0.17453292519942254</v>
      </c>
      <c r="BH205" s="9">
        <f t="shared" ca="1" si="155"/>
        <v>86.233724767648084</v>
      </c>
      <c r="BI205" s="9">
        <f t="shared" ca="1" si="156"/>
        <v>208.41483740736197</v>
      </c>
      <c r="BJ205">
        <f t="shared" ca="1" si="157"/>
        <v>225.55043723930044</v>
      </c>
      <c r="BK205" s="6">
        <f t="shared" ca="1" si="158"/>
        <v>0.38232568210966217</v>
      </c>
      <c r="BL205" s="6">
        <f t="shared" ca="1" si="159"/>
        <v>0.92402763638290697</v>
      </c>
      <c r="BM205" s="6">
        <f t="shared" ca="1" si="160"/>
        <v>1.1784844401425256</v>
      </c>
      <c r="BN205" s="6">
        <f t="shared" ca="1" si="161"/>
        <v>-0.74093017985383147</v>
      </c>
      <c r="BO205" s="9">
        <f t="shared" ca="1" si="162"/>
        <v>6.65152807148867</v>
      </c>
      <c r="BP205" s="9">
        <f t="shared" ca="1" si="163"/>
        <v>152.23916914963178</v>
      </c>
      <c r="BQ205">
        <f t="shared" ca="1" si="164"/>
        <v>152.384406843535</v>
      </c>
      <c r="BR205">
        <f t="shared" ca="1" si="165"/>
        <v>4.3649663435172306E-2</v>
      </c>
      <c r="BS205">
        <f t="shared" ca="1" si="166"/>
        <v>0.99904689924046919</v>
      </c>
      <c r="BT205">
        <f t="shared" ca="1" si="167"/>
        <v>1.5271327905615861</v>
      </c>
      <c r="BU205" s="40">
        <f t="shared" ca="1" si="168"/>
        <v>-1.614459862928207</v>
      </c>
    </row>
    <row r="206" spans="45:73" x14ac:dyDescent="0.25">
      <c r="AS206" s="6">
        <v>0.41887902047862891</v>
      </c>
      <c r="AT206" s="6">
        <v>3.6247623622312628</v>
      </c>
      <c r="AU206" s="6">
        <v>194.90735802898826</v>
      </c>
      <c r="AV206" s="6">
        <f t="shared" si="169"/>
        <v>1.5522011100897755</v>
      </c>
      <c r="AW206" s="6">
        <f t="shared" si="170"/>
        <v>1.1333220896111467</v>
      </c>
      <c r="AX206" s="6">
        <f t="shared" si="171"/>
        <v>1.5893915434000176</v>
      </c>
      <c r="AY206" s="6">
        <f t="shared" si="172"/>
        <v>1.5893915434000176</v>
      </c>
      <c r="BF206" s="40"/>
      <c r="BG206" s="6">
        <f t="shared" si="154"/>
        <v>0.19198621771936583</v>
      </c>
      <c r="BH206" s="9">
        <f t="shared" ca="1" si="155"/>
        <v>86.048466818247121</v>
      </c>
      <c r="BI206" s="9">
        <f t="shared" ca="1" si="156"/>
        <v>213.63501374236</v>
      </c>
      <c r="BJ206">
        <f t="shared" ca="1" si="157"/>
        <v>230.31339027175412</v>
      </c>
      <c r="BK206" s="6">
        <f t="shared" ca="1" si="158"/>
        <v>0.37361469394686864</v>
      </c>
      <c r="BL206" s="6">
        <f t="shared" ca="1" si="159"/>
        <v>0.92758399105794598</v>
      </c>
      <c r="BM206" s="6">
        <f t="shared" ca="1" si="160"/>
        <v>1.1878934585009751</v>
      </c>
      <c r="BN206" s="6">
        <f t="shared" ca="1" si="161"/>
        <v>-0.73152116149538204</v>
      </c>
      <c r="BO206" s="9">
        <f t="shared" ca="1" si="162"/>
        <v>6.4662701220877068</v>
      </c>
      <c r="BP206" s="9">
        <f t="shared" ca="1" si="163"/>
        <v>157.45934548462981</v>
      </c>
      <c r="BQ206">
        <f t="shared" ca="1" si="164"/>
        <v>157.59206239446141</v>
      </c>
      <c r="BR206">
        <f t="shared" ca="1" si="165"/>
        <v>4.1031699337129586E-2</v>
      </c>
      <c r="BS206">
        <f t="shared" ca="1" si="166"/>
        <v>0.99915784521241047</v>
      </c>
      <c r="BT206">
        <f t="shared" ca="1" si="167"/>
        <v>1.529753105228927</v>
      </c>
      <c r="BU206" s="40">
        <f t="shared" ca="1" si="168"/>
        <v>-1.6118395482608661</v>
      </c>
    </row>
    <row r="207" spans="45:73" x14ac:dyDescent="0.25">
      <c r="AS207" s="6">
        <v>0.43633231299857222</v>
      </c>
      <c r="AT207" s="6">
        <v>3.358076706958224</v>
      </c>
      <c r="AU207" s="6">
        <v>196.00846226061051</v>
      </c>
      <c r="AV207" s="6">
        <f t="shared" si="169"/>
        <v>1.553665697961407</v>
      </c>
      <c r="AW207" s="6">
        <f t="shared" si="170"/>
        <v>1.1173333849628349</v>
      </c>
      <c r="AX207" s="6">
        <f t="shared" si="171"/>
        <v>1.5879269555283861</v>
      </c>
      <c r="AY207" s="6">
        <f t="shared" si="172"/>
        <v>1.5879269555283861</v>
      </c>
      <c r="BF207" s="40"/>
      <c r="BG207" s="6">
        <f t="shared" si="154"/>
        <v>0.20943951023930912</v>
      </c>
      <c r="BH207" s="9">
        <f t="shared" ca="1" si="155"/>
        <v>85.870525429260823</v>
      </c>
      <c r="BI207" s="9">
        <f t="shared" ca="1" si="156"/>
        <v>218.58474687957181</v>
      </c>
      <c r="BJ207">
        <f t="shared" ca="1" si="157"/>
        <v>234.846840953639</v>
      </c>
      <c r="BK207" s="6">
        <f t="shared" ca="1" si="158"/>
        <v>0.36564479675590988</v>
      </c>
      <c r="BL207" s="6">
        <f t="shared" ca="1" si="159"/>
        <v>0.93075446955968433</v>
      </c>
      <c r="BM207" s="6">
        <f t="shared" ca="1" si="160"/>
        <v>1.196470850075861</v>
      </c>
      <c r="BN207" s="6">
        <f t="shared" ca="1" si="161"/>
        <v>-0.72294376992049614</v>
      </c>
      <c r="BO207" s="9">
        <f t="shared" ca="1" si="162"/>
        <v>6.2883287331014088</v>
      </c>
      <c r="BP207" s="9">
        <f t="shared" ca="1" si="163"/>
        <v>162.40907862184162</v>
      </c>
      <c r="BQ207">
        <f t="shared" ca="1" si="164"/>
        <v>162.53077215423264</v>
      </c>
      <c r="BR207">
        <f t="shared" ca="1" si="165"/>
        <v>3.8690080959771334E-2</v>
      </c>
      <c r="BS207">
        <f t="shared" ca="1" si="166"/>
        <v>0.99925125851075425</v>
      </c>
      <c r="BT207">
        <f t="shared" ca="1" si="167"/>
        <v>1.5320965866525589</v>
      </c>
      <c r="BU207" s="40">
        <f t="shared" ca="1" si="168"/>
        <v>-1.6094960668372342</v>
      </c>
    </row>
    <row r="208" spans="45:73" x14ac:dyDescent="0.25">
      <c r="AS208" s="6">
        <v>0.45378560551851554</v>
      </c>
      <c r="AT208" s="6">
        <v>3.0878711973812756</v>
      </c>
      <c r="AU208" s="6">
        <v>197.08741657731653</v>
      </c>
      <c r="AV208" s="6">
        <f t="shared" si="169"/>
        <v>1.5551300877876049</v>
      </c>
      <c r="AW208" s="6">
        <f t="shared" si="170"/>
        <v>1.1013444822690892</v>
      </c>
      <c r="AX208" s="6">
        <f t="shared" si="171"/>
        <v>1.5864625657021882</v>
      </c>
      <c r="AY208" s="6">
        <f t="shared" si="172"/>
        <v>1.5864625657021882</v>
      </c>
      <c r="BF208" s="40"/>
      <c r="BG208" s="6">
        <f t="shared" ref="BG208:BG271" si="173">AS195</f>
        <v>0.22689280275925242</v>
      </c>
      <c r="BH208" s="9">
        <f t="shared" ref="BH208:BH271" ca="1" si="174">AT195-$BG$5</f>
        <v>85.696064940035839</v>
      </c>
      <c r="BI208" s="9">
        <f t="shared" ref="BI208:BI271" ca="1" si="175">AU195-$BH$5</f>
        <v>223.31260107150268</v>
      </c>
      <c r="BJ208">
        <f t="shared" ref="BJ208:BJ271" ca="1" si="176">SQRT(POWER(BH208,2)+POWER(BI208,2))</f>
        <v>239.19099762224945</v>
      </c>
      <c r="BK208" s="6">
        <f t="shared" ref="BK208:BK271" ca="1" si="177">BH208/BJ208</f>
        <v>0.35827462484760514</v>
      </c>
      <c r="BL208" s="6">
        <f t="shared" ref="BL208:BL271" ca="1" si="178">BI208/BJ208</f>
        <v>0.93361624514053299</v>
      </c>
      <c r="BM208" s="6">
        <f t="shared" ref="BM208:BM271" ca="1" si="179">ATAN2(BK208,BL208)</f>
        <v>1.204377146241097</v>
      </c>
      <c r="BN208" s="6">
        <f t="shared" ref="BN208:BN271" ca="1" si="180">BM208-$BJ$11</f>
        <v>-0.71503747375526006</v>
      </c>
      <c r="BO208" s="9">
        <f t="shared" ref="BO208:BO271" ca="1" si="181">BH208+$BG$5</f>
        <v>6.1138682438764249</v>
      </c>
      <c r="BP208" s="9">
        <f t="shared" ref="BP208:BP271" ca="1" si="182">BI208+$BH$5</f>
        <v>167.13693281377249</v>
      </c>
      <c r="BQ208">
        <f t="shared" ref="BQ208:BQ271" ca="1" si="183">SQRT(POWER(BO208,2)+POWER(BP208,2))</f>
        <v>167.24871806772984</v>
      </c>
      <c r="BR208">
        <f t="shared" ref="BR208:BR271" ca="1" si="184">BO208/BQ208</f>
        <v>3.6555546221888072E-2</v>
      </c>
      <c r="BS208">
        <f t="shared" ref="BS208:BS271" ca="1" si="185">BP208/BQ208</f>
        <v>0.99933162265607278</v>
      </c>
      <c r="BT208">
        <f t="shared" ref="BT208:BT271" ca="1" si="186">ATAN2(BR208,BS208)</f>
        <v>1.5342326340953687</v>
      </c>
      <c r="BU208" s="40">
        <f t="shared" ref="BU208:BU271" ca="1" si="187">BT208-$U$13</f>
        <v>-1.6073600193944244</v>
      </c>
    </row>
    <row r="209" spans="45:73" x14ac:dyDescent="0.25">
      <c r="AS209" s="6">
        <v>0.47123889803845886</v>
      </c>
      <c r="AT209" s="6">
        <v>2.8135343754088695</v>
      </c>
      <c r="AU209" s="6">
        <v>198.14727464487976</v>
      </c>
      <c r="AV209" s="6">
        <f t="shared" si="169"/>
        <v>1.5565980729082824</v>
      </c>
      <c r="AW209" s="6">
        <f t="shared" si="170"/>
        <v>1.0853591748698235</v>
      </c>
      <c r="AX209" s="6">
        <f t="shared" si="171"/>
        <v>1.5849945805815107</v>
      </c>
      <c r="AY209" s="6">
        <f t="shared" si="172"/>
        <v>1.5849945805815107</v>
      </c>
      <c r="BF209" s="40"/>
      <c r="BG209" s="6">
        <f t="shared" si="173"/>
        <v>0.24434609527919571</v>
      </c>
      <c r="BH209" s="9">
        <f t="shared" ca="1" si="174"/>
        <v>85.522284769159953</v>
      </c>
      <c r="BI209" s="9">
        <f t="shared" ca="1" si="175"/>
        <v>227.85507579528166</v>
      </c>
      <c r="BJ209">
        <f t="shared" ca="1" si="176"/>
        <v>243.37624526196234</v>
      </c>
      <c r="BK209" s="6">
        <f t="shared" ca="1" si="177"/>
        <v>0.35139947482181971</v>
      </c>
      <c r="BL209" s="6">
        <f t="shared" ca="1" si="178"/>
        <v>0.93622561869185639</v>
      </c>
      <c r="BM209" s="6">
        <f t="shared" ca="1" si="179"/>
        <v>1.2117308366002508</v>
      </c>
      <c r="BN209" s="6">
        <f t="shared" ca="1" si="180"/>
        <v>-0.70768378339610627</v>
      </c>
      <c r="BO209" s="9">
        <f t="shared" ca="1" si="181"/>
        <v>5.9400880730005383</v>
      </c>
      <c r="BP209" s="9">
        <f t="shared" ca="1" si="182"/>
        <v>171.67940753755147</v>
      </c>
      <c r="BQ209">
        <f t="shared" ca="1" si="183"/>
        <v>171.78213998771724</v>
      </c>
      <c r="BR209">
        <f t="shared" ca="1" si="184"/>
        <v>3.4579194748797899E-2</v>
      </c>
      <c r="BS209">
        <f t="shared" ca="1" si="185"/>
        <v>0.9994019608198319</v>
      </c>
      <c r="BT209">
        <f t="shared" ca="1" si="186"/>
        <v>1.5362102371589459</v>
      </c>
      <c r="BU209" s="40">
        <f t="shared" ca="1" si="187"/>
        <v>-1.6053824163308472</v>
      </c>
    </row>
    <row r="210" spans="45:73" x14ac:dyDescent="0.25">
      <c r="AS210" s="6">
        <v>0.48869219055840218</v>
      </c>
      <c r="AT210" s="6">
        <v>2.5344770178121623</v>
      </c>
      <c r="AU210" s="6">
        <v>199.19075057608018</v>
      </c>
      <c r="AV210" s="6">
        <f t="shared" si="169"/>
        <v>1.5580731443722278</v>
      </c>
      <c r="AW210" s="6">
        <f t="shared" si="170"/>
        <v>1.0693809538138255</v>
      </c>
      <c r="AX210" s="6">
        <f t="shared" si="171"/>
        <v>1.5835195091175653</v>
      </c>
      <c r="AY210" s="6">
        <f t="shared" si="172"/>
        <v>1.5835195091175653</v>
      </c>
      <c r="BF210" s="40"/>
      <c r="BG210" s="6">
        <f t="shared" si="173"/>
        <v>0.26179938779913903</v>
      </c>
      <c r="BH210" s="9">
        <f t="shared" ca="1" si="174"/>
        <v>85.347075884738985</v>
      </c>
      <c r="BI210" s="9">
        <f t="shared" ca="1" si="175"/>
        <v>232.24052426438709</v>
      </c>
      <c r="BJ210">
        <f t="shared" ca="1" si="176"/>
        <v>247.42632130125679</v>
      </c>
      <c r="BK210" s="6">
        <f t="shared" ca="1" si="177"/>
        <v>0.34493935582877483</v>
      </c>
      <c r="BL210" s="6">
        <f t="shared" ca="1" si="178"/>
        <v>0.93862497345874507</v>
      </c>
      <c r="BM210" s="6">
        <f t="shared" ca="1" si="179"/>
        <v>1.2186221520512281</v>
      </c>
      <c r="BN210" s="6">
        <f t="shared" ca="1" si="180"/>
        <v>-0.70079246794512895</v>
      </c>
      <c r="BO210" s="9">
        <f t="shared" ca="1" si="181"/>
        <v>5.7648791885795703</v>
      </c>
      <c r="BP210" s="9">
        <f t="shared" ca="1" si="182"/>
        <v>176.0648560066569</v>
      </c>
      <c r="BQ210">
        <f t="shared" ca="1" si="183"/>
        <v>176.15921024091742</v>
      </c>
      <c r="BR210">
        <f t="shared" ca="1" si="184"/>
        <v>3.2725391880989094E-2</v>
      </c>
      <c r="BS210">
        <f t="shared" ca="1" si="185"/>
        <v>0.99946438091921797</v>
      </c>
      <c r="BT210">
        <f t="shared" ca="1" si="186"/>
        <v>1.5380650908803788</v>
      </c>
      <c r="BU210" s="40">
        <f t="shared" ca="1" si="187"/>
        <v>-1.6035275626094143</v>
      </c>
    </row>
    <row r="211" spans="45:73" x14ac:dyDescent="0.25">
      <c r="AS211" s="6">
        <v>0.5061454830783455</v>
      </c>
      <c r="AT211" s="6">
        <v>2.2501231500829757</v>
      </c>
      <c r="AU211" s="6">
        <v>200.22028068289654</v>
      </c>
      <c r="AV211" s="6">
        <f t="shared" si="169"/>
        <v>1.5595585619645389</v>
      </c>
      <c r="AW211" s="6">
        <f t="shared" si="170"/>
        <v>1.0534130788861935</v>
      </c>
      <c r="AX211" s="6">
        <f t="shared" si="171"/>
        <v>1.5820340915252542</v>
      </c>
      <c r="AY211" s="6">
        <f t="shared" si="172"/>
        <v>1.5820340915252542</v>
      </c>
      <c r="BF211" s="40"/>
      <c r="BG211" s="6">
        <f t="shared" si="173"/>
        <v>0.27925268031908235</v>
      </c>
      <c r="BH211" s="9">
        <f t="shared" ca="1" si="174"/>
        <v>85.168802011403116</v>
      </c>
      <c r="BI211" s="9">
        <f t="shared" ca="1" si="175"/>
        <v>236.49159321722379</v>
      </c>
      <c r="BJ211">
        <f t="shared" ca="1" si="176"/>
        <v>251.36029618553212</v>
      </c>
      <c r="BK211" s="6">
        <f t="shared" ca="1" si="177"/>
        <v>0.33883156291532607</v>
      </c>
      <c r="BL211" s="6">
        <f t="shared" ca="1" si="178"/>
        <v>0.94084705025437443</v>
      </c>
      <c r="BM211" s="6">
        <f t="shared" ca="1" si="179"/>
        <v>1.2251216065102051</v>
      </c>
      <c r="BN211" s="6">
        <f t="shared" ca="1" si="180"/>
        <v>-0.69429301348615202</v>
      </c>
      <c r="BO211" s="9">
        <f t="shared" ca="1" si="181"/>
        <v>5.5866053152437019</v>
      </c>
      <c r="BP211" s="9">
        <f t="shared" ca="1" si="182"/>
        <v>180.3159249594936</v>
      </c>
      <c r="BQ211">
        <f t="shared" ca="1" si="183"/>
        <v>180.40244719223196</v>
      </c>
      <c r="BR211">
        <f t="shared" ca="1" si="184"/>
        <v>3.0967458602658347E-2</v>
      </c>
      <c r="BS211">
        <f t="shared" ca="1" si="185"/>
        <v>0.99952039324252528</v>
      </c>
      <c r="BT211">
        <f t="shared" ca="1" si="186"/>
        <v>1.5398239165081449</v>
      </c>
      <c r="BU211" s="40">
        <f t="shared" ca="1" si="187"/>
        <v>-1.6017687369816482</v>
      </c>
    </row>
    <row r="212" spans="45:73" x14ac:dyDescent="0.25">
      <c r="AS212" s="6">
        <v>0.52359877559828882</v>
      </c>
      <c r="AT212" s="6">
        <v>1.9599021859781658</v>
      </c>
      <c r="AU212" s="6">
        <v>201.23807300318003</v>
      </c>
      <c r="AV212" s="6">
        <f t="shared" si="169"/>
        <v>1.5610574131137502</v>
      </c>
      <c r="AW212" s="6">
        <f t="shared" si="170"/>
        <v>1.0374586375154613</v>
      </c>
      <c r="AX212" s="6">
        <f t="shared" si="171"/>
        <v>1.5805352403760429</v>
      </c>
      <c r="AY212" s="6">
        <f t="shared" si="172"/>
        <v>1.5805352403760429</v>
      </c>
      <c r="BF212" s="40"/>
      <c r="BG212" s="6">
        <f t="shared" si="173"/>
        <v>0.29670597283902567</v>
      </c>
      <c r="BH212" s="9">
        <f t="shared" ca="1" si="174"/>
        <v>84.986155723272717</v>
      </c>
      <c r="BI212" s="9">
        <f t="shared" ca="1" si="175"/>
        <v>240.62680564939592</v>
      </c>
      <c r="BJ212">
        <f t="shared" ca="1" si="176"/>
        <v>255.19386015665134</v>
      </c>
      <c r="BK212" s="6">
        <f t="shared" ca="1" si="177"/>
        <v>0.33302586383192673</v>
      </c>
      <c r="BL212" s="6">
        <f t="shared" ca="1" si="178"/>
        <v>0.94291769207020337</v>
      </c>
      <c r="BM212" s="6">
        <f t="shared" ca="1" si="179"/>
        <v>1.2312855192018712</v>
      </c>
      <c r="BN212" s="6">
        <f t="shared" ca="1" si="180"/>
        <v>-0.68812910079448586</v>
      </c>
      <c r="BO212" s="9">
        <f t="shared" ca="1" si="181"/>
        <v>5.4039590271133022</v>
      </c>
      <c r="BP212" s="9">
        <f t="shared" ca="1" si="182"/>
        <v>184.45113739166572</v>
      </c>
      <c r="BQ212">
        <f t="shared" ca="1" si="183"/>
        <v>184.53028168364634</v>
      </c>
      <c r="BR212">
        <f t="shared" ca="1" si="184"/>
        <v>2.9284944334381398E-2</v>
      </c>
      <c r="BS212">
        <f t="shared" ca="1" si="185"/>
        <v>0.99957110404179461</v>
      </c>
      <c r="BT212">
        <f t="shared" ca="1" si="186"/>
        <v>1.5415071950106938</v>
      </c>
      <c r="BU212" s="40">
        <f t="shared" ca="1" si="187"/>
        <v>-1.6000854584790993</v>
      </c>
    </row>
    <row r="213" spans="45:73" x14ac:dyDescent="0.25">
      <c r="AS213" s="6">
        <v>0.54105206811823214</v>
      </c>
      <c r="AT213" s="6">
        <v>1.6632421100603039</v>
      </c>
      <c r="AU213" s="6">
        <v>202.24614796512677</v>
      </c>
      <c r="AV213" s="6">
        <f t="shared" si="169"/>
        <v>1.562572661561509</v>
      </c>
      <c r="AW213" s="6">
        <f t="shared" si="170"/>
        <v>1.0215205934432769</v>
      </c>
      <c r="AX213" s="6">
        <f t="shared" si="171"/>
        <v>1.5790199919282841</v>
      </c>
      <c r="AY213" s="6">
        <f t="shared" si="172"/>
        <v>1.5790199919282841</v>
      </c>
      <c r="BF213" s="40"/>
      <c r="BG213" s="6">
        <f t="shared" si="173"/>
        <v>0.31415926535896899</v>
      </c>
      <c r="BH213" s="9">
        <f t="shared" ca="1" si="174"/>
        <v>84.77345793325992</v>
      </c>
      <c r="BI213" s="9">
        <f t="shared" ca="1" si="175"/>
        <v>243.77254864398907</v>
      </c>
      <c r="BJ213">
        <f t="shared" ca="1" si="176"/>
        <v>258.09222119689741</v>
      </c>
      <c r="BK213" s="6">
        <f t="shared" ca="1" si="177"/>
        <v>0.32846188676328458</v>
      </c>
      <c r="BL213" s="6">
        <f t="shared" ca="1" si="178"/>
        <v>0.94451722532937588</v>
      </c>
      <c r="BM213" s="6">
        <f t="shared" ca="1" si="179"/>
        <v>1.2361216787231422</v>
      </c>
      <c r="BN213" s="6">
        <f t="shared" ca="1" si="180"/>
        <v>-0.68329294127321494</v>
      </c>
      <c r="BO213" s="9">
        <f t="shared" ca="1" si="181"/>
        <v>5.1912612371005054</v>
      </c>
      <c r="BP213" s="9">
        <f t="shared" ca="1" si="182"/>
        <v>187.59688038625887</v>
      </c>
      <c r="BQ213">
        <f t="shared" ca="1" si="183"/>
        <v>187.66869404322111</v>
      </c>
      <c r="BR213">
        <f t="shared" ca="1" si="184"/>
        <v>2.7661839197884171E-2</v>
      </c>
      <c r="BS213">
        <f t="shared" ca="1" si="185"/>
        <v>0.9996173381110347</v>
      </c>
      <c r="BT213">
        <f t="shared" ca="1" si="186"/>
        <v>1.5431309586796405</v>
      </c>
      <c r="BU213" s="40">
        <f t="shared" ca="1" si="187"/>
        <v>-1.5984616948101527</v>
      </c>
    </row>
    <row r="214" spans="45:73" x14ac:dyDescent="0.25">
      <c r="AS214" s="6">
        <v>0.55850536063817546</v>
      </c>
      <c r="AT214" s="6">
        <v>1.3595631303832418</v>
      </c>
      <c r="AU214" s="6">
        <v>203.24637151464196</v>
      </c>
      <c r="AV214" s="6">
        <f t="shared" si="169"/>
        <v>1.5641071896530703</v>
      </c>
      <c r="AW214" s="6">
        <f t="shared" si="170"/>
        <v>1.0056018290148949</v>
      </c>
      <c r="AX214" s="6">
        <f t="shared" si="171"/>
        <v>1.5774854638367228</v>
      </c>
      <c r="AY214" s="6">
        <f t="shared" si="172"/>
        <v>1.5774854638367228</v>
      </c>
      <c r="BF214" s="40"/>
      <c r="BG214" s="6">
        <f t="shared" si="173"/>
        <v>0.33161255787891231</v>
      </c>
      <c r="BH214" s="9">
        <f t="shared" ca="1" si="174"/>
        <v>84.512108130407739</v>
      </c>
      <c r="BI214" s="9">
        <f t="shared" ca="1" si="175"/>
        <v>245.10281134925089</v>
      </c>
      <c r="BJ214">
        <f t="shared" ca="1" si="176"/>
        <v>259.26373551260923</v>
      </c>
      <c r="BK214" s="6">
        <f t="shared" ca="1" si="177"/>
        <v>0.32596964617250729</v>
      </c>
      <c r="BL214" s="6">
        <f t="shared" ca="1" si="178"/>
        <v>0.94538023555296025</v>
      </c>
      <c r="BM214" s="6">
        <f t="shared" ca="1" si="179"/>
        <v>1.2387591119148176</v>
      </c>
      <c r="BN214" s="6">
        <f t="shared" ca="1" si="180"/>
        <v>-0.68065550808153952</v>
      </c>
      <c r="BO214" s="9">
        <f t="shared" ca="1" si="181"/>
        <v>4.929911434248325</v>
      </c>
      <c r="BP214" s="9">
        <f t="shared" ca="1" si="182"/>
        <v>188.92714309152069</v>
      </c>
      <c r="BQ214">
        <f t="shared" ca="1" si="183"/>
        <v>188.99145330800931</v>
      </c>
      <c r="BR214">
        <f t="shared" ca="1" si="184"/>
        <v>2.6085367078551372E-2</v>
      </c>
      <c r="BS214">
        <f t="shared" ca="1" si="185"/>
        <v>0.99965971891658079</v>
      </c>
      <c r="BT214">
        <f t="shared" ca="1" si="186"/>
        <v>1.5447080005279021</v>
      </c>
      <c r="BU214" s="40">
        <f t="shared" ca="1" si="187"/>
        <v>-1.596884652961891</v>
      </c>
    </row>
    <row r="215" spans="45:73" x14ac:dyDescent="0.25">
      <c r="AS215" s="6">
        <v>0.57595865315811878</v>
      </c>
      <c r="AT215" s="6">
        <v>1.0482718953451353</v>
      </c>
      <c r="AU215" s="6">
        <v>204.24048299538526</v>
      </c>
      <c r="AV215" s="6">
        <f t="shared" si="169"/>
        <v>1.5656638345716967</v>
      </c>
      <c r="AW215" s="6">
        <f t="shared" si="170"/>
        <v>0.98970518141357788</v>
      </c>
      <c r="AX215" s="6">
        <f t="shared" si="171"/>
        <v>1.5759288189180964</v>
      </c>
      <c r="AY215" s="6">
        <f t="shared" si="172"/>
        <v>1.5759288189180964</v>
      </c>
      <c r="BF215" s="40"/>
      <c r="BG215" s="6">
        <f t="shared" si="173"/>
        <v>0.34906585039885563</v>
      </c>
      <c r="BH215" s="9">
        <f t="shared" ca="1" si="174"/>
        <v>84.252177095940894</v>
      </c>
      <c r="BI215" s="9">
        <f t="shared" ca="1" si="175"/>
        <v>246.37917199092044</v>
      </c>
      <c r="BJ215">
        <f t="shared" ca="1" si="176"/>
        <v>260.38649299903659</v>
      </c>
      <c r="BK215" s="6">
        <f t="shared" ca="1" si="177"/>
        <v>0.32356585061519538</v>
      </c>
      <c r="BL215" s="6">
        <f t="shared" ca="1" si="178"/>
        <v>0.94620565434564241</v>
      </c>
      <c r="BM215" s="6">
        <f t="shared" ca="1" si="179"/>
        <v>1.241300676933033</v>
      </c>
      <c r="BN215" s="6">
        <f t="shared" ca="1" si="180"/>
        <v>-0.67811394306332407</v>
      </c>
      <c r="BO215" s="9">
        <f t="shared" ca="1" si="181"/>
        <v>4.6699803997814797</v>
      </c>
      <c r="BP215" s="9">
        <f t="shared" ca="1" si="182"/>
        <v>190.20350373319025</v>
      </c>
      <c r="BQ215">
        <f t="shared" ca="1" si="183"/>
        <v>190.26082505160136</v>
      </c>
      <c r="BR215">
        <f t="shared" ca="1" si="184"/>
        <v>2.4545149525736141E-2</v>
      </c>
      <c r="BS215">
        <f t="shared" ca="1" si="185"/>
        <v>0.9996987224332935</v>
      </c>
      <c r="BT215">
        <f t="shared" ca="1" si="186"/>
        <v>1.546248712004425</v>
      </c>
      <c r="BU215" s="40">
        <f t="shared" ca="1" si="187"/>
        <v>-1.5953439414853681</v>
      </c>
    </row>
    <row r="216" spans="45:73" x14ac:dyDescent="0.25">
      <c r="AS216" s="6">
        <v>0.5934119456780621</v>
      </c>
      <c r="AT216" s="6">
        <v>0.72875594011985634</v>
      </c>
      <c r="AU216" s="6">
        <v>205.23011859211391</v>
      </c>
      <c r="AV216" s="6">
        <f t="shared" si="169"/>
        <v>1.5672454207087365</v>
      </c>
      <c r="AW216" s="6">
        <f t="shared" si="170"/>
        <v>0.97383347503067441</v>
      </c>
      <c r="AX216" s="6">
        <f t="shared" si="171"/>
        <v>1.5743472327810566</v>
      </c>
      <c r="AY216" s="6">
        <f t="shared" si="172"/>
        <v>1.5743472327810566</v>
      </c>
      <c r="BF216" s="40"/>
      <c r="BG216" s="6">
        <f t="shared" si="173"/>
        <v>0.36651914291879895</v>
      </c>
      <c r="BH216" s="9">
        <f t="shared" ca="1" si="174"/>
        <v>83.992585739604053</v>
      </c>
      <c r="BI216" s="9">
        <f t="shared" ca="1" si="175"/>
        <v>247.60940546112786</v>
      </c>
      <c r="BJ216">
        <f t="shared" ca="1" si="176"/>
        <v>261.4673442937721</v>
      </c>
      <c r="BK216" s="6">
        <f t="shared" ca="1" si="177"/>
        <v>0.32123547193424673</v>
      </c>
      <c r="BL216" s="6">
        <f t="shared" ca="1" si="178"/>
        <v>0.94699935141011671</v>
      </c>
      <c r="BM216" s="6">
        <f t="shared" ca="1" si="179"/>
        <v>1.243762510170217</v>
      </c>
      <c r="BN216" s="6">
        <f t="shared" ca="1" si="180"/>
        <v>-0.6756521098261401</v>
      </c>
      <c r="BO216" s="9">
        <f t="shared" ca="1" si="181"/>
        <v>4.4103890434446384</v>
      </c>
      <c r="BP216" s="9">
        <f t="shared" ca="1" si="182"/>
        <v>191.43373720339767</v>
      </c>
      <c r="BQ216">
        <f t="shared" ca="1" si="183"/>
        <v>191.48453533163993</v>
      </c>
      <c r="BR216">
        <f t="shared" ca="1" si="184"/>
        <v>2.3032612194014021E-2</v>
      </c>
      <c r="BS216">
        <f t="shared" ca="1" si="185"/>
        <v>0.99973471419948201</v>
      </c>
      <c r="BT216">
        <f t="shared" ca="1" si="186"/>
        <v>1.547761677643076</v>
      </c>
      <c r="BU216" s="40">
        <f t="shared" ca="1" si="187"/>
        <v>-1.5938309758467171</v>
      </c>
    </row>
    <row r="217" spans="45:73" x14ac:dyDescent="0.25">
      <c r="AS217" s="6">
        <v>0.61086523819800542</v>
      </c>
      <c r="AT217" s="6">
        <v>0.40037819917387762</v>
      </c>
      <c r="AU217" s="6">
        <v>206.21683121782601</v>
      </c>
      <c r="AV217" s="6">
        <f t="shared" si="169"/>
        <v>1.5688547893669134</v>
      </c>
      <c r="AW217" s="6">
        <f t="shared" si="170"/>
        <v>0.95798955116890794</v>
      </c>
      <c r="AX217" s="6">
        <f t="shared" si="171"/>
        <v>1.5727378641228797</v>
      </c>
      <c r="AY217" s="6">
        <f t="shared" si="172"/>
        <v>1.5727378641228797</v>
      </c>
      <c r="BF217" s="40"/>
      <c r="BG217" s="6">
        <f t="shared" si="173"/>
        <v>0.38397243543874227</v>
      </c>
      <c r="BH217" s="9">
        <f t="shared" ca="1" si="174"/>
        <v>83.732394219581607</v>
      </c>
      <c r="BI217" s="9">
        <f t="shared" ca="1" si="175"/>
        <v>248.79997055569703</v>
      </c>
      <c r="BJ217">
        <f t="shared" ca="1" si="176"/>
        <v>262.5119791366846</v>
      </c>
      <c r="BK217" s="6">
        <f t="shared" ca="1" si="177"/>
        <v>0.31896599345656479</v>
      </c>
      <c r="BL217" s="6">
        <f t="shared" ca="1" si="178"/>
        <v>0.94776616051548634</v>
      </c>
      <c r="BM217" s="6">
        <f t="shared" ca="1" si="179"/>
        <v>1.2461580333925981</v>
      </c>
      <c r="BN217" s="6">
        <f t="shared" ca="1" si="180"/>
        <v>-0.67325658660375898</v>
      </c>
      <c r="BO217" s="9">
        <f t="shared" ca="1" si="181"/>
        <v>4.1501975234221931</v>
      </c>
      <c r="BP217" s="9">
        <f t="shared" ca="1" si="182"/>
        <v>192.62430229796684</v>
      </c>
      <c r="BQ217">
        <f t="shared" ca="1" si="183"/>
        <v>192.66900626530966</v>
      </c>
      <c r="BR217">
        <f t="shared" ca="1" si="184"/>
        <v>2.1540556023355802E-2</v>
      </c>
      <c r="BS217">
        <f t="shared" ca="1" si="185"/>
        <v>0.99976797530537287</v>
      </c>
      <c r="BT217">
        <f t="shared" ca="1" si="186"/>
        <v>1.5492541046365949</v>
      </c>
      <c r="BU217" s="40">
        <f t="shared" ca="1" si="187"/>
        <v>-1.5923385488531983</v>
      </c>
    </row>
    <row r="218" spans="45:73" x14ac:dyDescent="0.25">
      <c r="AS218" s="6">
        <v>0.62831853071794874</v>
      </c>
      <c r="AT218" s="6">
        <v>6.2471625564120364E-2</v>
      </c>
      <c r="AU218" s="6">
        <v>207.20210798429275</v>
      </c>
      <c r="AV218" s="6">
        <f t="shared" si="169"/>
        <v>1.5704948258870202</v>
      </c>
      <c r="AW218" s="6">
        <f t="shared" si="170"/>
        <v>0.94217629516907142</v>
      </c>
      <c r="AX218" s="6">
        <f t="shared" si="171"/>
        <v>1.5710978276027729</v>
      </c>
      <c r="AY218" s="6">
        <f t="shared" si="172"/>
        <v>1.5710978276027729</v>
      </c>
      <c r="BF218" s="40"/>
      <c r="BG218" s="6">
        <f t="shared" si="173"/>
        <v>0.40142572795868559</v>
      </c>
      <c r="BH218" s="9">
        <f t="shared" ca="1" si="174"/>
        <v>83.470769255709214</v>
      </c>
      <c r="BI218" s="9">
        <f t="shared" ca="1" si="175"/>
        <v>249.9563015700756</v>
      </c>
      <c r="BJ218">
        <f t="shared" ca="1" si="176"/>
        <v>263.52518288529927</v>
      </c>
      <c r="BK218" s="6">
        <f t="shared" ca="1" si="177"/>
        <v>0.31674684120052504</v>
      </c>
      <c r="BL218" s="6">
        <f t="shared" ca="1" si="178"/>
        <v>0.94851011517510408</v>
      </c>
      <c r="BM218" s="6">
        <f t="shared" ca="1" si="179"/>
        <v>1.2484985691799464</v>
      </c>
      <c r="BN218" s="6">
        <f t="shared" ca="1" si="180"/>
        <v>-0.6709160508164107</v>
      </c>
      <c r="BO218" s="9">
        <f t="shared" ca="1" si="181"/>
        <v>3.8885725595498002</v>
      </c>
      <c r="BP218" s="9">
        <f t="shared" ca="1" si="182"/>
        <v>193.7806333123454</v>
      </c>
      <c r="BQ218">
        <f t="shared" ca="1" si="183"/>
        <v>193.81964514332532</v>
      </c>
      <c r="BR218">
        <f t="shared" ca="1" si="184"/>
        <v>2.0062840155724602E-2</v>
      </c>
      <c r="BS218">
        <f t="shared" ca="1" si="185"/>
        <v>0.99979872096581812</v>
      </c>
      <c r="BT218">
        <f t="shared" ca="1" si="186"/>
        <v>1.5507321404544248</v>
      </c>
      <c r="BU218" s="40">
        <f t="shared" ca="1" si="187"/>
        <v>-1.5908605130353684</v>
      </c>
    </row>
    <row r="219" spans="45:73" x14ac:dyDescent="0.25">
      <c r="AS219" s="6">
        <v>0.64577182323789206</v>
      </c>
      <c r="AT219" s="6">
        <v>-0.28566641925551151</v>
      </c>
      <c r="AU219" s="6">
        <v>208.18738529472765</v>
      </c>
      <c r="AV219" s="6">
        <f t="shared" si="169"/>
        <v>1.5721684860136929</v>
      </c>
      <c r="AW219" s="6">
        <f t="shared" si="170"/>
        <v>0.92639666277580079</v>
      </c>
      <c r="AX219" s="6">
        <f t="shared" si="171"/>
        <v>1.5694241674761003</v>
      </c>
      <c r="AY219" s="6">
        <f t="shared" si="172"/>
        <v>1.5694241674761003</v>
      </c>
      <c r="BF219" s="40"/>
      <c r="BG219" s="6">
        <f t="shared" si="173"/>
        <v>0.41887902047862891</v>
      </c>
      <c r="BH219" s="9">
        <f t="shared" ca="1" si="174"/>
        <v>83.20695905839068</v>
      </c>
      <c r="BI219" s="9">
        <f t="shared" ca="1" si="175"/>
        <v>251.08302628671845</v>
      </c>
      <c r="BJ219">
        <f t="shared" ca="1" si="176"/>
        <v>264.51102836184668</v>
      </c>
      <c r="BK219" s="6">
        <f t="shared" ca="1" si="177"/>
        <v>0.31456895984149646</v>
      </c>
      <c r="BL219" s="6">
        <f t="shared" ca="1" si="178"/>
        <v>0.94923462300120454</v>
      </c>
      <c r="BM219" s="6">
        <f t="shared" ca="1" si="179"/>
        <v>1.2507937992592213</v>
      </c>
      <c r="BN219" s="6">
        <f t="shared" ca="1" si="180"/>
        <v>-0.6686208207371358</v>
      </c>
      <c r="BO219" s="9">
        <f t="shared" ca="1" si="181"/>
        <v>3.6247623622312659</v>
      </c>
      <c r="BP219" s="9">
        <f t="shared" ca="1" si="182"/>
        <v>194.90735802898826</v>
      </c>
      <c r="BQ219">
        <f t="shared" ca="1" si="183"/>
        <v>194.941060620955</v>
      </c>
      <c r="BR219">
        <f t="shared" ca="1" si="184"/>
        <v>1.8594145074850514E-2</v>
      </c>
      <c r="BS219">
        <f t="shared" ca="1" si="185"/>
        <v>0.99982711393967294</v>
      </c>
      <c r="BT219">
        <f t="shared" ca="1" si="186"/>
        <v>1.5522011100897755</v>
      </c>
      <c r="BU219" s="40">
        <f t="shared" ca="1" si="187"/>
        <v>-1.5893915434000176</v>
      </c>
    </row>
    <row r="220" spans="45:73" x14ac:dyDescent="0.25">
      <c r="AS220" s="6">
        <v>0.66322511575783538</v>
      </c>
      <c r="AT220" s="6">
        <v>-0.64477992863569966</v>
      </c>
      <c r="AU220" s="6">
        <v>209.17406248055266</v>
      </c>
      <c r="AV220" s="6">
        <f t="shared" si="169"/>
        <v>1.5738788212437977</v>
      </c>
      <c r="AW220" s="6">
        <f t="shared" si="170"/>
        <v>0.91065370548596236</v>
      </c>
      <c r="AX220" s="6">
        <f t="shared" si="171"/>
        <v>1.5677138322459954</v>
      </c>
      <c r="AY220" s="6">
        <f t="shared" si="172"/>
        <v>1.5677138322459954</v>
      </c>
      <c r="BF220" s="40"/>
      <c r="BG220" s="6">
        <f t="shared" si="173"/>
        <v>0.43633231299857222</v>
      </c>
      <c r="BH220" s="9">
        <f t="shared" ca="1" si="174"/>
        <v>82.940273403117644</v>
      </c>
      <c r="BI220" s="9">
        <f t="shared" ca="1" si="175"/>
        <v>252.18413051834071</v>
      </c>
      <c r="BJ220">
        <f t="shared" ca="1" si="176"/>
        <v>265.47302054535675</v>
      </c>
      <c r="BK220" s="6">
        <f t="shared" ca="1" si="177"/>
        <v>0.31242449132019079</v>
      </c>
      <c r="BL220" s="6">
        <f t="shared" ca="1" si="178"/>
        <v>0.94994259680431214</v>
      </c>
      <c r="BM220" s="6">
        <f t="shared" ca="1" si="179"/>
        <v>1.2530521115299746</v>
      </c>
      <c r="BN220" s="6">
        <f t="shared" ca="1" si="180"/>
        <v>-0.66636250846638245</v>
      </c>
      <c r="BO220" s="9">
        <f t="shared" ca="1" si="181"/>
        <v>3.3580767069582294</v>
      </c>
      <c r="BP220" s="9">
        <f t="shared" ca="1" si="182"/>
        <v>196.00846226061051</v>
      </c>
      <c r="BQ220">
        <f t="shared" ca="1" si="183"/>
        <v>196.03722594685684</v>
      </c>
      <c r="BR220">
        <f t="shared" ca="1" si="184"/>
        <v>1.7129790991168996E-2</v>
      </c>
      <c r="BS220">
        <f t="shared" ca="1" si="185"/>
        <v>0.9998532743660935</v>
      </c>
      <c r="BT220">
        <f t="shared" ca="1" si="186"/>
        <v>1.553665697961407</v>
      </c>
      <c r="BU220" s="40">
        <f t="shared" ca="1" si="187"/>
        <v>-1.5879269555283861</v>
      </c>
    </row>
    <row r="221" spans="45:73" x14ac:dyDescent="0.25">
      <c r="AS221" s="6">
        <v>0.6806784082777787</v>
      </c>
      <c r="AT221" s="6">
        <v>-1.0156604162533256</v>
      </c>
      <c r="AU221" s="6">
        <v>210.16351401371142</v>
      </c>
      <c r="AV221" s="6">
        <f t="shared" si="169"/>
        <v>1.5756290044086487</v>
      </c>
      <c r="AW221" s="6">
        <f t="shared" si="170"/>
        <v>0.89495059613087002</v>
      </c>
      <c r="AX221" s="6">
        <f t="shared" si="171"/>
        <v>1.5659636490811444</v>
      </c>
      <c r="AY221" s="6">
        <f t="shared" si="172"/>
        <v>1.5659636490811444</v>
      </c>
      <c r="BF221" s="40"/>
      <c r="BG221" s="6">
        <f t="shared" si="173"/>
        <v>0.45378560551851554</v>
      </c>
      <c r="BH221" s="9">
        <f t="shared" ca="1" si="174"/>
        <v>82.67006789354069</v>
      </c>
      <c r="BI221" s="9">
        <f t="shared" ca="1" si="175"/>
        <v>253.26308483504673</v>
      </c>
      <c r="BJ221">
        <f t="shared" ca="1" si="176"/>
        <v>266.41420807773505</v>
      </c>
      <c r="BK221" s="6">
        <f t="shared" ca="1" si="177"/>
        <v>0.31030652790642077</v>
      </c>
      <c r="BL221" s="6">
        <f t="shared" ca="1" si="178"/>
        <v>0.9506365544931783</v>
      </c>
      <c r="BM221" s="6">
        <f t="shared" ca="1" si="179"/>
        <v>1.2552808664182962</v>
      </c>
      <c r="BN221" s="6">
        <f t="shared" ca="1" si="180"/>
        <v>-0.66413375357806093</v>
      </c>
      <c r="BO221" s="9">
        <f t="shared" ca="1" si="181"/>
        <v>3.0878711973812756</v>
      </c>
      <c r="BP221" s="9">
        <f t="shared" ca="1" si="182"/>
        <v>197.08741657731653</v>
      </c>
      <c r="BQ221">
        <f t="shared" ca="1" si="183"/>
        <v>197.11160473612992</v>
      </c>
      <c r="BR221">
        <f t="shared" ca="1" si="184"/>
        <v>1.5665598184921473E-2</v>
      </c>
      <c r="BS221">
        <f t="shared" ca="1" si="185"/>
        <v>0.99987728698751266</v>
      </c>
      <c r="BT221">
        <f t="shared" ca="1" si="186"/>
        <v>1.5551300877876049</v>
      </c>
      <c r="BU221" s="40">
        <f t="shared" ca="1" si="187"/>
        <v>-1.5864625657021882</v>
      </c>
    </row>
    <row r="222" spans="45:73" x14ac:dyDescent="0.25">
      <c r="AS222" s="6">
        <v>0.69813170079772202</v>
      </c>
      <c r="AT222" s="6">
        <v>-1.3991534493258371</v>
      </c>
      <c r="AU222" s="6">
        <v>211.15710097259776</v>
      </c>
      <c r="AV222" s="6">
        <f t="shared" si="169"/>
        <v>1.5774223553137512</v>
      </c>
      <c r="AW222" s="6">
        <f t="shared" si="170"/>
        <v>0.87929065451602917</v>
      </c>
      <c r="AX222" s="6">
        <f t="shared" si="171"/>
        <v>1.5641702981760419</v>
      </c>
      <c r="AY222" s="6">
        <f t="shared" si="172"/>
        <v>1.5641702981760419</v>
      </c>
      <c r="BF222" s="40"/>
      <c r="BG222" s="6">
        <f t="shared" si="173"/>
        <v>0.47123889803845886</v>
      </c>
      <c r="BH222" s="9">
        <f t="shared" ca="1" si="174"/>
        <v>82.395731071568278</v>
      </c>
      <c r="BI222" s="9">
        <f t="shared" ca="1" si="175"/>
        <v>254.32294290260995</v>
      </c>
      <c r="BJ222">
        <f t="shared" ca="1" si="176"/>
        <v>267.33726972770262</v>
      </c>
      <c r="BK222" s="6">
        <f t="shared" ca="1" si="177"/>
        <v>0.30820891959992247</v>
      </c>
      <c r="BL222" s="6">
        <f t="shared" ca="1" si="178"/>
        <v>0.95131869627325638</v>
      </c>
      <c r="BM222" s="6">
        <f t="shared" ca="1" si="179"/>
        <v>1.2574866043873663</v>
      </c>
      <c r="BN222" s="6">
        <f t="shared" ca="1" si="180"/>
        <v>-0.66192801560899084</v>
      </c>
      <c r="BO222" s="9">
        <f t="shared" ca="1" si="181"/>
        <v>2.8135343754088638</v>
      </c>
      <c r="BP222" s="9">
        <f t="shared" ca="1" si="182"/>
        <v>198.14727464487976</v>
      </c>
      <c r="BQ222">
        <f t="shared" ca="1" si="183"/>
        <v>198.16724861811807</v>
      </c>
      <c r="BR222">
        <f t="shared" ca="1" si="184"/>
        <v>1.4197776852777212E-2</v>
      </c>
      <c r="BS222">
        <f t="shared" ca="1" si="185"/>
        <v>0.99989920648655317</v>
      </c>
      <c r="BT222">
        <f t="shared" ca="1" si="186"/>
        <v>1.5565980729082824</v>
      </c>
      <c r="BU222" s="40">
        <f t="shared" ca="1" si="187"/>
        <v>-1.5849945805815107</v>
      </c>
    </row>
    <row r="223" spans="45:73" x14ac:dyDescent="0.25">
      <c r="AS223" s="6">
        <v>0.71558499331766534</v>
      </c>
      <c r="AT223" s="6">
        <v>-1.7961658591005971</v>
      </c>
      <c r="AU223" s="6">
        <v>212.15618154590939</v>
      </c>
      <c r="AV223" s="6">
        <f t="shared" si="169"/>
        <v>1.5792623678647326</v>
      </c>
      <c r="AW223" s="6">
        <f t="shared" si="170"/>
        <v>0.86367737454706728</v>
      </c>
      <c r="AX223" s="6">
        <f t="shared" si="171"/>
        <v>1.5623302856250605</v>
      </c>
      <c r="AY223" s="6">
        <f t="shared" si="172"/>
        <v>1.5623302856250605</v>
      </c>
      <c r="BF223" s="40"/>
      <c r="BG223" s="6">
        <f t="shared" si="173"/>
        <v>0.48869219055840218</v>
      </c>
      <c r="BH223" s="9">
        <f t="shared" ca="1" si="174"/>
        <v>82.116673713971579</v>
      </c>
      <c r="BI223" s="9">
        <f t="shared" ca="1" si="175"/>
        <v>255.36641883381037</v>
      </c>
      <c r="BJ223">
        <f t="shared" ca="1" si="176"/>
        <v>268.24458236812899</v>
      </c>
      <c r="BK223" s="6">
        <f t="shared" ca="1" si="177"/>
        <v>0.30612612187364768</v>
      </c>
      <c r="BL223" s="6">
        <f t="shared" ca="1" si="178"/>
        <v>0.95199096503412284</v>
      </c>
      <c r="BM223" s="6">
        <f t="shared" ca="1" si="179"/>
        <v>1.2596752097806283</v>
      </c>
      <c r="BN223" s="6">
        <f t="shared" ca="1" si="180"/>
        <v>-0.65973941021572879</v>
      </c>
      <c r="BO223" s="9">
        <f t="shared" ca="1" si="181"/>
        <v>2.5344770178121649</v>
      </c>
      <c r="BP223" s="9">
        <f t="shared" ca="1" si="182"/>
        <v>199.19075057608018</v>
      </c>
      <c r="BQ223">
        <f t="shared" ca="1" si="183"/>
        <v>199.20687410030811</v>
      </c>
      <c r="BR223">
        <f t="shared" ca="1" si="184"/>
        <v>1.2722839155319314E-2</v>
      </c>
      <c r="BS223">
        <f t="shared" ca="1" si="185"/>
        <v>0.99991906140638587</v>
      </c>
      <c r="BT223">
        <f t="shared" ca="1" si="186"/>
        <v>1.5580731443722278</v>
      </c>
      <c r="BU223" s="40">
        <f t="shared" ca="1" si="187"/>
        <v>-1.5835195091175653</v>
      </c>
    </row>
    <row r="224" spans="45:73" x14ac:dyDescent="0.25">
      <c r="AS224" s="6">
        <v>0.73303828583760866</v>
      </c>
      <c r="AT224" s="6">
        <v>-2.2076735294421095</v>
      </c>
      <c r="AU224" s="6">
        <v>213.16212137573848</v>
      </c>
      <c r="AV224" s="6">
        <f t="shared" si="169"/>
        <v>1.5811527380861445</v>
      </c>
      <c r="AW224" s="6">
        <f t="shared" si="170"/>
        <v>0.84811445224853588</v>
      </c>
      <c r="AX224" s="6">
        <f t="shared" si="171"/>
        <v>1.5604399154036486</v>
      </c>
      <c r="AY224" s="6">
        <f t="shared" si="172"/>
        <v>1.5604399154036486</v>
      </c>
      <c r="BF224" s="40"/>
      <c r="BG224" s="6">
        <f t="shared" si="173"/>
        <v>0.5061454830783455</v>
      </c>
      <c r="BH224" s="9">
        <f t="shared" ca="1" si="174"/>
        <v>81.832319846242385</v>
      </c>
      <c r="BI224" s="9">
        <f t="shared" ca="1" si="175"/>
        <v>256.39594894062674</v>
      </c>
      <c r="BJ224">
        <f t="shared" ca="1" si="176"/>
        <v>269.13827525006951</v>
      </c>
      <c r="BK224" s="6">
        <f t="shared" ca="1" si="177"/>
        <v>0.30405307372282142</v>
      </c>
      <c r="BL224" s="6">
        <f t="shared" ca="1" si="178"/>
        <v>0.95265509412363125</v>
      </c>
      <c r="BM224" s="6">
        <f t="shared" ca="1" si="179"/>
        <v>1.2618520418720784</v>
      </c>
      <c r="BN224" s="6">
        <f t="shared" ca="1" si="180"/>
        <v>-0.65756257812427865</v>
      </c>
      <c r="BO224" s="9">
        <f t="shared" ca="1" si="181"/>
        <v>2.2501231500829704</v>
      </c>
      <c r="BP224" s="9">
        <f t="shared" ca="1" si="182"/>
        <v>200.22028068289654</v>
      </c>
      <c r="BQ224">
        <f t="shared" ca="1" si="183"/>
        <v>200.23292399335435</v>
      </c>
      <c r="BR224">
        <f t="shared" ca="1" si="184"/>
        <v>1.1237528300578834E-2</v>
      </c>
      <c r="BS224">
        <f t="shared" ca="1" si="185"/>
        <v>0.99993685698532664</v>
      </c>
      <c r="BT224">
        <f t="shared" ca="1" si="186"/>
        <v>1.5595585619645389</v>
      </c>
      <c r="BU224" s="40">
        <f t="shared" ca="1" si="187"/>
        <v>-1.5820340915252542</v>
      </c>
    </row>
    <row r="225" spans="45:73" x14ac:dyDescent="0.25">
      <c r="AS225" s="6">
        <v>0.75049157835755198</v>
      </c>
      <c r="AT225" s="6">
        <v>-2.634730097797541</v>
      </c>
      <c r="AU225" s="6">
        <v>214.17630345979461</v>
      </c>
      <c r="AV225" s="6">
        <f t="shared" si="169"/>
        <v>1.583097394473211</v>
      </c>
      <c r="AW225" s="6">
        <f t="shared" si="170"/>
        <v>0.83260581611565898</v>
      </c>
      <c r="AX225" s="6">
        <f t="shared" si="171"/>
        <v>1.5584952590165821</v>
      </c>
      <c r="AY225" s="6">
        <f t="shared" si="172"/>
        <v>1.5584952590165821</v>
      </c>
      <c r="BF225" s="40"/>
      <c r="BG225" s="6">
        <f t="shared" si="173"/>
        <v>0.52359877559828882</v>
      </c>
      <c r="BH225" s="9">
        <f t="shared" ca="1" si="174"/>
        <v>81.54209888213758</v>
      </c>
      <c r="BI225" s="9">
        <f t="shared" ca="1" si="175"/>
        <v>257.41374126091023</v>
      </c>
      <c r="BJ225">
        <f t="shared" ca="1" si="176"/>
        <v>270.02027346116648</v>
      </c>
      <c r="BK225" s="6">
        <f t="shared" ca="1" si="177"/>
        <v>0.30198509851470368</v>
      </c>
      <c r="BL225" s="6">
        <f t="shared" ca="1" si="178"/>
        <v>0.95331264560744444</v>
      </c>
      <c r="BM225" s="6">
        <f t="shared" ca="1" si="179"/>
        <v>1.264022041241448</v>
      </c>
      <c r="BN225" s="6">
        <f t="shared" ca="1" si="180"/>
        <v>-0.65539257875490908</v>
      </c>
      <c r="BO225" s="9">
        <f t="shared" ca="1" si="181"/>
        <v>1.9599021859781658</v>
      </c>
      <c r="BP225" s="9">
        <f t="shared" ca="1" si="182"/>
        <v>201.23807300318003</v>
      </c>
      <c r="BQ225">
        <f t="shared" ca="1" si="183"/>
        <v>201.24761673771894</v>
      </c>
      <c r="BR225">
        <f t="shared" ca="1" si="184"/>
        <v>9.7387597316616076E-3</v>
      </c>
      <c r="BS225">
        <f t="shared" ca="1" si="185"/>
        <v>0.99995257715498143</v>
      </c>
      <c r="BT225">
        <f t="shared" ca="1" si="186"/>
        <v>1.5610574131137502</v>
      </c>
      <c r="BU225" s="40">
        <f t="shared" ca="1" si="187"/>
        <v>-1.5805352403760429</v>
      </c>
    </row>
    <row r="226" spans="45:73" x14ac:dyDescent="0.25">
      <c r="AS226" s="6">
        <v>0.7679448708774953</v>
      </c>
      <c r="AT226" s="6">
        <v>-3.0784766529976881</v>
      </c>
      <c r="AU226" s="6">
        <v>215.20013798925697</v>
      </c>
      <c r="AV226" s="6">
        <f t="shared" si="169"/>
        <v>1.5851005308547355</v>
      </c>
      <c r="AW226" s="6">
        <f t="shared" si="170"/>
        <v>0.81715565997724016</v>
      </c>
      <c r="AX226" s="6">
        <f t="shared" si="171"/>
        <v>1.5564921226350577</v>
      </c>
      <c r="AY226" s="6">
        <f t="shared" si="172"/>
        <v>1.5564921226350577</v>
      </c>
      <c r="BF226" s="40"/>
      <c r="BG226" s="6">
        <f t="shared" si="173"/>
        <v>0.54105206811823214</v>
      </c>
      <c r="BH226" s="9">
        <f t="shared" ca="1" si="174"/>
        <v>81.245438806219724</v>
      </c>
      <c r="BI226" s="9">
        <f t="shared" ca="1" si="175"/>
        <v>258.42181622285693</v>
      </c>
      <c r="BJ226">
        <f t="shared" ca="1" si="176"/>
        <v>270.89233364334109</v>
      </c>
      <c r="BK226" s="6">
        <f t="shared" ca="1" si="177"/>
        <v>0.29991782238174408</v>
      </c>
      <c r="BL226" s="6">
        <f t="shared" ca="1" si="178"/>
        <v>0.95396504119270153</v>
      </c>
      <c r="BM226" s="6">
        <f t="shared" ca="1" si="179"/>
        <v>1.2661898171638659</v>
      </c>
      <c r="BN226" s="6">
        <f t="shared" ca="1" si="180"/>
        <v>-0.65322480283249118</v>
      </c>
      <c r="BO226" s="9">
        <f t="shared" ca="1" si="181"/>
        <v>1.6632421100603096</v>
      </c>
      <c r="BP226" s="9">
        <f t="shared" ca="1" si="182"/>
        <v>202.24614796512674</v>
      </c>
      <c r="BQ226">
        <f t="shared" ca="1" si="183"/>
        <v>202.25298697682717</v>
      </c>
      <c r="BR226">
        <f t="shared" ca="1" si="184"/>
        <v>8.2235725411109652E-3</v>
      </c>
      <c r="BS226">
        <f t="shared" ca="1" si="185"/>
        <v>0.99996618585563224</v>
      </c>
      <c r="BT226">
        <f t="shared" ca="1" si="186"/>
        <v>1.562572661561509</v>
      </c>
      <c r="BU226" s="40">
        <f t="shared" ca="1" si="187"/>
        <v>-1.5790199919282841</v>
      </c>
    </row>
    <row r="227" spans="45:73" x14ac:dyDescent="0.25">
      <c r="AS227" s="6">
        <v>0.78539816339743862</v>
      </c>
      <c r="AT227" s="6">
        <v>-3.540152537839822</v>
      </c>
      <c r="AU227" s="6">
        <v>216.23507249771438</v>
      </c>
      <c r="AV227" s="6">
        <f t="shared" si="169"/>
        <v>1.5871666419928714</v>
      </c>
      <c r="AW227" s="6">
        <f t="shared" si="170"/>
        <v>0.80176847859543277</v>
      </c>
      <c r="AX227" s="6">
        <f t="shared" si="171"/>
        <v>1.5544260114969217</v>
      </c>
      <c r="AY227" s="6">
        <f t="shared" si="172"/>
        <v>1.5544260114969217</v>
      </c>
      <c r="BF227" s="40"/>
      <c r="BG227" s="6">
        <f t="shared" si="173"/>
        <v>0.55850536063817546</v>
      </c>
      <c r="BH227" s="9">
        <f t="shared" ca="1" si="174"/>
        <v>80.941759826542651</v>
      </c>
      <c r="BI227" s="9">
        <f t="shared" ca="1" si="175"/>
        <v>259.42203977237216</v>
      </c>
      <c r="BJ227">
        <f t="shared" ca="1" si="176"/>
        <v>271.75607298361513</v>
      </c>
      <c r="BK227" s="6">
        <f t="shared" ca="1" si="177"/>
        <v>0.29784710581766038</v>
      </c>
      <c r="BL227" s="6">
        <f t="shared" ca="1" si="178"/>
        <v>0.95461358756097925</v>
      </c>
      <c r="BM227" s="6">
        <f t="shared" ca="1" si="179"/>
        <v>1.2683597206935324</v>
      </c>
      <c r="BN227" s="6">
        <f t="shared" ca="1" si="180"/>
        <v>-0.65105489930282467</v>
      </c>
      <c r="BO227" s="9">
        <f t="shared" ca="1" si="181"/>
        <v>1.3595631303832363</v>
      </c>
      <c r="BP227" s="9">
        <f t="shared" ca="1" si="182"/>
        <v>203.24637151464196</v>
      </c>
      <c r="BQ227">
        <f t="shared" ca="1" si="183"/>
        <v>203.25091868371314</v>
      </c>
      <c r="BR227">
        <f t="shared" ca="1" si="184"/>
        <v>6.6890872581929469E-3</v>
      </c>
      <c r="BS227">
        <f t="shared" ca="1" si="185"/>
        <v>0.99997762780556854</v>
      </c>
      <c r="BT227">
        <f t="shared" ca="1" si="186"/>
        <v>1.5641071896530703</v>
      </c>
      <c r="BU227" s="40">
        <f t="shared" ca="1" si="187"/>
        <v>-1.5774854638367228</v>
      </c>
    </row>
    <row r="228" spans="45:73" x14ac:dyDescent="0.25">
      <c r="AS228" s="6">
        <v>0.80285145591738194</v>
      </c>
      <c r="AT228" s="6">
        <v>-4.0211076542386586</v>
      </c>
      <c r="AU228" s="6">
        <v>217.28260201758673</v>
      </c>
      <c r="AV228" s="6">
        <f t="shared" si="169"/>
        <v>1.5893005634660653</v>
      </c>
      <c r="AW228" s="6">
        <f t="shared" si="170"/>
        <v>0.78644910754868336</v>
      </c>
      <c r="AX228" s="6">
        <f t="shared" si="171"/>
        <v>1.5522920900237278</v>
      </c>
      <c r="AY228" s="6">
        <f t="shared" si="172"/>
        <v>1.5522920900237278</v>
      </c>
      <c r="BF228" s="40"/>
      <c r="BG228" s="6">
        <f t="shared" si="173"/>
        <v>0.57595865315811878</v>
      </c>
      <c r="BH228" s="9">
        <f t="shared" ca="1" si="174"/>
        <v>80.630468591504552</v>
      </c>
      <c r="BI228" s="9">
        <f t="shared" ca="1" si="175"/>
        <v>260.41615125311546</v>
      </c>
      <c r="BJ228">
        <f t="shared" ca="1" si="176"/>
        <v>272.61299363524677</v>
      </c>
      <c r="BK228" s="6">
        <f t="shared" ca="1" si="177"/>
        <v>0.29576898560964138</v>
      </c>
      <c r="BL228" s="6">
        <f t="shared" ca="1" si="178"/>
        <v>0.95525949728408566</v>
      </c>
      <c r="BM228" s="6">
        <f t="shared" ca="1" si="179"/>
        <v>1.2705359065399968</v>
      </c>
      <c r="BN228" s="6">
        <f t="shared" ca="1" si="180"/>
        <v>-0.64887871345636028</v>
      </c>
      <c r="BO228" s="9">
        <f t="shared" ca="1" si="181"/>
        <v>1.0482718953451382</v>
      </c>
      <c r="BP228" s="9">
        <f t="shared" ca="1" si="182"/>
        <v>204.24048299538526</v>
      </c>
      <c r="BQ228">
        <f t="shared" ca="1" si="183"/>
        <v>204.24317312496598</v>
      </c>
      <c r="BR228">
        <f t="shared" ca="1" si="184"/>
        <v>5.1324696894703755E-3</v>
      </c>
      <c r="BS228">
        <f t="shared" ca="1" si="185"/>
        <v>0.999986828790703</v>
      </c>
      <c r="BT228">
        <f t="shared" ca="1" si="186"/>
        <v>1.5656638345716967</v>
      </c>
      <c r="BU228" s="40">
        <f t="shared" ca="1" si="187"/>
        <v>-1.5759288189180964</v>
      </c>
    </row>
    <row r="229" spans="45:73" x14ac:dyDescent="0.25">
      <c r="AS229" s="6">
        <v>0.82030474843732526</v>
      </c>
      <c r="AT229" s="6">
        <v>-4.5228162890254051</v>
      </c>
      <c r="AU229" s="6">
        <v>218.34428002005734</v>
      </c>
      <c r="AV229" s="6">
        <f t="shared" si="169"/>
        <v>1.591507515463257</v>
      </c>
      <c r="AW229" s="6">
        <f t="shared" si="170"/>
        <v>0.77120276702593171</v>
      </c>
      <c r="AX229" s="6">
        <f t="shared" si="171"/>
        <v>1.5500851380265361</v>
      </c>
      <c r="AY229" s="6">
        <f t="shared" si="172"/>
        <v>1.5500851380265361</v>
      </c>
      <c r="BF229" s="40"/>
      <c r="BG229" s="6">
        <f t="shared" si="173"/>
        <v>0.5934119456780621</v>
      </c>
      <c r="BH229" s="9">
        <f t="shared" ca="1" si="174"/>
        <v>80.310952636279268</v>
      </c>
      <c r="BI229" s="9">
        <f t="shared" ca="1" si="175"/>
        <v>261.40578684984411</v>
      </c>
      <c r="BJ229">
        <f t="shared" ca="1" si="176"/>
        <v>273.46450320276085</v>
      </c>
      <c r="BK229" s="6">
        <f t="shared" ca="1" si="177"/>
        <v>0.29367962457903551</v>
      </c>
      <c r="BL229" s="6">
        <f t="shared" ca="1" si="178"/>
        <v>0.95590390631439359</v>
      </c>
      <c r="BM229" s="6">
        <f t="shared" ca="1" si="179"/>
        <v>1.2727223864550985</v>
      </c>
      <c r="BN229" s="6">
        <f t="shared" ca="1" si="180"/>
        <v>-0.6466922335412586</v>
      </c>
      <c r="BO229" s="9">
        <f t="shared" ca="1" si="181"/>
        <v>0.72875594011985356</v>
      </c>
      <c r="BP229" s="9">
        <f t="shared" ca="1" si="182"/>
        <v>205.23011859211391</v>
      </c>
      <c r="BQ229">
        <f t="shared" ca="1" si="183"/>
        <v>205.231412465425</v>
      </c>
      <c r="BR229">
        <f t="shared" ca="1" si="184"/>
        <v>3.5508986239746604E-3</v>
      </c>
      <c r="BS229">
        <f t="shared" ca="1" si="185"/>
        <v>0.99999369553960804</v>
      </c>
      <c r="BT229">
        <f t="shared" ca="1" si="186"/>
        <v>1.5672454207087365</v>
      </c>
      <c r="BU229" s="40">
        <f t="shared" ca="1" si="187"/>
        <v>-1.5743472327810566</v>
      </c>
    </row>
    <row r="230" spans="45:73" x14ac:dyDescent="0.25">
      <c r="AS230" s="6">
        <v>0.83775804095726858</v>
      </c>
      <c r="AT230" s="6">
        <v>-4.9957467722640896</v>
      </c>
      <c r="AU230" s="6">
        <v>219.11722336082477</v>
      </c>
      <c r="AV230" s="6">
        <f t="shared" si="169"/>
        <v>1.593591802870056</v>
      </c>
      <c r="AW230" s="6">
        <f t="shared" si="170"/>
        <v>0.75583376191278739</v>
      </c>
      <c r="AX230" s="6">
        <f t="shared" si="171"/>
        <v>1.5480008506197371</v>
      </c>
      <c r="AY230" s="6">
        <f t="shared" si="172"/>
        <v>1.5480008506197371</v>
      </c>
      <c r="BF230" s="40"/>
      <c r="BG230" s="6">
        <f t="shared" si="173"/>
        <v>0.61086523819800542</v>
      </c>
      <c r="BH230" s="9">
        <f t="shared" ca="1" si="174"/>
        <v>79.982574895333286</v>
      </c>
      <c r="BI230" s="9">
        <f t="shared" ca="1" si="175"/>
        <v>262.39249947555618</v>
      </c>
      <c r="BJ230">
        <f t="shared" ca="1" si="176"/>
        <v>274.31193205531059</v>
      </c>
      <c r="BK230" s="6">
        <f t="shared" ca="1" si="177"/>
        <v>0.29157526723703031</v>
      </c>
      <c r="BL230" s="6">
        <f t="shared" ca="1" si="178"/>
        <v>0.95654788878322994</v>
      </c>
      <c r="BM230" s="6">
        <f t="shared" ca="1" si="179"/>
        <v>1.2749230761646217</v>
      </c>
      <c r="BN230" s="6">
        <f t="shared" ca="1" si="180"/>
        <v>-0.64449154383173535</v>
      </c>
      <c r="BO230" s="9">
        <f t="shared" ca="1" si="181"/>
        <v>0.40037819917387196</v>
      </c>
      <c r="BP230" s="9">
        <f t="shared" ca="1" si="182"/>
        <v>206.21683121782598</v>
      </c>
      <c r="BQ230">
        <f t="shared" ca="1" si="183"/>
        <v>206.21721989257762</v>
      </c>
      <c r="BR230">
        <f t="shared" ca="1" si="184"/>
        <v>1.9415362081907437E-3</v>
      </c>
      <c r="BS230">
        <f t="shared" ca="1" si="185"/>
        <v>0.99999811521679982</v>
      </c>
      <c r="BT230">
        <f t="shared" ca="1" si="186"/>
        <v>1.5688547893669134</v>
      </c>
      <c r="BU230" s="40">
        <f t="shared" ca="1" si="187"/>
        <v>-1.5727378641228797</v>
      </c>
    </row>
    <row r="231" spans="45:73" x14ac:dyDescent="0.25">
      <c r="AS231" s="6">
        <v>0.8552113334772119</v>
      </c>
      <c r="AT231" s="6">
        <v>-5.4110927823379029</v>
      </c>
      <c r="AU231" s="6">
        <v>219.46093845662554</v>
      </c>
      <c r="AV231" s="6">
        <f t="shared" si="169"/>
        <v>1.5954476232554324</v>
      </c>
      <c r="AW231" s="6">
        <f t="shared" si="170"/>
        <v>0.74023628977822054</v>
      </c>
      <c r="AX231" s="6">
        <f t="shared" si="171"/>
        <v>1.5461450302343607</v>
      </c>
      <c r="AY231" s="6">
        <f t="shared" si="172"/>
        <v>1.5461450302343607</v>
      </c>
      <c r="BF231" s="40"/>
      <c r="BG231" s="6">
        <f t="shared" si="173"/>
        <v>0.62831853071794874</v>
      </c>
      <c r="BH231" s="9">
        <f t="shared" ca="1" si="174"/>
        <v>79.644668321723529</v>
      </c>
      <c r="BI231" s="9">
        <f t="shared" ca="1" si="175"/>
        <v>263.37777624202295</v>
      </c>
      <c r="BJ231">
        <f t="shared" ca="1" si="176"/>
        <v>275.15654855058506</v>
      </c>
      <c r="BK231" s="6">
        <f t="shared" ca="1" si="177"/>
        <v>0.28945219999763727</v>
      </c>
      <c r="BL231" s="6">
        <f t="shared" ca="1" si="178"/>
        <v>0.95719246963007787</v>
      </c>
      <c r="BM231" s="6">
        <f t="shared" ca="1" si="179"/>
        <v>1.2771418373033401</v>
      </c>
      <c r="BN231" s="6">
        <f t="shared" ca="1" si="180"/>
        <v>-0.64227278269301702</v>
      </c>
      <c r="BO231" s="9">
        <f t="shared" ca="1" si="181"/>
        <v>6.2471625564114674E-2</v>
      </c>
      <c r="BP231" s="9">
        <f t="shared" ca="1" si="182"/>
        <v>207.20210798429275</v>
      </c>
      <c r="BQ231">
        <f t="shared" ca="1" si="183"/>
        <v>207.20211740191874</v>
      </c>
      <c r="BR231">
        <f t="shared" ca="1" si="184"/>
        <v>3.0150090330851112E-4</v>
      </c>
      <c r="BS231">
        <f t="shared" ca="1" si="185"/>
        <v>0.99999995454860158</v>
      </c>
      <c r="BT231">
        <f t="shared" ca="1" si="186"/>
        <v>1.5704948258870202</v>
      </c>
      <c r="BU231" s="40">
        <f t="shared" ca="1" si="187"/>
        <v>-1.5710978276027729</v>
      </c>
    </row>
    <row r="232" spans="45:73" x14ac:dyDescent="0.25">
      <c r="AS232" s="6">
        <v>0.87266462599715522</v>
      </c>
      <c r="AT232" s="6">
        <v>-5.8380755455570297</v>
      </c>
      <c r="AU232" s="6">
        <v>219.80083562707878</v>
      </c>
      <c r="AV232" s="6">
        <f t="shared" si="169"/>
        <v>1.5973508357457404</v>
      </c>
      <c r="AW232" s="6">
        <f t="shared" si="170"/>
        <v>0.72468620974858522</v>
      </c>
      <c r="AX232" s="6">
        <f t="shared" si="171"/>
        <v>1.5442418177440527</v>
      </c>
      <c r="AY232" s="6">
        <f t="shared" si="172"/>
        <v>1.5442418177440527</v>
      </c>
      <c r="BF232" s="40"/>
      <c r="BG232" s="6">
        <f t="shared" si="173"/>
        <v>0.64577182323789206</v>
      </c>
      <c r="BH232" s="9">
        <f t="shared" ca="1" si="174"/>
        <v>79.296530276903908</v>
      </c>
      <c r="BI232" s="9">
        <f t="shared" ca="1" si="175"/>
        <v>264.36305355245781</v>
      </c>
      <c r="BJ232">
        <f t="shared" ca="1" si="176"/>
        <v>275.99957209665314</v>
      </c>
      <c r="BK232" s="6">
        <f t="shared" ca="1" si="177"/>
        <v>0.28730671455220524</v>
      </c>
      <c r="BL232" s="6">
        <f t="shared" ca="1" si="178"/>
        <v>0.95783863556092652</v>
      </c>
      <c r="BM232" s="6">
        <f t="shared" ca="1" si="179"/>
        <v>1.2793825158405958</v>
      </c>
      <c r="BN232" s="6">
        <f t="shared" ca="1" si="180"/>
        <v>-0.64003210415576128</v>
      </c>
      <c r="BO232" s="9">
        <f t="shared" ca="1" si="181"/>
        <v>-0.28566641925550584</v>
      </c>
      <c r="BP232" s="9">
        <f t="shared" ca="1" si="182"/>
        <v>208.18738529472762</v>
      </c>
      <c r="BQ232">
        <f t="shared" ca="1" si="183"/>
        <v>208.18758128466371</v>
      </c>
      <c r="BR232">
        <f t="shared" ca="1" si="184"/>
        <v>-1.3721587882079384E-3</v>
      </c>
      <c r="BS232">
        <f t="shared" ca="1" si="185"/>
        <v>0.99999905858968685</v>
      </c>
      <c r="BT232">
        <f t="shared" ca="1" si="186"/>
        <v>1.5721684860136926</v>
      </c>
      <c r="BU232" s="40">
        <f t="shared" ca="1" si="187"/>
        <v>-1.5694241674761005</v>
      </c>
    </row>
    <row r="233" spans="45:73" x14ac:dyDescent="0.25">
      <c r="AS233" s="6">
        <v>0.89011791851709854</v>
      </c>
      <c r="AT233" s="6">
        <v>-6.2610089666225175</v>
      </c>
      <c r="AU233" s="6">
        <v>220.12487134800659</v>
      </c>
      <c r="AV233" s="6">
        <f t="shared" si="169"/>
        <v>1.5992316478677253</v>
      </c>
      <c r="AW233" s="6">
        <f t="shared" si="170"/>
        <v>0.70911372935062678</v>
      </c>
      <c r="AX233" s="6">
        <f t="shared" si="171"/>
        <v>1.5423610056220678</v>
      </c>
      <c r="AY233" s="6">
        <f t="shared" si="172"/>
        <v>1.5423610056220678</v>
      </c>
      <c r="BF233" s="40"/>
      <c r="BG233" s="6">
        <f t="shared" si="173"/>
        <v>0.66322511575783538</v>
      </c>
      <c r="BH233" s="9">
        <f t="shared" ca="1" si="174"/>
        <v>78.937416767523715</v>
      </c>
      <c r="BI233" s="9">
        <f t="shared" ca="1" si="175"/>
        <v>265.34973073828286</v>
      </c>
      <c r="BJ233">
        <f t="shared" ca="1" si="176"/>
        <v>276.8421849516597</v>
      </c>
      <c r="BK233" s="6">
        <f t="shared" ca="1" si="177"/>
        <v>0.2851350735485173</v>
      </c>
      <c r="BL233" s="6">
        <f t="shared" ca="1" si="178"/>
        <v>0.95848734463866636</v>
      </c>
      <c r="BM233" s="6">
        <f t="shared" ca="1" si="179"/>
        <v>1.2816489779107343</v>
      </c>
      <c r="BN233" s="6">
        <f t="shared" ca="1" si="180"/>
        <v>-0.63776564208562281</v>
      </c>
      <c r="BO233" s="9">
        <f t="shared" ca="1" si="181"/>
        <v>-0.64477992863569966</v>
      </c>
      <c r="BP233" s="9">
        <f t="shared" ca="1" si="182"/>
        <v>209.17406248055266</v>
      </c>
      <c r="BQ233">
        <f t="shared" ca="1" si="183"/>
        <v>209.17505624661493</v>
      </c>
      <c r="BR233">
        <f t="shared" ca="1" si="184"/>
        <v>-3.0824895673770571E-3</v>
      </c>
      <c r="BS233">
        <f t="shared" ca="1" si="185"/>
        <v>0.99999524911774806</v>
      </c>
      <c r="BT233">
        <f t="shared" ca="1" si="186"/>
        <v>1.5738788212437977</v>
      </c>
      <c r="BU233" s="40">
        <f t="shared" ca="1" si="187"/>
        <v>-1.5677138322459954</v>
      </c>
    </row>
    <row r="234" spans="45:73" x14ac:dyDescent="0.25">
      <c r="AS234" s="6">
        <v>0.90757121103704186</v>
      </c>
      <c r="AT234" s="6">
        <v>-6.6728364412011558</v>
      </c>
      <c r="AU234" s="6">
        <v>220.42848147625307</v>
      </c>
      <c r="AV234" s="6">
        <f t="shared" si="169"/>
        <v>1.6010592002007187</v>
      </c>
      <c r="AW234" s="6">
        <f t="shared" si="170"/>
        <v>0.69348798916367682</v>
      </c>
      <c r="AX234" s="6">
        <f t="shared" si="171"/>
        <v>1.5405334532890744</v>
      </c>
      <c r="AY234" s="6">
        <f t="shared" si="172"/>
        <v>1.5405334532890744</v>
      </c>
      <c r="BF234" s="40"/>
      <c r="BG234" s="6">
        <f t="shared" si="173"/>
        <v>0.6806784082777787</v>
      </c>
      <c r="BH234" s="9">
        <f t="shared" ca="1" si="174"/>
        <v>78.566536279906089</v>
      </c>
      <c r="BI234" s="9">
        <f t="shared" ca="1" si="175"/>
        <v>266.33918227144159</v>
      </c>
      <c r="BJ234">
        <f t="shared" ca="1" si="176"/>
        <v>277.68554272061408</v>
      </c>
      <c r="BK234" s="6">
        <f t="shared" ca="1" si="177"/>
        <v>0.28293347759538823</v>
      </c>
      <c r="BL234" s="6">
        <f t="shared" ca="1" si="178"/>
        <v>0.95913953482054937</v>
      </c>
      <c r="BM234" s="6">
        <f t="shared" ca="1" si="179"/>
        <v>1.2839451440830043</v>
      </c>
      <c r="BN234" s="6">
        <f t="shared" ca="1" si="180"/>
        <v>-0.63546947591335279</v>
      </c>
      <c r="BO234" s="9">
        <f t="shared" ca="1" si="181"/>
        <v>-1.0156604162533256</v>
      </c>
      <c r="BP234" s="9">
        <f t="shared" ca="1" si="182"/>
        <v>210.16351401371139</v>
      </c>
      <c r="BQ234">
        <f t="shared" ca="1" si="183"/>
        <v>210.16596819816621</v>
      </c>
      <c r="BR234">
        <f t="shared" ca="1" si="184"/>
        <v>-4.8326588027594267E-3</v>
      </c>
      <c r="BS234">
        <f t="shared" ca="1" si="185"/>
        <v>0.99998832263626758</v>
      </c>
      <c r="BT234">
        <f t="shared" ca="1" si="186"/>
        <v>1.5756290044086487</v>
      </c>
      <c r="BU234" s="40">
        <f t="shared" ca="1" si="187"/>
        <v>-1.5659636490811444</v>
      </c>
    </row>
    <row r="235" spans="45:73" x14ac:dyDescent="0.25">
      <c r="AS235" s="6">
        <v>0.92502450355698518</v>
      </c>
      <c r="AT235" s="6">
        <v>-7.0742563719689651</v>
      </c>
      <c r="AU235" s="6">
        <v>220.71312965979007</v>
      </c>
      <c r="AV235" s="6">
        <f t="shared" si="169"/>
        <v>1.6028371726176045</v>
      </c>
      <c r="AW235" s="6">
        <f t="shared" si="170"/>
        <v>0.67781266906061932</v>
      </c>
      <c r="AX235" s="6">
        <f t="shared" si="171"/>
        <v>1.5387554808721886</v>
      </c>
      <c r="AY235" s="6">
        <f t="shared" si="172"/>
        <v>1.5387554808721886</v>
      </c>
      <c r="BF235" s="40"/>
      <c r="BG235" s="6">
        <f t="shared" si="173"/>
        <v>0.69813170079772202</v>
      </c>
      <c r="BH235" s="9">
        <f t="shared" ca="1" si="174"/>
        <v>78.183043246833577</v>
      </c>
      <c r="BI235" s="9">
        <f t="shared" ca="1" si="175"/>
        <v>267.33276923032793</v>
      </c>
      <c r="BJ235">
        <f t="shared" ca="1" si="176"/>
        <v>278.5307842154831</v>
      </c>
      <c r="BK235" s="6">
        <f t="shared" ca="1" si="177"/>
        <v>0.28069803295548079</v>
      </c>
      <c r="BL235" s="6">
        <f t="shared" ca="1" si="178"/>
        <v>0.95979613163156885</v>
      </c>
      <c r="BM235" s="6">
        <f t="shared" ca="1" si="179"/>
        <v>1.286275022742055</v>
      </c>
      <c r="BN235" s="6">
        <f t="shared" ca="1" si="180"/>
        <v>-0.63313959725430213</v>
      </c>
      <c r="BO235" s="9">
        <f t="shared" ca="1" si="181"/>
        <v>-1.3991534493258371</v>
      </c>
      <c r="BP235" s="9">
        <f t="shared" ca="1" si="182"/>
        <v>211.15710097259773</v>
      </c>
      <c r="BQ235">
        <f t="shared" ca="1" si="183"/>
        <v>211.16173640488608</v>
      </c>
      <c r="BR235">
        <f t="shared" ca="1" si="184"/>
        <v>-6.6259800338214206E-3</v>
      </c>
      <c r="BS235">
        <f t="shared" ca="1" si="185"/>
        <v>0.99997804795334955</v>
      </c>
      <c r="BT235">
        <f t="shared" ca="1" si="186"/>
        <v>1.5774223553137512</v>
      </c>
      <c r="BU235" s="40">
        <f t="shared" ca="1" si="187"/>
        <v>-1.5641702981760419</v>
      </c>
    </row>
    <row r="236" spans="45:73" x14ac:dyDescent="0.25">
      <c r="AS236" s="6">
        <v>0.9424777960769285</v>
      </c>
      <c r="AT236" s="6">
        <v>-7.4659184938706638</v>
      </c>
      <c r="AU236" s="6">
        <v>220.98014280457056</v>
      </c>
      <c r="AV236" s="6">
        <f t="shared" si="169"/>
        <v>1.6045689529922913</v>
      </c>
      <c r="AW236" s="6">
        <f t="shared" si="170"/>
        <v>0.6620911569153628</v>
      </c>
      <c r="AX236" s="6">
        <f t="shared" si="171"/>
        <v>1.5370237004975018</v>
      </c>
      <c r="AY236" s="6">
        <f t="shared" si="172"/>
        <v>1.5370237004975018</v>
      </c>
      <c r="BF236" s="40"/>
      <c r="BG236" s="6">
        <f t="shared" si="173"/>
        <v>0.71558499331766534</v>
      </c>
      <c r="BH236" s="9">
        <f t="shared" ca="1" si="174"/>
        <v>77.786030837058817</v>
      </c>
      <c r="BI236" s="9">
        <f t="shared" ca="1" si="175"/>
        <v>268.33184980363956</v>
      </c>
      <c r="BJ236">
        <f t="shared" ca="1" si="176"/>
        <v>279.37904039570839</v>
      </c>
      <c r="BK236" s="6">
        <f t="shared" ca="1" si="177"/>
        <v>0.27842471907299782</v>
      </c>
      <c r="BL236" s="6">
        <f t="shared" ca="1" si="178"/>
        <v>0.96045805520549521</v>
      </c>
      <c r="BM236" s="6">
        <f t="shared" ca="1" si="179"/>
        <v>1.2886427434698942</v>
      </c>
      <c r="BN236" s="6">
        <f t="shared" ca="1" si="180"/>
        <v>-0.63077187652646294</v>
      </c>
      <c r="BO236" s="9">
        <f t="shared" ca="1" si="181"/>
        <v>-1.7961658591005971</v>
      </c>
      <c r="BP236" s="9">
        <f t="shared" ca="1" si="182"/>
        <v>212.15618154590936</v>
      </c>
      <c r="BQ236">
        <f t="shared" ca="1" si="183"/>
        <v>212.16378479828796</v>
      </c>
      <c r="BR236">
        <f t="shared" ca="1" si="184"/>
        <v>-8.4659399379035365E-3</v>
      </c>
      <c r="BS236">
        <f t="shared" ca="1" si="185"/>
        <v>0.99996416328834903</v>
      </c>
      <c r="BT236">
        <f t="shared" ca="1" si="186"/>
        <v>1.5792623678647326</v>
      </c>
      <c r="BU236" s="40">
        <f t="shared" ca="1" si="187"/>
        <v>-1.5623302856250605</v>
      </c>
    </row>
    <row r="237" spans="45:73" x14ac:dyDescent="0.25">
      <c r="AS237" s="6">
        <v>0.95993108859687182</v>
      </c>
      <c r="AT237" s="6">
        <v>-7.848428347399226</v>
      </c>
      <c r="AU237" s="6">
        <v>221.2307259085141</v>
      </c>
      <c r="AV237" s="6">
        <f t="shared" si="169"/>
        <v>1.6062576679907155</v>
      </c>
      <c r="AW237" s="6">
        <f t="shared" si="170"/>
        <v>0.64632657939384364</v>
      </c>
      <c r="AX237" s="6">
        <f t="shared" si="171"/>
        <v>1.5353349854990777</v>
      </c>
      <c r="AY237" s="6">
        <f t="shared" si="172"/>
        <v>1.5353349854990777</v>
      </c>
      <c r="BF237" s="40"/>
      <c r="BG237" s="6">
        <f t="shared" si="173"/>
        <v>0.73303828583760866</v>
      </c>
      <c r="BH237" s="9">
        <f t="shared" ca="1" si="174"/>
        <v>77.37452316671731</v>
      </c>
      <c r="BI237" s="9">
        <f t="shared" ca="1" si="175"/>
        <v>269.33778963346867</v>
      </c>
      <c r="BJ237">
        <f t="shared" ca="1" si="176"/>
        <v>280.23144320350548</v>
      </c>
      <c r="BK237" s="6">
        <f t="shared" ca="1" si="177"/>
        <v>0.27610935547488702</v>
      </c>
      <c r="BL237" s="6">
        <f t="shared" ca="1" si="178"/>
        <v>0.96112622678774207</v>
      </c>
      <c r="BM237" s="6">
        <f t="shared" ca="1" si="179"/>
        <v>1.2910525909059853</v>
      </c>
      <c r="BN237" s="6">
        <f t="shared" ca="1" si="180"/>
        <v>-0.62836202909037175</v>
      </c>
      <c r="BO237" s="9">
        <f t="shared" ca="1" si="181"/>
        <v>-2.2076735294421042</v>
      </c>
      <c r="BP237" s="9">
        <f t="shared" ca="1" si="182"/>
        <v>213.16212137573848</v>
      </c>
      <c r="BQ237">
        <f t="shared" ca="1" si="183"/>
        <v>213.17355326545004</v>
      </c>
      <c r="BR237">
        <f t="shared" ca="1" si="184"/>
        <v>-1.0356226162318754E-2</v>
      </c>
      <c r="BS237">
        <f t="shared" ca="1" si="185"/>
        <v>0.99994637285190191</v>
      </c>
      <c r="BT237">
        <f t="shared" ca="1" si="186"/>
        <v>1.5811527380861445</v>
      </c>
      <c r="BU237" s="40">
        <f t="shared" ca="1" si="187"/>
        <v>-1.5604399154036486</v>
      </c>
    </row>
    <row r="238" spans="45:73" x14ac:dyDescent="0.25">
      <c r="AS238" s="6">
        <v>0.97738438111681514</v>
      </c>
      <c r="AT238" s="6">
        <v>-8.2223513472108145</v>
      </c>
      <c r="AU238" s="6">
        <v>221.4659748366729</v>
      </c>
      <c r="AV238" s="6">
        <f t="shared" si="169"/>
        <v>1.6079062103977009</v>
      </c>
      <c r="AW238" s="6">
        <f t="shared" si="170"/>
        <v>0.63052182928088574</v>
      </c>
      <c r="AX238" s="6">
        <f t="shared" si="171"/>
        <v>1.5336864430920922</v>
      </c>
      <c r="AY238" s="6">
        <f t="shared" si="172"/>
        <v>1.5336864430920922</v>
      </c>
      <c r="BF238" s="40"/>
      <c r="BG238" s="6">
        <f t="shared" si="173"/>
        <v>0.75049157835755198</v>
      </c>
      <c r="BH238" s="9">
        <f t="shared" ca="1" si="174"/>
        <v>76.947466598361871</v>
      </c>
      <c r="BI238" s="9">
        <f t="shared" ca="1" si="175"/>
        <v>270.3519717175248</v>
      </c>
      <c r="BJ238">
        <f t="shared" ca="1" si="176"/>
        <v>281.08913395479971</v>
      </c>
      <c r="BK238" s="6">
        <f t="shared" ca="1" si="177"/>
        <v>0.27374756724226607</v>
      </c>
      <c r="BL238" s="6">
        <f t="shared" ca="1" si="178"/>
        <v>0.96180157487339413</v>
      </c>
      <c r="BM238" s="6">
        <f t="shared" ca="1" si="179"/>
        <v>1.2935090399135527</v>
      </c>
      <c r="BN238" s="6">
        <f t="shared" ca="1" si="180"/>
        <v>-0.62590558008280439</v>
      </c>
      <c r="BO238" s="9">
        <f t="shared" ca="1" si="181"/>
        <v>-2.6347300977975436</v>
      </c>
      <c r="BP238" s="9">
        <f t="shared" ca="1" si="182"/>
        <v>214.17630345979461</v>
      </c>
      <c r="BQ238">
        <f t="shared" ca="1" si="183"/>
        <v>214.19250866076123</v>
      </c>
      <c r="BR238">
        <f t="shared" ca="1" si="184"/>
        <v>-1.2300757455389989E-2</v>
      </c>
      <c r="BS238">
        <f t="shared" ca="1" si="185"/>
        <v>0.99992434282100739</v>
      </c>
      <c r="BT238">
        <f t="shared" ca="1" si="186"/>
        <v>1.583097394473211</v>
      </c>
      <c r="BU238" s="40">
        <f t="shared" ca="1" si="187"/>
        <v>-1.5584952590165821</v>
      </c>
    </row>
    <row r="239" spans="45:73" x14ac:dyDescent="0.25">
      <c r="AS239" s="6">
        <v>0.99483767363675846</v>
      </c>
      <c r="AT239" s="6">
        <v>-8.5882164149499083</v>
      </c>
      <c r="AU239" s="6">
        <v>221.68688758068564</v>
      </c>
      <c r="AV239" s="6">
        <f t="shared" si="169"/>
        <v>1.609517263084975</v>
      </c>
      <c r="AW239" s="6">
        <f t="shared" si="170"/>
        <v>0.61467958944821655</v>
      </c>
      <c r="AX239" s="6">
        <f t="shared" si="171"/>
        <v>1.5320753904048181</v>
      </c>
      <c r="AY239" s="6">
        <f t="shared" si="172"/>
        <v>1.5320753904048181</v>
      </c>
      <c r="BF239" s="40"/>
      <c r="BG239" s="6">
        <f t="shared" si="173"/>
        <v>0.7679448708774953</v>
      </c>
      <c r="BH239" s="9">
        <f t="shared" ca="1" si="174"/>
        <v>76.503720043161721</v>
      </c>
      <c r="BI239" s="9">
        <f t="shared" ca="1" si="175"/>
        <v>271.37580624698717</v>
      </c>
      <c r="BJ239">
        <f t="shared" ca="1" si="176"/>
        <v>281.95327165444417</v>
      </c>
      <c r="BK239" s="6">
        <f t="shared" ca="1" si="177"/>
        <v>0.27133474846471378</v>
      </c>
      <c r="BL239" s="6">
        <f t="shared" ca="1" si="178"/>
        <v>0.96248504106588095</v>
      </c>
      <c r="BM239" s="6">
        <f t="shared" ca="1" si="179"/>
        <v>1.2960167926496406</v>
      </c>
      <c r="BN239" s="6">
        <f t="shared" ca="1" si="180"/>
        <v>-0.62339782734671645</v>
      </c>
      <c r="BO239" s="9">
        <f t="shared" ca="1" si="181"/>
        <v>-3.0784766529976935</v>
      </c>
      <c r="BP239" s="9">
        <f t="shared" ca="1" si="182"/>
        <v>215.20013798925697</v>
      </c>
      <c r="BQ239">
        <f t="shared" ca="1" si="183"/>
        <v>215.22215594380216</v>
      </c>
      <c r="BR239">
        <f t="shared" ca="1" si="184"/>
        <v>-1.4303716267025647E-2</v>
      </c>
      <c r="BS239">
        <f t="shared" ca="1" si="185"/>
        <v>0.99989769661748518</v>
      </c>
      <c r="BT239">
        <f t="shared" ca="1" si="186"/>
        <v>1.5851005308547355</v>
      </c>
      <c r="BU239" s="40">
        <f t="shared" ca="1" si="187"/>
        <v>-1.5564921226350577</v>
      </c>
    </row>
    <row r="240" spans="45:73" x14ac:dyDescent="0.25">
      <c r="AS240" s="6">
        <v>1.0122909661567017</v>
      </c>
      <c r="AT240" s="6">
        <v>-8.946519256766555</v>
      </c>
      <c r="AU240" s="6">
        <v>221.89437412184492</v>
      </c>
      <c r="AV240" s="6">
        <f t="shared" si="169"/>
        <v>1.6110933202314519</v>
      </c>
      <c r="AW240" s="6">
        <f t="shared" si="170"/>
        <v>0.59880235407475024</v>
      </c>
      <c r="AX240" s="6">
        <f t="shared" si="171"/>
        <v>1.5304993332583412</v>
      </c>
      <c r="AY240" s="6">
        <f t="shared" si="172"/>
        <v>1.5304993332583412</v>
      </c>
      <c r="BF240" s="40"/>
      <c r="BG240" s="6">
        <f t="shared" si="173"/>
        <v>0.78539816339743862</v>
      </c>
      <c r="BH240" s="9">
        <f t="shared" ca="1" si="174"/>
        <v>76.042044158319598</v>
      </c>
      <c r="BI240" s="9">
        <f t="shared" ca="1" si="175"/>
        <v>272.41074075544458</v>
      </c>
      <c r="BJ240">
        <f t="shared" ca="1" si="176"/>
        <v>282.82504160470984</v>
      </c>
      <c r="BK240" s="6">
        <f t="shared" ca="1" si="177"/>
        <v>0.26886602306099788</v>
      </c>
      <c r="BL240" s="6">
        <f t="shared" ca="1" si="178"/>
        <v>0.96317758572516787</v>
      </c>
      <c r="BM240" s="6">
        <f t="shared" ca="1" si="179"/>
        <v>1.2985808181615581</v>
      </c>
      <c r="BN240" s="6">
        <f t="shared" ca="1" si="180"/>
        <v>-0.62083380183479897</v>
      </c>
      <c r="BO240" s="9">
        <f t="shared" ca="1" si="181"/>
        <v>-3.5401525378398162</v>
      </c>
      <c r="BP240" s="9">
        <f t="shared" ca="1" si="182"/>
        <v>216.23507249771438</v>
      </c>
      <c r="BQ240">
        <f t="shared" ca="1" si="183"/>
        <v>216.26404985129398</v>
      </c>
      <c r="BR240">
        <f t="shared" ca="1" si="184"/>
        <v>-1.6369584035229489E-2</v>
      </c>
      <c r="BS240">
        <f t="shared" ca="1" si="185"/>
        <v>0.99986600938251402</v>
      </c>
      <c r="BT240">
        <f t="shared" ca="1" si="186"/>
        <v>1.5871666419928714</v>
      </c>
      <c r="BU240" s="40">
        <f t="shared" ca="1" si="187"/>
        <v>-1.5544260114969217</v>
      </c>
    </row>
    <row r="241" spans="45:73" x14ac:dyDescent="0.25">
      <c r="AS241" s="6">
        <v>1.029744258676645</v>
      </c>
      <c r="AT241" s="6">
        <v>-9.2977252900321616</v>
      </c>
      <c r="AU241" s="6">
        <v>222.08926520622748</v>
      </c>
      <c r="AV241" s="6">
        <f t="shared" si="169"/>
        <v>1.6126367059854274</v>
      </c>
      <c r="AW241" s="6">
        <f t="shared" si="170"/>
        <v>0.58289244730878242</v>
      </c>
      <c r="AX241" s="6">
        <f t="shared" si="171"/>
        <v>1.5289559475043657</v>
      </c>
      <c r="AY241" s="6">
        <f t="shared" si="172"/>
        <v>1.5289559475043657</v>
      </c>
      <c r="BF241" s="40"/>
      <c r="BG241" s="6">
        <f t="shared" si="173"/>
        <v>0.80285145591738194</v>
      </c>
      <c r="BH241" s="9">
        <f t="shared" ca="1" si="174"/>
        <v>75.561089041920752</v>
      </c>
      <c r="BI241" s="9">
        <f t="shared" ca="1" si="175"/>
        <v>273.45827027531692</v>
      </c>
      <c r="BJ241">
        <f t="shared" ca="1" si="176"/>
        <v>283.70566395327631</v>
      </c>
      <c r="BK241" s="6">
        <f t="shared" ca="1" si="177"/>
        <v>0.26633620206597269</v>
      </c>
      <c r="BL241" s="6">
        <f t="shared" ca="1" si="178"/>
        <v>0.9638801935246275</v>
      </c>
      <c r="BM241" s="6">
        <f t="shared" ca="1" si="179"/>
        <v>1.3012063954213122</v>
      </c>
      <c r="BN241" s="6">
        <f t="shared" ca="1" si="180"/>
        <v>-0.61820822457504487</v>
      </c>
      <c r="BO241" s="9">
        <f t="shared" ca="1" si="181"/>
        <v>-4.0211076542386621</v>
      </c>
      <c r="BP241" s="9">
        <f t="shared" ca="1" si="182"/>
        <v>217.28260201758673</v>
      </c>
      <c r="BQ241">
        <f t="shared" ca="1" si="183"/>
        <v>217.31980684304861</v>
      </c>
      <c r="BR241">
        <f t="shared" ca="1" si="184"/>
        <v>-1.8503180693247911E-2</v>
      </c>
      <c r="BS241">
        <f t="shared" ca="1" si="185"/>
        <v>0.99982880149765296</v>
      </c>
      <c r="BT241">
        <f t="shared" ca="1" si="186"/>
        <v>1.5893005634660653</v>
      </c>
      <c r="BU241" s="40">
        <f t="shared" ca="1" si="187"/>
        <v>-1.5522920900237278</v>
      </c>
    </row>
    <row r="242" spans="45:73" x14ac:dyDescent="0.25">
      <c r="AS242" s="6">
        <v>1.0471975511965883</v>
      </c>
      <c r="AT242" s="6">
        <v>-9.6422723102215908</v>
      </c>
      <c r="AU242" s="6">
        <v>222.27232001757778</v>
      </c>
      <c r="AV242" s="6">
        <f t="shared" si="169"/>
        <v>1.6141495911645478</v>
      </c>
      <c r="AW242" s="6">
        <f t="shared" si="170"/>
        <v>0.56695203996795951</v>
      </c>
      <c r="AX242" s="6">
        <f t="shared" si="171"/>
        <v>1.5274430623252453</v>
      </c>
      <c r="AY242" s="6">
        <f t="shared" si="172"/>
        <v>1.5274430623252453</v>
      </c>
      <c r="BF242" s="40"/>
      <c r="BG242" s="6">
        <f t="shared" si="173"/>
        <v>0.82030474843732526</v>
      </c>
      <c r="BH242" s="9">
        <f t="shared" ca="1" si="174"/>
        <v>75.059380407134014</v>
      </c>
      <c r="BI242" s="9">
        <f t="shared" ca="1" si="175"/>
        <v>274.51994827778753</v>
      </c>
      <c r="BJ242">
        <f t="shared" ca="1" si="176"/>
        <v>284.59640298068069</v>
      </c>
      <c r="BK242" s="6">
        <f t="shared" ca="1" si="177"/>
        <v>0.2637397367676122</v>
      </c>
      <c r="BL242" s="6">
        <f t="shared" ca="1" si="178"/>
        <v>0.96459387891990611</v>
      </c>
      <c r="BM242" s="6">
        <f t="shared" ca="1" si="179"/>
        <v>1.3038991604074222</v>
      </c>
      <c r="BN242" s="6">
        <f t="shared" ca="1" si="180"/>
        <v>-0.61551545958893494</v>
      </c>
      <c r="BO242" s="9">
        <f t="shared" ca="1" si="181"/>
        <v>-4.5228162890253998</v>
      </c>
      <c r="BP242" s="9">
        <f t="shared" ca="1" si="182"/>
        <v>218.34428002005734</v>
      </c>
      <c r="BQ242">
        <f t="shared" ca="1" si="183"/>
        <v>218.39111814508732</v>
      </c>
      <c r="BR242">
        <f t="shared" ca="1" si="184"/>
        <v>-2.0709708011205308E-2</v>
      </c>
      <c r="BS242">
        <f t="shared" ca="1" si="185"/>
        <v>0.99978553099856904</v>
      </c>
      <c r="BT242">
        <f t="shared" ca="1" si="186"/>
        <v>1.591507515463257</v>
      </c>
      <c r="BU242" s="40">
        <f t="shared" ca="1" si="187"/>
        <v>-1.5500851380265361</v>
      </c>
    </row>
    <row r="243" spans="45:73" x14ac:dyDescent="0.25">
      <c r="AS243" s="6">
        <v>1.0646508437165316</v>
      </c>
      <c r="AT243" s="6">
        <v>-9.9805728587938347</v>
      </c>
      <c r="AU243" s="6">
        <v>222.44423311160108</v>
      </c>
      <c r="AV243" s="6">
        <f t="shared" si="169"/>
        <v>1.6156340079044875</v>
      </c>
      <c r="AW243" s="6">
        <f t="shared" si="170"/>
        <v>0.5509831641879559</v>
      </c>
      <c r="AX243" s="6">
        <f t="shared" si="171"/>
        <v>1.5259586455853056</v>
      </c>
      <c r="AY243" s="6">
        <f t="shared" si="172"/>
        <v>1.5259586455853056</v>
      </c>
      <c r="BF243" s="40"/>
      <c r="BG243" s="6">
        <f t="shared" si="173"/>
        <v>0.83775804095726858</v>
      </c>
      <c r="BH243" s="9">
        <f t="shared" ca="1" si="174"/>
        <v>74.58644992389533</v>
      </c>
      <c r="BI243" s="9">
        <f t="shared" ca="1" si="175"/>
        <v>275.29289161855496</v>
      </c>
      <c r="BJ243">
        <f t="shared" ca="1" si="176"/>
        <v>285.21801255873584</v>
      </c>
      <c r="BK243" s="6">
        <f t="shared" ca="1" si="177"/>
        <v>0.26150680055150971</v>
      </c>
      <c r="BL243" s="6">
        <f t="shared" ca="1" si="178"/>
        <v>0.9652016334762975</v>
      </c>
      <c r="BM243" s="6">
        <f t="shared" ca="1" si="179"/>
        <v>1.3062133281057529</v>
      </c>
      <c r="BN243" s="6">
        <f t="shared" ca="1" si="180"/>
        <v>-0.61320129189060424</v>
      </c>
      <c r="BO243" s="9">
        <f t="shared" ca="1" si="181"/>
        <v>-4.9957467722640843</v>
      </c>
      <c r="BP243" s="9">
        <f t="shared" ca="1" si="182"/>
        <v>219.11722336082477</v>
      </c>
      <c r="BQ243">
        <f t="shared" ca="1" si="183"/>
        <v>219.1741660396365</v>
      </c>
      <c r="BR243">
        <f t="shared" ca="1" si="184"/>
        <v>-2.2793501910077438E-2</v>
      </c>
      <c r="BS243">
        <f t="shared" ca="1" si="185"/>
        <v>0.99974019438585915</v>
      </c>
      <c r="BT243">
        <f t="shared" ca="1" si="186"/>
        <v>1.5935918028700558</v>
      </c>
      <c r="BU243" s="40">
        <f t="shared" ca="1" si="187"/>
        <v>-1.5480008506197374</v>
      </c>
    </row>
    <row r="244" spans="45:73" x14ac:dyDescent="0.25">
      <c r="AS244" s="6">
        <v>1.0821041362364749</v>
      </c>
      <c r="AT244" s="6">
        <v>-10.31301645197734</v>
      </c>
      <c r="AU244" s="6">
        <v>222.6056403062195</v>
      </c>
      <c r="AV244" s="6">
        <f t="shared" si="169"/>
        <v>1.6170918631624616</v>
      </c>
      <c r="AW244" s="6">
        <f t="shared" si="170"/>
        <v>0.53498772692598662</v>
      </c>
      <c r="AX244" s="6">
        <f t="shared" si="171"/>
        <v>1.5245007903273315</v>
      </c>
      <c r="AY244" s="6">
        <f t="shared" si="172"/>
        <v>1.5245007903273315</v>
      </c>
      <c r="BF244" s="40"/>
      <c r="BG244" s="6">
        <f t="shared" si="173"/>
        <v>0.8552113334772119</v>
      </c>
      <c r="BH244" s="9">
        <f t="shared" ca="1" si="174"/>
        <v>74.171103913821511</v>
      </c>
      <c r="BI244" s="9">
        <f t="shared" ca="1" si="175"/>
        <v>275.63660671435571</v>
      </c>
      <c r="BJ244">
        <f t="shared" ca="1" si="176"/>
        <v>285.44157303518233</v>
      </c>
      <c r="BK244" s="6">
        <f t="shared" ca="1" si="177"/>
        <v>0.25984688608999323</v>
      </c>
      <c r="BL244" s="6">
        <f t="shared" ca="1" si="178"/>
        <v>0.96564983083379341</v>
      </c>
      <c r="BM244" s="6">
        <f t="shared" ca="1" si="179"/>
        <v>1.3079326877595416</v>
      </c>
      <c r="BN244" s="6">
        <f t="shared" ca="1" si="180"/>
        <v>-0.61148193223681546</v>
      </c>
      <c r="BO244" s="9">
        <f t="shared" ca="1" si="181"/>
        <v>-5.4110927823379029</v>
      </c>
      <c r="BP244" s="9">
        <f t="shared" ca="1" si="182"/>
        <v>219.46093845662551</v>
      </c>
      <c r="BQ244">
        <f t="shared" ca="1" si="183"/>
        <v>219.52763706048913</v>
      </c>
      <c r="BR244">
        <f t="shared" ca="1" si="184"/>
        <v>-2.4648799826724861E-2</v>
      </c>
      <c r="BS244">
        <f t="shared" ca="1" si="185"/>
        <v>0.99969617217787832</v>
      </c>
      <c r="BT244">
        <f t="shared" ca="1" si="186"/>
        <v>1.5954476232554324</v>
      </c>
      <c r="BU244" s="40">
        <f t="shared" ca="1" si="187"/>
        <v>-1.5461450302343607</v>
      </c>
    </row>
    <row r="245" spans="45:73" x14ac:dyDescent="0.25">
      <c r="AS245" s="6">
        <v>1.0995574287564183</v>
      </c>
      <c r="AT245" s="6">
        <v>-10.639971534257445</v>
      </c>
      <c r="AU245" s="6">
        <v>222.75712414115901</v>
      </c>
      <c r="AV245" s="6">
        <f t="shared" si="169"/>
        <v>1.6185249504545083</v>
      </c>
      <c r="AW245" s="6">
        <f t="shared" si="170"/>
        <v>0.51896752169809002</v>
      </c>
      <c r="AX245" s="6">
        <f t="shared" si="171"/>
        <v>1.5230677030352848</v>
      </c>
      <c r="AY245" s="6">
        <f t="shared" si="172"/>
        <v>1.5230677030352848</v>
      </c>
      <c r="BF245" s="40"/>
      <c r="BG245" s="6">
        <f t="shared" si="173"/>
        <v>0.87266462599715522</v>
      </c>
      <c r="BH245" s="9">
        <f t="shared" ca="1" si="174"/>
        <v>73.744121150602382</v>
      </c>
      <c r="BI245" s="9">
        <f t="shared" ca="1" si="175"/>
        <v>275.97650388480895</v>
      </c>
      <c r="BJ245">
        <f t="shared" ca="1" si="176"/>
        <v>285.65928323924061</v>
      </c>
      <c r="BK245" s="6">
        <f t="shared" ca="1" si="177"/>
        <v>0.25815412093168849</v>
      </c>
      <c r="BL245" s="6">
        <f t="shared" ca="1" si="178"/>
        <v>0.96610374693714296</v>
      </c>
      <c r="BM245" s="6">
        <f t="shared" ca="1" si="179"/>
        <v>1.3096852557314684</v>
      </c>
      <c r="BN245" s="6">
        <f t="shared" ca="1" si="180"/>
        <v>-0.60972936426488866</v>
      </c>
      <c r="BO245" s="9">
        <f t="shared" ca="1" si="181"/>
        <v>-5.8380755455570323</v>
      </c>
      <c r="BP245" s="9">
        <f t="shared" ca="1" si="182"/>
        <v>219.80083562707875</v>
      </c>
      <c r="BQ245">
        <f t="shared" ca="1" si="183"/>
        <v>219.87835379690682</v>
      </c>
      <c r="BR245">
        <f t="shared" ca="1" si="184"/>
        <v>-2.6551388277854027E-2</v>
      </c>
      <c r="BS245">
        <f t="shared" ca="1" si="185"/>
        <v>0.99964744974441788</v>
      </c>
      <c r="BT245">
        <f t="shared" ca="1" si="186"/>
        <v>1.5973508357457404</v>
      </c>
      <c r="BU245" s="40">
        <f t="shared" ca="1" si="187"/>
        <v>-1.5442418177440527</v>
      </c>
    </row>
    <row r="246" spans="45:73" x14ac:dyDescent="0.25">
      <c r="AS246" s="6">
        <v>1.1170107212763616</v>
      </c>
      <c r="AT246" s="6">
        <v>-10.961787266170903</v>
      </c>
      <c r="AU246" s="6">
        <v>222.89921871059619</v>
      </c>
      <c r="AV246" s="6">
        <f t="shared" si="169"/>
        <v>1.6199349604444906</v>
      </c>
      <c r="AW246" s="6">
        <f t="shared" si="170"/>
        <v>0.50292423916812901</v>
      </c>
      <c r="AX246" s="6">
        <f t="shared" si="171"/>
        <v>1.5216576930453025</v>
      </c>
      <c r="AY246" s="6">
        <f t="shared" si="172"/>
        <v>1.5216576930453025</v>
      </c>
      <c r="BF246" s="40"/>
      <c r="BG246" s="6">
        <f t="shared" si="173"/>
        <v>0.89011791851709854</v>
      </c>
      <c r="BH246" s="9">
        <f t="shared" ca="1" si="174"/>
        <v>73.321187729536902</v>
      </c>
      <c r="BI246" s="9">
        <f t="shared" ca="1" si="175"/>
        <v>276.30053960573679</v>
      </c>
      <c r="BJ246">
        <f t="shared" ca="1" si="176"/>
        <v>285.86357717710615</v>
      </c>
      <c r="BK246" s="6">
        <f t="shared" ca="1" si="177"/>
        <v>0.25649013579687668</v>
      </c>
      <c r="BL246" s="6">
        <f t="shared" ca="1" si="178"/>
        <v>0.96654684844496785</v>
      </c>
      <c r="BM246" s="6">
        <f t="shared" ca="1" si="179"/>
        <v>1.311407227336288</v>
      </c>
      <c r="BN246" s="6">
        <f t="shared" ca="1" si="180"/>
        <v>-0.60800739266006909</v>
      </c>
      <c r="BO246" s="9">
        <f t="shared" ca="1" si="181"/>
        <v>-6.2610089666225122</v>
      </c>
      <c r="BP246" s="9">
        <f t="shared" ca="1" si="182"/>
        <v>220.12487134800659</v>
      </c>
      <c r="BQ246">
        <f t="shared" ca="1" si="183"/>
        <v>220.21389424660873</v>
      </c>
      <c r="BR246">
        <f t="shared" ca="1" si="184"/>
        <v>-2.8431489248408E-2</v>
      </c>
      <c r="BS246">
        <f t="shared" ca="1" si="185"/>
        <v>0.99959574349789915</v>
      </c>
      <c r="BT246">
        <f t="shared" ca="1" si="186"/>
        <v>1.5992316478677253</v>
      </c>
      <c r="BU246" s="40">
        <f t="shared" ca="1" si="187"/>
        <v>-1.5423610056220678</v>
      </c>
    </row>
    <row r="247" spans="45:73" x14ac:dyDescent="0.25">
      <c r="AS247" s="6">
        <v>1.1344640137963049</v>
      </c>
      <c r="AT247" s="6">
        <v>-11.27879520548106</v>
      </c>
      <c r="AU247" s="6">
        <v>223.03241381508286</v>
      </c>
      <c r="AV247" s="6">
        <f t="shared" si="169"/>
        <v>1.621323490741275</v>
      </c>
      <c r="AW247" s="6">
        <f t="shared" si="170"/>
        <v>0.48685947694497012</v>
      </c>
      <c r="AX247" s="6">
        <f t="shared" si="171"/>
        <v>1.5202691627485181</v>
      </c>
      <c r="AY247" s="6">
        <f t="shared" si="172"/>
        <v>1.5202691627485181</v>
      </c>
      <c r="BF247" s="40"/>
      <c r="BG247" s="6">
        <f t="shared" si="173"/>
        <v>0.90757121103704186</v>
      </c>
      <c r="BH247" s="9">
        <f t="shared" ca="1" si="174"/>
        <v>72.909360254958258</v>
      </c>
      <c r="BI247" s="9">
        <f t="shared" ca="1" si="175"/>
        <v>276.60414973398326</v>
      </c>
      <c r="BJ247">
        <f t="shared" ca="1" si="176"/>
        <v>286.05179681807124</v>
      </c>
      <c r="BK247" s="6">
        <f t="shared" ca="1" si="177"/>
        <v>0.25488167201176004</v>
      </c>
      <c r="BL247" s="6">
        <f t="shared" ca="1" si="178"/>
        <v>0.96697225051833302</v>
      </c>
      <c r="BM247" s="6">
        <f t="shared" ca="1" si="179"/>
        <v>1.3130709951417818</v>
      </c>
      <c r="BN247" s="6">
        <f t="shared" ca="1" si="180"/>
        <v>-0.60634362485457527</v>
      </c>
      <c r="BO247" s="9">
        <f t="shared" ca="1" si="181"/>
        <v>-6.6728364412011558</v>
      </c>
      <c r="BP247" s="9">
        <f t="shared" ca="1" si="182"/>
        <v>220.42848147625307</v>
      </c>
      <c r="BQ247">
        <f t="shared" ca="1" si="183"/>
        <v>220.52945878521052</v>
      </c>
      <c r="BR247">
        <f t="shared" ca="1" si="184"/>
        <v>-3.0258254284749823E-2</v>
      </c>
      <c r="BS247">
        <f t="shared" ca="1" si="185"/>
        <v>0.9995421141941141</v>
      </c>
      <c r="BT247">
        <f t="shared" ca="1" si="186"/>
        <v>1.6010592002007187</v>
      </c>
      <c r="BU247" s="40">
        <f t="shared" ca="1" si="187"/>
        <v>-1.5405334532890744</v>
      </c>
    </row>
    <row r="248" spans="45:73" x14ac:dyDescent="0.25">
      <c r="AS248" s="6">
        <v>1.1519173063162482</v>
      </c>
      <c r="AT248" s="6">
        <v>-11.591310796572815</v>
      </c>
      <c r="AU248" s="6">
        <v>223.15715882130465</v>
      </c>
      <c r="AV248" s="6">
        <f t="shared" si="169"/>
        <v>1.622692054505849</v>
      </c>
      <c r="AW248" s="6">
        <f t="shared" si="170"/>
        <v>0.47077474818960074</v>
      </c>
      <c r="AX248" s="6">
        <f t="shared" si="171"/>
        <v>1.5189005989839441</v>
      </c>
      <c r="AY248" s="6">
        <f t="shared" si="172"/>
        <v>1.5189005989839441</v>
      </c>
      <c r="BF248" s="40"/>
      <c r="BG248" s="6">
        <f t="shared" si="173"/>
        <v>0.92502450355698518</v>
      </c>
      <c r="BH248" s="9">
        <f t="shared" ca="1" si="174"/>
        <v>72.507940324190443</v>
      </c>
      <c r="BI248" s="9">
        <f t="shared" ca="1" si="175"/>
        <v>276.88879791752026</v>
      </c>
      <c r="BJ248">
        <f t="shared" ca="1" si="176"/>
        <v>286.22509991659666</v>
      </c>
      <c r="BK248" s="6">
        <f t="shared" ca="1" si="177"/>
        <v>0.25332488431419392</v>
      </c>
      <c r="BL248" s="6">
        <f t="shared" ca="1" si="178"/>
        <v>0.96738126040729167</v>
      </c>
      <c r="BM248" s="6">
        <f t="shared" ca="1" si="179"/>
        <v>1.3146806154646984</v>
      </c>
      <c r="BN248" s="6">
        <f t="shared" ca="1" si="180"/>
        <v>-0.60473400453165871</v>
      </c>
      <c r="BO248" s="9">
        <f t="shared" ca="1" si="181"/>
        <v>-7.0742563719689713</v>
      </c>
      <c r="BP248" s="9">
        <f t="shared" ca="1" si="182"/>
        <v>220.71312965979007</v>
      </c>
      <c r="BQ248">
        <f t="shared" ca="1" si="183"/>
        <v>220.82647193539918</v>
      </c>
      <c r="BR248">
        <f t="shared" ca="1" si="184"/>
        <v>-3.2035363831010633E-2</v>
      </c>
      <c r="BS248">
        <f t="shared" ca="1" si="185"/>
        <v>0.99948673601214677</v>
      </c>
      <c r="BT248">
        <f t="shared" ca="1" si="186"/>
        <v>1.6028371726176047</v>
      </c>
      <c r="BU248" s="40">
        <f t="shared" ca="1" si="187"/>
        <v>-1.5387554808721884</v>
      </c>
    </row>
    <row r="249" spans="45:73" x14ac:dyDescent="0.25">
      <c r="AS249" s="6">
        <v>1.1693705988361915</v>
      </c>
      <c r="AT249" s="6">
        <v>-11.89963475755407</v>
      </c>
      <c r="AU249" s="6">
        <v>223.27386604651679</v>
      </c>
      <c r="AV249" s="6">
        <f t="shared" si="169"/>
        <v>1.6240420883627744</v>
      </c>
      <c r="AW249" s="6">
        <f t="shared" si="170"/>
        <v>0.45467148952658287</v>
      </c>
      <c r="AX249" s="6">
        <f t="shared" si="171"/>
        <v>1.5175505651270187</v>
      </c>
      <c r="AY249" s="6">
        <f t="shared" si="172"/>
        <v>1.5175505651270187</v>
      </c>
      <c r="BF249" s="40"/>
      <c r="BG249" s="6">
        <f t="shared" si="173"/>
        <v>0.9424777960769285</v>
      </c>
      <c r="BH249" s="9">
        <f t="shared" ca="1" si="174"/>
        <v>72.116278202288754</v>
      </c>
      <c r="BI249" s="9">
        <f t="shared" ca="1" si="175"/>
        <v>277.15581106230076</v>
      </c>
      <c r="BJ249">
        <f t="shared" ca="1" si="176"/>
        <v>286.3845337781907</v>
      </c>
      <c r="BK249" s="6">
        <f t="shared" ca="1" si="177"/>
        <v>0.25181624597836677</v>
      </c>
      <c r="BL249" s="6">
        <f t="shared" ca="1" si="178"/>
        <v>0.96777506594319884</v>
      </c>
      <c r="BM249" s="6">
        <f t="shared" ca="1" si="179"/>
        <v>1.3162398052930864</v>
      </c>
      <c r="BN249" s="6">
        <f t="shared" ca="1" si="180"/>
        <v>-0.60317481470327072</v>
      </c>
      <c r="BO249" s="9">
        <f t="shared" ca="1" si="181"/>
        <v>-7.4659184938706602</v>
      </c>
      <c r="BP249" s="9">
        <f t="shared" ca="1" si="182"/>
        <v>220.98014280457056</v>
      </c>
      <c r="BQ249">
        <f t="shared" ca="1" si="183"/>
        <v>221.10622662622038</v>
      </c>
      <c r="BR249">
        <f t="shared" ca="1" si="184"/>
        <v>-3.3766206441991249E-2</v>
      </c>
      <c r="BS249">
        <f t="shared" ca="1" si="185"/>
        <v>0.99942975906389575</v>
      </c>
      <c r="BT249">
        <f t="shared" ca="1" si="186"/>
        <v>1.6045689529922913</v>
      </c>
      <c r="BU249" s="40">
        <f t="shared" ca="1" si="187"/>
        <v>-1.5370237004975018</v>
      </c>
    </row>
    <row r="250" spans="45:73" x14ac:dyDescent="0.25">
      <c r="AS250" s="6">
        <v>1.1868238913561349</v>
      </c>
      <c r="AT250" s="6">
        <v>-12.204054332113312</v>
      </c>
      <c r="AU250" s="6">
        <v>223.38291386212245</v>
      </c>
      <c r="AV250" s="6">
        <f t="shared" si="169"/>
        <v>1.6253749594726907</v>
      </c>
      <c r="AW250" s="6">
        <f t="shared" si="170"/>
        <v>0.43855106811655586</v>
      </c>
      <c r="AX250" s="6">
        <f t="shared" si="171"/>
        <v>1.5162176940171024</v>
      </c>
      <c r="AY250" s="6">
        <f t="shared" si="172"/>
        <v>1.5162176940171024</v>
      </c>
      <c r="BF250" s="40"/>
      <c r="BG250" s="6">
        <f t="shared" si="173"/>
        <v>0.95993108859687182</v>
      </c>
      <c r="BH250" s="9">
        <f t="shared" ca="1" si="174"/>
        <v>71.733768348760194</v>
      </c>
      <c r="BI250" s="9">
        <f t="shared" ca="1" si="175"/>
        <v>277.4063941662443</v>
      </c>
      <c r="BJ250">
        <f t="shared" ca="1" si="176"/>
        <v>286.53104726334857</v>
      </c>
      <c r="BK250" s="6">
        <f t="shared" ca="1" si="177"/>
        <v>0.25035251514238249</v>
      </c>
      <c r="BL250" s="6">
        <f t="shared" ca="1" si="178"/>
        <v>0.96815474907779231</v>
      </c>
      <c r="BM250" s="6">
        <f t="shared" ca="1" si="179"/>
        <v>1.3177519784573248</v>
      </c>
      <c r="BN250" s="6">
        <f t="shared" ca="1" si="180"/>
        <v>-0.60166264153903226</v>
      </c>
      <c r="BO250" s="9">
        <f t="shared" ca="1" si="181"/>
        <v>-7.8484283473992207</v>
      </c>
      <c r="BP250" s="9">
        <f t="shared" ca="1" si="182"/>
        <v>221.2307259085141</v>
      </c>
      <c r="BQ250">
        <f t="shared" ca="1" si="183"/>
        <v>221.36989839075309</v>
      </c>
      <c r="BR250">
        <f t="shared" ca="1" si="184"/>
        <v>-3.5453909517298036E-2</v>
      </c>
      <c r="BS250">
        <f t="shared" ca="1" si="185"/>
        <v>0.99937131252599964</v>
      </c>
      <c r="BT250">
        <f t="shared" ca="1" si="186"/>
        <v>1.6062576679907152</v>
      </c>
      <c r="BU250" s="40">
        <f t="shared" ca="1" si="187"/>
        <v>-1.5353349854990779</v>
      </c>
    </row>
    <row r="251" spans="45:73" x14ac:dyDescent="0.25">
      <c r="AS251" s="6">
        <v>1.2042771838760782</v>
      </c>
      <c r="AT251" s="6">
        <v>-12.504844532761336</v>
      </c>
      <c r="AU251" s="6">
        <v>223.48464919279479</v>
      </c>
      <c r="AV251" s="6">
        <f t="shared" si="169"/>
        <v>1.6266919724505657</v>
      </c>
      <c r="AW251" s="6">
        <f t="shared" si="170"/>
        <v>0.42241478857448755</v>
      </c>
      <c r="AX251" s="6">
        <f t="shared" si="171"/>
        <v>1.5149006810392274</v>
      </c>
      <c r="AY251" s="6">
        <f t="shared" si="172"/>
        <v>1.5149006810392274</v>
      </c>
      <c r="BF251" s="40"/>
      <c r="BG251" s="6">
        <f t="shared" si="173"/>
        <v>0.97738438111681514</v>
      </c>
      <c r="BH251" s="9">
        <f t="shared" ca="1" si="174"/>
        <v>71.359845348948596</v>
      </c>
      <c r="BI251" s="9">
        <f t="shared" ca="1" si="175"/>
        <v>277.64164309440309</v>
      </c>
      <c r="BJ251">
        <f t="shared" ca="1" si="176"/>
        <v>286.66550107814817</v>
      </c>
      <c r="BK251" s="6">
        <f t="shared" ca="1" si="177"/>
        <v>0.2489307052315832</v>
      </c>
      <c r="BL251" s="6">
        <f t="shared" ca="1" si="178"/>
        <v>0.96852129764549144</v>
      </c>
      <c r="BM251" s="6">
        <f t="shared" ca="1" si="179"/>
        <v>1.3192202773581809</v>
      </c>
      <c r="BN251" s="6">
        <f t="shared" ca="1" si="180"/>
        <v>-0.60019434263817617</v>
      </c>
      <c r="BO251" s="9">
        <f t="shared" ca="1" si="181"/>
        <v>-8.2223513472108181</v>
      </c>
      <c r="BP251" s="9">
        <f t="shared" ca="1" si="182"/>
        <v>221.4659748366729</v>
      </c>
      <c r="BQ251">
        <f t="shared" ca="1" si="183"/>
        <v>221.61855759848908</v>
      </c>
      <c r="BR251">
        <f t="shared" ca="1" si="184"/>
        <v>-3.7101366583692966E-2</v>
      </c>
      <c r="BS251">
        <f t="shared" ca="1" si="185"/>
        <v>0.99931150728770368</v>
      </c>
      <c r="BT251">
        <f t="shared" ca="1" si="186"/>
        <v>1.6079062103977009</v>
      </c>
      <c r="BU251" s="40">
        <f t="shared" ca="1" si="187"/>
        <v>-1.5336864430920922</v>
      </c>
    </row>
    <row r="252" spans="45:73" x14ac:dyDescent="0.25">
      <c r="AS252" s="6">
        <v>1.2217304763960215</v>
      </c>
      <c r="AT252" s="6">
        <v>-12.802269137730379</v>
      </c>
      <c r="AU252" s="6">
        <v>223.57939023546362</v>
      </c>
      <c r="AV252" s="6">
        <f t="shared" si="169"/>
        <v>1.6279943749052064</v>
      </c>
      <c r="AW252" s="6">
        <f t="shared" si="170"/>
        <v>0.40626389850918487</v>
      </c>
      <c r="AX252" s="6">
        <f t="shared" si="171"/>
        <v>1.5135982785845867</v>
      </c>
      <c r="AY252" s="6">
        <f t="shared" si="172"/>
        <v>1.5135982785845867</v>
      </c>
      <c r="BF252" s="40"/>
      <c r="BG252" s="6">
        <f t="shared" si="173"/>
        <v>0.99483767363675846</v>
      </c>
      <c r="BH252" s="9">
        <f t="shared" ca="1" si="174"/>
        <v>70.993980281209502</v>
      </c>
      <c r="BI252" s="9">
        <f t="shared" ca="1" si="175"/>
        <v>277.8625558384158</v>
      </c>
      <c r="BJ252">
        <f t="shared" ca="1" si="176"/>
        <v>286.78867685671537</v>
      </c>
      <c r="BK252" s="6">
        <f t="shared" ca="1" si="177"/>
        <v>0.24754805893776391</v>
      </c>
      <c r="BL252" s="6">
        <f t="shared" ca="1" si="178"/>
        <v>0.96887561560612379</v>
      </c>
      <c r="BM252" s="6">
        <f t="shared" ca="1" si="179"/>
        <v>1.3206476008453083</v>
      </c>
      <c r="BN252" s="6">
        <f t="shared" ca="1" si="180"/>
        <v>-0.5987670191510488</v>
      </c>
      <c r="BO252" s="9">
        <f t="shared" ca="1" si="181"/>
        <v>-8.5882164149499118</v>
      </c>
      <c r="BP252" s="9">
        <f t="shared" ca="1" si="182"/>
        <v>221.68688758068561</v>
      </c>
      <c r="BQ252">
        <f t="shared" ca="1" si="183"/>
        <v>221.85318024856338</v>
      </c>
      <c r="BR252">
        <f t="shared" ca="1" si="184"/>
        <v>-3.8711261228384058E-2</v>
      </c>
      <c r="BS252">
        <f t="shared" ca="1" si="185"/>
        <v>0.9992504382056121</v>
      </c>
      <c r="BT252">
        <f t="shared" ca="1" si="186"/>
        <v>1.6095172630849752</v>
      </c>
      <c r="BU252" s="40">
        <f t="shared" ca="1" si="187"/>
        <v>-1.5320753904048179</v>
      </c>
    </row>
    <row r="253" spans="45:73" x14ac:dyDescent="0.25">
      <c r="AS253" s="6">
        <v>1.2391837689159648</v>
      </c>
      <c r="AT253" s="6">
        <v>-13.096581789645324</v>
      </c>
      <c r="AU253" s="6">
        <v>223.66742835379705</v>
      </c>
      <c r="AV253" s="6">
        <f t="shared" si="169"/>
        <v>1.629283363437354</v>
      </c>
      <c r="AW253" s="6">
        <f t="shared" si="170"/>
        <v>0.3900995945213892</v>
      </c>
      <c r="AX253" s="6">
        <f t="shared" si="171"/>
        <v>1.5123092900524391</v>
      </c>
      <c r="AY253" s="6">
        <f t="shared" si="172"/>
        <v>1.5123092900524391</v>
      </c>
      <c r="BF253" s="40"/>
      <c r="BG253" s="6">
        <f t="shared" si="173"/>
        <v>1.0122909661567017</v>
      </c>
      <c r="BH253" s="9">
        <f t="shared" ca="1" si="174"/>
        <v>70.635677439392865</v>
      </c>
      <c r="BI253" s="9">
        <f t="shared" ca="1" si="175"/>
        <v>278.07004237957511</v>
      </c>
      <c r="BJ253">
        <f t="shared" ca="1" si="176"/>
        <v>286.90128510744012</v>
      </c>
      <c r="BK253" s="6">
        <f t="shared" ca="1" si="177"/>
        <v>0.2462020252469099</v>
      </c>
      <c r="BL253" s="6">
        <f t="shared" ca="1" si="178"/>
        <v>0.9692185319959169</v>
      </c>
      <c r="BM253" s="6">
        <f t="shared" ca="1" si="179"/>
        <v>1.3220366287994971</v>
      </c>
      <c r="BN253" s="6">
        <f t="shared" ca="1" si="180"/>
        <v>-0.59737799119685997</v>
      </c>
      <c r="BO253" s="9">
        <f t="shared" ca="1" si="181"/>
        <v>-8.9465192567665497</v>
      </c>
      <c r="BP253" s="9">
        <f t="shared" ca="1" si="182"/>
        <v>221.89437412184492</v>
      </c>
      <c r="BQ253">
        <f t="shared" ca="1" si="183"/>
        <v>222.07465743244313</v>
      </c>
      <c r="BR253">
        <f t="shared" ca="1" si="184"/>
        <v>-4.0286088292123795E-2</v>
      </c>
      <c r="BS253">
        <f t="shared" ca="1" si="185"/>
        <v>0.99918818602409387</v>
      </c>
      <c r="BT253">
        <f t="shared" ca="1" si="186"/>
        <v>1.6110933202314519</v>
      </c>
      <c r="BU253" s="40">
        <f t="shared" ca="1" si="187"/>
        <v>-1.5304993332583412</v>
      </c>
    </row>
    <row r="254" spans="45:73" x14ac:dyDescent="0.25">
      <c r="AS254" s="6">
        <v>1.2566370614359081</v>
      </c>
      <c r="AT254" s="6">
        <v>-13.388026841035677</v>
      </c>
      <c r="AU254" s="6">
        <v>223.74903032862443</v>
      </c>
      <c r="AV254" s="6">
        <f t="shared" si="169"/>
        <v>1.630560088247518</v>
      </c>
      <c r="AW254" s="6">
        <f t="shared" si="170"/>
        <v>0.37392302681160983</v>
      </c>
      <c r="AX254" s="6">
        <f t="shared" si="171"/>
        <v>1.5110325652422751</v>
      </c>
      <c r="AY254" s="6">
        <f t="shared" si="172"/>
        <v>1.5110325652422751</v>
      </c>
      <c r="BF254" s="40"/>
      <c r="BG254" s="6">
        <f t="shared" si="173"/>
        <v>1.029744258676645</v>
      </c>
      <c r="BH254" s="9">
        <f t="shared" ca="1" si="174"/>
        <v>70.284471406127253</v>
      </c>
      <c r="BI254" s="9">
        <f t="shared" ca="1" si="175"/>
        <v>278.26493346395768</v>
      </c>
      <c r="BJ254">
        <f t="shared" ca="1" si="176"/>
        <v>287.00397230097622</v>
      </c>
      <c r="BK254" s="6">
        <f t="shared" ca="1" si="177"/>
        <v>0.2448902391233147</v>
      </c>
      <c r="BL254" s="6">
        <f t="shared" ca="1" si="178"/>
        <v>0.9695508087677126</v>
      </c>
      <c r="BM254" s="6">
        <f t="shared" ca="1" si="179"/>
        <v>1.3233898438476583</v>
      </c>
      <c r="BN254" s="6">
        <f t="shared" ca="1" si="180"/>
        <v>-0.59602477614869875</v>
      </c>
      <c r="BO254" s="9">
        <f t="shared" ca="1" si="181"/>
        <v>-9.2977252900321616</v>
      </c>
      <c r="BP254" s="9">
        <f t="shared" ca="1" si="182"/>
        <v>222.08926520622748</v>
      </c>
      <c r="BQ254">
        <f t="shared" ca="1" si="183"/>
        <v>222.28380376314183</v>
      </c>
      <c r="BR254">
        <f t="shared" ca="1" si="184"/>
        <v>-4.1828172510218087E-2</v>
      </c>
      <c r="BS254">
        <f t="shared" ca="1" si="185"/>
        <v>0.99912481902135508</v>
      </c>
      <c r="BT254">
        <f t="shared" ca="1" si="186"/>
        <v>1.6126367059854274</v>
      </c>
      <c r="BU254" s="40">
        <f t="shared" ca="1" si="187"/>
        <v>-1.5289559475043657</v>
      </c>
    </row>
    <row r="255" spans="45:73" x14ac:dyDescent="0.25">
      <c r="AS255" s="6">
        <v>1.2740903539558515</v>
      </c>
      <c r="AT255" s="6">
        <v>-13.67684035217539</v>
      </c>
      <c r="AU255" s="6">
        <v>223.82443972676316</v>
      </c>
      <c r="AV255" s="6">
        <f t="shared" si="169"/>
        <v>1.6318256584985353</v>
      </c>
      <c r="AW255" s="6">
        <f t="shared" si="170"/>
        <v>0.35773530454268387</v>
      </c>
      <c r="AX255" s="6">
        <f t="shared" si="171"/>
        <v>1.5097669949912578</v>
      </c>
      <c r="AY255" s="6">
        <f t="shared" si="172"/>
        <v>1.5097669949912578</v>
      </c>
      <c r="BF255" s="40"/>
      <c r="BG255" s="6">
        <f t="shared" si="173"/>
        <v>1.0471975511965883</v>
      </c>
      <c r="BH255" s="9">
        <f t="shared" ca="1" si="174"/>
        <v>69.939924385937829</v>
      </c>
      <c r="BI255" s="9">
        <f t="shared" ca="1" si="175"/>
        <v>278.44798827530798</v>
      </c>
      <c r="BJ255">
        <f t="shared" ca="1" si="176"/>
        <v>287.09732704725195</v>
      </c>
      <c r="BK255" s="6">
        <f t="shared" ca="1" si="177"/>
        <v>0.24361050346674512</v>
      </c>
      <c r="BL255" s="6">
        <f t="shared" ca="1" si="178"/>
        <v>0.96987314768513877</v>
      </c>
      <c r="BM255" s="6">
        <f t="shared" ca="1" si="179"/>
        <v>1.3247095506261342</v>
      </c>
      <c r="BN255" s="6">
        <f t="shared" ca="1" si="180"/>
        <v>-0.59470506937022294</v>
      </c>
      <c r="BO255" s="9">
        <f t="shared" ca="1" si="181"/>
        <v>-9.6422723102215855</v>
      </c>
      <c r="BP255" s="9">
        <f t="shared" ca="1" si="182"/>
        <v>222.27232001757778</v>
      </c>
      <c r="BQ255">
        <f t="shared" ca="1" si="183"/>
        <v>222.48136475062574</v>
      </c>
      <c r="BR255">
        <f t="shared" ca="1" si="184"/>
        <v>-4.3339685195788812E-2</v>
      </c>
      <c r="BS255">
        <f t="shared" ca="1" si="185"/>
        <v>0.99906039441423655</v>
      </c>
      <c r="BT255">
        <f t="shared" ca="1" si="186"/>
        <v>1.6141495911645478</v>
      </c>
      <c r="BU255" s="40">
        <f t="shared" ca="1" si="187"/>
        <v>-1.5274430623252453</v>
      </c>
    </row>
    <row r="256" spans="45:73" x14ac:dyDescent="0.25">
      <c r="AS256" s="6">
        <v>1.2915436464757948</v>
      </c>
      <c r="AT256" s="6">
        <v>-13.963250774424505</v>
      </c>
      <c r="AU256" s="6">
        <v>223.89387890954254</v>
      </c>
      <c r="AV256" s="6">
        <f t="shared" si="169"/>
        <v>1.6330811459770835</v>
      </c>
      <c r="AW256" s="6">
        <f t="shared" si="170"/>
        <v>0.34153749950128875</v>
      </c>
      <c r="AX256" s="6">
        <f t="shared" si="171"/>
        <v>1.5085115075127096</v>
      </c>
      <c r="AY256" s="6">
        <f t="shared" si="172"/>
        <v>1.5085115075127096</v>
      </c>
      <c r="BF256" s="40"/>
      <c r="BG256" s="6">
        <f t="shared" si="173"/>
        <v>1.0646508437165316</v>
      </c>
      <c r="BH256" s="9">
        <f t="shared" ca="1" si="174"/>
        <v>69.60162383736558</v>
      </c>
      <c r="BI256" s="9">
        <f t="shared" ca="1" si="175"/>
        <v>278.61990136933127</v>
      </c>
      <c r="BJ256">
        <f t="shared" ca="1" si="176"/>
        <v>287.18188570983028</v>
      </c>
      <c r="BK256" s="6">
        <f t="shared" ca="1" si="177"/>
        <v>0.24236077308751755</v>
      </c>
      <c r="BL256" s="6">
        <f t="shared" ca="1" si="178"/>
        <v>0.97018619639140447</v>
      </c>
      <c r="BM256" s="6">
        <f t="shared" ca="1" si="179"/>
        <v>1.3259978928721403</v>
      </c>
      <c r="BN256" s="6">
        <f t="shared" ca="1" si="180"/>
        <v>-0.59341672712421678</v>
      </c>
      <c r="BO256" s="9">
        <f t="shared" ca="1" si="181"/>
        <v>-9.9805728587938347</v>
      </c>
      <c r="BP256" s="9">
        <f t="shared" ca="1" si="182"/>
        <v>222.44423311160108</v>
      </c>
      <c r="BQ256">
        <f t="shared" ca="1" si="183"/>
        <v>222.66802347709924</v>
      </c>
      <c r="BR256">
        <f t="shared" ca="1" si="184"/>
        <v>-4.4822658875490973E-2</v>
      </c>
      <c r="BS256">
        <f t="shared" ca="1" si="185"/>
        <v>0.99899495957253526</v>
      </c>
      <c r="BT256">
        <f t="shared" ca="1" si="186"/>
        <v>1.6156340079044875</v>
      </c>
      <c r="BU256" s="40">
        <f t="shared" ca="1" si="187"/>
        <v>-1.5259586455853056</v>
      </c>
    </row>
    <row r="257" spans="45:73" x14ac:dyDescent="0.25">
      <c r="AS257" s="6">
        <v>1.3089969389957381</v>
      </c>
      <c r="AT257" s="6">
        <v>-14.247479875121293</v>
      </c>
      <c r="AU257" s="6">
        <v>223.95754995909874</v>
      </c>
      <c r="AV257" s="6">
        <f t="shared" si="169"/>
        <v>1.6343275900040453</v>
      </c>
      <c r="AW257" s="6">
        <f t="shared" si="170"/>
        <v>0.32533065100830716</v>
      </c>
      <c r="AX257" s="6">
        <f t="shared" si="171"/>
        <v>1.5072650634857478</v>
      </c>
      <c r="AY257" s="6">
        <f t="shared" si="172"/>
        <v>1.5072650634857478</v>
      </c>
      <c r="BF257" s="40"/>
      <c r="BG257" s="6">
        <f t="shared" si="173"/>
        <v>1.0821041362364749</v>
      </c>
      <c r="BH257" s="9">
        <f t="shared" ca="1" si="174"/>
        <v>69.269180244182081</v>
      </c>
      <c r="BI257" s="9">
        <f t="shared" ca="1" si="175"/>
        <v>278.78130856394966</v>
      </c>
      <c r="BJ257">
        <f t="shared" ca="1" si="176"/>
        <v>287.25813711073374</v>
      </c>
      <c r="BK257" s="6">
        <f t="shared" ca="1" si="177"/>
        <v>0.24113914035959874</v>
      </c>
      <c r="BL257" s="6">
        <f t="shared" ca="1" si="178"/>
        <v>0.97049055378536975</v>
      </c>
      <c r="BM257" s="6">
        <f t="shared" ca="1" si="179"/>
        <v>1.3272568687077071</v>
      </c>
      <c r="BN257" s="6">
        <f t="shared" ca="1" si="180"/>
        <v>-0.59215775128865</v>
      </c>
      <c r="BO257" s="9">
        <f t="shared" ca="1" si="181"/>
        <v>-10.313016451977333</v>
      </c>
      <c r="BP257" s="9">
        <f t="shared" ca="1" si="182"/>
        <v>222.60564030621947</v>
      </c>
      <c r="BQ257">
        <f t="shared" ca="1" si="183"/>
        <v>222.84440626697526</v>
      </c>
      <c r="BR257">
        <f t="shared" ca="1" si="184"/>
        <v>-4.6279000782375415E-2</v>
      </c>
      <c r="BS257">
        <f t="shared" ca="1" si="185"/>
        <v>0.99892855304400263</v>
      </c>
      <c r="BT257">
        <f t="shared" ca="1" si="186"/>
        <v>1.6170918631624616</v>
      </c>
      <c r="BU257" s="40">
        <f t="shared" ca="1" si="187"/>
        <v>-1.5245007903273315</v>
      </c>
    </row>
    <row r="258" spans="45:73" x14ac:dyDescent="0.25">
      <c r="AS258" s="6">
        <v>1.3264502315156814</v>
      </c>
      <c r="AT258" s="6">
        <v>-14.529743346728326</v>
      </c>
      <c r="AU258" s="6">
        <v>224.01563631934633</v>
      </c>
      <c r="AV258" s="6">
        <f t="shared" si="169"/>
        <v>1.6355660006448596</v>
      </c>
      <c r="AW258" s="6">
        <f t="shared" si="170"/>
        <v>0.30911576912917815</v>
      </c>
      <c r="AX258" s="6">
        <f t="shared" si="171"/>
        <v>1.5060266528449335</v>
      </c>
      <c r="AY258" s="6">
        <f t="shared" si="172"/>
        <v>1.5060266528449335</v>
      </c>
      <c r="BF258" s="40"/>
      <c r="BG258" s="6">
        <f t="shared" si="173"/>
        <v>1.0995574287564183</v>
      </c>
      <c r="BH258" s="9">
        <f t="shared" ca="1" si="174"/>
        <v>68.942225161901973</v>
      </c>
      <c r="BI258" s="9">
        <f t="shared" ca="1" si="175"/>
        <v>278.93279239888921</v>
      </c>
      <c r="BJ258">
        <f t="shared" ca="1" si="176"/>
        <v>287.32652694402617</v>
      </c>
      <c r="BK258" s="6">
        <f t="shared" ca="1" si="177"/>
        <v>0.23994382243492801</v>
      </c>
      <c r="BL258" s="6">
        <f t="shared" ca="1" si="178"/>
        <v>0.97078677477359354</v>
      </c>
      <c r="BM258" s="6">
        <f t="shared" ca="1" si="179"/>
        <v>1.328488344248089</v>
      </c>
      <c r="BN258" s="6">
        <f t="shared" ca="1" si="180"/>
        <v>-0.59092627574826806</v>
      </c>
      <c r="BO258" s="9">
        <f t="shared" ca="1" si="181"/>
        <v>-10.639971534257441</v>
      </c>
      <c r="BP258" s="9">
        <f t="shared" ca="1" si="182"/>
        <v>222.75712414115901</v>
      </c>
      <c r="BQ258">
        <f t="shared" ca="1" si="183"/>
        <v>223.01108795279558</v>
      </c>
      <c r="BR258">
        <f t="shared" ca="1" si="184"/>
        <v>-4.7710504584909191E-2</v>
      </c>
      <c r="BS258">
        <f t="shared" ca="1" si="185"/>
        <v>0.99886120544961277</v>
      </c>
      <c r="BT258">
        <f t="shared" ca="1" si="186"/>
        <v>1.6185249504545083</v>
      </c>
      <c r="BU258" s="40">
        <f t="shared" ca="1" si="187"/>
        <v>-1.5230677030352848</v>
      </c>
    </row>
    <row r="259" spans="45:73" x14ac:dyDescent="0.25">
      <c r="AS259" s="6">
        <v>1.3439035240356247</v>
      </c>
      <c r="AT259" s="6">
        <v>-14.810251578898916</v>
      </c>
      <c r="AU259" s="6">
        <v>224.06830366877389</v>
      </c>
      <c r="AV259" s="6">
        <f t="shared" ref="AV259:AV322" si="188">IF(AND(AT259=0,AU259=0),0,IF(ATAN2(AT259,AU259)&lt;0,ATAN2(AT259,AU259)+(2*PI()),ATAN2(AT259,AU259)))</f>
        <v>1.636797362766871</v>
      </c>
      <c r="AW259" s="6">
        <f t="shared" ref="AW259:AW322" si="189">ABS(AS259-AV259)</f>
        <v>0.2928938387312463</v>
      </c>
      <c r="AX259" s="6">
        <f t="shared" ref="AX259:AX322" si="190">$U$13-AV259</f>
        <v>1.5047952907229221</v>
      </c>
      <c r="AY259" s="6">
        <f t="shared" ref="AY259:AY322" si="191">ABS(AX259)</f>
        <v>1.5047952907229221</v>
      </c>
      <c r="BF259" s="40"/>
      <c r="BG259" s="6">
        <f t="shared" si="173"/>
        <v>1.1170107212763616</v>
      </c>
      <c r="BH259" s="9">
        <f t="shared" ca="1" si="174"/>
        <v>68.620409429988513</v>
      </c>
      <c r="BI259" s="9">
        <f t="shared" ca="1" si="175"/>
        <v>279.07488696832638</v>
      </c>
      <c r="BJ259">
        <f t="shared" ca="1" si="176"/>
        <v>287.38746167277969</v>
      </c>
      <c r="BK259" s="6">
        <f t="shared" ca="1" si="177"/>
        <v>0.23877314977686792</v>
      </c>
      <c r="BL259" s="6">
        <f t="shared" ca="1" si="178"/>
        <v>0.9710753744924403</v>
      </c>
      <c r="BM259" s="6">
        <f t="shared" ca="1" si="179"/>
        <v>1.3296940657939558</v>
      </c>
      <c r="BN259" s="6">
        <f t="shared" ca="1" si="180"/>
        <v>-0.58972055420240133</v>
      </c>
      <c r="BO259" s="9">
        <f t="shared" ca="1" si="181"/>
        <v>-10.961787266170901</v>
      </c>
      <c r="BP259" s="9">
        <f t="shared" ca="1" si="182"/>
        <v>222.89921871059619</v>
      </c>
      <c r="BQ259">
        <f t="shared" ca="1" si="183"/>
        <v>223.16859654051459</v>
      </c>
      <c r="BR259">
        <f t="shared" ca="1" si="184"/>
        <v>-4.9118860969226338E-2</v>
      </c>
      <c r="BS259">
        <f t="shared" ca="1" si="185"/>
        <v>0.99879294025192522</v>
      </c>
      <c r="BT259">
        <f t="shared" ca="1" si="186"/>
        <v>1.6199349604444906</v>
      </c>
      <c r="BU259" s="40">
        <f t="shared" ca="1" si="187"/>
        <v>-1.5216576930453025</v>
      </c>
    </row>
    <row r="260" spans="45:73" x14ac:dyDescent="0.25">
      <c r="AS260" s="6">
        <v>1.3613568165555681</v>
      </c>
      <c r="AT260" s="6">
        <v>-15.089210306410992</v>
      </c>
      <c r="AU260" s="6">
        <v>224.11570095998198</v>
      </c>
      <c r="AV260" s="6">
        <f t="shared" si="188"/>
        <v>1.6380226394225188</v>
      </c>
      <c r="AW260" s="6">
        <f t="shared" si="189"/>
        <v>0.27666582286695074</v>
      </c>
      <c r="AX260" s="6">
        <f t="shared" si="190"/>
        <v>1.5035700140672743</v>
      </c>
      <c r="AY260" s="6">
        <f t="shared" si="191"/>
        <v>1.5035700140672743</v>
      </c>
      <c r="BF260" s="40"/>
      <c r="BG260" s="6">
        <f t="shared" si="173"/>
        <v>1.1344640137963049</v>
      </c>
      <c r="BH260" s="9">
        <f t="shared" ca="1" si="174"/>
        <v>68.303401490678354</v>
      </c>
      <c r="BI260" s="9">
        <f t="shared" ca="1" si="175"/>
        <v>279.20808207281306</v>
      </c>
      <c r="BJ260">
        <f t="shared" ca="1" si="176"/>
        <v>287.44131183595636</v>
      </c>
      <c r="BK260" s="6">
        <f t="shared" ca="1" si="177"/>
        <v>0.23762555582010186</v>
      </c>
      <c r="BL260" s="6">
        <f t="shared" ca="1" si="178"/>
        <v>0.97135683207623946</v>
      </c>
      <c r="BM260" s="6">
        <f t="shared" ca="1" si="179"/>
        <v>1.3308756708140574</v>
      </c>
      <c r="BN260" s="6">
        <f t="shared" ca="1" si="180"/>
        <v>-0.58853894918229965</v>
      </c>
      <c r="BO260" s="9">
        <f t="shared" ca="1" si="181"/>
        <v>-11.27879520548106</v>
      </c>
      <c r="BP260" s="9">
        <f t="shared" ca="1" si="182"/>
        <v>223.03241381508286</v>
      </c>
      <c r="BQ260">
        <f t="shared" ca="1" si="183"/>
        <v>223.31741721923424</v>
      </c>
      <c r="BR260">
        <f t="shared" ca="1" si="184"/>
        <v>-5.0505667430357608E-2</v>
      </c>
      <c r="BS260">
        <f t="shared" ca="1" si="185"/>
        <v>0.99872377440281968</v>
      </c>
      <c r="BT260">
        <f t="shared" ca="1" si="186"/>
        <v>1.621323490741275</v>
      </c>
      <c r="BU260" s="40">
        <f t="shared" ca="1" si="187"/>
        <v>-1.5202691627485181</v>
      </c>
    </row>
    <row r="261" spans="45:73" x14ac:dyDescent="0.25">
      <c r="AS261" s="6">
        <v>1.3788101090755114</v>
      </c>
      <c r="AT261" s="6">
        <v>-15.366821218432587</v>
      </c>
      <c r="AU261" s="6">
        <v>224.15796138020039</v>
      </c>
      <c r="AV261" s="6">
        <f t="shared" si="188"/>
        <v>1.6392427750136211</v>
      </c>
      <c r="AW261" s="6">
        <f t="shared" si="189"/>
        <v>0.26043266593810976</v>
      </c>
      <c r="AX261" s="6">
        <f t="shared" si="190"/>
        <v>1.502349878476172</v>
      </c>
      <c r="AY261" s="6">
        <f t="shared" si="191"/>
        <v>1.502349878476172</v>
      </c>
      <c r="BF261" s="40"/>
      <c r="BG261" s="6">
        <f t="shared" si="173"/>
        <v>1.1519173063162482</v>
      </c>
      <c r="BH261" s="9">
        <f t="shared" ca="1" si="174"/>
        <v>67.990885899586601</v>
      </c>
      <c r="BI261" s="9">
        <f t="shared" ca="1" si="175"/>
        <v>279.33282707903481</v>
      </c>
      <c r="BJ261">
        <f t="shared" ca="1" si="176"/>
        <v>287.48841515681386</v>
      </c>
      <c r="BK261" s="6">
        <f t="shared" ca="1" si="177"/>
        <v>0.23649956768692815</v>
      </c>
      <c r="BL261" s="6">
        <f t="shared" ca="1" si="178"/>
        <v>0.9716315940128214</v>
      </c>
      <c r="BM261" s="6">
        <f t="shared" ca="1" si="179"/>
        <v>1.3320346977974462</v>
      </c>
      <c r="BN261" s="6">
        <f t="shared" ca="1" si="180"/>
        <v>-0.58737992219891089</v>
      </c>
      <c r="BO261" s="9">
        <f t="shared" ca="1" si="181"/>
        <v>-11.591310796572813</v>
      </c>
      <c r="BP261" s="9">
        <f t="shared" ca="1" si="182"/>
        <v>223.15715882130462</v>
      </c>
      <c r="BQ261">
        <f t="shared" ca="1" si="183"/>
        <v>223.45799609586521</v>
      </c>
      <c r="BR261">
        <f t="shared" ca="1" si="184"/>
        <v>-5.1872436874445302E-2</v>
      </c>
      <c r="BS261">
        <f t="shared" ca="1" si="185"/>
        <v>0.99865371890996668</v>
      </c>
      <c r="BT261">
        <f t="shared" ca="1" si="186"/>
        <v>1.622692054505849</v>
      </c>
      <c r="BU261" s="40">
        <f t="shared" ca="1" si="187"/>
        <v>-1.5189005989839441</v>
      </c>
    </row>
    <row r="262" spans="45:73" x14ac:dyDescent="0.25">
      <c r="AS262" s="6">
        <v>1.3962634015954547</v>
      </c>
      <c r="AT262" s="6">
        <v>-15.643282620884841</v>
      </c>
      <c r="AU262" s="6">
        <v>224.19520296676933</v>
      </c>
      <c r="AV262" s="6">
        <f t="shared" si="188"/>
        <v>1.6404586987349263</v>
      </c>
      <c r="AW262" s="6">
        <f t="shared" si="189"/>
        <v>0.24419529713947163</v>
      </c>
      <c r="AX262" s="6">
        <f t="shared" si="190"/>
        <v>1.5011339547548668</v>
      </c>
      <c r="AY262" s="6">
        <f t="shared" si="191"/>
        <v>1.5011339547548668</v>
      </c>
      <c r="BF262" s="40"/>
      <c r="BG262" s="6">
        <f t="shared" si="173"/>
        <v>1.1693705988361915</v>
      </c>
      <c r="BH262" s="9">
        <f t="shared" ca="1" si="174"/>
        <v>67.682561938605346</v>
      </c>
      <c r="BI262" s="9">
        <f t="shared" ca="1" si="175"/>
        <v>279.44953430424698</v>
      </c>
      <c r="BJ262">
        <f t="shared" ca="1" si="176"/>
        <v>287.52907924840173</v>
      </c>
      <c r="BK262" s="6">
        <f t="shared" ca="1" si="177"/>
        <v>0.23539379778743394</v>
      </c>
      <c r="BL262" s="6">
        <f t="shared" ca="1" si="178"/>
        <v>0.97190007714950222</v>
      </c>
      <c r="BM262" s="6">
        <f t="shared" ca="1" si="179"/>
        <v>1.3331725951588196</v>
      </c>
      <c r="BN262" s="6">
        <f t="shared" ca="1" si="180"/>
        <v>-0.58624202483753751</v>
      </c>
      <c r="BO262" s="9">
        <f t="shared" ca="1" si="181"/>
        <v>-11.899634757554068</v>
      </c>
      <c r="BP262" s="9">
        <f t="shared" ca="1" si="182"/>
        <v>223.27386604651679</v>
      </c>
      <c r="BQ262">
        <f t="shared" ca="1" si="183"/>
        <v>223.59074347280372</v>
      </c>
      <c r="BR262">
        <f t="shared" ca="1" si="184"/>
        <v>-5.3220605525655273E-2</v>
      </c>
      <c r="BS262">
        <f t="shared" ca="1" si="185"/>
        <v>0.9985827793165083</v>
      </c>
      <c r="BT262">
        <f t="shared" ca="1" si="186"/>
        <v>1.6240420883627744</v>
      </c>
      <c r="BU262" s="40">
        <f t="shared" ca="1" si="187"/>
        <v>-1.5175505651270187</v>
      </c>
    </row>
    <row r="263" spans="45:73" x14ac:dyDescent="0.25">
      <c r="AS263" s="6">
        <v>1.413716694115398</v>
      </c>
      <c r="AT263" s="6">
        <v>-15.918790001731097</v>
      </c>
      <c r="AU263" s="6">
        <v>224.22752937102314</v>
      </c>
      <c r="AV263" s="6">
        <f t="shared" si="188"/>
        <v>1.6416713274919303</v>
      </c>
      <c r="AW263" s="6">
        <f t="shared" si="189"/>
        <v>0.22795463337653232</v>
      </c>
      <c r="AX263" s="6">
        <f t="shared" si="190"/>
        <v>1.4999213259978628</v>
      </c>
      <c r="AY263" s="6">
        <f t="shared" si="191"/>
        <v>1.4999213259978628</v>
      </c>
      <c r="BF263" s="40"/>
      <c r="BG263" s="6">
        <f t="shared" si="173"/>
        <v>1.1868238913561349</v>
      </c>
      <c r="BH263" s="9">
        <f t="shared" ca="1" si="174"/>
        <v>67.378142364046099</v>
      </c>
      <c r="BI263" s="9">
        <f t="shared" ca="1" si="175"/>
        <v>279.55858211985264</v>
      </c>
      <c r="BJ263">
        <f t="shared" ca="1" si="176"/>
        <v>287.56358410844035</v>
      </c>
      <c r="BK263" s="6">
        <f t="shared" ca="1" si="177"/>
        <v>0.23430693623097204</v>
      </c>
      <c r="BL263" s="6">
        <f t="shared" ca="1" si="178"/>
        <v>0.97216267138481272</v>
      </c>
      <c r="BM263" s="6">
        <f t="shared" ca="1" si="179"/>
        <v>1.334290729276709</v>
      </c>
      <c r="BN263" s="6">
        <f t="shared" ca="1" si="180"/>
        <v>-0.5851238907196481</v>
      </c>
      <c r="BO263" s="9">
        <f t="shared" ca="1" si="181"/>
        <v>-12.204054332113316</v>
      </c>
      <c r="BP263" s="9">
        <f t="shared" ca="1" si="182"/>
        <v>223.38291386212245</v>
      </c>
      <c r="BQ263">
        <f t="shared" ca="1" si="183"/>
        <v>223.71603685849971</v>
      </c>
      <c r="BR263">
        <f t="shared" ca="1" si="184"/>
        <v>-5.4551539994570769E-2</v>
      </c>
      <c r="BS263">
        <f t="shared" ca="1" si="185"/>
        <v>0.9985109561162665</v>
      </c>
      <c r="BT263">
        <f t="shared" ca="1" si="186"/>
        <v>1.6253749594726907</v>
      </c>
      <c r="BU263" s="40">
        <f t="shared" ca="1" si="187"/>
        <v>-1.5162176940171024</v>
      </c>
    </row>
    <row r="264" spans="45:73" x14ac:dyDescent="0.25">
      <c r="AS264" s="6">
        <v>1.4311699866353413</v>
      </c>
      <c r="AT264" s="6">
        <v>-16.193536601754349</v>
      </c>
      <c r="AU264" s="6">
        <v>224.25503046616703</v>
      </c>
      <c r="AV264" s="6">
        <f t="shared" si="188"/>
        <v>1.642881568844943</v>
      </c>
      <c r="AW264" s="6">
        <f t="shared" si="189"/>
        <v>0.21171158220960162</v>
      </c>
      <c r="AX264" s="6">
        <f t="shared" si="190"/>
        <v>1.4987110846448501</v>
      </c>
      <c r="AY264" s="6">
        <f t="shared" si="191"/>
        <v>1.4987110846448501</v>
      </c>
      <c r="BF264" s="40"/>
      <c r="BG264" s="6">
        <f t="shared" si="173"/>
        <v>1.2042771838760782</v>
      </c>
      <c r="BH264" s="9">
        <f t="shared" ca="1" si="174"/>
        <v>67.077352163398075</v>
      </c>
      <c r="BI264" s="9">
        <f t="shared" ca="1" si="175"/>
        <v>279.66031745052499</v>
      </c>
      <c r="BJ264">
        <f t="shared" ca="1" si="176"/>
        <v>287.59218405544499</v>
      </c>
      <c r="BK264" s="6">
        <f t="shared" ca="1" si="177"/>
        <v>0.23323774386881882</v>
      </c>
      <c r="BL264" s="6">
        <f t="shared" ca="1" si="178"/>
        <v>0.97241974210470605</v>
      </c>
      <c r="BM264" s="6">
        <f t="shared" ca="1" si="179"/>
        <v>1.3353903918541261</v>
      </c>
      <c r="BN264" s="6">
        <f t="shared" ca="1" si="180"/>
        <v>-0.58402422814223098</v>
      </c>
      <c r="BO264" s="9">
        <f t="shared" ca="1" si="181"/>
        <v>-12.504844532761339</v>
      </c>
      <c r="BP264" s="9">
        <f t="shared" ca="1" si="182"/>
        <v>223.48464919279479</v>
      </c>
      <c r="BQ264">
        <f t="shared" ca="1" si="183"/>
        <v>223.83422339225763</v>
      </c>
      <c r="BR264">
        <f t="shared" ca="1" si="184"/>
        <v>-5.5866544191713087E-2</v>
      </c>
      <c r="BS264">
        <f t="shared" ca="1" si="185"/>
        <v>0.99843824508082379</v>
      </c>
      <c r="BT264">
        <f t="shared" ca="1" si="186"/>
        <v>1.626691972450566</v>
      </c>
      <c r="BU264" s="40">
        <f t="shared" ca="1" si="187"/>
        <v>-1.5149006810392271</v>
      </c>
    </row>
    <row r="265" spans="45:73" x14ac:dyDescent="0.25">
      <c r="AS265" s="6">
        <v>1.4486232791552847</v>
      </c>
      <c r="AT265" s="6">
        <v>-16.467714030364856</v>
      </c>
      <c r="AU265" s="6">
        <v>224.27778269303371</v>
      </c>
      <c r="AV265" s="6">
        <f t="shared" si="188"/>
        <v>1.6440903241986811</v>
      </c>
      <c r="AW265" s="6">
        <f t="shared" si="189"/>
        <v>0.1954670450433964</v>
      </c>
      <c r="AX265" s="6">
        <f t="shared" si="190"/>
        <v>1.497502329291112</v>
      </c>
      <c r="AY265" s="6">
        <f t="shared" si="191"/>
        <v>1.497502329291112</v>
      </c>
      <c r="BF265" s="40"/>
      <c r="BG265" s="6">
        <f t="shared" si="173"/>
        <v>1.2217304763960215</v>
      </c>
      <c r="BH265" s="9">
        <f t="shared" ca="1" si="174"/>
        <v>66.779927558429037</v>
      </c>
      <c r="BI265" s="9">
        <f t="shared" ca="1" si="175"/>
        <v>279.75505849319381</v>
      </c>
      <c r="BJ265">
        <f t="shared" ca="1" si="176"/>
        <v>287.61510995988948</v>
      </c>
      <c r="BK265" s="6">
        <f t="shared" ca="1" si="177"/>
        <v>0.23218504607682852</v>
      </c>
      <c r="BL265" s="6">
        <f t="shared" ca="1" si="178"/>
        <v>0.97267163234994214</v>
      </c>
      <c r="BM265" s="6">
        <f t="shared" ca="1" si="179"/>
        <v>1.3364728064933924</v>
      </c>
      <c r="BN265" s="6">
        <f t="shared" ca="1" si="180"/>
        <v>-0.5829418135029647</v>
      </c>
      <c r="BO265" s="9">
        <f t="shared" ca="1" si="181"/>
        <v>-12.802269137730377</v>
      </c>
      <c r="BP265" s="9">
        <f t="shared" ca="1" si="182"/>
        <v>223.57939023546362</v>
      </c>
      <c r="BQ265">
        <f t="shared" ca="1" si="183"/>
        <v>223.94562249156959</v>
      </c>
      <c r="BR265">
        <f t="shared" ca="1" si="184"/>
        <v>-5.7166864863421554E-2</v>
      </c>
      <c r="BS265">
        <f t="shared" ca="1" si="185"/>
        <v>0.99836463757571436</v>
      </c>
      <c r="BT265">
        <f t="shared" ca="1" si="186"/>
        <v>1.6279943749052064</v>
      </c>
      <c r="BU265" s="40">
        <f t="shared" ca="1" si="187"/>
        <v>-1.5135982785845867</v>
      </c>
    </row>
    <row r="266" spans="45:73" x14ac:dyDescent="0.25">
      <c r="AS266" s="6">
        <v>1.466076571675228</v>
      </c>
      <c r="AT266" s="6">
        <v>-16.741512768771805</v>
      </c>
      <c r="AU266" s="6">
        <v>224.29584965437601</v>
      </c>
      <c r="AV266" s="6">
        <f t="shared" si="188"/>
        <v>1.6452984913820303</v>
      </c>
      <c r="AW266" s="6">
        <f t="shared" si="189"/>
        <v>0.17922191970680235</v>
      </c>
      <c r="AX266" s="6">
        <f t="shared" si="190"/>
        <v>1.4962941621077628</v>
      </c>
      <c r="AY266" s="6">
        <f t="shared" si="191"/>
        <v>1.4962941621077628</v>
      </c>
      <c r="BF266" s="40"/>
      <c r="BG266" s="6">
        <f t="shared" si="173"/>
        <v>1.2391837689159648</v>
      </c>
      <c r="BH266" s="9">
        <f t="shared" ca="1" si="174"/>
        <v>66.485614906514087</v>
      </c>
      <c r="BI266" s="9">
        <f t="shared" ca="1" si="175"/>
        <v>279.84309661152724</v>
      </c>
      <c r="BJ266">
        <f t="shared" ca="1" si="176"/>
        <v>287.63257067068372</v>
      </c>
      <c r="BK266" s="6">
        <f t="shared" ca="1" si="177"/>
        <v>0.23114772694721974</v>
      </c>
      <c r="BL266" s="6">
        <f t="shared" ca="1" si="178"/>
        <v>0.97291866480561129</v>
      </c>
      <c r="BM266" s="6">
        <f t="shared" ca="1" si="179"/>
        <v>1.3375391348286381</v>
      </c>
      <c r="BN266" s="6">
        <f t="shared" ca="1" si="180"/>
        <v>-0.58187548516771903</v>
      </c>
      <c r="BO266" s="9">
        <f t="shared" ca="1" si="181"/>
        <v>-13.096581789645327</v>
      </c>
      <c r="BP266" s="9">
        <f t="shared" ca="1" si="182"/>
        <v>223.66742835379705</v>
      </c>
      <c r="BQ266">
        <f t="shared" ca="1" si="183"/>
        <v>224.05052769626275</v>
      </c>
      <c r="BR266">
        <f t="shared" ca="1" si="184"/>
        <v>-5.845369758468006E-2</v>
      </c>
      <c r="BS266">
        <f t="shared" ca="1" si="185"/>
        <v>0.99829012077585888</v>
      </c>
      <c r="BT266">
        <f t="shared" ca="1" si="186"/>
        <v>1.629283363437354</v>
      </c>
      <c r="BU266" s="40">
        <f t="shared" ca="1" si="187"/>
        <v>-1.5123092900524391</v>
      </c>
    </row>
    <row r="267" spans="45:73" x14ac:dyDescent="0.25">
      <c r="AS267" s="6">
        <v>1.4835298641951713</v>
      </c>
      <c r="AT267" s="6">
        <v>-17.015122798415192</v>
      </c>
      <c r="AU267" s="6">
        <v>224.30928222670573</v>
      </c>
      <c r="AV267" s="6">
        <f t="shared" si="188"/>
        <v>1.6465069679130357</v>
      </c>
      <c r="AW267" s="6">
        <f t="shared" si="189"/>
        <v>0.16297710371786445</v>
      </c>
      <c r="AX267" s="6">
        <f t="shared" si="190"/>
        <v>1.4950856855767574</v>
      </c>
      <c r="AY267" s="6">
        <f t="shared" si="191"/>
        <v>1.4950856855767574</v>
      </c>
      <c r="BF267" s="40"/>
      <c r="BG267" s="6">
        <f t="shared" si="173"/>
        <v>1.2566370614359081</v>
      </c>
      <c r="BH267" s="9">
        <f t="shared" ca="1" si="174"/>
        <v>66.194169855123732</v>
      </c>
      <c r="BI267" s="9">
        <f t="shared" ca="1" si="175"/>
        <v>279.92469858635462</v>
      </c>
      <c r="BJ267">
        <f t="shared" ca="1" si="176"/>
        <v>287.64475486521644</v>
      </c>
      <c r="BK267" s="6">
        <f t="shared" ca="1" si="177"/>
        <v>0.23012472411026846</v>
      </c>
      <c r="BL267" s="6">
        <f t="shared" ca="1" si="178"/>
        <v>0.97316114356933348</v>
      </c>
      <c r="BM267" s="6">
        <f t="shared" ca="1" si="179"/>
        <v>1.3385904819916052</v>
      </c>
      <c r="BN267" s="6">
        <f t="shared" ca="1" si="180"/>
        <v>-0.58082413800475186</v>
      </c>
      <c r="BO267" s="9">
        <f t="shared" ca="1" si="181"/>
        <v>-13.388026841035682</v>
      </c>
      <c r="BP267" s="9">
        <f t="shared" ca="1" si="182"/>
        <v>223.74903032862443</v>
      </c>
      <c r="BQ267">
        <f t="shared" ca="1" si="183"/>
        <v>224.14920886698661</v>
      </c>
      <c r="BR267">
        <f t="shared" ca="1" si="184"/>
        <v>-5.9728191362836046E-2</v>
      </c>
      <c r="BS267">
        <f t="shared" ca="1" si="185"/>
        <v>0.99821467789074525</v>
      </c>
      <c r="BT267">
        <f t="shared" ca="1" si="186"/>
        <v>1.630560088247518</v>
      </c>
      <c r="BU267" s="40">
        <f t="shared" ca="1" si="187"/>
        <v>-1.5110325652422751</v>
      </c>
    </row>
    <row r="268" spans="45:73" x14ac:dyDescent="0.25">
      <c r="AS268" s="6">
        <v>1.5009831567151146</v>
      </c>
      <c r="AT268" s="6">
        <v>-17.288734079563344</v>
      </c>
      <c r="AU268" s="6">
        <v>224.31811906567822</v>
      </c>
      <c r="AV268" s="6">
        <f t="shared" si="188"/>
        <v>1.6477166534506258</v>
      </c>
      <c r="AW268" s="6">
        <f t="shared" si="189"/>
        <v>0.14673349673551117</v>
      </c>
      <c r="AX268" s="6">
        <f t="shared" si="190"/>
        <v>1.4938760000391673</v>
      </c>
      <c r="AY268" s="6">
        <f t="shared" si="191"/>
        <v>1.4938760000391673</v>
      </c>
      <c r="BF268" s="40"/>
      <c r="BG268" s="6">
        <f t="shared" si="173"/>
        <v>1.2740903539558515</v>
      </c>
      <c r="BH268" s="9">
        <f t="shared" ca="1" si="174"/>
        <v>65.905356343984025</v>
      </c>
      <c r="BI268" s="9">
        <f t="shared" ca="1" si="175"/>
        <v>280.00010798449335</v>
      </c>
      <c r="BJ268">
        <f t="shared" ca="1" si="176"/>
        <v>287.6518320229431</v>
      </c>
      <c r="BK268" s="6">
        <f t="shared" ca="1" si="177"/>
        <v>0.2291150238136756</v>
      </c>
      <c r="BL268" s="6">
        <f t="shared" ca="1" si="178"/>
        <v>0.97339935579537895</v>
      </c>
      <c r="BM268" s="6">
        <f t="shared" ca="1" si="179"/>
        <v>1.3396279017957837</v>
      </c>
      <c r="BN268" s="6">
        <f t="shared" ca="1" si="180"/>
        <v>-0.57978671820057337</v>
      </c>
      <c r="BO268" s="9">
        <f t="shared" ca="1" si="181"/>
        <v>-13.67684035217539</v>
      </c>
      <c r="BP268" s="9">
        <f t="shared" ca="1" si="182"/>
        <v>223.82443972676316</v>
      </c>
      <c r="BQ268">
        <f t="shared" ca="1" si="183"/>
        <v>224.24191352425248</v>
      </c>
      <c r="BR268">
        <f t="shared" ca="1" si="184"/>
        <v>-6.0991453993707541E-2</v>
      </c>
      <c r="BS268">
        <f t="shared" ca="1" si="185"/>
        <v>0.99813828828461115</v>
      </c>
      <c r="BT268">
        <f t="shared" ca="1" si="186"/>
        <v>1.6318256584985353</v>
      </c>
      <c r="BU268" s="40">
        <f t="shared" ca="1" si="187"/>
        <v>-1.5097669949912578</v>
      </c>
    </row>
    <row r="269" spans="45:73" x14ac:dyDescent="0.25">
      <c r="AS269" s="6">
        <v>1.5184364492350579</v>
      </c>
      <c r="AT269" s="6">
        <v>-17.562537184733941</v>
      </c>
      <c r="AU269" s="6">
        <v>224.32238656462872</v>
      </c>
      <c r="AV269" s="6">
        <f t="shared" si="188"/>
        <v>1.6489284530982851</v>
      </c>
      <c r="AW269" s="6">
        <f t="shared" si="189"/>
        <v>0.13049200386322712</v>
      </c>
      <c r="AX269" s="6">
        <f t="shared" si="190"/>
        <v>1.492664200391508</v>
      </c>
      <c r="AY269" s="6">
        <f t="shared" si="191"/>
        <v>1.492664200391508</v>
      </c>
      <c r="BF269" s="40"/>
      <c r="BG269" s="6">
        <f t="shared" si="173"/>
        <v>1.2915436464757948</v>
      </c>
      <c r="BH269" s="9">
        <f t="shared" ca="1" si="174"/>
        <v>65.618945921734905</v>
      </c>
      <c r="BI269" s="9">
        <f t="shared" ca="1" si="175"/>
        <v>280.06954716727273</v>
      </c>
      <c r="BJ269">
        <f t="shared" ca="1" si="176"/>
        <v>287.65395410868382</v>
      </c>
      <c r="BK269" s="6">
        <f t="shared" ca="1" si="177"/>
        <v>0.22811765659561281</v>
      </c>
      <c r="BL269" s="6">
        <f t="shared" ca="1" si="178"/>
        <v>0.9736335731420348</v>
      </c>
      <c r="BM269" s="6">
        <f t="shared" ca="1" si="179"/>
        <v>1.3406524012955132</v>
      </c>
      <c r="BN269" s="6">
        <f t="shared" ca="1" si="180"/>
        <v>-0.57876221870084388</v>
      </c>
      <c r="BO269" s="9">
        <f t="shared" ca="1" si="181"/>
        <v>-13.963250774424509</v>
      </c>
      <c r="BP269" s="9">
        <f t="shared" ca="1" si="182"/>
        <v>223.89387890954254</v>
      </c>
      <c r="BQ269">
        <f t="shared" ca="1" si="183"/>
        <v>224.32886881841659</v>
      </c>
      <c r="BR269">
        <f t="shared" ca="1" si="184"/>
        <v>-6.2244555718448738E-2</v>
      </c>
      <c r="BS269">
        <f t="shared" ca="1" si="185"/>
        <v>0.9980609276408996</v>
      </c>
      <c r="BT269">
        <f t="shared" ca="1" si="186"/>
        <v>1.6330811459770835</v>
      </c>
      <c r="BU269" s="40">
        <f t="shared" ca="1" si="187"/>
        <v>-1.5085115075127096</v>
      </c>
    </row>
    <row r="270" spans="45:73" x14ac:dyDescent="0.25">
      <c r="AS270" s="6">
        <v>1.5358897417550013</v>
      </c>
      <c r="AT270" s="6">
        <v>-17.836723794448972</v>
      </c>
      <c r="AU270" s="6">
        <v>224.3220991938723</v>
      </c>
      <c r="AV270" s="6">
        <f t="shared" si="188"/>
        <v>1.650143279959212</v>
      </c>
      <c r="AW270" s="6">
        <f t="shared" si="189"/>
        <v>0.11425353820421069</v>
      </c>
      <c r="AX270" s="6">
        <f t="shared" si="190"/>
        <v>1.4914493735305812</v>
      </c>
      <c r="AY270" s="6">
        <f t="shared" si="191"/>
        <v>1.4914493735305812</v>
      </c>
      <c r="BF270" s="40"/>
      <c r="BG270" s="6">
        <f t="shared" si="173"/>
        <v>1.3089969389957381</v>
      </c>
      <c r="BH270" s="9">
        <f t="shared" ca="1" si="174"/>
        <v>65.334716821038114</v>
      </c>
      <c r="BI270" s="9">
        <f t="shared" ca="1" si="175"/>
        <v>280.13321821682894</v>
      </c>
      <c r="BJ270">
        <f t="shared" ca="1" si="176"/>
        <v>287.65125616030736</v>
      </c>
      <c r="BK270" s="6">
        <f t="shared" ca="1" si="177"/>
        <v>0.22713169305482619</v>
      </c>
      <c r="BL270" s="6">
        <f t="shared" ca="1" si="178"/>
        <v>0.97386405314604763</v>
      </c>
      <c r="BM270" s="6">
        <f t="shared" ca="1" si="179"/>
        <v>1.3416649452321421</v>
      </c>
      <c r="BN270" s="6">
        <f t="shared" ca="1" si="180"/>
        <v>-0.57774967476421502</v>
      </c>
      <c r="BO270" s="9">
        <f t="shared" ca="1" si="181"/>
        <v>-14.2474798751213</v>
      </c>
      <c r="BP270" s="9">
        <f t="shared" ca="1" si="182"/>
        <v>223.95754995909874</v>
      </c>
      <c r="BQ270">
        <f t="shared" ca="1" si="183"/>
        <v>224.41028244372893</v>
      </c>
      <c r="BR270">
        <f t="shared" ca="1" si="184"/>
        <v>-6.3488534125854368E-2</v>
      </c>
      <c r="BS270">
        <f t="shared" ca="1" si="185"/>
        <v>0.99798256800134055</v>
      </c>
      <c r="BT270">
        <f t="shared" ca="1" si="186"/>
        <v>1.6343275900040453</v>
      </c>
      <c r="BU270" s="40">
        <f t="shared" ca="1" si="187"/>
        <v>-1.5072650634857478</v>
      </c>
    </row>
    <row r="271" spans="45:73" x14ac:dyDescent="0.25">
      <c r="AS271" s="6">
        <v>1.5533430342749446</v>
      </c>
      <c r="AT271" s="6">
        <v>-18.111487366901592</v>
      </c>
      <c r="AU271" s="6">
        <v>224.31725925988758</v>
      </c>
      <c r="AV271" s="6">
        <f t="shared" si="188"/>
        <v>1.6513620586557656</v>
      </c>
      <c r="AW271" s="6">
        <f t="shared" si="189"/>
        <v>9.8019024380820996E-2</v>
      </c>
      <c r="AX271" s="6">
        <f t="shared" si="190"/>
        <v>1.4902305948340275</v>
      </c>
      <c r="AY271" s="6">
        <f t="shared" si="191"/>
        <v>1.4902305948340275</v>
      </c>
      <c r="BF271" s="40"/>
      <c r="BG271" s="6">
        <f t="shared" si="173"/>
        <v>1.3264502315156814</v>
      </c>
      <c r="BH271" s="9">
        <f t="shared" ca="1" si="174"/>
        <v>65.05245334943109</v>
      </c>
      <c r="BI271" s="9">
        <f t="shared" ca="1" si="175"/>
        <v>280.19130457707649</v>
      </c>
      <c r="BJ271">
        <f t="shared" ca="1" si="176"/>
        <v>287.643857656276</v>
      </c>
      <c r="BK271" s="6">
        <f t="shared" ca="1" si="177"/>
        <v>0.22615624014876903</v>
      </c>
      <c r="BL271" s="6">
        <f t="shared" ca="1" si="178"/>
        <v>0.9740910404278299</v>
      </c>
      <c r="BM271" s="6">
        <f t="shared" ca="1" si="179"/>
        <v>1.3426664599259264</v>
      </c>
      <c r="BN271" s="6">
        <f t="shared" ca="1" si="180"/>
        <v>-0.57674816007043073</v>
      </c>
      <c r="BO271" s="9">
        <f t="shared" ca="1" si="181"/>
        <v>-14.529743346728324</v>
      </c>
      <c r="BP271" s="9">
        <f t="shared" ca="1" si="182"/>
        <v>224.0156363193463</v>
      </c>
      <c r="BQ271">
        <f t="shared" ca="1" si="183"/>
        <v>224.48634425568835</v>
      </c>
      <c r="BR271">
        <f t="shared" ca="1" si="184"/>
        <v>-6.4724397356567265E-2</v>
      </c>
      <c r="BS271">
        <f t="shared" ca="1" si="185"/>
        <v>0.9979031778618751</v>
      </c>
      <c r="BT271">
        <f t="shared" ca="1" si="186"/>
        <v>1.6355660006448596</v>
      </c>
      <c r="BU271" s="40">
        <f t="shared" ca="1" si="187"/>
        <v>-1.5060266528449335</v>
      </c>
    </row>
    <row r="272" spans="45:73" x14ac:dyDescent="0.25">
      <c r="AS272" s="6">
        <v>1.5707963267948879</v>
      </c>
      <c r="AT272" s="6">
        <v>-18.38702366296927</v>
      </c>
      <c r="AU272" s="6">
        <v>224.30785709063952</v>
      </c>
      <c r="AV272" s="6">
        <f t="shared" si="188"/>
        <v>1.6525857280605745</v>
      </c>
      <c r="AW272" s="6">
        <f t="shared" si="189"/>
        <v>8.1789401265686568E-2</v>
      </c>
      <c r="AX272" s="6">
        <f t="shared" si="190"/>
        <v>1.4890069254292186</v>
      </c>
      <c r="AY272" s="6">
        <f t="shared" si="191"/>
        <v>1.4890069254292186</v>
      </c>
      <c r="BF272" s="40"/>
      <c r="BG272" s="6">
        <f t="shared" ref="BG272:BG335" si="192">AS259</f>
        <v>1.3439035240356247</v>
      </c>
      <c r="BH272" s="9">
        <f t="shared" ref="BH272:BH335" ca="1" si="193">AT259-$BG$5</f>
        <v>64.771945117260501</v>
      </c>
      <c r="BI272" s="9">
        <f t="shared" ref="BI272:BI335" ca="1" si="194">AU259-$BH$5</f>
        <v>280.24397192650406</v>
      </c>
      <c r="BJ272">
        <f t="shared" ref="BJ272:BJ335" ca="1" si="195">SQRT(POWER(BH272,2)+POWER(BI272,2))</f>
        <v>287.63186310876023</v>
      </c>
      <c r="BK272" s="6">
        <f t="shared" ref="BK272:BK335" ca="1" si="196">BH272/BJ272</f>
        <v>0.22519043758642532</v>
      </c>
      <c r="BL272" s="6">
        <f t="shared" ref="BL272:BL335" ca="1" si="197">BI272/BJ272</f>
        <v>0.97431476783410942</v>
      </c>
      <c r="BM272" s="6">
        <f t="shared" ref="BM272:BM335" ca="1" si="198">ATAN2(BK272,BL272)</f>
        <v>1.3436578370601424</v>
      </c>
      <c r="BN272" s="6">
        <f t="shared" ref="BN272:BN335" ca="1" si="199">BM272-$BJ$11</f>
        <v>-0.57575678293621468</v>
      </c>
      <c r="BO272" s="9">
        <f t="shared" ref="BO272:BO335" ca="1" si="200">BH272+$BG$5</f>
        <v>-14.810251578898914</v>
      </c>
      <c r="BP272" s="9">
        <f t="shared" ref="BP272:BP335" ca="1" si="201">BI272+$BH$5</f>
        <v>224.06830366877386</v>
      </c>
      <c r="BQ272">
        <f t="shared" ref="BQ272:BQ335" ca="1" si="202">SQRT(POWER(BO272,2)+POWER(BP272,2))</f>
        <v>224.55722714005921</v>
      </c>
      <c r="BR272">
        <f t="shared" ref="BR272:BR335" ca="1" si="203">BO272/BQ272</f>
        <v>-6.5953128151433629E-2</v>
      </c>
      <c r="BS272">
        <f t="shared" ref="BS272:BS335" ca="1" si="204">BP272/BQ272</f>
        <v>0.9978227221741548</v>
      </c>
      <c r="BT272">
        <f t="shared" ref="BT272:BT335" ca="1" si="205">ATAN2(BR272,BS272)</f>
        <v>1.636797362766871</v>
      </c>
      <c r="BU272" s="40">
        <f t="shared" ref="BU272:BU335" ca="1" si="206">BT272-$U$13</f>
        <v>-1.5047952907229221</v>
      </c>
    </row>
    <row r="273" spans="45:73" x14ac:dyDescent="0.25">
      <c r="AS273" s="6">
        <v>1.5882496193148312</v>
      </c>
      <c r="AT273" s="6">
        <v>-18.700787294518033</v>
      </c>
      <c r="AU273" s="6">
        <v>224.28238457872084</v>
      </c>
      <c r="AV273" s="6">
        <f t="shared" si="188"/>
        <v>1.6539844438360185</v>
      </c>
      <c r="AW273" s="6">
        <f t="shared" si="189"/>
        <v>6.5734824521187285E-2</v>
      </c>
      <c r="AX273" s="6">
        <f t="shared" si="190"/>
        <v>1.4876082096537746</v>
      </c>
      <c r="AY273" s="6">
        <f t="shared" si="191"/>
        <v>1.4876082096537746</v>
      </c>
      <c r="BF273" s="40"/>
      <c r="BG273" s="6">
        <f t="shared" si="192"/>
        <v>1.3613568165555681</v>
      </c>
      <c r="BH273" s="9">
        <f t="shared" ca="1" si="193"/>
        <v>64.492986389748424</v>
      </c>
      <c r="BI273" s="9">
        <f t="shared" ca="1" si="194"/>
        <v>280.29136921771214</v>
      </c>
      <c r="BJ273">
        <f t="shared" ca="1" si="195"/>
        <v>287.61536285707706</v>
      </c>
      <c r="BK273" s="6">
        <f t="shared" ca="1" si="196"/>
        <v>0.22423345453141363</v>
      </c>
      <c r="BL273" s="6">
        <f t="shared" ca="1" si="197"/>
        <v>0.97453545747135772</v>
      </c>
      <c r="BM273" s="6">
        <f t="shared" ca="1" si="198"/>
        <v>1.3446399371370659</v>
      </c>
      <c r="BN273" s="6">
        <f t="shared" ca="1" si="199"/>
        <v>-0.57477468285929123</v>
      </c>
      <c r="BO273" s="9">
        <f t="shared" ca="1" si="200"/>
        <v>-15.08921030641099</v>
      </c>
      <c r="BP273" s="9">
        <f t="shared" ca="1" si="201"/>
        <v>224.11570095998195</v>
      </c>
      <c r="BQ273">
        <f t="shared" ca="1" si="202"/>
        <v>224.62308804852444</v>
      </c>
      <c r="BR273">
        <f t="shared" ca="1" si="203"/>
        <v>-6.7175687225666345E-2</v>
      </c>
      <c r="BS273">
        <f t="shared" ca="1" si="204"/>
        <v>0.99774116234911314</v>
      </c>
      <c r="BT273">
        <f t="shared" ca="1" si="205"/>
        <v>1.6380226394225188</v>
      </c>
      <c r="BU273" s="40">
        <f t="shared" ca="1" si="206"/>
        <v>-1.5035700140672743</v>
      </c>
    </row>
    <row r="274" spans="45:73" x14ac:dyDescent="0.25">
      <c r="AS274" s="6">
        <v>1.6057029118347745</v>
      </c>
      <c r="AT274" s="6">
        <v>-19.012224868346578</v>
      </c>
      <c r="AU274" s="6">
        <v>224.25297597271771</v>
      </c>
      <c r="AV274" s="6">
        <f t="shared" si="188"/>
        <v>1.6553743302310484</v>
      </c>
      <c r="AW274" s="6">
        <f t="shared" si="189"/>
        <v>4.967141839627387E-2</v>
      </c>
      <c r="AX274" s="6">
        <f t="shared" si="190"/>
        <v>1.4862183232587447</v>
      </c>
      <c r="AY274" s="6">
        <f t="shared" si="191"/>
        <v>1.4862183232587447</v>
      </c>
      <c r="BF274" s="40"/>
      <c r="BG274" s="6">
        <f t="shared" si="192"/>
        <v>1.3788101090755114</v>
      </c>
      <c r="BH274" s="9">
        <f t="shared" ca="1" si="193"/>
        <v>64.215375477726823</v>
      </c>
      <c r="BI274" s="9">
        <f t="shared" ca="1" si="194"/>
        <v>280.33362963793058</v>
      </c>
      <c r="BJ274">
        <f t="shared" ca="1" si="195"/>
        <v>287.59443380170256</v>
      </c>
      <c r="BK274" s="6">
        <f t="shared" ca="1" si="196"/>
        <v>0.22328448652105543</v>
      </c>
      <c r="BL274" s="6">
        <f t="shared" ca="1" si="197"/>
        <v>0.97475332165580675</v>
      </c>
      <c r="BM274" s="6">
        <f t="shared" ca="1" si="198"/>
        <v>1.3456135927037021</v>
      </c>
      <c r="BN274" s="6">
        <f t="shared" ca="1" si="199"/>
        <v>-0.57380102729265503</v>
      </c>
      <c r="BO274" s="9">
        <f t="shared" ca="1" si="200"/>
        <v>-15.366821218432591</v>
      </c>
      <c r="BP274" s="9">
        <f t="shared" ca="1" si="201"/>
        <v>224.15796138020039</v>
      </c>
      <c r="BQ274">
        <f t="shared" ca="1" si="202"/>
        <v>224.68406896014386</v>
      </c>
      <c r="BR274">
        <f t="shared" ca="1" si="203"/>
        <v>-6.8393016423244815E-2</v>
      </c>
      <c r="BS274">
        <f t="shared" ca="1" si="204"/>
        <v>0.99765845623867178</v>
      </c>
      <c r="BT274">
        <f t="shared" ca="1" si="205"/>
        <v>1.6392427750136211</v>
      </c>
      <c r="BU274" s="40">
        <f t="shared" ca="1" si="206"/>
        <v>-1.502349878476172</v>
      </c>
    </row>
    <row r="275" spans="45:73" x14ac:dyDescent="0.25">
      <c r="AS275" s="6">
        <v>1.6231562043547179</v>
      </c>
      <c r="AT275" s="6">
        <v>-19.321662248345259</v>
      </c>
      <c r="AU275" s="6">
        <v>224.21961111533759</v>
      </c>
      <c r="AV275" s="6">
        <f t="shared" si="188"/>
        <v>1.6567569080801918</v>
      </c>
      <c r="AW275" s="6">
        <f t="shared" si="189"/>
        <v>3.3600703725473968E-2</v>
      </c>
      <c r="AX275" s="6">
        <f t="shared" si="190"/>
        <v>1.4848357454096013</v>
      </c>
      <c r="AY275" s="6">
        <f t="shared" si="191"/>
        <v>1.4848357454096013</v>
      </c>
      <c r="BF275" s="40"/>
      <c r="BG275" s="6">
        <f t="shared" si="192"/>
        <v>1.3962634015954547</v>
      </c>
      <c r="BH275" s="9">
        <f t="shared" ca="1" si="193"/>
        <v>63.938914075274575</v>
      </c>
      <c r="BI275" s="9">
        <f t="shared" ca="1" si="194"/>
        <v>280.37087122449952</v>
      </c>
      <c r="BJ275">
        <f t="shared" ca="1" si="195"/>
        <v>287.56913979825833</v>
      </c>
      <c r="BK275" s="6">
        <f t="shared" ca="1" si="196"/>
        <v>0.22234275249468832</v>
      </c>
      <c r="BL275" s="6">
        <f t="shared" ca="1" si="197"/>
        <v>0.97496856380761621</v>
      </c>
      <c r="BM275" s="6">
        <f t="shared" ca="1" si="198"/>
        <v>1.346579611457611</v>
      </c>
      <c r="BN275" s="6">
        <f t="shared" ca="1" si="199"/>
        <v>-0.57283500853874614</v>
      </c>
      <c r="BO275" s="9">
        <f t="shared" ca="1" si="200"/>
        <v>-15.64328262088484</v>
      </c>
      <c r="BP275" s="9">
        <f t="shared" ca="1" si="201"/>
        <v>224.19520296676933</v>
      </c>
      <c r="BQ275">
        <f t="shared" ca="1" si="202"/>
        <v>224.7402975090755</v>
      </c>
      <c r="BR275">
        <f t="shared" ca="1" si="203"/>
        <v>-6.960604214850756E-2</v>
      </c>
      <c r="BS275">
        <f t="shared" ca="1" si="204"/>
        <v>0.99757455806391748</v>
      </c>
      <c r="BT275">
        <f t="shared" ca="1" si="205"/>
        <v>1.6404586987349263</v>
      </c>
      <c r="BU275" s="40">
        <f t="shared" ca="1" si="206"/>
        <v>-1.5011339547548668</v>
      </c>
    </row>
    <row r="276" spans="45:73" x14ac:dyDescent="0.25">
      <c r="AS276" s="6">
        <v>1.6406094968746612</v>
      </c>
      <c r="AT276" s="6">
        <v>-19.629409594044176</v>
      </c>
      <c r="AU276" s="6">
        <v>224.18225846188776</v>
      </c>
      <c r="AV276" s="6">
        <f t="shared" si="188"/>
        <v>1.6581336324342051</v>
      </c>
      <c r="AW276" s="6">
        <f t="shared" si="189"/>
        <v>1.7524135559543907E-2</v>
      </c>
      <c r="AX276" s="6">
        <f t="shared" si="190"/>
        <v>1.483459021055588</v>
      </c>
      <c r="AY276" s="6">
        <f t="shared" si="191"/>
        <v>1.483459021055588</v>
      </c>
      <c r="BF276" s="40"/>
      <c r="BG276" s="6">
        <f t="shared" si="192"/>
        <v>1.413716694115398</v>
      </c>
      <c r="BH276" s="9">
        <f t="shared" ca="1" si="193"/>
        <v>63.663406694428318</v>
      </c>
      <c r="BI276" s="9">
        <f t="shared" ca="1" si="194"/>
        <v>280.40319762875333</v>
      </c>
      <c r="BJ276">
        <f t="shared" ca="1" si="195"/>
        <v>287.53953222534437</v>
      </c>
      <c r="BK276" s="6">
        <f t="shared" ca="1" si="196"/>
        <v>0.22140749204716445</v>
      </c>
      <c r="BL276" s="6">
        <f t="shared" ca="1" si="197"/>
        <v>0.97518137926510118</v>
      </c>
      <c r="BM276" s="6">
        <f t="shared" ca="1" si="198"/>
        <v>1.3475387791145828</v>
      </c>
      <c r="BN276" s="6">
        <f t="shared" ca="1" si="199"/>
        <v>-0.57187584088177434</v>
      </c>
      <c r="BO276" s="9">
        <f t="shared" ca="1" si="200"/>
        <v>-15.918790001731097</v>
      </c>
      <c r="BP276" s="9">
        <f t="shared" ca="1" si="201"/>
        <v>224.22752937102314</v>
      </c>
      <c r="BQ276">
        <f t="shared" ca="1" si="202"/>
        <v>224.79188776055122</v>
      </c>
      <c r="BR276">
        <f t="shared" ca="1" si="203"/>
        <v>-7.0815678271663546E-2</v>
      </c>
      <c r="BS276">
        <f t="shared" ca="1" si="204"/>
        <v>0.99748941834533977</v>
      </c>
      <c r="BT276">
        <f t="shared" ca="1" si="205"/>
        <v>1.6416713274919303</v>
      </c>
      <c r="BU276" s="40">
        <f t="shared" ca="1" si="206"/>
        <v>-1.4999213259978628</v>
      </c>
    </row>
    <row r="277" spans="45:73" x14ac:dyDescent="0.25">
      <c r="AS277" s="6">
        <v>1.6580627893946045</v>
      </c>
      <c r="AT277" s="6">
        <v>-19.935763759114167</v>
      </c>
      <c r="AU277" s="6">
        <v>224.14087498719095</v>
      </c>
      <c r="AV277" s="6">
        <f t="shared" si="188"/>
        <v>1.6595059038015025</v>
      </c>
      <c r="AW277" s="6">
        <f t="shared" si="189"/>
        <v>1.4431144068980384E-3</v>
      </c>
      <c r="AX277" s="6">
        <f t="shared" si="190"/>
        <v>1.4820867496882906</v>
      </c>
      <c r="AY277" s="6">
        <f t="shared" si="191"/>
        <v>1.4820867496882906</v>
      </c>
      <c r="BF277" s="40"/>
      <c r="BG277" s="6">
        <f t="shared" si="192"/>
        <v>1.4311699866353413</v>
      </c>
      <c r="BH277" s="9">
        <f t="shared" ca="1" si="193"/>
        <v>63.388660094405068</v>
      </c>
      <c r="BI277" s="9">
        <f t="shared" ca="1" si="194"/>
        <v>280.43069872389719</v>
      </c>
      <c r="BJ277">
        <f t="shared" ca="1" si="195"/>
        <v>287.50565040593068</v>
      </c>
      <c r="BK277" s="6">
        <f t="shared" ca="1" si="196"/>
        <v>0.22047796279797041</v>
      </c>
      <c r="BL277" s="6">
        <f t="shared" ca="1" si="197"/>
        <v>0.97539195604662265</v>
      </c>
      <c r="BM277" s="6">
        <f t="shared" ca="1" si="198"/>
        <v>1.3484918621512507</v>
      </c>
      <c r="BN277" s="6">
        <f t="shared" ca="1" si="199"/>
        <v>-0.57092275784510638</v>
      </c>
      <c r="BO277" s="9">
        <f t="shared" ca="1" si="200"/>
        <v>-16.193536601754346</v>
      </c>
      <c r="BP277" s="9">
        <f t="shared" ca="1" si="201"/>
        <v>224.255030466167</v>
      </c>
      <c r="BQ277">
        <f t="shared" ca="1" si="202"/>
        <v>224.83894083777804</v>
      </c>
      <c r="BR277">
        <f t="shared" ca="1" si="203"/>
        <v>-7.2022829058948606E-2</v>
      </c>
      <c r="BS277">
        <f t="shared" ca="1" si="204"/>
        <v>0.99740298380060266</v>
      </c>
      <c r="BT277">
        <f t="shared" ca="1" si="205"/>
        <v>1.642881568844943</v>
      </c>
      <c r="BU277" s="40">
        <f t="shared" ca="1" si="206"/>
        <v>-1.4987110846448501</v>
      </c>
    </row>
    <row r="278" spans="45:73" x14ac:dyDescent="0.25">
      <c r="AS278" s="6">
        <v>1.6755160819145478</v>
      </c>
      <c r="AT278" s="6">
        <v>-20.241010268149211</v>
      </c>
      <c r="AU278" s="6">
        <v>224.09540643346375</v>
      </c>
      <c r="AV278" s="6">
        <f t="shared" si="188"/>
        <v>1.6608750773710683</v>
      </c>
      <c r="AW278" s="6">
        <f t="shared" si="189"/>
        <v>1.4641004543479497E-2</v>
      </c>
      <c r="AX278" s="6">
        <f t="shared" si="190"/>
        <v>1.4807175761187248</v>
      </c>
      <c r="AY278" s="6">
        <f t="shared" si="191"/>
        <v>1.4807175761187248</v>
      </c>
      <c r="BF278" s="40"/>
      <c r="BG278" s="6">
        <f t="shared" si="192"/>
        <v>1.4486232791552847</v>
      </c>
      <c r="BH278" s="9">
        <f t="shared" ca="1" si="193"/>
        <v>63.114482665794554</v>
      </c>
      <c r="BI278" s="9">
        <f t="shared" ca="1" si="194"/>
        <v>280.45345095076391</v>
      </c>
      <c r="BJ278">
        <f t="shared" ca="1" si="195"/>
        <v>287.46752176961388</v>
      </c>
      <c r="BK278" s="6">
        <f t="shared" ca="1" si="196"/>
        <v>0.21955343781888731</v>
      </c>
      <c r="BL278" s="6">
        <f t="shared" ca="1" si="197"/>
        <v>0.97560047557486762</v>
      </c>
      <c r="BM278" s="6">
        <f t="shared" ca="1" si="198"/>
        <v>1.3494396104816857</v>
      </c>
      <c r="BN278" s="6">
        <f t="shared" ca="1" si="199"/>
        <v>-0.56997500951467139</v>
      </c>
      <c r="BO278" s="9">
        <f t="shared" ca="1" si="200"/>
        <v>-16.46771403036486</v>
      </c>
      <c r="BP278" s="9">
        <f t="shared" ca="1" si="201"/>
        <v>224.27778269303371</v>
      </c>
      <c r="BQ278">
        <f t="shared" ca="1" si="202"/>
        <v>224.88154529682851</v>
      </c>
      <c r="BR278">
        <f t="shared" ca="1" si="203"/>
        <v>-7.3228392345973017E-2</v>
      </c>
      <c r="BS278">
        <f t="shared" ca="1" si="204"/>
        <v>0.99731519719415895</v>
      </c>
      <c r="BT278">
        <f t="shared" ca="1" si="205"/>
        <v>1.6440903241986811</v>
      </c>
      <c r="BU278" s="40">
        <f t="shared" ca="1" si="206"/>
        <v>-1.497502329291112</v>
      </c>
    </row>
    <row r="279" spans="45:73" x14ac:dyDescent="0.25">
      <c r="AS279" s="6">
        <v>1.6929693744344911</v>
      </c>
      <c r="AT279" s="6">
        <v>-20.545425193081208</v>
      </c>
      <c r="AU279" s="6">
        <v>224.04578706394631</v>
      </c>
      <c r="AV279" s="6">
        <f t="shared" si="188"/>
        <v>1.662242471969684</v>
      </c>
      <c r="AW279" s="6">
        <f t="shared" si="189"/>
        <v>3.0726902464807138E-2</v>
      </c>
      <c r="AX279" s="6">
        <f t="shared" si="190"/>
        <v>1.4793501815201091</v>
      </c>
      <c r="AY279" s="6">
        <f t="shared" si="191"/>
        <v>1.4793501815201091</v>
      </c>
      <c r="BF279" s="40"/>
      <c r="BG279" s="6">
        <f t="shared" si="192"/>
        <v>1.466076571675228</v>
      </c>
      <c r="BH279" s="9">
        <f t="shared" ca="1" si="193"/>
        <v>62.840683927387609</v>
      </c>
      <c r="BI279" s="9">
        <f t="shared" ca="1" si="194"/>
        <v>280.47151791210621</v>
      </c>
      <c r="BJ279">
        <f t="shared" ca="1" si="195"/>
        <v>287.42516228817328</v>
      </c>
      <c r="BK279" s="6">
        <f t="shared" ca="1" si="196"/>
        <v>0.21863320325582128</v>
      </c>
      <c r="BL279" s="6">
        <f t="shared" ca="1" si="197"/>
        <v>0.97580711333444314</v>
      </c>
      <c r="BM279" s="6">
        <f t="shared" ca="1" si="198"/>
        <v>1.3503827599293783</v>
      </c>
      <c r="BN279" s="6">
        <f t="shared" ca="1" si="199"/>
        <v>-0.56903186006697881</v>
      </c>
      <c r="BO279" s="9">
        <f t="shared" ca="1" si="200"/>
        <v>-16.741512768771805</v>
      </c>
      <c r="BP279" s="9">
        <f t="shared" ca="1" si="201"/>
        <v>224.29584965437601</v>
      </c>
      <c r="BQ279">
        <f t="shared" ca="1" si="202"/>
        <v>224.91977774745686</v>
      </c>
      <c r="BR279">
        <f t="shared" ca="1" si="203"/>
        <v>-7.4433262100985248E-2</v>
      </c>
      <c r="BS279">
        <f t="shared" ca="1" si="204"/>
        <v>0.9972259972007379</v>
      </c>
      <c r="BT279">
        <f t="shared" ca="1" si="205"/>
        <v>1.6452984913820303</v>
      </c>
      <c r="BU279" s="40">
        <f t="shared" ca="1" si="206"/>
        <v>-1.4962941621077628</v>
      </c>
    </row>
    <row r="280" spans="45:73" x14ac:dyDescent="0.25">
      <c r="AS280" s="6">
        <v>1.7104226669544345</v>
      </c>
      <c r="AT280" s="6">
        <v>-20.84927674643879</v>
      </c>
      <c r="AU280" s="6">
        <v>223.99193962343844</v>
      </c>
      <c r="AV280" s="6">
        <f t="shared" si="188"/>
        <v>1.6636093776816516</v>
      </c>
      <c r="AW280" s="6">
        <f t="shared" si="189"/>
        <v>4.6813289272782832E-2</v>
      </c>
      <c r="AX280" s="6">
        <f t="shared" si="190"/>
        <v>1.4779832758081415</v>
      </c>
      <c r="AY280" s="6">
        <f t="shared" si="191"/>
        <v>1.4779832758081415</v>
      </c>
      <c r="BF280" s="40"/>
      <c r="BG280" s="6">
        <f t="shared" si="192"/>
        <v>1.4835298641951713</v>
      </c>
      <c r="BH280" s="9">
        <f t="shared" ca="1" si="193"/>
        <v>62.567073897744223</v>
      </c>
      <c r="BI280" s="9">
        <f t="shared" ca="1" si="194"/>
        <v>280.4849504844359</v>
      </c>
      <c r="BJ280">
        <f t="shared" ca="1" si="195"/>
        <v>287.37857641860194</v>
      </c>
      <c r="BK280" s="6">
        <f t="shared" ca="1" si="196"/>
        <v>0.21771655590153544</v>
      </c>
      <c r="BL280" s="6">
        <f t="shared" ca="1" si="197"/>
        <v>0.97601203951917193</v>
      </c>
      <c r="BM280" s="6">
        <f t="shared" ca="1" si="198"/>
        <v>1.3513220347444184</v>
      </c>
      <c r="BN280" s="6">
        <f t="shared" ca="1" si="199"/>
        <v>-0.56809258525193873</v>
      </c>
      <c r="BO280" s="9">
        <f t="shared" ca="1" si="200"/>
        <v>-17.015122798415192</v>
      </c>
      <c r="BP280" s="9">
        <f t="shared" ca="1" si="201"/>
        <v>224.3092822267057</v>
      </c>
      <c r="BQ280">
        <f t="shared" ca="1" si="202"/>
        <v>224.95370300776349</v>
      </c>
      <c r="BR280">
        <f t="shared" ca="1" si="203"/>
        <v>-7.5638331669641262E-2</v>
      </c>
      <c r="BS280">
        <f t="shared" ca="1" si="204"/>
        <v>0.99713531819018086</v>
      </c>
      <c r="BT280">
        <f t="shared" ca="1" si="205"/>
        <v>1.6465069679130357</v>
      </c>
      <c r="BU280" s="40">
        <f t="shared" ca="1" si="206"/>
        <v>-1.4950856855767574</v>
      </c>
    </row>
    <row r="281" spans="45:73" x14ac:dyDescent="0.25">
      <c r="AS281" s="6">
        <v>1.7278759594743778</v>
      </c>
      <c r="AT281" s="6">
        <v>-21.152826753407922</v>
      </c>
      <c r="AU281" s="6">
        <v>223.93377511017763</v>
      </c>
      <c r="AV281" s="6">
        <f t="shared" si="188"/>
        <v>1.6649770630091423</v>
      </c>
      <c r="AW281" s="6">
        <f t="shared" si="189"/>
        <v>6.2898896465235499E-2</v>
      </c>
      <c r="AX281" s="6">
        <f t="shared" si="190"/>
        <v>1.4766155904806508</v>
      </c>
      <c r="AY281" s="6">
        <f t="shared" si="191"/>
        <v>1.4766155904806508</v>
      </c>
      <c r="BF281" s="40"/>
      <c r="BG281" s="6">
        <f t="shared" si="192"/>
        <v>1.5009831567151146</v>
      </c>
      <c r="BH281" s="9">
        <f t="shared" ca="1" si="193"/>
        <v>62.293462616596074</v>
      </c>
      <c r="BI281" s="9">
        <f t="shared" ca="1" si="194"/>
        <v>280.49378732340841</v>
      </c>
      <c r="BJ281">
        <f t="shared" ca="1" si="195"/>
        <v>287.32775746835654</v>
      </c>
      <c r="BK281" s="6">
        <f t="shared" ca="1" si="196"/>
        <v>0.21680280097357618</v>
      </c>
      <c r="BL281" s="6">
        <f t="shared" ca="1" si="197"/>
        <v>0.97621541961291103</v>
      </c>
      <c r="BM281" s="6">
        <f t="shared" ca="1" si="198"/>
        <v>1.3522581499055457</v>
      </c>
      <c r="BN281" s="6">
        <f t="shared" ca="1" si="199"/>
        <v>-0.56715647009081138</v>
      </c>
      <c r="BO281" s="9">
        <f t="shared" ca="1" si="200"/>
        <v>-17.288734079563341</v>
      </c>
      <c r="BP281" s="9">
        <f t="shared" ca="1" si="201"/>
        <v>224.31811906567822</v>
      </c>
      <c r="BQ281">
        <f t="shared" ca="1" si="202"/>
        <v>224.98337464630058</v>
      </c>
      <c r="BR281">
        <f t="shared" ca="1" si="203"/>
        <v>-7.6844496206633917E-2</v>
      </c>
      <c r="BS281">
        <f t="shared" ca="1" si="204"/>
        <v>0.99704309004312774</v>
      </c>
      <c r="BT281">
        <f t="shared" ca="1" si="205"/>
        <v>1.6477166534506258</v>
      </c>
      <c r="BU281" s="40">
        <f t="shared" ca="1" si="206"/>
        <v>-1.4938760000391673</v>
      </c>
    </row>
    <row r="282" spans="45:73" x14ac:dyDescent="0.25">
      <c r="AS282" s="6">
        <v>1.7453292519943211</v>
      </c>
      <c r="AT282" s="6">
        <v>-21.456332083973599</v>
      </c>
      <c r="AU282" s="6">
        <v>223.87119219476017</v>
      </c>
      <c r="AV282" s="6">
        <f t="shared" si="188"/>
        <v>1.6663467820150091</v>
      </c>
      <c r="AW282" s="6">
        <f t="shared" si="189"/>
        <v>7.898246997931202E-2</v>
      </c>
      <c r="AX282" s="6">
        <f t="shared" si="190"/>
        <v>1.475245871474784</v>
      </c>
      <c r="AY282" s="6">
        <f t="shared" si="191"/>
        <v>1.475245871474784</v>
      </c>
      <c r="BF282" s="40"/>
      <c r="BG282" s="6">
        <f t="shared" si="192"/>
        <v>1.5184364492350579</v>
      </c>
      <c r="BH282" s="9">
        <f t="shared" ca="1" si="193"/>
        <v>62.019659511425473</v>
      </c>
      <c r="BI282" s="9">
        <f t="shared" ca="1" si="194"/>
        <v>280.49805482235888</v>
      </c>
      <c r="BJ282">
        <f t="shared" ca="1" si="195"/>
        <v>287.27268739829793</v>
      </c>
      <c r="BK282" s="6">
        <f t="shared" ca="1" si="196"/>
        <v>0.21589124978469129</v>
      </c>
      <c r="BL282" s="6">
        <f t="shared" ca="1" si="197"/>
        <v>0.97641741497497059</v>
      </c>
      <c r="BM282" s="6">
        <f t="shared" ca="1" si="198"/>
        <v>1.35319181352783</v>
      </c>
      <c r="BN282" s="6">
        <f t="shared" ca="1" si="199"/>
        <v>-0.56622280646852707</v>
      </c>
      <c r="BO282" s="9">
        <f t="shared" ca="1" si="200"/>
        <v>-17.562537184733941</v>
      </c>
      <c r="BP282" s="9">
        <f t="shared" ca="1" si="201"/>
        <v>224.32238656462869</v>
      </c>
      <c r="BQ282">
        <f t="shared" ca="1" si="202"/>
        <v>225.00883499635268</v>
      </c>
      <c r="BR282">
        <f t="shared" ca="1" si="203"/>
        <v>-7.805265595468118E-2</v>
      </c>
      <c r="BS282">
        <f t="shared" ca="1" si="204"/>
        <v>0.99694923787443668</v>
      </c>
      <c r="BT282">
        <f t="shared" ca="1" si="205"/>
        <v>1.6489284530982851</v>
      </c>
      <c r="BU282" s="40">
        <f t="shared" ca="1" si="206"/>
        <v>-1.492664200391508</v>
      </c>
    </row>
    <row r="283" spans="45:73" x14ac:dyDescent="0.25">
      <c r="AS283" s="6">
        <v>1.7627825445142644</v>
      </c>
      <c r="AT283" s="6">
        <v>-21.760045792512535</v>
      </c>
      <c r="AU283" s="6">
        <v>223.80407714532066</v>
      </c>
      <c r="AV283" s="6">
        <f t="shared" si="188"/>
        <v>1.667719779979506</v>
      </c>
      <c r="AW283" s="6">
        <f t="shared" si="189"/>
        <v>9.5062764534758371E-2</v>
      </c>
      <c r="AX283" s="6">
        <f t="shared" si="190"/>
        <v>1.4738728735102871</v>
      </c>
      <c r="AY283" s="6">
        <f t="shared" si="191"/>
        <v>1.4738728735102871</v>
      </c>
      <c r="BF283" s="40"/>
      <c r="BG283" s="6">
        <f t="shared" si="192"/>
        <v>1.5358897417550013</v>
      </c>
      <c r="BH283" s="9">
        <f t="shared" ca="1" si="193"/>
        <v>61.745472901710443</v>
      </c>
      <c r="BI283" s="9">
        <f t="shared" ca="1" si="194"/>
        <v>280.4977674516025</v>
      </c>
      <c r="BJ283">
        <f t="shared" ca="1" si="195"/>
        <v>287.21333703222962</v>
      </c>
      <c r="BK283" s="6">
        <f t="shared" ca="1" si="196"/>
        <v>0.21498121758454999</v>
      </c>
      <c r="BL283" s="6">
        <f t="shared" ca="1" si="197"/>
        <v>0.9766181833684362</v>
      </c>
      <c r="BM283" s="6">
        <f t="shared" ca="1" si="198"/>
        <v>1.3541237290905079</v>
      </c>
      <c r="BN283" s="6">
        <f t="shared" ca="1" si="199"/>
        <v>-0.56529089090584916</v>
      </c>
      <c r="BO283" s="9">
        <f t="shared" ca="1" si="200"/>
        <v>-17.836723794448972</v>
      </c>
      <c r="BP283" s="9">
        <f t="shared" ca="1" si="201"/>
        <v>224.3220991938723</v>
      </c>
      <c r="BQ283">
        <f t="shared" ca="1" si="202"/>
        <v>225.03011554559748</v>
      </c>
      <c r="BR283">
        <f t="shared" ca="1" si="203"/>
        <v>-7.9263718774719938E-2</v>
      </c>
      <c r="BS283">
        <f t="shared" ca="1" si="204"/>
        <v>0.99685368178384237</v>
      </c>
      <c r="BT283">
        <f t="shared" ca="1" si="205"/>
        <v>1.650143279959212</v>
      </c>
      <c r="BU283" s="40">
        <f t="shared" ca="1" si="206"/>
        <v>-1.4914493735305812</v>
      </c>
    </row>
    <row r="284" spans="45:73" x14ac:dyDescent="0.25">
      <c r="AS284" s="6">
        <v>1.7802358370342077</v>
      </c>
      <c r="AT284" s="6">
        <v>-22.06421838244491</v>
      </c>
      <c r="AU284" s="6">
        <v>223.73230302042421</v>
      </c>
      <c r="AV284" s="6">
        <f t="shared" si="188"/>
        <v>1.6690972999423912</v>
      </c>
      <c r="AW284" s="6">
        <f t="shared" si="189"/>
        <v>0.11113853709181654</v>
      </c>
      <c r="AX284" s="6">
        <f t="shared" si="190"/>
        <v>1.4724953535474019</v>
      </c>
      <c r="AY284" s="6">
        <f t="shared" si="191"/>
        <v>1.4724953535474019</v>
      </c>
      <c r="BF284" s="40"/>
      <c r="BG284" s="6">
        <f t="shared" si="192"/>
        <v>1.5533430342749446</v>
      </c>
      <c r="BH284" s="9">
        <f t="shared" ca="1" si="193"/>
        <v>61.470709329257822</v>
      </c>
      <c r="BI284" s="9">
        <f t="shared" ca="1" si="194"/>
        <v>280.49292751761777</v>
      </c>
      <c r="BJ284">
        <f t="shared" ca="1" si="195"/>
        <v>287.14966566730612</v>
      </c>
      <c r="BK284" s="6">
        <f t="shared" ca="1" si="196"/>
        <v>0.2140720212451101</v>
      </c>
      <c r="BL284" s="6">
        <f t="shared" ca="1" si="197"/>
        <v>0.9768178795046869</v>
      </c>
      <c r="BM284" s="6">
        <f t="shared" ca="1" si="198"/>
        <v>1.3550545978208106</v>
      </c>
      <c r="BN284" s="6">
        <f t="shared" ca="1" si="199"/>
        <v>-0.56436002217554648</v>
      </c>
      <c r="BO284" s="9">
        <f t="shared" ca="1" si="200"/>
        <v>-18.111487366901592</v>
      </c>
      <c r="BP284" s="9">
        <f t="shared" ca="1" si="201"/>
        <v>224.31725925988758</v>
      </c>
      <c r="BQ284">
        <f t="shared" ca="1" si="202"/>
        <v>225.04723676710421</v>
      </c>
      <c r="BR284">
        <f t="shared" ca="1" si="203"/>
        <v>-8.0478603634865864E-2</v>
      </c>
      <c r="BS284">
        <f t="shared" ca="1" si="204"/>
        <v>0.99675633650204709</v>
      </c>
      <c r="BT284">
        <f t="shared" ca="1" si="205"/>
        <v>1.6513620586557656</v>
      </c>
      <c r="BU284" s="40">
        <f t="shared" ca="1" si="206"/>
        <v>-1.4902305948340275</v>
      </c>
    </row>
    <row r="285" spans="45:73" x14ac:dyDescent="0.25">
      <c r="AS285" s="6">
        <v>1.7976891295541511</v>
      </c>
      <c r="AT285" s="6">
        <v>-22.369098867617424</v>
      </c>
      <c r="AU285" s="6">
        <v>223.65572920195837</v>
      </c>
      <c r="AV285" s="6">
        <f t="shared" si="188"/>
        <v>1.6704805882383269</v>
      </c>
      <c r="AW285" s="6">
        <f t="shared" si="189"/>
        <v>0.12720854131582415</v>
      </c>
      <c r="AX285" s="6">
        <f t="shared" si="190"/>
        <v>1.4711120652514662</v>
      </c>
      <c r="AY285" s="6">
        <f t="shared" si="191"/>
        <v>1.4711120652514662</v>
      </c>
      <c r="BF285" s="40"/>
      <c r="BG285" s="6">
        <f t="shared" si="192"/>
        <v>1.5707963267948879</v>
      </c>
      <c r="BH285" s="9">
        <f t="shared" ca="1" si="193"/>
        <v>61.195173033190144</v>
      </c>
      <c r="BI285" s="9">
        <f t="shared" ca="1" si="194"/>
        <v>280.48352534836971</v>
      </c>
      <c r="BJ285">
        <f t="shared" ca="1" si="195"/>
        <v>287.0816211365883</v>
      </c>
      <c r="BK285" s="6">
        <f t="shared" ca="1" si="196"/>
        <v>0.21316297710355542</v>
      </c>
      <c r="BL285" s="6">
        <f t="shared" ca="1" si="197"/>
        <v>0.97701665553477102</v>
      </c>
      <c r="BM285" s="6">
        <f t="shared" ca="1" si="198"/>
        <v>1.3559851209123612</v>
      </c>
      <c r="BN285" s="6">
        <f t="shared" ca="1" si="199"/>
        <v>-0.56342949908399587</v>
      </c>
      <c r="BO285" s="9">
        <f t="shared" ca="1" si="200"/>
        <v>-18.38702366296927</v>
      </c>
      <c r="BP285" s="9">
        <f t="shared" ca="1" si="201"/>
        <v>224.30785709063952</v>
      </c>
      <c r="BQ285">
        <f t="shared" ca="1" si="202"/>
        <v>225.06020837050994</v>
      </c>
      <c r="BR285">
        <f t="shared" ca="1" si="203"/>
        <v>-8.1698243310515645E-2</v>
      </c>
      <c r="BS285">
        <f t="shared" ca="1" si="204"/>
        <v>0.99665711106677801</v>
      </c>
      <c r="BT285">
        <f t="shared" ca="1" si="205"/>
        <v>1.6525857280605745</v>
      </c>
      <c r="BU285" s="40">
        <f t="shared" ca="1" si="206"/>
        <v>-1.4890069254292186</v>
      </c>
    </row>
    <row r="286" spans="45:73" x14ac:dyDescent="0.25">
      <c r="AS286" s="6">
        <v>1.8151424220740944</v>
      </c>
      <c r="AT286" s="6">
        <v>-22.674935840531113</v>
      </c>
      <c r="AU286" s="6">
        <v>223.57420065684292</v>
      </c>
      <c r="AV286" s="6">
        <f t="shared" si="188"/>
        <v>1.6718709002197993</v>
      </c>
      <c r="AW286" s="6">
        <f t="shared" si="189"/>
        <v>0.14327152185429504</v>
      </c>
      <c r="AX286" s="6">
        <f t="shared" si="190"/>
        <v>1.4697217532699938</v>
      </c>
      <c r="AY286" s="6">
        <f t="shared" si="191"/>
        <v>1.4697217532699938</v>
      </c>
      <c r="BF286" s="40"/>
      <c r="BG286" s="6">
        <f t="shared" si="192"/>
        <v>1.5882496193148312</v>
      </c>
      <c r="BH286" s="9">
        <f t="shared" ca="1" si="193"/>
        <v>60.881409401641378</v>
      </c>
      <c r="BI286" s="9">
        <f t="shared" ca="1" si="194"/>
        <v>280.45805283645103</v>
      </c>
      <c r="BJ286">
        <f t="shared" ca="1" si="195"/>
        <v>286.99000925388293</v>
      </c>
      <c r="BK286" s="6">
        <f t="shared" ca="1" si="196"/>
        <v>0.21213773106569445</v>
      </c>
      <c r="BL286" s="6">
        <f t="shared" ca="1" si="197"/>
        <v>0.97723977766886838</v>
      </c>
      <c r="BM286" s="6">
        <f t="shared" ca="1" si="198"/>
        <v>1.3570343649382555</v>
      </c>
      <c r="BN286" s="6">
        <f t="shared" ca="1" si="199"/>
        <v>-0.56238025505810163</v>
      </c>
      <c r="BO286" s="9">
        <f t="shared" ca="1" si="200"/>
        <v>-18.700787294518037</v>
      </c>
      <c r="BP286" s="9">
        <f t="shared" ca="1" si="201"/>
        <v>224.28238457872084</v>
      </c>
      <c r="BQ286">
        <f t="shared" ca="1" si="202"/>
        <v>225.06067510285317</v>
      </c>
      <c r="BR286">
        <f t="shared" ca="1" si="203"/>
        <v>-8.309220296247552E-2</v>
      </c>
      <c r="BS286">
        <f t="shared" ca="1" si="204"/>
        <v>0.99654186354956653</v>
      </c>
      <c r="BT286">
        <f t="shared" ca="1" si="205"/>
        <v>1.6539844438360185</v>
      </c>
      <c r="BU286" s="40">
        <f t="shared" ca="1" si="206"/>
        <v>-1.4876082096537746</v>
      </c>
    </row>
    <row r="287" spans="45:73" x14ac:dyDescent="0.25">
      <c r="AS287" s="6">
        <v>1.8325957145940377</v>
      </c>
      <c r="AT287" s="6">
        <v>-22.981978480660036</v>
      </c>
      <c r="AU287" s="6">
        <v>223.48754717120599</v>
      </c>
      <c r="AV287" s="6">
        <f t="shared" si="188"/>
        <v>1.6732695057777776</v>
      </c>
      <c r="AW287" s="6">
        <f t="shared" si="189"/>
        <v>0.15932620881626014</v>
      </c>
      <c r="AX287" s="6">
        <f t="shared" si="190"/>
        <v>1.4683231477120156</v>
      </c>
      <c r="AY287" s="6">
        <f t="shared" si="191"/>
        <v>1.4683231477120156</v>
      </c>
      <c r="BF287" s="40"/>
      <c r="BG287" s="6">
        <f t="shared" si="192"/>
        <v>1.6057029118347745</v>
      </c>
      <c r="BH287" s="9">
        <f t="shared" ca="1" si="193"/>
        <v>60.569971827812836</v>
      </c>
      <c r="BI287" s="9">
        <f t="shared" ca="1" si="194"/>
        <v>280.4286442304479</v>
      </c>
      <c r="BJ287">
        <f t="shared" ca="1" si="195"/>
        <v>286.89535721609218</v>
      </c>
      <c r="BK287" s="6">
        <f t="shared" ca="1" si="196"/>
        <v>0.2111221750521079</v>
      </c>
      <c r="BL287" s="6">
        <f t="shared" ca="1" si="197"/>
        <v>0.97745968060133681</v>
      </c>
      <c r="BM287" s="6">
        <f t="shared" ca="1" si="198"/>
        <v>1.358073456567318</v>
      </c>
      <c r="BN287" s="6">
        <f t="shared" ca="1" si="199"/>
        <v>-0.56134116342903906</v>
      </c>
      <c r="BO287" s="9">
        <f t="shared" ca="1" si="200"/>
        <v>-19.012224868346578</v>
      </c>
      <c r="BP287" s="9">
        <f t="shared" ca="1" si="201"/>
        <v>224.25297597271771</v>
      </c>
      <c r="BQ287">
        <f t="shared" ca="1" si="202"/>
        <v>225.05746361110729</v>
      </c>
      <c r="BR287">
        <f t="shared" ca="1" si="203"/>
        <v>-8.4477202236665855E-2</v>
      </c>
      <c r="BS287">
        <f t="shared" ca="1" si="204"/>
        <v>0.9964254123125651</v>
      </c>
      <c r="BT287">
        <f t="shared" ca="1" si="205"/>
        <v>1.6553743302310484</v>
      </c>
      <c r="BU287" s="40">
        <f t="shared" ca="1" si="206"/>
        <v>-1.4862183232587447</v>
      </c>
    </row>
    <row r="288" spans="45:73" x14ac:dyDescent="0.25">
      <c r="AS288" s="6">
        <v>1.850049007113981</v>
      </c>
      <c r="AT288" s="6">
        <v>-23.290477566200856</v>
      </c>
      <c r="AU288" s="6">
        <v>223.39558239027747</v>
      </c>
      <c r="AV288" s="6">
        <f t="shared" si="188"/>
        <v>1.674677695023965</v>
      </c>
      <c r="AW288" s="6">
        <f t="shared" si="189"/>
        <v>0.175371312090016</v>
      </c>
      <c r="AX288" s="6">
        <f t="shared" si="190"/>
        <v>1.4669149584658281</v>
      </c>
      <c r="AY288" s="6">
        <f t="shared" si="191"/>
        <v>1.4669149584658281</v>
      </c>
      <c r="BF288" s="40"/>
      <c r="BG288" s="6">
        <f t="shared" si="192"/>
        <v>1.6231562043547179</v>
      </c>
      <c r="BH288" s="9">
        <f t="shared" ca="1" si="193"/>
        <v>60.260534447814152</v>
      </c>
      <c r="BI288" s="9">
        <f t="shared" ca="1" si="194"/>
        <v>280.39527937306775</v>
      </c>
      <c r="BJ288">
        <f t="shared" ca="1" si="195"/>
        <v>286.79756746987397</v>
      </c>
      <c r="BK288" s="6">
        <f t="shared" ca="1" si="196"/>
        <v>0.21011522161583218</v>
      </c>
      <c r="BL288" s="6">
        <f t="shared" ca="1" si="197"/>
        <v>0.97767663040768737</v>
      </c>
      <c r="BM288" s="6">
        <f t="shared" ca="1" si="198"/>
        <v>1.3591035160486671</v>
      </c>
      <c r="BN288" s="6">
        <f t="shared" ca="1" si="199"/>
        <v>-0.56031110394769001</v>
      </c>
      <c r="BO288" s="9">
        <f t="shared" ca="1" si="200"/>
        <v>-19.321662248345262</v>
      </c>
      <c r="BP288" s="9">
        <f t="shared" ca="1" si="201"/>
        <v>224.21961111533756</v>
      </c>
      <c r="BQ288">
        <f t="shared" ca="1" si="202"/>
        <v>225.05057351793695</v>
      </c>
      <c r="BR288">
        <f t="shared" ca="1" si="203"/>
        <v>-8.585475676117435E-2</v>
      </c>
      <c r="BS288">
        <f t="shared" ca="1" si="204"/>
        <v>0.9963076636970527</v>
      </c>
      <c r="BT288">
        <f t="shared" ca="1" si="205"/>
        <v>1.6567569080801918</v>
      </c>
      <c r="BU288" s="40">
        <f t="shared" ca="1" si="206"/>
        <v>-1.4848357454096013</v>
      </c>
    </row>
    <row r="289" spans="45:73" x14ac:dyDescent="0.25">
      <c r="AS289" s="6">
        <v>1.8675022996339243</v>
      </c>
      <c r="AT289" s="6">
        <v>-23.60068645043512</v>
      </c>
      <c r="AU289" s="6">
        <v>223.29810281069541</v>
      </c>
      <c r="AV289" s="6">
        <f t="shared" si="188"/>
        <v>1.6760967839085885</v>
      </c>
      <c r="AW289" s="6">
        <f t="shared" si="189"/>
        <v>0.19140551572533582</v>
      </c>
      <c r="AX289" s="6">
        <f t="shared" si="190"/>
        <v>1.4654958695812046</v>
      </c>
      <c r="AY289" s="6">
        <f t="shared" si="191"/>
        <v>1.4654958695812046</v>
      </c>
      <c r="BF289" s="40"/>
      <c r="BG289" s="6">
        <f t="shared" si="192"/>
        <v>1.6406094968746612</v>
      </c>
      <c r="BH289" s="9">
        <f t="shared" ca="1" si="193"/>
        <v>59.952787102115238</v>
      </c>
      <c r="BI289" s="9">
        <f t="shared" ca="1" si="194"/>
        <v>280.35792671961792</v>
      </c>
      <c r="BJ289">
        <f t="shared" ca="1" si="195"/>
        <v>286.69653600250251</v>
      </c>
      <c r="BK289" s="6">
        <f t="shared" ca="1" si="196"/>
        <v>0.20911584052620685</v>
      </c>
      <c r="BL289" s="6">
        <f t="shared" ca="1" si="197"/>
        <v>0.97789087593709445</v>
      </c>
      <c r="BM289" s="6">
        <f t="shared" ca="1" si="198"/>
        <v>1.3601256040097132</v>
      </c>
      <c r="BN289" s="6">
        <f t="shared" ca="1" si="199"/>
        <v>-0.55928901598664393</v>
      </c>
      <c r="BO289" s="9">
        <f t="shared" ca="1" si="200"/>
        <v>-19.629409594044176</v>
      </c>
      <c r="BP289" s="9">
        <f t="shared" ca="1" si="201"/>
        <v>224.18225846188773</v>
      </c>
      <c r="BQ289">
        <f t="shared" ca="1" si="202"/>
        <v>225.03999362354102</v>
      </c>
      <c r="BR289">
        <f t="shared" ca="1" si="203"/>
        <v>-8.7226315989331685E-2</v>
      </c>
      <c r="BS289">
        <f t="shared" ca="1" si="204"/>
        <v>0.99618852121419732</v>
      </c>
      <c r="BT289">
        <f t="shared" ca="1" si="205"/>
        <v>1.6581336324342051</v>
      </c>
      <c r="BU289" s="40">
        <f t="shared" ca="1" si="206"/>
        <v>-1.483459021055588</v>
      </c>
    </row>
    <row r="290" spans="45:73" x14ac:dyDescent="0.25">
      <c r="AS290" s="6">
        <v>1.8849555921538677</v>
      </c>
      <c r="AT290" s="6">
        <v>-23.912862013597223</v>
      </c>
      <c r="AU290" s="6">
        <v>223.19488671337632</v>
      </c>
      <c r="AV290" s="6">
        <f t="shared" si="188"/>
        <v>1.6775281198361731</v>
      </c>
      <c r="AW290" s="6">
        <f t="shared" si="189"/>
        <v>0.20742747231769454</v>
      </c>
      <c r="AX290" s="6">
        <f t="shared" si="190"/>
        <v>1.46406453365362</v>
      </c>
      <c r="AY290" s="6">
        <f t="shared" si="191"/>
        <v>1.46406453365362</v>
      </c>
      <c r="BF290" s="40"/>
      <c r="BG290" s="6">
        <f t="shared" si="192"/>
        <v>1.6580627893946045</v>
      </c>
      <c r="BH290" s="9">
        <f t="shared" ca="1" si="193"/>
        <v>59.646432937045248</v>
      </c>
      <c r="BI290" s="9">
        <f t="shared" ca="1" si="194"/>
        <v>280.31654324492115</v>
      </c>
      <c r="BJ290">
        <f t="shared" ca="1" si="195"/>
        <v>286.59215163520298</v>
      </c>
      <c r="BK290" s="6">
        <f t="shared" ca="1" si="196"/>
        <v>0.20812305081183072</v>
      </c>
      <c r="BL290" s="6">
        <f t="shared" ca="1" si="197"/>
        <v>0.97810265091184379</v>
      </c>
      <c r="BM290" s="6">
        <f t="shared" ca="1" si="198"/>
        <v>1.3611407296893174</v>
      </c>
      <c r="BN290" s="6">
        <f t="shared" ca="1" si="199"/>
        <v>-0.55827389030703967</v>
      </c>
      <c r="BO290" s="9">
        <f t="shared" ca="1" si="200"/>
        <v>-19.935763759114167</v>
      </c>
      <c r="BP290" s="9">
        <f t="shared" ca="1" si="201"/>
        <v>224.14087498719095</v>
      </c>
      <c r="BQ290">
        <f t="shared" ca="1" si="202"/>
        <v>225.0257019024333</v>
      </c>
      <c r="BR290">
        <f t="shared" ca="1" si="203"/>
        <v>-8.8593274415195114E-2</v>
      </c>
      <c r="BS290">
        <f t="shared" ca="1" si="204"/>
        <v>0.99606788510040511</v>
      </c>
      <c r="BT290">
        <f t="shared" ca="1" si="205"/>
        <v>1.6595059038015025</v>
      </c>
      <c r="BU290" s="40">
        <f t="shared" ca="1" si="206"/>
        <v>-1.4820867496882906</v>
      </c>
    </row>
    <row r="291" spans="45:73" x14ac:dyDescent="0.25">
      <c r="AS291" s="6">
        <v>1.902408884673811</v>
      </c>
      <c r="AT291" s="6">
        <v>-24.22726571725703</v>
      </c>
      <c r="AU291" s="6">
        <v>223.08569266022693</v>
      </c>
      <c r="AV291" s="6">
        <f t="shared" si="188"/>
        <v>1.6789730880331024</v>
      </c>
      <c r="AW291" s="6">
        <f t="shared" si="189"/>
        <v>0.22343579664070856</v>
      </c>
      <c r="AX291" s="6">
        <f t="shared" si="190"/>
        <v>1.4626195654566907</v>
      </c>
      <c r="AY291" s="6">
        <f t="shared" si="191"/>
        <v>1.4626195654566907</v>
      </c>
      <c r="BF291" s="40"/>
      <c r="BG291" s="6">
        <f t="shared" si="192"/>
        <v>1.6755160819145478</v>
      </c>
      <c r="BH291" s="9">
        <f t="shared" ca="1" si="193"/>
        <v>59.341186428010204</v>
      </c>
      <c r="BI291" s="9">
        <f t="shared" ca="1" si="194"/>
        <v>280.27107469119392</v>
      </c>
      <c r="BJ291">
        <f t="shared" ca="1" si="195"/>
        <v>286.48429575674942</v>
      </c>
      <c r="BK291" s="6">
        <f t="shared" ca="1" si="196"/>
        <v>0.20713591392945369</v>
      </c>
      <c r="BL291" s="6">
        <f t="shared" ca="1" si="197"/>
        <v>0.97831217571928941</v>
      </c>
      <c r="BM291" s="6">
        <f t="shared" ca="1" si="198"/>
        <v>1.3621498580042022</v>
      </c>
      <c r="BN291" s="6">
        <f t="shared" ca="1" si="199"/>
        <v>-0.55726476199215491</v>
      </c>
      <c r="BO291" s="9">
        <f t="shared" ca="1" si="200"/>
        <v>-20.241010268149211</v>
      </c>
      <c r="BP291" s="9">
        <f t="shared" ca="1" si="201"/>
        <v>224.09540643346372</v>
      </c>
      <c r="BQ291">
        <f t="shared" ca="1" si="202"/>
        <v>225.00766582775489</v>
      </c>
      <c r="BR291">
        <f t="shared" ca="1" si="203"/>
        <v>-8.9956980770796766E-2</v>
      </c>
      <c r="BS291">
        <f t="shared" ca="1" si="204"/>
        <v>0.99594565193619</v>
      </c>
      <c r="BT291">
        <f t="shared" ca="1" si="205"/>
        <v>1.6608750773710683</v>
      </c>
      <c r="BU291" s="40">
        <f t="shared" ca="1" si="206"/>
        <v>-1.4807175761187248</v>
      </c>
    </row>
    <row r="292" spans="45:73" x14ac:dyDescent="0.25">
      <c r="AS292" s="6">
        <v>1.9198621771937543</v>
      </c>
      <c r="AT292" s="6">
        <v>-24.54416450192608</v>
      </c>
      <c r="AU292" s="6">
        <v>222.97025837817205</v>
      </c>
      <c r="AV292" s="6">
        <f t="shared" si="188"/>
        <v>1.6804331171452724</v>
      </c>
      <c r="AW292" s="6">
        <f t="shared" si="189"/>
        <v>0.23942906004848186</v>
      </c>
      <c r="AX292" s="6">
        <f t="shared" si="190"/>
        <v>1.4611595363445207</v>
      </c>
      <c r="AY292" s="6">
        <f t="shared" si="191"/>
        <v>1.4611595363445207</v>
      </c>
      <c r="BF292" s="40"/>
      <c r="BG292" s="6">
        <f t="shared" si="192"/>
        <v>1.6929693744344911</v>
      </c>
      <c r="BH292" s="9">
        <f t="shared" ca="1" si="193"/>
        <v>59.036771503078207</v>
      </c>
      <c r="BI292" s="9">
        <f t="shared" ca="1" si="194"/>
        <v>280.2214553216765</v>
      </c>
      <c r="BJ292">
        <f t="shared" ca="1" si="195"/>
        <v>286.37284161055675</v>
      </c>
      <c r="BK292" s="6">
        <f t="shared" ca="1" si="196"/>
        <v>0.2061535275868209</v>
      </c>
      <c r="BL292" s="6">
        <f t="shared" ca="1" si="197"/>
        <v>0.97851965900717075</v>
      </c>
      <c r="BM292" s="6">
        <f t="shared" ca="1" si="198"/>
        <v>1.3631539159336243</v>
      </c>
      <c r="BN292" s="6">
        <f t="shared" ca="1" si="199"/>
        <v>-0.55626070406273276</v>
      </c>
      <c r="BO292" s="9">
        <f t="shared" ca="1" si="200"/>
        <v>-20.545425193081208</v>
      </c>
      <c r="BP292" s="9">
        <f t="shared" ca="1" si="201"/>
        <v>224.04578706394631</v>
      </c>
      <c r="BQ292">
        <f t="shared" ca="1" si="202"/>
        <v>224.98584221561069</v>
      </c>
      <c r="BR292">
        <f t="shared" ca="1" si="203"/>
        <v>-9.1318746952050028E-2</v>
      </c>
      <c r="BS292">
        <f t="shared" ca="1" si="204"/>
        <v>0.99582171419140453</v>
      </c>
      <c r="BT292">
        <f t="shared" ca="1" si="205"/>
        <v>1.662242471969684</v>
      </c>
      <c r="BU292" s="40">
        <f t="shared" ca="1" si="206"/>
        <v>-1.4793501815201091</v>
      </c>
    </row>
    <row r="293" spans="45:73" x14ac:dyDescent="0.25">
      <c r="AS293" s="6">
        <v>1.9373154697136976</v>
      </c>
      <c r="AT293" s="6">
        <v>-24.863831909888695</v>
      </c>
      <c r="AU293" s="6">
        <v>222.84829885450316</v>
      </c>
      <c r="AV293" s="6">
        <f t="shared" si="188"/>
        <v>1.6819096863310747</v>
      </c>
      <c r="AW293" s="6">
        <f t="shared" si="189"/>
        <v>0.25540578338262288</v>
      </c>
      <c r="AX293" s="6">
        <f t="shared" si="190"/>
        <v>1.4596829671587184</v>
      </c>
      <c r="AY293" s="6">
        <f t="shared" si="191"/>
        <v>1.4596829671587184</v>
      </c>
      <c r="BF293" s="40"/>
      <c r="BG293" s="6">
        <f t="shared" si="192"/>
        <v>1.7104226669544345</v>
      </c>
      <c r="BH293" s="9">
        <f t="shared" ca="1" si="193"/>
        <v>58.732919949720625</v>
      </c>
      <c r="BI293" s="9">
        <f t="shared" ca="1" si="194"/>
        <v>280.16760788116864</v>
      </c>
      <c r="BJ293">
        <f t="shared" ca="1" si="195"/>
        <v>286.25765385693455</v>
      </c>
      <c r="BK293" s="6">
        <f t="shared" ca="1" si="196"/>
        <v>0.20517502033002089</v>
      </c>
      <c r="BL293" s="6">
        <f t="shared" ca="1" si="197"/>
        <v>0.97872529906638028</v>
      </c>
      <c r="BM293" s="6">
        <f t="shared" ca="1" si="198"/>
        <v>1.3641537981111114</v>
      </c>
      <c r="BN293" s="6">
        <f t="shared" ca="1" si="199"/>
        <v>-0.55526082188524573</v>
      </c>
      <c r="BO293" s="9">
        <f t="shared" ca="1" si="200"/>
        <v>-20.84927674643879</v>
      </c>
      <c r="BP293" s="9">
        <f t="shared" ca="1" si="201"/>
        <v>223.99193962343844</v>
      </c>
      <c r="BQ293">
        <f t="shared" ca="1" si="202"/>
        <v>224.9601772694885</v>
      </c>
      <c r="BR293">
        <f t="shared" ca="1" si="203"/>
        <v>-9.2679855606010816E-2</v>
      </c>
      <c r="BS293">
        <f t="shared" ca="1" si="204"/>
        <v>0.9956959598014089</v>
      </c>
      <c r="BT293">
        <f t="shared" ca="1" si="205"/>
        <v>1.6636093776816516</v>
      </c>
      <c r="BU293" s="40">
        <f t="shared" ca="1" si="206"/>
        <v>-1.4779832758081415</v>
      </c>
    </row>
    <row r="294" spans="45:73" x14ac:dyDescent="0.25">
      <c r="AS294" s="6">
        <v>1.9547687622336409</v>
      </c>
      <c r="AT294" s="6">
        <v>-25.186549095371909</v>
      </c>
      <c r="AU294" s="6">
        <v>222.71950470730462</v>
      </c>
      <c r="AV294" s="6">
        <f t="shared" si="188"/>
        <v>1.6834043318677852</v>
      </c>
      <c r="AW294" s="6">
        <f t="shared" si="189"/>
        <v>0.27136443036585578</v>
      </c>
      <c r="AX294" s="6">
        <f t="shared" si="190"/>
        <v>1.458188321622008</v>
      </c>
      <c r="AY294" s="6">
        <f t="shared" si="191"/>
        <v>1.458188321622008</v>
      </c>
      <c r="BF294" s="40"/>
      <c r="BG294" s="6">
        <f t="shared" si="192"/>
        <v>1.7278759594743778</v>
      </c>
      <c r="BH294" s="9">
        <f t="shared" ca="1" si="193"/>
        <v>58.429369942751492</v>
      </c>
      <c r="BI294" s="9">
        <f t="shared" ca="1" si="194"/>
        <v>280.10944336790783</v>
      </c>
      <c r="BJ294">
        <f t="shared" ca="1" si="195"/>
        <v>286.13858798803437</v>
      </c>
      <c r="BK294" s="6">
        <f t="shared" ca="1" si="196"/>
        <v>0.20419954663785111</v>
      </c>
      <c r="BL294" s="6">
        <f t="shared" ca="1" si="197"/>
        <v>0.97892928506245835</v>
      </c>
      <c r="BM294" s="6">
        <f t="shared" ca="1" si="198"/>
        <v>1.3651503718880633</v>
      </c>
      <c r="BN294" s="6">
        <f t="shared" ca="1" si="199"/>
        <v>-0.55426424810829378</v>
      </c>
      <c r="BO294" s="9">
        <f t="shared" ca="1" si="200"/>
        <v>-21.152826753407922</v>
      </c>
      <c r="BP294" s="9">
        <f t="shared" ca="1" si="201"/>
        <v>223.93377511017763</v>
      </c>
      <c r="BQ294">
        <f t="shared" ca="1" si="202"/>
        <v>224.93060644286561</v>
      </c>
      <c r="BR294">
        <f t="shared" ca="1" si="203"/>
        <v>-9.4041567254569816E-2</v>
      </c>
      <c r="BS294">
        <f t="shared" ca="1" si="204"/>
        <v>0.99556827170631768</v>
      </c>
      <c r="BT294">
        <f t="shared" ca="1" si="205"/>
        <v>1.6649770630091423</v>
      </c>
      <c r="BU294" s="40">
        <f t="shared" ca="1" si="206"/>
        <v>-1.4766155904806508</v>
      </c>
    </row>
    <row r="295" spans="45:73" x14ac:dyDescent="0.25">
      <c r="AS295" s="6">
        <v>1.9722220547535843</v>
      </c>
      <c r="AT295" s="6">
        <v>-25.123199394629495</v>
      </c>
      <c r="AU295" s="6">
        <v>222.74560380828851</v>
      </c>
      <c r="AV295" s="6">
        <f t="shared" si="188"/>
        <v>1.6831104264488779</v>
      </c>
      <c r="AW295" s="6">
        <f t="shared" si="189"/>
        <v>0.28911162830470638</v>
      </c>
      <c r="AX295" s="6">
        <f t="shared" si="190"/>
        <v>1.4584822270409152</v>
      </c>
      <c r="AY295" s="6">
        <f t="shared" si="191"/>
        <v>1.4584822270409152</v>
      </c>
      <c r="BF295" s="40"/>
      <c r="BG295" s="6">
        <f t="shared" si="192"/>
        <v>1.7453292519943211</v>
      </c>
      <c r="BH295" s="9">
        <f t="shared" ca="1" si="193"/>
        <v>58.125864612185815</v>
      </c>
      <c r="BI295" s="9">
        <f t="shared" ca="1" si="194"/>
        <v>280.04686045249036</v>
      </c>
      <c r="BJ295">
        <f t="shared" ca="1" si="195"/>
        <v>286.01548941658871</v>
      </c>
      <c r="BK295" s="6">
        <f t="shared" ca="1" si="196"/>
        <v>0.20322628236236548</v>
      </c>
      <c r="BL295" s="6">
        <f t="shared" ca="1" si="197"/>
        <v>0.97913179815445284</v>
      </c>
      <c r="BM295" s="6">
        <f t="shared" ca="1" si="198"/>
        <v>1.3661444820347539</v>
      </c>
      <c r="BN295" s="6">
        <f t="shared" ca="1" si="199"/>
        <v>-0.55327013796160318</v>
      </c>
      <c r="BO295" s="9">
        <f t="shared" ca="1" si="200"/>
        <v>-21.456332083973599</v>
      </c>
      <c r="BP295" s="9">
        <f t="shared" ca="1" si="201"/>
        <v>223.87119219476017</v>
      </c>
      <c r="BQ295">
        <f t="shared" ca="1" si="202"/>
        <v>224.89705396292101</v>
      </c>
      <c r="BR295">
        <f t="shared" ca="1" si="203"/>
        <v>-9.540512739447056E-2</v>
      </c>
      <c r="BS295">
        <f t="shared" ca="1" si="204"/>
        <v>0.99543852731690308</v>
      </c>
      <c r="BT295">
        <f t="shared" ca="1" si="205"/>
        <v>1.6663467820150091</v>
      </c>
      <c r="BU295" s="40">
        <f t="shared" ca="1" si="206"/>
        <v>-1.475245871474784</v>
      </c>
    </row>
    <row r="296" spans="45:73" x14ac:dyDescent="0.25">
      <c r="AS296" s="6">
        <v>1.9896753472735276</v>
      </c>
      <c r="AT296" s="6">
        <v>-25.451937792473053</v>
      </c>
      <c r="AU296" s="6">
        <v>222.60430068650558</v>
      </c>
      <c r="AV296" s="6">
        <f t="shared" si="188"/>
        <v>1.6846390905720774</v>
      </c>
      <c r="AW296" s="6">
        <f t="shared" si="189"/>
        <v>0.30503625670145018</v>
      </c>
      <c r="AX296" s="6">
        <f t="shared" si="190"/>
        <v>1.4569535629177157</v>
      </c>
      <c r="AY296" s="6">
        <f t="shared" si="191"/>
        <v>1.4569535629177157</v>
      </c>
      <c r="BF296" s="40"/>
      <c r="BG296" s="6">
        <f t="shared" si="192"/>
        <v>1.7627825445142644</v>
      </c>
      <c r="BH296" s="9">
        <f t="shared" ca="1" si="193"/>
        <v>57.822150903646879</v>
      </c>
      <c r="BI296" s="9">
        <f t="shared" ca="1" si="194"/>
        <v>279.97974540305086</v>
      </c>
      <c r="BJ296">
        <f t="shared" ca="1" si="195"/>
        <v>285.88819312990398</v>
      </c>
      <c r="BK296" s="6">
        <f t="shared" ca="1" si="196"/>
        <v>0.2022544207601229</v>
      </c>
      <c r="BL296" s="6">
        <f t="shared" ca="1" si="197"/>
        <v>0.97933301245438842</v>
      </c>
      <c r="BM296" s="6">
        <f t="shared" ca="1" si="198"/>
        <v>1.3671369548299803</v>
      </c>
      <c r="BN296" s="6">
        <f t="shared" ca="1" si="199"/>
        <v>-0.55227766516637677</v>
      </c>
      <c r="BO296" s="9">
        <f t="shared" ca="1" si="200"/>
        <v>-21.760045792512535</v>
      </c>
      <c r="BP296" s="9">
        <f t="shared" ca="1" si="201"/>
        <v>223.80407714532066</v>
      </c>
      <c r="BQ296">
        <f t="shared" ca="1" si="202"/>
        <v>224.85943284585792</v>
      </c>
      <c r="BR296">
        <f t="shared" ca="1" si="203"/>
        <v>-9.6771772111642465E-2</v>
      </c>
      <c r="BS296">
        <f t="shared" ca="1" si="204"/>
        <v>0.99530659805025523</v>
      </c>
      <c r="BT296">
        <f t="shared" ca="1" si="205"/>
        <v>1.667719779979506</v>
      </c>
      <c r="BU296" s="40">
        <f t="shared" ca="1" si="206"/>
        <v>-1.4738728735102871</v>
      </c>
    </row>
    <row r="297" spans="45:73" x14ac:dyDescent="0.25">
      <c r="AS297" s="6">
        <v>2.0071286397934709</v>
      </c>
      <c r="AT297" s="6">
        <v>-25.784629508670253</v>
      </c>
      <c r="AU297" s="6">
        <v>222.45505698472016</v>
      </c>
      <c r="AV297" s="6">
        <f t="shared" si="188"/>
        <v>1.6861907789967521</v>
      </c>
      <c r="AW297" s="6">
        <f t="shared" si="189"/>
        <v>0.32093786079671882</v>
      </c>
      <c r="AX297" s="6">
        <f t="shared" si="190"/>
        <v>1.455401874493041</v>
      </c>
      <c r="AY297" s="6">
        <f t="shared" si="191"/>
        <v>1.455401874493041</v>
      </c>
      <c r="BF297" s="40"/>
      <c r="BG297" s="6">
        <f t="shared" si="192"/>
        <v>1.7802358370342077</v>
      </c>
      <c r="BH297" s="9">
        <f t="shared" ca="1" si="193"/>
        <v>57.517978313714508</v>
      </c>
      <c r="BI297" s="9">
        <f t="shared" ca="1" si="194"/>
        <v>279.90797127815438</v>
      </c>
      <c r="BJ297">
        <f t="shared" ca="1" si="195"/>
        <v>285.75652261033173</v>
      </c>
      <c r="BK297" s="6">
        <f t="shared" ca="1" si="196"/>
        <v>0.20128316858106568</v>
      </c>
      <c r="BL297" s="6">
        <f t="shared" ca="1" si="197"/>
        <v>0.97953309594212601</v>
      </c>
      <c r="BM297" s="6">
        <f t="shared" ca="1" si="198"/>
        <v>1.3681286020847905</v>
      </c>
      <c r="BN297" s="6">
        <f t="shared" ca="1" si="199"/>
        <v>-0.55128601791156662</v>
      </c>
      <c r="BO297" s="9">
        <f t="shared" ca="1" si="200"/>
        <v>-22.064218382444906</v>
      </c>
      <c r="BP297" s="9">
        <f t="shared" ca="1" si="201"/>
        <v>223.73230302042418</v>
      </c>
      <c r="BQ297">
        <f t="shared" ca="1" si="202"/>
        <v>224.81764420892577</v>
      </c>
      <c r="BR297">
        <f t="shared" ca="1" si="203"/>
        <v>-9.8142734570870069E-2</v>
      </c>
      <c r="BS297">
        <f t="shared" ca="1" si="204"/>
        <v>0.99517234871702076</v>
      </c>
      <c r="BT297">
        <f t="shared" ca="1" si="205"/>
        <v>1.6690972999423912</v>
      </c>
      <c r="BU297" s="40">
        <f t="shared" ca="1" si="206"/>
        <v>-1.4724953535474019</v>
      </c>
    </row>
    <row r="298" spans="45:73" x14ac:dyDescent="0.25">
      <c r="AS298" s="6">
        <v>2.024581932313414</v>
      </c>
      <c r="AT298" s="6">
        <v>-26.121597143980885</v>
      </c>
      <c r="AU298" s="6">
        <v>222.29744512415451</v>
      </c>
      <c r="AV298" s="6">
        <f t="shared" si="188"/>
        <v>1.6877673272983458</v>
      </c>
      <c r="AW298" s="6">
        <f t="shared" si="189"/>
        <v>0.33681460501506821</v>
      </c>
      <c r="AX298" s="6">
        <f t="shared" si="190"/>
        <v>1.4538253261914473</v>
      </c>
      <c r="AY298" s="6">
        <f t="shared" si="191"/>
        <v>1.4538253261914473</v>
      </c>
      <c r="BF298" s="40"/>
      <c r="BG298" s="6">
        <f t="shared" si="192"/>
        <v>1.7976891295541511</v>
      </c>
      <c r="BH298" s="9">
        <f t="shared" ca="1" si="193"/>
        <v>57.21309782854199</v>
      </c>
      <c r="BI298" s="9">
        <f t="shared" ca="1" si="194"/>
        <v>279.83139745968856</v>
      </c>
      <c r="BJ298">
        <f t="shared" ca="1" si="195"/>
        <v>285.62028913818517</v>
      </c>
      <c r="BK298" s="6">
        <f t="shared" ca="1" si="196"/>
        <v>0.20031174256273468</v>
      </c>
      <c r="BL298" s="6">
        <f t="shared" ca="1" si="197"/>
        <v>0.97973221126565035</v>
      </c>
      <c r="BM298" s="6">
        <f t="shared" ca="1" si="198"/>
        <v>1.3691202247457499</v>
      </c>
      <c r="BN298" s="6">
        <f t="shared" ca="1" si="199"/>
        <v>-0.55029439525060719</v>
      </c>
      <c r="BO298" s="9">
        <f t="shared" ca="1" si="200"/>
        <v>-22.369098867617424</v>
      </c>
      <c r="BP298" s="9">
        <f t="shared" ca="1" si="201"/>
        <v>223.65572920195837</v>
      </c>
      <c r="BQ298">
        <f t="shared" ca="1" si="202"/>
        <v>224.77157691534083</v>
      </c>
      <c r="BR298">
        <f t="shared" ca="1" si="203"/>
        <v>-9.9519250496883954E-2</v>
      </c>
      <c r="BS298">
        <f t="shared" ca="1" si="204"/>
        <v>0.99503563693997332</v>
      </c>
      <c r="BT298">
        <f t="shared" ca="1" si="205"/>
        <v>1.6704805882383269</v>
      </c>
      <c r="BU298" s="40">
        <f t="shared" ca="1" si="206"/>
        <v>-1.4711120652514662</v>
      </c>
    </row>
    <row r="299" spans="45:73" x14ac:dyDescent="0.25">
      <c r="AS299" s="6">
        <v>2.0420352248333571</v>
      </c>
      <c r="AT299" s="6">
        <v>-26.463177102693763</v>
      </c>
      <c r="AU299" s="6">
        <v>222.13100058631542</v>
      </c>
      <c r="AV299" s="6">
        <f t="shared" si="188"/>
        <v>1.689370670939857</v>
      </c>
      <c r="AW299" s="6">
        <f t="shared" si="189"/>
        <v>0.35266455389350004</v>
      </c>
      <c r="AX299" s="6">
        <f t="shared" si="190"/>
        <v>1.4522219825499361</v>
      </c>
      <c r="AY299" s="6">
        <f t="shared" si="191"/>
        <v>1.4522219825499361</v>
      </c>
      <c r="BF299" s="40"/>
      <c r="BG299" s="6">
        <f t="shared" si="192"/>
        <v>1.8151424220740944</v>
      </c>
      <c r="BH299" s="9">
        <f t="shared" ca="1" si="193"/>
        <v>56.907260855628301</v>
      </c>
      <c r="BI299" s="9">
        <f t="shared" ca="1" si="194"/>
        <v>279.74986891457309</v>
      </c>
      <c r="BJ299">
        <f t="shared" ca="1" si="195"/>
        <v>285.4792908352747</v>
      </c>
      <c r="BK299" s="6">
        <f t="shared" ca="1" si="196"/>
        <v>0.1993393660504241</v>
      </c>
      <c r="BL299" s="6">
        <f t="shared" ca="1" si="197"/>
        <v>0.97993051648706964</v>
      </c>
      <c r="BM299" s="6">
        <f t="shared" ca="1" si="198"/>
        <v>1.3701126163636919</v>
      </c>
      <c r="BN299" s="6">
        <f t="shared" ca="1" si="199"/>
        <v>-0.54930200363266524</v>
      </c>
      <c r="BO299" s="9">
        <f t="shared" ca="1" si="200"/>
        <v>-22.674935840531113</v>
      </c>
      <c r="BP299" s="9">
        <f t="shared" ca="1" si="201"/>
        <v>223.57420065684289</v>
      </c>
      <c r="BQ299">
        <f t="shared" ca="1" si="202"/>
        <v>224.72110696309426</v>
      </c>
      <c r="BR299">
        <f t="shared" ca="1" si="203"/>
        <v>-0.10090256383551456</v>
      </c>
      <c r="BS299">
        <f t="shared" ca="1" si="204"/>
        <v>0.99489631249262345</v>
      </c>
      <c r="BT299">
        <f t="shared" ca="1" si="205"/>
        <v>1.6718709002197993</v>
      </c>
      <c r="BU299" s="40">
        <f t="shared" ca="1" si="206"/>
        <v>-1.4697217532699938</v>
      </c>
    </row>
    <row r="300" spans="45:73" x14ac:dyDescent="0.25">
      <c r="AS300" s="6">
        <v>2.0594885173533002</v>
      </c>
      <c r="AT300" s="6">
        <v>-26.809721079733151</v>
      </c>
      <c r="AU300" s="6">
        <v>221.95521848402819</v>
      </c>
      <c r="AV300" s="6">
        <f t="shared" si="188"/>
        <v>1.6910028562762343</v>
      </c>
      <c r="AW300" s="6">
        <f t="shared" si="189"/>
        <v>0.36848566107706593</v>
      </c>
      <c r="AX300" s="6">
        <f t="shared" si="190"/>
        <v>1.4505897972135589</v>
      </c>
      <c r="AY300" s="6">
        <f t="shared" si="191"/>
        <v>1.4505897972135589</v>
      </c>
      <c r="BF300" s="40"/>
      <c r="BG300" s="6">
        <f t="shared" si="192"/>
        <v>1.8325957145940377</v>
      </c>
      <c r="BH300" s="9">
        <f t="shared" ca="1" si="193"/>
        <v>56.600218215499382</v>
      </c>
      <c r="BI300" s="9">
        <f t="shared" ca="1" si="194"/>
        <v>279.66321542893616</v>
      </c>
      <c r="BJ300">
        <f t="shared" ca="1" si="195"/>
        <v>285.33331170070858</v>
      </c>
      <c r="BK300" s="6">
        <f t="shared" ca="1" si="196"/>
        <v>0.19836526579437175</v>
      </c>
      <c r="BL300" s="6">
        <f t="shared" ca="1" si="197"/>
        <v>0.98012816576523709</v>
      </c>
      <c r="BM300" s="6">
        <f t="shared" ca="1" si="198"/>
        <v>1.3711065663761857</v>
      </c>
      <c r="BN300" s="6">
        <f t="shared" ca="1" si="199"/>
        <v>-0.54830805362017143</v>
      </c>
      <c r="BO300" s="9">
        <f t="shared" ca="1" si="200"/>
        <v>-22.981978480660032</v>
      </c>
      <c r="BP300" s="9">
        <f t="shared" ca="1" si="201"/>
        <v>223.48754717120596</v>
      </c>
      <c r="BQ300">
        <f t="shared" ca="1" si="202"/>
        <v>224.66609685372541</v>
      </c>
      <c r="BR300">
        <f t="shared" ca="1" si="203"/>
        <v>-0.10229393220652708</v>
      </c>
      <c r="BS300">
        <f t="shared" ca="1" si="204"/>
        <v>0.99475421659509766</v>
      </c>
      <c r="BT300">
        <f t="shared" ca="1" si="205"/>
        <v>1.6732695057777776</v>
      </c>
      <c r="BU300" s="40">
        <f t="shared" ca="1" si="206"/>
        <v>-1.4683231477120156</v>
      </c>
    </row>
    <row r="301" spans="45:73" x14ac:dyDescent="0.25">
      <c r="AS301" s="6">
        <v>2.0769418098732433</v>
      </c>
      <c r="AT301" s="6">
        <v>-27.161597638381014</v>
      </c>
      <c r="AU301" s="6">
        <v>221.76954980551798</v>
      </c>
      <c r="AV301" s="6">
        <f t="shared" si="188"/>
        <v>1.6926660525045119</v>
      </c>
      <c r="AW301" s="6">
        <f t="shared" si="189"/>
        <v>0.38427575736873143</v>
      </c>
      <c r="AX301" s="6">
        <f t="shared" si="190"/>
        <v>1.4489266009852813</v>
      </c>
      <c r="AY301" s="6">
        <f t="shared" si="191"/>
        <v>1.4489266009852813</v>
      </c>
      <c r="BF301" s="40"/>
      <c r="BG301" s="6">
        <f t="shared" si="192"/>
        <v>1.850049007113981</v>
      </c>
      <c r="BH301" s="9">
        <f t="shared" ca="1" si="193"/>
        <v>56.291719129958558</v>
      </c>
      <c r="BI301" s="9">
        <f t="shared" ca="1" si="194"/>
        <v>279.57125064800766</v>
      </c>
      <c r="BJ301">
        <f t="shared" ca="1" si="195"/>
        <v>285.18212046251648</v>
      </c>
      <c r="BK301" s="6">
        <f t="shared" ca="1" si="196"/>
        <v>0.19738866882209533</v>
      </c>
      <c r="BL301" s="6">
        <f t="shared" ca="1" si="197"/>
        <v>0.98032530999696277</v>
      </c>
      <c r="BM301" s="6">
        <f t="shared" ca="1" si="198"/>
        <v>1.3721028633080627</v>
      </c>
      <c r="BN301" s="6">
        <f t="shared" ca="1" si="199"/>
        <v>-0.54731175668829435</v>
      </c>
      <c r="BO301" s="9">
        <f t="shared" ca="1" si="200"/>
        <v>-23.290477566200856</v>
      </c>
      <c r="BP301" s="9">
        <f t="shared" ca="1" si="201"/>
        <v>223.39558239027747</v>
      </c>
      <c r="BQ301">
        <f t="shared" ca="1" si="202"/>
        <v>224.60639478152211</v>
      </c>
      <c r="BR301">
        <f t="shared" ca="1" si="203"/>
        <v>-0.10369463250971034</v>
      </c>
      <c r="BS301">
        <f t="shared" ca="1" si="204"/>
        <v>0.99460918113029495</v>
      </c>
      <c r="BT301">
        <f t="shared" ca="1" si="205"/>
        <v>1.674677695023965</v>
      </c>
      <c r="BU301" s="40">
        <f t="shared" ca="1" si="206"/>
        <v>-1.4669149584658281</v>
      </c>
    </row>
    <row r="302" spans="45:73" x14ac:dyDescent="0.25">
      <c r="AS302" s="6">
        <v>2.0943951023931864</v>
      </c>
      <c r="AT302" s="6">
        <v>-27.519193972583459</v>
      </c>
      <c r="AU302" s="6">
        <v>221.57339703525386</v>
      </c>
      <c r="AV302" s="6">
        <f t="shared" si="188"/>
        <v>1.694362565197242</v>
      </c>
      <c r="AW302" s="6">
        <f t="shared" si="189"/>
        <v>0.40003253719594434</v>
      </c>
      <c r="AX302" s="6">
        <f t="shared" si="190"/>
        <v>1.4472300882925511</v>
      </c>
      <c r="AY302" s="6">
        <f t="shared" si="191"/>
        <v>1.4472300882925511</v>
      </c>
      <c r="BF302" s="40"/>
      <c r="BG302" s="6">
        <f t="shared" si="192"/>
        <v>1.8675022996339243</v>
      </c>
      <c r="BH302" s="9">
        <f t="shared" ca="1" si="193"/>
        <v>55.981510245724294</v>
      </c>
      <c r="BI302" s="9">
        <f t="shared" ca="1" si="194"/>
        <v>279.47377106842561</v>
      </c>
      <c r="BJ302">
        <f t="shared" ca="1" si="195"/>
        <v>285.02546939633112</v>
      </c>
      <c r="BK302" s="6">
        <f t="shared" ca="1" si="196"/>
        <v>0.19640879941111991</v>
      </c>
      <c r="BL302" s="6">
        <f t="shared" ca="1" si="197"/>
        <v>0.98052209741233398</v>
      </c>
      <c r="BM302" s="6">
        <f t="shared" ca="1" si="198"/>
        <v>1.3731022978644789</v>
      </c>
      <c r="BN302" s="6">
        <f t="shared" ca="1" si="199"/>
        <v>-0.54631232213187819</v>
      </c>
      <c r="BO302" s="9">
        <f t="shared" ca="1" si="200"/>
        <v>-23.60068645043512</v>
      </c>
      <c r="BP302" s="9">
        <f t="shared" ca="1" si="201"/>
        <v>223.29810281069541</v>
      </c>
      <c r="BQ302">
        <f t="shared" ca="1" si="202"/>
        <v>224.54183378557246</v>
      </c>
      <c r="BR302">
        <f t="shared" ca="1" si="203"/>
        <v>-0.10510596645867216</v>
      </c>
      <c r="BS302">
        <f t="shared" ca="1" si="204"/>
        <v>0.99446102780088297</v>
      </c>
      <c r="BT302">
        <f t="shared" ca="1" si="205"/>
        <v>1.6760967839085885</v>
      </c>
      <c r="BU302" s="40">
        <f t="shared" ca="1" si="206"/>
        <v>-1.4654958695812046</v>
      </c>
    </row>
    <row r="303" spans="45:73" x14ac:dyDescent="0.25">
      <c r="AS303" s="6">
        <v>2.1118483949131295</v>
      </c>
      <c r="AT303" s="6">
        <v>-27.882917768859812</v>
      </c>
      <c r="AU303" s="6">
        <v>221.36610941151554</v>
      </c>
      <c r="AV303" s="6">
        <f t="shared" si="188"/>
        <v>1.6960948509773082</v>
      </c>
      <c r="AW303" s="6">
        <f t="shared" si="189"/>
        <v>0.41575354393582131</v>
      </c>
      <c r="AX303" s="6">
        <f t="shared" si="190"/>
        <v>1.4454978025124849</v>
      </c>
      <c r="AY303" s="6">
        <f t="shared" si="191"/>
        <v>1.4454978025124849</v>
      </c>
      <c r="BF303" s="40"/>
      <c r="BG303" s="6">
        <f t="shared" si="192"/>
        <v>1.8849555921538677</v>
      </c>
      <c r="BH303" s="9">
        <f t="shared" ca="1" si="193"/>
        <v>55.669334682562194</v>
      </c>
      <c r="BI303" s="9">
        <f t="shared" ca="1" si="194"/>
        <v>279.37055497110651</v>
      </c>
      <c r="BJ303">
        <f t="shared" ca="1" si="195"/>
        <v>284.86309309712829</v>
      </c>
      <c r="BK303" s="6">
        <f t="shared" ca="1" si="196"/>
        <v>0.19542487613016585</v>
      </c>
      <c r="BL303" s="6">
        <f t="shared" ca="1" si="197"/>
        <v>0.98071867413112368</v>
      </c>
      <c r="BM303" s="6">
        <f t="shared" ca="1" si="198"/>
        <v>1.3741056659492989</v>
      </c>
      <c r="BN303" s="6">
        <f t="shared" ca="1" si="199"/>
        <v>-0.54530895404705815</v>
      </c>
      <c r="BO303" s="9">
        <f t="shared" ca="1" si="200"/>
        <v>-23.91286201359722</v>
      </c>
      <c r="BP303" s="9">
        <f t="shared" ca="1" si="201"/>
        <v>223.19488671337632</v>
      </c>
      <c r="BQ303">
        <f t="shared" ca="1" si="202"/>
        <v>224.47223085423781</v>
      </c>
      <c r="BR303">
        <f t="shared" ca="1" si="203"/>
        <v>-0.10652926610385567</v>
      </c>
      <c r="BS303">
        <f t="shared" ca="1" si="204"/>
        <v>0.99430956721906982</v>
      </c>
      <c r="BT303">
        <f t="shared" ca="1" si="205"/>
        <v>1.6775281198361731</v>
      </c>
      <c r="BU303" s="40">
        <f t="shared" ca="1" si="206"/>
        <v>-1.46406453365362</v>
      </c>
    </row>
    <row r="304" spans="45:73" x14ac:dyDescent="0.25">
      <c r="AS304" s="6">
        <v>2.1293016874330726</v>
      </c>
      <c r="AT304" s="6">
        <v>-28.25319928297872</v>
      </c>
      <c r="AU304" s="6">
        <v>221.14697745294566</v>
      </c>
      <c r="AV304" s="6">
        <f t="shared" si="188"/>
        <v>1.6978655341308055</v>
      </c>
      <c r="AW304" s="6">
        <f t="shared" si="189"/>
        <v>0.43143615330226703</v>
      </c>
      <c r="AX304" s="6">
        <f t="shared" si="190"/>
        <v>1.4437271193589876</v>
      </c>
      <c r="AY304" s="6">
        <f t="shared" si="191"/>
        <v>1.4437271193589876</v>
      </c>
      <c r="BF304" s="40"/>
      <c r="BG304" s="6">
        <f t="shared" si="192"/>
        <v>1.902408884673811</v>
      </c>
      <c r="BH304" s="9">
        <f t="shared" ca="1" si="193"/>
        <v>55.354930978902388</v>
      </c>
      <c r="BI304" s="9">
        <f t="shared" ca="1" si="194"/>
        <v>279.26136091795712</v>
      </c>
      <c r="BJ304">
        <f t="shared" ca="1" si="195"/>
        <v>284.69470680964298</v>
      </c>
      <c r="BK304" s="6">
        <f t="shared" ca="1" si="196"/>
        <v>0.19443610876796058</v>
      </c>
      <c r="BL304" s="6">
        <f t="shared" ca="1" si="197"/>
        <v>0.98091518471638184</v>
      </c>
      <c r="BM304" s="6">
        <f t="shared" ca="1" si="198"/>
        <v>1.37511377179332</v>
      </c>
      <c r="BN304" s="6">
        <f t="shared" ca="1" si="199"/>
        <v>-0.54430084820303715</v>
      </c>
      <c r="BO304" s="9">
        <f t="shared" ca="1" si="200"/>
        <v>-24.227265717257026</v>
      </c>
      <c r="BP304" s="9">
        <f t="shared" ca="1" si="201"/>
        <v>223.08569266022693</v>
      </c>
      <c r="BQ304">
        <f t="shared" ca="1" si="202"/>
        <v>224.39738562164177</v>
      </c>
      <c r="BR304">
        <f t="shared" ca="1" si="203"/>
        <v>-0.10796590009344767</v>
      </c>
      <c r="BS304">
        <f t="shared" ca="1" si="204"/>
        <v>0.99415459784533089</v>
      </c>
      <c r="BT304">
        <f t="shared" ca="1" si="205"/>
        <v>1.6789730880331022</v>
      </c>
      <c r="BU304" s="40">
        <f t="shared" ca="1" si="206"/>
        <v>-1.4626195654566909</v>
      </c>
    </row>
    <row r="305" spans="45:73" x14ac:dyDescent="0.25">
      <c r="AS305" s="6">
        <v>2.1467549799530157</v>
      </c>
      <c r="AT305" s="6">
        <v>-28.630493582239581</v>
      </c>
      <c r="AU305" s="6">
        <v>220.91522689606217</v>
      </c>
      <c r="AV305" s="6">
        <f t="shared" si="188"/>
        <v>1.699677424966396</v>
      </c>
      <c r="AW305" s="6">
        <f t="shared" si="189"/>
        <v>0.44707755498661972</v>
      </c>
      <c r="AX305" s="6">
        <f t="shared" si="190"/>
        <v>1.4419152285233972</v>
      </c>
      <c r="AY305" s="6">
        <f t="shared" si="191"/>
        <v>1.4419152285233972</v>
      </c>
      <c r="BF305" s="40"/>
      <c r="BG305" s="6">
        <f t="shared" si="192"/>
        <v>1.9198621771937543</v>
      </c>
      <c r="BH305" s="9">
        <f t="shared" ca="1" si="193"/>
        <v>55.038032194233338</v>
      </c>
      <c r="BI305" s="9">
        <f t="shared" ca="1" si="194"/>
        <v>279.14592663590224</v>
      </c>
      <c r="BJ305">
        <f t="shared" ca="1" si="195"/>
        <v>284.52000517578722</v>
      </c>
      <c r="BK305" s="6">
        <f t="shared" ca="1" si="196"/>
        <v>0.19344169546260467</v>
      </c>
      <c r="BL305" s="6">
        <f t="shared" ca="1" si="197"/>
        <v>0.98111177266229599</v>
      </c>
      <c r="BM305" s="6">
        <f t="shared" ca="1" si="198"/>
        <v>1.3761274308732516</v>
      </c>
      <c r="BN305" s="6">
        <f t="shared" ca="1" si="199"/>
        <v>-0.54328718912310547</v>
      </c>
      <c r="BO305" s="9">
        <f t="shared" ca="1" si="200"/>
        <v>-24.544164501926076</v>
      </c>
      <c r="BP305" s="9">
        <f t="shared" ca="1" si="201"/>
        <v>222.97025837817205</v>
      </c>
      <c r="BQ305">
        <f t="shared" ca="1" si="202"/>
        <v>224.31707944854847</v>
      </c>
      <c r="BR305">
        <f t="shared" ca="1" si="203"/>
        <v>-0.10941727915798655</v>
      </c>
      <c r="BS305">
        <f t="shared" ca="1" si="204"/>
        <v>0.99399590493203915</v>
      </c>
      <c r="BT305">
        <f t="shared" ca="1" si="205"/>
        <v>1.6804331171452724</v>
      </c>
      <c r="BU305" s="40">
        <f t="shared" ca="1" si="206"/>
        <v>-1.4611595363445207</v>
      </c>
    </row>
    <row r="306" spans="45:73" x14ac:dyDescent="0.25">
      <c r="AS306" s="6">
        <v>2.1642082724729588</v>
      </c>
      <c r="AT306" s="6">
        <v>-29.015283014572297</v>
      </c>
      <c r="AU306" s="6">
        <v>220.67001183708942</v>
      </c>
      <c r="AV306" s="6">
        <f t="shared" si="188"/>
        <v>1.7015335404288796</v>
      </c>
      <c r="AW306" s="6">
        <f t="shared" si="189"/>
        <v>0.46267473204407916</v>
      </c>
      <c r="AX306" s="6">
        <f t="shared" si="190"/>
        <v>1.4400591130609135</v>
      </c>
      <c r="AY306" s="6">
        <f t="shared" si="191"/>
        <v>1.4400591130609135</v>
      </c>
      <c r="BF306" s="40"/>
      <c r="BG306" s="6">
        <f t="shared" si="192"/>
        <v>1.9373154697136976</v>
      </c>
      <c r="BH306" s="9">
        <f t="shared" ca="1" si="193"/>
        <v>54.718364786270719</v>
      </c>
      <c r="BI306" s="9">
        <f t="shared" ca="1" si="194"/>
        <v>279.02396711223332</v>
      </c>
      <c r="BJ306">
        <f t="shared" ca="1" si="195"/>
        <v>284.33866017116293</v>
      </c>
      <c r="BK306" s="6">
        <f t="shared" ca="1" si="196"/>
        <v>0.19244081952602571</v>
      </c>
      <c r="BL306" s="6">
        <f t="shared" ca="1" si="197"/>
        <v>0.98130858091639617</v>
      </c>
      <c r="BM306" s="6">
        <f t="shared" ca="1" si="198"/>
        <v>1.3771474731368478</v>
      </c>
      <c r="BN306" s="6">
        <f t="shared" ca="1" si="199"/>
        <v>-0.54226714685950927</v>
      </c>
      <c r="BO306" s="9">
        <f t="shared" ca="1" si="200"/>
        <v>-24.863831909888695</v>
      </c>
      <c r="BP306" s="9">
        <f t="shared" ca="1" si="201"/>
        <v>222.84829885450313</v>
      </c>
      <c r="BQ306">
        <f t="shared" ca="1" si="202"/>
        <v>224.23107376005927</v>
      </c>
      <c r="BR306">
        <f t="shared" ca="1" si="203"/>
        <v>-0.11088486306984593</v>
      </c>
      <c r="BS306">
        <f t="shared" ca="1" si="204"/>
        <v>0.99383325922509835</v>
      </c>
      <c r="BT306">
        <f t="shared" ca="1" si="205"/>
        <v>1.6819096863310747</v>
      </c>
      <c r="BU306" s="40">
        <f t="shared" ca="1" si="206"/>
        <v>-1.4596829671587184</v>
      </c>
    </row>
    <row r="307" spans="45:73" x14ac:dyDescent="0.25">
      <c r="AS307" s="6">
        <v>2.1816615649929019</v>
      </c>
      <c r="AT307" s="6">
        <v>-29.408079918222601</v>
      </c>
      <c r="AU307" s="6">
        <v>220.41040701475629</v>
      </c>
      <c r="AV307" s="6">
        <f t="shared" si="188"/>
        <v>1.7034371272101068</v>
      </c>
      <c r="AW307" s="6">
        <f t="shared" si="189"/>
        <v>0.47822443778279511</v>
      </c>
      <c r="AX307" s="6">
        <f t="shared" si="190"/>
        <v>1.4381555262796863</v>
      </c>
      <c r="AY307" s="6">
        <f t="shared" si="191"/>
        <v>1.4381555262796863</v>
      </c>
      <c r="BF307" s="40"/>
      <c r="BG307" s="6">
        <f t="shared" si="192"/>
        <v>1.9547687622336409</v>
      </c>
      <c r="BH307" s="9">
        <f t="shared" ca="1" si="193"/>
        <v>54.395647600787505</v>
      </c>
      <c r="BI307" s="9">
        <f t="shared" ca="1" si="194"/>
        <v>278.89517296503482</v>
      </c>
      <c r="BJ307">
        <f t="shared" ca="1" si="195"/>
        <v>284.15031934014388</v>
      </c>
      <c r="BK307" s="6">
        <f t="shared" ca="1" si="196"/>
        <v>0.19143264637923163</v>
      </c>
      <c r="BL307" s="6">
        <f t="shared" ca="1" si="197"/>
        <v>0.98150575235209092</v>
      </c>
      <c r="BM307" s="6">
        <f t="shared" ca="1" si="198"/>
        <v>1.378174746110197</v>
      </c>
      <c r="BN307" s="6">
        <f t="shared" ca="1" si="199"/>
        <v>-0.54123987388616013</v>
      </c>
      <c r="BO307" s="9">
        <f t="shared" ca="1" si="200"/>
        <v>-25.186549095371909</v>
      </c>
      <c r="BP307" s="9">
        <f t="shared" ca="1" si="201"/>
        <v>222.71950470730462</v>
      </c>
      <c r="BQ307">
        <f t="shared" ca="1" si="202"/>
        <v>224.13910866334922</v>
      </c>
      <c r="BR307">
        <f t="shared" ca="1" si="203"/>
        <v>-0.11237016710547115</v>
      </c>
      <c r="BS307">
        <f t="shared" ca="1" si="204"/>
        <v>0.99366641562683822</v>
      </c>
      <c r="BT307">
        <f t="shared" ca="1" si="205"/>
        <v>1.6834043318677852</v>
      </c>
      <c r="BU307" s="40">
        <f t="shared" ca="1" si="206"/>
        <v>-1.458188321622008</v>
      </c>
    </row>
    <row r="308" spans="45:73" x14ac:dyDescent="0.25">
      <c r="AS308" s="6">
        <v>2.199114857512845</v>
      </c>
      <c r="AT308" s="6">
        <v>-29.809429652607143</v>
      </c>
      <c r="AU308" s="6">
        <v>220.1353989560717</v>
      </c>
      <c r="AV308" s="6">
        <f t="shared" si="188"/>
        <v>1.7053916880534636</v>
      </c>
      <c r="AW308" s="6">
        <f t="shared" si="189"/>
        <v>0.49372316945938133</v>
      </c>
      <c r="AX308" s="6">
        <f t="shared" si="190"/>
        <v>1.4362009654363295</v>
      </c>
      <c r="AY308" s="6">
        <f t="shared" si="191"/>
        <v>1.4362009654363295</v>
      </c>
      <c r="BF308" s="40"/>
      <c r="BG308" s="6">
        <f t="shared" si="192"/>
        <v>1.9722220547535843</v>
      </c>
      <c r="BH308" s="9">
        <f t="shared" ca="1" si="193"/>
        <v>54.458997301529919</v>
      </c>
      <c r="BI308" s="9">
        <f t="shared" ca="1" si="194"/>
        <v>278.92127206601867</v>
      </c>
      <c r="BJ308">
        <f t="shared" ca="1" si="195"/>
        <v>284.18806871157358</v>
      </c>
      <c r="BK308" s="6">
        <f t="shared" ca="1" si="196"/>
        <v>0.1916301326386827</v>
      </c>
      <c r="BL308" s="6">
        <f t="shared" ca="1" si="197"/>
        <v>0.9814672140549987</v>
      </c>
      <c r="BM308" s="6">
        <f t="shared" ca="1" si="198"/>
        <v>1.3779735347209783</v>
      </c>
      <c r="BN308" s="6">
        <f t="shared" ca="1" si="199"/>
        <v>-0.54144108527537882</v>
      </c>
      <c r="BO308" s="9">
        <f t="shared" ca="1" si="200"/>
        <v>-25.123199394629495</v>
      </c>
      <c r="BP308" s="9">
        <f t="shared" ca="1" si="201"/>
        <v>222.74560380828848</v>
      </c>
      <c r="BQ308">
        <f t="shared" ca="1" si="202"/>
        <v>224.15793352844179</v>
      </c>
      <c r="BR308">
        <f t="shared" ca="1" si="203"/>
        <v>-0.11207811831224698</v>
      </c>
      <c r="BS308">
        <f t="shared" ca="1" si="204"/>
        <v>0.9936993989107501</v>
      </c>
      <c r="BT308">
        <f t="shared" ca="1" si="205"/>
        <v>1.6831104264488779</v>
      </c>
      <c r="BU308" s="40">
        <f t="shared" ca="1" si="206"/>
        <v>-1.4584822270409152</v>
      </c>
    </row>
    <row r="309" spans="45:73" x14ac:dyDescent="0.25">
      <c r="AS309" s="6">
        <v>2.2165681500327881</v>
      </c>
      <c r="AT309" s="6">
        <v>-30.219913911205424</v>
      </c>
      <c r="AU309" s="6">
        <v>219.8438760739113</v>
      </c>
      <c r="AV309" s="6">
        <f t="shared" si="188"/>
        <v>1.7074010112367177</v>
      </c>
      <c r="AW309" s="6">
        <f t="shared" si="189"/>
        <v>0.50916713879607034</v>
      </c>
      <c r="AX309" s="6">
        <f t="shared" si="190"/>
        <v>1.4341916422530754</v>
      </c>
      <c r="AY309" s="6">
        <f t="shared" si="191"/>
        <v>1.4341916422530754</v>
      </c>
      <c r="BF309" s="40"/>
      <c r="BG309" s="6">
        <f t="shared" si="192"/>
        <v>1.9896753472735276</v>
      </c>
      <c r="BH309" s="9">
        <f t="shared" ca="1" si="193"/>
        <v>54.130258903686361</v>
      </c>
      <c r="BI309" s="9">
        <f t="shared" ca="1" si="194"/>
        <v>278.77996894423575</v>
      </c>
      <c r="BJ309">
        <f t="shared" ca="1" si="195"/>
        <v>283.98654195846882</v>
      </c>
      <c r="BK309" s="6">
        <f t="shared" ca="1" si="196"/>
        <v>0.19060853563829289</v>
      </c>
      <c r="BL309" s="6">
        <f t="shared" ca="1" si="197"/>
        <v>0.98166612763292671</v>
      </c>
      <c r="BM309" s="6">
        <f t="shared" ca="1" si="198"/>
        <v>1.3790143167060602</v>
      </c>
      <c r="BN309" s="6">
        <f t="shared" ca="1" si="199"/>
        <v>-0.54040030329029687</v>
      </c>
      <c r="BO309" s="9">
        <f t="shared" ca="1" si="200"/>
        <v>-25.451937792473053</v>
      </c>
      <c r="BP309" s="9">
        <f t="shared" ca="1" si="201"/>
        <v>222.60430068650555</v>
      </c>
      <c r="BQ309">
        <f t="shared" ca="1" si="202"/>
        <v>224.05462686925281</v>
      </c>
      <c r="BR309">
        <f t="shared" ca="1" si="203"/>
        <v>-0.11359701938815815</v>
      </c>
      <c r="BS309">
        <f t="shared" ca="1" si="204"/>
        <v>0.99352690813390965</v>
      </c>
      <c r="BT309">
        <f t="shared" ca="1" si="205"/>
        <v>1.6846390905720774</v>
      </c>
      <c r="BU309" s="40">
        <f t="shared" ca="1" si="206"/>
        <v>-1.4569535629177157</v>
      </c>
    </row>
    <row r="310" spans="45:73" x14ac:dyDescent="0.25">
      <c r="AS310" s="6">
        <v>2.2340214425527312</v>
      </c>
      <c r="AT310" s="6">
        <v>-30.640154366365707</v>
      </c>
      <c r="AU310" s="6">
        <v>219.53461751837818</v>
      </c>
      <c r="AV310" s="6">
        <f t="shared" si="188"/>
        <v>1.7094692038183283</v>
      </c>
      <c r="AW310" s="6">
        <f t="shared" si="189"/>
        <v>0.52455223873440282</v>
      </c>
      <c r="AX310" s="6">
        <f t="shared" si="190"/>
        <v>1.4321234496714648</v>
      </c>
      <c r="AY310" s="6">
        <f t="shared" si="191"/>
        <v>1.4321234496714648</v>
      </c>
      <c r="BF310" s="40"/>
      <c r="BG310" s="6">
        <f t="shared" si="192"/>
        <v>2.0071286397934709</v>
      </c>
      <c r="BH310" s="9">
        <f t="shared" ca="1" si="193"/>
        <v>53.797567187489165</v>
      </c>
      <c r="BI310" s="9">
        <f t="shared" ca="1" si="194"/>
        <v>278.63072524245035</v>
      </c>
      <c r="BJ310">
        <f t="shared" ca="1" si="195"/>
        <v>283.77677721129027</v>
      </c>
      <c r="BK310" s="6">
        <f t="shared" ca="1" si="196"/>
        <v>0.18957706023785512</v>
      </c>
      <c r="BL310" s="6">
        <f t="shared" ca="1" si="197"/>
        <v>0.98186584533304377</v>
      </c>
      <c r="BM310" s="6">
        <f t="shared" ca="1" si="198"/>
        <v>1.3800649492598034</v>
      </c>
      <c r="BN310" s="6">
        <f t="shared" ca="1" si="199"/>
        <v>-0.53934967073655371</v>
      </c>
      <c r="BO310" s="9">
        <f t="shared" ca="1" si="200"/>
        <v>-25.78462950867025</v>
      </c>
      <c r="BP310" s="9">
        <f t="shared" ca="1" si="201"/>
        <v>222.45505698472016</v>
      </c>
      <c r="BQ310">
        <f t="shared" ca="1" si="202"/>
        <v>223.94441162255976</v>
      </c>
      <c r="BR310">
        <f t="shared" ca="1" si="203"/>
        <v>-0.11513852621662274</v>
      </c>
      <c r="BS310">
        <f t="shared" ca="1" si="204"/>
        <v>0.9933494449490895</v>
      </c>
      <c r="BT310">
        <f t="shared" ca="1" si="205"/>
        <v>1.6861907789967521</v>
      </c>
      <c r="BU310" s="40">
        <f t="shared" ca="1" si="206"/>
        <v>-1.455401874493041</v>
      </c>
    </row>
    <row r="311" spans="45:73" x14ac:dyDescent="0.25">
      <c r="AS311" s="6">
        <v>2.2514747350726743</v>
      </c>
      <c r="AT311" s="6">
        <v>-31.07081688302782</v>
      </c>
      <c r="AU311" s="6">
        <v>219.20627998790988</v>
      </c>
      <c r="AV311" s="6">
        <f t="shared" si="188"/>
        <v>1.7116007305015233</v>
      </c>
      <c r="AW311" s="6">
        <f t="shared" si="189"/>
        <v>0.53987400457115098</v>
      </c>
      <c r="AX311" s="6">
        <f t="shared" si="190"/>
        <v>1.4299919229882698</v>
      </c>
      <c r="AY311" s="6">
        <f t="shared" si="191"/>
        <v>1.4299919229882698</v>
      </c>
      <c r="BF311" s="40"/>
      <c r="BG311" s="6">
        <f t="shared" si="192"/>
        <v>2.024581932313414</v>
      </c>
      <c r="BH311" s="9">
        <f t="shared" ca="1" si="193"/>
        <v>53.460599552178529</v>
      </c>
      <c r="BI311" s="9">
        <f t="shared" ca="1" si="194"/>
        <v>278.47311338188467</v>
      </c>
      <c r="BJ311">
        <f t="shared" ca="1" si="195"/>
        <v>283.55830190822905</v>
      </c>
      <c r="BK311" s="6">
        <f t="shared" ca="1" si="196"/>
        <v>0.18853477112964423</v>
      </c>
      <c r="BL311" s="6">
        <f t="shared" ca="1" si="197"/>
        <v>0.98206651509716636</v>
      </c>
      <c r="BM311" s="6">
        <f t="shared" ca="1" si="198"/>
        <v>1.3811263799193867</v>
      </c>
      <c r="BN311" s="6">
        <f t="shared" ca="1" si="199"/>
        <v>-0.5382882400769704</v>
      </c>
      <c r="BO311" s="9">
        <f t="shared" ca="1" si="200"/>
        <v>-26.121597143980885</v>
      </c>
      <c r="BP311" s="9">
        <f t="shared" ca="1" si="201"/>
        <v>222.29744512415448</v>
      </c>
      <c r="BQ311">
        <f t="shared" ca="1" si="202"/>
        <v>223.82692408662302</v>
      </c>
      <c r="BR311">
        <f t="shared" ca="1" si="203"/>
        <v>-0.11670444585956778</v>
      </c>
      <c r="BS311">
        <f t="shared" ca="1" si="204"/>
        <v>0.9931666890893045</v>
      </c>
      <c r="BT311">
        <f t="shared" ca="1" si="205"/>
        <v>1.6877673272983458</v>
      </c>
      <c r="BU311" s="40">
        <f t="shared" ca="1" si="206"/>
        <v>-1.4538253261914473</v>
      </c>
    </row>
    <row r="312" spans="45:73" x14ac:dyDescent="0.25">
      <c r="AS312" s="6">
        <v>2.2689280275926174</v>
      </c>
      <c r="AT312" s="6">
        <v>-31.512616018822911</v>
      </c>
      <c r="AU312" s="6">
        <v>218.85738331640385</v>
      </c>
      <c r="AV312" s="6">
        <f t="shared" si="188"/>
        <v>1.7138004567286904</v>
      </c>
      <c r="AW312" s="6">
        <f t="shared" si="189"/>
        <v>0.55512757086392694</v>
      </c>
      <c r="AX312" s="6">
        <f t="shared" si="190"/>
        <v>1.4277921967611027</v>
      </c>
      <c r="AY312" s="6">
        <f t="shared" si="191"/>
        <v>1.4277921967611027</v>
      </c>
      <c r="BF312" s="40"/>
      <c r="BG312" s="6">
        <f t="shared" si="192"/>
        <v>2.0420352248333571</v>
      </c>
      <c r="BH312" s="9">
        <f t="shared" ca="1" si="193"/>
        <v>53.119019593465651</v>
      </c>
      <c r="BI312" s="9">
        <f t="shared" ca="1" si="194"/>
        <v>278.30666884404559</v>
      </c>
      <c r="BJ312">
        <f t="shared" ca="1" si="195"/>
        <v>283.33060576937368</v>
      </c>
      <c r="BK312" s="6">
        <f t="shared" ca="1" si="196"/>
        <v>0.18748069750256222</v>
      </c>
      <c r="BL312" s="6">
        <f t="shared" ca="1" si="197"/>
        <v>0.98226828721279236</v>
      </c>
      <c r="BM312" s="6">
        <f t="shared" ca="1" si="198"/>
        <v>1.3821995915986489</v>
      </c>
      <c r="BN312" s="6">
        <f t="shared" ca="1" si="199"/>
        <v>-0.53721502839770818</v>
      </c>
      <c r="BO312" s="9">
        <f t="shared" ca="1" si="200"/>
        <v>-26.463177102693763</v>
      </c>
      <c r="BP312" s="9">
        <f t="shared" ca="1" si="201"/>
        <v>222.13100058631539</v>
      </c>
      <c r="BQ312">
        <f t="shared" ca="1" si="202"/>
        <v>223.70176835207673</v>
      </c>
      <c r="BR312">
        <f t="shared" ca="1" si="203"/>
        <v>-0.11829668266655922</v>
      </c>
      <c r="BS312">
        <f t="shared" ca="1" si="204"/>
        <v>0.99297829526636039</v>
      </c>
      <c r="BT312">
        <f t="shared" ca="1" si="205"/>
        <v>1.689370670939857</v>
      </c>
      <c r="BU312" s="40">
        <f t="shared" ca="1" si="206"/>
        <v>-1.4522219825499361</v>
      </c>
    </row>
    <row r="313" spans="45:73" x14ac:dyDescent="0.25">
      <c r="AS313" s="6">
        <v>2.2863813201125605</v>
      </c>
      <c r="AT313" s="6">
        <v>-31.96632019303124</v>
      </c>
      <c r="AU313" s="6">
        <v>218.48629355718231</v>
      </c>
      <c r="AV313" s="6">
        <f t="shared" si="188"/>
        <v>1.716073698955553</v>
      </c>
      <c r="AW313" s="6">
        <f t="shared" si="189"/>
        <v>0.5703076211570075</v>
      </c>
      <c r="AX313" s="6">
        <f t="shared" si="190"/>
        <v>1.4255189545342402</v>
      </c>
      <c r="AY313" s="6">
        <f t="shared" si="191"/>
        <v>1.4255189545342402</v>
      </c>
      <c r="BF313" s="40"/>
      <c r="BG313" s="6">
        <f t="shared" si="192"/>
        <v>2.0594885173533002</v>
      </c>
      <c r="BH313" s="9">
        <f t="shared" ca="1" si="193"/>
        <v>52.772475616426263</v>
      </c>
      <c r="BI313" s="9">
        <f t="shared" ca="1" si="194"/>
        <v>278.13088674175839</v>
      </c>
      <c r="BJ313">
        <f t="shared" ca="1" si="195"/>
        <v>283.09313722243979</v>
      </c>
      <c r="BK313" s="6">
        <f t="shared" ca="1" si="196"/>
        <v>0.18641382879924923</v>
      </c>
      <c r="BL313" s="6">
        <f t="shared" ca="1" si="197"/>
        <v>0.98247131481402772</v>
      </c>
      <c r="BM313" s="6">
        <f t="shared" ca="1" si="198"/>
        <v>1.3832856068623045</v>
      </c>
      <c r="BN313" s="6">
        <f t="shared" ca="1" si="199"/>
        <v>-0.53612901313405259</v>
      </c>
      <c r="BO313" s="9">
        <f t="shared" ca="1" si="200"/>
        <v>-26.809721079733151</v>
      </c>
      <c r="BP313" s="9">
        <f t="shared" ca="1" si="201"/>
        <v>221.95521848402819</v>
      </c>
      <c r="BQ313">
        <f t="shared" ca="1" si="202"/>
        <v>223.56851333912337</v>
      </c>
      <c r="BR313">
        <f t="shared" ca="1" si="203"/>
        <v>-0.1199172489869645</v>
      </c>
      <c r="BS313">
        <f t="shared" ca="1" si="204"/>
        <v>0.99278389058011929</v>
      </c>
      <c r="BT313">
        <f t="shared" ca="1" si="205"/>
        <v>1.6910028562762343</v>
      </c>
      <c r="BU313" s="40">
        <f t="shared" ca="1" si="206"/>
        <v>-1.4505897972135589</v>
      </c>
    </row>
    <row r="314" spans="45:73" x14ac:dyDescent="0.25">
      <c r="AS314" s="6">
        <v>2.3038346126325036</v>
      </c>
      <c r="AT314" s="6">
        <v>-32.432757461089579</v>
      </c>
      <c r="AU314" s="6">
        <v>218.09120365668952</v>
      </c>
      <c r="AV314" s="6">
        <f t="shared" si="188"/>
        <v>1.7184262823387639</v>
      </c>
      <c r="AW314" s="6">
        <f t="shared" si="189"/>
        <v>0.58540833029373962</v>
      </c>
      <c r="AX314" s="6">
        <f t="shared" si="190"/>
        <v>1.4231663711510292</v>
      </c>
      <c r="AY314" s="6">
        <f t="shared" si="191"/>
        <v>1.4231663711510292</v>
      </c>
      <c r="BF314" s="40"/>
      <c r="BG314" s="6">
        <f t="shared" si="192"/>
        <v>2.0769418098732433</v>
      </c>
      <c r="BH314" s="9">
        <f t="shared" ca="1" si="193"/>
        <v>52.420599057778404</v>
      </c>
      <c r="BI314" s="9">
        <f t="shared" ca="1" si="194"/>
        <v>277.94521806324815</v>
      </c>
      <c r="BJ314">
        <f t="shared" ca="1" si="195"/>
        <v>282.84529950098681</v>
      </c>
      <c r="BK314" s="6">
        <f t="shared" ca="1" si="196"/>
        <v>0.18533311018518628</v>
      </c>
      <c r="BL314" s="6">
        <f t="shared" ca="1" si="197"/>
        <v>0.98267575439159249</v>
      </c>
      <c r="BM314" s="6">
        <f t="shared" ca="1" si="198"/>
        <v>1.3843854924861829</v>
      </c>
      <c r="BN314" s="6">
        <f t="shared" ca="1" si="199"/>
        <v>-0.53502912751017417</v>
      </c>
      <c r="BO314" s="9">
        <f t="shared" ca="1" si="200"/>
        <v>-27.161597638381011</v>
      </c>
      <c r="BP314" s="9">
        <f t="shared" ca="1" si="201"/>
        <v>221.76954980551795</v>
      </c>
      <c r="BQ314">
        <f t="shared" ca="1" si="202"/>
        <v>223.42668955881572</v>
      </c>
      <c r="BR314">
        <f t="shared" ca="1" si="203"/>
        <v>-0.12156827678920107</v>
      </c>
      <c r="BS314">
        <f t="shared" ca="1" si="204"/>
        <v>0.99258307162599957</v>
      </c>
      <c r="BT314">
        <f t="shared" ca="1" si="205"/>
        <v>1.6926660525045119</v>
      </c>
      <c r="BU314" s="40">
        <f t="shared" ca="1" si="206"/>
        <v>-1.4489266009852813</v>
      </c>
    </row>
    <row r="315" spans="45:73" x14ac:dyDescent="0.25">
      <c r="AS315" s="6">
        <v>2.3212879051524467</v>
      </c>
      <c r="AT315" s="6">
        <v>-32.912821956119771</v>
      </c>
      <c r="AU315" s="6">
        <v>217.67011139460334</v>
      </c>
      <c r="AV315" s="6">
        <f t="shared" si="188"/>
        <v>1.7208646070024451</v>
      </c>
      <c r="AW315" s="6">
        <f t="shared" si="189"/>
        <v>0.60042329815000151</v>
      </c>
      <c r="AX315" s="6">
        <f t="shared" si="190"/>
        <v>1.420728046487348</v>
      </c>
      <c r="AY315" s="6">
        <f t="shared" si="191"/>
        <v>1.420728046487348</v>
      </c>
      <c r="BF315" s="40"/>
      <c r="BG315" s="6">
        <f t="shared" si="192"/>
        <v>2.0943951023931864</v>
      </c>
      <c r="BH315" s="9">
        <f t="shared" ca="1" si="193"/>
        <v>52.063002723575956</v>
      </c>
      <c r="BI315" s="9">
        <f t="shared" ca="1" si="194"/>
        <v>277.74906529298403</v>
      </c>
      <c r="BJ315">
        <f t="shared" ca="1" si="195"/>
        <v>282.5864461075962</v>
      </c>
      <c r="BK315" s="6">
        <f t="shared" ca="1" si="196"/>
        <v>0.18423743757247546</v>
      </c>
      <c r="BL315" s="6">
        <f t="shared" ca="1" si="197"/>
        <v>0.98288176633648483</v>
      </c>
      <c r="BM315" s="6">
        <f t="shared" ca="1" si="198"/>
        <v>1.3855003644628801</v>
      </c>
      <c r="BN315" s="6">
        <f t="shared" ca="1" si="199"/>
        <v>-0.53391425553347704</v>
      </c>
      <c r="BO315" s="9">
        <f t="shared" ca="1" si="200"/>
        <v>-27.519193972583459</v>
      </c>
      <c r="BP315" s="9">
        <f t="shared" ca="1" si="201"/>
        <v>221.57339703525383</v>
      </c>
      <c r="BQ315">
        <f t="shared" ca="1" si="202"/>
        <v>223.27578532085136</v>
      </c>
      <c r="BR315">
        <f t="shared" ca="1" si="203"/>
        <v>-0.12325203081488607</v>
      </c>
      <c r="BS315">
        <f t="shared" ca="1" si="204"/>
        <v>0.99237540119654644</v>
      </c>
      <c r="BT315">
        <f t="shared" ca="1" si="205"/>
        <v>1.694362565197242</v>
      </c>
      <c r="BU315" s="40">
        <f t="shared" ca="1" si="206"/>
        <v>-1.4472300882925511</v>
      </c>
    </row>
    <row r="316" spans="45:73" x14ac:dyDescent="0.25">
      <c r="AS316" s="6">
        <v>2.3387411976723897</v>
      </c>
      <c r="AT316" s="6">
        <v>-33.407481296070742</v>
      </c>
      <c r="AU316" s="6">
        <v>217.2207934918612</v>
      </c>
      <c r="AV316" s="6">
        <f t="shared" si="188"/>
        <v>1.7233957258063639</v>
      </c>
      <c r="AW316" s="6">
        <f t="shared" si="189"/>
        <v>0.61534547186602584</v>
      </c>
      <c r="AX316" s="6">
        <f t="shared" si="190"/>
        <v>1.4181969276834292</v>
      </c>
      <c r="AY316" s="6">
        <f t="shared" si="191"/>
        <v>1.4181969276834292</v>
      </c>
      <c r="BF316" s="40"/>
      <c r="BG316" s="6">
        <f t="shared" si="192"/>
        <v>2.1118483949131295</v>
      </c>
      <c r="BH316" s="9">
        <f t="shared" ca="1" si="193"/>
        <v>51.699278927299602</v>
      </c>
      <c r="BI316" s="9">
        <f t="shared" ca="1" si="194"/>
        <v>277.54177766924573</v>
      </c>
      <c r="BJ316">
        <f t="shared" ca="1" si="195"/>
        <v>282.31587591456446</v>
      </c>
      <c r="BK316" s="6">
        <f t="shared" ca="1" si="196"/>
        <v>0.18312565228511996</v>
      </c>
      <c r="BL316" s="6">
        <f t="shared" ca="1" si="197"/>
        <v>0.98308951549446877</v>
      </c>
      <c r="BM316" s="6">
        <f t="shared" ca="1" si="198"/>
        <v>1.3866313933635681</v>
      </c>
      <c r="BN316" s="6">
        <f t="shared" ca="1" si="199"/>
        <v>-0.53278322663278899</v>
      </c>
      <c r="BO316" s="9">
        <f t="shared" ca="1" si="200"/>
        <v>-27.882917768859812</v>
      </c>
      <c r="BP316" s="9">
        <f t="shared" ca="1" si="201"/>
        <v>221.36610941151554</v>
      </c>
      <c r="BQ316">
        <f t="shared" ca="1" si="202"/>
        <v>223.11524264221856</v>
      </c>
      <c r="BR316">
        <f t="shared" ca="1" si="203"/>
        <v>-0.12497092282292918</v>
      </c>
      <c r="BS316">
        <f t="shared" ca="1" si="204"/>
        <v>0.99216040459634625</v>
      </c>
      <c r="BT316">
        <f t="shared" ca="1" si="205"/>
        <v>1.6960948509773082</v>
      </c>
      <c r="BU316" s="40">
        <f t="shared" ca="1" si="206"/>
        <v>-1.4454978025124849</v>
      </c>
    </row>
    <row r="317" spans="45:73" x14ac:dyDescent="0.25">
      <c r="AS317" s="6">
        <v>2.3561944901923328</v>
      </c>
      <c r="AT317" s="6">
        <v>-33.917634473568903</v>
      </c>
      <c r="AU317" s="6">
        <v>216.74093417432576</v>
      </c>
      <c r="AV317" s="6">
        <f t="shared" si="188"/>
        <v>1.7260266454438378</v>
      </c>
      <c r="AW317" s="6">
        <f t="shared" si="189"/>
        <v>0.63016784474849508</v>
      </c>
      <c r="AX317" s="6">
        <f t="shared" si="190"/>
        <v>1.4155660080459553</v>
      </c>
      <c r="AY317" s="6">
        <f t="shared" si="191"/>
        <v>1.4155660080459553</v>
      </c>
      <c r="BF317" s="40"/>
      <c r="BG317" s="6">
        <f t="shared" si="192"/>
        <v>2.1293016874330726</v>
      </c>
      <c r="BH317" s="9">
        <f t="shared" ca="1" si="193"/>
        <v>51.328997413180694</v>
      </c>
      <c r="BI317" s="9">
        <f t="shared" ca="1" si="194"/>
        <v>277.32264571067583</v>
      </c>
      <c r="BJ317">
        <f t="shared" ca="1" si="195"/>
        <v>282.03282752086028</v>
      </c>
      <c r="BK317" s="6">
        <f t="shared" ca="1" si="196"/>
        <v>0.18199653517065914</v>
      </c>
      <c r="BL317" s="6">
        <f t="shared" ca="1" si="197"/>
        <v>0.98329917176100334</v>
      </c>
      <c r="BM317" s="6">
        <f t="shared" ca="1" si="198"/>
        <v>1.3877798102535586</v>
      </c>
      <c r="BN317" s="6">
        <f t="shared" ca="1" si="199"/>
        <v>-0.53163480974279853</v>
      </c>
      <c r="BO317" s="9">
        <f t="shared" ca="1" si="200"/>
        <v>-28.25319928297872</v>
      </c>
      <c r="BP317" s="9">
        <f t="shared" ca="1" si="201"/>
        <v>221.14697745294563</v>
      </c>
      <c r="BQ317">
        <f t="shared" ca="1" si="202"/>
        <v>222.94445251294627</v>
      </c>
      <c r="BR317">
        <f t="shared" ca="1" si="203"/>
        <v>-0.12672752770710036</v>
      </c>
      <c r="BS317">
        <f t="shared" ca="1" si="204"/>
        <v>0.99193756543506617</v>
      </c>
      <c r="BT317">
        <f t="shared" ca="1" si="205"/>
        <v>1.6978655341308055</v>
      </c>
      <c r="BU317" s="40">
        <f t="shared" ca="1" si="206"/>
        <v>-1.4437271193589876</v>
      </c>
    </row>
    <row r="318" spans="45:73" x14ac:dyDescent="0.25">
      <c r="AS318" s="6">
        <v>2.3736477827122759</v>
      </c>
      <c r="AT318" s="6">
        <v>-35.857639200034498</v>
      </c>
      <c r="AU318" s="6">
        <v>214.79622456975858</v>
      </c>
      <c r="AV318" s="6">
        <f t="shared" si="188"/>
        <v>1.7362089339908309</v>
      </c>
      <c r="AW318" s="6">
        <f t="shared" si="189"/>
        <v>0.63743884872144507</v>
      </c>
      <c r="AX318" s="6">
        <f t="shared" si="190"/>
        <v>1.4053837194989622</v>
      </c>
      <c r="AY318" s="6">
        <f t="shared" si="191"/>
        <v>1.4053837194989622</v>
      </c>
      <c r="BF318" s="40"/>
      <c r="BG318" s="6">
        <f t="shared" si="192"/>
        <v>2.1467549799530157</v>
      </c>
      <c r="BH318" s="9">
        <f t="shared" ca="1" si="193"/>
        <v>50.951703113919834</v>
      </c>
      <c r="BI318" s="9">
        <f t="shared" ca="1" si="194"/>
        <v>277.09089515379236</v>
      </c>
      <c r="BJ318">
        <f t="shared" ca="1" si="195"/>
        <v>281.73647301572259</v>
      </c>
      <c r="BK318" s="6">
        <f t="shared" ca="1" si="196"/>
        <v>0.18084880018738794</v>
      </c>
      <c r="BL318" s="6">
        <f t="shared" ca="1" si="197"/>
        <v>0.98351091070246</v>
      </c>
      <c r="BM318" s="6">
        <f t="shared" ca="1" si="198"/>
        <v>1.3889469131306733</v>
      </c>
      <c r="BN318" s="6">
        <f t="shared" ca="1" si="199"/>
        <v>-0.53046770686568379</v>
      </c>
      <c r="BO318" s="9">
        <f t="shared" ca="1" si="200"/>
        <v>-28.630493582239581</v>
      </c>
      <c r="BP318" s="9">
        <f t="shared" ca="1" si="201"/>
        <v>220.91522689606217</v>
      </c>
      <c r="BQ318">
        <f t="shared" ca="1" si="202"/>
        <v>222.76274966273263</v>
      </c>
      <c r="BR318">
        <f t="shared" ca="1" si="203"/>
        <v>-0.12852460128808221</v>
      </c>
      <c r="BS318">
        <f t="shared" ca="1" si="204"/>
        <v>0.99170632087515687</v>
      </c>
      <c r="BT318">
        <f t="shared" ca="1" si="205"/>
        <v>1.699677424966396</v>
      </c>
      <c r="BU318" s="40">
        <f t="shared" ca="1" si="206"/>
        <v>-1.4419152285233972</v>
      </c>
    </row>
    <row r="319" spans="45:73" x14ac:dyDescent="0.25">
      <c r="AS319" s="6">
        <v>2.391101075232219</v>
      </c>
      <c r="AT319" s="6">
        <v>-40.350080012036436</v>
      </c>
      <c r="AU319" s="6">
        <v>210.1276844009509</v>
      </c>
      <c r="AV319" s="6">
        <f t="shared" si="188"/>
        <v>1.7605134191941572</v>
      </c>
      <c r="AW319" s="6">
        <f t="shared" si="189"/>
        <v>0.63058765603806188</v>
      </c>
      <c r="AX319" s="6">
        <f t="shared" si="190"/>
        <v>1.3810792342956359</v>
      </c>
      <c r="AY319" s="6">
        <f t="shared" si="191"/>
        <v>1.3810792342956359</v>
      </c>
      <c r="BF319" s="40"/>
      <c r="BG319" s="6">
        <f t="shared" si="192"/>
        <v>2.1642082724729588</v>
      </c>
      <c r="BH319" s="9">
        <f t="shared" ca="1" si="193"/>
        <v>50.566913681587117</v>
      </c>
      <c r="BI319" s="9">
        <f t="shared" ca="1" si="194"/>
        <v>276.84568009481961</v>
      </c>
      <c r="BJ319">
        <f t="shared" ca="1" si="195"/>
        <v>281.42591093650969</v>
      </c>
      <c r="BK319" s="6">
        <f t="shared" ca="1" si="196"/>
        <v>0.17968108733596716</v>
      </c>
      <c r="BL319" s="6">
        <f t="shared" ca="1" si="197"/>
        <v>0.98372491421828112</v>
      </c>
      <c r="BM319" s="6">
        <f t="shared" ca="1" si="198"/>
        <v>1.3901340740185397</v>
      </c>
      <c r="BN319" s="6">
        <f t="shared" ca="1" si="199"/>
        <v>-0.52928054597781737</v>
      </c>
      <c r="BO319" s="9">
        <f t="shared" ca="1" si="200"/>
        <v>-29.015283014572297</v>
      </c>
      <c r="BP319" s="9">
        <f t="shared" ca="1" si="201"/>
        <v>220.67001183708942</v>
      </c>
      <c r="BQ319">
        <f t="shared" ca="1" si="202"/>
        <v>222.56940664115746</v>
      </c>
      <c r="BR319">
        <f t="shared" ca="1" si="203"/>
        <v>-0.13036510027342996</v>
      </c>
      <c r="BS319">
        <f t="shared" ca="1" si="204"/>
        <v>0.99146605621710449</v>
      </c>
      <c r="BT319">
        <f t="shared" ca="1" si="205"/>
        <v>1.7015335404288796</v>
      </c>
      <c r="BU319" s="40">
        <f t="shared" ca="1" si="206"/>
        <v>-1.4400591130609135</v>
      </c>
    </row>
    <row r="320" spans="45:73" x14ac:dyDescent="0.25">
      <c r="AS320" s="6">
        <v>2.4085543677521621</v>
      </c>
      <c r="AT320" s="6">
        <v>-46.883599130693028</v>
      </c>
      <c r="AU320" s="6">
        <v>203.10528149644682</v>
      </c>
      <c r="AV320" s="6">
        <f t="shared" si="188"/>
        <v>1.7976566430305432</v>
      </c>
      <c r="AW320" s="6">
        <f t="shared" si="189"/>
        <v>0.61089772472161896</v>
      </c>
      <c r="AX320" s="6">
        <f t="shared" si="190"/>
        <v>1.3439360104592499</v>
      </c>
      <c r="AY320" s="6">
        <f t="shared" si="191"/>
        <v>1.3439360104592499</v>
      </c>
      <c r="BF320" s="40"/>
      <c r="BG320" s="6">
        <f t="shared" si="192"/>
        <v>2.1816615649929019</v>
      </c>
      <c r="BH320" s="9">
        <f t="shared" ca="1" si="193"/>
        <v>50.174116777936817</v>
      </c>
      <c r="BI320" s="9">
        <f t="shared" ca="1" si="194"/>
        <v>276.58607527248648</v>
      </c>
      <c r="BJ320">
        <f t="shared" ca="1" si="195"/>
        <v>281.10015835833963</v>
      </c>
      <c r="BK320" s="6">
        <f t="shared" ca="1" si="196"/>
        <v>0.1784919548639175</v>
      </c>
      <c r="BL320" s="6">
        <f t="shared" ca="1" si="197"/>
        <v>0.98394137124569425</v>
      </c>
      <c r="BM320" s="6">
        <f t="shared" ca="1" si="198"/>
        <v>1.3913427467859376</v>
      </c>
      <c r="BN320" s="6">
        <f t="shared" ca="1" si="199"/>
        <v>-0.52807187321041948</v>
      </c>
      <c r="BO320" s="9">
        <f t="shared" ca="1" si="200"/>
        <v>-29.408079918222597</v>
      </c>
      <c r="BP320" s="9">
        <f t="shared" ca="1" si="201"/>
        <v>220.41040701475629</v>
      </c>
      <c r="BQ320">
        <f t="shared" ca="1" si="202"/>
        <v>222.36362716255348</v>
      </c>
      <c r="BR320">
        <f t="shared" ca="1" si="203"/>
        <v>-0.13225220461404211</v>
      </c>
      <c r="BS320">
        <f t="shared" ca="1" si="204"/>
        <v>0.99121609872657213</v>
      </c>
      <c r="BT320">
        <f t="shared" ca="1" si="205"/>
        <v>1.7034371272101068</v>
      </c>
      <c r="BU320" s="40">
        <f t="shared" ca="1" si="206"/>
        <v>-1.4381555262796863</v>
      </c>
    </row>
    <row r="321" spans="45:73" x14ac:dyDescent="0.25">
      <c r="AS321" s="6">
        <v>2.4260076602721052</v>
      </c>
      <c r="AT321" s="6">
        <v>-55.089194964461093</v>
      </c>
      <c r="AU321" s="6">
        <v>193.99071688439338</v>
      </c>
      <c r="AV321" s="6">
        <f t="shared" si="188"/>
        <v>1.8474904783648967</v>
      </c>
      <c r="AW321" s="6">
        <f t="shared" si="189"/>
        <v>0.57851718190720858</v>
      </c>
      <c r="AX321" s="6">
        <f t="shared" si="190"/>
        <v>1.2941021751248964</v>
      </c>
      <c r="AY321" s="6">
        <f t="shared" si="191"/>
        <v>1.2941021751248964</v>
      </c>
      <c r="BF321" s="40"/>
      <c r="BG321" s="6">
        <f t="shared" si="192"/>
        <v>2.199114857512845</v>
      </c>
      <c r="BH321" s="9">
        <f t="shared" ca="1" si="193"/>
        <v>49.772767043552271</v>
      </c>
      <c r="BI321" s="9">
        <f t="shared" ca="1" si="194"/>
        <v>276.31106721380189</v>
      </c>
      <c r="BJ321">
        <f t="shared" ca="1" si="195"/>
        <v>280.75814183029826</v>
      </c>
      <c r="BK321" s="6">
        <f t="shared" ca="1" si="196"/>
        <v>0.17727987056431288</v>
      </c>
      <c r="BL321" s="6">
        <f t="shared" ca="1" si="197"/>
        <v>0.98416047852608901</v>
      </c>
      <c r="BM321" s="6">
        <f t="shared" ca="1" si="198"/>
        <v>1.3925744758720129</v>
      </c>
      <c r="BN321" s="6">
        <f t="shared" ca="1" si="199"/>
        <v>-0.52684014412434421</v>
      </c>
      <c r="BO321" s="9">
        <f t="shared" ca="1" si="200"/>
        <v>-29.809429652607143</v>
      </c>
      <c r="BP321" s="9">
        <f t="shared" ca="1" si="201"/>
        <v>220.1353989560717</v>
      </c>
      <c r="BQ321">
        <f t="shared" ca="1" si="202"/>
        <v>222.14453846485307</v>
      </c>
      <c r="BR321">
        <f t="shared" ca="1" si="203"/>
        <v>-0.13418934293234261</v>
      </c>
      <c r="BS321">
        <f t="shared" ca="1" si="204"/>
        <v>0.99095571053573639</v>
      </c>
      <c r="BT321">
        <f t="shared" ca="1" si="205"/>
        <v>1.7053916880534636</v>
      </c>
      <c r="BU321" s="40">
        <f t="shared" ca="1" si="206"/>
        <v>-1.4362009654363295</v>
      </c>
    </row>
    <row r="322" spans="45:73" x14ac:dyDescent="0.25">
      <c r="AS322" s="6">
        <v>2.4434609527920483</v>
      </c>
      <c r="AT322" s="6">
        <v>-64.695825220490022</v>
      </c>
      <c r="AU322" s="6">
        <v>182.9698518047642</v>
      </c>
      <c r="AV322" s="6">
        <f t="shared" si="188"/>
        <v>1.9106634229938071</v>
      </c>
      <c r="AW322" s="6">
        <f t="shared" si="189"/>
        <v>0.53279752979824124</v>
      </c>
      <c r="AX322" s="6">
        <f t="shared" si="190"/>
        <v>1.230929230495986</v>
      </c>
      <c r="AY322" s="6">
        <f t="shared" si="191"/>
        <v>1.230929230495986</v>
      </c>
      <c r="BF322" s="40"/>
      <c r="BG322" s="6">
        <f t="shared" si="192"/>
        <v>2.2165681500327881</v>
      </c>
      <c r="BH322" s="9">
        <f t="shared" ca="1" si="193"/>
        <v>49.36228278495399</v>
      </c>
      <c r="BI322" s="9">
        <f t="shared" ca="1" si="194"/>
        <v>276.0195443316415</v>
      </c>
      <c r="BJ322">
        <f t="shared" ca="1" si="195"/>
        <v>280.39868725582289</v>
      </c>
      <c r="BK322" s="6">
        <f t="shared" ca="1" si="196"/>
        <v>0.17604320215635713</v>
      </c>
      <c r="BL322" s="6">
        <f t="shared" ca="1" si="197"/>
        <v>0.98438244141925646</v>
      </c>
      <c r="BM322" s="6">
        <f t="shared" ca="1" si="198"/>
        <v>1.3938309059277056</v>
      </c>
      <c r="BN322" s="6">
        <f t="shared" ca="1" si="199"/>
        <v>-0.52558371406865145</v>
      </c>
      <c r="BO322" s="9">
        <f t="shared" ca="1" si="200"/>
        <v>-30.219913911205424</v>
      </c>
      <c r="BP322" s="9">
        <f t="shared" ca="1" si="201"/>
        <v>219.8438760739113</v>
      </c>
      <c r="BQ322">
        <f t="shared" ca="1" si="202"/>
        <v>221.91118278266629</v>
      </c>
      <c r="BR322">
        <f t="shared" ca="1" si="203"/>
        <v>-0.13618022098869156</v>
      </c>
      <c r="BS322">
        <f t="shared" ca="1" si="204"/>
        <v>0.99068408052793067</v>
      </c>
      <c r="BT322">
        <f t="shared" ca="1" si="205"/>
        <v>1.7074010112367177</v>
      </c>
      <c r="BU322" s="40">
        <f t="shared" ca="1" si="206"/>
        <v>-1.4341916422530754</v>
      </c>
    </row>
    <row r="323" spans="45:73" x14ac:dyDescent="0.25">
      <c r="AS323" s="6">
        <v>2.4609142453119914</v>
      </c>
      <c r="AT323" s="6">
        <v>-75.503320086854146</v>
      </c>
      <c r="AU323" s="6">
        <v>170.17220896283044</v>
      </c>
      <c r="AV323" s="6">
        <f t="shared" ref="AV323:AV362" si="207">IF(AND(AT323=0,AU323=0),0,IF(ATAN2(AT323,AU323)&lt;0,ATAN2(AT323,AU323)+(2*PI()),ATAN2(AT323,AU323)))</f>
        <v>1.9883885783852489</v>
      </c>
      <c r="AW323" s="6">
        <f t="shared" ref="AW323:AW362" si="208">ABS(AS323-AV323)</f>
        <v>0.47252566692674258</v>
      </c>
      <c r="AX323" s="6">
        <f t="shared" ref="AX323:AX362" si="209">$U$13-AV323</f>
        <v>1.1532040751045443</v>
      </c>
      <c r="AY323" s="6">
        <f t="shared" ref="AY323:AY362" si="210">ABS(AX323)</f>
        <v>1.1532040751045443</v>
      </c>
      <c r="BF323" s="40"/>
      <c r="BG323" s="6">
        <f t="shared" si="192"/>
        <v>2.2340214425527312</v>
      </c>
      <c r="BH323" s="9">
        <f t="shared" ca="1" si="193"/>
        <v>48.942042329793708</v>
      </c>
      <c r="BI323" s="9">
        <f t="shared" ca="1" si="194"/>
        <v>275.71028577610838</v>
      </c>
      <c r="BJ323">
        <f t="shared" ca="1" si="195"/>
        <v>280.02050851706321</v>
      </c>
      <c r="BK323" s="6">
        <f t="shared" ca="1" si="196"/>
        <v>0.17478020659623006</v>
      </c>
      <c r="BL323" s="6">
        <f t="shared" ca="1" si="197"/>
        <v>0.98460747477468358</v>
      </c>
      <c r="BM323" s="6">
        <f t="shared" ca="1" si="198"/>
        <v>1.3951137925250621</v>
      </c>
      <c r="BN323" s="6">
        <f t="shared" ca="1" si="199"/>
        <v>-0.52430082747129503</v>
      </c>
      <c r="BO323" s="9">
        <f t="shared" ca="1" si="200"/>
        <v>-30.640154366365707</v>
      </c>
      <c r="BP323" s="9">
        <f t="shared" ca="1" si="201"/>
        <v>219.53461751837818</v>
      </c>
      <c r="BQ323">
        <f t="shared" ca="1" si="202"/>
        <v>221.66250776469917</v>
      </c>
      <c r="BR323">
        <f t="shared" ca="1" si="203"/>
        <v>-0.13822885374413912</v>
      </c>
      <c r="BS323">
        <f t="shared" ca="1" si="204"/>
        <v>0.99040031502043724</v>
      </c>
      <c r="BT323">
        <f t="shared" ca="1" si="205"/>
        <v>1.7094692038183283</v>
      </c>
      <c r="BU323" s="40">
        <f t="shared" ca="1" si="206"/>
        <v>-1.4321234496714648</v>
      </c>
    </row>
    <row r="324" spans="45:73" x14ac:dyDescent="0.25">
      <c r="AS324" s="6">
        <v>2.4783675378319345</v>
      </c>
      <c r="AT324" s="6">
        <v>-87.365611060710876</v>
      </c>
      <c r="AU324" s="6">
        <v>155.68255217576569</v>
      </c>
      <c r="AV324" s="6">
        <f t="shared" si="207"/>
        <v>2.0821809109575726</v>
      </c>
      <c r="AW324" s="6">
        <f t="shared" si="208"/>
        <v>0.3961866268743619</v>
      </c>
      <c r="AX324" s="6">
        <f t="shared" si="209"/>
        <v>1.0594117425322205</v>
      </c>
      <c r="AY324" s="6">
        <f t="shared" si="210"/>
        <v>1.0594117425322205</v>
      </c>
      <c r="BF324" s="40"/>
      <c r="BG324" s="6">
        <f t="shared" si="192"/>
        <v>2.2514747350726743</v>
      </c>
      <c r="BH324" s="9">
        <f t="shared" ca="1" si="193"/>
        <v>48.511379813131597</v>
      </c>
      <c r="BI324" s="9">
        <f t="shared" ca="1" si="194"/>
        <v>275.38194824564005</v>
      </c>
      <c r="BJ324">
        <f t="shared" ca="1" si="195"/>
        <v>279.62219402425535</v>
      </c>
      <c r="BK324" s="6">
        <f t="shared" ca="1" si="196"/>
        <v>0.1734890178600185</v>
      </c>
      <c r="BL324" s="6">
        <f t="shared" ca="1" si="197"/>
        <v>0.98483580391960057</v>
      </c>
      <c r="BM324" s="6">
        <f t="shared" ca="1" si="198"/>
        <v>1.3964250143969326</v>
      </c>
      <c r="BN324" s="6">
        <f t="shared" ca="1" si="199"/>
        <v>-0.52298960559942453</v>
      </c>
      <c r="BO324" s="9">
        <f t="shared" ca="1" si="200"/>
        <v>-31.070816883027817</v>
      </c>
      <c r="BP324" s="9">
        <f t="shared" ca="1" si="201"/>
        <v>219.20627998790985</v>
      </c>
      <c r="BQ324">
        <f t="shared" ca="1" si="202"/>
        <v>221.39735510596455</v>
      </c>
      <c r="BR324">
        <f t="shared" ca="1" si="203"/>
        <v>-0.14033960282929664</v>
      </c>
      <c r="BS324">
        <f t="shared" ca="1" si="204"/>
        <v>0.99010342685888897</v>
      </c>
      <c r="BT324">
        <f t="shared" ca="1" si="205"/>
        <v>1.7116007305015233</v>
      </c>
      <c r="BU324" s="40">
        <f t="shared" ca="1" si="206"/>
        <v>-1.4299919229882698</v>
      </c>
    </row>
    <row r="325" spans="45:73" x14ac:dyDescent="0.25">
      <c r="AS325" s="6">
        <v>2.4958208303518776</v>
      </c>
      <c r="AT325" s="6">
        <v>-100.18031542728467</v>
      </c>
      <c r="AU325" s="6">
        <v>139.5474343207178</v>
      </c>
      <c r="AV325" s="6">
        <f t="shared" si="207"/>
        <v>2.1934312425059157</v>
      </c>
      <c r="AW325" s="6">
        <f t="shared" si="208"/>
        <v>0.30238958784596193</v>
      </c>
      <c r="AX325" s="6">
        <f t="shared" si="209"/>
        <v>0.94816141098387741</v>
      </c>
      <c r="AY325" s="6">
        <f t="shared" si="210"/>
        <v>0.94816141098387741</v>
      </c>
      <c r="BF325" s="40"/>
      <c r="BG325" s="6">
        <f t="shared" si="192"/>
        <v>2.2689280275926174</v>
      </c>
      <c r="BH325" s="9">
        <f t="shared" ca="1" si="193"/>
        <v>48.069580677336504</v>
      </c>
      <c r="BI325" s="9">
        <f t="shared" ca="1" si="194"/>
        <v>275.03305157413405</v>
      </c>
      <c r="BJ325">
        <f t="shared" ca="1" si="195"/>
        <v>279.20219204847808</v>
      </c>
      <c r="BK325" s="6">
        <f t="shared" ca="1" si="196"/>
        <v>0.17216763351553538</v>
      </c>
      <c r="BL325" s="6">
        <f t="shared" ca="1" si="197"/>
        <v>0.9850676656807188</v>
      </c>
      <c r="BM325" s="6">
        <f t="shared" ca="1" si="198"/>
        <v>1.3977665868817648</v>
      </c>
      <c r="BN325" s="6">
        <f t="shared" ca="1" si="199"/>
        <v>-0.52164803311459229</v>
      </c>
      <c r="BO325" s="9">
        <f t="shared" ca="1" si="200"/>
        <v>-31.512616018822911</v>
      </c>
      <c r="BP325" s="9">
        <f t="shared" ca="1" si="201"/>
        <v>218.85738331640385</v>
      </c>
      <c r="BQ325">
        <f t="shared" ca="1" si="202"/>
        <v>221.11444819471453</v>
      </c>
      <c r="BR325">
        <f t="shared" ca="1" si="203"/>
        <v>-0.14251721801133835</v>
      </c>
      <c r="BS325">
        <f t="shared" ca="1" si="204"/>
        <v>0.9897923229497736</v>
      </c>
      <c r="BT325">
        <f t="shared" ca="1" si="205"/>
        <v>1.7138004567286904</v>
      </c>
      <c r="BU325" s="40">
        <f t="shared" ca="1" si="206"/>
        <v>-1.4277921967611027</v>
      </c>
    </row>
    <row r="326" spans="45:73" x14ac:dyDescent="0.25">
      <c r="AS326" s="6">
        <v>2.5132741228718207</v>
      </c>
      <c r="AT326" s="6">
        <v>-113.88258640179971</v>
      </c>
      <c r="AU326" s="6">
        <v>121.77815329657963</v>
      </c>
      <c r="AV326" s="6">
        <f t="shared" si="207"/>
        <v>2.3227030626616063</v>
      </c>
      <c r="AW326" s="6">
        <f t="shared" si="208"/>
        <v>0.19057106021021442</v>
      </c>
      <c r="AX326" s="6">
        <f t="shared" si="209"/>
        <v>0.8188895908281868</v>
      </c>
      <c r="AY326" s="6">
        <f t="shared" si="210"/>
        <v>0.8188895908281868</v>
      </c>
      <c r="BF326" s="40"/>
      <c r="BG326" s="6">
        <f t="shared" si="192"/>
        <v>2.2863813201125605</v>
      </c>
      <c r="BH326" s="9">
        <f t="shared" ca="1" si="193"/>
        <v>47.615876503128177</v>
      </c>
      <c r="BI326" s="9">
        <f t="shared" ca="1" si="194"/>
        <v>274.6619618149125</v>
      </c>
      <c r="BJ326">
        <f t="shared" ca="1" si="195"/>
        <v>278.75879351722267</v>
      </c>
      <c r="BK326" s="6">
        <f t="shared" ca="1" si="196"/>
        <v>0.17081389936560443</v>
      </c>
      <c r="BL326" s="6">
        <f t="shared" ca="1" si="197"/>
        <v>0.98530330953646827</v>
      </c>
      <c r="BM326" s="6">
        <f t="shared" ca="1" si="198"/>
        <v>1.3991406772981954</v>
      </c>
      <c r="BN326" s="6">
        <f t="shared" ca="1" si="199"/>
        <v>-0.52027394269816174</v>
      </c>
      <c r="BO326" s="9">
        <f t="shared" ca="1" si="200"/>
        <v>-31.966320193031237</v>
      </c>
      <c r="BP326" s="9">
        <f t="shared" ca="1" si="201"/>
        <v>218.48629355718231</v>
      </c>
      <c r="BQ326">
        <f t="shared" ca="1" si="202"/>
        <v>220.81237759473231</v>
      </c>
      <c r="BR326">
        <f t="shared" ca="1" si="203"/>
        <v>-0.14476688553981598</v>
      </c>
      <c r="BS326">
        <f t="shared" ca="1" si="204"/>
        <v>0.98946578963150711</v>
      </c>
      <c r="BT326">
        <f t="shared" ca="1" si="205"/>
        <v>1.716073698955553</v>
      </c>
      <c r="BU326" s="40">
        <f t="shared" ca="1" si="206"/>
        <v>-1.4255189545342402</v>
      </c>
    </row>
    <row r="327" spans="45:73" x14ac:dyDescent="0.25">
      <c r="AS327" s="6">
        <v>2.5307274153917638</v>
      </c>
      <c r="AT327" s="6">
        <v>-128.44212244387359</v>
      </c>
      <c r="AU327" s="6">
        <v>102.35075705683707</v>
      </c>
      <c r="AV327" s="6">
        <f t="shared" si="207"/>
        <v>2.4687675309685351</v>
      </c>
      <c r="AW327" s="6">
        <f t="shared" si="208"/>
        <v>6.195988442322875E-2</v>
      </c>
      <c r="AX327" s="6">
        <f t="shared" si="209"/>
        <v>0.67282512252125803</v>
      </c>
      <c r="AY327" s="6">
        <f t="shared" si="210"/>
        <v>0.67282512252125803</v>
      </c>
      <c r="BF327" s="40"/>
      <c r="BG327" s="6">
        <f t="shared" si="192"/>
        <v>2.3038346126325036</v>
      </c>
      <c r="BH327" s="9">
        <f t="shared" ca="1" si="193"/>
        <v>47.149439235069835</v>
      </c>
      <c r="BI327" s="9">
        <f t="shared" ca="1" si="194"/>
        <v>274.26687191441971</v>
      </c>
      <c r="BJ327">
        <f t="shared" ca="1" si="195"/>
        <v>278.29011238256788</v>
      </c>
      <c r="BK327" s="6">
        <f t="shared" ca="1" si="196"/>
        <v>0.16942549209313296</v>
      </c>
      <c r="BL327" s="6">
        <f t="shared" ca="1" si="197"/>
        <v>0.9855429988737171</v>
      </c>
      <c r="BM327" s="6">
        <f t="shared" ca="1" si="198"/>
        <v>1.4005496223152332</v>
      </c>
      <c r="BN327" s="6">
        <f t="shared" ca="1" si="199"/>
        <v>-0.51886499768112393</v>
      </c>
      <c r="BO327" s="9">
        <f t="shared" ca="1" si="200"/>
        <v>-32.432757461089579</v>
      </c>
      <c r="BP327" s="9">
        <f t="shared" ca="1" si="201"/>
        <v>218.09120365668952</v>
      </c>
      <c r="BQ327">
        <f t="shared" ca="1" si="202"/>
        <v>220.48958449086317</v>
      </c>
      <c r="BR327">
        <f t="shared" ca="1" si="203"/>
        <v>-0.1470942835507659</v>
      </c>
      <c r="BS327">
        <f t="shared" ca="1" si="204"/>
        <v>0.98912247560486</v>
      </c>
      <c r="BT327">
        <f t="shared" ca="1" si="205"/>
        <v>1.7184262823387639</v>
      </c>
      <c r="BU327" s="40">
        <f t="shared" ca="1" si="206"/>
        <v>-1.4231663711510292</v>
      </c>
    </row>
    <row r="328" spans="45:73" x14ac:dyDescent="0.25">
      <c r="AS328" s="6">
        <v>2.5481807079117069</v>
      </c>
      <c r="AT328" s="6">
        <v>-143.86279426536132</v>
      </c>
      <c r="AU328" s="6">
        <v>81.20322952000933</v>
      </c>
      <c r="AV328" s="6">
        <f t="shared" si="207"/>
        <v>2.627723779346089</v>
      </c>
      <c r="AW328" s="6">
        <f t="shared" si="208"/>
        <v>7.9543071434382107E-2</v>
      </c>
      <c r="AX328" s="6">
        <f t="shared" si="209"/>
        <v>0.51386887414370408</v>
      </c>
      <c r="AY328" s="6">
        <f t="shared" si="210"/>
        <v>0.51386887414370408</v>
      </c>
      <c r="BF328" s="40"/>
      <c r="BG328" s="6">
        <f t="shared" si="192"/>
        <v>2.3212879051524467</v>
      </c>
      <c r="BH328" s="9">
        <f t="shared" ca="1" si="193"/>
        <v>46.669374740039643</v>
      </c>
      <c r="BI328" s="9">
        <f t="shared" ca="1" si="194"/>
        <v>273.84577965233353</v>
      </c>
      <c r="BJ328">
        <f t="shared" ca="1" si="195"/>
        <v>277.79406324113671</v>
      </c>
      <c r="BK328" s="6">
        <f t="shared" ca="1" si="196"/>
        <v>0.16799989962178818</v>
      </c>
      <c r="BL328" s="6">
        <f t="shared" ca="1" si="197"/>
        <v>0.98578701235463084</v>
      </c>
      <c r="BM328" s="6">
        <f t="shared" ca="1" si="198"/>
        <v>1.4019959476029462</v>
      </c>
      <c r="BN328" s="6">
        <f t="shared" ca="1" si="199"/>
        <v>-0.51741867239341088</v>
      </c>
      <c r="BO328" s="9">
        <f t="shared" ca="1" si="200"/>
        <v>-32.912821956119771</v>
      </c>
      <c r="BP328" s="9">
        <f t="shared" ca="1" si="201"/>
        <v>217.67011139460334</v>
      </c>
      <c r="BQ328">
        <f t="shared" ca="1" si="202"/>
        <v>220.14434183883597</v>
      </c>
      <c r="BR328">
        <f t="shared" ca="1" si="203"/>
        <v>-0.14950564561961216</v>
      </c>
      <c r="BS328">
        <f t="shared" ca="1" si="204"/>
        <v>0.98876087196443152</v>
      </c>
      <c r="BT328">
        <f t="shared" ca="1" si="205"/>
        <v>1.7208646070024451</v>
      </c>
      <c r="BU328" s="40">
        <f t="shared" ca="1" si="206"/>
        <v>-1.420728046487348</v>
      </c>
    </row>
    <row r="329" spans="45:73" x14ac:dyDescent="0.25">
      <c r="AS329" s="6">
        <v>2.56563400043165</v>
      </c>
      <c r="AT329" s="6">
        <v>-158.17044242506535</v>
      </c>
      <c r="AU329" s="6">
        <v>60.501939914277713</v>
      </c>
      <c r="AV329" s="6">
        <f t="shared" si="207"/>
        <v>2.7762532801509732</v>
      </c>
      <c r="AW329" s="6">
        <f t="shared" si="208"/>
        <v>0.21061927971932315</v>
      </c>
      <c r="AX329" s="6">
        <f t="shared" si="209"/>
        <v>0.36533937333881994</v>
      </c>
      <c r="AY329" s="6">
        <f t="shared" si="210"/>
        <v>0.36533937333881994</v>
      </c>
      <c r="BF329" s="40"/>
      <c r="BG329" s="6">
        <f t="shared" si="192"/>
        <v>2.3387411976723897</v>
      </c>
      <c r="BH329" s="9">
        <f t="shared" ca="1" si="193"/>
        <v>46.174715400088672</v>
      </c>
      <c r="BI329" s="9">
        <f t="shared" ca="1" si="194"/>
        <v>273.39646174959137</v>
      </c>
      <c r="BJ329">
        <f t="shared" ca="1" si="195"/>
        <v>277.26833508259642</v>
      </c>
      <c r="BK329" s="6">
        <f t="shared" ca="1" si="196"/>
        <v>0.16653439847840371</v>
      </c>
      <c r="BL329" s="6">
        <f t="shared" ca="1" si="197"/>
        <v>0.98603564546289912</v>
      </c>
      <c r="BM329" s="6">
        <f t="shared" ca="1" si="198"/>
        <v>1.4034823904813027</v>
      </c>
      <c r="BN329" s="6">
        <f t="shared" ca="1" si="199"/>
        <v>-0.51593222951505435</v>
      </c>
      <c r="BO329" s="9">
        <f t="shared" ca="1" si="200"/>
        <v>-33.407481296070742</v>
      </c>
      <c r="BP329" s="9">
        <f t="shared" ca="1" si="201"/>
        <v>217.22079349186117</v>
      </c>
      <c r="BQ329">
        <f t="shared" ca="1" si="202"/>
        <v>219.77473224140465</v>
      </c>
      <c r="BR329">
        <f t="shared" ca="1" si="203"/>
        <v>-0.15200783527459991</v>
      </c>
      <c r="BS329">
        <f t="shared" ca="1" si="204"/>
        <v>0.98837928854014856</v>
      </c>
      <c r="BT329">
        <f t="shared" ca="1" si="205"/>
        <v>1.7233957258063639</v>
      </c>
      <c r="BU329" s="40">
        <f t="shared" ca="1" si="206"/>
        <v>-1.4181969276834292</v>
      </c>
    </row>
    <row r="330" spans="45:73" x14ac:dyDescent="0.25">
      <c r="AS330" s="6">
        <v>2.5830872929515931</v>
      </c>
      <c r="AT330" s="6">
        <v>-171.82082490399637</v>
      </c>
      <c r="AU330" s="6">
        <v>39.805473594515064</v>
      </c>
      <c r="AV330" s="6">
        <f t="shared" si="207"/>
        <v>2.9139401688427378</v>
      </c>
      <c r="AW330" s="6">
        <f t="shared" si="208"/>
        <v>0.33085287589114465</v>
      </c>
      <c r="AX330" s="6">
        <f t="shared" si="209"/>
        <v>0.22765248464705534</v>
      </c>
      <c r="AY330" s="6">
        <f t="shared" si="210"/>
        <v>0.22765248464705534</v>
      </c>
      <c r="BF330" s="40"/>
      <c r="BG330" s="6">
        <f t="shared" si="192"/>
        <v>2.3561944901923328</v>
      </c>
      <c r="BH330" s="9">
        <f t="shared" ca="1" si="193"/>
        <v>45.664562222590511</v>
      </c>
      <c r="BI330" s="9">
        <f t="shared" ca="1" si="194"/>
        <v>272.91660243205592</v>
      </c>
      <c r="BJ330">
        <f t="shared" ca="1" si="195"/>
        <v>276.71054213028771</v>
      </c>
      <c r="BK330" s="6">
        <f t="shared" ca="1" si="196"/>
        <v>0.1650264636505594</v>
      </c>
      <c r="BL330" s="6">
        <f t="shared" ca="1" si="197"/>
        <v>0.98628913929688511</v>
      </c>
      <c r="BM330" s="6">
        <f t="shared" ca="1" si="198"/>
        <v>1.4050114840116221</v>
      </c>
      <c r="BN330" s="6">
        <f t="shared" ca="1" si="199"/>
        <v>-0.51440313598473497</v>
      </c>
      <c r="BO330" s="9">
        <f t="shared" ca="1" si="200"/>
        <v>-33.917634473568903</v>
      </c>
      <c r="BP330" s="9">
        <f t="shared" ca="1" si="201"/>
        <v>216.74093417432573</v>
      </c>
      <c r="BQ330">
        <f t="shared" ca="1" si="202"/>
        <v>219.37875575142189</v>
      </c>
      <c r="BR330">
        <f t="shared" ca="1" si="203"/>
        <v>-0.15460765267536197</v>
      </c>
      <c r="BS330">
        <f t="shared" ca="1" si="204"/>
        <v>0.98797594795329646</v>
      </c>
      <c r="BT330">
        <f t="shared" ca="1" si="205"/>
        <v>1.7260266454438378</v>
      </c>
      <c r="BU330" s="40">
        <f t="shared" ca="1" si="206"/>
        <v>-1.4155660080459553</v>
      </c>
    </row>
    <row r="331" spans="45:73" x14ac:dyDescent="0.25">
      <c r="AS331" s="6">
        <v>2.6005405854715362</v>
      </c>
      <c r="AT331" s="6">
        <v>-185.51937764967059</v>
      </c>
      <c r="AU331" s="6">
        <v>18.34385964748072</v>
      </c>
      <c r="AV331" s="6">
        <f t="shared" si="207"/>
        <v>3.0430346168018847</v>
      </c>
      <c r="AW331" s="6">
        <f t="shared" si="208"/>
        <v>0.44249403133034848</v>
      </c>
      <c r="AX331" s="6">
        <f t="shared" si="209"/>
        <v>9.8558036687908412E-2</v>
      </c>
      <c r="AY331" s="6">
        <f t="shared" si="210"/>
        <v>9.8558036687908412E-2</v>
      </c>
      <c r="BF331" s="40"/>
      <c r="BG331" s="6">
        <f t="shared" si="192"/>
        <v>2.3736477827122759</v>
      </c>
      <c r="BH331" s="9">
        <f t="shared" ca="1" si="193"/>
        <v>43.724557496124916</v>
      </c>
      <c r="BI331" s="9">
        <f t="shared" ca="1" si="194"/>
        <v>270.97189282748877</v>
      </c>
      <c r="BJ331">
        <f t="shared" ca="1" si="195"/>
        <v>274.47696375241401</v>
      </c>
      <c r="BK331" s="6">
        <f t="shared" ca="1" si="196"/>
        <v>0.15930137414215098</v>
      </c>
      <c r="BL331" s="6">
        <f t="shared" ca="1" si="197"/>
        <v>0.98722999964366076</v>
      </c>
      <c r="BM331" s="6">
        <f t="shared" ca="1" si="198"/>
        <v>1.4108133770215481</v>
      </c>
      <c r="BN331" s="6">
        <f t="shared" ca="1" si="199"/>
        <v>-0.50860124297480902</v>
      </c>
      <c r="BO331" s="9">
        <f t="shared" ca="1" si="200"/>
        <v>-35.857639200034498</v>
      </c>
      <c r="BP331" s="9">
        <f t="shared" ca="1" si="201"/>
        <v>214.79622456975858</v>
      </c>
      <c r="BQ331">
        <f t="shared" ca="1" si="202"/>
        <v>217.76865793410678</v>
      </c>
      <c r="BR331">
        <f t="shared" ca="1" si="203"/>
        <v>-0.16465932030900624</v>
      </c>
      <c r="BS331">
        <f t="shared" ca="1" si="204"/>
        <v>0.98635049968830857</v>
      </c>
      <c r="BT331">
        <f t="shared" ca="1" si="205"/>
        <v>1.7362089339908309</v>
      </c>
      <c r="BU331" s="40">
        <f t="shared" ca="1" si="206"/>
        <v>-1.4053837194989622</v>
      </c>
    </row>
    <row r="332" spans="45:73" x14ac:dyDescent="0.25">
      <c r="AS332" s="6">
        <v>2.6179938779914793</v>
      </c>
      <c r="AT332" s="6">
        <v>-199.18151744218187</v>
      </c>
      <c r="AU332" s="6">
        <v>-3.7617562722332991</v>
      </c>
      <c r="AV332" s="6">
        <f t="shared" si="207"/>
        <v>3.1604764795786435</v>
      </c>
      <c r="AW332" s="6">
        <f t="shared" si="208"/>
        <v>0.54248260158716421</v>
      </c>
      <c r="AX332" s="6">
        <f t="shared" si="209"/>
        <v>-1.8883826088850419E-2</v>
      </c>
      <c r="AY332" s="6">
        <f t="shared" si="210"/>
        <v>1.8883826088850419E-2</v>
      </c>
      <c r="BF332" s="40"/>
      <c r="BG332" s="6">
        <f t="shared" si="192"/>
        <v>2.391101075232219</v>
      </c>
      <c r="BH332" s="9">
        <f t="shared" ca="1" si="193"/>
        <v>39.232116684122978</v>
      </c>
      <c r="BI332" s="9">
        <f t="shared" ca="1" si="194"/>
        <v>266.30335265868109</v>
      </c>
      <c r="BJ332">
        <f t="shared" ca="1" si="195"/>
        <v>269.17770081633898</v>
      </c>
      <c r="BK332" s="6">
        <f t="shared" ca="1" si="196"/>
        <v>0.14574801911578555</v>
      </c>
      <c r="BL332" s="6">
        <f t="shared" ca="1" si="197"/>
        <v>0.98932174489587799</v>
      </c>
      <c r="BM332" s="6">
        <f t="shared" ca="1" si="198"/>
        <v>1.4245273034554771</v>
      </c>
      <c r="BN332" s="6">
        <f t="shared" ca="1" si="199"/>
        <v>-0.49488731654088003</v>
      </c>
      <c r="BO332" s="9">
        <f t="shared" ca="1" si="200"/>
        <v>-40.350080012036436</v>
      </c>
      <c r="BP332" s="9">
        <f t="shared" ca="1" si="201"/>
        <v>210.1276844009509</v>
      </c>
      <c r="BQ332">
        <f t="shared" ca="1" si="202"/>
        <v>213.96675608300316</v>
      </c>
      <c r="BR332">
        <f t="shared" ca="1" si="203"/>
        <v>-0.18858107096031129</v>
      </c>
      <c r="BS332">
        <f t="shared" ca="1" si="204"/>
        <v>0.98205762543521957</v>
      </c>
      <c r="BT332">
        <f t="shared" ca="1" si="205"/>
        <v>1.7605134191941572</v>
      </c>
      <c r="BU332" s="40">
        <f t="shared" ca="1" si="206"/>
        <v>-1.3810792342956359</v>
      </c>
    </row>
    <row r="333" spans="45:73" x14ac:dyDescent="0.25">
      <c r="AS333" s="6">
        <v>2.6354471705114224</v>
      </c>
      <c r="AT333" s="6">
        <v>-212.71720157349739</v>
      </c>
      <c r="AU333" s="6">
        <v>-26.358762622665232</v>
      </c>
      <c r="AV333" s="6">
        <f t="shared" si="207"/>
        <v>3.2648787842032387</v>
      </c>
      <c r="AW333" s="6">
        <f t="shared" si="208"/>
        <v>0.62943161369181633</v>
      </c>
      <c r="AX333" s="6">
        <f t="shared" si="209"/>
        <v>-0.12328613071344563</v>
      </c>
      <c r="AY333" s="6">
        <f t="shared" si="210"/>
        <v>0.12328613071344563</v>
      </c>
      <c r="BF333" s="40"/>
      <c r="BG333" s="6">
        <f t="shared" si="192"/>
        <v>2.4085543677521621</v>
      </c>
      <c r="BH333" s="9">
        <f t="shared" ca="1" si="193"/>
        <v>32.698597565466386</v>
      </c>
      <c r="BI333" s="9">
        <f t="shared" ca="1" si="194"/>
        <v>259.28094975417702</v>
      </c>
      <c r="BJ333">
        <f t="shared" ca="1" si="195"/>
        <v>261.33466893655037</v>
      </c>
      <c r="BK333" s="6">
        <f t="shared" ca="1" si="196"/>
        <v>0.12512154509972537</v>
      </c>
      <c r="BL333" s="6">
        <f t="shared" ca="1" si="197"/>
        <v>0.99214142084274326</v>
      </c>
      <c r="BM333" s="6">
        <f t="shared" ca="1" si="198"/>
        <v>1.4453459887356082</v>
      </c>
      <c r="BN333" s="6">
        <f t="shared" ca="1" si="199"/>
        <v>-0.47406863126074894</v>
      </c>
      <c r="BO333" s="9">
        <f t="shared" ca="1" si="200"/>
        <v>-46.883599130693028</v>
      </c>
      <c r="BP333" s="9">
        <f t="shared" ca="1" si="201"/>
        <v>203.10528149644682</v>
      </c>
      <c r="BQ333">
        <f t="shared" ca="1" si="202"/>
        <v>208.44622145579521</v>
      </c>
      <c r="BR333">
        <f t="shared" ca="1" si="203"/>
        <v>-0.22491940032904623</v>
      </c>
      <c r="BS333">
        <f t="shared" ca="1" si="204"/>
        <v>0.97437737214881093</v>
      </c>
      <c r="BT333">
        <f t="shared" ca="1" si="205"/>
        <v>1.7976566430305432</v>
      </c>
      <c r="BU333" s="40">
        <f t="shared" ca="1" si="206"/>
        <v>-1.3439360104592499</v>
      </c>
    </row>
    <row r="334" spans="45:73" x14ac:dyDescent="0.25">
      <c r="AS334" s="6">
        <v>2.6529004630313655</v>
      </c>
      <c r="AT334" s="6">
        <v>-226.02649660825398</v>
      </c>
      <c r="AU334" s="6">
        <v>-49.248166633597421</v>
      </c>
      <c r="AV334" s="6">
        <f t="shared" si="207"/>
        <v>3.3561263252467182</v>
      </c>
      <c r="AW334" s="6">
        <f t="shared" si="208"/>
        <v>0.70322586221535266</v>
      </c>
      <c r="AX334" s="6">
        <f t="shared" si="209"/>
        <v>-0.21453367175692506</v>
      </c>
      <c r="AY334" s="6">
        <f t="shared" si="210"/>
        <v>0.21453367175692506</v>
      </c>
      <c r="BF334" s="40"/>
      <c r="BG334" s="6">
        <f t="shared" si="192"/>
        <v>2.4260076602721052</v>
      </c>
      <c r="BH334" s="9">
        <f t="shared" ca="1" si="193"/>
        <v>24.493001731698321</v>
      </c>
      <c r="BI334" s="9">
        <f t="shared" ca="1" si="194"/>
        <v>250.16638514212357</v>
      </c>
      <c r="BJ334">
        <f t="shared" ca="1" si="195"/>
        <v>251.36254173783789</v>
      </c>
      <c r="BK334" s="6">
        <f t="shared" ca="1" si="196"/>
        <v>9.7440937549253634E-2</v>
      </c>
      <c r="BL334" s="6">
        <f t="shared" ca="1" si="197"/>
        <v>0.99524130927605803</v>
      </c>
      <c r="BM334" s="6">
        <f t="shared" ca="1" si="198"/>
        <v>1.4732005306740124</v>
      </c>
      <c r="BN334" s="6">
        <f t="shared" ca="1" si="199"/>
        <v>-0.44621408932234474</v>
      </c>
      <c r="BO334" s="9">
        <f t="shared" ca="1" si="200"/>
        <v>-55.089194964461093</v>
      </c>
      <c r="BP334" s="9">
        <f t="shared" ca="1" si="201"/>
        <v>193.99071688439338</v>
      </c>
      <c r="BQ334">
        <f t="shared" ca="1" si="202"/>
        <v>201.6611455862365</v>
      </c>
      <c r="BR334">
        <f t="shared" ca="1" si="203"/>
        <v>-0.27317704064565707</v>
      </c>
      <c r="BS334">
        <f t="shared" ca="1" si="204"/>
        <v>0.96196377502693986</v>
      </c>
      <c r="BT334">
        <f t="shared" ca="1" si="205"/>
        <v>1.8474904783648967</v>
      </c>
      <c r="BU334" s="40">
        <f t="shared" ca="1" si="206"/>
        <v>-1.2941021751248964</v>
      </c>
    </row>
    <row r="335" spans="45:73" x14ac:dyDescent="0.25">
      <c r="AS335" s="6">
        <v>2.6703537555513086</v>
      </c>
      <c r="AT335" s="6">
        <v>-238.99416657239624</v>
      </c>
      <c r="AU335" s="6">
        <v>-72.163697154938546</v>
      </c>
      <c r="AV335" s="6">
        <f t="shared" si="207"/>
        <v>3.434835209419739</v>
      </c>
      <c r="AW335" s="6">
        <f t="shared" si="208"/>
        <v>0.76448145386843036</v>
      </c>
      <c r="AX335" s="6">
        <f t="shared" si="209"/>
        <v>-0.29324255592994586</v>
      </c>
      <c r="AY335" s="6">
        <f t="shared" si="210"/>
        <v>0.29324255592994586</v>
      </c>
      <c r="BF335" s="40"/>
      <c r="BG335" s="6">
        <f t="shared" si="192"/>
        <v>2.4434609527920483</v>
      </c>
      <c r="BH335" s="9">
        <f t="shared" ca="1" si="193"/>
        <v>14.886371475669392</v>
      </c>
      <c r="BI335" s="9">
        <f t="shared" ca="1" si="194"/>
        <v>239.1455200624944</v>
      </c>
      <c r="BJ335">
        <f t="shared" ca="1" si="195"/>
        <v>239.60839680961209</v>
      </c>
      <c r="BK335" s="6">
        <f t="shared" ca="1" si="196"/>
        <v>6.212792069844613E-2</v>
      </c>
      <c r="BL335" s="6">
        <f t="shared" ca="1" si="197"/>
        <v>0.99806819479917697</v>
      </c>
      <c r="BM335" s="6">
        <f t="shared" ca="1" si="198"/>
        <v>1.5086283688102731</v>
      </c>
      <c r="BN335" s="6">
        <f t="shared" ca="1" si="199"/>
        <v>-0.41078625118608403</v>
      </c>
      <c r="BO335" s="9">
        <f t="shared" ca="1" si="200"/>
        <v>-64.695825220490022</v>
      </c>
      <c r="BP335" s="9">
        <f t="shared" ca="1" si="201"/>
        <v>182.9698518047642</v>
      </c>
      <c r="BQ335">
        <f t="shared" ca="1" si="202"/>
        <v>194.07090578038114</v>
      </c>
      <c r="BR335">
        <f t="shared" ca="1" si="203"/>
        <v>-0.33336179351737844</v>
      </c>
      <c r="BS335">
        <f t="shared" ca="1" si="204"/>
        <v>0.94279897890423947</v>
      </c>
      <c r="BT335">
        <f t="shared" ca="1" si="205"/>
        <v>1.9106634229938071</v>
      </c>
      <c r="BU335" s="40">
        <f t="shared" ca="1" si="206"/>
        <v>-1.230929230495986</v>
      </c>
    </row>
    <row r="336" spans="45:73" x14ac:dyDescent="0.25">
      <c r="AS336" s="6">
        <v>2.6878070480712517</v>
      </c>
      <c r="AT336" s="6">
        <v>-251.23188850360918</v>
      </c>
      <c r="AU336" s="6">
        <v>-94.294184231089801</v>
      </c>
      <c r="AV336" s="6">
        <f t="shared" si="207"/>
        <v>3.5006502334057137</v>
      </c>
      <c r="AW336" s="6">
        <f t="shared" si="208"/>
        <v>0.81284318533446198</v>
      </c>
      <c r="AX336" s="6">
        <f t="shared" si="209"/>
        <v>-0.35905757991592058</v>
      </c>
      <c r="AY336" s="6">
        <f t="shared" si="210"/>
        <v>0.35905757991592058</v>
      </c>
      <c r="BF336" s="40"/>
      <c r="BG336" s="6">
        <f t="shared" ref="BG336:BG348" si="211">AS323</f>
        <v>2.4609142453119914</v>
      </c>
      <c r="BH336" s="9">
        <f t="shared" ref="BH336:BH375" ca="1" si="212">AT323-$BG$5</f>
        <v>4.0788766093052686</v>
      </c>
      <c r="BI336" s="9">
        <f t="shared" ref="BI336:BI375" ca="1" si="213">AU323-$BH$5</f>
        <v>226.34787722056063</v>
      </c>
      <c r="BJ336">
        <f t="shared" ref="BJ336:BJ375" ca="1" si="214">SQRT(POWER(BH336,2)+POWER(BI336,2))</f>
        <v>226.38462570733006</v>
      </c>
      <c r="BK336" s="6">
        <f t="shared" ref="BK336:BK375" ca="1" si="215">BH336/BJ336</f>
        <v>1.8017462964019643E-2</v>
      </c>
      <c r="BL336" s="6">
        <f t="shared" ref="BL336:BL375" ca="1" si="216">BI336/BJ336</f>
        <v>0.99983767233903531</v>
      </c>
      <c r="BM336" s="6">
        <f t="shared" ref="BM336:BM375" ca="1" si="217">ATAN2(BK336,BL336)</f>
        <v>1.5527778888566974</v>
      </c>
      <c r="BN336" s="6">
        <f t="shared" ref="BN336:BN375" ca="1" si="218">BM336-$BJ$11</f>
        <v>-0.36663673113965967</v>
      </c>
      <c r="BO336" s="9">
        <f t="shared" ref="BO336:BO375" ca="1" si="219">BH336+$BG$5</f>
        <v>-75.503320086854146</v>
      </c>
      <c r="BP336" s="9">
        <f t="shared" ref="BP336:BP375" ca="1" si="220">BI336+$BH$5</f>
        <v>170.17220896283044</v>
      </c>
      <c r="BQ336">
        <f t="shared" ref="BQ336:BQ375" ca="1" si="221">SQRT(POWER(BO336,2)+POWER(BP336,2))</f>
        <v>186.17016959606386</v>
      </c>
      <c r="BR336">
        <f t="shared" ref="BR336:BR375" ca="1" si="222">BO336/BQ336</f>
        <v>-0.40556078479530211</v>
      </c>
      <c r="BS336">
        <f t="shared" ref="BS336:BS375" ca="1" si="223">BP336/BQ336</f>
        <v>0.91406807724382255</v>
      </c>
      <c r="BT336">
        <f t="shared" ref="BT336:BT375" ca="1" si="224">ATAN2(BR336,BS336)</f>
        <v>1.9883885783852489</v>
      </c>
      <c r="BU336" s="40">
        <f t="shared" ref="BU336:BU375" ca="1" si="225">BT336-$U$13</f>
        <v>-1.1532040751045443</v>
      </c>
    </row>
    <row r="337" spans="45:73" x14ac:dyDescent="0.25">
      <c r="AS337" s="6">
        <v>2.7052603405911948</v>
      </c>
      <c r="AT337" s="6">
        <v>-262.26326160279314</v>
      </c>
      <c r="AU337" s="6">
        <v>-114.57268144241476</v>
      </c>
      <c r="AV337" s="6">
        <f t="shared" si="207"/>
        <v>3.5534669188340673</v>
      </c>
      <c r="AW337" s="6">
        <f t="shared" si="208"/>
        <v>0.84820657824287249</v>
      </c>
      <c r="AX337" s="6">
        <f t="shared" si="209"/>
        <v>-0.41187426534427418</v>
      </c>
      <c r="AY337" s="6">
        <f t="shared" si="210"/>
        <v>0.41187426534427418</v>
      </c>
      <c r="BF337" s="40"/>
      <c r="BG337" s="6">
        <f t="shared" si="211"/>
        <v>2.4783675378319345</v>
      </c>
      <c r="BH337" s="9">
        <f t="shared" ca="1" si="212"/>
        <v>-7.7834143645514615</v>
      </c>
      <c r="BI337" s="9">
        <f t="shared" ca="1" si="213"/>
        <v>211.85822043349589</v>
      </c>
      <c r="BJ337">
        <f t="shared" ca="1" si="214"/>
        <v>212.00114882806187</v>
      </c>
      <c r="BK337" s="6">
        <f t="shared" ca="1" si="215"/>
        <v>-3.6714019747430715E-2</v>
      </c>
      <c r="BL337" s="6">
        <f t="shared" ca="1" si="216"/>
        <v>0.99932581311301338</v>
      </c>
      <c r="BM337" s="6">
        <f t="shared" ca="1" si="217"/>
        <v>1.6075185994715375</v>
      </c>
      <c r="BN337" s="6">
        <f t="shared" ca="1" si="218"/>
        <v>-0.31189602052481957</v>
      </c>
      <c r="BO337" s="9">
        <f t="shared" ca="1" si="219"/>
        <v>-87.365611060710876</v>
      </c>
      <c r="BP337" s="9">
        <f t="shared" ca="1" si="220"/>
        <v>155.68255217576569</v>
      </c>
      <c r="BQ337">
        <f t="shared" ca="1" si="221"/>
        <v>178.52116694658764</v>
      </c>
      <c r="BR337">
        <f t="shared" ca="1" si="222"/>
        <v>-0.48938516678445249</v>
      </c>
      <c r="BS337">
        <f t="shared" ca="1" si="223"/>
        <v>0.87206774881963933</v>
      </c>
      <c r="BT337">
        <f t="shared" ca="1" si="224"/>
        <v>2.0821809109575726</v>
      </c>
      <c r="BU337" s="40">
        <f t="shared" ca="1" si="225"/>
        <v>-1.0594117425322205</v>
      </c>
    </row>
    <row r="338" spans="45:73" x14ac:dyDescent="0.25">
      <c r="AS338" s="6">
        <v>2.7227136331111379</v>
      </c>
      <c r="AT338" s="6">
        <v>-272.04129055524061</v>
      </c>
      <c r="AU338" s="6">
        <v>-132.59621395083377</v>
      </c>
      <c r="AV338" s="6">
        <f t="shared" si="207"/>
        <v>3.5951193176889551</v>
      </c>
      <c r="AW338" s="6">
        <f t="shared" si="208"/>
        <v>0.8724056845778172</v>
      </c>
      <c r="AX338" s="6">
        <f t="shared" si="209"/>
        <v>-0.45352666419916199</v>
      </c>
      <c r="AY338" s="6">
        <f t="shared" si="210"/>
        <v>0.45352666419916199</v>
      </c>
      <c r="BF338" s="40"/>
      <c r="BG338" s="6">
        <f t="shared" si="211"/>
        <v>2.4958208303518776</v>
      </c>
      <c r="BH338" s="9">
        <f t="shared" ca="1" si="212"/>
        <v>-20.598118731125254</v>
      </c>
      <c r="BI338" s="9">
        <f t="shared" ca="1" si="213"/>
        <v>195.72310257844799</v>
      </c>
      <c r="BJ338">
        <f t="shared" ca="1" si="214"/>
        <v>196.80400244455194</v>
      </c>
      <c r="BK338" s="6">
        <f t="shared" ca="1" si="215"/>
        <v>-0.10466310885587106</v>
      </c>
      <c r="BL338" s="6">
        <f t="shared" ca="1" si="216"/>
        <v>0.99450773433122386</v>
      </c>
      <c r="BM338" s="6">
        <f t="shared" ca="1" si="217"/>
        <v>1.675651470132008</v>
      </c>
      <c r="BN338" s="6">
        <f t="shared" ca="1" si="218"/>
        <v>-0.2437631498643491</v>
      </c>
      <c r="BO338" s="9">
        <f t="shared" ca="1" si="219"/>
        <v>-100.18031542728467</v>
      </c>
      <c r="BP338" s="9">
        <f t="shared" ca="1" si="220"/>
        <v>139.5474343207178</v>
      </c>
      <c r="BQ338">
        <f t="shared" ca="1" si="221"/>
        <v>171.78353246049312</v>
      </c>
      <c r="BR338">
        <f t="shared" ca="1" si="222"/>
        <v>-0.58317764218944679</v>
      </c>
      <c r="BS338">
        <f t="shared" ca="1" si="223"/>
        <v>0.81234465447269222</v>
      </c>
      <c r="BT338">
        <f t="shared" ca="1" si="224"/>
        <v>2.1934312425059157</v>
      </c>
      <c r="BU338" s="40">
        <f t="shared" ca="1" si="225"/>
        <v>-0.94816141098387741</v>
      </c>
    </row>
    <row r="339" spans="45:73" x14ac:dyDescent="0.25">
      <c r="AS339" s="6">
        <v>2.740166925631081</v>
      </c>
      <c r="AT339" s="6">
        <v>-280.48520780606702</v>
      </c>
      <c r="AU339" s="6">
        <v>-147.76712094402552</v>
      </c>
      <c r="AV339" s="6">
        <f t="shared" si="207"/>
        <v>3.626470650744182</v>
      </c>
      <c r="AW339" s="6">
        <f t="shared" si="208"/>
        <v>0.88630372511310096</v>
      </c>
      <c r="AX339" s="6">
        <f t="shared" si="209"/>
        <v>-0.48487799725438885</v>
      </c>
      <c r="AY339" s="6">
        <f t="shared" si="210"/>
        <v>0.48487799725438885</v>
      </c>
      <c r="BF339" s="40"/>
      <c r="BG339" s="6">
        <f t="shared" si="211"/>
        <v>2.5132741228718207</v>
      </c>
      <c r="BH339" s="9">
        <f t="shared" ca="1" si="212"/>
        <v>-34.300389705640299</v>
      </c>
      <c r="BI339" s="9">
        <f t="shared" ca="1" si="213"/>
        <v>177.95382155430983</v>
      </c>
      <c r="BJ339">
        <f t="shared" ca="1" si="214"/>
        <v>181.22935562359081</v>
      </c>
      <c r="BK339" s="6">
        <f t="shared" ca="1" si="215"/>
        <v>-0.18926508670527648</v>
      </c>
      <c r="BL339" s="6">
        <f t="shared" ca="1" si="216"/>
        <v>0.98192602926821526</v>
      </c>
      <c r="BM339" s="6">
        <f t="shared" ca="1" si="217"/>
        <v>1.7612099786748538</v>
      </c>
      <c r="BN339" s="6">
        <f t="shared" ca="1" si="218"/>
        <v>-0.15820464132150325</v>
      </c>
      <c r="BO339" s="9">
        <f t="shared" ca="1" si="219"/>
        <v>-113.88258640179971</v>
      </c>
      <c r="BP339" s="9">
        <f t="shared" ca="1" si="220"/>
        <v>121.77815329657963</v>
      </c>
      <c r="BQ339">
        <f t="shared" ca="1" si="221"/>
        <v>166.73080730893324</v>
      </c>
      <c r="BR339">
        <f t="shared" ca="1" si="222"/>
        <v>-0.68303265749075526</v>
      </c>
      <c r="BS339">
        <f t="shared" ca="1" si="223"/>
        <v>0.73038783451062261</v>
      </c>
      <c r="BT339">
        <f t="shared" ca="1" si="224"/>
        <v>2.3227030626616059</v>
      </c>
      <c r="BU339" s="40">
        <f t="shared" ca="1" si="225"/>
        <v>-0.81888959082818724</v>
      </c>
    </row>
    <row r="340" spans="45:73" x14ac:dyDescent="0.25">
      <c r="AS340" s="6">
        <v>2.7576202181510241</v>
      </c>
      <c r="AT340" s="6">
        <v>-282.66123587402092</v>
      </c>
      <c r="AU340" s="6">
        <v>-152.09519623416543</v>
      </c>
      <c r="AV340" s="6">
        <f t="shared" si="207"/>
        <v>3.6352404958157893</v>
      </c>
      <c r="AW340" s="6">
        <f t="shared" si="208"/>
        <v>0.87762027766476525</v>
      </c>
      <c r="AX340" s="6">
        <f t="shared" si="209"/>
        <v>-0.49364784232599623</v>
      </c>
      <c r="AY340" s="6">
        <f t="shared" si="210"/>
        <v>0.49364784232599623</v>
      </c>
      <c r="BF340" s="40"/>
      <c r="BG340" s="6">
        <f t="shared" si="211"/>
        <v>2.5307274153917638</v>
      </c>
      <c r="BH340" s="9">
        <f t="shared" ca="1" si="212"/>
        <v>-48.859925747714172</v>
      </c>
      <c r="BI340" s="9">
        <f t="shared" ca="1" si="213"/>
        <v>158.52642531456726</v>
      </c>
      <c r="BJ340">
        <f t="shared" ca="1" si="214"/>
        <v>165.88526115085455</v>
      </c>
      <c r="BK340" s="6">
        <f t="shared" ca="1" si="215"/>
        <v>-0.29454048785733533</v>
      </c>
      <c r="BL340" s="6">
        <f t="shared" ca="1" si="216"/>
        <v>0.95563900140835767</v>
      </c>
      <c r="BM340" s="6">
        <f t="shared" ca="1" si="217"/>
        <v>1.8697709670003615</v>
      </c>
      <c r="BN340" s="6">
        <f t="shared" ca="1" si="218"/>
        <v>-4.9643652995995602E-2</v>
      </c>
      <c r="BO340" s="9">
        <f t="shared" ca="1" si="219"/>
        <v>-128.44212244387359</v>
      </c>
      <c r="BP340" s="9">
        <f t="shared" ca="1" si="220"/>
        <v>102.35075705683707</v>
      </c>
      <c r="BQ340">
        <f t="shared" ca="1" si="221"/>
        <v>164.23475968257966</v>
      </c>
      <c r="BR340">
        <f t="shared" ca="1" si="222"/>
        <v>-0.78206417869223699</v>
      </c>
      <c r="BS340">
        <f t="shared" ca="1" si="223"/>
        <v>0.62319789826862937</v>
      </c>
      <c r="BT340">
        <f t="shared" ca="1" si="224"/>
        <v>2.4687675309685351</v>
      </c>
      <c r="BU340" s="40">
        <f t="shared" ca="1" si="225"/>
        <v>-0.67282512252125803</v>
      </c>
    </row>
    <row r="341" spans="45:73" x14ac:dyDescent="0.25">
      <c r="AS341" s="6">
        <v>2.7750735106709672</v>
      </c>
      <c r="AT341" s="6">
        <v>-283.02581025348712</v>
      </c>
      <c r="AU341" s="6">
        <v>-153.02064079187357</v>
      </c>
      <c r="AV341" s="6">
        <f t="shared" si="207"/>
        <v>3.637236513767923</v>
      </c>
      <c r="AW341" s="6">
        <f t="shared" si="208"/>
        <v>0.86216300309695582</v>
      </c>
      <c r="AX341" s="6">
        <f t="shared" si="209"/>
        <v>-0.4956438602781299</v>
      </c>
      <c r="AY341" s="6">
        <f t="shared" si="210"/>
        <v>0.4956438602781299</v>
      </c>
      <c r="BF341" s="40"/>
      <c r="BG341" s="6">
        <f t="shared" si="211"/>
        <v>2.5481807079117069</v>
      </c>
      <c r="BH341" s="9">
        <f t="shared" ca="1" si="212"/>
        <v>-64.280597569201902</v>
      </c>
      <c r="BI341" s="9">
        <f t="shared" ca="1" si="213"/>
        <v>137.37889777773952</v>
      </c>
      <c r="BJ341">
        <f t="shared" ca="1" si="214"/>
        <v>151.67385001535465</v>
      </c>
      <c r="BK341" s="6">
        <f t="shared" ca="1" si="215"/>
        <v>-0.42380804313132736</v>
      </c>
      <c r="BL341" s="6">
        <f t="shared" ca="1" si="216"/>
        <v>0.90575203150597172</v>
      </c>
      <c r="BM341" s="6">
        <f t="shared" ca="1" si="217"/>
        <v>2.0084418207464223</v>
      </c>
      <c r="BN341" s="6">
        <f t="shared" ca="1" si="218"/>
        <v>8.9027200750065205E-2</v>
      </c>
      <c r="BO341" s="9">
        <f t="shared" ca="1" si="219"/>
        <v>-143.86279426536132</v>
      </c>
      <c r="BP341" s="9">
        <f t="shared" ca="1" si="220"/>
        <v>81.20322952000933</v>
      </c>
      <c r="BQ341">
        <f t="shared" ca="1" si="221"/>
        <v>165.19826893256777</v>
      </c>
      <c r="BR341">
        <f t="shared" ca="1" si="222"/>
        <v>-0.87084928428689912</v>
      </c>
      <c r="BS341">
        <f t="shared" ca="1" si="223"/>
        <v>0.49155012364660827</v>
      </c>
      <c r="BT341">
        <f t="shared" ca="1" si="224"/>
        <v>2.627723779346089</v>
      </c>
      <c r="BU341" s="40">
        <f t="shared" ca="1" si="225"/>
        <v>-0.51386887414370408</v>
      </c>
    </row>
    <row r="342" spans="45:73" x14ac:dyDescent="0.25">
      <c r="AS342" s="6">
        <v>2.7925268031909103</v>
      </c>
      <c r="AT342" s="6">
        <v>-283.36724350607631</v>
      </c>
      <c r="AU342" s="6">
        <v>-153.93376624718044</v>
      </c>
      <c r="AV342" s="6">
        <f t="shared" si="207"/>
        <v>3.6392238001105537</v>
      </c>
      <c r="AW342" s="6">
        <f t="shared" si="208"/>
        <v>0.8466969969196434</v>
      </c>
      <c r="AX342" s="6">
        <f t="shared" si="209"/>
        <v>-0.49763114662076058</v>
      </c>
      <c r="AY342" s="6">
        <f t="shared" si="210"/>
        <v>0.49763114662076058</v>
      </c>
      <c r="BF342" s="40"/>
      <c r="BG342" s="6">
        <f t="shared" si="211"/>
        <v>2.56563400043165</v>
      </c>
      <c r="BH342" s="9">
        <f t="shared" ca="1" si="212"/>
        <v>-78.588245728905932</v>
      </c>
      <c r="BI342" s="9">
        <f t="shared" ca="1" si="213"/>
        <v>116.67760817200791</v>
      </c>
      <c r="BJ342">
        <f t="shared" ca="1" si="214"/>
        <v>140.67614088923361</v>
      </c>
      <c r="BK342" s="6">
        <f t="shared" ca="1" si="215"/>
        <v>-0.55864658521436983</v>
      </c>
      <c r="BL342" s="6">
        <f t="shared" ca="1" si="216"/>
        <v>0.82940580708620804</v>
      </c>
      <c r="BM342" s="6">
        <f t="shared" ca="1" si="217"/>
        <v>2.1635494399275559</v>
      </c>
      <c r="BN342" s="6">
        <f t="shared" ca="1" si="218"/>
        <v>0.24413481993119879</v>
      </c>
      <c r="BO342" s="9">
        <f t="shared" ca="1" si="219"/>
        <v>-158.17044242506535</v>
      </c>
      <c r="BP342" s="9">
        <f t="shared" ca="1" si="220"/>
        <v>60.501939914277713</v>
      </c>
      <c r="BQ342">
        <f t="shared" ca="1" si="221"/>
        <v>169.34690310227637</v>
      </c>
      <c r="BR342">
        <f t="shared" ca="1" si="222"/>
        <v>-0.93400256826390826</v>
      </c>
      <c r="BS342">
        <f t="shared" ca="1" si="223"/>
        <v>0.35726629070823818</v>
      </c>
      <c r="BT342">
        <f t="shared" ca="1" si="224"/>
        <v>2.7762532801509732</v>
      </c>
      <c r="BU342" s="40">
        <f t="shared" ca="1" si="225"/>
        <v>-0.36533937333881994</v>
      </c>
    </row>
    <row r="343" spans="45:73" x14ac:dyDescent="0.25">
      <c r="AS343" s="6">
        <v>2.8099800957108534</v>
      </c>
      <c r="AT343" s="6">
        <v>-283.686542861801</v>
      </c>
      <c r="AU343" s="6">
        <v>-154.83536255000354</v>
      </c>
      <c r="AV343" s="6">
        <f t="shared" si="207"/>
        <v>3.64120353477341</v>
      </c>
      <c r="AW343" s="6">
        <f t="shared" si="208"/>
        <v>0.83122343906255658</v>
      </c>
      <c r="AX343" s="6">
        <f t="shared" si="209"/>
        <v>-0.49961088128361686</v>
      </c>
      <c r="AY343" s="6">
        <f t="shared" si="210"/>
        <v>0.49961088128361686</v>
      </c>
      <c r="BF343" s="40"/>
      <c r="BG343" s="6">
        <f t="shared" si="211"/>
        <v>2.5830872929515931</v>
      </c>
      <c r="BH343" s="9">
        <f t="shared" ca="1" si="212"/>
        <v>-92.238628207836953</v>
      </c>
      <c r="BI343" s="9">
        <f t="shared" ca="1" si="213"/>
        <v>95.981141852245258</v>
      </c>
      <c r="BJ343">
        <f t="shared" ca="1" si="214"/>
        <v>133.11778290267759</v>
      </c>
      <c r="BK343" s="6">
        <f t="shared" ca="1" si="215"/>
        <v>-0.69290988924652253</v>
      </c>
      <c r="BL343" s="6">
        <f t="shared" ca="1" si="216"/>
        <v>0.72102419195500778</v>
      </c>
      <c r="BM343" s="6">
        <f t="shared" ca="1" si="217"/>
        <v>2.3363133664256046</v>
      </c>
      <c r="BN343" s="6">
        <f t="shared" ca="1" si="218"/>
        <v>0.41689874642924751</v>
      </c>
      <c r="BO343" s="9">
        <f t="shared" ca="1" si="219"/>
        <v>-171.82082490399637</v>
      </c>
      <c r="BP343" s="9">
        <f t="shared" ca="1" si="220"/>
        <v>39.805473594515064</v>
      </c>
      <c r="BQ343">
        <f t="shared" ca="1" si="221"/>
        <v>176.37140244034296</v>
      </c>
      <c r="BR343">
        <f t="shared" ca="1" si="222"/>
        <v>-0.97419889237493695</v>
      </c>
      <c r="BS343">
        <f t="shared" ca="1" si="223"/>
        <v>0.22569120074882396</v>
      </c>
      <c r="BT343">
        <f t="shared" ca="1" si="224"/>
        <v>2.9139401688427378</v>
      </c>
      <c r="BU343" s="40">
        <f t="shared" ca="1" si="225"/>
        <v>-0.22765248464705534</v>
      </c>
    </row>
    <row r="344" spans="45:73" x14ac:dyDescent="0.25">
      <c r="AS344" s="6">
        <v>2.8274333882307965</v>
      </c>
      <c r="AT344" s="6">
        <v>-283.98463344492495</v>
      </c>
      <c r="AU344" s="6">
        <v>-155.72618594290867</v>
      </c>
      <c r="AV344" s="6">
        <f t="shared" si="207"/>
        <v>3.6431768835771403</v>
      </c>
      <c r="AW344" s="6">
        <f t="shared" si="208"/>
        <v>0.81574349534634383</v>
      </c>
      <c r="AX344" s="6">
        <f t="shared" si="209"/>
        <v>-0.5015842300873472</v>
      </c>
      <c r="AY344" s="6">
        <f t="shared" si="210"/>
        <v>0.5015842300873472</v>
      </c>
      <c r="BF344" s="40"/>
      <c r="BG344" s="6">
        <f t="shared" si="211"/>
        <v>2.6005405854715362</v>
      </c>
      <c r="BH344" s="9">
        <f t="shared" ca="1" si="212"/>
        <v>-105.93718095351117</v>
      </c>
      <c r="BI344" s="9">
        <f t="shared" ca="1" si="213"/>
        <v>74.519527905210907</v>
      </c>
      <c r="BJ344">
        <f t="shared" ca="1" si="214"/>
        <v>129.52160571731838</v>
      </c>
      <c r="BK344" s="6">
        <f t="shared" ca="1" si="215"/>
        <v>-0.81791126945043946</v>
      </c>
      <c r="BL344" s="6">
        <f t="shared" ca="1" si="216"/>
        <v>0.57534437974657437</v>
      </c>
      <c r="BM344" s="6">
        <f t="shared" ca="1" si="217"/>
        <v>2.5285675200555611</v>
      </c>
      <c r="BN344" s="6">
        <f t="shared" ca="1" si="218"/>
        <v>0.60915290005920397</v>
      </c>
      <c r="BO344" s="9">
        <f t="shared" ca="1" si="219"/>
        <v>-185.51937764967059</v>
      </c>
      <c r="BP344" s="9">
        <f t="shared" ca="1" si="220"/>
        <v>18.343859647480713</v>
      </c>
      <c r="BQ344">
        <f t="shared" ca="1" si="221"/>
        <v>186.42407749614202</v>
      </c>
      <c r="BR344">
        <f t="shared" ca="1" si="222"/>
        <v>-0.99514708690732212</v>
      </c>
      <c r="BS344">
        <f t="shared" ca="1" si="223"/>
        <v>9.8398553952132775E-2</v>
      </c>
      <c r="BT344">
        <f t="shared" ca="1" si="224"/>
        <v>3.0430346168018847</v>
      </c>
      <c r="BU344" s="40">
        <f t="shared" ca="1" si="225"/>
        <v>-9.8558036687908412E-2</v>
      </c>
    </row>
    <row r="345" spans="45:73" x14ac:dyDescent="0.25">
      <c r="AS345" s="6">
        <v>2.8448866807507396</v>
      </c>
      <c r="AT345" s="6">
        <v>-284.26236423799389</v>
      </c>
      <c r="AU345" s="6">
        <v>-156.60696172104667</v>
      </c>
      <c r="AV345" s="6">
        <f t="shared" si="207"/>
        <v>3.6451450007100732</v>
      </c>
      <c r="AW345" s="6">
        <f t="shared" si="208"/>
        <v>0.80025831995933361</v>
      </c>
      <c r="AX345" s="6">
        <f t="shared" si="209"/>
        <v>-0.50355234722028008</v>
      </c>
      <c r="AY345" s="6">
        <f t="shared" si="210"/>
        <v>0.50355234722028008</v>
      </c>
      <c r="BF345" s="40"/>
      <c r="BG345" s="6">
        <f t="shared" si="211"/>
        <v>2.6179938779914793</v>
      </c>
      <c r="BH345" s="9">
        <f t="shared" ca="1" si="212"/>
        <v>-119.59932074602246</v>
      </c>
      <c r="BI345" s="9">
        <f t="shared" ca="1" si="213"/>
        <v>52.413911985496895</v>
      </c>
      <c r="BJ345">
        <f t="shared" ca="1" si="214"/>
        <v>130.58030361633172</v>
      </c>
      <c r="BK345" s="6">
        <f t="shared" ca="1" si="215"/>
        <v>-0.91590628474434133</v>
      </c>
      <c r="BL345" s="6">
        <f t="shared" ca="1" si="216"/>
        <v>0.40139217427077167</v>
      </c>
      <c r="BM345" s="6">
        <f t="shared" ca="1" si="217"/>
        <v>2.7285563164435844</v>
      </c>
      <c r="BN345" s="6">
        <f t="shared" ca="1" si="218"/>
        <v>0.80914169644722733</v>
      </c>
      <c r="BO345" s="9">
        <f t="shared" ca="1" si="219"/>
        <v>-199.18151744218187</v>
      </c>
      <c r="BP345" s="9">
        <f t="shared" ca="1" si="220"/>
        <v>-3.7617562722332991</v>
      </c>
      <c r="BQ345">
        <f t="shared" ca="1" si="221"/>
        <v>199.21703667312667</v>
      </c>
      <c r="BR345">
        <f t="shared" ca="1" si="222"/>
        <v>-0.99982170585639685</v>
      </c>
      <c r="BS345">
        <f t="shared" ca="1" si="223"/>
        <v>-1.8882703683649062E-2</v>
      </c>
      <c r="BT345">
        <f t="shared" ca="1" si="224"/>
        <v>-3.1227088276009427</v>
      </c>
      <c r="BU345" s="40">
        <f t="shared" ca="1" si="225"/>
        <v>-6.2643014810907358</v>
      </c>
    </row>
    <row r="346" spans="45:73" x14ac:dyDescent="0.25">
      <c r="AS346" s="6">
        <v>2.8623399732706827</v>
      </c>
      <c r="AT346" s="6">
        <v>-284.52051348354792</v>
      </c>
      <c r="AU346" s="6">
        <v>-157.47838679366984</v>
      </c>
      <c r="AV346" s="6">
        <f t="shared" si="207"/>
        <v>3.6471090311199066</v>
      </c>
      <c r="AW346" s="6">
        <f t="shared" si="208"/>
        <v>0.78476905784922391</v>
      </c>
      <c r="AX346" s="6">
        <f t="shared" si="209"/>
        <v>-0.50551637763011348</v>
      </c>
      <c r="AY346" s="6">
        <f t="shared" si="210"/>
        <v>0.50551637763011348</v>
      </c>
      <c r="BF346" s="40"/>
      <c r="BG346" s="6">
        <f t="shared" si="211"/>
        <v>2.6354471705114224</v>
      </c>
      <c r="BH346" s="9">
        <f t="shared" ca="1" si="212"/>
        <v>-133.13500487733796</v>
      </c>
      <c r="BI346" s="9">
        <f t="shared" ca="1" si="213"/>
        <v>29.816905635064963</v>
      </c>
      <c r="BJ346">
        <f t="shared" ca="1" si="214"/>
        <v>136.43305092732908</v>
      </c>
      <c r="BK346" s="6">
        <f t="shared" ca="1" si="215"/>
        <v>-0.97582663418010185</v>
      </c>
      <c r="BL346" s="6">
        <f t="shared" ca="1" si="216"/>
        <v>0.21854605927523316</v>
      </c>
      <c r="BM346" s="6">
        <f t="shared" ca="1" si="217"/>
        <v>2.9212683903455523</v>
      </c>
      <c r="BN346" s="6">
        <f t="shared" ca="1" si="218"/>
        <v>1.0018537703491952</v>
      </c>
      <c r="BO346" s="9">
        <f t="shared" ca="1" si="219"/>
        <v>-212.71720157349739</v>
      </c>
      <c r="BP346" s="9">
        <f t="shared" ca="1" si="220"/>
        <v>-26.358762622665232</v>
      </c>
      <c r="BQ346">
        <f t="shared" ca="1" si="221"/>
        <v>214.344097684676</v>
      </c>
      <c r="BR346">
        <f t="shared" ca="1" si="222"/>
        <v>-0.99240988611885195</v>
      </c>
      <c r="BS346">
        <f t="shared" ca="1" si="223"/>
        <v>-0.12297405390393303</v>
      </c>
      <c r="BT346">
        <f t="shared" ca="1" si="224"/>
        <v>-3.0183065229763475</v>
      </c>
      <c r="BU346" s="40">
        <f t="shared" ca="1" si="225"/>
        <v>-6.1598991764661406</v>
      </c>
    </row>
    <row r="347" spans="45:73" x14ac:dyDescent="0.25">
      <c r="AS347" s="6">
        <v>2.8797932657906258</v>
      </c>
      <c r="AT347" s="6">
        <v>-284.75979354361169</v>
      </c>
      <c r="AU347" s="6">
        <v>-158.34113206741057</v>
      </c>
      <c r="AV347" s="6">
        <f t="shared" si="207"/>
        <v>3.6490701128870979</v>
      </c>
      <c r="AW347" s="6">
        <f t="shared" si="208"/>
        <v>0.76927684709647215</v>
      </c>
      <c r="AX347" s="6">
        <f t="shared" si="209"/>
        <v>-0.50747745939730482</v>
      </c>
      <c r="AY347" s="6">
        <f t="shared" si="210"/>
        <v>0.50747745939730482</v>
      </c>
      <c r="BF347" s="40"/>
      <c r="BG347" s="6">
        <f t="shared" si="211"/>
        <v>2.6529004630313655</v>
      </c>
      <c r="BH347" s="9">
        <f t="shared" ca="1" si="212"/>
        <v>-146.44429991209455</v>
      </c>
      <c r="BI347" s="9">
        <f t="shared" ca="1" si="213"/>
        <v>6.9275016241327734</v>
      </c>
      <c r="BJ347">
        <f t="shared" ca="1" si="214"/>
        <v>146.60805999499433</v>
      </c>
      <c r="BK347" s="6">
        <f t="shared" ca="1" si="215"/>
        <v>-0.99888300764019811</v>
      </c>
      <c r="BL347" s="6">
        <f t="shared" ca="1" si="216"/>
        <v>4.7251847029210405E-2</v>
      </c>
      <c r="BM347" s="6">
        <f t="shared" ca="1" si="217"/>
        <v>3.0943232053788048</v>
      </c>
      <c r="BN347" s="6">
        <f t="shared" ca="1" si="218"/>
        <v>1.1749085853824477</v>
      </c>
      <c r="BO347" s="9">
        <f t="shared" ca="1" si="219"/>
        <v>-226.02649660825398</v>
      </c>
      <c r="BP347" s="9">
        <f t="shared" ca="1" si="220"/>
        <v>-49.248166633597421</v>
      </c>
      <c r="BQ347">
        <f t="shared" ca="1" si="221"/>
        <v>231.32954650405475</v>
      </c>
      <c r="BR347">
        <f t="shared" ca="1" si="222"/>
        <v>-0.97707577792831657</v>
      </c>
      <c r="BS347">
        <f t="shared" ca="1" si="223"/>
        <v>-0.21289181333666859</v>
      </c>
      <c r="BT347">
        <f t="shared" ca="1" si="224"/>
        <v>-2.9270589819328681</v>
      </c>
      <c r="BU347" s="40">
        <f t="shared" ca="1" si="225"/>
        <v>-6.0686516354226612</v>
      </c>
    </row>
    <row r="348" spans="45:73" x14ac:dyDescent="0.25">
      <c r="AS348" s="6">
        <v>2.8972465583105689</v>
      </c>
      <c r="AT348" s="6">
        <v>-284.9808552108928</v>
      </c>
      <c r="AU348" s="6">
        <v>-159.19584466949709</v>
      </c>
      <c r="AV348" s="6">
        <f t="shared" si="207"/>
        <v>3.6510293796759861</v>
      </c>
      <c r="AW348" s="6">
        <f t="shared" si="208"/>
        <v>0.75378282136541719</v>
      </c>
      <c r="AX348" s="6">
        <f t="shared" si="209"/>
        <v>-0.50943672618619296</v>
      </c>
      <c r="AY348" s="6">
        <f t="shared" si="210"/>
        <v>0.50943672618619296</v>
      </c>
      <c r="BF348" s="40"/>
      <c r="BG348" s="6">
        <f t="shared" si="211"/>
        <v>2.6703537555513086</v>
      </c>
      <c r="BH348" s="9">
        <f t="shared" ca="1" si="212"/>
        <v>-159.41196987623681</v>
      </c>
      <c r="BI348" s="9">
        <f t="shared" ca="1" si="213"/>
        <v>-15.988028897208352</v>
      </c>
      <c r="BJ348">
        <f t="shared" ca="1" si="214"/>
        <v>160.21171370358724</v>
      </c>
      <c r="BK348" s="6">
        <f t="shared" ca="1" si="215"/>
        <v>-0.99500820627366826</v>
      </c>
      <c r="BL348" s="6">
        <f t="shared" ca="1" si="216"/>
        <v>-9.9793133271068493E-2</v>
      </c>
      <c r="BM348" s="6">
        <f t="shared" ca="1" si="217"/>
        <v>-3.0416331391428781</v>
      </c>
      <c r="BN348" s="6">
        <f t="shared" ca="1" si="218"/>
        <v>-4.9610477591392357</v>
      </c>
      <c r="BO348" s="9">
        <f t="shared" ca="1" si="219"/>
        <v>-238.99416657239624</v>
      </c>
      <c r="BP348" s="9">
        <f t="shared" ca="1" si="220"/>
        <v>-72.163697154938546</v>
      </c>
      <c r="BQ348">
        <f t="shared" ca="1" si="221"/>
        <v>249.65137861166312</v>
      </c>
      <c r="BR348">
        <f t="shared" ca="1" si="222"/>
        <v>-0.9573116235186333</v>
      </c>
      <c r="BS348">
        <f t="shared" ca="1" si="223"/>
        <v>-0.28905787565143143</v>
      </c>
      <c r="BT348">
        <f t="shared" ca="1" si="224"/>
        <v>-2.8483500977598473</v>
      </c>
      <c r="BU348" s="40">
        <f t="shared" ca="1" si="225"/>
        <v>-5.9899427512496404</v>
      </c>
    </row>
    <row r="349" spans="45:73" x14ac:dyDescent="0.25">
      <c r="AS349" s="6">
        <v>2.914699850830512</v>
      </c>
      <c r="AT349" s="6">
        <v>-285.18429162060272</v>
      </c>
      <c r="AU349" s="6">
        <v>-160.04315002733574</v>
      </c>
      <c r="AV349" s="6">
        <f t="shared" si="207"/>
        <v>3.6529879631197621</v>
      </c>
      <c r="AW349" s="6">
        <f t="shared" si="208"/>
        <v>0.73828811228925018</v>
      </c>
      <c r="AX349" s="6">
        <f t="shared" si="209"/>
        <v>-0.51139530962996904</v>
      </c>
      <c r="AY349" s="6">
        <f t="shared" si="210"/>
        <v>0.51139530962996904</v>
      </c>
      <c r="BF349" s="40"/>
      <c r="BG349" s="6">
        <f>AS336</f>
        <v>2.6878070480712517</v>
      </c>
      <c r="BH349" s="9">
        <f t="shared" ca="1" si="212"/>
        <v>-171.64969180744976</v>
      </c>
      <c r="BI349" s="9">
        <f t="shared" ca="1" si="213"/>
        <v>-38.118515973359607</v>
      </c>
      <c r="BJ349">
        <f t="shared" ca="1" si="214"/>
        <v>175.83127696062425</v>
      </c>
      <c r="BK349" s="6">
        <f t="shared" ca="1" si="215"/>
        <v>-0.97621819493405082</v>
      </c>
      <c r="BL349" s="6">
        <f t="shared" ca="1" si="216"/>
        <v>-0.21679030393378698</v>
      </c>
      <c r="BM349" s="6">
        <f t="shared" ca="1" si="217"/>
        <v>-2.9230672782007812</v>
      </c>
      <c r="BN349" s="6">
        <f t="shared" ca="1" si="218"/>
        <v>-4.8424818981971383</v>
      </c>
      <c r="BO349" s="9">
        <f t="shared" ca="1" si="219"/>
        <v>-251.23188850360918</v>
      </c>
      <c r="BP349" s="9">
        <f t="shared" ca="1" si="220"/>
        <v>-94.294184231089801</v>
      </c>
      <c r="BQ349">
        <f t="shared" ca="1" si="221"/>
        <v>268.34465707536759</v>
      </c>
      <c r="BR349">
        <f t="shared" ca="1" si="222"/>
        <v>-0.93622839836549421</v>
      </c>
      <c r="BS349">
        <f t="shared" ca="1" si="223"/>
        <v>-0.35139206891160957</v>
      </c>
      <c r="BT349">
        <f t="shared" ca="1" si="224"/>
        <v>-2.7825350737738725</v>
      </c>
      <c r="BU349" s="40">
        <f t="shared" ca="1" si="225"/>
        <v>-5.9241277272636657</v>
      </c>
    </row>
    <row r="350" spans="45:73" x14ac:dyDescent="0.25">
      <c r="AS350" s="6">
        <v>2.9321531433504551</v>
      </c>
      <c r="AT350" s="6">
        <v>-285.3706417169081</v>
      </c>
      <c r="AU350" s="6">
        <v>-160.88365381934506</v>
      </c>
      <c r="AV350" s="6">
        <f t="shared" si="207"/>
        <v>3.6549469952775175</v>
      </c>
      <c r="AW350" s="6">
        <f t="shared" si="208"/>
        <v>0.72279385192706247</v>
      </c>
      <c r="AX350" s="6">
        <f t="shared" si="209"/>
        <v>-0.51335434178772443</v>
      </c>
      <c r="AY350" s="6">
        <f t="shared" si="210"/>
        <v>0.51335434178772443</v>
      </c>
      <c r="BF350" s="40"/>
      <c r="BG350" s="6">
        <f t="shared" ref="BG350:BG361" si="226">AS337</f>
        <v>2.7052603405911948</v>
      </c>
      <c r="BH350" s="9">
        <f t="shared" ca="1" si="212"/>
        <v>-182.68106490663371</v>
      </c>
      <c r="BI350" s="9">
        <f t="shared" ca="1" si="213"/>
        <v>-58.397013184684567</v>
      </c>
      <c r="BJ350">
        <f t="shared" ca="1" si="214"/>
        <v>191.7878583860666</v>
      </c>
      <c r="BK350" s="6">
        <f t="shared" ca="1" si="215"/>
        <v>-0.95251631904090073</v>
      </c>
      <c r="BL350" s="6">
        <f t="shared" ca="1" si="216"/>
        <v>-0.30448753991054062</v>
      </c>
      <c r="BM350" s="6">
        <f t="shared" ca="1" si="217"/>
        <v>-2.8321922772337467</v>
      </c>
      <c r="BN350" s="6">
        <f t="shared" ca="1" si="218"/>
        <v>-4.7516068972301042</v>
      </c>
      <c r="BO350" s="9">
        <f t="shared" ca="1" si="219"/>
        <v>-262.26326160279314</v>
      </c>
      <c r="BP350" s="9">
        <f t="shared" ca="1" si="220"/>
        <v>-114.57268144241476</v>
      </c>
      <c r="BQ350">
        <f t="shared" ca="1" si="221"/>
        <v>286.1973405177626</v>
      </c>
      <c r="BR350">
        <f t="shared" ca="1" si="222"/>
        <v>-0.91637211278179576</v>
      </c>
      <c r="BS350">
        <f t="shared" ca="1" si="223"/>
        <v>-0.40032755452982244</v>
      </c>
      <c r="BT350">
        <f t="shared" ca="1" si="224"/>
        <v>-2.7297183883455189</v>
      </c>
      <c r="BU350" s="40">
        <f t="shared" ca="1" si="225"/>
        <v>-5.8713110418353125</v>
      </c>
    </row>
    <row r="351" spans="45:73" x14ac:dyDescent="0.25">
      <c r="AS351" s="6">
        <v>2.9496064358703982</v>
      </c>
      <c r="AT351" s="6">
        <v>-285.54039339831365</v>
      </c>
      <c r="AU351" s="6">
        <v>-161.71794381057782</v>
      </c>
      <c r="AV351" s="6">
        <f t="shared" si="207"/>
        <v>3.6569076110405829</v>
      </c>
      <c r="AW351" s="6">
        <f t="shared" si="208"/>
        <v>0.70730117517018476</v>
      </c>
      <c r="AX351" s="6">
        <f t="shared" si="209"/>
        <v>-0.51531495755078982</v>
      </c>
      <c r="AY351" s="6">
        <f t="shared" si="210"/>
        <v>0.51531495755078982</v>
      </c>
      <c r="BF351" s="40"/>
      <c r="BG351" s="6">
        <f t="shared" si="226"/>
        <v>2.7227136331111379</v>
      </c>
      <c r="BH351" s="9">
        <f t="shared" ca="1" si="212"/>
        <v>-192.45909385908118</v>
      </c>
      <c r="BI351" s="9">
        <f t="shared" ca="1" si="213"/>
        <v>-76.420545693103577</v>
      </c>
      <c r="BJ351">
        <f t="shared" ca="1" si="214"/>
        <v>207.07632074452729</v>
      </c>
      <c r="BK351" s="6">
        <f t="shared" ca="1" si="215"/>
        <v>-0.92941140332757033</v>
      </c>
      <c r="BL351" s="6">
        <f t="shared" ca="1" si="216"/>
        <v>-0.36904531343004005</v>
      </c>
      <c r="BM351" s="6">
        <f t="shared" ca="1" si="217"/>
        <v>-2.7636110374525469</v>
      </c>
      <c r="BN351" s="6">
        <f t="shared" ca="1" si="218"/>
        <v>-4.683025657448904</v>
      </c>
      <c r="BO351" s="9">
        <f t="shared" ca="1" si="219"/>
        <v>-272.04129055524061</v>
      </c>
      <c r="BP351" s="9">
        <f t="shared" ca="1" si="220"/>
        <v>-132.59621395083377</v>
      </c>
      <c r="BQ351">
        <f t="shared" ca="1" si="221"/>
        <v>302.63545681406225</v>
      </c>
      <c r="BR351">
        <f t="shared" ca="1" si="222"/>
        <v>-0.8989075286124899</v>
      </c>
      <c r="BS351">
        <f t="shared" ca="1" si="223"/>
        <v>-0.43813839708907681</v>
      </c>
      <c r="BT351">
        <f t="shared" ca="1" si="224"/>
        <v>-2.6880659894906311</v>
      </c>
      <c r="BU351" s="40">
        <f t="shared" ca="1" si="225"/>
        <v>-5.8296586429804247</v>
      </c>
    </row>
    <row r="352" spans="45:73" x14ac:dyDescent="0.25">
      <c r="AS352" s="6">
        <v>2.9670597283903413</v>
      </c>
      <c r="AT352" s="6">
        <v>-285.69398628335489</v>
      </c>
      <c r="AU352" s="6">
        <v>-162.54659158548054</v>
      </c>
      <c r="AV352" s="6">
        <f t="shared" si="207"/>
        <v>3.6588709506325485</v>
      </c>
      <c r="AW352" s="6">
        <f t="shared" si="208"/>
        <v>0.69181122224220726</v>
      </c>
      <c r="AX352" s="6">
        <f t="shared" si="209"/>
        <v>-0.51727829714275542</v>
      </c>
      <c r="AY352" s="6">
        <f t="shared" si="210"/>
        <v>0.51727829714275542</v>
      </c>
      <c r="BF352" s="40"/>
      <c r="BG352" s="6">
        <f t="shared" si="226"/>
        <v>2.740166925631081</v>
      </c>
      <c r="BH352" s="9">
        <f t="shared" ca="1" si="212"/>
        <v>-200.9030111099076</v>
      </c>
      <c r="BI352" s="9">
        <f t="shared" ca="1" si="213"/>
        <v>-91.591452686295327</v>
      </c>
      <c r="BJ352">
        <f t="shared" ca="1" si="214"/>
        <v>220.79631808119791</v>
      </c>
      <c r="BK352" s="6">
        <f t="shared" ca="1" si="215"/>
        <v>-0.90990199861949439</v>
      </c>
      <c r="BL352" s="6">
        <f t="shared" ca="1" si="216"/>
        <v>-0.41482327913010097</v>
      </c>
      <c r="BM352" s="6">
        <f t="shared" ca="1" si="217"/>
        <v>-2.713844078891205</v>
      </c>
      <c r="BN352" s="6">
        <f t="shared" ca="1" si="218"/>
        <v>-4.6332586988875626</v>
      </c>
      <c r="BO352" s="9">
        <f t="shared" ca="1" si="219"/>
        <v>-280.48520780606702</v>
      </c>
      <c r="BP352" s="9">
        <f t="shared" ca="1" si="220"/>
        <v>-147.76712094402552</v>
      </c>
      <c r="BQ352">
        <f t="shared" ca="1" si="221"/>
        <v>317.02850633673125</v>
      </c>
      <c r="BR352">
        <f t="shared" ca="1" si="222"/>
        <v>-0.88473182127082972</v>
      </c>
      <c r="BS352">
        <f t="shared" ca="1" si="223"/>
        <v>-0.4661004231180238</v>
      </c>
      <c r="BT352">
        <f t="shared" ca="1" si="224"/>
        <v>-2.6567146564354043</v>
      </c>
      <c r="BU352" s="40">
        <f t="shared" ca="1" si="225"/>
        <v>-5.7983073099251978</v>
      </c>
    </row>
    <row r="353" spans="45:73" x14ac:dyDescent="0.25">
      <c r="AS353" s="6">
        <v>2.9845130209102844</v>
      </c>
      <c r="AT353" s="6">
        <v>-285.83181417983042</v>
      </c>
      <c r="AU353" s="6">
        <v>-163.37015418910298</v>
      </c>
      <c r="AV353" s="6">
        <f t="shared" si="207"/>
        <v>3.6608381621300801</v>
      </c>
      <c r="AW353" s="6">
        <f t="shared" si="208"/>
        <v>0.6763251412197957</v>
      </c>
      <c r="AX353" s="6">
        <f t="shared" si="209"/>
        <v>-0.51924550864028696</v>
      </c>
      <c r="AY353" s="6">
        <f t="shared" si="210"/>
        <v>0.51924550864028696</v>
      </c>
      <c r="BF353" s="40"/>
      <c r="BG353" s="6">
        <f t="shared" si="226"/>
        <v>2.7576202181510241</v>
      </c>
      <c r="BH353" s="9">
        <f t="shared" ca="1" si="212"/>
        <v>-203.07903917786149</v>
      </c>
      <c r="BI353" s="9">
        <f t="shared" ca="1" si="213"/>
        <v>-95.919527976435234</v>
      </c>
      <c r="BJ353">
        <f t="shared" ca="1" si="214"/>
        <v>224.59219042661644</v>
      </c>
      <c r="BK353" s="6">
        <f t="shared" ca="1" si="215"/>
        <v>-0.90421238063580756</v>
      </c>
      <c r="BL353" s="6">
        <f t="shared" ca="1" si="216"/>
        <v>-0.42708309578456205</v>
      </c>
      <c r="BM353" s="6">
        <f t="shared" ca="1" si="217"/>
        <v>-2.7003282497227454</v>
      </c>
      <c r="BN353" s="6">
        <f t="shared" ca="1" si="218"/>
        <v>-4.6197428697191025</v>
      </c>
      <c r="BO353" s="9">
        <f t="shared" ca="1" si="219"/>
        <v>-282.66123587402092</v>
      </c>
      <c r="BP353" s="9">
        <f t="shared" ca="1" si="220"/>
        <v>-152.09519623416543</v>
      </c>
      <c r="BQ353">
        <f t="shared" ca="1" si="221"/>
        <v>320.98336870208431</v>
      </c>
      <c r="BR353">
        <f t="shared" ca="1" si="222"/>
        <v>-0.88061022294388258</v>
      </c>
      <c r="BS353">
        <f t="shared" ca="1" si="223"/>
        <v>-0.47384136084424427</v>
      </c>
      <c r="BT353">
        <f t="shared" ca="1" si="224"/>
        <v>-2.6479448113637969</v>
      </c>
      <c r="BU353" s="40">
        <f t="shared" ca="1" si="225"/>
        <v>-5.7895374648535896</v>
      </c>
    </row>
    <row r="354" spans="45:73" x14ac:dyDescent="0.25">
      <c r="AS354" s="6">
        <v>3.0019663134302275</v>
      </c>
      <c r="AT354" s="6">
        <v>-285.9542272948238</v>
      </c>
      <c r="AU354" s="6">
        <v>-164.18917568715932</v>
      </c>
      <c r="AV354" s="6">
        <f t="shared" si="207"/>
        <v>3.6628104039951701</v>
      </c>
      <c r="AW354" s="6">
        <f t="shared" si="208"/>
        <v>0.66084409056494264</v>
      </c>
      <c r="AX354" s="6">
        <f t="shared" si="209"/>
        <v>-0.521217750505377</v>
      </c>
      <c r="AY354" s="6">
        <f t="shared" si="210"/>
        <v>0.521217750505377</v>
      </c>
      <c r="BF354" s="40"/>
      <c r="BG354" s="6">
        <f t="shared" si="226"/>
        <v>2.7750735106709672</v>
      </c>
      <c r="BH354" s="9">
        <f t="shared" ca="1" si="212"/>
        <v>-203.44361355732769</v>
      </c>
      <c r="BI354" s="9">
        <f t="shared" ca="1" si="213"/>
        <v>-96.84497253414338</v>
      </c>
      <c r="BJ354">
        <f t="shared" ca="1" si="214"/>
        <v>225.31811423496842</v>
      </c>
      <c r="BK354" s="6">
        <f t="shared" ca="1" si="215"/>
        <v>-0.9029172565556387</v>
      </c>
      <c r="BL354" s="6">
        <f t="shared" ca="1" si="216"/>
        <v>-0.42981441089618994</v>
      </c>
      <c r="BM354" s="6">
        <f t="shared" ca="1" si="217"/>
        <v>-2.6973054305783433</v>
      </c>
      <c r="BN354" s="6">
        <f t="shared" ca="1" si="218"/>
        <v>-4.6167200505747008</v>
      </c>
      <c r="BO354" s="9">
        <f t="shared" ca="1" si="219"/>
        <v>-283.02581025348712</v>
      </c>
      <c r="BP354" s="9">
        <f t="shared" ca="1" si="220"/>
        <v>-153.02064079187357</v>
      </c>
      <c r="BQ354">
        <f t="shared" ca="1" si="221"/>
        <v>321.74357146336041</v>
      </c>
      <c r="BR354">
        <f t="shared" ca="1" si="222"/>
        <v>-0.87966267349561511</v>
      </c>
      <c r="BS354">
        <f t="shared" ca="1" si="223"/>
        <v>-0.47559812957847797</v>
      </c>
      <c r="BT354">
        <f t="shared" ca="1" si="224"/>
        <v>-2.6459487934116632</v>
      </c>
      <c r="BU354" s="40">
        <f t="shared" ca="1" si="225"/>
        <v>-5.7875414469014563</v>
      </c>
    </row>
    <row r="355" spans="45:73" x14ac:dyDescent="0.25">
      <c r="AS355" s="6">
        <v>3.0194196059501706</v>
      </c>
      <c r="AT355" s="6">
        <v>-286.06153409759952</v>
      </c>
      <c r="AU355" s="6">
        <v>-165.00418865455578</v>
      </c>
      <c r="AV355" s="6">
        <f t="shared" si="207"/>
        <v>3.6647888477943886</v>
      </c>
      <c r="AW355" s="6">
        <f t="shared" si="208"/>
        <v>0.64536924184421807</v>
      </c>
      <c r="AX355" s="6">
        <f t="shared" si="209"/>
        <v>-0.52319619430459552</v>
      </c>
      <c r="AY355" s="6">
        <f t="shared" si="210"/>
        <v>0.52319619430459552</v>
      </c>
      <c r="BF355" s="40"/>
      <c r="BG355" s="6">
        <f t="shared" si="226"/>
        <v>2.7925268031909103</v>
      </c>
      <c r="BH355" s="9">
        <f t="shared" ca="1" si="212"/>
        <v>-203.78504680991688</v>
      </c>
      <c r="BI355" s="9">
        <f t="shared" ca="1" si="213"/>
        <v>-97.758097989450249</v>
      </c>
      <c r="BJ355">
        <f t="shared" ca="1" si="214"/>
        <v>226.01989077476117</v>
      </c>
      <c r="BK355" s="6">
        <f t="shared" ca="1" si="215"/>
        <v>-0.90162439293007934</v>
      </c>
      <c r="BL355" s="6">
        <f t="shared" ca="1" si="216"/>
        <v>-0.43251988864498003</v>
      </c>
      <c r="BM355" s="6">
        <f t="shared" ca="1" si="217"/>
        <v>-2.6943069121208101</v>
      </c>
      <c r="BN355" s="6">
        <f t="shared" ca="1" si="218"/>
        <v>-4.6137215321171672</v>
      </c>
      <c r="BO355" s="9">
        <f t="shared" ca="1" si="219"/>
        <v>-283.36724350607631</v>
      </c>
      <c r="BP355" s="9">
        <f t="shared" ca="1" si="220"/>
        <v>-153.93376624718044</v>
      </c>
      <c r="BQ355">
        <f t="shared" ca="1" si="221"/>
        <v>322.47883509351982</v>
      </c>
      <c r="BR355">
        <f t="shared" ca="1" si="222"/>
        <v>-0.87871578742182865</v>
      </c>
      <c r="BS355">
        <f t="shared" ca="1" si="223"/>
        <v>-0.47734533090377607</v>
      </c>
      <c r="BT355">
        <f t="shared" ca="1" si="224"/>
        <v>-2.6439615070690325</v>
      </c>
      <c r="BU355" s="40">
        <f t="shared" ca="1" si="225"/>
        <v>-5.7855541605588261</v>
      </c>
    </row>
    <row r="356" spans="45:73" x14ac:dyDescent="0.25">
      <c r="AS356" s="6">
        <v>3.0368728984701137</v>
      </c>
      <c r="AT356" s="6">
        <v>-286.15400305312744</v>
      </c>
      <c r="AU356" s="6">
        <v>-165.81571560130459</v>
      </c>
      <c r="AV356" s="6">
        <f t="shared" si="207"/>
        <v>3.6667746808162547</v>
      </c>
      <c r="AW356" s="6">
        <f t="shared" si="208"/>
        <v>0.62990178234614103</v>
      </c>
      <c r="AX356" s="6">
        <f t="shared" si="209"/>
        <v>-0.52518202732646158</v>
      </c>
      <c r="AY356" s="6">
        <f t="shared" si="210"/>
        <v>0.52518202732646158</v>
      </c>
      <c r="BF356" s="40"/>
      <c r="BG356" s="6">
        <f t="shared" si="226"/>
        <v>2.8099800957108534</v>
      </c>
      <c r="BH356" s="9">
        <f t="shared" ca="1" si="212"/>
        <v>-204.10434616564157</v>
      </c>
      <c r="BI356" s="9">
        <f t="shared" ca="1" si="213"/>
        <v>-98.659694292273343</v>
      </c>
      <c r="BJ356">
        <f t="shared" ca="1" si="214"/>
        <v>226.69874150852465</v>
      </c>
      <c r="BK356" s="6">
        <f t="shared" ca="1" si="215"/>
        <v>-0.90033294762673644</v>
      </c>
      <c r="BL356" s="6">
        <f t="shared" ca="1" si="216"/>
        <v>-0.43520177322450376</v>
      </c>
      <c r="BM356" s="6">
        <f t="shared" ca="1" si="217"/>
        <v>-2.6913302793904332</v>
      </c>
      <c r="BN356" s="6">
        <f t="shared" ca="1" si="218"/>
        <v>-4.6107448993867903</v>
      </c>
      <c r="BO356" s="9">
        <f t="shared" ca="1" si="219"/>
        <v>-283.686542861801</v>
      </c>
      <c r="BP356" s="9">
        <f t="shared" ca="1" si="220"/>
        <v>-154.83536255000354</v>
      </c>
      <c r="BQ356">
        <f t="shared" ca="1" si="221"/>
        <v>323.19041461168285</v>
      </c>
      <c r="BR356">
        <f t="shared" ca="1" si="222"/>
        <v>-0.87776904894488839</v>
      </c>
      <c r="BS356">
        <f t="shared" ca="1" si="223"/>
        <v>-0.47908401842932152</v>
      </c>
      <c r="BT356">
        <f t="shared" ca="1" si="224"/>
        <v>-2.6419817724061763</v>
      </c>
      <c r="BU356" s="40">
        <f t="shared" ca="1" si="225"/>
        <v>-5.7835744258959689</v>
      </c>
    </row>
    <row r="357" spans="45:73" x14ac:dyDescent="0.25">
      <c r="AS357" s="6">
        <v>3.0543261909900568</v>
      </c>
      <c r="AT357" s="6">
        <v>-286.2318640002199</v>
      </c>
      <c r="AU357" s="6">
        <v>-166.62427034415919</v>
      </c>
      <c r="AV357" s="6">
        <f t="shared" si="207"/>
        <v>3.6687691089641596</v>
      </c>
      <c r="AW357" s="6">
        <f t="shared" si="208"/>
        <v>0.61444291797410289</v>
      </c>
      <c r="AX357" s="6">
        <f t="shared" si="209"/>
        <v>-0.52717645547436653</v>
      </c>
      <c r="AY357" s="6">
        <f t="shared" si="210"/>
        <v>0.52717645547436653</v>
      </c>
      <c r="BF357" s="40"/>
      <c r="BG357" s="6">
        <f t="shared" si="226"/>
        <v>2.8274333882307965</v>
      </c>
      <c r="BH357" s="9">
        <f t="shared" ca="1" si="212"/>
        <v>-204.40243674876552</v>
      </c>
      <c r="BI357" s="9">
        <f t="shared" ca="1" si="213"/>
        <v>-99.550517685178477</v>
      </c>
      <c r="BJ357">
        <f t="shared" ca="1" si="214"/>
        <v>227.35580423692755</v>
      </c>
      <c r="BK357" s="6">
        <f t="shared" ca="1" si="215"/>
        <v>-0.89904208707052702</v>
      </c>
      <c r="BL357" s="6">
        <f t="shared" ca="1" si="216"/>
        <v>-0.43786222225246929</v>
      </c>
      <c r="BM357" s="6">
        <f t="shared" ca="1" si="217"/>
        <v>-2.6883732003624226</v>
      </c>
      <c r="BN357" s="6">
        <f t="shared" ca="1" si="218"/>
        <v>-4.6077878203587801</v>
      </c>
      <c r="BO357" s="9">
        <f t="shared" ca="1" si="219"/>
        <v>-283.98463344492495</v>
      </c>
      <c r="BP357" s="9">
        <f t="shared" ca="1" si="220"/>
        <v>-155.72618594290867</v>
      </c>
      <c r="BQ357">
        <f t="shared" ca="1" si="221"/>
        <v>323.87947916034096</v>
      </c>
      <c r="BR357">
        <f t="shared" ca="1" si="222"/>
        <v>-0.8768219406217288</v>
      </c>
      <c r="BS357">
        <f t="shared" ca="1" si="223"/>
        <v>-0.48081522900626344</v>
      </c>
      <c r="BT357">
        <f t="shared" ca="1" si="224"/>
        <v>-2.6400084236024459</v>
      </c>
      <c r="BU357" s="40">
        <f t="shared" ca="1" si="225"/>
        <v>-5.7816010770922386</v>
      </c>
    </row>
    <row r="358" spans="45:73" x14ac:dyDescent="0.25">
      <c r="AS358" s="6">
        <v>3.0717794835099999</v>
      </c>
      <c r="AT358" s="6">
        <v>-286.29530944651037</v>
      </c>
      <c r="AU358" s="6">
        <v>-167.43035933179192</v>
      </c>
      <c r="AV358" s="6">
        <f t="shared" si="207"/>
        <v>3.670773359546966</v>
      </c>
      <c r="AW358" s="6">
        <f t="shared" si="208"/>
        <v>0.59899387603696619</v>
      </c>
      <c r="AX358" s="6">
        <f t="shared" si="209"/>
        <v>-0.52918070605717293</v>
      </c>
      <c r="AY358" s="6">
        <f t="shared" si="210"/>
        <v>0.52918070605717293</v>
      </c>
      <c r="BF358" s="40"/>
      <c r="BG358" s="6">
        <f t="shared" si="226"/>
        <v>2.8448866807507396</v>
      </c>
      <c r="BH358" s="9">
        <f t="shared" ca="1" si="212"/>
        <v>-204.68016754183446</v>
      </c>
      <c r="BI358" s="9">
        <f t="shared" ca="1" si="213"/>
        <v>-100.43129346331648</v>
      </c>
      <c r="BJ358">
        <f t="shared" ca="1" si="214"/>
        <v>227.99213953921355</v>
      </c>
      <c r="BK358" s="6">
        <f t="shared" ca="1" si="215"/>
        <v>-0.89775098367648087</v>
      </c>
      <c r="BL358" s="6">
        <f t="shared" ca="1" si="216"/>
        <v>-0.44050331588753205</v>
      </c>
      <c r="BM358" s="6">
        <f t="shared" ca="1" si="217"/>
        <v>-2.6854334163929039</v>
      </c>
      <c r="BN358" s="6">
        <f t="shared" ca="1" si="218"/>
        <v>-4.604848036389261</v>
      </c>
      <c r="BO358" s="9">
        <f t="shared" ca="1" si="219"/>
        <v>-284.26236423799389</v>
      </c>
      <c r="BP358" s="9">
        <f t="shared" ca="1" si="220"/>
        <v>-156.60696172104667</v>
      </c>
      <c r="BQ358">
        <f t="shared" ca="1" si="221"/>
        <v>324.54711858476156</v>
      </c>
      <c r="BR358">
        <f t="shared" ca="1" si="222"/>
        <v>-0.87587394236486937</v>
      </c>
      <c r="BS358">
        <f t="shared" ca="1" si="223"/>
        <v>-0.48253998496106143</v>
      </c>
      <c r="BT358">
        <f t="shared" ca="1" si="224"/>
        <v>-2.638040306469513</v>
      </c>
      <c r="BU358" s="40">
        <f t="shared" ca="1" si="225"/>
        <v>-5.7796329599593061</v>
      </c>
    </row>
    <row r="359" spans="45:73" x14ac:dyDescent="0.25">
      <c r="AS359" s="6">
        <v>3.089232776029943</v>
      </c>
      <c r="AT359" s="6">
        <v>-286.34449550586805</v>
      </c>
      <c r="AU359" s="6">
        <v>-168.23448293090746</v>
      </c>
      <c r="AV359" s="6">
        <f t="shared" si="207"/>
        <v>3.6727886844145639</v>
      </c>
      <c r="AW359" s="6">
        <f t="shared" si="208"/>
        <v>0.5835559083846209</v>
      </c>
      <c r="AX359" s="6">
        <f t="shared" si="209"/>
        <v>-0.53119603092477075</v>
      </c>
      <c r="AY359" s="6">
        <f t="shared" si="210"/>
        <v>0.53119603092477075</v>
      </c>
      <c r="BF359" s="40"/>
      <c r="BG359" s="6">
        <f t="shared" si="226"/>
        <v>2.8623399732706827</v>
      </c>
      <c r="BH359" s="9">
        <f t="shared" ca="1" si="212"/>
        <v>-204.93831678738849</v>
      </c>
      <c r="BI359" s="9">
        <f t="shared" ca="1" si="213"/>
        <v>-101.30271853593965</v>
      </c>
      <c r="BJ359">
        <f t="shared" ca="1" si="214"/>
        <v>228.60873664499312</v>
      </c>
      <c r="BK359" s="6">
        <f t="shared" ca="1" si="215"/>
        <v>-0.89645881340763256</v>
      </c>
      <c r="BL359" s="6">
        <f t="shared" ca="1" si="216"/>
        <v>-0.44312706514472722</v>
      </c>
      <c r="BM359" s="6">
        <f t="shared" ca="1" si="217"/>
        <v>-2.6825087334587083</v>
      </c>
      <c r="BN359" s="6">
        <f t="shared" ca="1" si="218"/>
        <v>-4.6019233534550654</v>
      </c>
      <c r="BO359" s="9">
        <f t="shared" ca="1" si="219"/>
        <v>-284.52051348354792</v>
      </c>
      <c r="BP359" s="9">
        <f t="shared" ca="1" si="220"/>
        <v>-157.47838679366984</v>
      </c>
      <c r="BQ359">
        <f t="shared" ca="1" si="221"/>
        <v>325.19434942827417</v>
      </c>
      <c r="BR359">
        <f t="shared" ca="1" si="222"/>
        <v>-0.87492453046544283</v>
      </c>
      <c r="BS359">
        <f t="shared" ca="1" si="223"/>
        <v>-0.48425929623480046</v>
      </c>
      <c r="BT359">
        <f t="shared" ca="1" si="224"/>
        <v>-2.6360762760596796</v>
      </c>
      <c r="BU359" s="40">
        <f t="shared" ca="1" si="225"/>
        <v>-5.7776689295494723</v>
      </c>
    </row>
    <row r="360" spans="45:73" x14ac:dyDescent="0.25">
      <c r="AS360" s="6">
        <v>3.106686068549886</v>
      </c>
      <c r="AT360" s="6">
        <v>-286.37954280522945</v>
      </c>
      <c r="AU360" s="6">
        <v>-169.03713668032788</v>
      </c>
      <c r="AV360" s="6">
        <f t="shared" si="207"/>
        <v>3.6748163629716366</v>
      </c>
      <c r="AW360" s="6">
        <f t="shared" si="208"/>
        <v>0.56813029442175056</v>
      </c>
      <c r="AX360" s="6">
        <f t="shared" si="209"/>
        <v>-0.5332237094818435</v>
      </c>
      <c r="AY360" s="6">
        <f t="shared" si="210"/>
        <v>0.5332237094818435</v>
      </c>
      <c r="BF360" s="40"/>
      <c r="BG360" s="6">
        <f t="shared" si="226"/>
        <v>2.8797932657906258</v>
      </c>
      <c r="BH360" s="9">
        <f t="shared" ca="1" si="212"/>
        <v>-205.17759684745226</v>
      </c>
      <c r="BI360" s="9">
        <f t="shared" ca="1" si="213"/>
        <v>-102.16546380968038</v>
      </c>
      <c r="BJ360">
        <f t="shared" ca="1" si="214"/>
        <v>229.20651876319479</v>
      </c>
      <c r="BK360" s="6">
        <f t="shared" ca="1" si="215"/>
        <v>-0.8951647534049062</v>
      </c>
      <c r="BL360" s="6">
        <f t="shared" ca="1" si="216"/>
        <v>-0.44573541957256829</v>
      </c>
      <c r="BM360" s="6">
        <f t="shared" ca="1" si="217"/>
        <v>-2.6795970140179386</v>
      </c>
      <c r="BN360" s="6">
        <f t="shared" ca="1" si="218"/>
        <v>-4.5990116340142961</v>
      </c>
      <c r="BO360" s="9">
        <f t="shared" ca="1" si="219"/>
        <v>-284.75979354361169</v>
      </c>
      <c r="BP360" s="9">
        <f t="shared" ca="1" si="220"/>
        <v>-158.34113206741057</v>
      </c>
      <c r="BQ360">
        <f t="shared" ca="1" si="221"/>
        <v>325.82212037151425</v>
      </c>
      <c r="BR360">
        <f t="shared" ca="1" si="222"/>
        <v>-0.87397317658763685</v>
      </c>
      <c r="BS360">
        <f t="shared" ca="1" si="223"/>
        <v>-0.48597416248738495</v>
      </c>
      <c r="BT360">
        <f t="shared" ca="1" si="224"/>
        <v>-2.6341151942924883</v>
      </c>
      <c r="BU360" s="40">
        <f t="shared" ca="1" si="225"/>
        <v>-5.7757078477822814</v>
      </c>
    </row>
    <row r="361" spans="45:73" x14ac:dyDescent="0.25">
      <c r="AS361" s="6">
        <v>3.1241393610698291</v>
      </c>
      <c r="AT361" s="6">
        <v>-286.40053702814976</v>
      </c>
      <c r="AU361" s="6">
        <v>-169.83881251979386</v>
      </c>
      <c r="AV361" s="6">
        <f t="shared" si="207"/>
        <v>3.6768577056036778</v>
      </c>
      <c r="AW361" s="6">
        <f t="shared" si="208"/>
        <v>0.5527183445338486</v>
      </c>
      <c r="AX361" s="6">
        <f t="shared" si="209"/>
        <v>-0.53526505211388464</v>
      </c>
      <c r="AY361" s="6">
        <f t="shared" si="210"/>
        <v>0.53526505211388464</v>
      </c>
      <c r="BF361" s="40"/>
      <c r="BG361" s="6">
        <f t="shared" si="226"/>
        <v>2.8972465583105689</v>
      </c>
      <c r="BH361" s="9">
        <f t="shared" ca="1" si="212"/>
        <v>-205.39865851473337</v>
      </c>
      <c r="BI361" s="9">
        <f t="shared" ca="1" si="213"/>
        <v>-103.0201764117669</v>
      </c>
      <c r="BJ361">
        <f t="shared" ca="1" si="214"/>
        <v>229.78634787028497</v>
      </c>
      <c r="BK361" s="6">
        <f t="shared" ca="1" si="215"/>
        <v>-0.89386797961853448</v>
      </c>
      <c r="BL361" s="6">
        <f t="shared" ca="1" si="216"/>
        <v>-0.44833027447706369</v>
      </c>
      <c r="BM361" s="6">
        <f t="shared" ca="1" si="217"/>
        <v>-2.6766961692910907</v>
      </c>
      <c r="BN361" s="6">
        <f t="shared" ca="1" si="218"/>
        <v>-4.5961107892874473</v>
      </c>
      <c r="BO361" s="9">
        <f t="shared" ca="1" si="219"/>
        <v>-284.9808552108928</v>
      </c>
      <c r="BP361" s="9">
        <f t="shared" ca="1" si="220"/>
        <v>-159.19584466949709</v>
      </c>
      <c r="BQ361">
        <f t="shared" ca="1" si="221"/>
        <v>326.43131712010489</v>
      </c>
      <c r="BR361">
        <f t="shared" ca="1" si="222"/>
        <v>-0.87301934668859882</v>
      </c>
      <c r="BS361">
        <f t="shared" ca="1" si="223"/>
        <v>-0.48768557525050105</v>
      </c>
      <c r="BT361">
        <f t="shared" ca="1" si="224"/>
        <v>-2.6321559275036002</v>
      </c>
      <c r="BU361" s="40">
        <f t="shared" ca="1" si="225"/>
        <v>-5.7737485809933933</v>
      </c>
    </row>
    <row r="362" spans="45:73" x14ac:dyDescent="0.25">
      <c r="AS362" s="6">
        <v>3.1415926535897722</v>
      </c>
      <c r="AT362" s="6">
        <v>-286.40752941242312</v>
      </c>
      <c r="AU362" s="6">
        <v>-170.63999999999908</v>
      </c>
      <c r="AV362" s="6">
        <f t="shared" si="207"/>
        <v>3.6789140570588925</v>
      </c>
      <c r="AW362" s="6">
        <f t="shared" si="208"/>
        <v>0.53732140346912027</v>
      </c>
      <c r="AX362" s="6">
        <f t="shared" si="209"/>
        <v>-0.53732140356909941</v>
      </c>
      <c r="AY362" s="6">
        <f t="shared" si="210"/>
        <v>0.53732140356909941</v>
      </c>
      <c r="BF362" s="40"/>
      <c r="BG362" s="6">
        <f>AS349</f>
        <v>2.914699850830512</v>
      </c>
      <c r="BH362" s="9">
        <f t="shared" ca="1" si="212"/>
        <v>-205.60209492444329</v>
      </c>
      <c r="BI362" s="9">
        <f t="shared" ca="1" si="213"/>
        <v>-103.86748176960555</v>
      </c>
      <c r="BJ362">
        <f t="shared" ca="1" si="214"/>
        <v>230.34902909819075</v>
      </c>
      <c r="BK362" s="6">
        <f t="shared" ca="1" si="215"/>
        <v>-0.89256766451054326</v>
      </c>
      <c r="BL362" s="6">
        <f t="shared" ca="1" si="216"/>
        <v>-0.45091347758765682</v>
      </c>
      <c r="BM362" s="6">
        <f t="shared" ca="1" si="217"/>
        <v>-2.6738041520850517</v>
      </c>
      <c r="BN362" s="6">
        <f t="shared" ca="1" si="218"/>
        <v>-4.5932187720814088</v>
      </c>
      <c r="BO362" s="9">
        <f t="shared" ca="1" si="219"/>
        <v>-285.18429162060272</v>
      </c>
      <c r="BP362" s="9">
        <f t="shared" ca="1" si="220"/>
        <v>-160.04315002733574</v>
      </c>
      <c r="BQ362">
        <f t="shared" ca="1" si="221"/>
        <v>327.02276687994873</v>
      </c>
      <c r="BR362">
        <f t="shared" ca="1" si="222"/>
        <v>-0.87206249993381935</v>
      </c>
      <c r="BS362">
        <f t="shared" ca="1" si="223"/>
        <v>-0.48939452000321487</v>
      </c>
      <c r="BT362">
        <f t="shared" ca="1" si="224"/>
        <v>-2.6301973440598241</v>
      </c>
      <c r="BU362" s="40">
        <f t="shared" ca="1" si="225"/>
        <v>-5.7717899975496172</v>
      </c>
    </row>
    <row r="363" spans="45:73" x14ac:dyDescent="0.25">
      <c r="AT363" s="6">
        <f>SUM(AT2:AT362)</f>
        <v>-35469.865546131645</v>
      </c>
      <c r="AU363" s="6">
        <f>SUM(AU2:AU362)</f>
        <v>-11431.277630137845</v>
      </c>
      <c r="BG363" s="6">
        <f t="shared" ref="BG363:BG368" si="227">AS350</f>
        <v>2.9321531433504551</v>
      </c>
      <c r="BH363" s="9">
        <f t="shared" ca="1" si="212"/>
        <v>-205.78844502074867</v>
      </c>
      <c r="BI363" s="9">
        <f t="shared" ca="1" si="213"/>
        <v>-104.70798556161486</v>
      </c>
      <c r="BJ363">
        <f t="shared" ca="1" si="214"/>
        <v>230.89531468704394</v>
      </c>
      <c r="BK363" s="6">
        <f t="shared" ca="1" si="215"/>
        <v>-0.89126297473673222</v>
      </c>
      <c r="BL363" s="6">
        <f t="shared" ca="1" si="216"/>
        <v>-0.45348683538051138</v>
      </c>
      <c r="BM363" s="6">
        <f t="shared" ca="1" si="217"/>
        <v>-2.6709189499239274</v>
      </c>
      <c r="BN363" s="6">
        <f t="shared" ca="1" si="218"/>
        <v>-4.5903335699202845</v>
      </c>
      <c r="BO363" s="9">
        <f t="shared" ca="1" si="219"/>
        <v>-285.3706417169081</v>
      </c>
      <c r="BP363" s="9">
        <f t="shared" ca="1" si="220"/>
        <v>-160.88365381934506</v>
      </c>
      <c r="BQ363">
        <f t="shared" ca="1" si="221"/>
        <v>327.59724238794013</v>
      </c>
      <c r="BR363">
        <f t="shared" ca="1" si="222"/>
        <v>-0.87110208754130058</v>
      </c>
      <c r="BS363">
        <f t="shared" ca="1" si="223"/>
        <v>-0.49110197829085173</v>
      </c>
      <c r="BT363">
        <f t="shared" ca="1" si="224"/>
        <v>-2.6282383119020687</v>
      </c>
      <c r="BU363" s="40">
        <f t="shared" ca="1" si="225"/>
        <v>-5.7698309653918614</v>
      </c>
    </row>
    <row r="364" spans="45:73" x14ac:dyDescent="0.25">
      <c r="AT364" s="6">
        <f>AT363/360</f>
        <v>-98.527404294810125</v>
      </c>
      <c r="AU364" s="6">
        <f>AU363/360</f>
        <v>-31.753548972605127</v>
      </c>
      <c r="BG364" s="6">
        <f t="shared" si="227"/>
        <v>2.9496064358703982</v>
      </c>
      <c r="BH364" s="9">
        <f t="shared" ca="1" si="212"/>
        <v>-205.95819670215423</v>
      </c>
      <c r="BI364" s="9">
        <f t="shared" ca="1" si="213"/>
        <v>-105.54227555284763</v>
      </c>
      <c r="BJ364">
        <f t="shared" ca="1" si="214"/>
        <v>231.42590761986108</v>
      </c>
      <c r="BK364" s="6">
        <f t="shared" ca="1" si="215"/>
        <v>-0.8899530688692816</v>
      </c>
      <c r="BL364" s="6">
        <f t="shared" ca="1" si="216"/>
        <v>-0.45605211896245768</v>
      </c>
      <c r="BM364" s="6">
        <f t="shared" ca="1" si="217"/>
        <v>-2.6680385785983116</v>
      </c>
      <c r="BN364" s="6">
        <f t="shared" ca="1" si="218"/>
        <v>-4.5874531985946687</v>
      </c>
      <c r="BO364" s="9">
        <f t="shared" ca="1" si="219"/>
        <v>-285.54039339831365</v>
      </c>
      <c r="BP364" s="9">
        <f t="shared" ca="1" si="220"/>
        <v>-161.71794381057782</v>
      </c>
      <c r="BQ364">
        <f t="shared" ca="1" si="221"/>
        <v>328.15546561406671</v>
      </c>
      <c r="BR364">
        <f t="shared" ca="1" si="222"/>
        <v>-0.87013755161441897</v>
      </c>
      <c r="BS364">
        <f t="shared" ca="1" si="223"/>
        <v>-0.49280892977954904</v>
      </c>
      <c r="BT364">
        <f t="shared" ca="1" si="224"/>
        <v>-2.6262776961390033</v>
      </c>
      <c r="BU364" s="40">
        <f t="shared" ca="1" si="225"/>
        <v>-5.7678703496287964</v>
      </c>
    </row>
    <row r="365" spans="45:73" x14ac:dyDescent="0.25">
      <c r="BG365" s="6">
        <f t="shared" si="227"/>
        <v>2.9670597283903413</v>
      </c>
      <c r="BH365" s="9">
        <f t="shared" ca="1" si="212"/>
        <v>-206.11178958719546</v>
      </c>
      <c r="BI365" s="9">
        <f t="shared" ca="1" si="213"/>
        <v>-106.37092332775035</v>
      </c>
      <c r="BJ365">
        <f t="shared" ca="1" si="214"/>
        <v>231.94146489240444</v>
      </c>
      <c r="BK365" s="6">
        <f t="shared" ca="1" si="215"/>
        <v>-0.88863709506538158</v>
      </c>
      <c r="BL365" s="6">
        <f t="shared" ca="1" si="216"/>
        <v>-0.45861106972440163</v>
      </c>
      <c r="BM365" s="6">
        <f t="shared" ca="1" si="217"/>
        <v>-2.6651610759019042</v>
      </c>
      <c r="BN365" s="6">
        <f t="shared" ca="1" si="218"/>
        <v>-4.5845756958982609</v>
      </c>
      <c r="BO365" s="9">
        <f t="shared" ca="1" si="219"/>
        <v>-285.69398628335489</v>
      </c>
      <c r="BP365" s="9">
        <f t="shared" ca="1" si="220"/>
        <v>-162.54659158548054</v>
      </c>
      <c r="BQ365">
        <f t="shared" ca="1" si="221"/>
        <v>328.69811109060362</v>
      </c>
      <c r="BR365">
        <f t="shared" ca="1" si="222"/>
        <v>-0.86916832389281695</v>
      </c>
      <c r="BS365">
        <f t="shared" ca="1" si="223"/>
        <v>-0.49451635437197744</v>
      </c>
      <c r="BT365">
        <f t="shared" ca="1" si="224"/>
        <v>-2.6243143565470377</v>
      </c>
      <c r="BU365" s="40">
        <f t="shared" ca="1" si="225"/>
        <v>-5.7659070100368304</v>
      </c>
    </row>
    <row r="366" spans="45:73" x14ac:dyDescent="0.25">
      <c r="BG366" s="6">
        <f t="shared" si="227"/>
        <v>2.9845130209102844</v>
      </c>
      <c r="BH366" s="9">
        <f t="shared" ca="1" si="212"/>
        <v>-206.24961748367099</v>
      </c>
      <c r="BI366" s="9">
        <f t="shared" ca="1" si="213"/>
        <v>-107.19448593137278</v>
      </c>
      <c r="BJ366">
        <f t="shared" ca="1" si="214"/>
        <v>232.44260049795491</v>
      </c>
      <c r="BK366" s="6">
        <f t="shared" ca="1" si="215"/>
        <v>-0.88731418871510015</v>
      </c>
      <c r="BL366" s="6">
        <f t="shared" ca="1" si="216"/>
        <v>-0.46116540471382267</v>
      </c>
      <c r="BM366" s="6">
        <f t="shared" ca="1" si="217"/>
        <v>-2.6622844956134886</v>
      </c>
      <c r="BN366" s="6">
        <f t="shared" ca="1" si="218"/>
        <v>-4.5816991156098457</v>
      </c>
      <c r="BO366" s="9">
        <f t="shared" ca="1" si="219"/>
        <v>-285.83181417983042</v>
      </c>
      <c r="BP366" s="9">
        <f t="shared" ca="1" si="220"/>
        <v>-163.37015418910298</v>
      </c>
      <c r="BQ366">
        <f t="shared" ca="1" si="221"/>
        <v>329.22580894745232</v>
      </c>
      <c r="BR366">
        <f t="shared" ca="1" si="222"/>
        <v>-0.86819382445636872</v>
      </c>
      <c r="BS366">
        <f t="shared" ca="1" si="223"/>
        <v>-0.49622523431988425</v>
      </c>
      <c r="BT366">
        <f t="shared" ca="1" si="224"/>
        <v>-2.6223471450495062</v>
      </c>
      <c r="BU366" s="40">
        <f t="shared" ca="1" si="225"/>
        <v>-5.7639397985392993</v>
      </c>
    </row>
    <row r="367" spans="45:73" x14ac:dyDescent="0.25">
      <c r="BG367" s="6">
        <f t="shared" si="227"/>
        <v>3.0019663134302275</v>
      </c>
      <c r="BH367" s="9">
        <f t="shared" ca="1" si="212"/>
        <v>-206.37203059866437</v>
      </c>
      <c r="BI367" s="9">
        <f t="shared" ca="1" si="213"/>
        <v>-108.01350742942913</v>
      </c>
      <c r="BJ367">
        <f t="shared" ca="1" si="214"/>
        <v>232.92988816513736</v>
      </c>
      <c r="BK367" s="6">
        <f t="shared" ca="1" si="215"/>
        <v>-0.88598347006613165</v>
      </c>
      <c r="BL367" s="6">
        <f t="shared" ca="1" si="216"/>
        <v>-0.46371682174531487</v>
      </c>
      <c r="BM367" s="6">
        <f t="shared" ca="1" si="217"/>
        <v>-2.6594069017044641</v>
      </c>
      <c r="BN367" s="6">
        <f t="shared" ca="1" si="218"/>
        <v>-4.5788215217008208</v>
      </c>
      <c r="BO367" s="9">
        <f t="shared" ca="1" si="219"/>
        <v>-285.9542272948238</v>
      </c>
      <c r="BP367" s="9">
        <f t="shared" ca="1" si="220"/>
        <v>-164.18917568715932</v>
      </c>
      <c r="BQ367">
        <f t="shared" ca="1" si="221"/>
        <v>329.73914769194243</v>
      </c>
      <c r="BR367">
        <f t="shared" ca="1" si="222"/>
        <v>-0.8672134603864976</v>
      </c>
      <c r="BS367">
        <f t="shared" ca="1" si="223"/>
        <v>-0.49793655632467532</v>
      </c>
      <c r="BT367">
        <f t="shared" ca="1" si="224"/>
        <v>-2.6203749031844161</v>
      </c>
      <c r="BU367" s="40">
        <f t="shared" ca="1" si="225"/>
        <v>-5.7619675566742092</v>
      </c>
    </row>
    <row r="368" spans="45:73" x14ac:dyDescent="0.25">
      <c r="BG368" s="6">
        <f t="shared" si="227"/>
        <v>3.0194196059501706</v>
      </c>
      <c r="BH368" s="9">
        <f t="shared" ca="1" si="212"/>
        <v>-206.47933740144009</v>
      </c>
      <c r="BI368" s="9">
        <f t="shared" ca="1" si="213"/>
        <v>-108.82852039682558</v>
      </c>
      <c r="BJ368">
        <f t="shared" ca="1" si="214"/>
        <v>233.40386377585958</v>
      </c>
      <c r="BK368" s="6">
        <f t="shared" ca="1" si="215"/>
        <v>-0.8846440417101431</v>
      </c>
      <c r="BL368" s="6">
        <f t="shared" ca="1" si="216"/>
        <v>-0.46626700447998953</v>
      </c>
      <c r="BM368" s="6">
        <f t="shared" ca="1" si="217"/>
        <v>-2.6565263625121527</v>
      </c>
      <c r="BN368" s="6">
        <f t="shared" ca="1" si="218"/>
        <v>-4.5759409825085093</v>
      </c>
      <c r="BO368" s="9">
        <f t="shared" ca="1" si="219"/>
        <v>-286.06153409759952</v>
      </c>
      <c r="BP368" s="9">
        <f t="shared" ca="1" si="220"/>
        <v>-165.00418865455578</v>
      </c>
      <c r="BQ368">
        <f t="shared" ca="1" si="221"/>
        <v>330.23867666253193</v>
      </c>
      <c r="BR368">
        <f t="shared" ca="1" si="222"/>
        <v>-0.86622662429671538</v>
      </c>
      <c r="BS368">
        <f t="shared" ca="1" si="223"/>
        <v>-0.49965131377743538</v>
      </c>
      <c r="BT368">
        <f t="shared" ca="1" si="224"/>
        <v>-2.6183964593851976</v>
      </c>
      <c r="BU368" s="40">
        <f t="shared" ca="1" si="225"/>
        <v>-5.7599891128749903</v>
      </c>
    </row>
    <row r="369" spans="59:73" x14ac:dyDescent="0.25">
      <c r="BG369" s="6">
        <f>AS356</f>
        <v>3.0368728984701137</v>
      </c>
      <c r="BH369" s="9">
        <f t="shared" ca="1" si="212"/>
        <v>-206.57180635696801</v>
      </c>
      <c r="BI369" s="9">
        <f t="shared" ca="1" si="213"/>
        <v>-109.64004734357439</v>
      </c>
      <c r="BJ369">
        <f t="shared" ca="1" si="214"/>
        <v>233.86502766143107</v>
      </c>
      <c r="BK369" s="6">
        <f t="shared" ca="1" si="215"/>
        <v>-0.88329498609781132</v>
      </c>
      <c r="BL369" s="6">
        <f t="shared" ca="1" si="216"/>
        <v>-0.46881762715843722</v>
      </c>
      <c r="BM369" s="6">
        <f t="shared" ca="1" si="217"/>
        <v>-2.6536409452339553</v>
      </c>
      <c r="BN369" s="6">
        <f t="shared" ca="1" si="218"/>
        <v>-4.5730555652303124</v>
      </c>
      <c r="BO369" s="9">
        <f t="shared" ca="1" si="219"/>
        <v>-286.15400305312744</v>
      </c>
      <c r="BP369" s="9">
        <f t="shared" ca="1" si="220"/>
        <v>-165.81571560130459</v>
      </c>
      <c r="BQ369">
        <f t="shared" ca="1" si="221"/>
        <v>330.7249083508861</v>
      </c>
      <c r="BR369">
        <f t="shared" ca="1" si="222"/>
        <v>-0.86523269287455462</v>
      </c>
      <c r="BS369">
        <f t="shared" ca="1" si="223"/>
        <v>-0.50137050888643875</v>
      </c>
      <c r="BT369">
        <f t="shared" ca="1" si="224"/>
        <v>-2.6164106263633315</v>
      </c>
      <c r="BU369" s="40">
        <f t="shared" ca="1" si="225"/>
        <v>-5.7580032798531242</v>
      </c>
    </row>
    <row r="370" spans="59:73" x14ac:dyDescent="0.25">
      <c r="BG370" s="6">
        <f t="shared" ref="BG370:BG373" si="228">AS357</f>
        <v>3.0543261909900568</v>
      </c>
      <c r="BH370" s="9">
        <f t="shared" ca="1" si="212"/>
        <v>-206.64966730406047</v>
      </c>
      <c r="BI370" s="9">
        <f t="shared" ca="1" si="213"/>
        <v>-110.44860208642899</v>
      </c>
      <c r="BJ370">
        <f t="shared" ca="1" si="214"/>
        <v>234.31384658130045</v>
      </c>
      <c r="BK370" s="6">
        <f t="shared" ca="1" si="215"/>
        <v>-0.88193536284403373</v>
      </c>
      <c r="BL370" s="6">
        <f t="shared" ca="1" si="216"/>
        <v>-0.47137035944696665</v>
      </c>
      <c r="BM370" s="6">
        <f t="shared" ca="1" si="217"/>
        <v>-2.6507487102227145</v>
      </c>
      <c r="BN370" s="6">
        <f t="shared" ca="1" si="218"/>
        <v>-4.5701633302190716</v>
      </c>
      <c r="BO370" s="9">
        <f t="shared" ca="1" si="219"/>
        <v>-286.2318640002199</v>
      </c>
      <c r="BP370" s="9">
        <f t="shared" ca="1" si="220"/>
        <v>-166.62427034415919</v>
      </c>
      <c r="BQ370">
        <f t="shared" ca="1" si="221"/>
        <v>331.19832040148367</v>
      </c>
      <c r="BR370">
        <f t="shared" ca="1" si="222"/>
        <v>-0.8642310252456753</v>
      </c>
      <c r="BS370">
        <f t="shared" ca="1" si="223"/>
        <v>-0.503095155018222</v>
      </c>
      <c r="BT370">
        <f t="shared" ca="1" si="224"/>
        <v>-2.6144161982154266</v>
      </c>
      <c r="BU370" s="40">
        <f t="shared" ca="1" si="225"/>
        <v>-5.7560088517052197</v>
      </c>
    </row>
    <row r="371" spans="59:73" x14ac:dyDescent="0.25">
      <c r="BG371" s="6">
        <f t="shared" si="228"/>
        <v>3.0717794835099999</v>
      </c>
      <c r="BH371" s="9">
        <f t="shared" ca="1" si="212"/>
        <v>-206.71311275035094</v>
      </c>
      <c r="BI371" s="9">
        <f t="shared" ca="1" si="213"/>
        <v>-111.25469107406172</v>
      </c>
      <c r="BJ371">
        <f t="shared" ca="1" si="214"/>
        <v>234.75075563014533</v>
      </c>
      <c r="BK371" s="6">
        <f t="shared" ca="1" si="215"/>
        <v>-0.88056420604682406</v>
      </c>
      <c r="BL371" s="6">
        <f t="shared" ca="1" si="216"/>
        <v>-0.47392687097180547</v>
      </c>
      <c r="BM371" s="6">
        <f t="shared" ca="1" si="217"/>
        <v>-2.6478477055620244</v>
      </c>
      <c r="BN371" s="6">
        <f t="shared" ca="1" si="218"/>
        <v>-4.5672623255583815</v>
      </c>
      <c r="BO371" s="9">
        <f t="shared" ca="1" si="219"/>
        <v>-286.29530944651037</v>
      </c>
      <c r="BP371" s="9">
        <f t="shared" ca="1" si="220"/>
        <v>-167.43035933179192</v>
      </c>
      <c r="BQ371">
        <f t="shared" ca="1" si="221"/>
        <v>331.65935752974934</v>
      </c>
      <c r="BR371">
        <f t="shared" ca="1" si="222"/>
        <v>-0.86322096134685455</v>
      </c>
      <c r="BS371">
        <f t="shared" ca="1" si="223"/>
        <v>-0.50482627892316789</v>
      </c>
      <c r="BT371">
        <f t="shared" ca="1" si="224"/>
        <v>-2.6124119476326202</v>
      </c>
      <c r="BU371" s="40">
        <f t="shared" ca="1" si="225"/>
        <v>-5.7540046011224133</v>
      </c>
    </row>
    <row r="372" spans="59:73" x14ac:dyDescent="0.25">
      <c r="BG372" s="6">
        <f t="shared" si="228"/>
        <v>3.089232776029943</v>
      </c>
      <c r="BH372" s="9">
        <f t="shared" ca="1" si="212"/>
        <v>-206.76229880970862</v>
      </c>
      <c r="BI372" s="9">
        <f t="shared" ca="1" si="213"/>
        <v>-112.05881467317727</v>
      </c>
      <c r="BJ372">
        <f t="shared" ca="1" si="214"/>
        <v>235.17615983562774</v>
      </c>
      <c r="BK372" s="6">
        <f t="shared" ca="1" si="215"/>
        <v>-0.87918052133439684</v>
      </c>
      <c r="BL372" s="6">
        <f t="shared" ca="1" si="216"/>
        <v>-0.47648883607717218</v>
      </c>
      <c r="BM372" s="6">
        <f t="shared" ca="1" si="217"/>
        <v>-2.644935961312509</v>
      </c>
      <c r="BN372" s="6">
        <f t="shared" ca="1" si="218"/>
        <v>-4.5643505813088661</v>
      </c>
      <c r="BO372" s="9">
        <f t="shared" ca="1" si="219"/>
        <v>-286.34449550586805</v>
      </c>
      <c r="BP372" s="9">
        <f t="shared" ca="1" si="220"/>
        <v>-168.23448293090746</v>
      </c>
      <c r="BQ372">
        <f t="shared" ca="1" si="221"/>
        <v>332.10843312620034</v>
      </c>
      <c r="BR372">
        <f t="shared" ca="1" si="222"/>
        <v>-0.86220182008162949</v>
      </c>
      <c r="BS372">
        <f t="shared" ca="1" si="223"/>
        <v>-0.50656492323089786</v>
      </c>
      <c r="BT372">
        <f t="shared" ca="1" si="224"/>
        <v>-2.6103966227650224</v>
      </c>
      <c r="BU372" s="40">
        <f t="shared" ca="1" si="225"/>
        <v>-5.7519892762548155</v>
      </c>
    </row>
    <row r="373" spans="59:73" x14ac:dyDescent="0.25">
      <c r="BG373" s="6">
        <f t="shared" si="228"/>
        <v>3.106686068549886</v>
      </c>
      <c r="BH373" s="9">
        <f t="shared" ca="1" si="212"/>
        <v>-206.79734610907002</v>
      </c>
      <c r="BI373" s="9">
        <f t="shared" ca="1" si="213"/>
        <v>-112.86146842259768</v>
      </c>
      <c r="BJ373">
        <f t="shared" ca="1" si="214"/>
        <v>235.5904357402047</v>
      </c>
      <c r="BK373" s="6">
        <f t="shared" ca="1" si="215"/>
        <v>-0.87778328292203678</v>
      </c>
      <c r="BL373" s="6">
        <f t="shared" ca="1" si="216"/>
        <v>-0.47905793827324417</v>
      </c>
      <c r="BM373" s="6">
        <f t="shared" ca="1" si="217"/>
        <v>-2.6420114840309474</v>
      </c>
      <c r="BN373" s="6">
        <f t="shared" ca="1" si="218"/>
        <v>-4.561426104027305</v>
      </c>
      <c r="BO373" s="9">
        <f t="shared" ca="1" si="219"/>
        <v>-286.37954280522945</v>
      </c>
      <c r="BP373" s="9">
        <f t="shared" ca="1" si="220"/>
        <v>-169.03713668032788</v>
      </c>
      <c r="BQ373">
        <f t="shared" ca="1" si="221"/>
        <v>332.54593083424749</v>
      </c>
      <c r="BR373">
        <f t="shared" ca="1" si="222"/>
        <v>-0.86117289749057557</v>
      </c>
      <c r="BS373">
        <f t="shared" ca="1" si="223"/>
        <v>-0.50831214880984932</v>
      </c>
      <c r="BT373">
        <f t="shared" ca="1" si="224"/>
        <v>-2.6083689442079496</v>
      </c>
      <c r="BU373" s="40">
        <f t="shared" ca="1" si="225"/>
        <v>-5.7499615976977427</v>
      </c>
    </row>
    <row r="374" spans="59:73" x14ac:dyDescent="0.25">
      <c r="BG374" s="6">
        <f>AS361</f>
        <v>3.1241393610698291</v>
      </c>
      <c r="BH374" s="9">
        <f t="shared" ca="1" si="212"/>
        <v>-206.81834033199033</v>
      </c>
      <c r="BI374" s="9">
        <f t="shared" ca="1" si="213"/>
        <v>-113.66314426206367</v>
      </c>
      <c r="BJ374">
        <f t="shared" ca="1" si="214"/>
        <v>235.99393267882476</v>
      </c>
      <c r="BK374" s="6">
        <f t="shared" ca="1" si="215"/>
        <v>-0.87637143033443632</v>
      </c>
      <c r="BL374" s="6">
        <f t="shared" ca="1" si="216"/>
        <v>-0.48163587500680871</v>
      </c>
      <c r="BM374" s="6">
        <f t="shared" ca="1" si="217"/>
        <v>-2.6390722508399831</v>
      </c>
      <c r="BN374" s="6">
        <f t="shared" ca="1" si="218"/>
        <v>-4.5584868708363402</v>
      </c>
      <c r="BO374" s="9">
        <f t="shared" ca="1" si="219"/>
        <v>-286.40053702814976</v>
      </c>
      <c r="BP374" s="9">
        <f t="shared" ca="1" si="220"/>
        <v>-169.83881251979386</v>
      </c>
      <c r="BQ374">
        <f t="shared" ca="1" si="221"/>
        <v>332.97220581926393</v>
      </c>
      <c r="BR374">
        <f t="shared" ca="1" si="222"/>
        <v>-0.86013346466403529</v>
      </c>
      <c r="BS374">
        <f t="shared" ca="1" si="223"/>
        <v>-0.51006903744987575</v>
      </c>
      <c r="BT374">
        <f t="shared" ca="1" si="224"/>
        <v>-2.606327601575908</v>
      </c>
      <c r="BU374" s="40">
        <f t="shared" ca="1" si="225"/>
        <v>-5.7479202550657007</v>
      </c>
    </row>
    <row r="375" spans="59:73" x14ac:dyDescent="0.25">
      <c r="BG375" s="6">
        <f t="shared" ref="BG375" si="229">AS362</f>
        <v>3.1415926535897722</v>
      </c>
      <c r="BH375" s="9">
        <f t="shared" ca="1" si="212"/>
        <v>-206.82533271626369</v>
      </c>
      <c r="BI375" s="9">
        <f t="shared" ca="1" si="213"/>
        <v>-114.46433174226888</v>
      </c>
      <c r="BJ375">
        <f t="shared" ca="1" si="214"/>
        <v>236.38697403705933</v>
      </c>
      <c r="BK375" s="6">
        <f t="shared" ca="1" si="215"/>
        <v>-0.87494386507032684</v>
      </c>
      <c r="BL375" s="6">
        <f t="shared" ca="1" si="216"/>
        <v>-0.48422436222870663</v>
      </c>
      <c r="BM375" s="6">
        <f t="shared" ca="1" si="217"/>
        <v>-2.6361162036407233</v>
      </c>
      <c r="BN375" s="6">
        <f t="shared" ca="1" si="218"/>
        <v>-4.5555308236370804</v>
      </c>
      <c r="BO375" s="9">
        <f t="shared" ca="1" si="219"/>
        <v>-286.40752941242312</v>
      </c>
      <c r="BP375" s="9">
        <f t="shared" ca="1" si="220"/>
        <v>-170.63999999999908</v>
      </c>
      <c r="BQ375">
        <f t="shared" ca="1" si="221"/>
        <v>333.38758600782916</v>
      </c>
      <c r="BR375">
        <f t="shared" ca="1" si="222"/>
        <v>-0.85908276562432417</v>
      </c>
      <c r="BS375">
        <f t="shared" ca="1" si="223"/>
        <v>-0.51183669447125668</v>
      </c>
      <c r="BT375">
        <f t="shared" ca="1" si="224"/>
        <v>-2.6042712501206937</v>
      </c>
      <c r="BU375" s="40">
        <f t="shared" ca="1" si="225"/>
        <v>-5.7458639036104868</v>
      </c>
    </row>
    <row r="376" spans="59:73" x14ac:dyDescent="0.25">
      <c r="BG376" s="6"/>
    </row>
    <row r="377" spans="59:73" x14ac:dyDescent="0.25">
      <c r="BG377" s="6"/>
    </row>
    <row r="378" spans="59:73" x14ac:dyDescent="0.25">
      <c r="BG378" s="6"/>
    </row>
  </sheetData>
  <phoneticPr fontId="3" type="noConversion"/>
  <dataValidations disablePrompts="1" count="2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isection_method_for_na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2020-11-12T02:51:33Z</dcterms:modified>
</cp:coreProperties>
</file>