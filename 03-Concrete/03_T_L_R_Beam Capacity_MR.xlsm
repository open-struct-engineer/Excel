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B\Desktop\"/>
    </mc:Choice>
  </mc:AlternateContent>
  <xr:revisionPtr revIDLastSave="0" documentId="13_ncr:1_{2D3205DE-727B-49E2-B264-EC1BDC481179}" xr6:coauthVersionLast="45" xr6:coauthVersionMax="45" xr10:uidLastSave="{00000000-0000-0000-0000-000000000000}"/>
  <bookViews>
    <workbookView xWindow="-120" yWindow="-120" windowWidth="29040" windowHeight="158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05" i="1" l="1"/>
  <c r="E106" i="1"/>
  <c r="E107" i="1"/>
  <c r="E108" i="1"/>
  <c r="E109" i="1"/>
  <c r="E110" i="1"/>
  <c r="E111" i="1"/>
  <c r="E112" i="1"/>
  <c r="E113" i="1"/>
  <c r="D105" i="1"/>
  <c r="D106" i="1"/>
  <c r="D107" i="1"/>
  <c r="D108" i="1"/>
  <c r="D109" i="1"/>
  <c r="D110" i="1"/>
  <c r="D111" i="1"/>
  <c r="D112" i="1"/>
  <c r="D113" i="1"/>
  <c r="E104" i="1"/>
  <c r="D104" i="1"/>
  <c r="A91" i="1"/>
  <c r="B91" i="1"/>
  <c r="A92" i="1"/>
  <c r="B92" i="1"/>
  <c r="B93" i="1"/>
  <c r="B94" i="1"/>
  <c r="B95" i="1"/>
  <c r="B96" i="1"/>
  <c r="A97" i="1"/>
  <c r="B97" i="1"/>
  <c r="A98" i="1"/>
  <c r="B98" i="1"/>
  <c r="B90" i="1"/>
  <c r="A90" i="1"/>
  <c r="U13" i="1" l="1"/>
  <c r="AD45" i="1" s="1"/>
  <c r="AV2" i="1"/>
  <c r="AV3" i="1"/>
  <c r="AV4" i="1"/>
  <c r="AV5" i="1"/>
  <c r="AV6" i="1"/>
  <c r="AV7" i="1"/>
  <c r="AV8" i="1"/>
  <c r="AV9" i="1"/>
  <c r="AV10" i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V123" i="1"/>
  <c r="AV124" i="1"/>
  <c r="AV125" i="1"/>
  <c r="AV126" i="1"/>
  <c r="AV127" i="1"/>
  <c r="AV128" i="1"/>
  <c r="AV129" i="1"/>
  <c r="AV130" i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V179" i="1"/>
  <c r="AV180" i="1"/>
  <c r="AV181" i="1"/>
  <c r="AV182" i="1"/>
  <c r="AV183" i="1"/>
  <c r="AV184" i="1"/>
  <c r="AV185" i="1"/>
  <c r="AV186" i="1"/>
  <c r="AV187" i="1"/>
  <c r="AV188" i="1"/>
  <c r="AV189" i="1"/>
  <c r="AV190" i="1"/>
  <c r="AV191" i="1"/>
  <c r="AV192" i="1"/>
  <c r="AV193" i="1"/>
  <c r="AV194" i="1"/>
  <c r="AV195" i="1"/>
  <c r="AV196" i="1"/>
  <c r="AV197" i="1"/>
  <c r="AV198" i="1"/>
  <c r="AV199" i="1"/>
  <c r="AV200" i="1"/>
  <c r="AV201" i="1"/>
  <c r="AV202" i="1"/>
  <c r="AV203" i="1"/>
  <c r="AV204" i="1"/>
  <c r="AV205" i="1"/>
  <c r="AV206" i="1"/>
  <c r="AV207" i="1"/>
  <c r="AV208" i="1"/>
  <c r="AV209" i="1"/>
  <c r="AV210" i="1"/>
  <c r="AV211" i="1"/>
  <c r="AV212" i="1"/>
  <c r="AV213" i="1"/>
  <c r="AV214" i="1"/>
  <c r="AV215" i="1"/>
  <c r="AV216" i="1"/>
  <c r="AV217" i="1"/>
  <c r="AV218" i="1"/>
  <c r="AV219" i="1"/>
  <c r="AV220" i="1"/>
  <c r="AV221" i="1"/>
  <c r="AV222" i="1"/>
  <c r="AV223" i="1"/>
  <c r="AV224" i="1"/>
  <c r="AV225" i="1"/>
  <c r="AV226" i="1"/>
  <c r="AV227" i="1"/>
  <c r="AV228" i="1"/>
  <c r="AV229" i="1"/>
  <c r="AV230" i="1"/>
  <c r="AV231" i="1"/>
  <c r="AV232" i="1"/>
  <c r="AV233" i="1"/>
  <c r="AV234" i="1"/>
  <c r="AV235" i="1"/>
  <c r="AV236" i="1"/>
  <c r="AV237" i="1"/>
  <c r="AV238" i="1"/>
  <c r="AV239" i="1"/>
  <c r="AV240" i="1"/>
  <c r="AV241" i="1"/>
  <c r="AV242" i="1"/>
  <c r="AV243" i="1"/>
  <c r="AV244" i="1"/>
  <c r="AV245" i="1"/>
  <c r="AV246" i="1"/>
  <c r="AV247" i="1"/>
  <c r="AV248" i="1"/>
  <c r="AV249" i="1"/>
  <c r="AV250" i="1"/>
  <c r="AV251" i="1"/>
  <c r="AV252" i="1"/>
  <c r="AV253" i="1"/>
  <c r="AV254" i="1"/>
  <c r="AV255" i="1"/>
  <c r="AV256" i="1"/>
  <c r="AV257" i="1"/>
  <c r="AV258" i="1"/>
  <c r="AV259" i="1"/>
  <c r="AV260" i="1"/>
  <c r="AV261" i="1"/>
  <c r="AV262" i="1"/>
  <c r="AV263" i="1"/>
  <c r="AV264" i="1"/>
  <c r="AV265" i="1"/>
  <c r="AV266" i="1"/>
  <c r="AV267" i="1"/>
  <c r="AV268" i="1"/>
  <c r="AV269" i="1"/>
  <c r="AV270" i="1"/>
  <c r="AV271" i="1"/>
  <c r="AV272" i="1"/>
  <c r="AV273" i="1"/>
  <c r="AV274" i="1"/>
  <c r="AV275" i="1"/>
  <c r="AV276" i="1"/>
  <c r="AV277" i="1"/>
  <c r="AV278" i="1"/>
  <c r="AV279" i="1"/>
  <c r="AV280" i="1"/>
  <c r="AV281" i="1"/>
  <c r="AV282" i="1"/>
  <c r="AV283" i="1"/>
  <c r="AV284" i="1"/>
  <c r="AV285" i="1"/>
  <c r="AV286" i="1"/>
  <c r="AV287" i="1"/>
  <c r="AV288" i="1"/>
  <c r="AV289" i="1"/>
  <c r="AV290" i="1"/>
  <c r="AV291" i="1"/>
  <c r="AV292" i="1"/>
  <c r="AV293" i="1"/>
  <c r="AV294" i="1"/>
  <c r="AV295" i="1"/>
  <c r="AV296" i="1"/>
  <c r="AV297" i="1"/>
  <c r="AV298" i="1"/>
  <c r="AV299" i="1"/>
  <c r="AV300" i="1"/>
  <c r="AV301" i="1"/>
  <c r="AV302" i="1"/>
  <c r="AV303" i="1"/>
  <c r="AV304" i="1"/>
  <c r="AV305" i="1"/>
  <c r="AV306" i="1"/>
  <c r="AV307" i="1"/>
  <c r="AV308" i="1"/>
  <c r="AV309" i="1"/>
  <c r="AV310" i="1"/>
  <c r="AV311" i="1"/>
  <c r="AV312" i="1"/>
  <c r="AV313" i="1"/>
  <c r="AV314" i="1"/>
  <c r="AV315" i="1"/>
  <c r="AV316" i="1"/>
  <c r="AV317" i="1"/>
  <c r="AV318" i="1"/>
  <c r="AV319" i="1"/>
  <c r="AV320" i="1"/>
  <c r="AV321" i="1"/>
  <c r="AV322" i="1"/>
  <c r="AV323" i="1"/>
  <c r="AV324" i="1"/>
  <c r="AV325" i="1"/>
  <c r="AV326" i="1"/>
  <c r="AV327" i="1"/>
  <c r="AV328" i="1"/>
  <c r="AV329" i="1"/>
  <c r="AV330" i="1"/>
  <c r="AV331" i="1"/>
  <c r="AV332" i="1"/>
  <c r="AV333" i="1"/>
  <c r="AV334" i="1"/>
  <c r="AV335" i="1"/>
  <c r="AV336" i="1"/>
  <c r="AV337" i="1"/>
  <c r="AV338" i="1"/>
  <c r="AV339" i="1"/>
  <c r="AV340" i="1"/>
  <c r="AV341" i="1"/>
  <c r="AV342" i="1"/>
  <c r="AV343" i="1"/>
  <c r="AV344" i="1"/>
  <c r="AV345" i="1"/>
  <c r="AV346" i="1"/>
  <c r="AV347" i="1"/>
  <c r="AV348" i="1"/>
  <c r="AV349" i="1"/>
  <c r="AV350" i="1"/>
  <c r="AV351" i="1"/>
  <c r="AV352" i="1"/>
  <c r="AV353" i="1"/>
  <c r="AV354" i="1"/>
  <c r="AV355" i="1"/>
  <c r="AV356" i="1"/>
  <c r="AV357" i="1"/>
  <c r="AV358" i="1"/>
  <c r="AV359" i="1"/>
  <c r="AV360" i="1"/>
  <c r="AV361" i="1"/>
  <c r="AV362" i="1"/>
  <c r="D18" i="1" l="1"/>
  <c r="D17" i="1"/>
  <c r="D16" i="1"/>
  <c r="D15" i="1"/>
  <c r="I3" i="1" l="1"/>
  <c r="I2" i="1"/>
  <c r="AZ3" i="1" l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2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37" i="1"/>
  <c r="AD37" i="1" s="1"/>
  <c r="AE41" i="1" l="1"/>
  <c r="AX358" i="1"/>
  <c r="AX350" i="1"/>
  <c r="AX349" i="1"/>
  <c r="AX317" i="1"/>
  <c r="AX293" i="1"/>
  <c r="AX285" i="1"/>
  <c r="AX261" i="1"/>
  <c r="AX253" i="1"/>
  <c r="AX245" i="1"/>
  <c r="AX237" i="1"/>
  <c r="AX229" i="1"/>
  <c r="AX221" i="1"/>
  <c r="AX213" i="1"/>
  <c r="AX205" i="1"/>
  <c r="AX356" i="1"/>
  <c r="AX355" i="1"/>
  <c r="AX361" i="1"/>
  <c r="AX353" i="1"/>
  <c r="AX357" i="1"/>
  <c r="AX333" i="1"/>
  <c r="AX309" i="1"/>
  <c r="AX277" i="1"/>
  <c r="AX362" i="1"/>
  <c r="AX346" i="1"/>
  <c r="AX330" i="1"/>
  <c r="AX314" i="1"/>
  <c r="AX298" i="1"/>
  <c r="AX282" i="1"/>
  <c r="AX266" i="1"/>
  <c r="AX250" i="1"/>
  <c r="AX234" i="1"/>
  <c r="AX218" i="1"/>
  <c r="AX202" i="1"/>
  <c r="AX186" i="1"/>
  <c r="AX352" i="1"/>
  <c r="AX336" i="1"/>
  <c r="AX320" i="1"/>
  <c r="AX312" i="1"/>
  <c r="AX341" i="1"/>
  <c r="AX325" i="1"/>
  <c r="AX301" i="1"/>
  <c r="AX269" i="1"/>
  <c r="AX354" i="1"/>
  <c r="AX338" i="1"/>
  <c r="AX322" i="1"/>
  <c r="AX306" i="1"/>
  <c r="AX290" i="1"/>
  <c r="AX274" i="1"/>
  <c r="AX258" i="1"/>
  <c r="AX242" i="1"/>
  <c r="AX226" i="1"/>
  <c r="AX210" i="1"/>
  <c r="AX194" i="1"/>
  <c r="AX360" i="1"/>
  <c r="AX344" i="1"/>
  <c r="AX328" i="1"/>
  <c r="AX359" i="1"/>
  <c r="AX351" i="1"/>
  <c r="AX197" i="1"/>
  <c r="AX189" i="1"/>
  <c r="AX348" i="1"/>
  <c r="AX345" i="1"/>
  <c r="AX304" i="1"/>
  <c r="AX296" i="1"/>
  <c r="AX342" i="1"/>
  <c r="AX334" i="1"/>
  <c r="AX326" i="1"/>
  <c r="AX340" i="1"/>
  <c r="AX332" i="1"/>
  <c r="AX324" i="1"/>
  <c r="AX347" i="1"/>
  <c r="AX339" i="1"/>
  <c r="AX331" i="1"/>
  <c r="AX323" i="1"/>
  <c r="AX337" i="1"/>
  <c r="AX329" i="1"/>
  <c r="AX288" i="1"/>
  <c r="AX280" i="1"/>
  <c r="AX272" i="1"/>
  <c r="AX264" i="1"/>
  <c r="AX256" i="1"/>
  <c r="AX343" i="1"/>
  <c r="AX335" i="1"/>
  <c r="AX327" i="1"/>
  <c r="AX248" i="1"/>
  <c r="AX318" i="1"/>
  <c r="AX310" i="1"/>
  <c r="AX302" i="1"/>
  <c r="AX294" i="1"/>
  <c r="AX286" i="1"/>
  <c r="AX278" i="1"/>
  <c r="AX270" i="1"/>
  <c r="AX262" i="1"/>
  <c r="AX254" i="1"/>
  <c r="AX246" i="1"/>
  <c r="AX238" i="1"/>
  <c r="AX230" i="1"/>
  <c r="AX222" i="1"/>
  <c r="AX214" i="1"/>
  <c r="AX206" i="1"/>
  <c r="AX198" i="1"/>
  <c r="AX190" i="1"/>
  <c r="AX316" i="1"/>
  <c r="AX308" i="1"/>
  <c r="AX300" i="1"/>
  <c r="AX292" i="1"/>
  <c r="AX284" i="1"/>
  <c r="AX276" i="1"/>
  <c r="AX268" i="1"/>
  <c r="AX260" i="1"/>
  <c r="AX252" i="1"/>
  <c r="AX244" i="1"/>
  <c r="AX236" i="1"/>
  <c r="AX228" i="1"/>
  <c r="AX220" i="1"/>
  <c r="AX212" i="1"/>
  <c r="AX204" i="1"/>
  <c r="AX196" i="1"/>
  <c r="AX188" i="1"/>
  <c r="AX315" i="1"/>
  <c r="AX307" i="1"/>
  <c r="AX299" i="1"/>
  <c r="AX291" i="1"/>
  <c r="AX283" i="1"/>
  <c r="AX275" i="1"/>
  <c r="AX267" i="1"/>
  <c r="AX259" i="1"/>
  <c r="AX251" i="1"/>
  <c r="AX243" i="1"/>
  <c r="AX235" i="1"/>
  <c r="AX227" i="1"/>
  <c r="AX219" i="1"/>
  <c r="AX211" i="1"/>
  <c r="AX203" i="1"/>
  <c r="AX195" i="1"/>
  <c r="AX187" i="1"/>
  <c r="AX321" i="1"/>
  <c r="AX313" i="1"/>
  <c r="AX305" i="1"/>
  <c r="AX297" i="1"/>
  <c r="AX289" i="1"/>
  <c r="AX281" i="1"/>
  <c r="AX273" i="1"/>
  <c r="AX265" i="1"/>
  <c r="AX257" i="1"/>
  <c r="AX249" i="1"/>
  <c r="AX241" i="1"/>
  <c r="AX233" i="1"/>
  <c r="AX225" i="1"/>
  <c r="AX217" i="1"/>
  <c r="AX209" i="1"/>
  <c r="AX201" i="1"/>
  <c r="AX193" i="1"/>
  <c r="AX185" i="1"/>
  <c r="AX240" i="1"/>
  <c r="AX232" i="1"/>
  <c r="AX224" i="1"/>
  <c r="AX216" i="1"/>
  <c r="AX208" i="1"/>
  <c r="AX200" i="1"/>
  <c r="AX192" i="1"/>
  <c r="AX184" i="1"/>
  <c r="AX319" i="1"/>
  <c r="AX311" i="1"/>
  <c r="AX303" i="1"/>
  <c r="AX295" i="1"/>
  <c r="AX287" i="1"/>
  <c r="AX279" i="1"/>
  <c r="AX271" i="1"/>
  <c r="AX263" i="1"/>
  <c r="AX255" i="1"/>
  <c r="AX247" i="1"/>
  <c r="AX239" i="1"/>
  <c r="AX231" i="1"/>
  <c r="AX223" i="1"/>
  <c r="AX215" i="1"/>
  <c r="AX207" i="1"/>
  <c r="AX199" i="1"/>
  <c r="AX191" i="1"/>
  <c r="AX183" i="1"/>
  <c r="BA182" i="1"/>
  <c r="AX182" i="1"/>
  <c r="BA181" i="1"/>
  <c r="AX181" i="1"/>
  <c r="BA180" i="1"/>
  <c r="AX180" i="1"/>
  <c r="BA179" i="1"/>
  <c r="AX179" i="1"/>
  <c r="BA178" i="1"/>
  <c r="AX178" i="1"/>
  <c r="BA177" i="1"/>
  <c r="AX177" i="1"/>
  <c r="BA176" i="1"/>
  <c r="AX176" i="1"/>
  <c r="BA175" i="1"/>
  <c r="AX175" i="1"/>
  <c r="BA174" i="1"/>
  <c r="AX174" i="1"/>
  <c r="BA173" i="1"/>
  <c r="AX173" i="1"/>
  <c r="BA172" i="1"/>
  <c r="AX172" i="1"/>
  <c r="BA171" i="1"/>
  <c r="AX171" i="1"/>
  <c r="BA170" i="1"/>
  <c r="AX170" i="1"/>
  <c r="BA169" i="1"/>
  <c r="AX169" i="1"/>
  <c r="BA168" i="1"/>
  <c r="AX168" i="1"/>
  <c r="BA167" i="1"/>
  <c r="AX167" i="1"/>
  <c r="BA166" i="1"/>
  <c r="AX166" i="1"/>
  <c r="BA165" i="1"/>
  <c r="AX165" i="1"/>
  <c r="BA164" i="1"/>
  <c r="AX164" i="1"/>
  <c r="BA163" i="1"/>
  <c r="AX163" i="1"/>
  <c r="BA162" i="1"/>
  <c r="AX162" i="1"/>
  <c r="BA161" i="1"/>
  <c r="AX161" i="1"/>
  <c r="BA160" i="1"/>
  <c r="AX160" i="1"/>
  <c r="BA159" i="1"/>
  <c r="AX159" i="1"/>
  <c r="BA158" i="1"/>
  <c r="AX158" i="1"/>
  <c r="BA157" i="1"/>
  <c r="AX157" i="1"/>
  <c r="BA156" i="1"/>
  <c r="AX156" i="1"/>
  <c r="BA155" i="1"/>
  <c r="AX155" i="1"/>
  <c r="BA154" i="1"/>
  <c r="AX154" i="1"/>
  <c r="BA153" i="1"/>
  <c r="AX153" i="1"/>
  <c r="BA152" i="1"/>
  <c r="AX152" i="1"/>
  <c r="BA151" i="1"/>
  <c r="AX151" i="1"/>
  <c r="BA150" i="1"/>
  <c r="AX150" i="1"/>
  <c r="BA149" i="1"/>
  <c r="AX149" i="1"/>
  <c r="BA148" i="1"/>
  <c r="AX148" i="1"/>
  <c r="BA147" i="1"/>
  <c r="AX147" i="1"/>
  <c r="BA146" i="1"/>
  <c r="AX146" i="1"/>
  <c r="BA145" i="1"/>
  <c r="AX145" i="1"/>
  <c r="BA144" i="1"/>
  <c r="AX144" i="1"/>
  <c r="BA143" i="1"/>
  <c r="AX143" i="1"/>
  <c r="BA142" i="1"/>
  <c r="AX142" i="1"/>
  <c r="BA141" i="1"/>
  <c r="AX141" i="1"/>
  <c r="BA140" i="1"/>
  <c r="AX140" i="1"/>
  <c r="BA139" i="1"/>
  <c r="AX139" i="1"/>
  <c r="BA138" i="1"/>
  <c r="AX138" i="1"/>
  <c r="BA137" i="1"/>
  <c r="AX137" i="1"/>
  <c r="BA136" i="1"/>
  <c r="AX136" i="1"/>
  <c r="BA135" i="1"/>
  <c r="AX135" i="1"/>
  <c r="BA134" i="1"/>
  <c r="AX134" i="1"/>
  <c r="BA133" i="1"/>
  <c r="AX133" i="1"/>
  <c r="BA132" i="1"/>
  <c r="AX132" i="1"/>
  <c r="BA131" i="1"/>
  <c r="AX131" i="1"/>
  <c r="BA130" i="1"/>
  <c r="AX130" i="1"/>
  <c r="BA129" i="1"/>
  <c r="AX129" i="1"/>
  <c r="BA128" i="1"/>
  <c r="AX128" i="1"/>
  <c r="BA127" i="1"/>
  <c r="AX127" i="1"/>
  <c r="BA126" i="1"/>
  <c r="AX126" i="1"/>
  <c r="BA125" i="1"/>
  <c r="AX125" i="1"/>
  <c r="BA124" i="1"/>
  <c r="AX124" i="1"/>
  <c r="BA123" i="1"/>
  <c r="AX123" i="1"/>
  <c r="BA122" i="1"/>
  <c r="AX122" i="1"/>
  <c r="BA121" i="1"/>
  <c r="AX121" i="1"/>
  <c r="BA120" i="1"/>
  <c r="AX120" i="1"/>
  <c r="BA119" i="1"/>
  <c r="AX119" i="1"/>
  <c r="BA118" i="1"/>
  <c r="AX118" i="1"/>
  <c r="BA117" i="1"/>
  <c r="AX117" i="1"/>
  <c r="BA116" i="1"/>
  <c r="AX116" i="1"/>
  <c r="BA115" i="1"/>
  <c r="AX115" i="1"/>
  <c r="BA114" i="1"/>
  <c r="AX114" i="1"/>
  <c r="BA113" i="1"/>
  <c r="AX113" i="1"/>
  <c r="BA112" i="1"/>
  <c r="AX112" i="1"/>
  <c r="BA111" i="1"/>
  <c r="AX111" i="1"/>
  <c r="BA110" i="1"/>
  <c r="AX110" i="1"/>
  <c r="BA109" i="1"/>
  <c r="AX109" i="1"/>
  <c r="BA108" i="1"/>
  <c r="AX108" i="1"/>
  <c r="BA107" i="1"/>
  <c r="AX107" i="1"/>
  <c r="BA106" i="1"/>
  <c r="AX106" i="1"/>
  <c r="BA105" i="1"/>
  <c r="AX105" i="1"/>
  <c r="BA104" i="1"/>
  <c r="AX104" i="1"/>
  <c r="BA103" i="1"/>
  <c r="AX103" i="1"/>
  <c r="BA102" i="1"/>
  <c r="AX102" i="1"/>
  <c r="BA101" i="1"/>
  <c r="AX101" i="1"/>
  <c r="BA100" i="1"/>
  <c r="AX100" i="1"/>
  <c r="BA99" i="1"/>
  <c r="AX99" i="1"/>
  <c r="BA98" i="1"/>
  <c r="AX98" i="1"/>
  <c r="BA97" i="1"/>
  <c r="AX97" i="1"/>
  <c r="BA96" i="1"/>
  <c r="AX96" i="1"/>
  <c r="BA95" i="1"/>
  <c r="AX95" i="1"/>
  <c r="BA94" i="1"/>
  <c r="AX94" i="1"/>
  <c r="BA93" i="1"/>
  <c r="AX93" i="1"/>
  <c r="BA92" i="1"/>
  <c r="AX92" i="1"/>
  <c r="BA91" i="1"/>
  <c r="AX91" i="1"/>
  <c r="BA90" i="1"/>
  <c r="AX90" i="1"/>
  <c r="BA89" i="1"/>
  <c r="AX89" i="1"/>
  <c r="BA88" i="1"/>
  <c r="AX88" i="1"/>
  <c r="BA87" i="1"/>
  <c r="AX87" i="1"/>
  <c r="BA86" i="1"/>
  <c r="AX86" i="1"/>
  <c r="BA85" i="1"/>
  <c r="AX85" i="1"/>
  <c r="BA84" i="1"/>
  <c r="AX84" i="1"/>
  <c r="BA83" i="1"/>
  <c r="AX83" i="1"/>
  <c r="BA82" i="1"/>
  <c r="AX82" i="1"/>
  <c r="BA81" i="1"/>
  <c r="AX81" i="1"/>
  <c r="BA80" i="1"/>
  <c r="AX80" i="1"/>
  <c r="BA79" i="1"/>
  <c r="AX79" i="1"/>
  <c r="BA78" i="1"/>
  <c r="AX78" i="1"/>
  <c r="BA77" i="1"/>
  <c r="AX77" i="1"/>
  <c r="BA76" i="1"/>
  <c r="AX76" i="1"/>
  <c r="BA75" i="1"/>
  <c r="AX75" i="1"/>
  <c r="BA74" i="1"/>
  <c r="AX74" i="1"/>
  <c r="BA73" i="1"/>
  <c r="AX73" i="1"/>
  <c r="BA72" i="1"/>
  <c r="AX72" i="1"/>
  <c r="BA71" i="1"/>
  <c r="AX71" i="1"/>
  <c r="BA70" i="1"/>
  <c r="AX70" i="1"/>
  <c r="BA69" i="1"/>
  <c r="AX69" i="1"/>
  <c r="BA68" i="1"/>
  <c r="AX68" i="1"/>
  <c r="BA67" i="1"/>
  <c r="AX67" i="1"/>
  <c r="BA66" i="1"/>
  <c r="AX66" i="1"/>
  <c r="BA65" i="1"/>
  <c r="AX65" i="1"/>
  <c r="BA64" i="1"/>
  <c r="AX64" i="1"/>
  <c r="BA63" i="1"/>
  <c r="AX63" i="1"/>
  <c r="BA62" i="1"/>
  <c r="AX62" i="1"/>
  <c r="BA61" i="1"/>
  <c r="AX61" i="1"/>
  <c r="BA60" i="1"/>
  <c r="AX60" i="1"/>
  <c r="BA59" i="1"/>
  <c r="AX59" i="1"/>
  <c r="BA58" i="1"/>
  <c r="AX58" i="1"/>
  <c r="BA57" i="1"/>
  <c r="AX57" i="1"/>
  <c r="BA56" i="1"/>
  <c r="AX56" i="1"/>
  <c r="BA55" i="1"/>
  <c r="AX55" i="1"/>
  <c r="BA54" i="1"/>
  <c r="AX54" i="1"/>
  <c r="BA53" i="1"/>
  <c r="AX53" i="1"/>
  <c r="BA52" i="1"/>
  <c r="AX52" i="1"/>
  <c r="BA51" i="1"/>
  <c r="AX51" i="1"/>
  <c r="BA50" i="1"/>
  <c r="AX50" i="1"/>
  <c r="BA49" i="1"/>
  <c r="AX49" i="1"/>
  <c r="BA48" i="1"/>
  <c r="AX48" i="1"/>
  <c r="BA47" i="1"/>
  <c r="AX47" i="1"/>
  <c r="BA46" i="1"/>
  <c r="AX46" i="1"/>
  <c r="BA45" i="1"/>
  <c r="AX45" i="1"/>
  <c r="BA44" i="1"/>
  <c r="AX44" i="1"/>
  <c r="BA43" i="1"/>
  <c r="AX43" i="1"/>
  <c r="BA42" i="1"/>
  <c r="AX42" i="1"/>
  <c r="BA41" i="1"/>
  <c r="AX41" i="1"/>
  <c r="BA40" i="1"/>
  <c r="AX40" i="1"/>
  <c r="BA39" i="1"/>
  <c r="AX39" i="1"/>
  <c r="BA38" i="1"/>
  <c r="AX38" i="1"/>
  <c r="BA37" i="1"/>
  <c r="AX37" i="1"/>
  <c r="BA36" i="1"/>
  <c r="AX36" i="1"/>
  <c r="BA35" i="1"/>
  <c r="AX35" i="1"/>
  <c r="BA34" i="1"/>
  <c r="AX34" i="1"/>
  <c r="BA33" i="1"/>
  <c r="AX33" i="1"/>
  <c r="BA32" i="1"/>
  <c r="AX32" i="1"/>
  <c r="BA31" i="1"/>
  <c r="AX31" i="1"/>
  <c r="BA30" i="1"/>
  <c r="AX30" i="1"/>
  <c r="BA29" i="1"/>
  <c r="AX29" i="1"/>
  <c r="BA28" i="1"/>
  <c r="AX28" i="1"/>
  <c r="BA27" i="1"/>
  <c r="AX27" i="1"/>
  <c r="BA26" i="1"/>
  <c r="AX26" i="1"/>
  <c r="BA25" i="1"/>
  <c r="AX25" i="1"/>
  <c r="BA24" i="1"/>
  <c r="AX24" i="1"/>
  <c r="BA23" i="1"/>
  <c r="AX23" i="1"/>
  <c r="BA22" i="1"/>
  <c r="AX22" i="1"/>
  <c r="BA21" i="1"/>
  <c r="AX21" i="1"/>
  <c r="BA20" i="1"/>
  <c r="AX20" i="1"/>
  <c r="BA19" i="1"/>
  <c r="AX19" i="1"/>
  <c r="BA18" i="1"/>
  <c r="AX18" i="1"/>
  <c r="BA17" i="1"/>
  <c r="AX17" i="1"/>
  <c r="BA16" i="1"/>
  <c r="AX16" i="1"/>
  <c r="BA15" i="1"/>
  <c r="AX15" i="1"/>
  <c r="BA14" i="1"/>
  <c r="AX14" i="1"/>
  <c r="BA13" i="1"/>
  <c r="AX13" i="1"/>
  <c r="BA12" i="1"/>
  <c r="AX12" i="1"/>
  <c r="BA11" i="1"/>
  <c r="AX11" i="1"/>
  <c r="BA10" i="1"/>
  <c r="AX10" i="1"/>
  <c r="BA9" i="1"/>
  <c r="AX9" i="1"/>
  <c r="BA8" i="1"/>
  <c r="AX8" i="1"/>
  <c r="BA7" i="1"/>
  <c r="AX7" i="1"/>
  <c r="BA6" i="1"/>
  <c r="AX6" i="1"/>
  <c r="BA5" i="1"/>
  <c r="AX5" i="1"/>
  <c r="BA4" i="1"/>
  <c r="AX4" i="1"/>
  <c r="BA3" i="1"/>
  <c r="AX3" i="1"/>
  <c r="BA2" i="1"/>
  <c r="AX2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BB182" i="1" s="1"/>
  <c r="AW181" i="1"/>
  <c r="BB181" i="1" s="1"/>
  <c r="AW180" i="1"/>
  <c r="BB180" i="1" s="1"/>
  <c r="AW179" i="1"/>
  <c r="BB179" i="1" s="1"/>
  <c r="AW178" i="1"/>
  <c r="BB178" i="1" s="1"/>
  <c r="AW177" i="1"/>
  <c r="BB177" i="1" s="1"/>
  <c r="AW176" i="1"/>
  <c r="BB176" i="1" s="1"/>
  <c r="AW175" i="1"/>
  <c r="BB175" i="1" s="1"/>
  <c r="AW174" i="1"/>
  <c r="BB174" i="1" s="1"/>
  <c r="AW173" i="1"/>
  <c r="BB173" i="1" s="1"/>
  <c r="AW172" i="1"/>
  <c r="BB172" i="1" s="1"/>
  <c r="AW171" i="1"/>
  <c r="BB171" i="1" s="1"/>
  <c r="AW170" i="1"/>
  <c r="BB170" i="1" s="1"/>
  <c r="AW169" i="1"/>
  <c r="BB169" i="1" s="1"/>
  <c r="AW168" i="1"/>
  <c r="BB168" i="1" s="1"/>
  <c r="AW167" i="1"/>
  <c r="BB167" i="1" s="1"/>
  <c r="AW166" i="1"/>
  <c r="BB166" i="1" s="1"/>
  <c r="AW165" i="1"/>
  <c r="BB165" i="1" s="1"/>
  <c r="AW164" i="1"/>
  <c r="BB164" i="1" s="1"/>
  <c r="AW163" i="1"/>
  <c r="BB163" i="1" s="1"/>
  <c r="AW162" i="1"/>
  <c r="BB162" i="1" s="1"/>
  <c r="AW161" i="1"/>
  <c r="BB161" i="1" s="1"/>
  <c r="AW160" i="1"/>
  <c r="BB160" i="1" s="1"/>
  <c r="AW159" i="1"/>
  <c r="BB159" i="1" s="1"/>
  <c r="AW158" i="1"/>
  <c r="BB158" i="1" s="1"/>
  <c r="AW157" i="1"/>
  <c r="BB157" i="1" s="1"/>
  <c r="AW156" i="1"/>
  <c r="BB156" i="1" s="1"/>
  <c r="AW155" i="1"/>
  <c r="BB155" i="1" s="1"/>
  <c r="AW154" i="1"/>
  <c r="BB154" i="1" s="1"/>
  <c r="AW153" i="1"/>
  <c r="BB153" i="1" s="1"/>
  <c r="AW152" i="1"/>
  <c r="BB152" i="1" s="1"/>
  <c r="AW151" i="1"/>
  <c r="BB151" i="1" s="1"/>
  <c r="AW150" i="1"/>
  <c r="BB150" i="1" s="1"/>
  <c r="AW149" i="1"/>
  <c r="BB149" i="1" s="1"/>
  <c r="AW148" i="1"/>
  <c r="BB148" i="1" s="1"/>
  <c r="AW147" i="1"/>
  <c r="BB147" i="1" s="1"/>
  <c r="AW146" i="1"/>
  <c r="BB146" i="1" s="1"/>
  <c r="AW145" i="1"/>
  <c r="BB145" i="1" s="1"/>
  <c r="AW144" i="1"/>
  <c r="BB144" i="1" s="1"/>
  <c r="AW143" i="1"/>
  <c r="BB143" i="1" s="1"/>
  <c r="AW142" i="1"/>
  <c r="BB142" i="1" s="1"/>
  <c r="AW141" i="1"/>
  <c r="BB141" i="1" s="1"/>
  <c r="AW140" i="1"/>
  <c r="BB140" i="1" s="1"/>
  <c r="AW139" i="1"/>
  <c r="BB139" i="1" s="1"/>
  <c r="AW138" i="1"/>
  <c r="BB138" i="1" s="1"/>
  <c r="AW137" i="1"/>
  <c r="BB137" i="1" s="1"/>
  <c r="AW136" i="1"/>
  <c r="BB136" i="1" s="1"/>
  <c r="AW135" i="1"/>
  <c r="BB135" i="1" s="1"/>
  <c r="AW134" i="1"/>
  <c r="BB134" i="1" s="1"/>
  <c r="AW133" i="1"/>
  <c r="BB133" i="1" s="1"/>
  <c r="AW132" i="1"/>
  <c r="BB132" i="1" s="1"/>
  <c r="AW131" i="1"/>
  <c r="BB131" i="1" s="1"/>
  <c r="AW130" i="1"/>
  <c r="BB130" i="1" s="1"/>
  <c r="AW129" i="1"/>
  <c r="BB129" i="1" s="1"/>
  <c r="AW128" i="1"/>
  <c r="BB128" i="1" s="1"/>
  <c r="AW127" i="1"/>
  <c r="BB127" i="1" s="1"/>
  <c r="AW126" i="1"/>
  <c r="BB126" i="1" s="1"/>
  <c r="AW125" i="1"/>
  <c r="BB125" i="1" s="1"/>
  <c r="AW124" i="1"/>
  <c r="BB124" i="1" s="1"/>
  <c r="AW123" i="1"/>
  <c r="BB123" i="1" s="1"/>
  <c r="AW122" i="1"/>
  <c r="BB122" i="1" s="1"/>
  <c r="AW121" i="1"/>
  <c r="BB121" i="1" s="1"/>
  <c r="AW120" i="1"/>
  <c r="BB120" i="1" s="1"/>
  <c r="AW119" i="1"/>
  <c r="BB119" i="1" s="1"/>
  <c r="AW118" i="1"/>
  <c r="BB118" i="1" s="1"/>
  <c r="AW117" i="1"/>
  <c r="BB117" i="1" s="1"/>
  <c r="AW116" i="1"/>
  <c r="BB116" i="1" s="1"/>
  <c r="AW115" i="1"/>
  <c r="BB115" i="1" s="1"/>
  <c r="AW114" i="1"/>
  <c r="BB114" i="1" s="1"/>
  <c r="AW113" i="1"/>
  <c r="BB113" i="1" s="1"/>
  <c r="AW112" i="1"/>
  <c r="BB112" i="1" s="1"/>
  <c r="AW111" i="1"/>
  <c r="BB111" i="1" s="1"/>
  <c r="AW110" i="1"/>
  <c r="BB110" i="1" s="1"/>
  <c r="AW109" i="1"/>
  <c r="BB109" i="1" s="1"/>
  <c r="AW108" i="1"/>
  <c r="BB108" i="1" s="1"/>
  <c r="AW107" i="1"/>
  <c r="BB107" i="1" s="1"/>
  <c r="AW106" i="1"/>
  <c r="BB106" i="1" s="1"/>
  <c r="AW105" i="1"/>
  <c r="BB105" i="1" s="1"/>
  <c r="AW104" i="1"/>
  <c r="BB104" i="1" s="1"/>
  <c r="AW103" i="1"/>
  <c r="BB103" i="1" s="1"/>
  <c r="AW102" i="1"/>
  <c r="BB102" i="1" s="1"/>
  <c r="AW101" i="1"/>
  <c r="BB101" i="1" s="1"/>
  <c r="AW100" i="1"/>
  <c r="BB100" i="1" s="1"/>
  <c r="AW99" i="1"/>
  <c r="BB99" i="1" s="1"/>
  <c r="AW98" i="1"/>
  <c r="BB98" i="1" s="1"/>
  <c r="AW97" i="1"/>
  <c r="BB97" i="1" s="1"/>
  <c r="AW96" i="1"/>
  <c r="BB96" i="1" s="1"/>
  <c r="AW95" i="1"/>
  <c r="BB95" i="1" s="1"/>
  <c r="AW94" i="1"/>
  <c r="BB94" i="1" s="1"/>
  <c r="AW93" i="1"/>
  <c r="BB93" i="1" s="1"/>
  <c r="AW92" i="1"/>
  <c r="BB92" i="1" s="1"/>
  <c r="AW91" i="1"/>
  <c r="BB91" i="1" s="1"/>
  <c r="AW90" i="1"/>
  <c r="BB90" i="1" s="1"/>
  <c r="AW89" i="1"/>
  <c r="BB89" i="1" s="1"/>
  <c r="AW88" i="1"/>
  <c r="BB88" i="1" s="1"/>
  <c r="AW87" i="1"/>
  <c r="BB87" i="1" s="1"/>
  <c r="AW86" i="1"/>
  <c r="BB86" i="1" s="1"/>
  <c r="AW85" i="1"/>
  <c r="BB85" i="1" s="1"/>
  <c r="AW84" i="1"/>
  <c r="BB84" i="1" s="1"/>
  <c r="AW83" i="1"/>
  <c r="BB83" i="1" s="1"/>
  <c r="AW82" i="1"/>
  <c r="BB82" i="1" s="1"/>
  <c r="AW81" i="1"/>
  <c r="BB81" i="1" s="1"/>
  <c r="AW80" i="1"/>
  <c r="BB80" i="1" s="1"/>
  <c r="AW79" i="1"/>
  <c r="BB79" i="1" s="1"/>
  <c r="AW78" i="1"/>
  <c r="BB78" i="1" s="1"/>
  <c r="AW77" i="1"/>
  <c r="BB77" i="1" s="1"/>
  <c r="AW76" i="1"/>
  <c r="BB76" i="1" s="1"/>
  <c r="AW75" i="1"/>
  <c r="BB75" i="1" s="1"/>
  <c r="AW74" i="1"/>
  <c r="BB74" i="1" s="1"/>
  <c r="AW73" i="1"/>
  <c r="BB73" i="1" s="1"/>
  <c r="AW72" i="1"/>
  <c r="BB72" i="1" s="1"/>
  <c r="AW71" i="1"/>
  <c r="BB71" i="1" s="1"/>
  <c r="AW70" i="1"/>
  <c r="BB70" i="1" s="1"/>
  <c r="AW69" i="1"/>
  <c r="BB69" i="1" s="1"/>
  <c r="AW68" i="1"/>
  <c r="BB68" i="1" s="1"/>
  <c r="AW67" i="1"/>
  <c r="BB67" i="1" s="1"/>
  <c r="AW66" i="1"/>
  <c r="BB66" i="1" s="1"/>
  <c r="AW65" i="1"/>
  <c r="BB65" i="1" s="1"/>
  <c r="AW64" i="1"/>
  <c r="BB64" i="1" s="1"/>
  <c r="AW63" i="1"/>
  <c r="BB63" i="1" s="1"/>
  <c r="AW62" i="1"/>
  <c r="BB62" i="1" s="1"/>
  <c r="AW61" i="1"/>
  <c r="BB61" i="1" s="1"/>
  <c r="AW60" i="1"/>
  <c r="BB60" i="1" s="1"/>
  <c r="AW59" i="1"/>
  <c r="BB59" i="1" s="1"/>
  <c r="AW58" i="1"/>
  <c r="BB58" i="1" s="1"/>
  <c r="AW57" i="1"/>
  <c r="BB57" i="1" s="1"/>
  <c r="AW56" i="1"/>
  <c r="BB56" i="1" s="1"/>
  <c r="AW55" i="1"/>
  <c r="BB55" i="1" s="1"/>
  <c r="AW54" i="1"/>
  <c r="BB54" i="1" s="1"/>
  <c r="AW53" i="1"/>
  <c r="BB53" i="1" s="1"/>
  <c r="AW52" i="1"/>
  <c r="BB52" i="1" s="1"/>
  <c r="AW51" i="1"/>
  <c r="BB51" i="1" s="1"/>
  <c r="AW50" i="1"/>
  <c r="BB50" i="1" s="1"/>
  <c r="AW49" i="1"/>
  <c r="BB49" i="1" s="1"/>
  <c r="AW48" i="1"/>
  <c r="BB48" i="1" s="1"/>
  <c r="AW47" i="1"/>
  <c r="BB47" i="1" s="1"/>
  <c r="AW46" i="1"/>
  <c r="BB46" i="1" s="1"/>
  <c r="AW45" i="1"/>
  <c r="BB45" i="1" s="1"/>
  <c r="AW44" i="1"/>
  <c r="BB44" i="1" s="1"/>
  <c r="AW43" i="1"/>
  <c r="BB43" i="1" s="1"/>
  <c r="AW42" i="1"/>
  <c r="BB42" i="1" s="1"/>
  <c r="AW41" i="1"/>
  <c r="BB41" i="1" s="1"/>
  <c r="AW40" i="1"/>
  <c r="BB40" i="1" s="1"/>
  <c r="AW39" i="1"/>
  <c r="BB39" i="1" s="1"/>
  <c r="AW38" i="1"/>
  <c r="BB38" i="1" s="1"/>
  <c r="AW37" i="1"/>
  <c r="BB37" i="1" s="1"/>
  <c r="AW36" i="1"/>
  <c r="BB36" i="1" s="1"/>
  <c r="AW35" i="1"/>
  <c r="BB35" i="1" s="1"/>
  <c r="AW34" i="1"/>
  <c r="BB34" i="1" s="1"/>
  <c r="AW33" i="1"/>
  <c r="BB33" i="1" s="1"/>
  <c r="AW32" i="1"/>
  <c r="BB32" i="1" s="1"/>
  <c r="AW31" i="1"/>
  <c r="BB31" i="1" s="1"/>
  <c r="AW30" i="1"/>
  <c r="BB30" i="1" s="1"/>
  <c r="AW29" i="1"/>
  <c r="BB29" i="1" s="1"/>
  <c r="AW28" i="1"/>
  <c r="BB28" i="1" s="1"/>
  <c r="AW27" i="1"/>
  <c r="BB27" i="1" s="1"/>
  <c r="AW26" i="1"/>
  <c r="BB26" i="1" s="1"/>
  <c r="AW25" i="1"/>
  <c r="BB25" i="1" s="1"/>
  <c r="AW24" i="1"/>
  <c r="BB24" i="1" s="1"/>
  <c r="AW23" i="1"/>
  <c r="BB23" i="1" s="1"/>
  <c r="AW22" i="1"/>
  <c r="BB22" i="1" s="1"/>
  <c r="AW21" i="1"/>
  <c r="BB21" i="1" s="1"/>
  <c r="AW20" i="1"/>
  <c r="BB20" i="1" s="1"/>
  <c r="AW19" i="1"/>
  <c r="BB19" i="1" s="1"/>
  <c r="AW18" i="1"/>
  <c r="BB18" i="1" s="1"/>
  <c r="AW17" i="1"/>
  <c r="BB17" i="1" s="1"/>
  <c r="AW16" i="1"/>
  <c r="BB16" i="1" s="1"/>
  <c r="AW15" i="1"/>
  <c r="BB15" i="1" s="1"/>
  <c r="AW14" i="1"/>
  <c r="BB14" i="1" s="1"/>
  <c r="AW13" i="1"/>
  <c r="BB13" i="1" s="1"/>
  <c r="AW12" i="1"/>
  <c r="BB12" i="1" s="1"/>
  <c r="AW11" i="1"/>
  <c r="BB11" i="1" s="1"/>
  <c r="AW10" i="1"/>
  <c r="BB10" i="1" s="1"/>
  <c r="AW9" i="1"/>
  <c r="BB9" i="1" s="1"/>
  <c r="AW8" i="1"/>
  <c r="BB8" i="1" s="1"/>
  <c r="AW7" i="1"/>
  <c r="BB7" i="1" s="1"/>
  <c r="AW6" i="1"/>
  <c r="BB6" i="1" s="1"/>
  <c r="AW5" i="1"/>
  <c r="BB5" i="1" s="1"/>
  <c r="AW4" i="1"/>
  <c r="BB4" i="1" s="1"/>
  <c r="AW3" i="1"/>
  <c r="BB3" i="1" s="1"/>
  <c r="AW2" i="1"/>
  <c r="BB2" i="1" s="1"/>
  <c r="AD46" i="1"/>
  <c r="AE38" i="1"/>
  <c r="AD38" i="1"/>
  <c r="AD39" i="1" s="1"/>
  <c r="AE39" i="1" s="1"/>
  <c r="BC182" i="1" l="1"/>
  <c r="BC178" i="1"/>
  <c r="BC174" i="1"/>
  <c r="BC172" i="1"/>
  <c r="BC170" i="1"/>
  <c r="BC168" i="1"/>
  <c r="BC166" i="1"/>
  <c r="BC162" i="1"/>
  <c r="BC161" i="1"/>
  <c r="BC158" i="1"/>
  <c r="BC154" i="1"/>
  <c r="BC152" i="1"/>
  <c r="BC150" i="1"/>
  <c r="BC146" i="1"/>
  <c r="BC144" i="1"/>
  <c r="BC142" i="1"/>
  <c r="BC138" i="1"/>
  <c r="BC134" i="1"/>
  <c r="BC132" i="1"/>
  <c r="BC130" i="1"/>
  <c r="BC129" i="1"/>
  <c r="BC126" i="1"/>
  <c r="BC122" i="1"/>
  <c r="BC120" i="1"/>
  <c r="BC110" i="1"/>
  <c r="BC106" i="1"/>
  <c r="BC104" i="1"/>
  <c r="BC100" i="1"/>
  <c r="BC97" i="1"/>
  <c r="BC94" i="1"/>
  <c r="BC90" i="1"/>
  <c r="BC88" i="1"/>
  <c r="BC82" i="1"/>
  <c r="BC80" i="1"/>
  <c r="BC78" i="1"/>
  <c r="BC74" i="1"/>
  <c r="BC73" i="1"/>
  <c r="BC72" i="1"/>
  <c r="BC68" i="1"/>
  <c r="BC62" i="1"/>
  <c r="BC58" i="1"/>
  <c r="BC56" i="1"/>
  <c r="BC52" i="1"/>
  <c r="BC46" i="1"/>
  <c r="BC42" i="1"/>
  <c r="BC41" i="1"/>
  <c r="BC36" i="1"/>
  <c r="BC26" i="1"/>
  <c r="BC18" i="1"/>
  <c r="BC12" i="1"/>
  <c r="BC9" i="1"/>
  <c r="BC8" i="1"/>
  <c r="BC4" i="1"/>
  <c r="BC24" i="1"/>
  <c r="BC136" i="1"/>
  <c r="BC116" i="1"/>
  <c r="BC17" i="1"/>
  <c r="BC21" i="1"/>
  <c r="BC25" i="1"/>
  <c r="BC29" i="1"/>
  <c r="BC33" i="1"/>
  <c r="BC37" i="1"/>
  <c r="BC45" i="1"/>
  <c r="BC53" i="1"/>
  <c r="BC57" i="1"/>
  <c r="BC61" i="1"/>
  <c r="BC65" i="1"/>
  <c r="BC69" i="1"/>
  <c r="BC77" i="1"/>
  <c r="BC81" i="1"/>
  <c r="BC85" i="1"/>
  <c r="BC89" i="1"/>
  <c r="BC93" i="1"/>
  <c r="BC101" i="1"/>
  <c r="BC105" i="1"/>
  <c r="BC109" i="1"/>
  <c r="BC113" i="1"/>
  <c r="BC117" i="1"/>
  <c r="BC121" i="1"/>
  <c r="BC125" i="1"/>
  <c r="BC133" i="1"/>
  <c r="BC137" i="1"/>
  <c r="BC141" i="1"/>
  <c r="BC145" i="1"/>
  <c r="BC149" i="1"/>
  <c r="BC153" i="1"/>
  <c r="BC157" i="1"/>
  <c r="BC165" i="1"/>
  <c r="BC169" i="1"/>
  <c r="BC173" i="1"/>
  <c r="BC177" i="1"/>
  <c r="BC181" i="1"/>
  <c r="BC96" i="1"/>
  <c r="BC5" i="1"/>
  <c r="BC13" i="1"/>
  <c r="BC49" i="1"/>
  <c r="BC84" i="1"/>
  <c r="BC148" i="1"/>
  <c r="BC14" i="1"/>
  <c r="BC86" i="1"/>
  <c r="BC20" i="1"/>
  <c r="BC48" i="1"/>
  <c r="BC112" i="1"/>
  <c r="BC180" i="1"/>
  <c r="BC22" i="1"/>
  <c r="BC30" i="1"/>
  <c r="BC38" i="1"/>
  <c r="BC54" i="1"/>
  <c r="BC70" i="1"/>
  <c r="BC102" i="1"/>
  <c r="BC118" i="1"/>
  <c r="BC160" i="1"/>
  <c r="BC64" i="1"/>
  <c r="BC164" i="1"/>
  <c r="BC6" i="1"/>
  <c r="BC10" i="1"/>
  <c r="BC92" i="1"/>
  <c r="BC124" i="1"/>
  <c r="BC176" i="1"/>
  <c r="BC7" i="1"/>
  <c r="BC11" i="1"/>
  <c r="BC15" i="1"/>
  <c r="BC19" i="1"/>
  <c r="BC23" i="1"/>
  <c r="BC27" i="1"/>
  <c r="BC35" i="1"/>
  <c r="BC39" i="1"/>
  <c r="BC43" i="1"/>
  <c r="BC47" i="1"/>
  <c r="BC51" i="1"/>
  <c r="BC55" i="1"/>
  <c r="BC59" i="1"/>
  <c r="BC63" i="1"/>
  <c r="BC67" i="1"/>
  <c r="BC71" i="1"/>
  <c r="BC75" i="1"/>
  <c r="BC79" i="1"/>
  <c r="BC83" i="1"/>
  <c r="BC87" i="1"/>
  <c r="BC91" i="1"/>
  <c r="BC95" i="1"/>
  <c r="BC99" i="1"/>
  <c r="BC103" i="1"/>
  <c r="BC107" i="1"/>
  <c r="BC111" i="1"/>
  <c r="BC115" i="1"/>
  <c r="BC119" i="1"/>
  <c r="BC123" i="1"/>
  <c r="BC127" i="1"/>
  <c r="BC131" i="1"/>
  <c r="BC135" i="1"/>
  <c r="BC139" i="1"/>
  <c r="BC143" i="1"/>
  <c r="BC147" i="1"/>
  <c r="BC151" i="1"/>
  <c r="BC155" i="1"/>
  <c r="BC159" i="1"/>
  <c r="BC163" i="1"/>
  <c r="BC167" i="1"/>
  <c r="BC171" i="1"/>
  <c r="BC175" i="1"/>
  <c r="BC179" i="1"/>
  <c r="BC32" i="1"/>
  <c r="BC128" i="1"/>
  <c r="BC16" i="1"/>
  <c r="BC44" i="1"/>
  <c r="BC60" i="1"/>
  <c r="BC108" i="1"/>
  <c r="BC31" i="1"/>
  <c r="BC28" i="1"/>
  <c r="BC34" i="1"/>
  <c r="BC40" i="1"/>
  <c r="BC50" i="1"/>
  <c r="BC66" i="1"/>
  <c r="BC76" i="1"/>
  <c r="BC98" i="1"/>
  <c r="BC114" i="1"/>
  <c r="BC140" i="1"/>
  <c r="BC156" i="1"/>
  <c r="BC2" i="1"/>
  <c r="AY3" i="1"/>
  <c r="BD3" i="1" s="1"/>
  <c r="BC3" i="1"/>
  <c r="AE40" i="1"/>
  <c r="AD40" i="1"/>
  <c r="AD41" i="1" s="1"/>
  <c r="AY328" i="1"/>
  <c r="AY264" i="1"/>
  <c r="AY200" i="1"/>
  <c r="AY136" i="1"/>
  <c r="BD136" i="1" s="1"/>
  <c r="AY72" i="1"/>
  <c r="BD72" i="1" s="1"/>
  <c r="AY360" i="1"/>
  <c r="AY320" i="1"/>
  <c r="AY256" i="1"/>
  <c r="AY192" i="1"/>
  <c r="AY128" i="1"/>
  <c r="BD128" i="1" s="1"/>
  <c r="AY64" i="1"/>
  <c r="BD64" i="1" s="1"/>
  <c r="AY359" i="1"/>
  <c r="AY312" i="1"/>
  <c r="AY248" i="1"/>
  <c r="AY184" i="1"/>
  <c r="AY120" i="1"/>
  <c r="BD120" i="1" s="1"/>
  <c r="AY56" i="1"/>
  <c r="BD56" i="1" s="1"/>
  <c r="AY352" i="1"/>
  <c r="AY304" i="1"/>
  <c r="AY240" i="1"/>
  <c r="AY176" i="1"/>
  <c r="BD176" i="1" s="1"/>
  <c r="AY112" i="1"/>
  <c r="BD112" i="1" s="1"/>
  <c r="AY48" i="1"/>
  <c r="BD48" i="1" s="1"/>
  <c r="AY351" i="1"/>
  <c r="AY296" i="1"/>
  <c r="AY232" i="1"/>
  <c r="AY168" i="1"/>
  <c r="BD168" i="1" s="1"/>
  <c r="AY104" i="1"/>
  <c r="BD104" i="1" s="1"/>
  <c r="AY40" i="1"/>
  <c r="BD40" i="1" s="1"/>
  <c r="AY344" i="1"/>
  <c r="AY288" i="1"/>
  <c r="AY224" i="1"/>
  <c r="AY160" i="1"/>
  <c r="BD160" i="1" s="1"/>
  <c r="AY96" i="1"/>
  <c r="BD96" i="1" s="1"/>
  <c r="AY32" i="1"/>
  <c r="BD32" i="1" s="1"/>
  <c r="AY336" i="1"/>
  <c r="AY280" i="1"/>
  <c r="AY216" i="1"/>
  <c r="AY152" i="1"/>
  <c r="BD152" i="1" s="1"/>
  <c r="AY88" i="1"/>
  <c r="BD88" i="1" s="1"/>
  <c r="AY24" i="1"/>
  <c r="BD24" i="1" s="1"/>
  <c r="AY335" i="1"/>
  <c r="AY272" i="1"/>
  <c r="AY208" i="1"/>
  <c r="AY144" i="1"/>
  <c r="BD144" i="1" s="1"/>
  <c r="AY80" i="1"/>
  <c r="BD80" i="1" s="1"/>
  <c r="AY16" i="1"/>
  <c r="BD16" i="1" s="1"/>
  <c r="AY287" i="1"/>
  <c r="AY239" i="1"/>
  <c r="AY207" i="1"/>
  <c r="AY167" i="1"/>
  <c r="BD167" i="1" s="1"/>
  <c r="AY151" i="1"/>
  <c r="BD151" i="1" s="1"/>
  <c r="AY119" i="1"/>
  <c r="BD119" i="1" s="1"/>
  <c r="AY95" i="1"/>
  <c r="BD95" i="1" s="1"/>
  <c r="AY63" i="1"/>
  <c r="BD63" i="1" s="1"/>
  <c r="AY47" i="1"/>
  <c r="BD47" i="1" s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BD178" i="1" s="1"/>
  <c r="AY170" i="1"/>
  <c r="BD170" i="1" s="1"/>
  <c r="AY162" i="1"/>
  <c r="BD162" i="1" s="1"/>
  <c r="AY154" i="1"/>
  <c r="BD154" i="1" s="1"/>
  <c r="AY146" i="1"/>
  <c r="BD146" i="1" s="1"/>
  <c r="AY138" i="1"/>
  <c r="BD138" i="1" s="1"/>
  <c r="AY130" i="1"/>
  <c r="BD130" i="1" s="1"/>
  <c r="AY122" i="1"/>
  <c r="BD122" i="1" s="1"/>
  <c r="AY114" i="1"/>
  <c r="BD114" i="1" s="1"/>
  <c r="AY106" i="1"/>
  <c r="BD106" i="1" s="1"/>
  <c r="AY98" i="1"/>
  <c r="BD98" i="1" s="1"/>
  <c r="AY90" i="1"/>
  <c r="BD90" i="1" s="1"/>
  <c r="AY82" i="1"/>
  <c r="BD82" i="1" s="1"/>
  <c r="AY74" i="1"/>
  <c r="BD74" i="1" s="1"/>
  <c r="AY66" i="1"/>
  <c r="BD66" i="1" s="1"/>
  <c r="AY58" i="1"/>
  <c r="BD58" i="1" s="1"/>
  <c r="AY50" i="1"/>
  <c r="BD50" i="1" s="1"/>
  <c r="AY42" i="1"/>
  <c r="BD42" i="1" s="1"/>
  <c r="AY34" i="1"/>
  <c r="BD34" i="1" s="1"/>
  <c r="AY26" i="1"/>
  <c r="BD26" i="1" s="1"/>
  <c r="AY18" i="1"/>
  <c r="BD18" i="1" s="1"/>
  <c r="AY10" i="1"/>
  <c r="BD10" i="1" s="1"/>
  <c r="AY311" i="1"/>
  <c r="AY295" i="1"/>
  <c r="AY247" i="1"/>
  <c r="AY215" i="1"/>
  <c r="AY175" i="1"/>
  <c r="BD175" i="1" s="1"/>
  <c r="AY143" i="1"/>
  <c r="BD143" i="1" s="1"/>
  <c r="AY111" i="1"/>
  <c r="BD111" i="1" s="1"/>
  <c r="AY87" i="1"/>
  <c r="BD87" i="1" s="1"/>
  <c r="AY55" i="1"/>
  <c r="BD55" i="1" s="1"/>
  <c r="AY39" i="1"/>
  <c r="BD39" i="1" s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BD177" i="1" s="1"/>
  <c r="AY169" i="1"/>
  <c r="BD169" i="1" s="1"/>
  <c r="AY161" i="1"/>
  <c r="BD161" i="1" s="1"/>
  <c r="AY153" i="1"/>
  <c r="BD153" i="1" s="1"/>
  <c r="AY145" i="1"/>
  <c r="BD145" i="1" s="1"/>
  <c r="AY137" i="1"/>
  <c r="BD137" i="1" s="1"/>
  <c r="AY129" i="1"/>
  <c r="BD129" i="1" s="1"/>
  <c r="AY121" i="1"/>
  <c r="BD121" i="1" s="1"/>
  <c r="AY113" i="1"/>
  <c r="BD113" i="1" s="1"/>
  <c r="AY105" i="1"/>
  <c r="BD105" i="1" s="1"/>
  <c r="AY97" i="1"/>
  <c r="BD97" i="1" s="1"/>
  <c r="AY89" i="1"/>
  <c r="BD89" i="1" s="1"/>
  <c r="AY81" i="1"/>
  <c r="BD81" i="1" s="1"/>
  <c r="AY73" i="1"/>
  <c r="BD73" i="1" s="1"/>
  <c r="AY65" i="1"/>
  <c r="BD65" i="1" s="1"/>
  <c r="AY57" i="1"/>
  <c r="BD57" i="1" s="1"/>
  <c r="AY49" i="1"/>
  <c r="BD49" i="1" s="1"/>
  <c r="AY41" i="1"/>
  <c r="BD41" i="1" s="1"/>
  <c r="AY33" i="1"/>
  <c r="BD33" i="1" s="1"/>
  <c r="AY25" i="1"/>
  <c r="BD25" i="1" s="1"/>
  <c r="AY17" i="1"/>
  <c r="BD17" i="1" s="1"/>
  <c r="AY9" i="1"/>
  <c r="BD9" i="1" s="1"/>
  <c r="AY8" i="1"/>
  <c r="BD8" i="1" s="1"/>
  <c r="AY7" i="1"/>
  <c r="BD7" i="1" s="1"/>
  <c r="AY327" i="1"/>
  <c r="AY271" i="1"/>
  <c r="AY231" i="1"/>
  <c r="AY183" i="1"/>
  <c r="AY127" i="1"/>
  <c r="BD127" i="1" s="1"/>
  <c r="AY71" i="1"/>
  <c r="BD71" i="1" s="1"/>
  <c r="AY23" i="1"/>
  <c r="BD23" i="1" s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BD182" i="1" s="1"/>
  <c r="AY174" i="1"/>
  <c r="BD174" i="1" s="1"/>
  <c r="AY166" i="1"/>
  <c r="BD166" i="1" s="1"/>
  <c r="AY158" i="1"/>
  <c r="BD158" i="1" s="1"/>
  <c r="AY150" i="1"/>
  <c r="BD150" i="1" s="1"/>
  <c r="AY142" i="1"/>
  <c r="BD142" i="1" s="1"/>
  <c r="AY134" i="1"/>
  <c r="BD134" i="1" s="1"/>
  <c r="AY126" i="1"/>
  <c r="BD126" i="1" s="1"/>
  <c r="AY118" i="1"/>
  <c r="BD118" i="1" s="1"/>
  <c r="AY110" i="1"/>
  <c r="BD110" i="1" s="1"/>
  <c r="AY102" i="1"/>
  <c r="BD102" i="1" s="1"/>
  <c r="AY94" i="1"/>
  <c r="BD94" i="1" s="1"/>
  <c r="AY86" i="1"/>
  <c r="BD86" i="1" s="1"/>
  <c r="AY78" i="1"/>
  <c r="BD78" i="1" s="1"/>
  <c r="AY70" i="1"/>
  <c r="BD70" i="1" s="1"/>
  <c r="AY62" i="1"/>
  <c r="BD62" i="1" s="1"/>
  <c r="AY54" i="1"/>
  <c r="BD54" i="1" s="1"/>
  <c r="AY46" i="1"/>
  <c r="BD46" i="1" s="1"/>
  <c r="AY38" i="1"/>
  <c r="BD38" i="1" s="1"/>
  <c r="AY30" i="1"/>
  <c r="BD30" i="1" s="1"/>
  <c r="AY22" i="1"/>
  <c r="BD22" i="1" s="1"/>
  <c r="AY14" i="1"/>
  <c r="BD14" i="1" s="1"/>
  <c r="AY6" i="1"/>
  <c r="BD6" i="1" s="1"/>
  <c r="AY343" i="1"/>
  <c r="AY303" i="1"/>
  <c r="AY279" i="1"/>
  <c r="AY255" i="1"/>
  <c r="AY199" i="1"/>
  <c r="AY135" i="1"/>
  <c r="BD135" i="1" s="1"/>
  <c r="AY79" i="1"/>
  <c r="BD79" i="1" s="1"/>
  <c r="AY31" i="1"/>
  <c r="BD31" i="1" s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BD181" i="1" s="1"/>
  <c r="AY173" i="1"/>
  <c r="BD173" i="1" s="1"/>
  <c r="AY165" i="1"/>
  <c r="BD165" i="1" s="1"/>
  <c r="AY157" i="1"/>
  <c r="BD157" i="1" s="1"/>
  <c r="AY149" i="1"/>
  <c r="BD149" i="1" s="1"/>
  <c r="AY141" i="1"/>
  <c r="BD141" i="1" s="1"/>
  <c r="AY133" i="1"/>
  <c r="BD133" i="1" s="1"/>
  <c r="AY125" i="1"/>
  <c r="BD125" i="1" s="1"/>
  <c r="AY117" i="1"/>
  <c r="BD117" i="1" s="1"/>
  <c r="AY109" i="1"/>
  <c r="BD109" i="1" s="1"/>
  <c r="AY101" i="1"/>
  <c r="BD101" i="1" s="1"/>
  <c r="AY93" i="1"/>
  <c r="BD93" i="1" s="1"/>
  <c r="AY85" i="1"/>
  <c r="BD85" i="1" s="1"/>
  <c r="AY77" i="1"/>
  <c r="BD77" i="1" s="1"/>
  <c r="AY69" i="1"/>
  <c r="BD69" i="1" s="1"/>
  <c r="AY61" i="1"/>
  <c r="BD61" i="1" s="1"/>
  <c r="AY53" i="1"/>
  <c r="BD53" i="1" s="1"/>
  <c r="AY45" i="1"/>
  <c r="BD45" i="1" s="1"/>
  <c r="AY37" i="1"/>
  <c r="BD37" i="1" s="1"/>
  <c r="AY29" i="1"/>
  <c r="BD29" i="1" s="1"/>
  <c r="AY21" i="1"/>
  <c r="BD21" i="1" s="1"/>
  <c r="AY13" i="1"/>
  <c r="BD13" i="1" s="1"/>
  <c r="AY5" i="1"/>
  <c r="BD5" i="1" s="1"/>
  <c r="AY319" i="1"/>
  <c r="AY263" i="1"/>
  <c r="AY223" i="1"/>
  <c r="AY191" i="1"/>
  <c r="AY159" i="1"/>
  <c r="BD159" i="1" s="1"/>
  <c r="AY103" i="1"/>
  <c r="BD103" i="1" s="1"/>
  <c r="AY15" i="1"/>
  <c r="BD15" i="1" s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BD180" i="1" s="1"/>
  <c r="AY172" i="1"/>
  <c r="BD172" i="1" s="1"/>
  <c r="AY164" i="1"/>
  <c r="BD164" i="1" s="1"/>
  <c r="AY156" i="1"/>
  <c r="BD156" i="1" s="1"/>
  <c r="AY148" i="1"/>
  <c r="BD148" i="1" s="1"/>
  <c r="AY140" i="1"/>
  <c r="BD140" i="1" s="1"/>
  <c r="AY132" i="1"/>
  <c r="BD132" i="1" s="1"/>
  <c r="AY124" i="1"/>
  <c r="BD124" i="1" s="1"/>
  <c r="AY116" i="1"/>
  <c r="BD116" i="1" s="1"/>
  <c r="AY108" i="1"/>
  <c r="BD108" i="1" s="1"/>
  <c r="AY100" i="1"/>
  <c r="BD100" i="1" s="1"/>
  <c r="AY92" i="1"/>
  <c r="BD92" i="1" s="1"/>
  <c r="AY84" i="1"/>
  <c r="BD84" i="1" s="1"/>
  <c r="AY76" i="1"/>
  <c r="BD76" i="1" s="1"/>
  <c r="AY68" i="1"/>
  <c r="BD68" i="1" s="1"/>
  <c r="AY60" i="1"/>
  <c r="BD60" i="1" s="1"/>
  <c r="AY52" i="1"/>
  <c r="BD52" i="1" s="1"/>
  <c r="AY44" i="1"/>
  <c r="BD44" i="1" s="1"/>
  <c r="AY36" i="1"/>
  <c r="BD36" i="1" s="1"/>
  <c r="AY28" i="1"/>
  <c r="BD28" i="1" s="1"/>
  <c r="AY20" i="1"/>
  <c r="BD20" i="1" s="1"/>
  <c r="AY12" i="1"/>
  <c r="BD12" i="1" s="1"/>
  <c r="AY4" i="1"/>
  <c r="BD4" i="1" s="1"/>
  <c r="AY2" i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BD179" i="1" s="1"/>
  <c r="AY171" i="1"/>
  <c r="BD171" i="1" s="1"/>
  <c r="AY163" i="1"/>
  <c r="BD163" i="1" s="1"/>
  <c r="AY155" i="1"/>
  <c r="BD155" i="1" s="1"/>
  <c r="AY147" i="1"/>
  <c r="BD147" i="1" s="1"/>
  <c r="AY139" i="1"/>
  <c r="BD139" i="1" s="1"/>
  <c r="AY131" i="1"/>
  <c r="BD131" i="1" s="1"/>
  <c r="AY123" i="1"/>
  <c r="BD123" i="1" s="1"/>
  <c r="AY115" i="1"/>
  <c r="BD115" i="1" s="1"/>
  <c r="AY107" i="1"/>
  <c r="BD107" i="1" s="1"/>
  <c r="AY99" i="1"/>
  <c r="BD99" i="1" s="1"/>
  <c r="AY91" i="1"/>
  <c r="BD91" i="1" s="1"/>
  <c r="AY83" i="1"/>
  <c r="BD83" i="1" s="1"/>
  <c r="AY75" i="1"/>
  <c r="BD75" i="1" s="1"/>
  <c r="AY67" i="1"/>
  <c r="BD67" i="1" s="1"/>
  <c r="AY59" i="1"/>
  <c r="BD59" i="1" s="1"/>
  <c r="AY51" i="1"/>
  <c r="BD51" i="1" s="1"/>
  <c r="AY43" i="1"/>
  <c r="BD43" i="1" s="1"/>
  <c r="AY35" i="1"/>
  <c r="BD35" i="1" s="1"/>
  <c r="AY27" i="1"/>
  <c r="BD27" i="1" s="1"/>
  <c r="AY19" i="1"/>
  <c r="BD19" i="1" s="1"/>
  <c r="AY11" i="1"/>
  <c r="BD11" i="1" s="1"/>
  <c r="AB6" i="1"/>
  <c r="U14" i="1"/>
  <c r="AA6" i="1" s="1"/>
  <c r="BD2" i="1" l="1"/>
  <c r="U15" i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F28" i="1"/>
  <c r="H27" i="1" s="1"/>
  <c r="I27" i="1" s="1"/>
  <c r="C17" i="1"/>
  <c r="C106" i="1" s="1"/>
  <c r="J106" i="1" s="1"/>
  <c r="C18" i="1"/>
  <c r="C107" i="1" s="1"/>
  <c r="J107" i="1" s="1"/>
  <c r="C19" i="1"/>
  <c r="C108" i="1" s="1"/>
  <c r="J108" i="1" s="1"/>
  <c r="C20" i="1"/>
  <c r="C109" i="1" s="1"/>
  <c r="J109" i="1" s="1"/>
  <c r="C21" i="1"/>
  <c r="C110" i="1" s="1"/>
  <c r="J110" i="1" s="1"/>
  <c r="C22" i="1"/>
  <c r="C111" i="1" s="1"/>
  <c r="J111" i="1" s="1"/>
  <c r="C23" i="1"/>
  <c r="C112" i="1" s="1"/>
  <c r="J112" i="1" s="1"/>
  <c r="C24" i="1"/>
  <c r="C113" i="1" s="1"/>
  <c r="J113" i="1" s="1"/>
  <c r="K110" i="1" l="1"/>
  <c r="L110" i="1"/>
  <c r="K113" i="1"/>
  <c r="L113" i="1"/>
  <c r="L106" i="1"/>
  <c r="K106" i="1"/>
  <c r="K109" i="1"/>
  <c r="L109" i="1"/>
  <c r="L111" i="1"/>
  <c r="K111" i="1"/>
  <c r="L107" i="1"/>
  <c r="K107" i="1"/>
  <c r="K105" i="1"/>
  <c r="L105" i="1"/>
  <c r="K112" i="1"/>
  <c r="L112" i="1"/>
  <c r="K108" i="1"/>
  <c r="L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F105" i="1"/>
  <c r="F107" i="1"/>
  <c r="F106" i="1"/>
  <c r="F113" i="1"/>
  <c r="F112" i="1"/>
  <c r="F109" i="1"/>
  <c r="F111" i="1"/>
  <c r="F110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F5" i="1"/>
  <c r="E4" i="1"/>
  <c r="B4" i="1"/>
  <c r="B29" i="1" s="1"/>
  <c r="B3" i="1"/>
  <c r="G112" i="1" l="1"/>
  <c r="H112" i="1"/>
  <c r="G113" i="1"/>
  <c r="H113" i="1"/>
  <c r="G106" i="1"/>
  <c r="H106" i="1"/>
  <c r="F8" i="1"/>
  <c r="G107" i="1"/>
  <c r="H107" i="1"/>
  <c r="E92" i="1"/>
  <c r="H105" i="1"/>
  <c r="G105" i="1"/>
  <c r="H109" i="1"/>
  <c r="G109" i="1"/>
  <c r="D91" i="1"/>
  <c r="C91" i="1"/>
  <c r="E91" i="1"/>
  <c r="G110" i="1"/>
  <c r="H110" i="1"/>
  <c r="G108" i="1"/>
  <c r="H108" i="1"/>
  <c r="G111" i="1"/>
  <c r="H111" i="1"/>
  <c r="E5" i="1"/>
  <c r="G4" i="1"/>
  <c r="F6" i="1"/>
  <c r="G5" i="1"/>
  <c r="E7" i="1"/>
  <c r="A94" i="1" s="1"/>
  <c r="E8" i="1" l="1"/>
  <c r="A95" i="1" s="1"/>
  <c r="E95" i="1" s="1"/>
  <c r="F9" i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J104" i="1"/>
  <c r="J114" i="1" s="1"/>
  <c r="J115" i="1" s="1"/>
  <c r="D127" i="1" s="1"/>
  <c r="F104" i="1"/>
  <c r="F114" i="1" s="1"/>
  <c r="C62" i="1"/>
  <c r="C25" i="1"/>
  <c r="D25" i="1" s="1"/>
  <c r="B115" i="1" l="1"/>
  <c r="B127" i="1" s="1"/>
  <c r="D99" i="1"/>
  <c r="B102" i="1" s="1"/>
  <c r="E99" i="1"/>
  <c r="B101" i="1" s="1"/>
  <c r="K104" i="1"/>
  <c r="K114" i="1" s="1"/>
  <c r="J116" i="1" s="1"/>
  <c r="D125" i="1" s="1"/>
  <c r="L104" i="1"/>
  <c r="L114" i="1" s="1"/>
  <c r="J117" i="1" s="1"/>
  <c r="D126" i="1" s="1"/>
  <c r="H104" i="1"/>
  <c r="H114" i="1" s="1"/>
  <c r="G104" i="1"/>
  <c r="G114" i="1" s="1"/>
  <c r="B116" i="1" l="1"/>
  <c r="B125" i="1" s="1"/>
  <c r="B117" i="1"/>
  <c r="F126" i="1" s="1"/>
  <c r="F127" i="1"/>
  <c r="B131" i="1" s="1"/>
  <c r="J119" i="1"/>
  <c r="J120" i="1"/>
  <c r="F125" i="1" l="1"/>
  <c r="B132" i="1" s="1"/>
  <c r="B120" i="1"/>
  <c r="B119" i="1"/>
  <c r="B126" i="1"/>
  <c r="B133" i="1" s="1"/>
  <c r="G71" i="1" l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F65" i="1" l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Q70" i="1" s="1"/>
  <c r="A37" i="1"/>
  <c r="C37" i="1" s="1"/>
  <c r="B49" i="1" s="1"/>
  <c r="F71" i="1"/>
  <c r="I71" i="1" s="1"/>
  <c r="R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Q69" i="1" s="1"/>
  <c r="H65" i="1"/>
  <c r="Q65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R69" i="1" s="1"/>
  <c r="D43" i="1"/>
  <c r="E54" i="1" s="1"/>
  <c r="C55" i="1" s="1"/>
  <c r="I65" i="1"/>
  <c r="R65" i="1" s="1"/>
  <c r="D45" i="1" l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F56" i="1" l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G41" i="1" l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J62" i="1"/>
  <c r="K62" i="1" s="1"/>
  <c r="L62" i="1" s="1"/>
  <c r="M62" i="1" s="1"/>
  <c r="N62" i="1" s="1"/>
  <c r="K71" i="1" l="1"/>
  <c r="L71" i="1" s="1"/>
  <c r="M71" i="1" s="1"/>
  <c r="K70" i="1"/>
  <c r="L70" i="1" s="1"/>
  <c r="M70" i="1" s="1"/>
  <c r="K69" i="1"/>
  <c r="L69" i="1" s="1"/>
  <c r="M69" i="1" s="1"/>
  <c r="H54" i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K72" i="1" l="1"/>
  <c r="U3" i="1" s="1"/>
  <c r="N71" i="1"/>
  <c r="O71" i="1"/>
  <c r="N70" i="1"/>
  <c r="O70" i="1"/>
  <c r="N69" i="1"/>
  <c r="O69" i="1"/>
  <c r="M72" i="1"/>
  <c r="N34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O72" i="1" l="1"/>
  <c r="N72" i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P57" i="1" l="1"/>
  <c r="B77" i="1" s="1"/>
  <c r="N57" i="1"/>
  <c r="B75" i="1" s="1"/>
  <c r="U4" i="1" s="1"/>
  <c r="W4" i="1" s="1"/>
  <c r="O57" i="1"/>
  <c r="B76" i="1" s="1"/>
  <c r="B80" i="1" l="1"/>
  <c r="U6" i="1" s="1"/>
  <c r="W6" i="1" s="1"/>
  <c r="AB7" i="1"/>
  <c r="O58" i="1"/>
  <c r="B79" i="1"/>
  <c r="U5" i="1" s="1"/>
  <c r="P58" i="1"/>
  <c r="U7" i="1" l="1"/>
  <c r="W7" i="1" s="1"/>
  <c r="AB9" i="1"/>
  <c r="S58" i="1"/>
  <c r="T58" i="1"/>
  <c r="B83" i="1"/>
  <c r="U8" i="1"/>
  <c r="AA7" i="1" s="1"/>
  <c r="AA9" i="1"/>
  <c r="U18" i="1"/>
  <c r="AC9" i="1" l="1"/>
  <c r="V19" i="1"/>
  <c r="V21" i="1" s="1"/>
  <c r="U19" i="1"/>
  <c r="U21" i="1" s="1"/>
  <c r="W19" i="1"/>
  <c r="W21" i="1" s="1"/>
  <c r="U23" i="1" l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<sst xmlns="http://schemas.openxmlformats.org/spreadsheetml/2006/main" count="217" uniqueCount="145">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</sst>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24</c:v>
                </c:pt>
                <c:pt idx="4">
                  <c:v>24</c:v>
                </c:pt>
                <c:pt idx="5">
                  <c:v>-12</c:v>
                </c:pt>
                <c:pt idx="6">
                  <c:v>-12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6</c:v>
                </c:pt>
                <c:pt idx="7">
                  <c:v>#N/A</c:v>
                </c:pt>
                <c:pt idx="8">
                  <c:v>6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22</c:v>
                </c:pt>
                <c:pt idx="7">
                  <c:v>#N/A</c:v>
                </c:pt>
                <c:pt idx="8">
                  <c:v>2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-34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24.999999999999805</c:v>
                </c:pt>
                <c:pt idx="1">
                  <c:v>-13.000000000000448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2.631310276143676</c:v>
                </c:pt>
                <c:pt idx="1">
                  <c:v>2.6313102761444753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24.999999999999794</c:v>
                </c:pt>
                <c:pt idx="1">
                  <c:v>-13.000000000000458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2.1050482209148349</c:v>
                </c:pt>
                <c:pt idx="1">
                  <c:v>2.1050482209156343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5.9999999999998801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1.0525241104576182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5.9999999999997478</c:v>
                </c:pt>
                <c:pt idx="1">
                  <c:v>-6.0000000000002522</c:v>
                </c:pt>
                <c:pt idx="2">
                  <c:v>-5.9999999999999156</c:v>
                </c:pt>
                <c:pt idx="3">
                  <c:v>-17.999999999999915</c:v>
                </c:pt>
                <c:pt idx="4">
                  <c:v>-17.999999999999748</c:v>
                </c:pt>
                <c:pt idx="5">
                  <c:v>18.000000000000252</c:v>
                </c:pt>
                <c:pt idx="6">
                  <c:v>18.000000000000085</c:v>
                </c:pt>
                <c:pt idx="7">
                  <c:v>6.0000000000000844</c:v>
                </c:pt>
                <c:pt idx="8">
                  <c:v>5.9999999999997478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12.000000000000126</c:v>
                </c:pt>
                <c:pt idx="1">
                  <c:v>11.999999999999874</c:v>
                </c:pt>
                <c:pt idx="2">
                  <c:v>-4.0000000000001261</c:v>
                </c:pt>
                <c:pt idx="3">
                  <c:v>-4.0000000000003775</c:v>
                </c:pt>
                <c:pt idx="4">
                  <c:v>-12.000000000000378</c:v>
                </c:pt>
                <c:pt idx="5">
                  <c:v>-11.999999999999622</c:v>
                </c:pt>
                <c:pt idx="6">
                  <c:v>-3.9999999999996221</c:v>
                </c:pt>
                <c:pt idx="7">
                  <c:v>-3.9999999999998739</c:v>
                </c:pt>
                <c:pt idx="8">
                  <c:v>12.000000000000126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2.0994707708443805E-13</c:v>
                </c:pt>
                <c:pt idx="7">
                  <c:v>#N/A</c:v>
                </c:pt>
                <c:pt idx="8">
                  <c:v>-2.0994707708443805E-13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-10</c:v>
                </c:pt>
                <c:pt idx="7">
                  <c:v>#N/A</c:v>
                </c:pt>
                <c:pt idx="8">
                  <c:v>10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-19</c:v>
                </c:pt>
                <c:pt idx="1">
                  <c:v>19.000000000000252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9.3686897238559244</c:v>
                </c:pt>
                <c:pt idx="1">
                  <c:v>9.3686897238559244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-19</c:v>
                </c:pt>
                <c:pt idx="1">
                  <c:v>19.000000000000252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9.8949517790847654</c:v>
                </c:pt>
                <c:pt idx="1">
                  <c:v>9.8949517790847654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5.9999999999997478</c:v>
                </c:pt>
                <c:pt idx="1">
                  <c:v>-6.0000000000002522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5.9999999999997931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12.000000000000126</c:v>
                </c:pt>
                <c:pt idx="1">
                  <c:v>11.999999999999874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9.8949517790847654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-6.0000000000002522</c:v>
                </c:pt>
                <c:pt idx="1">
                  <c:v>-6.0000000000002069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5.9999999999997478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11.999999999999874</c:v>
                </c:pt>
                <c:pt idx="1">
                  <c:v>9.8949517790847654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12.000000000000126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117.81888643167528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230.37889532352679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8.6387473174909253E-9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117.81888643167528</c:v>
                </c:pt>
                <c:pt idx="1">
                  <c:v>230.37889532352679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8.6387473174909253E-9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General</c:formatCode>
                <c:ptCount val="361"/>
                <c:pt idx="0">
                  <c:v>-230.37889532353691</c:v>
                </c:pt>
                <c:pt idx="1">
                  <c:v>-230.37057448233853</c:v>
                </c:pt>
                <c:pt idx="2">
                  <c:v>-230.34826465052998</c:v>
                </c:pt>
                <c:pt idx="3">
                  <c:v>-230.31191507580664</c:v>
                </c:pt>
                <c:pt idx="4">
                  <c:v>-230.26144038716328</c:v>
                </c:pt>
                <c:pt idx="5">
                  <c:v>-230.19672010892162</c:v>
                </c:pt>
                <c:pt idx="6">
                  <c:v>-230.11759812146312</c:v>
                </c:pt>
                <c:pt idx="7">
                  <c:v>-230.02388182180124</c:v>
                </c:pt>
                <c:pt idx="8">
                  <c:v>-229.91534113290294</c:v>
                </c:pt>
                <c:pt idx="9">
                  <c:v>-229.79170733942283</c:v>
                </c:pt>
                <c:pt idx="10">
                  <c:v>-229.65267161741178</c:v>
                </c:pt>
                <c:pt idx="11">
                  <c:v>-229.49788341576959</c:v>
                </c:pt>
                <c:pt idx="12">
                  <c:v>-229.32694849244353</c:v>
                </c:pt>
                <c:pt idx="13">
                  <c:v>-229.13942676306775</c:v>
                </c:pt>
                <c:pt idx="14">
                  <c:v>-228.93482986910385</c:v>
                </c:pt>
                <c:pt idx="15">
                  <c:v>-228.71261836840804</c:v>
                </c:pt>
                <c:pt idx="16">
                  <c:v>-228.47219863875904</c:v>
                </c:pt>
                <c:pt idx="17">
                  <c:v>-228.21291935718673</c:v>
                </c:pt>
                <c:pt idx="18">
                  <c:v>-227.93406767813966</c:v>
                </c:pt>
                <c:pt idx="19">
                  <c:v>-227.63486479129875</c:v>
                </c:pt>
                <c:pt idx="20">
                  <c:v>-227.31529110489731</c:v>
                </c:pt>
                <c:pt idx="21">
                  <c:v>-226.99162202621426</c:v>
                </c:pt>
                <c:pt idx="22">
                  <c:v>-226.66949265019639</c:v>
                </c:pt>
                <c:pt idx="23">
                  <c:v>-226.34774047342069</c:v>
                </c:pt>
                <c:pt idx="24">
                  <c:v>-226.02532590307183</c:v>
                </c:pt>
                <c:pt idx="25">
                  <c:v>-225.70130450772922</c:v>
                </c:pt>
                <c:pt idx="26">
                  <c:v>-225.37480497383379</c:v>
                </c:pt>
                <c:pt idx="27">
                  <c:v>-225.0450111653131</c:v>
                </c:pt>
                <c:pt idx="28">
                  <c:v>-224.98378555648952</c:v>
                </c:pt>
                <c:pt idx="29">
                  <c:v>-224.37246549015288</c:v>
                </c:pt>
                <c:pt idx="30">
                  <c:v>-224.02823521364451</c:v>
                </c:pt>
                <c:pt idx="31">
                  <c:v>-224.03269327685888</c:v>
                </c:pt>
                <c:pt idx="32">
                  <c:v>-223.32023828047039</c:v>
                </c:pt>
                <c:pt idx="33">
                  <c:v>-222.9550175404911</c:v>
                </c:pt>
                <c:pt idx="34">
                  <c:v>-223.02173846396818</c:v>
                </c:pt>
                <c:pt idx="35">
                  <c:v>-222.66815043898316</c:v>
                </c:pt>
                <c:pt idx="36">
                  <c:v>-222.30501720965805</c:v>
                </c:pt>
                <c:pt idx="37">
                  <c:v>-221.93154541392499</c:v>
                </c:pt>
                <c:pt idx="38">
                  <c:v>-221.54690082804183</c:v>
                </c:pt>
                <c:pt idx="39">
                  <c:v>-220.94408852568279</c:v>
                </c:pt>
                <c:pt idx="40">
                  <c:v>-219.29209427152523</c:v>
                </c:pt>
                <c:pt idx="41">
                  <c:v>-216.60071154361844</c:v>
                </c:pt>
                <c:pt idx="42">
                  <c:v>-212.95653574711093</c:v>
                </c:pt>
                <c:pt idx="43">
                  <c:v>-208.42306996678388</c:v>
                </c:pt>
                <c:pt idx="44">
                  <c:v>-203.04509011482025</c:v>
                </c:pt>
                <c:pt idx="45">
                  <c:v>-196.85170484013273</c:v>
                </c:pt>
                <c:pt idx="46">
                  <c:v>-189.85847440305341</c:v>
                </c:pt>
                <c:pt idx="47">
                  <c:v>-182.06882751253423</c:v>
                </c:pt>
                <c:pt idx="48">
                  <c:v>-173.47493276257447</c:v>
                </c:pt>
                <c:pt idx="49">
                  <c:v>-164.05812558041697</c:v>
                </c:pt>
                <c:pt idx="50">
                  <c:v>-153.78895186137024</c:v>
                </c:pt>
                <c:pt idx="51">
                  <c:v>-142.62686038746278</c:v>
                </c:pt>
                <c:pt idx="52">
                  <c:v>-130.51955248919975</c:v>
                </c:pt>
                <c:pt idx="53">
                  <c:v>-117.40197732637637</c:v>
                </c:pt>
                <c:pt idx="54">
                  <c:v>-105.30454209816368</c:v>
                </c:pt>
                <c:pt idx="55">
                  <c:v>-93.046381897673882</c:v>
                </c:pt>
                <c:pt idx="56">
                  <c:v>-81.069231464923604</c:v>
                </c:pt>
                <c:pt idx="57">
                  <c:v>-69.466509392345188</c:v>
                </c:pt>
                <c:pt idx="58">
                  <c:v>-58.210981735692293</c:v>
                </c:pt>
                <c:pt idx="59">
                  <c:v>-47.278441632273413</c:v>
                </c:pt>
                <c:pt idx="60">
                  <c:v>-36.308712244258651</c:v>
                </c:pt>
                <c:pt idx="61">
                  <c:v>-25.553021927595445</c:v>
                </c:pt>
                <c:pt idx="62">
                  <c:v>-15.466160534753977</c:v>
                </c:pt>
                <c:pt idx="63">
                  <c:v>-5.980648728245705</c:v>
                </c:pt>
                <c:pt idx="64">
                  <c:v>2.961408433635043</c:v>
                </c:pt>
                <c:pt idx="65">
                  <c:v>11.409758092291117</c:v>
                </c:pt>
                <c:pt idx="66">
                  <c:v>19.407088329175696</c:v>
                </c:pt>
                <c:pt idx="67">
                  <c:v>26.989816214528474</c:v>
                </c:pt>
                <c:pt idx="68">
                  <c:v>34.188593326861174</c:v>
                </c:pt>
                <c:pt idx="69">
                  <c:v>41.028514564871017</c:v>
                </c:pt>
                <c:pt idx="70">
                  <c:v>47.528972464305525</c:v>
                </c:pt>
                <c:pt idx="71">
                  <c:v>53.703031022108981</c:v>
                </c:pt>
                <c:pt idx="72">
                  <c:v>59.556074120474577</c:v>
                </c:pt>
                <c:pt idx="73">
                  <c:v>65.083259343519387</c:v>
                </c:pt>
                <c:pt idx="74">
                  <c:v>70.264854134208534</c:v>
                </c:pt>
                <c:pt idx="75">
                  <c:v>75.057548567667908</c:v>
                </c:pt>
                <c:pt idx="76">
                  <c:v>79.377529689340193</c:v>
                </c:pt>
                <c:pt idx="77">
                  <c:v>83.199801462960266</c:v>
                </c:pt>
                <c:pt idx="78">
                  <c:v>86.882397368023589</c:v>
                </c:pt>
                <c:pt idx="79">
                  <c:v>90.469244465165701</c:v>
                </c:pt>
                <c:pt idx="80">
                  <c:v>93.966103793320542</c:v>
                </c:pt>
                <c:pt idx="81">
                  <c:v>97.378324733329293</c:v>
                </c:pt>
                <c:pt idx="82">
                  <c:v>100.71088350364292</c:v>
                </c:pt>
                <c:pt idx="83">
                  <c:v>103.96841731799637</c:v>
                </c:pt>
                <c:pt idx="84">
                  <c:v>107.15525482213002</c:v>
                </c:pt>
                <c:pt idx="85">
                  <c:v>110.27544329943851</c:v>
                </c:pt>
                <c:pt idx="86">
                  <c:v>113.33277296570986</c:v>
                </c:pt>
                <c:pt idx="87">
                  <c:v>116.3307988252317</c:v>
                </c:pt>
                <c:pt idx="88">
                  <c:v>119.27286027398765</c:v>
                </c:pt>
                <c:pt idx="89">
                  <c:v>122.4140928601151</c:v>
                </c:pt>
                <c:pt idx="90">
                  <c:v>126.99652948894675</c:v>
                </c:pt>
                <c:pt idx="91">
                  <c:v>131.0069140271566</c:v>
                </c:pt>
                <c:pt idx="92">
                  <c:v>132.6547901495573</c:v>
                </c:pt>
                <c:pt idx="93">
                  <c:v>134.2960593530311</c:v>
                </c:pt>
                <c:pt idx="94">
                  <c:v>135.93172618608884</c:v>
                </c:pt>
                <c:pt idx="95">
                  <c:v>137.56278203130148</c:v>
                </c:pt>
                <c:pt idx="96">
                  <c:v>139.19020744145155</c:v>
                </c:pt>
                <c:pt idx="97">
                  <c:v>140.81497452955605</c:v>
                </c:pt>
                <c:pt idx="98">
                  <c:v>142.43804924368277</c:v>
                </c:pt>
                <c:pt idx="99">
                  <c:v>144.06039367255948</c:v>
                </c:pt>
                <c:pt idx="100">
                  <c:v>145.68296823911342</c:v>
                </c:pt>
                <c:pt idx="101">
                  <c:v>147.30673402417045</c:v>
                </c:pt>
                <c:pt idx="102">
                  <c:v>148.93265495410736</c:v>
                </c:pt>
                <c:pt idx="103">
                  <c:v>150.56170011778855</c:v>
                </c:pt>
                <c:pt idx="104">
                  <c:v>152.19484602237048</c:v>
                </c:pt>
                <c:pt idx="105">
                  <c:v>153.83307892451998</c:v>
                </c:pt>
                <c:pt idx="106">
                  <c:v>155.47739725176623</c:v>
                </c:pt>
                <c:pt idx="107">
                  <c:v>157.12881399132237</c:v>
                </c:pt>
                <c:pt idx="108">
                  <c:v>158.78835921747725</c:v>
                </c:pt>
                <c:pt idx="109">
                  <c:v>160.4570827438111</c:v>
                </c:pt>
                <c:pt idx="110">
                  <c:v>162.13605675962367</c:v>
                </c:pt>
                <c:pt idx="111">
                  <c:v>163.82637869255308</c:v>
                </c:pt>
                <c:pt idx="112">
                  <c:v>165.52917417216503</c:v>
                </c:pt>
                <c:pt idx="113">
                  <c:v>167.24560010242362</c:v>
                </c:pt>
                <c:pt idx="114">
                  <c:v>168.9768479738733</c:v>
                </c:pt>
                <c:pt idx="115">
                  <c:v>170.72414733115454</c:v>
                </c:pt>
                <c:pt idx="116">
                  <c:v>172.48876940725449</c:v>
                </c:pt>
                <c:pt idx="117">
                  <c:v>174.27203112136195</c:v>
                </c:pt>
                <c:pt idx="118">
                  <c:v>176.07529920481659</c:v>
                </c:pt>
                <c:pt idx="119">
                  <c:v>177.89999467336924</c:v>
                </c:pt>
                <c:pt idx="120">
                  <c:v>179.74759768911838</c:v>
                </c:pt>
                <c:pt idx="121">
                  <c:v>181.61965267043323</c:v>
                </c:pt>
                <c:pt idx="122">
                  <c:v>183.51777391795727</c:v>
                </c:pt>
                <c:pt idx="123">
                  <c:v>185.44365157161204</c:v>
                </c:pt>
                <c:pt idx="124">
                  <c:v>187.39905819120139</c:v>
                </c:pt>
                <c:pt idx="125">
                  <c:v>189.38585582079546</c:v>
                </c:pt>
                <c:pt idx="126">
                  <c:v>191.40600368664388</c:v>
                </c:pt>
                <c:pt idx="127">
                  <c:v>193.46156657771252</c:v>
                </c:pt>
                <c:pt idx="128">
                  <c:v>195.49706493452953</c:v>
                </c:pt>
                <c:pt idx="129">
                  <c:v>196.08383611252194</c:v>
                </c:pt>
                <c:pt idx="130">
                  <c:v>196.68587684640772</c:v>
                </c:pt>
                <c:pt idx="131">
                  <c:v>197.3041754579572</c:v>
                </c:pt>
                <c:pt idx="132">
                  <c:v>197.93979520748343</c:v>
                </c:pt>
                <c:pt idx="133">
                  <c:v>198.5938821133291</c:v>
                </c:pt>
                <c:pt idx="134">
                  <c:v>199.26767359126865</c:v>
                </c:pt>
                <c:pt idx="135">
                  <c:v>199.96250832687181</c:v>
                </c:pt>
                <c:pt idx="136">
                  <c:v>200.67983731146538</c:v>
                </c:pt>
                <c:pt idx="137">
                  <c:v>201.42123648188624</c:v>
                </c:pt>
                <c:pt idx="138">
                  <c:v>202.18842095168216</c:v>
                </c:pt>
                <c:pt idx="139">
                  <c:v>202.98326131152186</c:v>
                </c:pt>
                <c:pt idx="140">
                  <c:v>203.80780227232225</c:v>
                </c:pt>
                <c:pt idx="141">
                  <c:v>204.66428403472935</c:v>
                </c:pt>
                <c:pt idx="142">
                  <c:v>205.55516679018291</c:v>
                </c:pt>
                <c:pt idx="143">
                  <c:v>206.48315923117082</c:v>
                </c:pt>
                <c:pt idx="144">
                  <c:v>207.45125142730447</c:v>
                </c:pt>
                <c:pt idx="145">
                  <c:v>208.46275313652669</c:v>
                </c:pt>
                <c:pt idx="146">
                  <c:v>209.52133867640981</c:v>
                </c:pt>
                <c:pt idx="147">
                  <c:v>210.63109951361449</c:v>
                </c:pt>
                <c:pt idx="148">
                  <c:v>211.79660634443474</c:v>
                </c:pt>
                <c:pt idx="149">
                  <c:v>212.978433969918</c:v>
                </c:pt>
                <c:pt idx="150">
                  <c:v>214.1268615303253</c:v>
                </c:pt>
                <c:pt idx="151">
                  <c:v>215.24349428957089</c:v>
                </c:pt>
                <c:pt idx="152">
                  <c:v>216.32992458948797</c:v>
                </c:pt>
                <c:pt idx="153">
                  <c:v>217.387650425201</c:v>
                </c:pt>
                <c:pt idx="154">
                  <c:v>218.4180865744558</c:v>
                </c:pt>
                <c:pt idx="155">
                  <c:v>219.42257593360503</c:v>
                </c:pt>
                <c:pt idx="156">
                  <c:v>220.40240116940072</c:v>
                </c:pt>
                <c:pt idx="157">
                  <c:v>221.35879739378314</c:v>
                </c:pt>
                <c:pt idx="158">
                  <c:v>222.29296634461031</c:v>
                </c:pt>
                <c:pt idx="159">
                  <c:v>223.20609276633053</c:v>
                </c:pt>
                <c:pt idx="160">
                  <c:v>224.09936415414828</c:v>
                </c:pt>
                <c:pt idx="161">
                  <c:v>224.97399527156131</c:v>
                </c:pt>
                <c:pt idx="162">
                  <c:v>225.83125957374261</c:v>
                </c:pt>
                <c:pt idx="163">
                  <c:v>226.67253048701969</c:v>
                </c:pt>
                <c:pt idx="164">
                  <c:v>227.49933722934819</c:v>
                </c:pt>
                <c:pt idx="165">
                  <c:v>228.31344166034091</c:v>
                </c:pt>
                <c:pt idx="166">
                  <c:v>229.11694705242513</c:v>
                </c:pt>
                <c:pt idx="167">
                  <c:v>229.91245528663288</c:v>
                </c:pt>
                <c:pt idx="168">
                  <c:v>230.70329986343995</c:v>
                </c:pt>
                <c:pt idx="169">
                  <c:v>231.49390105564308</c:v>
                </c:pt>
                <c:pt idx="170">
                  <c:v>232.29032363513036</c:v>
                </c:pt>
                <c:pt idx="171">
                  <c:v>233.10118549477045</c:v>
                </c:pt>
                <c:pt idx="172">
                  <c:v>233.9392015019273</c:v>
                </c:pt>
                <c:pt idx="173">
                  <c:v>234.8239462879601</c:v>
                </c:pt>
                <c:pt idx="174">
                  <c:v>235.78712723471236</c:v>
                </c:pt>
                <c:pt idx="175">
                  <c:v>236.88351811536813</c:v>
                </c:pt>
                <c:pt idx="176">
                  <c:v>238.21629225170977</c:v>
                </c:pt>
                <c:pt idx="177">
                  <c:v>239.8320739491212</c:v>
                </c:pt>
                <c:pt idx="178">
                  <c:v>241.18288208894535</c:v>
                </c:pt>
                <c:pt idx="179">
                  <c:v>242.19585973706526</c:v>
                </c:pt>
                <c:pt idx="180">
                  <c:v>242.87264361152887</c:v>
                </c:pt>
                <c:pt idx="181">
                  <c:v>242.19585973713518</c:v>
                </c:pt>
                <c:pt idx="182">
                  <c:v>241.18288208901117</c:v>
                </c:pt>
                <c:pt idx="183">
                  <c:v>239.83207394918361</c:v>
                </c:pt>
                <c:pt idx="184">
                  <c:v>238.21629225176446</c:v>
                </c:pt>
                <c:pt idx="185">
                  <c:v>236.8835181154117</c:v>
                </c:pt>
                <c:pt idx="186">
                  <c:v>235.78712723474854</c:v>
                </c:pt>
                <c:pt idx="187">
                  <c:v>234.82394628799136</c:v>
                </c:pt>
                <c:pt idx="188">
                  <c:v>233.93920150195481</c:v>
                </c:pt>
                <c:pt idx="189">
                  <c:v>233.10118549479469</c:v>
                </c:pt>
                <c:pt idx="190">
                  <c:v>232.29032363515233</c:v>
                </c:pt>
                <c:pt idx="191">
                  <c:v>231.49390105566312</c:v>
                </c:pt>
                <c:pt idx="192">
                  <c:v>230.70329986345848</c:v>
                </c:pt>
                <c:pt idx="193">
                  <c:v>229.91245528665002</c:v>
                </c:pt>
                <c:pt idx="194">
                  <c:v>229.11694705244113</c:v>
                </c:pt>
                <c:pt idx="195">
                  <c:v>228.31344166035572</c:v>
                </c:pt>
                <c:pt idx="196">
                  <c:v>227.4993372293618</c:v>
                </c:pt>
                <c:pt idx="197">
                  <c:v>226.67253048703282</c:v>
                </c:pt>
                <c:pt idx="198">
                  <c:v>225.83125957375506</c:v>
                </c:pt>
                <c:pt idx="199">
                  <c:v>224.97399527157285</c:v>
                </c:pt>
                <c:pt idx="200">
                  <c:v>224.0993641541595</c:v>
                </c:pt>
                <c:pt idx="201">
                  <c:v>223.20609276634104</c:v>
                </c:pt>
                <c:pt idx="202">
                  <c:v>222.2929663446206</c:v>
                </c:pt>
                <c:pt idx="203">
                  <c:v>221.35879739379266</c:v>
                </c:pt>
                <c:pt idx="204">
                  <c:v>220.40240116940961</c:v>
                </c:pt>
                <c:pt idx="205">
                  <c:v>219.4225759336141</c:v>
                </c:pt>
                <c:pt idx="206">
                  <c:v>218.41808657446438</c:v>
                </c:pt>
                <c:pt idx="207">
                  <c:v>217.38765042520916</c:v>
                </c:pt>
                <c:pt idx="208">
                  <c:v>216.32992458949599</c:v>
                </c:pt>
                <c:pt idx="209">
                  <c:v>215.24349428957839</c:v>
                </c:pt>
                <c:pt idx="210">
                  <c:v>214.12686153033269</c:v>
                </c:pt>
                <c:pt idx="211">
                  <c:v>212.97843396992522</c:v>
                </c:pt>
                <c:pt idx="212">
                  <c:v>211.79660634444161</c:v>
                </c:pt>
                <c:pt idx="213">
                  <c:v>210.63109951362145</c:v>
                </c:pt>
                <c:pt idx="214">
                  <c:v>209.52133867641669</c:v>
                </c:pt>
                <c:pt idx="215">
                  <c:v>208.46275313653331</c:v>
                </c:pt>
                <c:pt idx="216">
                  <c:v>207.45125142731106</c:v>
                </c:pt>
                <c:pt idx="217">
                  <c:v>206.48315923117713</c:v>
                </c:pt>
                <c:pt idx="218">
                  <c:v>205.55516679018916</c:v>
                </c:pt>
                <c:pt idx="219">
                  <c:v>204.66428403473543</c:v>
                </c:pt>
                <c:pt idx="220">
                  <c:v>203.80780227232827</c:v>
                </c:pt>
                <c:pt idx="221">
                  <c:v>202.98326131152794</c:v>
                </c:pt>
                <c:pt idx="222">
                  <c:v>202.18842094658152</c:v>
                </c:pt>
                <c:pt idx="223">
                  <c:v>201.42123648471969</c:v>
                </c:pt>
                <c:pt idx="224">
                  <c:v>200.67983732239975</c:v>
                </c:pt>
                <c:pt idx="225">
                  <c:v>199.96250833091034</c:v>
                </c:pt>
                <c:pt idx="226">
                  <c:v>199.26767358890766</c:v>
                </c:pt>
                <c:pt idx="227">
                  <c:v>198.59388211132108</c:v>
                </c:pt>
                <c:pt idx="228">
                  <c:v>197.93979520783546</c:v>
                </c:pt>
                <c:pt idx="229">
                  <c:v>197.30417544681814</c:v>
                </c:pt>
                <c:pt idx="230">
                  <c:v>196.68587684837814</c:v>
                </c:pt>
                <c:pt idx="231">
                  <c:v>196.08383611261661</c:v>
                </c:pt>
                <c:pt idx="232">
                  <c:v>195.49706493368905</c:v>
                </c:pt>
                <c:pt idx="233">
                  <c:v>193.46156658454152</c:v>
                </c:pt>
                <c:pt idx="234">
                  <c:v>191.406003691552</c:v>
                </c:pt>
                <c:pt idx="235">
                  <c:v>189.38585582953198</c:v>
                </c:pt>
                <c:pt idx="236">
                  <c:v>187.39905818889167</c:v>
                </c:pt>
                <c:pt idx="237">
                  <c:v>185.44365156943189</c:v>
                </c:pt>
                <c:pt idx="238">
                  <c:v>183.51777391358772</c:v>
                </c:pt>
                <c:pt idx="239">
                  <c:v>181.61965267247041</c:v>
                </c:pt>
                <c:pt idx="240">
                  <c:v>179.74759768978902</c:v>
                </c:pt>
                <c:pt idx="241">
                  <c:v>177.89999466857995</c:v>
                </c:pt>
                <c:pt idx="242">
                  <c:v>176.07529919880557</c:v>
                </c:pt>
                <c:pt idx="243">
                  <c:v>174.27203112001226</c:v>
                </c:pt>
                <c:pt idx="244">
                  <c:v>172.48876940924634</c:v>
                </c:pt>
                <c:pt idx="245">
                  <c:v>170.72414732228822</c:v>
                </c:pt>
                <c:pt idx="246">
                  <c:v>168.97684797700668</c:v>
                </c:pt>
                <c:pt idx="247">
                  <c:v>167.2456001006033</c:v>
                </c:pt>
                <c:pt idx="248">
                  <c:v>165.52917416883608</c:v>
                </c:pt>
                <c:pt idx="249">
                  <c:v>163.82637869718775</c:v>
                </c:pt>
                <c:pt idx="250">
                  <c:v>162.13605675747107</c:v>
                </c:pt>
                <c:pt idx="251">
                  <c:v>160.45708274193572</c:v>
                </c:pt>
                <c:pt idx="252">
                  <c:v>158.78835922371979</c:v>
                </c:pt>
                <c:pt idx="253">
                  <c:v>157.12881398622608</c:v>
                </c:pt>
                <c:pt idx="254">
                  <c:v>155.47739725530155</c:v>
                </c:pt>
                <c:pt idx="255">
                  <c:v>153.83307892818769</c:v>
                </c:pt>
                <c:pt idx="256">
                  <c:v>152.19484602382087</c:v>
                </c:pt>
                <c:pt idx="257">
                  <c:v>150.56170012105173</c:v>
                </c:pt>
                <c:pt idx="258">
                  <c:v>148.93265495210451</c:v>
                </c:pt>
                <c:pt idx="259">
                  <c:v>147.30673401629832</c:v>
                </c:pt>
                <c:pt idx="260">
                  <c:v>145.68296823224671</c:v>
                </c:pt>
                <c:pt idx="261">
                  <c:v>144.06039366423764</c:v>
                </c:pt>
                <c:pt idx="262">
                  <c:v>142.43804925129706</c:v>
                </c:pt>
                <c:pt idx="263">
                  <c:v>140.81497452626377</c:v>
                </c:pt>
                <c:pt idx="264">
                  <c:v>139.19020743826289</c:v>
                </c:pt>
                <c:pt idx="265">
                  <c:v>137.56278202084354</c:v>
                </c:pt>
                <c:pt idx="266">
                  <c:v>135.93172618889039</c:v>
                </c:pt>
                <c:pt idx="267">
                  <c:v>134.29605934636257</c:v>
                </c:pt>
                <c:pt idx="268">
                  <c:v>132.65479014658527</c:v>
                </c:pt>
                <c:pt idx="269">
                  <c:v>131.00691402747702</c:v>
                </c:pt>
                <c:pt idx="270">
                  <c:v>126.99652948843153</c:v>
                </c:pt>
                <c:pt idx="271">
                  <c:v>122.41409285916072</c:v>
                </c:pt>
                <c:pt idx="272">
                  <c:v>119.27286027804107</c:v>
                </c:pt>
                <c:pt idx="273">
                  <c:v>116.33079882804385</c:v>
                </c:pt>
                <c:pt idx="274">
                  <c:v>113.33277296489292</c:v>
                </c:pt>
                <c:pt idx="275">
                  <c:v>110.27544329549335</c:v>
                </c:pt>
                <c:pt idx="276">
                  <c:v>107.15525482736666</c:v>
                </c:pt>
                <c:pt idx="277">
                  <c:v>103.96841732019806</c:v>
                </c:pt>
                <c:pt idx="278">
                  <c:v>100.71088350865598</c:v>
                </c:pt>
                <c:pt idx="279">
                  <c:v>97.378324736437847</c:v>
                </c:pt>
                <c:pt idx="280">
                  <c:v>93.966103793131495</c:v>
                </c:pt>
                <c:pt idx="281">
                  <c:v>90.469244465625209</c:v>
                </c:pt>
                <c:pt idx="282">
                  <c:v>86.882397366476098</c:v>
                </c:pt>
                <c:pt idx="283">
                  <c:v>83.199801462974165</c:v>
                </c:pt>
                <c:pt idx="284">
                  <c:v>79.377529689539486</c:v>
                </c:pt>
                <c:pt idx="285">
                  <c:v>75.057548564304767</c:v>
                </c:pt>
                <c:pt idx="286">
                  <c:v>70.264854139310174</c:v>
                </c:pt>
                <c:pt idx="287">
                  <c:v>65.083259344583155</c:v>
                </c:pt>
                <c:pt idx="288">
                  <c:v>59.556074124989337</c:v>
                </c:pt>
                <c:pt idx="289">
                  <c:v>53.703031022708018</c:v>
                </c:pt>
                <c:pt idx="290">
                  <c:v>47.528972468151217</c:v>
                </c:pt>
                <c:pt idx="291">
                  <c:v>41.028514564120528</c:v>
                </c:pt>
                <c:pt idx="292">
                  <c:v>34.188593323807751</c:v>
                </c:pt>
                <c:pt idx="293">
                  <c:v>26.989816215490013</c:v>
                </c:pt>
                <c:pt idx="294">
                  <c:v>19.407088328100848</c:v>
                </c:pt>
                <c:pt idx="295">
                  <c:v>11.409758087892687</c:v>
                </c:pt>
                <c:pt idx="296">
                  <c:v>2.9614084296643304</c:v>
                </c:pt>
                <c:pt idx="297">
                  <c:v>-5.9806487249979137</c:v>
                </c:pt>
                <c:pt idx="298">
                  <c:v>-15.46616053501651</c:v>
                </c:pt>
                <c:pt idx="299">
                  <c:v>-25.553021930477303</c:v>
                </c:pt>
                <c:pt idx="300">
                  <c:v>-36.308712241377265</c:v>
                </c:pt>
                <c:pt idx="301">
                  <c:v>-47.278441633916778</c:v>
                </c:pt>
                <c:pt idx="302">
                  <c:v>-58.210981737698887</c:v>
                </c:pt>
                <c:pt idx="303">
                  <c:v>-69.466509395219646</c:v>
                </c:pt>
                <c:pt idx="304">
                  <c:v>-81.069231466661861</c:v>
                </c:pt>
                <c:pt idx="305">
                  <c:v>-93.046381898977842</c:v>
                </c:pt>
                <c:pt idx="306">
                  <c:v>-105.30454209378223</c:v>
                </c:pt>
                <c:pt idx="307">
                  <c:v>-117.40197732320291</c:v>
                </c:pt>
                <c:pt idx="308">
                  <c:v>-130.51955248478762</c:v>
                </c:pt>
                <c:pt idx="309">
                  <c:v>-142.62686039092461</c:v>
                </c:pt>
                <c:pt idx="310">
                  <c:v>-153.78895186482038</c:v>
                </c:pt>
                <c:pt idx="311">
                  <c:v>-164.05812557747709</c:v>
                </c:pt>
                <c:pt idx="312">
                  <c:v>-173.47493276991668</c:v>
                </c:pt>
                <c:pt idx="313">
                  <c:v>-182.06882751520561</c:v>
                </c:pt>
                <c:pt idx="314">
                  <c:v>-189.85847440269634</c:v>
                </c:pt>
                <c:pt idx="315">
                  <c:v>-196.85170483307667</c:v>
                </c:pt>
                <c:pt idx="316">
                  <c:v>-203.04509011759035</c:v>
                </c:pt>
                <c:pt idx="317">
                  <c:v>-208.42306996855976</c:v>
                </c:pt>
                <c:pt idx="318">
                  <c:v>-212.95653574421331</c:v>
                </c:pt>
                <c:pt idx="319">
                  <c:v>-216.60071154740561</c:v>
                </c:pt>
                <c:pt idx="320">
                  <c:v>-219.29209427544794</c:v>
                </c:pt>
                <c:pt idx="321">
                  <c:v>-220.94408852390791</c:v>
                </c:pt>
                <c:pt idx="322">
                  <c:v>-221.54690082606805</c:v>
                </c:pt>
                <c:pt idx="323">
                  <c:v>-221.93154541074341</c:v>
                </c:pt>
                <c:pt idx="324">
                  <c:v>-222.30501720994641</c:v>
                </c:pt>
                <c:pt idx="325">
                  <c:v>-222.66815043604549</c:v>
                </c:pt>
                <c:pt idx="326">
                  <c:v>-223.02173845726395</c:v>
                </c:pt>
                <c:pt idx="327">
                  <c:v>-223.36654056516716</c:v>
                </c:pt>
                <c:pt idx="328">
                  <c:v>-223.32023827252613</c:v>
                </c:pt>
                <c:pt idx="329">
                  <c:v>-224.03269327506951</c:v>
                </c:pt>
                <c:pt idx="330">
                  <c:v>-224.02823521162173</c:v>
                </c:pt>
                <c:pt idx="331">
                  <c:v>-224.67225234799764</c:v>
                </c:pt>
                <c:pt idx="332">
                  <c:v>-224.71114728925505</c:v>
                </c:pt>
                <c:pt idx="333">
                  <c:v>-225.29074878907159</c:v>
                </c:pt>
                <c:pt idx="334">
                  <c:v>-225.37480497143522</c:v>
                </c:pt>
                <c:pt idx="335">
                  <c:v>-225.70130450567353</c:v>
                </c:pt>
                <c:pt idx="336">
                  <c:v>-226.02532589270817</c:v>
                </c:pt>
                <c:pt idx="337">
                  <c:v>-226.34774046984813</c:v>
                </c:pt>
                <c:pt idx="338">
                  <c:v>-226.66949264516199</c:v>
                </c:pt>
                <c:pt idx="339">
                  <c:v>-226.99162202728442</c:v>
                </c:pt>
                <c:pt idx="340">
                  <c:v>-227.31529111330315</c:v>
                </c:pt>
                <c:pt idx="341">
                  <c:v>-227.6348647940199</c:v>
                </c:pt>
                <c:pt idx="342">
                  <c:v>-227.93406767440939</c:v>
                </c:pt>
                <c:pt idx="343">
                  <c:v>-228.21291936229946</c:v>
                </c:pt>
                <c:pt idx="344">
                  <c:v>-228.47219864123849</c:v>
                </c:pt>
                <c:pt idx="345">
                  <c:v>-228.71261836718898</c:v>
                </c:pt>
                <c:pt idx="346">
                  <c:v>-228.93482987265853</c:v>
                </c:pt>
                <c:pt idx="347">
                  <c:v>-229.13942675117636</c:v>
                </c:pt>
                <c:pt idx="348">
                  <c:v>-229.32694847938399</c:v>
                </c:pt>
                <c:pt idx="349">
                  <c:v>-229.49788341182665</c:v>
                </c:pt>
                <c:pt idx="350">
                  <c:v>-229.65267163153672</c:v>
                </c:pt>
                <c:pt idx="351">
                  <c:v>-229.79170733776738</c:v>
                </c:pt>
                <c:pt idx="352">
                  <c:v>-229.91534112718585</c:v>
                </c:pt>
                <c:pt idx="353">
                  <c:v>-230.02388182218482</c:v>
                </c:pt>
                <c:pt idx="354">
                  <c:v>-230.11759812050786</c:v>
                </c:pt>
                <c:pt idx="355">
                  <c:v>-230.19672010648799</c:v>
                </c:pt>
                <c:pt idx="356">
                  <c:v>-230.2614403824264</c:v>
                </c:pt>
                <c:pt idx="357">
                  <c:v>-230.31191508104052</c:v>
                </c:pt>
                <c:pt idx="358">
                  <c:v>-230.34826463933965</c:v>
                </c:pt>
                <c:pt idx="359">
                  <c:v>-230.37057448070942</c:v>
                </c:pt>
                <c:pt idx="360">
                  <c:v>-230.37889532352679</c:v>
                </c:pt>
              </c:numCache>
            </c:numRef>
          </c:xVal>
          <c:yVal>
            <c:numRef>
              <c:f>L_Section_Capacity!$AU$2:$AU$362</c:f>
              <c:numCache>
                <c:formatCode>General</c:formatCode>
                <c:ptCount val="361"/>
                <c:pt idx="0">
                  <c:v>-1.0799314831707665E-14</c:v>
                </c:pt>
                <c:pt idx="1">
                  <c:v>-0.80118748020518549</c:v>
                </c:pt>
                <c:pt idx="2">
                  <c:v>-1.6028633196712054</c:v>
                </c:pt>
                <c:pt idx="3">
                  <c:v>-2.4055170690915708</c:v>
                </c:pt>
                <c:pt idx="4">
                  <c:v>-3.2096406682070975</c:v>
                </c:pt>
                <c:pt idx="5">
                  <c:v>-4.0157296558398681</c:v>
                </c:pt>
                <c:pt idx="6">
                  <c:v>-4.8242843986944823</c:v>
                </c:pt>
                <c:pt idx="7">
                  <c:v>-5.6358113454432663</c:v>
                </c:pt>
                <c:pt idx="8">
                  <c:v>-6.4508243128397078</c:v>
                </c:pt>
                <c:pt idx="9">
                  <c:v>-7.2698458108961344</c:v>
                </c:pt>
                <c:pt idx="10">
                  <c:v>-8.0934084145184535</c:v>
                </c:pt>
                <c:pt idx="11">
                  <c:v>-8.9220561894211876</c:v>
                </c:pt>
                <c:pt idx="12">
                  <c:v>-9.756346180653896</c:v>
                </c:pt>
                <c:pt idx="13">
                  <c:v>-10.596849972663225</c:v>
                </c:pt>
                <c:pt idx="14">
                  <c:v>-11.444155330501864</c:v>
                </c:pt>
                <c:pt idx="15">
                  <c:v>-12.298867932588394</c:v>
                </c:pt>
                <c:pt idx="16">
                  <c:v>-13.161613206329132</c:v>
                </c:pt>
                <c:pt idx="17">
                  <c:v>-14.033038278952343</c:v>
                </c:pt>
                <c:pt idx="18">
                  <c:v>-14.913814057090242</c:v>
                </c:pt>
                <c:pt idx="19">
                  <c:v>-15.804637449995441</c:v>
                </c:pt>
                <c:pt idx="20">
                  <c:v>-16.703871088958913</c:v>
                </c:pt>
                <c:pt idx="21">
                  <c:v>-17.565319749374481</c:v>
                </c:pt>
                <c:pt idx="22">
                  <c:v>-18.377354959153543</c:v>
                </c:pt>
                <c:pt idx="23">
                  <c:v>-19.147312240882464</c:v>
                </c:pt>
                <c:pt idx="24">
                  <c:v>-19.881275313172932</c:v>
                </c:pt>
                <c:pt idx="25">
                  <c:v>-20.584340298529096</c:v>
                </c:pt>
                <c:pt idx="26">
                  <c:v>-21.260816780802934</c:v>
                </c:pt>
                <c:pt idx="27">
                  <c:v>-21.914382616897434</c:v>
                </c:pt>
                <c:pt idx="28">
                  <c:v>-22.069698831808253</c:v>
                </c:pt>
                <c:pt idx="29">
                  <c:v>-23.165032532687405</c:v>
                </c:pt>
                <c:pt idx="30">
                  <c:v>-23.767275978590668</c:v>
                </c:pt>
                <c:pt idx="31">
                  <c:v>-23.762287583797477</c:v>
                </c:pt>
                <c:pt idx="32">
                  <c:v>-24.936290650229346</c:v>
                </c:pt>
                <c:pt idx="33">
                  <c:v>-25.506662894715209</c:v>
                </c:pt>
                <c:pt idx="34">
                  <c:v>-25.37254834859452</c:v>
                </c:pt>
                <c:pt idx="35">
                  <c:v>-25.8980291499165</c:v>
                </c:pt>
                <c:pt idx="36">
                  <c:v>-26.419962758401248</c:v>
                </c:pt>
                <c:pt idx="37">
                  <c:v>-26.939472376869915</c:v>
                </c:pt>
                <c:pt idx="38">
                  <c:v>-27.457617066583765</c:v>
                </c:pt>
                <c:pt idx="39">
                  <c:v>-28.234223393858816</c:v>
                </c:pt>
                <c:pt idx="40">
                  <c:v>-30.27280559403907</c:v>
                </c:pt>
                <c:pt idx="41">
                  <c:v>-33.481194591417562</c:v>
                </c:pt>
                <c:pt idx="42">
                  <c:v>-37.685377827167088</c:v>
                </c:pt>
                <c:pt idx="43">
                  <c:v>-42.752314571804376</c:v>
                </c:pt>
                <c:pt idx="44">
                  <c:v>-48.580427321195003</c:v>
                </c:pt>
                <c:pt idx="45">
                  <c:v>-55.092814507956575</c:v>
                </c:pt>
                <c:pt idx="46">
                  <c:v>-62.232347906796917</c:v>
                </c:pt>
                <c:pt idx="47">
                  <c:v>-69.958105813038387</c:v>
                </c:pt>
                <c:pt idx="48">
                  <c:v>-78.242775538298815</c:v>
                </c:pt>
                <c:pt idx="49">
                  <c:v>-87.070777212412168</c:v>
                </c:pt>
                <c:pt idx="50">
                  <c:v>-96.436939143226965</c:v>
                </c:pt>
                <c:pt idx="51">
                  <c:v>-106.34560852939097</c:v>
                </c:pt>
                <c:pt idx="52">
                  <c:v>-116.81011838475666</c:v>
                </c:pt>
                <c:pt idx="53">
                  <c:v>-127.85255868012291</c:v>
                </c:pt>
                <c:pt idx="54">
                  <c:v>-137.51205340122658</c:v>
                </c:pt>
                <c:pt idx="55">
                  <c:v>-146.97250374681121</c:v>
                </c:pt>
                <c:pt idx="56">
                  <c:v>-155.95055505359869</c:v>
                </c:pt>
                <c:pt idx="57">
                  <c:v>-164.39576083326915</c:v>
                </c:pt>
                <c:pt idx="58">
                  <c:v>-172.34920285984063</c:v>
                </c:pt>
                <c:pt idx="59">
                  <c:v>-179.84762598161902</c:v>
                </c:pt>
                <c:pt idx="60">
                  <c:v>-185.19682977509777</c:v>
                </c:pt>
                <c:pt idx="61">
                  <c:v>-188.11996372414364</c:v>
                </c:pt>
                <c:pt idx="62">
                  <c:v>-190.69429696942592</c:v>
                </c:pt>
                <c:pt idx="63">
                  <c:v>-192.96054873405438</c:v>
                </c:pt>
                <c:pt idx="64">
                  <c:v>-194.95434980592285</c:v>
                </c:pt>
                <c:pt idx="65">
                  <c:v>-196.70723647558935</c:v>
                </c:pt>
                <c:pt idx="66">
                  <c:v>-198.2475004405749</c:v>
                </c:pt>
                <c:pt idx="67">
                  <c:v>-199.60094669387831</c:v>
                </c:pt>
                <c:pt idx="68">
                  <c:v>-200.79160849834278</c:v>
                </c:pt>
                <c:pt idx="69">
                  <c:v>-201.84247249393539</c:v>
                </c:pt>
                <c:pt idx="70">
                  <c:v>-202.77628025115453</c:v>
                </c:pt>
                <c:pt idx="71">
                  <c:v>-203.61650059928587</c:v>
                </c:pt>
                <c:pt idx="72">
                  <c:v>-204.38862152530436</c:v>
                </c:pt>
                <c:pt idx="73">
                  <c:v>-205.12201627751804</c:v>
                </c:pt>
                <c:pt idx="74">
                  <c:v>-205.85285174119201</c:v>
                </c:pt>
                <c:pt idx="75">
                  <c:v>-206.62896147349431</c:v>
                </c:pt>
                <c:pt idx="76">
                  <c:v>-207.51865080981344</c:v>
                </c:pt>
                <c:pt idx="77">
                  <c:v>-208.55387637190108</c:v>
                </c:pt>
                <c:pt idx="78">
                  <c:v>-209.54808062756064</c:v>
                </c:pt>
                <c:pt idx="79">
                  <c:v>-210.48396332783344</c:v>
                </c:pt>
                <c:pt idx="80">
                  <c:v>-211.36462915979274</c:v>
                </c:pt>
                <c:pt idx="81">
                  <c:v>-212.19291245029859</c:v>
                </c:pt>
                <c:pt idx="82">
                  <c:v>-212.97140179063447</c:v>
                </c:pt>
                <c:pt idx="83">
                  <c:v>-213.70246178509768</c:v>
                </c:pt>
                <c:pt idx="84">
                  <c:v>-214.3882522769301</c:v>
                </c:pt>
                <c:pt idx="85">
                  <c:v>-215.03074536669101</c:v>
                </c:pt>
                <c:pt idx="86">
                  <c:v>-215.63174050582904</c:v>
                </c:pt>
                <c:pt idx="87">
                  <c:v>-216.19287787508728</c:v>
                </c:pt>
                <c:pt idx="88">
                  <c:v>-216.71565026314295</c:v>
                </c:pt>
                <c:pt idx="89">
                  <c:v>-217.1957093249755</c:v>
                </c:pt>
                <c:pt idx="90">
                  <c:v>-217.61349483824785</c:v>
                </c:pt>
                <c:pt idx="91">
                  <c:v>-219.44844190854741</c:v>
                </c:pt>
                <c:pt idx="92">
                  <c:v>-221.20978595345196</c:v>
                </c:pt>
                <c:pt idx="93">
                  <c:v>-222.93674605841892</c:v>
                </c:pt>
                <c:pt idx="94">
                  <c:v>-224.63055563190966</c:v>
                </c:pt>
                <c:pt idx="95">
                  <c:v>-226.29236754710706</c:v>
                </c:pt>
                <c:pt idx="96">
                  <c:v>-227.92325736483832</c:v>
                </c:pt>
                <c:pt idx="97">
                  <c:v>-229.52422616592446</c:v>
                </c:pt>
                <c:pt idx="98">
                  <c:v>-231.09620299946644</c:v>
                </c:pt>
                <c:pt idx="99">
                  <c:v>-232.64004696730194</c:v>
                </c:pt>
                <c:pt idx="100">
                  <c:v>-234.15654894402874</c:v>
                </c:pt>
                <c:pt idx="101">
                  <c:v>-235.64643295462693</c:v>
                </c:pt>
                <c:pt idx="102">
                  <c:v>-237.11035719342081</c:v>
                </c:pt>
                <c:pt idx="103">
                  <c:v>-238.54891470279722</c:v>
                </c:pt>
                <c:pt idx="104">
                  <c:v>-239.96263369304245</c:v>
                </c:pt>
                <c:pt idx="105">
                  <c:v>-241.3519775063105</c:v>
                </c:pt>
                <c:pt idx="106">
                  <c:v>-242.71734421628938</c:v>
                </c:pt>
                <c:pt idx="107">
                  <c:v>-244.05906583644355</c:v>
                </c:pt>
                <c:pt idx="108">
                  <c:v>-245.37740713407391</c:v>
                </c:pt>
                <c:pt idx="109">
                  <c:v>-246.67256402736416</c:v>
                </c:pt>
                <c:pt idx="110">
                  <c:v>-247.94466152047232</c:v>
                </c:pt>
                <c:pt idx="111">
                  <c:v>-249.19375117053133</c:v>
                </c:pt>
                <c:pt idx="112">
                  <c:v>-250.41980803365973</c:v>
                </c:pt>
                <c:pt idx="113">
                  <c:v>-251.62272704325005</c:v>
                </c:pt>
                <c:pt idx="114">
                  <c:v>-252.80231878468538</c:v>
                </c:pt>
                <c:pt idx="115">
                  <c:v>-253.95830459339584</c:v>
                </c:pt>
                <c:pt idx="116">
                  <c:v>-255.09031090403417</c:v>
                </c:pt>
                <c:pt idx="117">
                  <c:v>-256.197862799483</c:v>
                </c:pt>
                <c:pt idx="118">
                  <c:v>-257.28037662629509</c:v>
                </c:pt>
                <c:pt idx="119">
                  <c:v>-258.3371516000588</c:v>
                </c:pt>
                <c:pt idx="120">
                  <c:v>-259.36736028377283</c:v>
                </c:pt>
                <c:pt idx="121">
                  <c:v>-260.37003776501831</c:v>
                </c:pt>
                <c:pt idx="122">
                  <c:v>-261.34406941255463</c:v>
                </c:pt>
                <c:pt idx="123">
                  <c:v>-262.28817697890133</c:v>
                </c:pt>
                <c:pt idx="124">
                  <c:v>-263.20090288153921</c:v>
                </c:pt>
                <c:pt idx="125">
                  <c:v>-264.08059236996814</c:v>
                </c:pt>
                <c:pt idx="126">
                  <c:v>-264.92537330295261</c:v>
                </c:pt>
                <c:pt idx="127">
                  <c:v>-265.73313318946737</c:v>
                </c:pt>
                <c:pt idx="128">
                  <c:v>-266.42291543067807</c:v>
                </c:pt>
                <c:pt idx="129">
                  <c:v>-265.05961944421165</c:v>
                </c:pt>
                <c:pt idx="130">
                  <c:v>-263.64993479900909</c:v>
                </c:pt>
                <c:pt idx="131">
                  <c:v>-262.19065899436589</c:v>
                </c:pt>
                <c:pt idx="132">
                  <c:v>-260.678308055657</c:v>
                </c:pt>
                <c:pt idx="133">
                  <c:v>-259.10908440757271</c:v>
                </c:pt>
                <c:pt idx="134">
                  <c:v>-257.47884017459728</c:v>
                </c:pt>
                <c:pt idx="135">
                  <c:v>-255.78303533633681</c:v>
                </c:pt>
                <c:pt idx="136">
                  <c:v>-254.01668969023694</c:v>
                </c:pt>
                <c:pt idx="137">
                  <c:v>-252.17432771146153</c:v>
                </c:pt>
                <c:pt idx="138">
                  <c:v>-250.24991485516426</c:v>
                </c:pt>
                <c:pt idx="139">
                  <c:v>-248.2367838733494</c:v>
                </c:pt>
                <c:pt idx="140">
                  <c:v>-246.12754921035742</c:v>
                </c:pt>
                <c:pt idx="141">
                  <c:v>-243.9140071480299</c:v>
                </c:pt>
                <c:pt idx="142">
                  <c:v>-241.58701879777993</c:v>
                </c:pt>
                <c:pt idx="143">
                  <c:v>-239.13637263722626</c:v>
                </c:pt>
                <c:pt idx="144">
                  <c:v>-236.5506219764884</c:v>
                </c:pt>
                <c:pt idx="145">
                  <c:v>-233.81689204586354</c:v>
                </c:pt>
                <c:pt idx="146">
                  <c:v>-230.92064989948034</c:v>
                </c:pt>
                <c:pt idx="147">
                  <c:v>-227.84542834232343</c:v>
                </c:pt>
                <c:pt idx="148">
                  <c:v>-224.57249292345256</c:v>
                </c:pt>
                <c:pt idx="149">
                  <c:v>-221.18427075097534</c:v>
                </c:pt>
                <c:pt idx="150">
                  <c:v>-217.79297806589858</c:v>
                </c:pt>
                <c:pt idx="151">
                  <c:v>-214.39466193291815</c:v>
                </c:pt>
                <c:pt idx="152">
                  <c:v>-210.98500173788716</c:v>
                </c:pt>
                <c:pt idx="153">
                  <c:v>-207.55947796108663</c:v>
                </c:pt>
                <c:pt idx="154">
                  <c:v>-204.11332081133099</c:v>
                </c:pt>
                <c:pt idx="155">
                  <c:v>-200.6414492755155</c:v>
                </c:pt>
                <c:pt idx="156">
                  <c:v>-197.13839741913526</c:v>
                </c:pt>
                <c:pt idx="157">
                  <c:v>-193.59822410860829</c:v>
                </c:pt>
                <c:pt idx="158">
                  <c:v>-190.01440057960076</c:v>
                </c:pt>
                <c:pt idx="159">
                  <c:v>-186.37966815314729</c:v>
                </c:pt>
                <c:pt idx="160">
                  <c:v>-182.6858553752503</c:v>
                </c:pt>
                <c:pt idx="161">
                  <c:v>-178.92363901528506</c:v>
                </c:pt>
                <c:pt idx="162">
                  <c:v>-175.08222622506787</c:v>
                </c:pt>
                <c:pt idx="163">
                  <c:v>-171.14892386775807</c:v>
                </c:pt>
                <c:pt idx="164">
                  <c:v>-167.10854333485389</c:v>
                </c:pt>
                <c:pt idx="165">
                  <c:v>-162.94255969543914</c:v>
                </c:pt>
                <c:pt idx="166">
                  <c:v>-158.627895439631</c:v>
                </c:pt>
                <c:pt idx="167">
                  <c:v>-154.13511384957167</c:v>
                </c:pt>
                <c:pt idx="168">
                  <c:v>-149.42565490140302</c:v>
                </c:pt>
                <c:pt idx="169">
                  <c:v>-144.4474622569299</c:v>
                </c:pt>
                <c:pt idx="170">
                  <c:v>-139.12779371367995</c:v>
                </c:pt>
                <c:pt idx="171">
                  <c:v>-133.36086211665003</c:v>
                </c:pt>
                <c:pt idx="172">
                  <c:v>-126.98543929511675</c:v>
                </c:pt>
                <c:pt idx="173">
                  <c:v>-119.74161046732848</c:v>
                </c:pt>
                <c:pt idx="174">
                  <c:v>-111.18045232043501</c:v>
                </c:pt>
                <c:pt idx="175">
                  <c:v>-100.45552817230805</c:v>
                </c:pt>
                <c:pt idx="176">
                  <c:v>-85.772907178017164</c:v>
                </c:pt>
                <c:pt idx="177">
                  <c:v>-64.948960865485901</c:v>
                </c:pt>
                <c:pt idx="178">
                  <c:v>-43.277309631135864</c:v>
                </c:pt>
                <c:pt idx="179">
                  <c:v>-21.632061965552925</c:v>
                </c:pt>
                <c:pt idx="180">
                  <c:v>-1.2843028186941792E-11</c:v>
                </c:pt>
                <c:pt idx="181">
                  <c:v>21.632061965527228</c:v>
                </c:pt>
                <c:pt idx="182">
                  <c:v>43.277309631110008</c:v>
                </c:pt>
                <c:pt idx="183">
                  <c:v>64.948960865460066</c:v>
                </c:pt>
                <c:pt idx="184">
                  <c:v>85.77290717799913</c:v>
                </c:pt>
                <c:pt idx="185">
                  <c:v>100.45552817230056</c:v>
                </c:pt>
                <c:pt idx="186">
                  <c:v>111.18045232043239</c:v>
                </c:pt>
                <c:pt idx="187">
                  <c:v>119.74161046732844</c:v>
                </c:pt>
                <c:pt idx="188">
                  <c:v>126.98543929511803</c:v>
                </c:pt>
                <c:pt idx="189">
                  <c:v>133.36086211665196</c:v>
                </c:pt>
                <c:pt idx="190">
                  <c:v>139.12779371368242</c:v>
                </c:pt>
                <c:pt idx="191">
                  <c:v>144.44746225693254</c:v>
                </c:pt>
                <c:pt idx="192">
                  <c:v>149.42565490140584</c:v>
                </c:pt>
                <c:pt idx="193">
                  <c:v>154.13511384957445</c:v>
                </c:pt>
                <c:pt idx="194">
                  <c:v>158.62789543963387</c:v>
                </c:pt>
                <c:pt idx="195">
                  <c:v>162.94255969544179</c:v>
                </c:pt>
                <c:pt idx="196">
                  <c:v>167.10854333485628</c:v>
                </c:pt>
                <c:pt idx="197">
                  <c:v>171.14892386776052</c:v>
                </c:pt>
                <c:pt idx="198">
                  <c:v>175.0822262250702</c:v>
                </c:pt>
                <c:pt idx="199">
                  <c:v>178.92363901528714</c:v>
                </c:pt>
                <c:pt idx="200">
                  <c:v>182.68585537525249</c:v>
                </c:pt>
                <c:pt idx="201">
                  <c:v>186.3796681531492</c:v>
                </c:pt>
                <c:pt idx="202">
                  <c:v>190.01440057960258</c:v>
                </c:pt>
                <c:pt idx="203">
                  <c:v>193.59822410860977</c:v>
                </c:pt>
                <c:pt idx="204">
                  <c:v>197.13839741913648</c:v>
                </c:pt>
                <c:pt idx="205">
                  <c:v>200.64144927551706</c:v>
                </c:pt>
                <c:pt idx="206">
                  <c:v>204.11332081133213</c:v>
                </c:pt>
                <c:pt idx="207">
                  <c:v>207.55947796108742</c:v>
                </c:pt>
                <c:pt idx="208">
                  <c:v>210.9850017378881</c:v>
                </c:pt>
                <c:pt idx="209">
                  <c:v>214.39466193291884</c:v>
                </c:pt>
                <c:pt idx="210">
                  <c:v>217.79297806589932</c:v>
                </c:pt>
                <c:pt idx="211">
                  <c:v>221.184270750976</c:v>
                </c:pt>
                <c:pt idx="212">
                  <c:v>224.5724929234529</c:v>
                </c:pt>
                <c:pt idx="213">
                  <c:v>227.84542834232411</c:v>
                </c:pt>
                <c:pt idx="214">
                  <c:v>230.92064989948113</c:v>
                </c:pt>
                <c:pt idx="215">
                  <c:v>233.81689204586434</c:v>
                </c:pt>
                <c:pt idx="216">
                  <c:v>236.55062197648934</c:v>
                </c:pt>
                <c:pt idx="217">
                  <c:v>239.1363726372272</c:v>
                </c:pt>
                <c:pt idx="218">
                  <c:v>241.58701879778084</c:v>
                </c:pt>
                <c:pt idx="219">
                  <c:v>243.91400714803081</c:v>
                </c:pt>
                <c:pt idx="220">
                  <c:v>246.12754921035844</c:v>
                </c:pt>
                <c:pt idx="221">
                  <c:v>248.23678387335053</c:v>
                </c:pt>
                <c:pt idx="222">
                  <c:v>250.24991485161576</c:v>
                </c:pt>
                <c:pt idx="223">
                  <c:v>252.17432771340549</c:v>
                </c:pt>
                <c:pt idx="224">
                  <c:v>254.01668969766217</c:v>
                </c:pt>
                <c:pt idx="225">
                  <c:v>255.78303533904733</c:v>
                </c:pt>
                <c:pt idx="226">
                  <c:v>257.47884017302579</c:v>
                </c:pt>
                <c:pt idx="227">
                  <c:v>259.10908440624985</c:v>
                </c:pt>
                <c:pt idx="228">
                  <c:v>260.67830805588369</c:v>
                </c:pt>
                <c:pt idx="229">
                  <c:v>262.19065898718787</c:v>
                </c:pt>
                <c:pt idx="230">
                  <c:v>263.64993480026374</c:v>
                </c:pt>
                <c:pt idx="231">
                  <c:v>265.0596194442694</c:v>
                </c:pt>
                <c:pt idx="232">
                  <c:v>266.42291543015028</c:v>
                </c:pt>
                <c:pt idx="233">
                  <c:v>265.73313319131017</c:v>
                </c:pt>
                <c:pt idx="234">
                  <c:v>264.92537330422402</c:v>
                </c:pt>
                <c:pt idx="235">
                  <c:v>264.08059237213951</c:v>
                </c:pt>
                <c:pt idx="236">
                  <c:v>263.20090288098913</c:v>
                </c:pt>
                <c:pt idx="237">
                  <c:v>262.28817697840327</c:v>
                </c:pt>
                <c:pt idx="238">
                  <c:v>261.34406941159682</c:v>
                </c:pt>
                <c:pt idx="239">
                  <c:v>260.37003776544753</c:v>
                </c:pt>
                <c:pt idx="240">
                  <c:v>259.36736028390885</c:v>
                </c:pt>
                <c:pt idx="241">
                  <c:v>258.3371515991347</c:v>
                </c:pt>
                <c:pt idx="242">
                  <c:v>257.28037662518392</c:v>
                </c:pt>
                <c:pt idx="243">
                  <c:v>256.1978627992446</c:v>
                </c:pt>
                <c:pt idx="244">
                  <c:v>255.09031090437298</c:v>
                </c:pt>
                <c:pt idx="245">
                  <c:v>253.95830459195935</c:v>
                </c:pt>
                <c:pt idx="246">
                  <c:v>252.80231878517213</c:v>
                </c:pt>
                <c:pt idx="247">
                  <c:v>251.62272704298158</c:v>
                </c:pt>
                <c:pt idx="248">
                  <c:v>250.41980803319024</c:v>
                </c:pt>
                <c:pt idx="249">
                  <c:v>249.193751171158</c:v>
                </c:pt>
                <c:pt idx="250">
                  <c:v>247.94466152019635</c:v>
                </c:pt>
                <c:pt idx="251">
                  <c:v>246.67256402713542</c:v>
                </c:pt>
                <c:pt idx="252">
                  <c:v>245.37740713480417</c:v>
                </c:pt>
                <c:pt idx="253">
                  <c:v>244.05906583587864</c:v>
                </c:pt>
                <c:pt idx="254">
                  <c:v>242.71734421666412</c:v>
                </c:pt>
                <c:pt idx="255">
                  <c:v>241.3519775066797</c:v>
                </c:pt>
                <c:pt idx="256">
                  <c:v>239.96263369318177</c:v>
                </c:pt>
                <c:pt idx="257">
                  <c:v>238.54891470309286</c:v>
                </c:pt>
                <c:pt idx="258">
                  <c:v>237.11035719325139</c:v>
                </c:pt>
                <c:pt idx="259">
                  <c:v>235.64643295399372</c:v>
                </c:pt>
                <c:pt idx="260">
                  <c:v>234.15654894350746</c:v>
                </c:pt>
                <c:pt idx="261">
                  <c:v>232.64004696670622</c:v>
                </c:pt>
                <c:pt idx="262">
                  <c:v>231.09620299998301</c:v>
                </c:pt>
                <c:pt idx="263">
                  <c:v>229.52422616571693</c:v>
                </c:pt>
                <c:pt idx="264">
                  <c:v>227.9232573646498</c:v>
                </c:pt>
                <c:pt idx="265">
                  <c:v>226.29236754652351</c:v>
                </c:pt>
                <c:pt idx="266">
                  <c:v>224.63055563205847</c:v>
                </c:pt>
                <c:pt idx="267">
                  <c:v>222.93674605809417</c:v>
                </c:pt>
                <c:pt idx="268">
                  <c:v>221.20978595331792</c:v>
                </c:pt>
                <c:pt idx="269">
                  <c:v>219.44844190856304</c:v>
                </c:pt>
                <c:pt idx="270">
                  <c:v>217.61349483813834</c:v>
                </c:pt>
                <c:pt idx="271">
                  <c:v>217.19570932476881</c:v>
                </c:pt>
                <c:pt idx="272">
                  <c:v>216.71565026277156</c:v>
                </c:pt>
                <c:pt idx="273">
                  <c:v>216.19287787478746</c:v>
                </c:pt>
                <c:pt idx="274">
                  <c:v>215.63174050593062</c:v>
                </c:pt>
                <c:pt idx="275">
                  <c:v>215.03074536724492</c:v>
                </c:pt>
                <c:pt idx="276">
                  <c:v>214.38825227610215</c:v>
                </c:pt>
                <c:pt idx="277">
                  <c:v>213.70246178470757</c:v>
                </c:pt>
                <c:pt idx="278">
                  <c:v>212.97140178963892</c:v>
                </c:pt>
                <c:pt idx="279">
                  <c:v>212.1929124496117</c:v>
                </c:pt>
                <c:pt idx="280">
                  <c:v>211.3646291598414</c:v>
                </c:pt>
                <c:pt idx="281">
                  <c:v>210.48396332771043</c:v>
                </c:pt>
                <c:pt idx="282">
                  <c:v>209.54808062802979</c:v>
                </c:pt>
                <c:pt idx="283">
                  <c:v>208.55387637189921</c:v>
                </c:pt>
                <c:pt idx="284">
                  <c:v>207.5186508097409</c:v>
                </c:pt>
                <c:pt idx="285">
                  <c:v>206.62896147493876</c:v>
                </c:pt>
                <c:pt idx="286">
                  <c:v>205.852851738813</c:v>
                </c:pt>
                <c:pt idx="287">
                  <c:v>205.12201627699085</c:v>
                </c:pt>
                <c:pt idx="288">
                  <c:v>204.38862152292194</c:v>
                </c:pt>
                <c:pt idx="289">
                  <c:v>203.61650059895771</c:v>
                </c:pt>
                <c:pt idx="290">
                  <c:v>202.77628024891965</c:v>
                </c:pt>
                <c:pt idx="291">
                  <c:v>201.84247249439841</c:v>
                </c:pt>
                <c:pt idx="292">
                  <c:v>200.79160850029169</c:v>
                </c:pt>
                <c:pt idx="293">
                  <c:v>199.60094669324715</c:v>
                </c:pt>
                <c:pt idx="294">
                  <c:v>198.24750044132895</c:v>
                </c:pt>
                <c:pt idx="295">
                  <c:v>196.70723647879095</c:v>
                </c:pt>
                <c:pt idx="296">
                  <c:v>194.95434980895394</c:v>
                </c:pt>
                <c:pt idx="297">
                  <c:v>192.960548731469</c:v>
                </c:pt>
                <c:pt idx="298">
                  <c:v>190.69429696965997</c:v>
                </c:pt>
                <c:pt idx="299">
                  <c:v>188.11996372673073</c:v>
                </c:pt>
                <c:pt idx="300">
                  <c:v>185.19682977237645</c:v>
                </c:pt>
                <c:pt idx="301">
                  <c:v>179.84762598420869</c:v>
                </c:pt>
                <c:pt idx="302">
                  <c:v>172.34920286297887</c:v>
                </c:pt>
                <c:pt idx="303">
                  <c:v>164.39576083772653</c:v>
                </c:pt>
                <c:pt idx="304">
                  <c:v>155.9505550562921</c:v>
                </c:pt>
                <c:pt idx="305">
                  <c:v>146.9725037488293</c:v>
                </c:pt>
                <c:pt idx="306">
                  <c:v>137.5120533950427</c:v>
                </c:pt>
                <c:pt idx="307">
                  <c:v>127.85255867617553</c:v>
                </c:pt>
                <c:pt idx="308">
                  <c:v>116.81011837959451</c:v>
                </c:pt>
                <c:pt idx="309">
                  <c:v>106.34560853322348</c:v>
                </c:pt>
                <c:pt idx="310">
                  <c:v>96.436939146775629</c:v>
                </c:pt>
                <c:pt idx="311">
                  <c:v>87.070777209658445</c:v>
                </c:pt>
                <c:pt idx="312">
                  <c:v>78.242775544685173</c:v>
                </c:pt>
                <c:pt idx="313">
                  <c:v>69.958105815167386</c:v>
                </c:pt>
                <c:pt idx="314">
                  <c:v>62.232347906557187</c:v>
                </c:pt>
                <c:pt idx="315">
                  <c:v>55.092814503471317</c:v>
                </c:pt>
                <c:pt idx="316">
                  <c:v>48.580427322760102</c:v>
                </c:pt>
                <c:pt idx="317">
                  <c:v>42.752314572673164</c:v>
                </c:pt>
                <c:pt idx="318">
                  <c:v>37.685377825998003</c:v>
                </c:pt>
                <c:pt idx="319">
                  <c:v>33.481194592662312</c:v>
                </c:pt>
                <c:pt idx="320">
                  <c:v>30.272805595010457</c:v>
                </c:pt>
                <c:pt idx="321">
                  <c:v>28.234223393569579</c:v>
                </c:pt>
                <c:pt idx="322">
                  <c:v>27.457617066362278</c:v>
                </c:pt>
                <c:pt idx="323">
                  <c:v>26.939472376526002</c:v>
                </c:pt>
                <c:pt idx="324">
                  <c:v>26.419962758431893</c:v>
                </c:pt>
                <c:pt idx="325">
                  <c:v>25.898029149624605</c:v>
                </c:pt>
                <c:pt idx="326">
                  <c:v>25.372548347957604</c:v>
                </c:pt>
                <c:pt idx="327">
                  <c:v>24.842317648207146</c:v>
                </c:pt>
                <c:pt idx="328">
                  <c:v>24.936290649578382</c:v>
                </c:pt>
                <c:pt idx="329">
                  <c:v>23.762287583653364</c:v>
                </c:pt>
                <c:pt idx="330">
                  <c:v>23.767275978446808</c:v>
                </c:pt>
                <c:pt idx="331">
                  <c:v>22.645959993669919</c:v>
                </c:pt>
                <c:pt idx="332">
                  <c:v>22.548204454870159</c:v>
                </c:pt>
                <c:pt idx="333">
                  <c:v>21.478521458847855</c:v>
                </c:pt>
                <c:pt idx="334">
                  <c:v>21.260816780688771</c:v>
                </c:pt>
                <c:pt idx="335">
                  <c:v>20.584340298444854</c:v>
                </c:pt>
                <c:pt idx="336">
                  <c:v>19.881275312816662</c:v>
                </c:pt>
                <c:pt idx="337">
                  <c:v>19.147312240786334</c:v>
                </c:pt>
                <c:pt idx="338">
                  <c:v>18.377354959056682</c:v>
                </c:pt>
                <c:pt idx="339">
                  <c:v>17.565319749387434</c:v>
                </c:pt>
                <c:pt idx="340">
                  <c:v>16.703871088979909</c:v>
                </c:pt>
                <c:pt idx="341">
                  <c:v>15.804637449996516</c:v>
                </c:pt>
                <c:pt idx="342">
                  <c:v>14.913814057091288</c:v>
                </c:pt>
                <c:pt idx="343">
                  <c:v>14.0330382789534</c:v>
                </c:pt>
                <c:pt idx="344">
                  <c:v>13.161613206330166</c:v>
                </c:pt>
                <c:pt idx="345">
                  <c:v>12.298867932589426</c:v>
                </c:pt>
                <c:pt idx="346">
                  <c:v>11.444155330502888</c:v>
                </c:pt>
                <c:pt idx="347">
                  <c:v>10.596849972664231</c:v>
                </c:pt>
                <c:pt idx="348">
                  <c:v>9.7563461806549014</c:v>
                </c:pt>
                <c:pt idx="349">
                  <c:v>8.9220561894221753</c:v>
                </c:pt>
                <c:pt idx="350">
                  <c:v>8.0934084145194376</c:v>
                </c:pt>
                <c:pt idx="351">
                  <c:v>7.2698458108971149</c:v>
                </c:pt>
                <c:pt idx="352">
                  <c:v>6.4508243128406768</c:v>
                </c:pt>
                <c:pt idx="353">
                  <c:v>5.6358113454442353</c:v>
                </c:pt>
                <c:pt idx="354">
                  <c:v>4.8242843986954789</c:v>
                </c:pt>
                <c:pt idx="355">
                  <c:v>4.0157296558408273</c:v>
                </c:pt>
                <c:pt idx="356">
                  <c:v>3.2096406682080616</c:v>
                </c:pt>
                <c:pt idx="357">
                  <c:v>2.4055170690925261</c:v>
                </c:pt>
                <c:pt idx="358">
                  <c:v>1.6028633196721593</c:v>
                </c:pt>
                <c:pt idx="359">
                  <c:v>0.80118748020615005</c:v>
                </c:pt>
                <c:pt idx="360">
                  <c:v>9.6812620770935811E-13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-230.37889532352679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9.6812620770935811E-13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Ref>
              <c:f>L_Section_Capacity!$U$12</c:f>
              <c:numCache>
                <c:formatCode>General</c:formatCode>
                <c:ptCount val="1"/>
                <c:pt idx="0">
                  <c:v>62.3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L_Section_Capacity!$AV$2:$AV$362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-3.1381148472256539</c:v>
                </c:pt>
                <c:pt idx="2">
                  <c:v>-3.1346343313608784</c:v>
                </c:pt>
                <c:pt idx="3">
                  <c:v>-3.1311484279769721</c:v>
                </c:pt>
                <c:pt idx="4">
                  <c:v>-3.1276544413973131</c:v>
                </c:pt>
                <c:pt idx="5">
                  <c:v>-3.124149649308408</c:v>
                </c:pt>
                <c:pt idx="6">
                  <c:v>-3.1206312935942457</c:v>
                </c:pt>
                <c:pt idx="7">
                  <c:v>-3.1170965709032279</c:v>
                </c:pt>
                <c:pt idx="8">
                  <c:v>-3.1135426228826555</c:v>
                </c:pt>
                <c:pt idx="9">
                  <c:v>-3.1099665260072866</c:v>
                </c:pt>
                <c:pt idx="10">
                  <c:v>-3.1063652809049493</c:v>
                </c:pt>
                <c:pt idx="11">
                  <c:v>-3.1027358011097501</c:v>
                </c:pt>
                <c:pt idx="12">
                  <c:v>-3.0990749011218086</c:v>
                </c:pt>
                <c:pt idx="13">
                  <c:v>-3.0953792836918161</c:v>
                </c:pt>
                <c:pt idx="14">
                  <c:v>-3.0916455262061979</c:v>
                </c:pt>
                <c:pt idx="15">
                  <c:v>-3.0878700660262268</c:v>
                </c:pt>
                <c:pt idx="16">
                  <c:v>-3.0840491846573692</c:v>
                </c:pt>
                <c:pt idx="17">
                  <c:v>-3.0801789905629513</c:v>
                </c:pt>
                <c:pt idx="18">
                  <c:v>-3.0762554004766156</c:v>
                </c:pt>
                <c:pt idx="19">
                  <c:v>-3.0722741189329854</c:v>
                </c:pt>
                <c:pt idx="20">
                  <c:v>-3.0682412207033982</c:v>
                </c:pt>
                <c:pt idx="21">
                  <c:v>-3.0643634422737347</c:v>
                </c:pt>
                <c:pt idx="22">
                  <c:v>-3.0606940442465516</c:v>
                </c:pt>
                <c:pt idx="23">
                  <c:v>-3.0572011093475648</c:v>
                </c:pt>
                <c:pt idx="24">
                  <c:v>-3.0538580692247423</c:v>
                </c:pt>
                <c:pt idx="25">
                  <c:v>-3.050642573788926</c:v>
                </c:pt>
                <c:pt idx="26">
                  <c:v>-3.047535628967299</c:v>
                </c:pt>
                <c:pt idx="27">
                  <c:v>-3.0445209311885262</c:v>
                </c:pt>
                <c:pt idx="28">
                  <c:v>-3.0438108701935982</c:v>
                </c:pt>
                <c:pt idx="29">
                  <c:v>-3.0387135074993648</c:v>
                </c:pt>
                <c:pt idx="30">
                  <c:v>-3.0358974726970178</c:v>
                </c:pt>
                <c:pt idx="31">
                  <c:v>-3.0359215789216818</c:v>
                </c:pt>
                <c:pt idx="32">
                  <c:v>-3.0303917094755897</c:v>
                </c:pt>
                <c:pt idx="33">
                  <c:v>-3.0276851399426818</c:v>
                </c:pt>
                <c:pt idx="34">
                  <c:v>-3.0283125514407803</c:v>
                </c:pt>
                <c:pt idx="35">
                  <c:v>-3.0258051490789017</c:v>
                </c:pt>
                <c:pt idx="36">
                  <c:v>-3.0233019412365731</c:v>
                </c:pt>
                <c:pt idx="37">
                  <c:v>-3.0207972287075413</c:v>
                </c:pt>
                <c:pt idx="38">
                  <c:v>-3.0182855139217093</c:v>
                </c:pt>
                <c:pt idx="39">
                  <c:v>-3.0144925192074674</c:v>
                </c:pt>
                <c:pt idx="40">
                  <c:v>-3.0044118310218164</c:v>
                </c:pt>
                <c:pt idx="41">
                  <c:v>-2.9882307795923766</c:v>
                </c:pt>
                <c:pt idx="42">
                  <c:v>-2.9664431804657729</c:v>
                </c:pt>
                <c:pt idx="43">
                  <c:v>-2.9392762541045294</c:v>
                </c:pt>
                <c:pt idx="44">
                  <c:v>-2.9067481442467753</c:v>
                </c:pt>
                <c:pt idx="45">
                  <c:v>-2.8687048433147799</c:v>
                </c:pt>
                <c:pt idx="46">
                  <c:v>-2.8248458431203747</c:v>
                </c:pt>
                <c:pt idx="47">
                  <c:v>-2.7747459691715455</c:v>
                </c:pt>
                <c:pt idx="48">
                  <c:v>-2.7178807048233486</c:v>
                </c:pt>
                <c:pt idx="49">
                  <c:v>-2.6536633441879638</c:v>
                </c:pt>
                <c:pt idx="50">
                  <c:v>-2.5815038448459791</c:v>
                </c:pt>
                <c:pt idx="51">
                  <c:v>-2.500899882244886</c:v>
                </c:pt>
                <c:pt idx="52">
                  <c:v>-2.4115676256028262</c:v>
                </c:pt>
                <c:pt idx="53">
                  <c:v>-2.3136090875900663</c:v>
                </c:pt>
                <c:pt idx="54">
                  <c:v>-2.224322955083136</c:v>
                </c:pt>
                <c:pt idx="55">
                  <c:v>-2.1351898900701336</c:v>
                </c:pt>
                <c:pt idx="56">
                  <c:v>-2.0501891355282105</c:v>
                </c:pt>
                <c:pt idx="57">
                  <c:v>-1.9705955509572277</c:v>
                </c:pt>
                <c:pt idx="58">
                  <c:v>-1.8965168007863307</c:v>
                </c:pt>
                <c:pt idx="59">
                  <c:v>-1.8278606358195093</c:v>
                </c:pt>
                <c:pt idx="60">
                  <c:v>-1.7643954841666205</c:v>
                </c:pt>
                <c:pt idx="61">
                  <c:v>-1.7058036959724938</c:v>
                </c:pt>
                <c:pt idx="62">
                  <c:v>-1.6517236654382774</c:v>
                </c:pt>
                <c:pt idx="63">
                  <c:v>-1.6017805605775886</c:v>
                </c:pt>
                <c:pt idx="64">
                  <c:v>-1.5556072289769163</c:v>
                </c:pt>
                <c:pt idx="65">
                  <c:v>-1.5128574920738513</c:v>
                </c:pt>
                <c:pt idx="66">
                  <c:v>-1.4732140165033814</c:v>
                </c:pt>
                <c:pt idx="67">
                  <c:v>-1.4363926439741748</c:v>
                </c:pt>
                <c:pt idx="68">
                  <c:v>-1.4021447034252119</c:v>
                </c:pt>
                <c:pt idx="69">
                  <c:v>-1.3702585454400895</c:v>
                </c:pt>
                <c:pt idx="70">
                  <c:v>-1.3405613980651778</c:v>
                </c:pt>
                <c:pt idx="71">
                  <c:v>-1.3129227059864201</c:v>
                </c:pt>
                <c:pt idx="72">
                  <c:v>-1.2872604879889542</c:v>
                </c:pt>
                <c:pt idx="73">
                  <c:v>-1.263553165577352</c:v>
                </c:pt>
                <c:pt idx="74">
                  <c:v>-1.2418613329478794</c:v>
                </c:pt>
                <c:pt idx="75">
                  <c:v>-1.2223684093259941</c:v>
                </c:pt>
                <c:pt idx="76">
                  <c:v>-1.2054596630070309</c:v>
                </c:pt>
                <c:pt idx="77">
                  <c:v>-1.1912068977123023</c:v>
                </c:pt>
                <c:pt idx="78">
                  <c:v>-1.1777521208885746</c:v>
                </c:pt>
                <c:pt idx="79">
                  <c:v>-1.1648540904009002</c:v>
                </c:pt>
                <c:pt idx="80">
                  <c:v>-1.152468220946802</c:v>
                </c:pt>
                <c:pt idx="81">
                  <c:v>-1.1405541877883505</c:v>
                </c:pt>
                <c:pt idx="82">
                  <c:v>-1.1290754299011634</c:v>
                </c:pt>
                <c:pt idx="83">
                  <c:v>-1.1179987180776323</c:v>
                </c:pt>
                <c:pt idx="84">
                  <c:v>-1.1072937784865475</c:v>
                </c:pt>
                <c:pt idx="85">
                  <c:v>-1.0969329637842</c:v>
                </c:pt>
                <c:pt idx="86">
                  <c:v>-1.0868909654400103</c:v>
                </c:pt>
                <c:pt idx="87">
                  <c:v>-1.0771445610827131</c:v>
                </c:pt>
                <c:pt idx="88">
                  <c:v>-1.0676723924761498</c:v>
                </c:pt>
                <c:pt idx="89">
                  <c:v>-1.0575625971704017</c:v>
                </c:pt>
                <c:pt idx="90">
                  <c:v>-1.0425322138106872</c:v>
                </c:pt>
                <c:pt idx="91">
                  <c:v>-1.0325984144256668</c:v>
                </c:pt>
                <c:pt idx="92">
                  <c:v>-1.0306131323507988</c:v>
                </c:pt>
                <c:pt idx="93">
                  <c:v>-1.0286174002855442</c:v>
                </c:pt>
                <c:pt idx="94">
                  <c:v>-1.0266099207111836</c:v>
                </c:pt>
                <c:pt idx="95">
                  <c:v>-1.0245893663212824</c:v>
                </c:pt>
                <c:pt idx="96">
                  <c:v>-1.0225543765794634</c:v>
                </c:pt>
                <c:pt idx="97">
                  <c:v>-1.020503553755107</c:v>
                </c:pt>
                <c:pt idx="98">
                  <c:v>-1.0184354589852289</c:v>
                </c:pt>
                <c:pt idx="99">
                  <c:v>-1.0163486079183384</c:v>
                </c:pt>
                <c:pt idx="100">
                  <c:v>-1.0142414663798918</c:v>
                </c:pt>
                <c:pt idx="101">
                  <c:v>-1.0121124453356236</c:v>
                </c:pt>
                <c:pt idx="102">
                  <c:v>-1.0099598959472236</c:v>
                </c:pt>
                <c:pt idx="103">
                  <c:v>-1.0077821039300008</c:v>
                </c:pt>
                <c:pt idx="104">
                  <c:v>-1.0055772837631245</c:v>
                </c:pt>
                <c:pt idx="105">
                  <c:v>-1.0033435723410187</c:v>
                </c:pt>
                <c:pt idx="106">
                  <c:v>-1.0010790220171011</c:v>
                </c:pt>
                <c:pt idx="107">
                  <c:v>-0.99878159335660543</c:v>
                </c:pt>
                <c:pt idx="108">
                  <c:v>-0.9964491470931951</c:v>
                </c:pt>
                <c:pt idx="109">
                  <c:v>-0.99407943530632148</c:v>
                </c:pt>
                <c:pt idx="110">
                  <c:v>-0.99167009215053481</c:v>
                </c:pt>
                <c:pt idx="111">
                  <c:v>-0.98921862344163647</c:v>
                </c:pt>
                <c:pt idx="112">
                  <c:v>-0.98672239538299256</c:v>
                </c:pt>
                <c:pt idx="113">
                  <c:v>-0.98417862233625564</c:v>
                </c:pt>
                <c:pt idx="114">
                  <c:v>-0.98158435322565563</c:v>
                </c:pt>
                <c:pt idx="115">
                  <c:v>-0.97893645670269747</c:v>
                </c:pt>
                <c:pt idx="116">
                  <c:v>-0.97623160492610406</c:v>
                </c:pt>
                <c:pt idx="117">
                  <c:v>-0.97346625535564635</c:v>
                </c:pt>
                <c:pt idx="118">
                  <c:v>-0.97063663098546105</c:v>
                </c:pt>
                <c:pt idx="119">
                  <c:v>-0.9677386983118661</c:v>
                </c:pt>
                <c:pt idx="120">
                  <c:v>-0.96476814274657907</c:v>
                </c:pt>
                <c:pt idx="121">
                  <c:v>-0.96172034156386843</c:v>
                </c:pt>
                <c:pt idx="122">
                  <c:v>-0.95859033349028977</c:v>
                </c:pt>
                <c:pt idx="123">
                  <c:v>-0.95537278502983691</c:v>
                </c:pt>
                <c:pt idx="124">
                  <c:v>-0.95206195249299941</c:v>
                </c:pt>
                <c:pt idx="125">
                  <c:v>-0.9486516395914607</c:v>
                </c:pt>
                <c:pt idx="126">
                  <c:v>-0.94513514973634094</c:v>
                </c:pt>
                <c:pt idx="127">
                  <c:v>-0.94150523230564187</c:v>
                </c:pt>
                <c:pt idx="128">
                  <c:v>-0.93775402187833246</c:v>
                </c:pt>
                <c:pt idx="129">
                  <c:v>-0.9338729695107687</c:v>
                </c:pt>
                <c:pt idx="130">
                  <c:v>-0.92985276458706145</c:v>
                </c:pt>
                <c:pt idx="131">
                  <c:v>-0.92568324591921147</c:v>
                </c:pt>
                <c:pt idx="132">
                  <c:v>-0.92135330024582118</c:v>
                </c:pt>
                <c:pt idx="133">
                  <c:v>-0.91685074583033899</c:v>
                </c:pt>
                <c:pt idx="134">
                  <c:v>-0.91216219891399264</c:v>
                </c:pt>
                <c:pt idx="135">
                  <c:v>-0.90727291960846501</c:v>
                </c:pt>
                <c:pt idx="136">
                  <c:v>-0.90216663380216588</c:v>
                </c:pt>
                <c:pt idx="137">
                  <c:v>-0.89682532628692446</c:v>
                </c:pt>
                <c:pt idx="138">
                  <c:v>-0.89122899990477267</c:v>
                </c:pt>
                <c:pt idx="139">
                  <c:v>-0.88535539376658356</c:v>
                </c:pt>
                <c:pt idx="140">
                  <c:v>-0.87917965235646411</c:v>
                </c:pt>
                <c:pt idx="141">
                  <c:v>-0.87267393532776683</c:v>
                </c:pt>
                <c:pt idx="142">
                  <c:v>-0.86580695536618235</c:v>
                </c:pt>
                <c:pt idx="143">
                  <c:v>-0.85854342797634797</c:v>
                </c:pt>
                <c:pt idx="144">
                  <c:v>-0.85084341360332971</c:v>
                </c:pt>
                <c:pt idx="145">
                  <c:v>-0.84266152667274685</c:v>
                </c:pt>
                <c:pt idx="146">
                  <c:v>-0.83394597943558602</c:v>
                </c:pt>
                <c:pt idx="147">
                  <c:v>-0.82463741966523751</c:v>
                </c:pt>
                <c:pt idx="148">
                  <c:v>-0.81466750911353991</c:v>
                </c:pt>
                <c:pt idx="149">
                  <c:v>-0.80429628567679401</c:v>
                </c:pt>
                <c:pt idx="150">
                  <c:v>-0.79388591543156428</c:v>
                </c:pt>
                <c:pt idx="151">
                  <c:v>-0.78342247469305837</c:v>
                </c:pt>
                <c:pt idx="152">
                  <c:v>-0.77289065709807281</c:v>
                </c:pt>
                <c:pt idx="153">
                  <c:v>-0.7622742969348193</c:v>
                </c:pt>
                <c:pt idx="154">
                  <c:v>-0.75155617175636469</c:v>
                </c:pt>
                <c:pt idx="155">
                  <c:v>-0.7407177669731364</c:v>
                </c:pt>
                <c:pt idx="156">
                  <c:v>-0.72973899106506657</c:v>
                </c:pt>
                <c:pt idx="157">
                  <c:v>-0.71859782578266551</c:v>
                </c:pt>
                <c:pt idx="158">
                  <c:v>-0.70726989018563435</c:v>
                </c:pt>
                <c:pt idx="159">
                  <c:v>-0.69572788907973415</c:v>
                </c:pt>
                <c:pt idx="160">
                  <c:v>-0.6839409041450818</c:v>
                </c:pt>
                <c:pt idx="161">
                  <c:v>-0.67187346789625813</c:v>
                </c:pt>
                <c:pt idx="162">
                  <c:v>-0.65948433270941054</c:v>
                </c:pt>
                <c:pt idx="163">
                  <c:v>-0.64672480375669184</c:v>
                </c:pt>
                <c:pt idx="164">
                  <c:v>-0.63353643517336544</c:v>
                </c:pt>
                <c:pt idx="165">
                  <c:v>-0.61984777533850732</c:v>
                </c:pt>
                <c:pt idx="166">
                  <c:v>-0.60556965519837191</c:v>
                </c:pt>
                <c:pt idx="167">
                  <c:v>-0.59058818029253601</c:v>
                </c:pt>
                <c:pt idx="168">
                  <c:v>-0.57475398524415544</c:v>
                </c:pt>
                <c:pt idx="169">
                  <c:v>-0.55786517840340299</c:v>
                </c:pt>
                <c:pt idx="170">
                  <c:v>-0.539639176748831</c:v>
                </c:pt>
                <c:pt idx="171">
                  <c:v>-0.51966399607111746</c:v>
                </c:pt>
                <c:pt idx="172">
                  <c:v>-0.49730927924314539</c:v>
                </c:pt>
                <c:pt idx="173">
                  <c:v>-0.47155269989371634</c:v>
                </c:pt>
                <c:pt idx="174">
                  <c:v>-0.4406124492345892</c:v>
                </c:pt>
                <c:pt idx="175">
                  <c:v>-0.40108386280217168</c:v>
                </c:pt>
                <c:pt idx="176">
                  <c:v>-0.34561147903082617</c:v>
                </c:pt>
                <c:pt idx="177">
                  <c:v>-0.26446678706250742</c:v>
                </c:pt>
                <c:pt idx="178">
                  <c:v>-0.17754826374205696</c:v>
                </c:pt>
                <c:pt idx="179">
                  <c:v>-8.9080024260942581E-2</c:v>
                </c:pt>
                <c:pt idx="180">
                  <c:v>-5.2879682108142327E-14</c:v>
                </c:pt>
                <c:pt idx="181">
                  <c:v>8.9080024260811741E-2</c:v>
                </c:pt>
                <c:pt idx="182">
                  <c:v>0.17754826374190566</c:v>
                </c:pt>
                <c:pt idx="183">
                  <c:v>0.26446678706234145</c:v>
                </c:pt>
                <c:pt idx="184">
                  <c:v>0.34561147903068601</c:v>
                </c:pt>
                <c:pt idx="185">
                  <c:v>0.40108386280207875</c:v>
                </c:pt>
                <c:pt idx="186">
                  <c:v>0.44061244923452098</c:v>
                </c:pt>
                <c:pt idx="187">
                  <c:v>0.47155269989366233</c:v>
                </c:pt>
                <c:pt idx="188">
                  <c:v>0.49730927924310031</c:v>
                </c:pt>
                <c:pt idx="189">
                  <c:v>0.51966399607107894</c:v>
                </c:pt>
                <c:pt idx="190">
                  <c:v>0.53963917674879713</c:v>
                </c:pt>
                <c:pt idx="191">
                  <c:v>0.55786517840337235</c:v>
                </c:pt>
                <c:pt idx="192">
                  <c:v>0.57475398524412735</c:v>
                </c:pt>
                <c:pt idx="193">
                  <c:v>0.59058818029250992</c:v>
                </c:pt>
                <c:pt idx="194">
                  <c:v>0.60556965519834771</c:v>
                </c:pt>
                <c:pt idx="195">
                  <c:v>0.61984777533848434</c:v>
                </c:pt>
                <c:pt idx="196">
                  <c:v>0.63353643517334379</c:v>
                </c:pt>
                <c:pt idx="197">
                  <c:v>0.64672480375667096</c:v>
                </c:pt>
                <c:pt idx="198">
                  <c:v>0.65948433270939033</c:v>
                </c:pt>
                <c:pt idx="199">
                  <c:v>0.67187346789623881</c:v>
                </c:pt>
                <c:pt idx="200">
                  <c:v>0.68394090414506314</c:v>
                </c:pt>
                <c:pt idx="201">
                  <c:v>0.69572788907971594</c:v>
                </c:pt>
                <c:pt idx="202">
                  <c:v>0.70726989018561615</c:v>
                </c:pt>
                <c:pt idx="203">
                  <c:v>0.71859782578264808</c:v>
                </c:pt>
                <c:pt idx="204">
                  <c:v>0.72973899106504958</c:v>
                </c:pt>
                <c:pt idx="205">
                  <c:v>0.74071776697311975</c:v>
                </c:pt>
                <c:pt idx="206">
                  <c:v>0.75155617175634781</c:v>
                </c:pt>
                <c:pt idx="207">
                  <c:v>0.76227429693480253</c:v>
                </c:pt>
                <c:pt idx="208">
                  <c:v>0.77289065709805649</c:v>
                </c:pt>
                <c:pt idx="209">
                  <c:v>0.78342247469304249</c:v>
                </c:pt>
                <c:pt idx="210">
                  <c:v>0.79388591543154874</c:v>
                </c:pt>
                <c:pt idx="211">
                  <c:v>0.80429628567677858</c:v>
                </c:pt>
                <c:pt idx="212">
                  <c:v>0.81466750911352448</c:v>
                </c:pt>
                <c:pt idx="213">
                  <c:v>0.82463741966522264</c:v>
                </c:pt>
                <c:pt idx="214">
                  <c:v>0.83394597943557147</c:v>
                </c:pt>
                <c:pt idx="215">
                  <c:v>0.84266152667273275</c:v>
                </c:pt>
                <c:pt idx="216">
                  <c:v>0.85084341360331595</c:v>
                </c:pt>
                <c:pt idx="217">
                  <c:v>0.85854342797633487</c:v>
                </c:pt>
                <c:pt idx="218">
                  <c:v>0.86580695536616914</c:v>
                </c:pt>
                <c:pt idx="219">
                  <c:v>0.87267393532775406</c:v>
                </c:pt>
                <c:pt idx="220">
                  <c:v>0.87917965235645168</c:v>
                </c:pt>
                <c:pt idx="221">
                  <c:v>0.88535539376657113</c:v>
                </c:pt>
                <c:pt idx="222">
                  <c:v>0.89122899991017301</c:v>
                </c:pt>
                <c:pt idx="223">
                  <c:v>0.89682532628382383</c:v>
                </c:pt>
                <c:pt idx="224">
                  <c:v>0.90216663378988093</c:v>
                </c:pt>
                <c:pt idx="225">
                  <c:v>0.90727291960380707</c:v>
                </c:pt>
                <c:pt idx="226">
                  <c:v>0.91216219891677319</c:v>
                </c:pt>
                <c:pt idx="227">
                  <c:v>0.91685074583275583</c:v>
                </c:pt>
                <c:pt idx="228">
                  <c:v>0.92135330024538342</c:v>
                </c:pt>
                <c:pt idx="229">
                  <c:v>0.92568324593318252</c:v>
                </c:pt>
                <c:pt idx="230">
                  <c:v>0.9298527645845408</c:v>
                </c:pt>
                <c:pt idx="231">
                  <c:v>0.93387296951064203</c:v>
                </c:pt>
                <c:pt idx="232">
                  <c:v>0.93775402187943813</c:v>
                </c:pt>
                <c:pt idx="233">
                  <c:v>0.94150523229214544</c:v>
                </c:pt>
                <c:pt idx="234">
                  <c:v>0.94513514972644663</c:v>
                </c:pt>
                <c:pt idx="235">
                  <c:v>0.94865163957350795</c:v>
                </c:pt>
                <c:pt idx="236">
                  <c:v>0.95206195249783543</c:v>
                </c:pt>
                <c:pt idx="237">
                  <c:v>0.95537278503448364</c:v>
                </c:pt>
                <c:pt idx="238">
                  <c:v>0.95859033349976408</c:v>
                </c:pt>
                <c:pt idx="239">
                  <c:v>0.96172034155937869</c:v>
                </c:pt>
                <c:pt idx="240">
                  <c:v>0.96476814274507783</c:v>
                </c:pt>
                <c:pt idx="241">
                  <c:v>0.9677386983227706</c:v>
                </c:pt>
                <c:pt idx="242">
                  <c:v>0.97063663099935937</c:v>
                </c:pt>
                <c:pt idx="243">
                  <c:v>0.97346625535881526</c:v>
                </c:pt>
                <c:pt idx="244">
                  <c:v>0.97623160492136196</c:v>
                </c:pt>
                <c:pt idx="245">
                  <c:v>0.97893645672412422</c:v>
                </c:pt>
                <c:pt idx="246">
                  <c:v>0.9815843532179781</c:v>
                </c:pt>
                <c:pt idx="247">
                  <c:v>0.98417862234078135</c:v>
                </c:pt>
                <c:pt idx="248">
                  <c:v>0.9867223953913814</c:v>
                </c:pt>
                <c:pt idx="249">
                  <c:v>0.98921862342980482</c:v>
                </c:pt>
                <c:pt idx="250">
                  <c:v>0.99167009215610624</c:v>
                </c:pt>
                <c:pt idx="251">
                  <c:v>0.99407943531123988</c:v>
                </c:pt>
                <c:pt idx="252">
                  <c:v>0.99644914707662102</c:v>
                </c:pt>
                <c:pt idx="253">
                  <c:v>0.99878159337031436</c:v>
                </c:pt>
                <c:pt idx="254">
                  <c:v>1.0010790220074746</c:v>
                </c:pt>
                <c:pt idx="255">
                  <c:v>1.0033435723309057</c:v>
                </c:pt>
                <c:pt idx="256">
                  <c:v>1.0055772837590768</c:v>
                </c:pt>
                <c:pt idx="257">
                  <c:v>1.0077821039207777</c:v>
                </c:pt>
                <c:pt idx="258">
                  <c:v>1.0099598959529588</c:v>
                </c:pt>
                <c:pt idx="259">
                  <c:v>1.012112445358436</c:v>
                </c:pt>
                <c:pt idx="260">
                  <c:v>1.0142414664000348</c:v>
                </c:pt>
                <c:pt idx="261">
                  <c:v>1.0163486079430486</c:v>
                </c:pt>
                <c:pt idx="262">
                  <c:v>1.0184354589623497</c:v>
                </c:pt>
                <c:pt idx="263">
                  <c:v>1.0205035537651255</c:v>
                </c:pt>
                <c:pt idx="264">
                  <c:v>1.0225543765892853</c:v>
                </c:pt>
                <c:pt idx="265">
                  <c:v>1.0245893663538823</c:v>
                </c:pt>
                <c:pt idx="266">
                  <c:v>1.0266099207023482</c:v>
                </c:pt>
                <c:pt idx="267">
                  <c:v>1.028617400306848</c:v>
                </c:pt>
                <c:pt idx="268">
                  <c:v>1.0306131323604133</c:v>
                </c:pt>
                <c:pt idx="269">
                  <c:v>1.0325984144246216</c:v>
                </c:pt>
                <c:pt idx="270">
                  <c:v>1.0425322138122342</c:v>
                </c:pt>
                <c:pt idx="271">
                  <c:v>1.0575625971733296</c:v>
                </c:pt>
                <c:pt idx="272">
                  <c:v>1.0676723924610703</c:v>
                </c:pt>
                <c:pt idx="273">
                  <c:v>1.0771445610720471</c:v>
                </c:pt>
                <c:pt idx="274">
                  <c:v>1.0868909654431729</c:v>
                </c:pt>
                <c:pt idx="275">
                  <c:v>1.0969329637997725</c:v>
                </c:pt>
                <c:pt idx="276">
                  <c:v>1.1072937784654595</c:v>
                </c:pt>
                <c:pt idx="277">
                  <c:v>1.1179987180685835</c:v>
                </c:pt>
                <c:pt idx="278">
                  <c:v>1.1290754298801198</c:v>
                </c:pt>
                <c:pt idx="279">
                  <c:v>1.140554187775022</c:v>
                </c:pt>
                <c:pt idx="280">
                  <c:v>1.1524682209476342</c:v>
                </c:pt>
                <c:pt idx="281">
                  <c:v>1.1648540903988456</c:v>
                </c:pt>
                <c:pt idx="282">
                  <c:v>1.1777521208956683</c:v>
                </c:pt>
                <c:pt idx="283">
                  <c:v>1.1912068977122419</c:v>
                </c:pt>
                <c:pt idx="284">
                  <c:v>1.2054596630060765</c:v>
                </c:pt>
                <c:pt idx="285">
                  <c:v>1.2223684093426164</c:v>
                </c:pt>
                <c:pt idx="286">
                  <c:v>1.2418613329221495</c:v>
                </c:pt>
                <c:pt idx="287">
                  <c:v>1.2635531655718995</c:v>
                </c:pt>
                <c:pt idx="288">
                  <c:v>1.2872604879654632</c:v>
                </c:pt>
                <c:pt idx="289">
                  <c:v>1.312922705983272</c:v>
                </c:pt>
                <c:pt idx="290">
                  <c:v>1.3405613980447515</c:v>
                </c:pt>
                <c:pt idx="291">
                  <c:v>1.3702585454441079</c:v>
                </c:pt>
                <c:pt idx="292">
                  <c:v>1.4021447034415966</c:v>
                </c:pt>
                <c:pt idx="293">
                  <c:v>1.4363926439690242</c:v>
                </c:pt>
                <c:pt idx="294">
                  <c:v>1.4732140165091205</c:v>
                </c:pt>
                <c:pt idx="295">
                  <c:v>1.5128574920970776</c:v>
                </c:pt>
                <c:pt idx="296">
                  <c:v>1.5556072289975151</c:v>
                </c:pt>
                <c:pt idx="297">
                  <c:v>1.6017805605611881</c:v>
                </c:pt>
                <c:pt idx="298">
                  <c:v>1.6517236654395462</c:v>
                </c:pt>
                <c:pt idx="299">
                  <c:v>1.7058036959857013</c:v>
                </c:pt>
                <c:pt idx="300">
                  <c:v>1.7643954841544123</c:v>
                </c:pt>
                <c:pt idx="301">
                  <c:v>1.8278606358245157</c:v>
                </c:pt>
                <c:pt idx="302">
                  <c:v>1.8965168007912607</c:v>
                </c:pt>
                <c:pt idx="303">
                  <c:v>1.9705955509623423</c:v>
                </c:pt>
                <c:pt idx="304">
                  <c:v>2.0501891355299176</c:v>
                </c:pt>
                <c:pt idx="305">
                  <c:v>2.1351898900702615</c:v>
                </c:pt>
                <c:pt idx="306">
                  <c:v>2.2243229550847587</c:v>
                </c:pt>
                <c:pt idx="307">
                  <c:v>2.3136090875919813</c:v>
                </c:pt>
                <c:pt idx="308">
                  <c:v>2.4115676256079888</c:v>
                </c:pt>
                <c:pt idx="309">
                  <c:v>2.5008998822392474</c:v>
                </c:pt>
                <c:pt idx="310">
                  <c:v>2.581503844839514</c:v>
                </c:pt>
                <c:pt idx="311">
                  <c:v>2.6536633441936393</c:v>
                </c:pt>
                <c:pt idx="312">
                  <c:v>2.7178807048086204</c:v>
                </c:pt>
                <c:pt idx="313">
                  <c:v>2.7747459691662688</c:v>
                </c:pt>
                <c:pt idx="314">
                  <c:v>2.8248458431209582</c:v>
                </c:pt>
                <c:pt idx="315">
                  <c:v>2.8687048433266065</c:v>
                </c:pt>
                <c:pt idx="316">
                  <c:v>2.906748144242572</c:v>
                </c:pt>
                <c:pt idx="317">
                  <c:v>2.9392762541022068</c:v>
                </c:pt>
                <c:pt idx="318">
                  <c:v>2.9664431804687612</c:v>
                </c:pt>
                <c:pt idx="319">
                  <c:v>2.9882307795894039</c:v>
                </c:pt>
                <c:pt idx="320">
                  <c:v>3.0044118310198931</c:v>
                </c:pt>
                <c:pt idx="321">
                  <c:v>3.0144925192077454</c:v>
                </c:pt>
                <c:pt idx="322">
                  <c:v>3.0182855139216067</c:v>
                </c:pt>
                <c:pt idx="323">
                  <c:v>3.0207972287073535</c:v>
                </c:pt>
                <c:pt idx="324">
                  <c:v>3.0233019412365896</c:v>
                </c:pt>
                <c:pt idx="325">
                  <c:v>3.0258051490786815</c:v>
                </c:pt>
                <c:pt idx="326">
                  <c:v>3.0283125514402234</c:v>
                </c:pt>
                <c:pt idx="327">
                  <c:v>3.030830123619769</c:v>
                </c:pt>
                <c:pt idx="328">
                  <c:v>3.0303917094745452</c:v>
                </c:pt>
                <c:pt idx="329">
                  <c:v>3.0359215789214802</c:v>
                </c:pt>
                <c:pt idx="330">
                  <c:v>3.0358974726967056</c:v>
                </c:pt>
                <c:pt idx="331">
                  <c:v>3.0411364043587676</c:v>
                </c:pt>
                <c:pt idx="332">
                  <c:v>3.0415843478733056</c:v>
                </c:pt>
                <c:pt idx="333">
                  <c:v>3.0465430321003506</c:v>
                </c:pt>
                <c:pt idx="334">
                  <c:v>3.0475356289668056</c:v>
                </c:pt>
                <c:pt idx="335">
                  <c:v>3.0506425737884726</c:v>
                </c:pt>
                <c:pt idx="336">
                  <c:v>3.0538580692223043</c:v>
                </c:pt>
                <c:pt idx="337">
                  <c:v>3.0572011093466607</c:v>
                </c:pt>
                <c:pt idx="338">
                  <c:v>3.0606940442451873</c:v>
                </c:pt>
                <c:pt idx="339">
                  <c:v>3.0643634422740407</c:v>
                </c:pt>
                <c:pt idx="340">
                  <c:v>3.068241220706009</c:v>
                </c:pt>
                <c:pt idx="341">
                  <c:v>3.072274118933807</c:v>
                </c:pt>
                <c:pt idx="342">
                  <c:v>3.0762554004755449</c:v>
                </c:pt>
                <c:pt idx="343">
                  <c:v>3.0801789905643191</c:v>
                </c:pt>
                <c:pt idx="344">
                  <c:v>3.0840491846579878</c:v>
                </c:pt>
                <c:pt idx="345">
                  <c:v>3.0878700660259364</c:v>
                </c:pt>
                <c:pt idx="346">
                  <c:v>3.0916455262069675</c:v>
                </c:pt>
                <c:pt idx="347">
                  <c:v>3.0953792836894167</c:v>
                </c:pt>
                <c:pt idx="348">
                  <c:v>3.0990749011193861</c:v>
                </c:pt>
                <c:pt idx="349">
                  <c:v>3.1027358011090787</c:v>
                </c:pt>
                <c:pt idx="350">
                  <c:v>3.1063652809071103</c:v>
                </c:pt>
                <c:pt idx="351">
                  <c:v>3.1099665260070548</c:v>
                </c:pt>
                <c:pt idx="352">
                  <c:v>3.1135426228819543</c:v>
                </c:pt>
                <c:pt idx="353">
                  <c:v>3.1170965709032648</c:v>
                </c:pt>
                <c:pt idx="354">
                  <c:v>3.1206312935941547</c:v>
                </c:pt>
                <c:pt idx="355">
                  <c:v>3.1241496493082193</c:v>
                </c:pt>
                <c:pt idx="356">
                  <c:v>3.1276544413970222</c:v>
                </c:pt>
                <c:pt idx="357">
                  <c:v>3.1311484279772057</c:v>
                </c:pt>
                <c:pt idx="358">
                  <c:v>3.1346343313605365</c:v>
                </c:pt>
                <c:pt idx="359">
                  <c:v>3.1381148472256251</c:v>
                </c:pt>
                <c:pt idx="360">
                  <c:v>3.1415926535897891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3.1415926535897722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3.1415926535897891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+/- pi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3.1415926535897931</c:v>
                </c:pt>
                <c:pt idx="1">
                  <c:v>-3.1415926535897931</c:v>
                </c:pt>
                <c:pt idx="2">
                  <c:v>-3.1415926535897931</c:v>
                </c:pt>
                <c:pt idx="3">
                  <c:v>3.1415926535897931</c:v>
                </c:pt>
                <c:pt idx="4">
                  <c:v>3.1415926535897931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phase_2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L_Section_Capacity!$BA$2:$BA$182</c:f>
              <c:numCache>
                <c:formatCode>General</c:formatCode>
                <c:ptCount val="181"/>
                <c:pt idx="0">
                  <c:v>-3.1415926535897931</c:v>
                </c:pt>
                <c:pt idx="1">
                  <c:v>-3.1381148472256539</c:v>
                </c:pt>
                <c:pt idx="2">
                  <c:v>-3.1346343313608784</c:v>
                </c:pt>
                <c:pt idx="3">
                  <c:v>-3.1311484279769721</c:v>
                </c:pt>
                <c:pt idx="4">
                  <c:v>-3.1276544413973131</c:v>
                </c:pt>
                <c:pt idx="5">
                  <c:v>-3.124149649308408</c:v>
                </c:pt>
                <c:pt idx="6">
                  <c:v>-3.1206312935942457</c:v>
                </c:pt>
                <c:pt idx="7">
                  <c:v>-3.1170965709032279</c:v>
                </c:pt>
                <c:pt idx="8">
                  <c:v>-3.1135426228826555</c:v>
                </c:pt>
                <c:pt idx="9">
                  <c:v>-3.1099665260072866</c:v>
                </c:pt>
                <c:pt idx="10">
                  <c:v>-3.1063652809049493</c:v>
                </c:pt>
                <c:pt idx="11">
                  <c:v>-3.1027358011097501</c:v>
                </c:pt>
                <c:pt idx="12">
                  <c:v>-3.0990749011218086</c:v>
                </c:pt>
                <c:pt idx="13">
                  <c:v>-3.0953792836918161</c:v>
                </c:pt>
                <c:pt idx="14">
                  <c:v>-3.0916455262061979</c:v>
                </c:pt>
                <c:pt idx="15">
                  <c:v>-3.0878700660262268</c:v>
                </c:pt>
                <c:pt idx="16">
                  <c:v>-3.0840491846573692</c:v>
                </c:pt>
                <c:pt idx="17">
                  <c:v>-3.0801789905629513</c:v>
                </c:pt>
                <c:pt idx="18">
                  <c:v>-3.0762554004766156</c:v>
                </c:pt>
                <c:pt idx="19">
                  <c:v>-3.0722741189329854</c:v>
                </c:pt>
                <c:pt idx="20">
                  <c:v>-3.0682412207033982</c:v>
                </c:pt>
                <c:pt idx="21">
                  <c:v>-3.0643634422737347</c:v>
                </c:pt>
                <c:pt idx="22">
                  <c:v>-3.0606940442465516</c:v>
                </c:pt>
                <c:pt idx="23">
                  <c:v>-3.0572011093475648</c:v>
                </c:pt>
                <c:pt idx="24">
                  <c:v>-3.0538580692247423</c:v>
                </c:pt>
                <c:pt idx="25">
                  <c:v>-3.050642573788926</c:v>
                </c:pt>
                <c:pt idx="26">
                  <c:v>-3.047535628967299</c:v>
                </c:pt>
                <c:pt idx="27">
                  <c:v>-3.0445209311885262</c:v>
                </c:pt>
                <c:pt idx="28">
                  <c:v>-3.0438108701935982</c:v>
                </c:pt>
                <c:pt idx="29">
                  <c:v>-3.0387135074993648</c:v>
                </c:pt>
                <c:pt idx="30">
                  <c:v>-3.0358974726970178</c:v>
                </c:pt>
                <c:pt idx="31">
                  <c:v>-3.0359215789216818</c:v>
                </c:pt>
                <c:pt idx="32">
                  <c:v>-3.0303917094755897</c:v>
                </c:pt>
                <c:pt idx="33">
                  <c:v>-3.0276851399426818</c:v>
                </c:pt>
                <c:pt idx="34">
                  <c:v>-3.0283125514407803</c:v>
                </c:pt>
                <c:pt idx="35">
                  <c:v>-3.0258051490789017</c:v>
                </c:pt>
                <c:pt idx="36">
                  <c:v>-3.0233019412365731</c:v>
                </c:pt>
                <c:pt idx="37">
                  <c:v>-3.0207972287075413</c:v>
                </c:pt>
                <c:pt idx="38">
                  <c:v>-3.0182855139217093</c:v>
                </c:pt>
                <c:pt idx="39">
                  <c:v>-3.0144925192074674</c:v>
                </c:pt>
                <c:pt idx="40">
                  <c:v>-3.0044118310218164</c:v>
                </c:pt>
                <c:pt idx="41">
                  <c:v>-2.9882307795923766</c:v>
                </c:pt>
                <c:pt idx="42">
                  <c:v>-2.9664431804657729</c:v>
                </c:pt>
                <c:pt idx="43">
                  <c:v>-2.9392762541045294</c:v>
                </c:pt>
                <c:pt idx="44">
                  <c:v>-2.9067481442467753</c:v>
                </c:pt>
                <c:pt idx="45">
                  <c:v>-2.8687048433147799</c:v>
                </c:pt>
                <c:pt idx="46">
                  <c:v>-2.8248458431203747</c:v>
                </c:pt>
                <c:pt idx="47">
                  <c:v>-2.7747459691715455</c:v>
                </c:pt>
                <c:pt idx="48">
                  <c:v>-2.7178807048233486</c:v>
                </c:pt>
                <c:pt idx="49">
                  <c:v>-2.6536633441879638</c:v>
                </c:pt>
                <c:pt idx="50">
                  <c:v>-2.5815038448459791</c:v>
                </c:pt>
                <c:pt idx="51">
                  <c:v>-2.500899882244886</c:v>
                </c:pt>
                <c:pt idx="52">
                  <c:v>-2.4115676256028262</c:v>
                </c:pt>
                <c:pt idx="53">
                  <c:v>-2.3136090875900663</c:v>
                </c:pt>
                <c:pt idx="54">
                  <c:v>-2.224322955083136</c:v>
                </c:pt>
                <c:pt idx="55">
                  <c:v>-2.1351898900701336</c:v>
                </c:pt>
                <c:pt idx="56">
                  <c:v>-2.0501891355282105</c:v>
                </c:pt>
                <c:pt idx="57">
                  <c:v>-1.9705955509572277</c:v>
                </c:pt>
                <c:pt idx="58">
                  <c:v>-1.8965168007863307</c:v>
                </c:pt>
                <c:pt idx="59">
                  <c:v>-1.8278606358195093</c:v>
                </c:pt>
                <c:pt idx="60">
                  <c:v>-1.7643954841666205</c:v>
                </c:pt>
                <c:pt idx="61">
                  <c:v>-1.7058036959724938</c:v>
                </c:pt>
                <c:pt idx="62">
                  <c:v>-1.6517236654382774</c:v>
                </c:pt>
                <c:pt idx="63">
                  <c:v>-1.6017805605775886</c:v>
                </c:pt>
                <c:pt idx="64">
                  <c:v>-1.5556072289769163</c:v>
                </c:pt>
                <c:pt idx="65">
                  <c:v>-1.5128574920738513</c:v>
                </c:pt>
                <c:pt idx="66">
                  <c:v>-1.4732140165033814</c:v>
                </c:pt>
                <c:pt idx="67">
                  <c:v>-1.4363926439741748</c:v>
                </c:pt>
                <c:pt idx="68">
                  <c:v>-1.4021447034252119</c:v>
                </c:pt>
                <c:pt idx="69">
                  <c:v>-1.3702585454400895</c:v>
                </c:pt>
                <c:pt idx="70">
                  <c:v>-1.3405613980651778</c:v>
                </c:pt>
                <c:pt idx="71">
                  <c:v>-1.3129227059864201</c:v>
                </c:pt>
                <c:pt idx="72">
                  <c:v>-1.2872604879889542</c:v>
                </c:pt>
                <c:pt idx="73">
                  <c:v>-1.263553165577352</c:v>
                </c:pt>
                <c:pt idx="74">
                  <c:v>-1.2418613329478794</c:v>
                </c:pt>
                <c:pt idx="75">
                  <c:v>-1.2223684093259941</c:v>
                </c:pt>
                <c:pt idx="76">
                  <c:v>-1.2054596630070309</c:v>
                </c:pt>
                <c:pt idx="77">
                  <c:v>-1.1912068977123023</c:v>
                </c:pt>
                <c:pt idx="78">
                  <c:v>-1.1777521208885746</c:v>
                </c:pt>
                <c:pt idx="79">
                  <c:v>-1.1648540904009002</c:v>
                </c:pt>
                <c:pt idx="80">
                  <c:v>-1.152468220946802</c:v>
                </c:pt>
                <c:pt idx="81">
                  <c:v>-1.1405541877883505</c:v>
                </c:pt>
                <c:pt idx="82">
                  <c:v>-1.1290754299011634</c:v>
                </c:pt>
                <c:pt idx="83">
                  <c:v>-1.1179987180776323</c:v>
                </c:pt>
                <c:pt idx="84">
                  <c:v>-1.1072937784865475</c:v>
                </c:pt>
                <c:pt idx="85">
                  <c:v>-1.0969329637842</c:v>
                </c:pt>
                <c:pt idx="86">
                  <c:v>-1.0868909654400103</c:v>
                </c:pt>
                <c:pt idx="87">
                  <c:v>-1.0771445610827131</c:v>
                </c:pt>
                <c:pt idx="88">
                  <c:v>-1.0676723924761498</c:v>
                </c:pt>
                <c:pt idx="89">
                  <c:v>-1.0575625971704017</c:v>
                </c:pt>
                <c:pt idx="90">
                  <c:v>-1.0425322138106872</c:v>
                </c:pt>
                <c:pt idx="91">
                  <c:v>-1.0325984144256668</c:v>
                </c:pt>
                <c:pt idx="92">
                  <c:v>-1.0306131323507988</c:v>
                </c:pt>
                <c:pt idx="93">
                  <c:v>-1.0286174002855442</c:v>
                </c:pt>
                <c:pt idx="94">
                  <c:v>-1.0266099207111836</c:v>
                </c:pt>
                <c:pt idx="95">
                  <c:v>-1.0245893663212824</c:v>
                </c:pt>
                <c:pt idx="96">
                  <c:v>-1.0225543765794634</c:v>
                </c:pt>
                <c:pt idx="97">
                  <c:v>-1.020503553755107</c:v>
                </c:pt>
                <c:pt idx="98">
                  <c:v>-1.0184354589852289</c:v>
                </c:pt>
                <c:pt idx="99">
                  <c:v>-1.0163486079183384</c:v>
                </c:pt>
                <c:pt idx="100">
                  <c:v>-1.0142414663798918</c:v>
                </c:pt>
                <c:pt idx="101">
                  <c:v>-1.0121124453356236</c:v>
                </c:pt>
                <c:pt idx="102">
                  <c:v>-1.0099598959472236</c:v>
                </c:pt>
                <c:pt idx="103">
                  <c:v>-1.0077821039300008</c:v>
                </c:pt>
                <c:pt idx="104">
                  <c:v>-1.0055772837631245</c:v>
                </c:pt>
                <c:pt idx="105">
                  <c:v>-1.0033435723410187</c:v>
                </c:pt>
                <c:pt idx="106">
                  <c:v>-1.0010790220171011</c:v>
                </c:pt>
                <c:pt idx="107">
                  <c:v>-0.99878159335660543</c:v>
                </c:pt>
                <c:pt idx="108">
                  <c:v>-0.9964491470931951</c:v>
                </c:pt>
                <c:pt idx="109">
                  <c:v>-0.99407943530632148</c:v>
                </c:pt>
                <c:pt idx="110">
                  <c:v>-0.99167009215053481</c:v>
                </c:pt>
                <c:pt idx="111">
                  <c:v>-0.98921862344163647</c:v>
                </c:pt>
                <c:pt idx="112">
                  <c:v>-0.98672239538299256</c:v>
                </c:pt>
                <c:pt idx="113">
                  <c:v>-0.98417862233625564</c:v>
                </c:pt>
                <c:pt idx="114">
                  <c:v>-0.98158435322565563</c:v>
                </c:pt>
                <c:pt idx="115">
                  <c:v>-0.97893645670269747</c:v>
                </c:pt>
                <c:pt idx="116">
                  <c:v>-0.97623160492610406</c:v>
                </c:pt>
                <c:pt idx="117">
                  <c:v>-0.97346625535564635</c:v>
                </c:pt>
                <c:pt idx="118">
                  <c:v>-0.97063663098546105</c:v>
                </c:pt>
                <c:pt idx="119">
                  <c:v>-0.9677386983118661</c:v>
                </c:pt>
                <c:pt idx="120">
                  <c:v>-0.96476814274657907</c:v>
                </c:pt>
                <c:pt idx="121">
                  <c:v>-0.96172034156386843</c:v>
                </c:pt>
                <c:pt idx="122">
                  <c:v>-0.95859033349028977</c:v>
                </c:pt>
                <c:pt idx="123">
                  <c:v>-0.95537278502983691</c:v>
                </c:pt>
                <c:pt idx="124">
                  <c:v>-0.95206195249299941</c:v>
                </c:pt>
                <c:pt idx="125">
                  <c:v>-0.9486516395914607</c:v>
                </c:pt>
                <c:pt idx="126">
                  <c:v>-0.94513514973634094</c:v>
                </c:pt>
                <c:pt idx="127">
                  <c:v>-0.94150523230564187</c:v>
                </c:pt>
                <c:pt idx="128">
                  <c:v>-0.93775402187833246</c:v>
                </c:pt>
                <c:pt idx="129">
                  <c:v>-0.9338729695107687</c:v>
                </c:pt>
                <c:pt idx="130">
                  <c:v>-0.92985276458706145</c:v>
                </c:pt>
                <c:pt idx="131">
                  <c:v>-0.92568324591921147</c:v>
                </c:pt>
                <c:pt idx="132">
                  <c:v>-0.92135330024582118</c:v>
                </c:pt>
                <c:pt idx="133">
                  <c:v>-0.91685074583033899</c:v>
                </c:pt>
                <c:pt idx="134">
                  <c:v>-0.91216219891399264</c:v>
                </c:pt>
                <c:pt idx="135">
                  <c:v>-0.90727291960846501</c:v>
                </c:pt>
                <c:pt idx="136">
                  <c:v>-0.90216663380216588</c:v>
                </c:pt>
                <c:pt idx="137">
                  <c:v>-0.89682532628692446</c:v>
                </c:pt>
                <c:pt idx="138">
                  <c:v>-0.89122899990477267</c:v>
                </c:pt>
                <c:pt idx="139">
                  <c:v>-0.88535539376658356</c:v>
                </c:pt>
                <c:pt idx="140">
                  <c:v>-0.87917965235646411</c:v>
                </c:pt>
                <c:pt idx="141">
                  <c:v>-0.87267393532776683</c:v>
                </c:pt>
                <c:pt idx="142">
                  <c:v>-0.86580695536618235</c:v>
                </c:pt>
                <c:pt idx="143">
                  <c:v>-0.85854342797634797</c:v>
                </c:pt>
                <c:pt idx="144">
                  <c:v>-0.85084341360332971</c:v>
                </c:pt>
                <c:pt idx="145">
                  <c:v>-0.84266152667274685</c:v>
                </c:pt>
                <c:pt idx="146">
                  <c:v>-0.83394597943558602</c:v>
                </c:pt>
                <c:pt idx="147">
                  <c:v>-0.82463741966523751</c:v>
                </c:pt>
                <c:pt idx="148">
                  <c:v>-0.81466750911353991</c:v>
                </c:pt>
                <c:pt idx="149">
                  <c:v>-0.80429628567679401</c:v>
                </c:pt>
                <c:pt idx="150">
                  <c:v>-0.79388591543156428</c:v>
                </c:pt>
                <c:pt idx="151">
                  <c:v>-0.78342247469305837</c:v>
                </c:pt>
                <c:pt idx="152">
                  <c:v>-0.77289065709807281</c:v>
                </c:pt>
                <c:pt idx="153">
                  <c:v>-0.7622742969348193</c:v>
                </c:pt>
                <c:pt idx="154">
                  <c:v>-0.75155617175636469</c:v>
                </c:pt>
                <c:pt idx="155">
                  <c:v>-0.7407177669731364</c:v>
                </c:pt>
                <c:pt idx="156">
                  <c:v>-0.72973899106506657</c:v>
                </c:pt>
                <c:pt idx="157">
                  <c:v>-0.71859782578266551</c:v>
                </c:pt>
                <c:pt idx="158">
                  <c:v>-0.70726989018563435</c:v>
                </c:pt>
                <c:pt idx="159">
                  <c:v>-0.69572788907973415</c:v>
                </c:pt>
                <c:pt idx="160">
                  <c:v>-0.6839409041450818</c:v>
                </c:pt>
                <c:pt idx="161">
                  <c:v>-0.67187346789625813</c:v>
                </c:pt>
                <c:pt idx="162">
                  <c:v>-0.65948433270941054</c:v>
                </c:pt>
                <c:pt idx="163">
                  <c:v>-0.64672480375669184</c:v>
                </c:pt>
                <c:pt idx="164">
                  <c:v>-0.63353643517336544</c:v>
                </c:pt>
                <c:pt idx="165">
                  <c:v>-0.61984777533850732</c:v>
                </c:pt>
                <c:pt idx="166">
                  <c:v>-0.60556965519837191</c:v>
                </c:pt>
                <c:pt idx="167">
                  <c:v>-0.59058818029253601</c:v>
                </c:pt>
                <c:pt idx="168">
                  <c:v>-0.57475398524415544</c:v>
                </c:pt>
                <c:pt idx="169">
                  <c:v>-0.55786517840340299</c:v>
                </c:pt>
                <c:pt idx="170">
                  <c:v>-0.539639176748831</c:v>
                </c:pt>
                <c:pt idx="171">
                  <c:v>-0.51966399607111746</c:v>
                </c:pt>
                <c:pt idx="172">
                  <c:v>-0.49730927924314539</c:v>
                </c:pt>
                <c:pt idx="173">
                  <c:v>-0.47155269989371634</c:v>
                </c:pt>
                <c:pt idx="174">
                  <c:v>-0.4406124492345892</c:v>
                </c:pt>
                <c:pt idx="175">
                  <c:v>-0.40108386280217168</c:v>
                </c:pt>
                <c:pt idx="176">
                  <c:v>-0.34561147903082617</c:v>
                </c:pt>
                <c:pt idx="177">
                  <c:v>-0.26446678706250742</c:v>
                </c:pt>
                <c:pt idx="178">
                  <c:v>-0.17754826374205696</c:v>
                </c:pt>
                <c:pt idx="179">
                  <c:v>-8.9080024260942581E-2</c:v>
                </c:pt>
                <c:pt idx="180">
                  <c:v>-5.2879682108142327E-14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0-4B1E-89A1-C308E3F1D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Tan-1 @ alphs vs req res Tan-1 -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L_Section_Capacity!$AY$3:$AY$363</c:f>
              <c:numCache>
                <c:formatCode>General</c:formatCode>
                <c:ptCount val="361"/>
                <c:pt idx="0">
                  <c:v>3.6952746673871606</c:v>
                </c:pt>
                <c:pt idx="1">
                  <c:v>3.6917941515223851</c:v>
                </c:pt>
                <c:pt idx="2">
                  <c:v>3.6883082481384788</c:v>
                </c:pt>
                <c:pt idx="3">
                  <c:v>3.6848142615588197</c:v>
                </c:pt>
                <c:pt idx="4">
                  <c:v>3.6813094694699147</c:v>
                </c:pt>
                <c:pt idx="5">
                  <c:v>3.6777911137557524</c:v>
                </c:pt>
                <c:pt idx="6">
                  <c:v>3.6742563910647346</c:v>
                </c:pt>
                <c:pt idx="7">
                  <c:v>3.6707024430441622</c:v>
                </c:pt>
                <c:pt idx="8">
                  <c:v>3.6671263461687933</c:v>
                </c:pt>
                <c:pt idx="9">
                  <c:v>3.663525101066456</c:v>
                </c:pt>
                <c:pt idx="10">
                  <c:v>3.6598956212712568</c:v>
                </c:pt>
                <c:pt idx="11">
                  <c:v>3.6562347212833153</c:v>
                </c:pt>
                <c:pt idx="12">
                  <c:v>3.6525391038533228</c:v>
                </c:pt>
                <c:pt idx="13">
                  <c:v>3.6488053463677046</c:v>
                </c:pt>
                <c:pt idx="14">
                  <c:v>3.6450298861877335</c:v>
                </c:pt>
                <c:pt idx="15">
                  <c:v>3.6412090048188759</c:v>
                </c:pt>
                <c:pt idx="16">
                  <c:v>3.637338810724458</c:v>
                </c:pt>
                <c:pt idx="17">
                  <c:v>3.6334152206381223</c:v>
                </c:pt>
                <c:pt idx="18">
                  <c:v>3.6294339390944921</c:v>
                </c:pt>
                <c:pt idx="19">
                  <c:v>3.6254010408649049</c:v>
                </c:pt>
                <c:pt idx="20">
                  <c:v>3.6215232624352414</c:v>
                </c:pt>
                <c:pt idx="21">
                  <c:v>3.6178538644080582</c:v>
                </c:pt>
                <c:pt idx="22">
                  <c:v>3.6143609295090715</c:v>
                </c:pt>
                <c:pt idx="23">
                  <c:v>3.611017889386249</c:v>
                </c:pt>
                <c:pt idx="24">
                  <c:v>3.6078023939504327</c:v>
                </c:pt>
                <c:pt idx="25">
                  <c:v>3.6046954491288057</c:v>
                </c:pt>
                <c:pt idx="26">
                  <c:v>3.6016807513500328</c:v>
                </c:pt>
                <c:pt idx="27">
                  <c:v>3.6009706903551049</c:v>
                </c:pt>
                <c:pt idx="28">
                  <c:v>3.5958733276608714</c:v>
                </c:pt>
                <c:pt idx="29">
                  <c:v>3.5930572928585245</c:v>
                </c:pt>
                <c:pt idx="30">
                  <c:v>3.5930813990831885</c:v>
                </c:pt>
                <c:pt idx="31">
                  <c:v>3.5875515296370963</c:v>
                </c:pt>
                <c:pt idx="32">
                  <c:v>3.5848449601041885</c:v>
                </c:pt>
                <c:pt idx="33">
                  <c:v>3.5854723716022869</c:v>
                </c:pt>
                <c:pt idx="34">
                  <c:v>3.5829649692404084</c:v>
                </c:pt>
                <c:pt idx="35">
                  <c:v>3.5804617613980798</c:v>
                </c:pt>
                <c:pt idx="36">
                  <c:v>3.577957048869048</c:v>
                </c:pt>
                <c:pt idx="37">
                  <c:v>3.575445334083216</c:v>
                </c:pt>
                <c:pt idx="38">
                  <c:v>3.5716523393689741</c:v>
                </c:pt>
                <c:pt idx="39">
                  <c:v>3.5615716511833231</c:v>
                </c:pt>
                <c:pt idx="40">
                  <c:v>3.5453905997538833</c:v>
                </c:pt>
                <c:pt idx="41">
                  <c:v>3.5236030006272796</c:v>
                </c:pt>
                <c:pt idx="42">
                  <c:v>3.4964360742660361</c:v>
                </c:pt>
                <c:pt idx="43">
                  <c:v>3.463907964408282</c:v>
                </c:pt>
                <c:pt idx="44">
                  <c:v>3.4258646634762866</c:v>
                </c:pt>
                <c:pt idx="45">
                  <c:v>3.3820056632818813</c:v>
                </c:pt>
                <c:pt idx="46">
                  <c:v>3.3319057893330521</c:v>
                </c:pt>
                <c:pt idx="47">
                  <c:v>3.2750405249848553</c:v>
                </c:pt>
                <c:pt idx="48">
                  <c:v>3.2108231643494705</c:v>
                </c:pt>
                <c:pt idx="49">
                  <c:v>3.1386636650074857</c:v>
                </c:pt>
                <c:pt idx="50">
                  <c:v>3.0580597024063927</c:v>
                </c:pt>
                <c:pt idx="51">
                  <c:v>2.9687274457643329</c:v>
                </c:pt>
                <c:pt idx="52">
                  <c:v>2.870768907751573</c:v>
                </c:pt>
                <c:pt idx="53">
                  <c:v>2.7814827752446427</c:v>
                </c:pt>
                <c:pt idx="54">
                  <c:v>2.6923497102316403</c:v>
                </c:pt>
                <c:pt idx="55">
                  <c:v>2.6073489556897171</c:v>
                </c:pt>
                <c:pt idx="56">
                  <c:v>2.5277553711187344</c:v>
                </c:pt>
                <c:pt idx="57">
                  <c:v>2.4536766209478373</c:v>
                </c:pt>
                <c:pt idx="58">
                  <c:v>2.385020455981016</c:v>
                </c:pt>
                <c:pt idx="59">
                  <c:v>2.3215553043281272</c:v>
                </c:pt>
                <c:pt idx="60">
                  <c:v>2.2629635161340005</c:v>
                </c:pt>
                <c:pt idx="61">
                  <c:v>2.2088834855997841</c:v>
                </c:pt>
                <c:pt idx="62">
                  <c:v>2.1589403807390952</c:v>
                </c:pt>
                <c:pt idx="63">
                  <c:v>2.1127670491384229</c:v>
                </c:pt>
                <c:pt idx="64">
                  <c:v>2.070017312235358</c:v>
                </c:pt>
                <c:pt idx="65">
                  <c:v>2.030373836664888</c:v>
                </c:pt>
                <c:pt idx="66">
                  <c:v>1.9935524641356812</c:v>
                </c:pt>
                <c:pt idx="67">
                  <c:v>1.9593045235867184</c:v>
                </c:pt>
                <c:pt idx="68">
                  <c:v>1.927418365601596</c:v>
                </c:pt>
                <c:pt idx="69">
                  <c:v>1.8977212182266845</c:v>
                </c:pt>
                <c:pt idx="70">
                  <c:v>1.8700825261479266</c:v>
                </c:pt>
                <c:pt idx="71">
                  <c:v>1.8444203081504607</c:v>
                </c:pt>
                <c:pt idx="72">
                  <c:v>1.8207129857388584</c:v>
                </c:pt>
                <c:pt idx="73">
                  <c:v>1.7990211531093858</c:v>
                </c:pt>
                <c:pt idx="74">
                  <c:v>1.7795282294875006</c:v>
                </c:pt>
                <c:pt idx="75">
                  <c:v>1.7626194831685376</c:v>
                </c:pt>
                <c:pt idx="76">
                  <c:v>1.7483667178738087</c:v>
                </c:pt>
                <c:pt idx="77">
                  <c:v>1.7349119410500813</c:v>
                </c:pt>
                <c:pt idx="78">
                  <c:v>1.7220139105624068</c:v>
                </c:pt>
                <c:pt idx="79">
                  <c:v>1.7096280411083087</c:v>
                </c:pt>
                <c:pt idx="80">
                  <c:v>1.6977140079498572</c:v>
                </c:pt>
                <c:pt idx="81">
                  <c:v>1.6862352500626701</c:v>
                </c:pt>
                <c:pt idx="82">
                  <c:v>1.6751585382391387</c:v>
                </c:pt>
                <c:pt idx="83">
                  <c:v>1.6644535986480542</c:v>
                </c:pt>
                <c:pt idx="84">
                  <c:v>1.6540927839457065</c:v>
                </c:pt>
                <c:pt idx="85">
                  <c:v>1.6440507856015167</c:v>
                </c:pt>
                <c:pt idx="86">
                  <c:v>1.6343043812442195</c:v>
                </c:pt>
                <c:pt idx="87">
                  <c:v>1.6248322126376564</c:v>
                </c:pt>
                <c:pt idx="88">
                  <c:v>1.6147224173319081</c:v>
                </c:pt>
                <c:pt idx="89">
                  <c:v>1.5996920339721936</c:v>
                </c:pt>
                <c:pt idx="90">
                  <c:v>1.5897582345871735</c:v>
                </c:pt>
                <c:pt idx="91">
                  <c:v>1.5877729525123052</c:v>
                </c:pt>
                <c:pt idx="92">
                  <c:v>1.5857772204470506</c:v>
                </c:pt>
                <c:pt idx="93">
                  <c:v>1.5837697408726901</c:v>
                </c:pt>
                <c:pt idx="94">
                  <c:v>1.5817491864827891</c:v>
                </c:pt>
                <c:pt idx="95">
                  <c:v>1.5797141967409698</c:v>
                </c:pt>
                <c:pt idx="96">
                  <c:v>1.5776633739166135</c:v>
                </c:pt>
                <c:pt idx="97">
                  <c:v>1.5755952791467354</c:v>
                </c:pt>
                <c:pt idx="98">
                  <c:v>1.5735084280798448</c:v>
                </c:pt>
                <c:pt idx="99">
                  <c:v>1.5714012865413984</c:v>
                </c:pt>
                <c:pt idx="100">
                  <c:v>1.5692722654971303</c:v>
                </c:pt>
                <c:pt idx="101">
                  <c:v>1.56711971610873</c:v>
                </c:pt>
                <c:pt idx="102">
                  <c:v>1.5649419240915075</c:v>
                </c:pt>
                <c:pt idx="103">
                  <c:v>1.5627371039246309</c:v>
                </c:pt>
                <c:pt idx="104">
                  <c:v>1.5605033925025253</c:v>
                </c:pt>
                <c:pt idx="105">
                  <c:v>1.5582388421786075</c:v>
                </c:pt>
                <c:pt idx="106">
                  <c:v>1.555941413518112</c:v>
                </c:pt>
                <c:pt idx="107">
                  <c:v>1.5536089672547018</c:v>
                </c:pt>
                <c:pt idx="108">
                  <c:v>1.551239255467828</c:v>
                </c:pt>
                <c:pt idx="109">
                  <c:v>1.5488299123120415</c:v>
                </c:pt>
                <c:pt idx="110">
                  <c:v>1.5463784436031429</c:v>
                </c:pt>
                <c:pt idx="111">
                  <c:v>1.5438822155444991</c:v>
                </c:pt>
                <c:pt idx="112">
                  <c:v>1.5413384424977621</c:v>
                </c:pt>
                <c:pt idx="113">
                  <c:v>1.5387441733871623</c:v>
                </c:pt>
                <c:pt idx="114">
                  <c:v>1.5360962768642041</c:v>
                </c:pt>
                <c:pt idx="115">
                  <c:v>1.5333914250876106</c:v>
                </c:pt>
                <c:pt idx="116">
                  <c:v>1.5306260755171528</c:v>
                </c:pt>
                <c:pt idx="117">
                  <c:v>1.5277964511469677</c:v>
                </c:pt>
                <c:pt idx="118">
                  <c:v>1.5248985184733725</c:v>
                </c:pt>
                <c:pt idx="119">
                  <c:v>1.5219279629080855</c:v>
                </c:pt>
                <c:pt idx="120">
                  <c:v>1.5188801617253751</c:v>
                </c:pt>
                <c:pt idx="121">
                  <c:v>1.5157501536517963</c:v>
                </c:pt>
                <c:pt idx="122">
                  <c:v>1.5125326051913435</c:v>
                </c:pt>
                <c:pt idx="123">
                  <c:v>1.5092217726545059</c:v>
                </c:pt>
                <c:pt idx="124">
                  <c:v>1.5058114597529673</c:v>
                </c:pt>
                <c:pt idx="125">
                  <c:v>1.5022949698978474</c:v>
                </c:pt>
                <c:pt idx="126">
                  <c:v>1.4986650524671483</c:v>
                </c:pt>
                <c:pt idx="127">
                  <c:v>1.4949138420398391</c:v>
                </c:pt>
                <c:pt idx="128">
                  <c:v>1.4910327896722753</c:v>
                </c:pt>
                <c:pt idx="129">
                  <c:v>1.487012584748568</c:v>
                </c:pt>
                <c:pt idx="130">
                  <c:v>1.4828430660807181</c:v>
                </c:pt>
                <c:pt idx="131">
                  <c:v>1.4785131204073276</c:v>
                </c:pt>
                <c:pt idx="132">
                  <c:v>1.4740105659918457</c:v>
                </c:pt>
                <c:pt idx="133">
                  <c:v>1.4693220190754992</c:v>
                </c:pt>
                <c:pt idx="134">
                  <c:v>1.4644327397699715</c:v>
                </c:pt>
                <c:pt idx="135">
                  <c:v>1.4593264539636723</c:v>
                </c:pt>
                <c:pt idx="136">
                  <c:v>1.453985146448431</c:v>
                </c:pt>
                <c:pt idx="137">
                  <c:v>1.4483888200662793</c:v>
                </c:pt>
                <c:pt idx="138">
                  <c:v>1.4425152139280901</c:v>
                </c:pt>
                <c:pt idx="139">
                  <c:v>1.4363394725179708</c:v>
                </c:pt>
                <c:pt idx="140">
                  <c:v>1.4298337554892733</c:v>
                </c:pt>
                <c:pt idx="141">
                  <c:v>1.4229667755276889</c:v>
                </c:pt>
                <c:pt idx="142">
                  <c:v>1.4157032481378544</c:v>
                </c:pt>
                <c:pt idx="143">
                  <c:v>1.4080032337648363</c:v>
                </c:pt>
                <c:pt idx="144">
                  <c:v>1.3998213468342535</c:v>
                </c:pt>
                <c:pt idx="145">
                  <c:v>1.3911057995970926</c:v>
                </c:pt>
                <c:pt idx="146">
                  <c:v>1.381797239826744</c:v>
                </c:pt>
                <c:pt idx="147">
                  <c:v>1.3718273292750465</c:v>
                </c:pt>
                <c:pt idx="148">
                  <c:v>1.3614561058383006</c:v>
                </c:pt>
                <c:pt idx="149">
                  <c:v>1.351045735593071</c:v>
                </c:pt>
                <c:pt idx="150">
                  <c:v>1.3405822948545649</c:v>
                </c:pt>
                <c:pt idx="151">
                  <c:v>1.3300504772595794</c:v>
                </c:pt>
                <c:pt idx="152">
                  <c:v>1.3194341170963257</c:v>
                </c:pt>
                <c:pt idx="153">
                  <c:v>1.3087159919178712</c:v>
                </c:pt>
                <c:pt idx="154">
                  <c:v>1.2978775871346429</c:v>
                </c:pt>
                <c:pt idx="155">
                  <c:v>1.2868988112265731</c:v>
                </c:pt>
                <c:pt idx="156">
                  <c:v>1.275757645944172</c:v>
                </c:pt>
                <c:pt idx="157">
                  <c:v>1.2644297103471409</c:v>
                </c:pt>
                <c:pt idx="158">
                  <c:v>1.2528877092412407</c:v>
                </c:pt>
                <c:pt idx="159">
                  <c:v>1.2411007243065884</c:v>
                </c:pt>
                <c:pt idx="160">
                  <c:v>1.2290332880577646</c:v>
                </c:pt>
                <c:pt idx="161">
                  <c:v>1.2166441528709171</c:v>
                </c:pt>
                <c:pt idx="162">
                  <c:v>1.2038846239181984</c:v>
                </c:pt>
                <c:pt idx="163">
                  <c:v>1.1906962553348719</c:v>
                </c:pt>
                <c:pt idx="164">
                  <c:v>1.1770075955000139</c:v>
                </c:pt>
                <c:pt idx="165">
                  <c:v>1.1627294753598785</c:v>
                </c:pt>
                <c:pt idx="166">
                  <c:v>1.1477480004540426</c:v>
                </c:pt>
                <c:pt idx="167">
                  <c:v>1.1319138054056621</c:v>
                </c:pt>
                <c:pt idx="168">
                  <c:v>1.1150249985649094</c:v>
                </c:pt>
                <c:pt idx="169">
                  <c:v>1.0967989969103376</c:v>
                </c:pt>
                <c:pt idx="170">
                  <c:v>1.076823816232624</c:v>
                </c:pt>
                <c:pt idx="171">
                  <c:v>1.0544690994046519</c:v>
                </c:pt>
                <c:pt idx="172">
                  <c:v>1.028712520055223</c:v>
                </c:pt>
                <c:pt idx="173">
                  <c:v>0.99777226939609576</c:v>
                </c:pt>
                <c:pt idx="174">
                  <c:v>0.95824368296367823</c:v>
                </c:pt>
                <c:pt idx="175">
                  <c:v>0.90277129919233268</c:v>
                </c:pt>
                <c:pt idx="176">
                  <c:v>0.82162660722401393</c:v>
                </c:pt>
                <c:pt idx="177">
                  <c:v>0.73470808390356357</c:v>
                </c:pt>
                <c:pt idx="178">
                  <c:v>0.64623984442244908</c:v>
                </c:pt>
                <c:pt idx="179">
                  <c:v>0.5571598201615594</c:v>
                </c:pt>
                <c:pt idx="180">
                  <c:v>0.46807979590069482</c:v>
                </c:pt>
                <c:pt idx="181">
                  <c:v>0.37961155641960087</c:v>
                </c:pt>
                <c:pt idx="182">
                  <c:v>0.29269303309916511</c:v>
                </c:pt>
                <c:pt idx="183">
                  <c:v>0.21154834113082055</c:v>
                </c:pt>
                <c:pt idx="184">
                  <c:v>0.15607595735942781</c:v>
                </c:pt>
                <c:pt idx="185">
                  <c:v>0.11654737092698558</c:v>
                </c:pt>
                <c:pt idx="186">
                  <c:v>8.5607120267844228E-2</c:v>
                </c:pt>
                <c:pt idx="187">
                  <c:v>5.9850540918406248E-2</c:v>
                </c:pt>
                <c:pt idx="188">
                  <c:v>3.7495824090427621E-2</c:v>
                </c:pt>
                <c:pt idx="189">
                  <c:v>1.7520643412709425E-2</c:v>
                </c:pt>
                <c:pt idx="190">
                  <c:v>7.0535824186579443E-4</c:v>
                </c:pt>
                <c:pt idx="191">
                  <c:v>1.7594165082620794E-2</c:v>
                </c:pt>
                <c:pt idx="192">
                  <c:v>3.3428360131003365E-2</c:v>
                </c:pt>
                <c:pt idx="193">
                  <c:v>4.8409835036841153E-2</c:v>
                </c:pt>
                <c:pt idx="194">
                  <c:v>6.2687955176977783E-2</c:v>
                </c:pt>
                <c:pt idx="195">
                  <c:v>7.6376615011837234E-2</c:v>
                </c:pt>
                <c:pt idx="196">
                  <c:v>8.9564983595164405E-2</c:v>
                </c:pt>
                <c:pt idx="197">
                  <c:v>0.10232451254788377</c:v>
                </c:pt>
                <c:pt idx="198">
                  <c:v>0.11471364773473225</c:v>
                </c:pt>
                <c:pt idx="199">
                  <c:v>0.12678108398355659</c:v>
                </c:pt>
                <c:pt idx="200">
                  <c:v>0.13856806891820939</c:v>
                </c:pt>
                <c:pt idx="201">
                  <c:v>0.15011007002410959</c:v>
                </c:pt>
                <c:pt idx="202">
                  <c:v>0.16143800562114152</c:v>
                </c:pt>
                <c:pt idx="203">
                  <c:v>0.17257917090354302</c:v>
                </c:pt>
                <c:pt idx="204">
                  <c:v>0.18355794681161319</c:v>
                </c:pt>
                <c:pt idx="205">
                  <c:v>0.19439635159484125</c:v>
                </c:pt>
                <c:pt idx="206">
                  <c:v>0.20511447677329597</c:v>
                </c:pt>
                <c:pt idx="207">
                  <c:v>0.21573083693654993</c:v>
                </c:pt>
                <c:pt idx="208">
                  <c:v>0.22626265453153593</c:v>
                </c:pt>
                <c:pt idx="209">
                  <c:v>0.23672609527004218</c:v>
                </c:pt>
                <c:pt idx="210">
                  <c:v>0.24713646551527202</c:v>
                </c:pt>
                <c:pt idx="211">
                  <c:v>0.25750768895201792</c:v>
                </c:pt>
                <c:pt idx="212">
                  <c:v>0.26747759950371608</c:v>
                </c:pt>
                <c:pt idx="213">
                  <c:v>0.27678615927406491</c:v>
                </c:pt>
                <c:pt idx="214">
                  <c:v>0.28550170651122619</c:v>
                </c:pt>
                <c:pt idx="215">
                  <c:v>0.29368359344180939</c:v>
                </c:pt>
                <c:pt idx="216">
                  <c:v>0.30138360781482831</c:v>
                </c:pt>
                <c:pt idx="217">
                  <c:v>0.30864713520466258</c:v>
                </c:pt>
                <c:pt idx="218">
                  <c:v>0.3155141151662475</c:v>
                </c:pt>
                <c:pt idx="219">
                  <c:v>0.32201983219494512</c:v>
                </c:pt>
                <c:pt idx="220">
                  <c:v>0.32819557360506457</c:v>
                </c:pt>
                <c:pt idx="221">
                  <c:v>0.33406917974866646</c:v>
                </c:pt>
                <c:pt idx="222">
                  <c:v>0.33966550612231727</c:v>
                </c:pt>
                <c:pt idx="223">
                  <c:v>0.34500681362837438</c:v>
                </c:pt>
                <c:pt idx="224">
                  <c:v>0.35011309944230051</c:v>
                </c:pt>
                <c:pt idx="225">
                  <c:v>0.35500237875526663</c:v>
                </c:pt>
                <c:pt idx="226">
                  <c:v>0.35969092567124927</c:v>
                </c:pt>
                <c:pt idx="227">
                  <c:v>0.36419348008387686</c:v>
                </c:pt>
                <c:pt idx="228">
                  <c:v>0.36852342577167596</c:v>
                </c:pt>
                <c:pt idx="229">
                  <c:v>0.37269294442303424</c:v>
                </c:pt>
                <c:pt idx="230">
                  <c:v>0.37671314934913547</c:v>
                </c:pt>
                <c:pt idx="231">
                  <c:v>0.38059420171793157</c:v>
                </c:pt>
                <c:pt idx="232">
                  <c:v>0.38434541213063889</c:v>
                </c:pt>
                <c:pt idx="233">
                  <c:v>0.38797532956494007</c:v>
                </c:pt>
                <c:pt idx="234">
                  <c:v>0.3914918194120014</c:v>
                </c:pt>
                <c:pt idx="235">
                  <c:v>0.39490213233632887</c:v>
                </c:pt>
                <c:pt idx="236">
                  <c:v>0.39821296487297708</c:v>
                </c:pt>
                <c:pt idx="237">
                  <c:v>0.40143051333825752</c:v>
                </c:pt>
                <c:pt idx="238">
                  <c:v>0.40456052139787213</c:v>
                </c:pt>
                <c:pt idx="239">
                  <c:v>0.40760832258357127</c:v>
                </c:pt>
                <c:pt idx="240">
                  <c:v>0.41057887816126404</c:v>
                </c:pt>
                <c:pt idx="241">
                  <c:v>0.41347681083785282</c:v>
                </c:pt>
                <c:pt idx="242">
                  <c:v>0.4163064351973087</c:v>
                </c:pt>
                <c:pt idx="243">
                  <c:v>0.4190717847598554</c:v>
                </c:pt>
                <c:pt idx="244">
                  <c:v>0.42177663656261766</c:v>
                </c:pt>
                <c:pt idx="245">
                  <c:v>0.42442453305647154</c:v>
                </c:pt>
                <c:pt idx="246">
                  <c:v>0.42701880217927479</c:v>
                </c:pt>
                <c:pt idx="247">
                  <c:v>0.42956257522987484</c:v>
                </c:pt>
                <c:pt idx="248">
                  <c:v>0.43205880326829826</c:v>
                </c:pt>
                <c:pt idx="249">
                  <c:v>0.43451027199459968</c:v>
                </c:pt>
                <c:pt idx="250">
                  <c:v>0.43691961514973332</c:v>
                </c:pt>
                <c:pt idx="251">
                  <c:v>0.43928932691511446</c:v>
                </c:pt>
                <c:pt idx="252">
                  <c:v>0.4416217732088078</c:v>
                </c:pt>
                <c:pt idx="253">
                  <c:v>0.443919201845968</c:v>
                </c:pt>
                <c:pt idx="254">
                  <c:v>0.44618375216939909</c:v>
                </c:pt>
                <c:pt idx="255">
                  <c:v>0.44841746359757029</c:v>
                </c:pt>
                <c:pt idx="256">
                  <c:v>0.45062228375927116</c:v>
                </c:pt>
                <c:pt idx="257">
                  <c:v>0.45280007579145221</c:v>
                </c:pt>
                <c:pt idx="258">
                  <c:v>0.45495262519692947</c:v>
                </c:pt>
                <c:pt idx="259">
                  <c:v>0.45708164623852821</c:v>
                </c:pt>
                <c:pt idx="260">
                  <c:v>0.45918878778154204</c:v>
                </c:pt>
                <c:pt idx="261">
                  <c:v>0.4612756388008431</c:v>
                </c:pt>
                <c:pt idx="262">
                  <c:v>0.46334373360361891</c:v>
                </c:pt>
                <c:pt idx="263">
                  <c:v>0.46539455642777872</c:v>
                </c:pt>
                <c:pt idx="264">
                  <c:v>0.46742954619237576</c:v>
                </c:pt>
                <c:pt idx="265">
                  <c:v>0.46945010054084169</c:v>
                </c:pt>
                <c:pt idx="266">
                  <c:v>0.47145758014534145</c:v>
                </c:pt>
                <c:pt idx="267">
                  <c:v>0.47345331219890674</c:v>
                </c:pt>
                <c:pt idx="268">
                  <c:v>0.47543859426311508</c:v>
                </c:pt>
                <c:pt idx="269">
                  <c:v>0.4853723936507276</c:v>
                </c:pt>
                <c:pt idx="270">
                  <c:v>0.50040277701182301</c:v>
                </c:pt>
                <c:pt idx="271">
                  <c:v>0.5105125722995637</c:v>
                </c:pt>
                <c:pt idx="272">
                  <c:v>0.51998474091054059</c:v>
                </c:pt>
                <c:pt idx="273">
                  <c:v>0.52973114528166632</c:v>
                </c:pt>
                <c:pt idx="274">
                  <c:v>0.5397731436382659</c:v>
                </c:pt>
                <c:pt idx="275">
                  <c:v>0.55013395830395295</c:v>
                </c:pt>
                <c:pt idx="276">
                  <c:v>0.56083889790707697</c:v>
                </c:pt>
                <c:pt idx="277">
                  <c:v>0.57191560971861322</c:v>
                </c:pt>
                <c:pt idx="278">
                  <c:v>0.58339436761351549</c:v>
                </c:pt>
                <c:pt idx="279">
                  <c:v>0.59530840078612768</c:v>
                </c:pt>
                <c:pt idx="280">
                  <c:v>0.60769427023733902</c:v>
                </c:pt>
                <c:pt idx="281">
                  <c:v>0.62059230073416172</c:v>
                </c:pt>
                <c:pt idx="282">
                  <c:v>0.63404707755073531</c:v>
                </c:pt>
                <c:pt idx="283">
                  <c:v>0.64829984284456998</c:v>
                </c:pt>
                <c:pt idx="284">
                  <c:v>0.66520858918110981</c:v>
                </c:pt>
                <c:pt idx="285">
                  <c:v>0.68470151276064295</c:v>
                </c:pt>
                <c:pt idx="286">
                  <c:v>0.70639334541039289</c:v>
                </c:pt>
                <c:pt idx="287">
                  <c:v>0.73010066780395666</c:v>
                </c:pt>
                <c:pt idx="288">
                  <c:v>0.75576288582176543</c:v>
                </c:pt>
                <c:pt idx="289">
                  <c:v>0.78340157788324494</c:v>
                </c:pt>
                <c:pt idx="290">
                  <c:v>0.8130987252826013</c:v>
                </c:pt>
                <c:pt idx="291">
                  <c:v>0.84498488328009003</c:v>
                </c:pt>
                <c:pt idx="292">
                  <c:v>0.87923282380751766</c:v>
                </c:pt>
                <c:pt idx="293">
                  <c:v>0.91605419634761398</c:v>
                </c:pt>
                <c:pt idx="294">
                  <c:v>0.95569767193557109</c:v>
                </c:pt>
                <c:pt idx="295">
                  <c:v>0.99844740883600858</c:v>
                </c:pt>
                <c:pt idx="296">
                  <c:v>1.0446207403996817</c:v>
                </c:pt>
                <c:pt idx="297">
                  <c:v>1.0945638452780395</c:v>
                </c:pt>
                <c:pt idx="298">
                  <c:v>1.1486438758241948</c:v>
                </c:pt>
                <c:pt idx="299">
                  <c:v>1.2072356639929058</c:v>
                </c:pt>
                <c:pt idx="300">
                  <c:v>1.2707008156630093</c:v>
                </c:pt>
                <c:pt idx="301">
                  <c:v>1.3393569806297543</c:v>
                </c:pt>
                <c:pt idx="302">
                  <c:v>1.4134357308008356</c:v>
                </c:pt>
                <c:pt idx="303">
                  <c:v>1.4930293153684109</c:v>
                </c:pt>
                <c:pt idx="304">
                  <c:v>1.5780300699087548</c:v>
                </c:pt>
                <c:pt idx="305">
                  <c:v>1.6671631349232521</c:v>
                </c:pt>
                <c:pt idx="306">
                  <c:v>1.7564492674304746</c:v>
                </c:pt>
                <c:pt idx="307">
                  <c:v>1.8544078054464821</c:v>
                </c:pt>
                <c:pt idx="308">
                  <c:v>1.9437400620777407</c:v>
                </c:pt>
                <c:pt idx="309">
                  <c:v>2.0243440246780073</c:v>
                </c:pt>
                <c:pt idx="310">
                  <c:v>2.0965035240321326</c:v>
                </c:pt>
                <c:pt idx="311">
                  <c:v>2.1607208846471138</c:v>
                </c:pt>
                <c:pt idx="312">
                  <c:v>2.2175861490047621</c:v>
                </c:pt>
                <c:pt idx="313">
                  <c:v>2.2676860229594515</c:v>
                </c:pt>
                <c:pt idx="314">
                  <c:v>2.3115450231650998</c:v>
                </c:pt>
                <c:pt idx="315">
                  <c:v>2.3495883240810653</c:v>
                </c:pt>
                <c:pt idx="316">
                  <c:v>2.3821164339407002</c:v>
                </c:pt>
                <c:pt idx="317">
                  <c:v>2.4092833603072545</c:v>
                </c:pt>
                <c:pt idx="318">
                  <c:v>2.4310709594278972</c:v>
                </c:pt>
                <c:pt idx="319">
                  <c:v>2.4472520108583864</c:v>
                </c:pt>
                <c:pt idx="320">
                  <c:v>2.4573326990462387</c:v>
                </c:pt>
                <c:pt idx="321">
                  <c:v>2.4611256937601</c:v>
                </c:pt>
                <c:pt idx="322">
                  <c:v>2.4636374085458468</c:v>
                </c:pt>
                <c:pt idx="323">
                  <c:v>2.4661421210750829</c:v>
                </c:pt>
                <c:pt idx="324">
                  <c:v>2.4686453289171748</c:v>
                </c:pt>
                <c:pt idx="325">
                  <c:v>2.4711527312787167</c:v>
                </c:pt>
                <c:pt idx="326">
                  <c:v>2.4736703034582623</c:v>
                </c:pt>
                <c:pt idx="327">
                  <c:v>2.4732318893130385</c:v>
                </c:pt>
                <c:pt idx="328">
                  <c:v>2.4787617587599735</c:v>
                </c:pt>
                <c:pt idx="329">
                  <c:v>2.478737652535199</c:v>
                </c:pt>
                <c:pt idx="330">
                  <c:v>2.483976584197261</c:v>
                </c:pt>
                <c:pt idx="331">
                  <c:v>2.4844245277117989</c:v>
                </c:pt>
                <c:pt idx="332">
                  <c:v>2.4893832119388439</c:v>
                </c:pt>
                <c:pt idx="333">
                  <c:v>2.490375808805299</c:v>
                </c:pt>
                <c:pt idx="334">
                  <c:v>2.4934827536269659</c:v>
                </c:pt>
                <c:pt idx="335">
                  <c:v>2.4966982490607976</c:v>
                </c:pt>
                <c:pt idx="336">
                  <c:v>2.500041289185154</c:v>
                </c:pt>
                <c:pt idx="337">
                  <c:v>2.5035342240836806</c:v>
                </c:pt>
                <c:pt idx="338">
                  <c:v>2.507203622112534</c:v>
                </c:pt>
                <c:pt idx="339">
                  <c:v>2.5110814005445024</c:v>
                </c:pt>
                <c:pt idx="340">
                  <c:v>2.5151142987723003</c:v>
                </c:pt>
                <c:pt idx="341">
                  <c:v>2.5190955803140382</c:v>
                </c:pt>
                <c:pt idx="342">
                  <c:v>2.5230191704028124</c:v>
                </c:pt>
                <c:pt idx="343">
                  <c:v>2.5268893644964812</c:v>
                </c:pt>
                <c:pt idx="344">
                  <c:v>2.5307102458644297</c:v>
                </c:pt>
                <c:pt idx="345">
                  <c:v>2.5344857060454609</c:v>
                </c:pt>
                <c:pt idx="346">
                  <c:v>2.5382194635279101</c:v>
                </c:pt>
                <c:pt idx="347">
                  <c:v>2.5419150809578794</c:v>
                </c:pt>
                <c:pt idx="348">
                  <c:v>2.545575980947572</c:v>
                </c:pt>
                <c:pt idx="349">
                  <c:v>2.5492054607456036</c:v>
                </c:pt>
                <c:pt idx="350">
                  <c:v>2.5528067058455481</c:v>
                </c:pt>
                <c:pt idx="351">
                  <c:v>2.5563828027204476</c:v>
                </c:pt>
                <c:pt idx="352">
                  <c:v>2.5599367507417581</c:v>
                </c:pt>
                <c:pt idx="353">
                  <c:v>2.563471473432648</c:v>
                </c:pt>
                <c:pt idx="354">
                  <c:v>2.5669898291467126</c:v>
                </c:pt>
                <c:pt idx="355">
                  <c:v>2.5704946212355155</c:v>
                </c:pt>
                <c:pt idx="356">
                  <c:v>2.573988607815699</c:v>
                </c:pt>
                <c:pt idx="357">
                  <c:v>2.5774745111990298</c:v>
                </c:pt>
                <c:pt idx="358">
                  <c:v>2.5809550270641184</c:v>
                </c:pt>
                <c:pt idx="359">
                  <c:v>2.5844328334282824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General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L_Section_Capacity!$AX$2:$AX$362</c:f>
              <c:numCache>
                <c:formatCode>0.000E+00</c:formatCode>
                <c:ptCount val="361"/>
                <c:pt idx="0">
                  <c:v>-3.6987524737512998</c:v>
                </c:pt>
                <c:pt idx="1">
                  <c:v>-3.6952746673871606</c:v>
                </c:pt>
                <c:pt idx="2">
                  <c:v>-3.6917941515223851</c:v>
                </c:pt>
                <c:pt idx="3">
                  <c:v>-3.6883082481384788</c:v>
                </c:pt>
                <c:pt idx="4">
                  <c:v>-3.6848142615588197</c:v>
                </c:pt>
                <c:pt idx="5">
                  <c:v>-3.6813094694699147</c:v>
                </c:pt>
                <c:pt idx="6">
                  <c:v>-3.6777911137557524</c:v>
                </c:pt>
                <c:pt idx="7">
                  <c:v>-3.6742563910647346</c:v>
                </c:pt>
                <c:pt idx="8">
                  <c:v>-3.6707024430441622</c:v>
                </c:pt>
                <c:pt idx="9">
                  <c:v>-3.6671263461687933</c:v>
                </c:pt>
                <c:pt idx="10">
                  <c:v>-3.663525101066456</c:v>
                </c:pt>
                <c:pt idx="11">
                  <c:v>-3.6598956212712568</c:v>
                </c:pt>
                <c:pt idx="12">
                  <c:v>-3.6562347212833153</c:v>
                </c:pt>
                <c:pt idx="13">
                  <c:v>-3.6525391038533228</c:v>
                </c:pt>
                <c:pt idx="14">
                  <c:v>-3.6488053463677046</c:v>
                </c:pt>
                <c:pt idx="15">
                  <c:v>-3.6450298861877335</c:v>
                </c:pt>
                <c:pt idx="16">
                  <c:v>-3.6412090048188759</c:v>
                </c:pt>
                <c:pt idx="17">
                  <c:v>-3.637338810724458</c:v>
                </c:pt>
                <c:pt idx="18">
                  <c:v>-3.6334152206381223</c:v>
                </c:pt>
                <c:pt idx="19">
                  <c:v>-3.6294339390944921</c:v>
                </c:pt>
                <c:pt idx="20">
                  <c:v>-3.6254010408649049</c:v>
                </c:pt>
                <c:pt idx="21">
                  <c:v>-3.6215232624352414</c:v>
                </c:pt>
                <c:pt idx="22">
                  <c:v>-3.6178538644080582</c:v>
                </c:pt>
                <c:pt idx="23">
                  <c:v>-3.6143609295090715</c:v>
                </c:pt>
                <c:pt idx="24">
                  <c:v>-3.611017889386249</c:v>
                </c:pt>
                <c:pt idx="25">
                  <c:v>-3.6078023939504327</c:v>
                </c:pt>
                <c:pt idx="26">
                  <c:v>-3.6046954491288057</c:v>
                </c:pt>
                <c:pt idx="27">
                  <c:v>-3.6016807513500328</c:v>
                </c:pt>
                <c:pt idx="28">
                  <c:v>-3.6009706903551049</c:v>
                </c:pt>
                <c:pt idx="29">
                  <c:v>-3.5958733276608714</c:v>
                </c:pt>
                <c:pt idx="30">
                  <c:v>-3.5930572928585245</c:v>
                </c:pt>
                <c:pt idx="31">
                  <c:v>-3.5930813990831885</c:v>
                </c:pt>
                <c:pt idx="32">
                  <c:v>-3.5875515296370963</c:v>
                </c:pt>
                <c:pt idx="33">
                  <c:v>-3.5848449601041885</c:v>
                </c:pt>
                <c:pt idx="34">
                  <c:v>-3.5854723716022869</c:v>
                </c:pt>
                <c:pt idx="35">
                  <c:v>-3.5829649692404084</c:v>
                </c:pt>
                <c:pt idx="36">
                  <c:v>-3.5804617613980798</c:v>
                </c:pt>
                <c:pt idx="37">
                  <c:v>-3.577957048869048</c:v>
                </c:pt>
                <c:pt idx="38">
                  <c:v>-3.575445334083216</c:v>
                </c:pt>
                <c:pt idx="39">
                  <c:v>-3.5716523393689741</c:v>
                </c:pt>
                <c:pt idx="40">
                  <c:v>-3.5615716511833231</c:v>
                </c:pt>
                <c:pt idx="41">
                  <c:v>-3.5453905997538833</c:v>
                </c:pt>
                <c:pt idx="42">
                  <c:v>-3.5236030006272796</c:v>
                </c:pt>
                <c:pt idx="43">
                  <c:v>-3.4964360742660361</c:v>
                </c:pt>
                <c:pt idx="44">
                  <c:v>-3.463907964408282</c:v>
                </c:pt>
                <c:pt idx="45">
                  <c:v>-3.4258646634762866</c:v>
                </c:pt>
                <c:pt idx="46">
                  <c:v>-3.3820056632818813</c:v>
                </c:pt>
                <c:pt idx="47">
                  <c:v>-3.3319057893330521</c:v>
                </c:pt>
                <c:pt idx="48">
                  <c:v>-3.2750405249848553</c:v>
                </c:pt>
                <c:pt idx="49">
                  <c:v>-3.2108231643494705</c:v>
                </c:pt>
                <c:pt idx="50">
                  <c:v>-3.1386636650074857</c:v>
                </c:pt>
                <c:pt idx="51">
                  <c:v>-3.0580597024063927</c:v>
                </c:pt>
                <c:pt idx="52">
                  <c:v>-2.9687274457643329</c:v>
                </c:pt>
                <c:pt idx="53">
                  <c:v>-2.870768907751573</c:v>
                </c:pt>
                <c:pt idx="54">
                  <c:v>-2.7814827752446427</c:v>
                </c:pt>
                <c:pt idx="55">
                  <c:v>-2.6923497102316403</c:v>
                </c:pt>
                <c:pt idx="56">
                  <c:v>-2.6073489556897171</c:v>
                </c:pt>
                <c:pt idx="57">
                  <c:v>-2.5277553711187344</c:v>
                </c:pt>
                <c:pt idx="58">
                  <c:v>-2.4536766209478373</c:v>
                </c:pt>
                <c:pt idx="59">
                  <c:v>-2.385020455981016</c:v>
                </c:pt>
                <c:pt idx="60">
                  <c:v>-2.3215553043281272</c:v>
                </c:pt>
                <c:pt idx="61">
                  <c:v>-2.2629635161340005</c:v>
                </c:pt>
                <c:pt idx="62">
                  <c:v>-2.2088834855997841</c:v>
                </c:pt>
                <c:pt idx="63">
                  <c:v>-2.1589403807390952</c:v>
                </c:pt>
                <c:pt idx="64">
                  <c:v>-2.1127670491384229</c:v>
                </c:pt>
                <c:pt idx="65">
                  <c:v>-2.070017312235358</c:v>
                </c:pt>
                <c:pt idx="66">
                  <c:v>-2.030373836664888</c:v>
                </c:pt>
                <c:pt idx="67">
                  <c:v>-1.9935524641356812</c:v>
                </c:pt>
                <c:pt idx="68">
                  <c:v>-1.9593045235867184</c:v>
                </c:pt>
                <c:pt idx="69">
                  <c:v>-1.927418365601596</c:v>
                </c:pt>
                <c:pt idx="70">
                  <c:v>-1.8977212182266845</c:v>
                </c:pt>
                <c:pt idx="71">
                  <c:v>-1.8700825261479266</c:v>
                </c:pt>
                <c:pt idx="72">
                  <c:v>-1.8444203081504607</c:v>
                </c:pt>
                <c:pt idx="73">
                  <c:v>-1.8207129857388584</c:v>
                </c:pt>
                <c:pt idx="74">
                  <c:v>-1.7990211531093858</c:v>
                </c:pt>
                <c:pt idx="75">
                  <c:v>-1.7795282294875006</c:v>
                </c:pt>
                <c:pt idx="76">
                  <c:v>-1.7626194831685376</c:v>
                </c:pt>
                <c:pt idx="77">
                  <c:v>-1.7483667178738087</c:v>
                </c:pt>
                <c:pt idx="78">
                  <c:v>-1.7349119410500813</c:v>
                </c:pt>
                <c:pt idx="79">
                  <c:v>-1.7220139105624068</c:v>
                </c:pt>
                <c:pt idx="80">
                  <c:v>-1.7096280411083087</c:v>
                </c:pt>
                <c:pt idx="81">
                  <c:v>-1.6977140079498572</c:v>
                </c:pt>
                <c:pt idx="82">
                  <c:v>-1.6862352500626701</c:v>
                </c:pt>
                <c:pt idx="83">
                  <c:v>-1.6751585382391387</c:v>
                </c:pt>
                <c:pt idx="84">
                  <c:v>-1.6644535986480542</c:v>
                </c:pt>
                <c:pt idx="85">
                  <c:v>-1.6540927839457065</c:v>
                </c:pt>
                <c:pt idx="86">
                  <c:v>-1.6440507856015167</c:v>
                </c:pt>
                <c:pt idx="87">
                  <c:v>-1.6343043812442195</c:v>
                </c:pt>
                <c:pt idx="88">
                  <c:v>-1.6248322126376564</c:v>
                </c:pt>
                <c:pt idx="89">
                  <c:v>-1.6147224173319081</c:v>
                </c:pt>
                <c:pt idx="90">
                  <c:v>-1.5996920339721936</c:v>
                </c:pt>
                <c:pt idx="91">
                  <c:v>-1.5897582345871735</c:v>
                </c:pt>
                <c:pt idx="92">
                  <c:v>-1.5877729525123052</c:v>
                </c:pt>
                <c:pt idx="93">
                  <c:v>-1.5857772204470506</c:v>
                </c:pt>
                <c:pt idx="94">
                  <c:v>-1.5837697408726901</c:v>
                </c:pt>
                <c:pt idx="95">
                  <c:v>-1.5817491864827891</c:v>
                </c:pt>
                <c:pt idx="96">
                  <c:v>-1.5797141967409698</c:v>
                </c:pt>
                <c:pt idx="97">
                  <c:v>-1.5776633739166135</c:v>
                </c:pt>
                <c:pt idx="98">
                  <c:v>-1.5755952791467354</c:v>
                </c:pt>
                <c:pt idx="99">
                  <c:v>-1.5735084280798448</c:v>
                </c:pt>
                <c:pt idx="100">
                  <c:v>-1.5714012865413984</c:v>
                </c:pt>
                <c:pt idx="101">
                  <c:v>-1.5692722654971303</c:v>
                </c:pt>
                <c:pt idx="102">
                  <c:v>-1.56711971610873</c:v>
                </c:pt>
                <c:pt idx="103">
                  <c:v>-1.5649419240915075</c:v>
                </c:pt>
                <c:pt idx="104">
                  <c:v>-1.5627371039246309</c:v>
                </c:pt>
                <c:pt idx="105">
                  <c:v>-1.5605033925025253</c:v>
                </c:pt>
                <c:pt idx="106">
                  <c:v>-1.5582388421786075</c:v>
                </c:pt>
                <c:pt idx="107">
                  <c:v>-1.555941413518112</c:v>
                </c:pt>
                <c:pt idx="108">
                  <c:v>-1.5536089672547018</c:v>
                </c:pt>
                <c:pt idx="109">
                  <c:v>-1.551239255467828</c:v>
                </c:pt>
                <c:pt idx="110">
                  <c:v>-1.5488299123120415</c:v>
                </c:pt>
                <c:pt idx="111">
                  <c:v>-1.5463784436031429</c:v>
                </c:pt>
                <c:pt idx="112">
                  <c:v>-1.5438822155444991</c:v>
                </c:pt>
                <c:pt idx="113">
                  <c:v>-1.5413384424977621</c:v>
                </c:pt>
                <c:pt idx="114">
                  <c:v>-1.5387441733871623</c:v>
                </c:pt>
                <c:pt idx="115">
                  <c:v>-1.5360962768642041</c:v>
                </c:pt>
                <c:pt idx="116">
                  <c:v>-1.5333914250876106</c:v>
                </c:pt>
                <c:pt idx="117">
                  <c:v>-1.5306260755171528</c:v>
                </c:pt>
                <c:pt idx="118">
                  <c:v>-1.5277964511469677</c:v>
                </c:pt>
                <c:pt idx="119">
                  <c:v>-1.5248985184733725</c:v>
                </c:pt>
                <c:pt idx="120">
                  <c:v>-1.5219279629080855</c:v>
                </c:pt>
                <c:pt idx="121">
                  <c:v>-1.5188801617253751</c:v>
                </c:pt>
                <c:pt idx="122">
                  <c:v>-1.5157501536517963</c:v>
                </c:pt>
                <c:pt idx="123">
                  <c:v>-1.5125326051913435</c:v>
                </c:pt>
                <c:pt idx="124">
                  <c:v>-1.5092217726545059</c:v>
                </c:pt>
                <c:pt idx="125">
                  <c:v>-1.5058114597529673</c:v>
                </c:pt>
                <c:pt idx="126">
                  <c:v>-1.5022949698978474</c:v>
                </c:pt>
                <c:pt idx="127">
                  <c:v>-1.4986650524671483</c:v>
                </c:pt>
                <c:pt idx="128">
                  <c:v>-1.4949138420398391</c:v>
                </c:pt>
                <c:pt idx="129">
                  <c:v>-1.4910327896722753</c:v>
                </c:pt>
                <c:pt idx="130">
                  <c:v>-1.487012584748568</c:v>
                </c:pt>
                <c:pt idx="131">
                  <c:v>-1.4828430660807181</c:v>
                </c:pt>
                <c:pt idx="132">
                  <c:v>-1.4785131204073276</c:v>
                </c:pt>
                <c:pt idx="133">
                  <c:v>-1.4740105659918457</c:v>
                </c:pt>
                <c:pt idx="134">
                  <c:v>-1.4693220190754992</c:v>
                </c:pt>
                <c:pt idx="135">
                  <c:v>-1.4644327397699715</c:v>
                </c:pt>
                <c:pt idx="136">
                  <c:v>-1.4593264539636723</c:v>
                </c:pt>
                <c:pt idx="137">
                  <c:v>-1.453985146448431</c:v>
                </c:pt>
                <c:pt idx="138">
                  <c:v>-1.4483888200662793</c:v>
                </c:pt>
                <c:pt idx="139">
                  <c:v>-1.4425152139280901</c:v>
                </c:pt>
                <c:pt idx="140">
                  <c:v>-1.4363394725179708</c:v>
                </c:pt>
                <c:pt idx="141">
                  <c:v>-1.4298337554892733</c:v>
                </c:pt>
                <c:pt idx="142">
                  <c:v>-1.4229667755276889</c:v>
                </c:pt>
                <c:pt idx="143">
                  <c:v>-1.4157032481378544</c:v>
                </c:pt>
                <c:pt idx="144">
                  <c:v>-1.4080032337648363</c:v>
                </c:pt>
                <c:pt idx="145">
                  <c:v>-1.3998213468342535</c:v>
                </c:pt>
                <c:pt idx="146">
                  <c:v>-1.3911057995970926</c:v>
                </c:pt>
                <c:pt idx="147">
                  <c:v>-1.381797239826744</c:v>
                </c:pt>
                <c:pt idx="148">
                  <c:v>-1.3718273292750465</c:v>
                </c:pt>
                <c:pt idx="149">
                  <c:v>-1.3614561058383006</c:v>
                </c:pt>
                <c:pt idx="150">
                  <c:v>-1.351045735593071</c:v>
                </c:pt>
                <c:pt idx="151">
                  <c:v>-1.3405822948545649</c:v>
                </c:pt>
                <c:pt idx="152">
                  <c:v>-1.3300504772595794</c:v>
                </c:pt>
                <c:pt idx="153">
                  <c:v>-1.3194341170963257</c:v>
                </c:pt>
                <c:pt idx="154">
                  <c:v>-1.3087159919178712</c:v>
                </c:pt>
                <c:pt idx="155">
                  <c:v>-1.2978775871346429</c:v>
                </c:pt>
                <c:pt idx="156">
                  <c:v>-1.2868988112265731</c:v>
                </c:pt>
                <c:pt idx="157">
                  <c:v>-1.275757645944172</c:v>
                </c:pt>
                <c:pt idx="158">
                  <c:v>-1.2644297103471409</c:v>
                </c:pt>
                <c:pt idx="159">
                  <c:v>-1.2528877092412407</c:v>
                </c:pt>
                <c:pt idx="160">
                  <c:v>-1.2411007243065884</c:v>
                </c:pt>
                <c:pt idx="161">
                  <c:v>-1.2290332880577646</c:v>
                </c:pt>
                <c:pt idx="162">
                  <c:v>-1.2166441528709171</c:v>
                </c:pt>
                <c:pt idx="163">
                  <c:v>-1.2038846239181984</c:v>
                </c:pt>
                <c:pt idx="164">
                  <c:v>-1.1906962553348719</c:v>
                </c:pt>
                <c:pt idx="165">
                  <c:v>-1.1770075955000139</c:v>
                </c:pt>
                <c:pt idx="166">
                  <c:v>-1.1627294753598785</c:v>
                </c:pt>
                <c:pt idx="167">
                  <c:v>-1.1477480004540426</c:v>
                </c:pt>
                <c:pt idx="168">
                  <c:v>-1.1319138054056621</c:v>
                </c:pt>
                <c:pt idx="169">
                  <c:v>-1.1150249985649094</c:v>
                </c:pt>
                <c:pt idx="170">
                  <c:v>-1.0967989969103376</c:v>
                </c:pt>
                <c:pt idx="171">
                  <c:v>-1.076823816232624</c:v>
                </c:pt>
                <c:pt idx="172">
                  <c:v>-1.0544690994046519</c:v>
                </c:pt>
                <c:pt idx="173">
                  <c:v>-1.028712520055223</c:v>
                </c:pt>
                <c:pt idx="174">
                  <c:v>-0.99777226939609576</c:v>
                </c:pt>
                <c:pt idx="175">
                  <c:v>-0.95824368296367823</c:v>
                </c:pt>
                <c:pt idx="176">
                  <c:v>-0.90277129919233268</c:v>
                </c:pt>
                <c:pt idx="177">
                  <c:v>-0.82162660722401393</c:v>
                </c:pt>
                <c:pt idx="178">
                  <c:v>-0.73470808390356357</c:v>
                </c:pt>
                <c:pt idx="179">
                  <c:v>-0.64623984442244908</c:v>
                </c:pt>
                <c:pt idx="180">
                  <c:v>-0.5571598201615594</c:v>
                </c:pt>
                <c:pt idx="181">
                  <c:v>-0.46807979590069482</c:v>
                </c:pt>
                <c:pt idx="182">
                  <c:v>-0.37961155641960087</c:v>
                </c:pt>
                <c:pt idx="183">
                  <c:v>-0.29269303309916511</c:v>
                </c:pt>
                <c:pt idx="184">
                  <c:v>-0.21154834113082055</c:v>
                </c:pt>
                <c:pt idx="185">
                  <c:v>-0.15607595735942781</c:v>
                </c:pt>
                <c:pt idx="186">
                  <c:v>-0.11654737092698558</c:v>
                </c:pt>
                <c:pt idx="187">
                  <c:v>-8.5607120267844228E-2</c:v>
                </c:pt>
                <c:pt idx="188">
                  <c:v>-5.9850540918406248E-2</c:v>
                </c:pt>
                <c:pt idx="189">
                  <c:v>-3.7495824090427621E-2</c:v>
                </c:pt>
                <c:pt idx="190">
                  <c:v>-1.7520643412709425E-2</c:v>
                </c:pt>
                <c:pt idx="191">
                  <c:v>7.0535824186579443E-4</c:v>
                </c:pt>
                <c:pt idx="192">
                  <c:v>1.7594165082620794E-2</c:v>
                </c:pt>
                <c:pt idx="193">
                  <c:v>3.3428360131003365E-2</c:v>
                </c:pt>
                <c:pt idx="194">
                  <c:v>4.8409835036841153E-2</c:v>
                </c:pt>
                <c:pt idx="195">
                  <c:v>6.2687955176977783E-2</c:v>
                </c:pt>
                <c:pt idx="196">
                  <c:v>7.6376615011837234E-2</c:v>
                </c:pt>
                <c:pt idx="197">
                  <c:v>8.9564983595164405E-2</c:v>
                </c:pt>
                <c:pt idx="198">
                  <c:v>0.10232451254788377</c:v>
                </c:pt>
                <c:pt idx="199">
                  <c:v>0.11471364773473225</c:v>
                </c:pt>
                <c:pt idx="200">
                  <c:v>0.12678108398355659</c:v>
                </c:pt>
                <c:pt idx="201">
                  <c:v>0.13856806891820939</c:v>
                </c:pt>
                <c:pt idx="202">
                  <c:v>0.15011007002410959</c:v>
                </c:pt>
                <c:pt idx="203">
                  <c:v>0.16143800562114152</c:v>
                </c:pt>
                <c:pt idx="204">
                  <c:v>0.17257917090354302</c:v>
                </c:pt>
                <c:pt idx="205">
                  <c:v>0.18355794681161319</c:v>
                </c:pt>
                <c:pt idx="206">
                  <c:v>0.19439635159484125</c:v>
                </c:pt>
                <c:pt idx="207">
                  <c:v>0.20511447677329597</c:v>
                </c:pt>
                <c:pt idx="208">
                  <c:v>0.21573083693654993</c:v>
                </c:pt>
                <c:pt idx="209">
                  <c:v>0.22626265453153593</c:v>
                </c:pt>
                <c:pt idx="210">
                  <c:v>0.23672609527004218</c:v>
                </c:pt>
                <c:pt idx="211">
                  <c:v>0.24713646551527202</c:v>
                </c:pt>
                <c:pt idx="212">
                  <c:v>0.25750768895201792</c:v>
                </c:pt>
                <c:pt idx="213">
                  <c:v>0.26747759950371608</c:v>
                </c:pt>
                <c:pt idx="214">
                  <c:v>0.27678615927406491</c:v>
                </c:pt>
                <c:pt idx="215">
                  <c:v>0.28550170651122619</c:v>
                </c:pt>
                <c:pt idx="216">
                  <c:v>0.29368359344180939</c:v>
                </c:pt>
                <c:pt idx="217">
                  <c:v>0.30138360781482831</c:v>
                </c:pt>
                <c:pt idx="218">
                  <c:v>0.30864713520466258</c:v>
                </c:pt>
                <c:pt idx="219">
                  <c:v>0.3155141151662475</c:v>
                </c:pt>
                <c:pt idx="220">
                  <c:v>0.32201983219494512</c:v>
                </c:pt>
                <c:pt idx="221">
                  <c:v>0.32819557360506457</c:v>
                </c:pt>
                <c:pt idx="222">
                  <c:v>0.33406917974866646</c:v>
                </c:pt>
                <c:pt idx="223">
                  <c:v>0.33966550612231727</c:v>
                </c:pt>
                <c:pt idx="224">
                  <c:v>0.34500681362837438</c:v>
                </c:pt>
                <c:pt idx="225">
                  <c:v>0.35011309944230051</c:v>
                </c:pt>
                <c:pt idx="226">
                  <c:v>0.35500237875526663</c:v>
                </c:pt>
                <c:pt idx="227">
                  <c:v>0.35969092567124927</c:v>
                </c:pt>
                <c:pt idx="228">
                  <c:v>0.36419348008387686</c:v>
                </c:pt>
                <c:pt idx="229">
                  <c:v>0.36852342577167596</c:v>
                </c:pt>
                <c:pt idx="230">
                  <c:v>0.37269294442303424</c:v>
                </c:pt>
                <c:pt idx="231">
                  <c:v>0.37671314934913547</c:v>
                </c:pt>
                <c:pt idx="232">
                  <c:v>0.38059420171793157</c:v>
                </c:pt>
                <c:pt idx="233">
                  <c:v>0.38434541213063889</c:v>
                </c:pt>
                <c:pt idx="234">
                  <c:v>0.38797532956494007</c:v>
                </c:pt>
                <c:pt idx="235">
                  <c:v>0.3914918194120014</c:v>
                </c:pt>
                <c:pt idx="236">
                  <c:v>0.39490213233632887</c:v>
                </c:pt>
                <c:pt idx="237">
                  <c:v>0.39821296487297708</c:v>
                </c:pt>
                <c:pt idx="238">
                  <c:v>0.40143051333825752</c:v>
                </c:pt>
                <c:pt idx="239">
                  <c:v>0.40456052139787213</c:v>
                </c:pt>
                <c:pt idx="240">
                  <c:v>0.40760832258357127</c:v>
                </c:pt>
                <c:pt idx="241">
                  <c:v>0.41057887816126404</c:v>
                </c:pt>
                <c:pt idx="242">
                  <c:v>0.41347681083785282</c:v>
                </c:pt>
                <c:pt idx="243">
                  <c:v>0.4163064351973087</c:v>
                </c:pt>
                <c:pt idx="244">
                  <c:v>0.4190717847598554</c:v>
                </c:pt>
                <c:pt idx="245">
                  <c:v>0.42177663656261766</c:v>
                </c:pt>
                <c:pt idx="246">
                  <c:v>0.42442453305647154</c:v>
                </c:pt>
                <c:pt idx="247">
                  <c:v>0.42701880217927479</c:v>
                </c:pt>
                <c:pt idx="248">
                  <c:v>0.42956257522987484</c:v>
                </c:pt>
                <c:pt idx="249">
                  <c:v>0.43205880326829826</c:v>
                </c:pt>
                <c:pt idx="250">
                  <c:v>0.43451027199459968</c:v>
                </c:pt>
                <c:pt idx="251">
                  <c:v>0.43691961514973332</c:v>
                </c:pt>
                <c:pt idx="252">
                  <c:v>0.43928932691511446</c:v>
                </c:pt>
                <c:pt idx="253">
                  <c:v>0.4416217732088078</c:v>
                </c:pt>
                <c:pt idx="254">
                  <c:v>0.443919201845968</c:v>
                </c:pt>
                <c:pt idx="255">
                  <c:v>0.44618375216939909</c:v>
                </c:pt>
                <c:pt idx="256">
                  <c:v>0.44841746359757029</c:v>
                </c:pt>
                <c:pt idx="257">
                  <c:v>0.45062228375927116</c:v>
                </c:pt>
                <c:pt idx="258">
                  <c:v>0.45280007579145221</c:v>
                </c:pt>
                <c:pt idx="259">
                  <c:v>0.45495262519692947</c:v>
                </c:pt>
                <c:pt idx="260">
                  <c:v>0.45708164623852821</c:v>
                </c:pt>
                <c:pt idx="261">
                  <c:v>0.45918878778154204</c:v>
                </c:pt>
                <c:pt idx="262">
                  <c:v>0.4612756388008431</c:v>
                </c:pt>
                <c:pt idx="263">
                  <c:v>0.46334373360361891</c:v>
                </c:pt>
                <c:pt idx="264">
                  <c:v>0.46539455642777872</c:v>
                </c:pt>
                <c:pt idx="265">
                  <c:v>0.46742954619237576</c:v>
                </c:pt>
                <c:pt idx="266">
                  <c:v>0.46945010054084169</c:v>
                </c:pt>
                <c:pt idx="267">
                  <c:v>0.47145758014534145</c:v>
                </c:pt>
                <c:pt idx="268">
                  <c:v>0.47345331219890674</c:v>
                </c:pt>
                <c:pt idx="269">
                  <c:v>0.47543859426311508</c:v>
                </c:pt>
                <c:pt idx="270">
                  <c:v>0.4853723936507276</c:v>
                </c:pt>
                <c:pt idx="271">
                  <c:v>0.50040277701182301</c:v>
                </c:pt>
                <c:pt idx="272">
                  <c:v>0.5105125722995637</c:v>
                </c:pt>
                <c:pt idx="273">
                  <c:v>0.51998474091054059</c:v>
                </c:pt>
                <c:pt idx="274">
                  <c:v>0.52973114528166632</c:v>
                </c:pt>
                <c:pt idx="275">
                  <c:v>0.5397731436382659</c:v>
                </c:pt>
                <c:pt idx="276">
                  <c:v>0.55013395830395295</c:v>
                </c:pt>
                <c:pt idx="277">
                  <c:v>0.56083889790707697</c:v>
                </c:pt>
                <c:pt idx="278">
                  <c:v>0.57191560971861322</c:v>
                </c:pt>
                <c:pt idx="279">
                  <c:v>0.58339436761351549</c:v>
                </c:pt>
                <c:pt idx="280">
                  <c:v>0.59530840078612768</c:v>
                </c:pt>
                <c:pt idx="281">
                  <c:v>0.60769427023733902</c:v>
                </c:pt>
                <c:pt idx="282">
                  <c:v>0.62059230073416172</c:v>
                </c:pt>
                <c:pt idx="283">
                  <c:v>0.63404707755073531</c:v>
                </c:pt>
                <c:pt idx="284">
                  <c:v>0.64829984284456998</c:v>
                </c:pt>
                <c:pt idx="285">
                  <c:v>0.66520858918110981</c:v>
                </c:pt>
                <c:pt idx="286">
                  <c:v>0.68470151276064295</c:v>
                </c:pt>
                <c:pt idx="287">
                  <c:v>0.70639334541039289</c:v>
                </c:pt>
                <c:pt idx="288">
                  <c:v>0.73010066780395666</c:v>
                </c:pt>
                <c:pt idx="289">
                  <c:v>0.75576288582176543</c:v>
                </c:pt>
                <c:pt idx="290">
                  <c:v>0.78340157788324494</c:v>
                </c:pt>
                <c:pt idx="291">
                  <c:v>0.8130987252826013</c:v>
                </c:pt>
                <c:pt idx="292">
                  <c:v>0.84498488328009003</c:v>
                </c:pt>
                <c:pt idx="293">
                  <c:v>0.87923282380751766</c:v>
                </c:pt>
                <c:pt idx="294">
                  <c:v>0.91605419634761398</c:v>
                </c:pt>
                <c:pt idx="295">
                  <c:v>0.95569767193557109</c:v>
                </c:pt>
                <c:pt idx="296">
                  <c:v>0.99844740883600858</c:v>
                </c:pt>
                <c:pt idx="297">
                  <c:v>1.0446207403996817</c:v>
                </c:pt>
                <c:pt idx="298">
                  <c:v>1.0945638452780395</c:v>
                </c:pt>
                <c:pt idx="299">
                  <c:v>1.1486438758241948</c:v>
                </c:pt>
                <c:pt idx="300">
                  <c:v>1.2072356639929058</c:v>
                </c:pt>
                <c:pt idx="301">
                  <c:v>1.2707008156630093</c:v>
                </c:pt>
                <c:pt idx="302">
                  <c:v>1.3393569806297543</c:v>
                </c:pt>
                <c:pt idx="303">
                  <c:v>1.4134357308008356</c:v>
                </c:pt>
                <c:pt idx="304">
                  <c:v>1.4930293153684109</c:v>
                </c:pt>
                <c:pt idx="305">
                  <c:v>1.5780300699087548</c:v>
                </c:pt>
                <c:pt idx="306">
                  <c:v>1.6671631349232521</c:v>
                </c:pt>
                <c:pt idx="307">
                  <c:v>1.7564492674304746</c:v>
                </c:pt>
                <c:pt idx="308">
                  <c:v>1.8544078054464821</c:v>
                </c:pt>
                <c:pt idx="309">
                  <c:v>1.9437400620777407</c:v>
                </c:pt>
                <c:pt idx="310">
                  <c:v>2.0243440246780073</c:v>
                </c:pt>
                <c:pt idx="311">
                  <c:v>2.0965035240321326</c:v>
                </c:pt>
                <c:pt idx="312">
                  <c:v>2.1607208846471138</c:v>
                </c:pt>
                <c:pt idx="313">
                  <c:v>2.2175861490047621</c:v>
                </c:pt>
                <c:pt idx="314">
                  <c:v>2.2676860229594515</c:v>
                </c:pt>
                <c:pt idx="315">
                  <c:v>2.3115450231650998</c:v>
                </c:pt>
                <c:pt idx="316">
                  <c:v>2.3495883240810653</c:v>
                </c:pt>
                <c:pt idx="317">
                  <c:v>2.3821164339407002</c:v>
                </c:pt>
                <c:pt idx="318">
                  <c:v>2.4092833603072545</c:v>
                </c:pt>
                <c:pt idx="319">
                  <c:v>2.4310709594278972</c:v>
                </c:pt>
                <c:pt idx="320">
                  <c:v>2.4472520108583864</c:v>
                </c:pt>
                <c:pt idx="321">
                  <c:v>2.4573326990462387</c:v>
                </c:pt>
                <c:pt idx="322">
                  <c:v>2.4611256937601</c:v>
                </c:pt>
                <c:pt idx="323">
                  <c:v>2.4636374085458468</c:v>
                </c:pt>
                <c:pt idx="324">
                  <c:v>2.4661421210750829</c:v>
                </c:pt>
                <c:pt idx="325">
                  <c:v>2.4686453289171748</c:v>
                </c:pt>
                <c:pt idx="326">
                  <c:v>2.4711527312787167</c:v>
                </c:pt>
                <c:pt idx="327">
                  <c:v>2.4736703034582623</c:v>
                </c:pt>
                <c:pt idx="328">
                  <c:v>2.4732318893130385</c:v>
                </c:pt>
                <c:pt idx="329">
                  <c:v>2.4787617587599735</c:v>
                </c:pt>
                <c:pt idx="330">
                  <c:v>2.478737652535199</c:v>
                </c:pt>
                <c:pt idx="331">
                  <c:v>2.483976584197261</c:v>
                </c:pt>
                <c:pt idx="332">
                  <c:v>2.4844245277117989</c:v>
                </c:pt>
                <c:pt idx="333">
                  <c:v>2.4893832119388439</c:v>
                </c:pt>
                <c:pt idx="334">
                  <c:v>2.490375808805299</c:v>
                </c:pt>
                <c:pt idx="335">
                  <c:v>2.4934827536269659</c:v>
                </c:pt>
                <c:pt idx="336">
                  <c:v>2.4966982490607976</c:v>
                </c:pt>
                <c:pt idx="337">
                  <c:v>2.500041289185154</c:v>
                </c:pt>
                <c:pt idx="338">
                  <c:v>2.5035342240836806</c:v>
                </c:pt>
                <c:pt idx="339">
                  <c:v>2.507203622112534</c:v>
                </c:pt>
                <c:pt idx="340">
                  <c:v>2.5110814005445024</c:v>
                </c:pt>
                <c:pt idx="341">
                  <c:v>2.5151142987723003</c:v>
                </c:pt>
                <c:pt idx="342">
                  <c:v>2.5190955803140382</c:v>
                </c:pt>
                <c:pt idx="343">
                  <c:v>2.5230191704028124</c:v>
                </c:pt>
                <c:pt idx="344">
                  <c:v>2.5268893644964812</c:v>
                </c:pt>
                <c:pt idx="345">
                  <c:v>2.5307102458644297</c:v>
                </c:pt>
                <c:pt idx="346">
                  <c:v>2.5344857060454609</c:v>
                </c:pt>
                <c:pt idx="347">
                  <c:v>2.5382194635279101</c:v>
                </c:pt>
                <c:pt idx="348">
                  <c:v>2.5419150809578794</c:v>
                </c:pt>
                <c:pt idx="349">
                  <c:v>2.545575980947572</c:v>
                </c:pt>
                <c:pt idx="350">
                  <c:v>2.5492054607456036</c:v>
                </c:pt>
                <c:pt idx="351">
                  <c:v>2.5528067058455481</c:v>
                </c:pt>
                <c:pt idx="352">
                  <c:v>2.5563828027204476</c:v>
                </c:pt>
                <c:pt idx="353">
                  <c:v>2.5599367507417581</c:v>
                </c:pt>
                <c:pt idx="354">
                  <c:v>2.563471473432648</c:v>
                </c:pt>
                <c:pt idx="355">
                  <c:v>2.5669898291467126</c:v>
                </c:pt>
                <c:pt idx="356">
                  <c:v>2.5704946212355155</c:v>
                </c:pt>
                <c:pt idx="357">
                  <c:v>2.573988607815699</c:v>
                </c:pt>
                <c:pt idx="358">
                  <c:v>2.5774745111990298</c:v>
                </c:pt>
                <c:pt idx="359">
                  <c:v>2.5809550270641184</c:v>
                </c:pt>
                <c:pt idx="360">
                  <c:v>2.5844328334282824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3.1415926535897722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2.5844328334282824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0.55715982016150656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2.1279561469564032</c:v>
                </c:pt>
                <c:pt idx="1">
                  <c:v>-1.0136365066333899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5"/>
          <c:tx>
            <c:v>second_phase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L_Section_Capacity!$BC$2:$BC$182</c:f>
              <c:numCache>
                <c:formatCode>General</c:formatCode>
                <c:ptCount val="181"/>
                <c:pt idx="0">
                  <c:v>-3.6987524737512998</c:v>
                </c:pt>
                <c:pt idx="1">
                  <c:v>-3.6952746673871606</c:v>
                </c:pt>
                <c:pt idx="2">
                  <c:v>-3.6917941515223851</c:v>
                </c:pt>
                <c:pt idx="3">
                  <c:v>-3.6883082481384788</c:v>
                </c:pt>
                <c:pt idx="4">
                  <c:v>-3.6848142615588197</c:v>
                </c:pt>
                <c:pt idx="5">
                  <c:v>-3.6813094694699147</c:v>
                </c:pt>
                <c:pt idx="6">
                  <c:v>-3.6777911137557524</c:v>
                </c:pt>
                <c:pt idx="7">
                  <c:v>-3.6742563910647346</c:v>
                </c:pt>
                <c:pt idx="8">
                  <c:v>-3.6707024430441622</c:v>
                </c:pt>
                <c:pt idx="9">
                  <c:v>-3.6671263461687933</c:v>
                </c:pt>
                <c:pt idx="10">
                  <c:v>-3.663525101066456</c:v>
                </c:pt>
                <c:pt idx="11">
                  <c:v>-3.6598956212712568</c:v>
                </c:pt>
                <c:pt idx="12">
                  <c:v>-3.6562347212833153</c:v>
                </c:pt>
                <c:pt idx="13">
                  <c:v>-3.6525391038533228</c:v>
                </c:pt>
                <c:pt idx="14">
                  <c:v>-3.6488053463677046</c:v>
                </c:pt>
                <c:pt idx="15">
                  <c:v>-3.6450298861877335</c:v>
                </c:pt>
                <c:pt idx="16">
                  <c:v>-3.6412090048188759</c:v>
                </c:pt>
                <c:pt idx="17">
                  <c:v>-3.637338810724458</c:v>
                </c:pt>
                <c:pt idx="18">
                  <c:v>-3.6334152206381223</c:v>
                </c:pt>
                <c:pt idx="19">
                  <c:v>-3.6294339390944921</c:v>
                </c:pt>
                <c:pt idx="20">
                  <c:v>-3.6254010408649049</c:v>
                </c:pt>
                <c:pt idx="21">
                  <c:v>-3.6215232624352414</c:v>
                </c:pt>
                <c:pt idx="22">
                  <c:v>-3.6178538644080582</c:v>
                </c:pt>
                <c:pt idx="23">
                  <c:v>-3.6143609295090715</c:v>
                </c:pt>
                <c:pt idx="24">
                  <c:v>-3.611017889386249</c:v>
                </c:pt>
                <c:pt idx="25">
                  <c:v>-3.6078023939504327</c:v>
                </c:pt>
                <c:pt idx="26">
                  <c:v>-3.6046954491288057</c:v>
                </c:pt>
                <c:pt idx="27">
                  <c:v>-3.6016807513500328</c:v>
                </c:pt>
                <c:pt idx="28">
                  <c:v>-3.6009706903551049</c:v>
                </c:pt>
                <c:pt idx="29">
                  <c:v>-3.5958733276608714</c:v>
                </c:pt>
                <c:pt idx="30">
                  <c:v>-3.5930572928585245</c:v>
                </c:pt>
                <c:pt idx="31">
                  <c:v>-3.5930813990831885</c:v>
                </c:pt>
                <c:pt idx="32">
                  <c:v>-3.5875515296370963</c:v>
                </c:pt>
                <c:pt idx="33">
                  <c:v>-3.5848449601041885</c:v>
                </c:pt>
                <c:pt idx="34">
                  <c:v>-3.5854723716022869</c:v>
                </c:pt>
                <c:pt idx="35">
                  <c:v>-3.5829649692404084</c:v>
                </c:pt>
                <c:pt idx="36">
                  <c:v>-3.5804617613980798</c:v>
                </c:pt>
                <c:pt idx="37">
                  <c:v>-3.577957048869048</c:v>
                </c:pt>
                <c:pt idx="38">
                  <c:v>-3.575445334083216</c:v>
                </c:pt>
                <c:pt idx="39">
                  <c:v>-3.5716523393689741</c:v>
                </c:pt>
                <c:pt idx="40">
                  <c:v>-3.5615716511833231</c:v>
                </c:pt>
                <c:pt idx="41">
                  <c:v>-3.5453905997538833</c:v>
                </c:pt>
                <c:pt idx="42">
                  <c:v>-3.5236030006272796</c:v>
                </c:pt>
                <c:pt idx="43">
                  <c:v>-3.4964360742660361</c:v>
                </c:pt>
                <c:pt idx="44">
                  <c:v>-3.463907964408282</c:v>
                </c:pt>
                <c:pt idx="45">
                  <c:v>-3.4258646634762866</c:v>
                </c:pt>
                <c:pt idx="46">
                  <c:v>-3.3820056632818813</c:v>
                </c:pt>
                <c:pt idx="47">
                  <c:v>-3.3319057893330521</c:v>
                </c:pt>
                <c:pt idx="48">
                  <c:v>-3.2750405249848553</c:v>
                </c:pt>
                <c:pt idx="49">
                  <c:v>-3.2108231643494705</c:v>
                </c:pt>
                <c:pt idx="50">
                  <c:v>-3.1386636650074857</c:v>
                </c:pt>
                <c:pt idx="51">
                  <c:v>-3.0580597024063927</c:v>
                </c:pt>
                <c:pt idx="52">
                  <c:v>-2.9687274457643329</c:v>
                </c:pt>
                <c:pt idx="53">
                  <c:v>-2.870768907751573</c:v>
                </c:pt>
                <c:pt idx="54">
                  <c:v>-2.7814827752446427</c:v>
                </c:pt>
                <c:pt idx="55">
                  <c:v>-2.6923497102316403</c:v>
                </c:pt>
                <c:pt idx="56">
                  <c:v>-2.6073489556897171</c:v>
                </c:pt>
                <c:pt idx="57">
                  <c:v>-2.5277553711187344</c:v>
                </c:pt>
                <c:pt idx="58">
                  <c:v>-2.4536766209478373</c:v>
                </c:pt>
                <c:pt idx="59">
                  <c:v>-2.385020455981016</c:v>
                </c:pt>
                <c:pt idx="60">
                  <c:v>-2.3215553043281272</c:v>
                </c:pt>
                <c:pt idx="61">
                  <c:v>-2.2629635161340005</c:v>
                </c:pt>
                <c:pt idx="62">
                  <c:v>-2.2088834855997841</c:v>
                </c:pt>
                <c:pt idx="63">
                  <c:v>-2.1589403807390952</c:v>
                </c:pt>
                <c:pt idx="64">
                  <c:v>-2.1127670491384229</c:v>
                </c:pt>
                <c:pt idx="65">
                  <c:v>-2.070017312235358</c:v>
                </c:pt>
                <c:pt idx="66">
                  <c:v>-2.030373836664888</c:v>
                </c:pt>
                <c:pt idx="67">
                  <c:v>-1.9935524641356812</c:v>
                </c:pt>
                <c:pt idx="68">
                  <c:v>-1.9593045235867184</c:v>
                </c:pt>
                <c:pt idx="69">
                  <c:v>-1.927418365601596</c:v>
                </c:pt>
                <c:pt idx="70">
                  <c:v>-1.8977212182266845</c:v>
                </c:pt>
                <c:pt idx="71">
                  <c:v>-1.8700825261479266</c:v>
                </c:pt>
                <c:pt idx="72">
                  <c:v>-1.8444203081504607</c:v>
                </c:pt>
                <c:pt idx="73">
                  <c:v>-1.8207129857388584</c:v>
                </c:pt>
                <c:pt idx="74">
                  <c:v>-1.7990211531093858</c:v>
                </c:pt>
                <c:pt idx="75">
                  <c:v>-1.7795282294875006</c:v>
                </c:pt>
                <c:pt idx="76">
                  <c:v>-1.7626194831685376</c:v>
                </c:pt>
                <c:pt idx="77">
                  <c:v>-1.7483667178738087</c:v>
                </c:pt>
                <c:pt idx="78">
                  <c:v>-1.7349119410500813</c:v>
                </c:pt>
                <c:pt idx="79">
                  <c:v>-1.7220139105624068</c:v>
                </c:pt>
                <c:pt idx="80">
                  <c:v>-1.7096280411083087</c:v>
                </c:pt>
                <c:pt idx="81">
                  <c:v>-1.6977140079498572</c:v>
                </c:pt>
                <c:pt idx="82">
                  <c:v>-1.6862352500626701</c:v>
                </c:pt>
                <c:pt idx="83">
                  <c:v>-1.6751585382391387</c:v>
                </c:pt>
                <c:pt idx="84">
                  <c:v>-1.6644535986480542</c:v>
                </c:pt>
                <c:pt idx="85">
                  <c:v>-1.6540927839457065</c:v>
                </c:pt>
                <c:pt idx="86">
                  <c:v>-1.6440507856015167</c:v>
                </c:pt>
                <c:pt idx="87">
                  <c:v>-1.6343043812442195</c:v>
                </c:pt>
                <c:pt idx="88">
                  <c:v>-1.6248322126376564</c:v>
                </c:pt>
                <c:pt idx="89">
                  <c:v>-1.6147224173319081</c:v>
                </c:pt>
                <c:pt idx="90">
                  <c:v>-1.5996920339721936</c:v>
                </c:pt>
                <c:pt idx="91">
                  <c:v>-1.5897582345871735</c:v>
                </c:pt>
                <c:pt idx="92">
                  <c:v>-1.5877729525123052</c:v>
                </c:pt>
                <c:pt idx="93">
                  <c:v>-1.5857772204470506</c:v>
                </c:pt>
                <c:pt idx="94">
                  <c:v>-1.5837697408726901</c:v>
                </c:pt>
                <c:pt idx="95">
                  <c:v>-1.5817491864827891</c:v>
                </c:pt>
                <c:pt idx="96">
                  <c:v>-1.5797141967409698</c:v>
                </c:pt>
                <c:pt idx="97">
                  <c:v>-1.5776633739166135</c:v>
                </c:pt>
                <c:pt idx="98">
                  <c:v>-1.5755952791467354</c:v>
                </c:pt>
                <c:pt idx="99">
                  <c:v>-1.5735084280798448</c:v>
                </c:pt>
                <c:pt idx="100">
                  <c:v>-1.5714012865413984</c:v>
                </c:pt>
                <c:pt idx="101">
                  <c:v>-1.5692722654971303</c:v>
                </c:pt>
                <c:pt idx="102">
                  <c:v>-1.56711971610873</c:v>
                </c:pt>
                <c:pt idx="103">
                  <c:v>-1.5649419240915075</c:v>
                </c:pt>
                <c:pt idx="104">
                  <c:v>-1.5627371039246309</c:v>
                </c:pt>
                <c:pt idx="105">
                  <c:v>-1.5605033925025253</c:v>
                </c:pt>
                <c:pt idx="106">
                  <c:v>-1.5582388421786075</c:v>
                </c:pt>
                <c:pt idx="107">
                  <c:v>-1.555941413518112</c:v>
                </c:pt>
                <c:pt idx="108">
                  <c:v>-1.5536089672547018</c:v>
                </c:pt>
                <c:pt idx="109">
                  <c:v>-1.551239255467828</c:v>
                </c:pt>
                <c:pt idx="110">
                  <c:v>-1.5488299123120415</c:v>
                </c:pt>
                <c:pt idx="111">
                  <c:v>-1.5463784436031429</c:v>
                </c:pt>
                <c:pt idx="112">
                  <c:v>-1.5438822155444991</c:v>
                </c:pt>
                <c:pt idx="113">
                  <c:v>-1.5413384424977621</c:v>
                </c:pt>
                <c:pt idx="114">
                  <c:v>-1.5387441733871623</c:v>
                </c:pt>
                <c:pt idx="115">
                  <c:v>-1.5360962768642041</c:v>
                </c:pt>
                <c:pt idx="116">
                  <c:v>-1.5333914250876106</c:v>
                </c:pt>
                <c:pt idx="117">
                  <c:v>-1.5306260755171528</c:v>
                </c:pt>
                <c:pt idx="118">
                  <c:v>-1.5277964511469677</c:v>
                </c:pt>
                <c:pt idx="119">
                  <c:v>-1.5248985184733725</c:v>
                </c:pt>
                <c:pt idx="120">
                  <c:v>-1.5219279629080855</c:v>
                </c:pt>
                <c:pt idx="121">
                  <c:v>-1.5188801617253751</c:v>
                </c:pt>
                <c:pt idx="122">
                  <c:v>-1.5157501536517963</c:v>
                </c:pt>
                <c:pt idx="123">
                  <c:v>-1.5125326051913435</c:v>
                </c:pt>
                <c:pt idx="124">
                  <c:v>-1.5092217726545059</c:v>
                </c:pt>
                <c:pt idx="125">
                  <c:v>-1.5058114597529673</c:v>
                </c:pt>
                <c:pt idx="126">
                  <c:v>-1.5022949698978474</c:v>
                </c:pt>
                <c:pt idx="127">
                  <c:v>-1.4986650524671483</c:v>
                </c:pt>
                <c:pt idx="128">
                  <c:v>-1.4949138420398391</c:v>
                </c:pt>
                <c:pt idx="129">
                  <c:v>-1.4910327896722753</c:v>
                </c:pt>
                <c:pt idx="130">
                  <c:v>-1.487012584748568</c:v>
                </c:pt>
                <c:pt idx="131">
                  <c:v>-1.4828430660807181</c:v>
                </c:pt>
                <c:pt idx="132">
                  <c:v>-1.4785131204073276</c:v>
                </c:pt>
                <c:pt idx="133">
                  <c:v>-1.4740105659918457</c:v>
                </c:pt>
                <c:pt idx="134">
                  <c:v>-1.4693220190754992</c:v>
                </c:pt>
                <c:pt idx="135">
                  <c:v>-1.4644327397699715</c:v>
                </c:pt>
                <c:pt idx="136">
                  <c:v>-1.4593264539636723</c:v>
                </c:pt>
                <c:pt idx="137">
                  <c:v>-1.453985146448431</c:v>
                </c:pt>
                <c:pt idx="138">
                  <c:v>-1.4483888200662793</c:v>
                </c:pt>
                <c:pt idx="139">
                  <c:v>-1.4425152139280901</c:v>
                </c:pt>
                <c:pt idx="140">
                  <c:v>-1.4363394725179708</c:v>
                </c:pt>
                <c:pt idx="141">
                  <c:v>-1.4298337554892733</c:v>
                </c:pt>
                <c:pt idx="142">
                  <c:v>-1.4229667755276889</c:v>
                </c:pt>
                <c:pt idx="143">
                  <c:v>-1.4157032481378544</c:v>
                </c:pt>
                <c:pt idx="144">
                  <c:v>-1.4080032337648363</c:v>
                </c:pt>
                <c:pt idx="145">
                  <c:v>-1.3998213468342535</c:v>
                </c:pt>
                <c:pt idx="146">
                  <c:v>-1.3911057995970926</c:v>
                </c:pt>
                <c:pt idx="147">
                  <c:v>-1.381797239826744</c:v>
                </c:pt>
                <c:pt idx="148">
                  <c:v>-1.3718273292750465</c:v>
                </c:pt>
                <c:pt idx="149">
                  <c:v>-1.3614561058383006</c:v>
                </c:pt>
                <c:pt idx="150">
                  <c:v>-1.351045735593071</c:v>
                </c:pt>
                <c:pt idx="151">
                  <c:v>-1.3405822948545649</c:v>
                </c:pt>
                <c:pt idx="152">
                  <c:v>-1.3300504772595794</c:v>
                </c:pt>
                <c:pt idx="153">
                  <c:v>-1.3194341170963257</c:v>
                </c:pt>
                <c:pt idx="154">
                  <c:v>-1.3087159919178712</c:v>
                </c:pt>
                <c:pt idx="155">
                  <c:v>-1.2978775871346429</c:v>
                </c:pt>
                <c:pt idx="156">
                  <c:v>-1.2868988112265731</c:v>
                </c:pt>
                <c:pt idx="157">
                  <c:v>-1.275757645944172</c:v>
                </c:pt>
                <c:pt idx="158">
                  <c:v>-1.2644297103471409</c:v>
                </c:pt>
                <c:pt idx="159">
                  <c:v>-1.2528877092412407</c:v>
                </c:pt>
                <c:pt idx="160">
                  <c:v>-1.2411007243065884</c:v>
                </c:pt>
                <c:pt idx="161">
                  <c:v>-1.2290332880577646</c:v>
                </c:pt>
                <c:pt idx="162">
                  <c:v>-1.2166441528709171</c:v>
                </c:pt>
                <c:pt idx="163">
                  <c:v>-1.2038846239181984</c:v>
                </c:pt>
                <c:pt idx="164">
                  <c:v>-1.1906962553348719</c:v>
                </c:pt>
                <c:pt idx="165">
                  <c:v>-1.1770075955000139</c:v>
                </c:pt>
                <c:pt idx="166">
                  <c:v>-1.1627294753598785</c:v>
                </c:pt>
                <c:pt idx="167">
                  <c:v>-1.1477480004540426</c:v>
                </c:pt>
                <c:pt idx="168">
                  <c:v>-1.1319138054056621</c:v>
                </c:pt>
                <c:pt idx="169">
                  <c:v>-1.1150249985649094</c:v>
                </c:pt>
                <c:pt idx="170">
                  <c:v>-1.0967989969103376</c:v>
                </c:pt>
                <c:pt idx="171">
                  <c:v>-1.076823816232624</c:v>
                </c:pt>
                <c:pt idx="172">
                  <c:v>-1.0544690994046519</c:v>
                </c:pt>
                <c:pt idx="173">
                  <c:v>-1.028712520055223</c:v>
                </c:pt>
                <c:pt idx="174">
                  <c:v>-0.99777226939609576</c:v>
                </c:pt>
                <c:pt idx="175">
                  <c:v>-0.95824368296367823</c:v>
                </c:pt>
                <c:pt idx="176">
                  <c:v>-0.90277129919233268</c:v>
                </c:pt>
                <c:pt idx="177">
                  <c:v>-0.82162660722401393</c:v>
                </c:pt>
                <c:pt idx="178">
                  <c:v>-0.73470808390356357</c:v>
                </c:pt>
                <c:pt idx="179">
                  <c:v>-0.64623984442244908</c:v>
                </c:pt>
                <c:pt idx="180">
                  <c:v>-0.5571598201615594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1-40B2-91DC-FB8FE007ECD6}"/>
            </c:ext>
          </c:extLst>
        </c:ser>
        <c:ser>
          <c:idx val="6"/>
          <c:order val="6"/>
          <c:tx>
            <c:v>second_phase_absolute</c:v>
          </c:tx>
          <c:spPr>
            <a:ln w="1270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General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L_Section_Capacity!$BD$2:$BD$182</c:f>
              <c:numCache>
                <c:formatCode>General</c:formatCode>
                <c:ptCount val="181"/>
                <c:pt idx="0">
                  <c:v>3.6987524737512998</c:v>
                </c:pt>
                <c:pt idx="1">
                  <c:v>3.6952746673871606</c:v>
                </c:pt>
                <c:pt idx="2">
                  <c:v>3.6917941515223851</c:v>
                </c:pt>
                <c:pt idx="3">
                  <c:v>3.6883082481384788</c:v>
                </c:pt>
                <c:pt idx="4">
                  <c:v>3.6848142615588197</c:v>
                </c:pt>
                <c:pt idx="5">
                  <c:v>3.6813094694699147</c:v>
                </c:pt>
                <c:pt idx="6">
                  <c:v>3.6777911137557524</c:v>
                </c:pt>
                <c:pt idx="7">
                  <c:v>3.6742563910647346</c:v>
                </c:pt>
                <c:pt idx="8">
                  <c:v>3.6707024430441622</c:v>
                </c:pt>
                <c:pt idx="9">
                  <c:v>3.6671263461687933</c:v>
                </c:pt>
                <c:pt idx="10">
                  <c:v>3.663525101066456</c:v>
                </c:pt>
                <c:pt idx="11">
                  <c:v>3.6598956212712568</c:v>
                </c:pt>
                <c:pt idx="12">
                  <c:v>3.6562347212833153</c:v>
                </c:pt>
                <c:pt idx="13">
                  <c:v>3.6525391038533228</c:v>
                </c:pt>
                <c:pt idx="14">
                  <c:v>3.6488053463677046</c:v>
                </c:pt>
                <c:pt idx="15">
                  <c:v>3.6450298861877335</c:v>
                </c:pt>
                <c:pt idx="16">
                  <c:v>3.6412090048188759</c:v>
                </c:pt>
                <c:pt idx="17">
                  <c:v>3.637338810724458</c:v>
                </c:pt>
                <c:pt idx="18">
                  <c:v>3.6334152206381223</c:v>
                </c:pt>
                <c:pt idx="19">
                  <c:v>3.6294339390944921</c:v>
                </c:pt>
                <c:pt idx="20">
                  <c:v>3.6254010408649049</c:v>
                </c:pt>
                <c:pt idx="21">
                  <c:v>3.6215232624352414</c:v>
                </c:pt>
                <c:pt idx="22">
                  <c:v>3.6178538644080582</c:v>
                </c:pt>
                <c:pt idx="23">
                  <c:v>3.6143609295090715</c:v>
                </c:pt>
                <c:pt idx="24">
                  <c:v>3.611017889386249</c:v>
                </c:pt>
                <c:pt idx="25">
                  <c:v>3.6078023939504327</c:v>
                </c:pt>
                <c:pt idx="26">
                  <c:v>3.6046954491288057</c:v>
                </c:pt>
                <c:pt idx="27">
                  <c:v>3.6016807513500328</c:v>
                </c:pt>
                <c:pt idx="28">
                  <c:v>3.6009706903551049</c:v>
                </c:pt>
                <c:pt idx="29">
                  <c:v>3.5958733276608714</c:v>
                </c:pt>
                <c:pt idx="30">
                  <c:v>3.5930572928585245</c:v>
                </c:pt>
                <c:pt idx="31">
                  <c:v>3.5930813990831885</c:v>
                </c:pt>
                <c:pt idx="32">
                  <c:v>3.5875515296370963</c:v>
                </c:pt>
                <c:pt idx="33">
                  <c:v>3.5848449601041885</c:v>
                </c:pt>
                <c:pt idx="34">
                  <c:v>3.5854723716022869</c:v>
                </c:pt>
                <c:pt idx="35">
                  <c:v>3.5829649692404084</c:v>
                </c:pt>
                <c:pt idx="36">
                  <c:v>3.5804617613980798</c:v>
                </c:pt>
                <c:pt idx="37">
                  <c:v>3.577957048869048</c:v>
                </c:pt>
                <c:pt idx="38">
                  <c:v>3.575445334083216</c:v>
                </c:pt>
                <c:pt idx="39">
                  <c:v>3.5716523393689741</c:v>
                </c:pt>
                <c:pt idx="40">
                  <c:v>3.5615716511833231</c:v>
                </c:pt>
                <c:pt idx="41">
                  <c:v>3.5453905997538833</c:v>
                </c:pt>
                <c:pt idx="42">
                  <c:v>3.5236030006272796</c:v>
                </c:pt>
                <c:pt idx="43">
                  <c:v>3.4964360742660361</c:v>
                </c:pt>
                <c:pt idx="44">
                  <c:v>3.463907964408282</c:v>
                </c:pt>
                <c:pt idx="45">
                  <c:v>3.4258646634762866</c:v>
                </c:pt>
                <c:pt idx="46">
                  <c:v>3.3820056632818813</c:v>
                </c:pt>
                <c:pt idx="47">
                  <c:v>3.3319057893330521</c:v>
                </c:pt>
                <c:pt idx="48">
                  <c:v>3.2750405249848553</c:v>
                </c:pt>
                <c:pt idx="49">
                  <c:v>3.2108231643494705</c:v>
                </c:pt>
                <c:pt idx="50">
                  <c:v>3.1386636650074857</c:v>
                </c:pt>
                <c:pt idx="51">
                  <c:v>3.0580597024063927</c:v>
                </c:pt>
                <c:pt idx="52">
                  <c:v>2.9687274457643329</c:v>
                </c:pt>
                <c:pt idx="53">
                  <c:v>2.870768907751573</c:v>
                </c:pt>
                <c:pt idx="54">
                  <c:v>2.7814827752446427</c:v>
                </c:pt>
                <c:pt idx="55">
                  <c:v>2.6923497102316403</c:v>
                </c:pt>
                <c:pt idx="56">
                  <c:v>2.6073489556897171</c:v>
                </c:pt>
                <c:pt idx="57">
                  <c:v>2.5277553711187344</c:v>
                </c:pt>
                <c:pt idx="58">
                  <c:v>2.4536766209478373</c:v>
                </c:pt>
                <c:pt idx="59">
                  <c:v>2.385020455981016</c:v>
                </c:pt>
                <c:pt idx="60">
                  <c:v>2.3215553043281272</c:v>
                </c:pt>
                <c:pt idx="61">
                  <c:v>2.2629635161340005</c:v>
                </c:pt>
                <c:pt idx="62">
                  <c:v>2.2088834855997841</c:v>
                </c:pt>
                <c:pt idx="63">
                  <c:v>2.1589403807390952</c:v>
                </c:pt>
                <c:pt idx="64">
                  <c:v>2.1127670491384229</c:v>
                </c:pt>
                <c:pt idx="65">
                  <c:v>2.070017312235358</c:v>
                </c:pt>
                <c:pt idx="66">
                  <c:v>2.030373836664888</c:v>
                </c:pt>
                <c:pt idx="67">
                  <c:v>1.9935524641356812</c:v>
                </c:pt>
                <c:pt idx="68">
                  <c:v>1.9593045235867184</c:v>
                </c:pt>
                <c:pt idx="69">
                  <c:v>1.927418365601596</c:v>
                </c:pt>
                <c:pt idx="70">
                  <c:v>1.8977212182266845</c:v>
                </c:pt>
                <c:pt idx="71">
                  <c:v>1.8700825261479266</c:v>
                </c:pt>
                <c:pt idx="72">
                  <c:v>1.8444203081504607</c:v>
                </c:pt>
                <c:pt idx="73">
                  <c:v>1.8207129857388584</c:v>
                </c:pt>
                <c:pt idx="74">
                  <c:v>1.7990211531093858</c:v>
                </c:pt>
                <c:pt idx="75">
                  <c:v>1.7795282294875006</c:v>
                </c:pt>
                <c:pt idx="76">
                  <c:v>1.7626194831685376</c:v>
                </c:pt>
                <c:pt idx="77">
                  <c:v>1.7483667178738087</c:v>
                </c:pt>
                <c:pt idx="78">
                  <c:v>1.7349119410500813</c:v>
                </c:pt>
                <c:pt idx="79">
                  <c:v>1.7220139105624068</c:v>
                </c:pt>
                <c:pt idx="80">
                  <c:v>1.7096280411083087</c:v>
                </c:pt>
                <c:pt idx="81">
                  <c:v>1.6977140079498572</c:v>
                </c:pt>
                <c:pt idx="82">
                  <c:v>1.6862352500626701</c:v>
                </c:pt>
                <c:pt idx="83">
                  <c:v>1.6751585382391387</c:v>
                </c:pt>
                <c:pt idx="84">
                  <c:v>1.6644535986480542</c:v>
                </c:pt>
                <c:pt idx="85">
                  <c:v>1.6540927839457065</c:v>
                </c:pt>
                <c:pt idx="86">
                  <c:v>1.6440507856015167</c:v>
                </c:pt>
                <c:pt idx="87">
                  <c:v>1.6343043812442195</c:v>
                </c:pt>
                <c:pt idx="88">
                  <c:v>1.6248322126376564</c:v>
                </c:pt>
                <c:pt idx="89">
                  <c:v>1.6147224173319081</c:v>
                </c:pt>
                <c:pt idx="90">
                  <c:v>1.5996920339721936</c:v>
                </c:pt>
                <c:pt idx="91">
                  <c:v>1.5897582345871735</c:v>
                </c:pt>
                <c:pt idx="92">
                  <c:v>1.5877729525123052</c:v>
                </c:pt>
                <c:pt idx="93">
                  <c:v>1.5857772204470506</c:v>
                </c:pt>
                <c:pt idx="94">
                  <c:v>1.5837697408726901</c:v>
                </c:pt>
                <c:pt idx="95">
                  <c:v>1.5817491864827891</c:v>
                </c:pt>
                <c:pt idx="96">
                  <c:v>1.5797141967409698</c:v>
                </c:pt>
                <c:pt idx="97">
                  <c:v>1.5776633739166135</c:v>
                </c:pt>
                <c:pt idx="98">
                  <c:v>1.5755952791467354</c:v>
                </c:pt>
                <c:pt idx="99">
                  <c:v>1.5735084280798448</c:v>
                </c:pt>
                <c:pt idx="100">
                  <c:v>1.5714012865413984</c:v>
                </c:pt>
                <c:pt idx="101">
                  <c:v>1.5692722654971303</c:v>
                </c:pt>
                <c:pt idx="102">
                  <c:v>1.56711971610873</c:v>
                </c:pt>
                <c:pt idx="103">
                  <c:v>1.5649419240915075</c:v>
                </c:pt>
                <c:pt idx="104">
                  <c:v>1.5627371039246309</c:v>
                </c:pt>
                <c:pt idx="105">
                  <c:v>1.5605033925025253</c:v>
                </c:pt>
                <c:pt idx="106">
                  <c:v>1.5582388421786075</c:v>
                </c:pt>
                <c:pt idx="107">
                  <c:v>1.555941413518112</c:v>
                </c:pt>
                <c:pt idx="108">
                  <c:v>1.5536089672547018</c:v>
                </c:pt>
                <c:pt idx="109">
                  <c:v>1.551239255467828</c:v>
                </c:pt>
                <c:pt idx="110">
                  <c:v>1.5488299123120415</c:v>
                </c:pt>
                <c:pt idx="111">
                  <c:v>1.5463784436031429</c:v>
                </c:pt>
                <c:pt idx="112">
                  <c:v>1.5438822155444991</c:v>
                </c:pt>
                <c:pt idx="113">
                  <c:v>1.5413384424977621</c:v>
                </c:pt>
                <c:pt idx="114">
                  <c:v>1.5387441733871623</c:v>
                </c:pt>
                <c:pt idx="115">
                  <c:v>1.5360962768642041</c:v>
                </c:pt>
                <c:pt idx="116">
                  <c:v>1.5333914250876106</c:v>
                </c:pt>
                <c:pt idx="117">
                  <c:v>1.5306260755171528</c:v>
                </c:pt>
                <c:pt idx="118">
                  <c:v>1.5277964511469677</c:v>
                </c:pt>
                <c:pt idx="119">
                  <c:v>1.5248985184733725</c:v>
                </c:pt>
                <c:pt idx="120">
                  <c:v>1.5219279629080855</c:v>
                </c:pt>
                <c:pt idx="121">
                  <c:v>1.5188801617253751</c:v>
                </c:pt>
                <c:pt idx="122">
                  <c:v>1.5157501536517963</c:v>
                </c:pt>
                <c:pt idx="123">
                  <c:v>1.5125326051913435</c:v>
                </c:pt>
                <c:pt idx="124">
                  <c:v>1.5092217726545059</c:v>
                </c:pt>
                <c:pt idx="125">
                  <c:v>1.5058114597529673</c:v>
                </c:pt>
                <c:pt idx="126">
                  <c:v>1.5022949698978474</c:v>
                </c:pt>
                <c:pt idx="127">
                  <c:v>1.4986650524671483</c:v>
                </c:pt>
                <c:pt idx="128">
                  <c:v>1.4949138420398391</c:v>
                </c:pt>
                <c:pt idx="129">
                  <c:v>1.4910327896722753</c:v>
                </c:pt>
                <c:pt idx="130">
                  <c:v>1.487012584748568</c:v>
                </c:pt>
                <c:pt idx="131">
                  <c:v>1.4828430660807181</c:v>
                </c:pt>
                <c:pt idx="132">
                  <c:v>1.4785131204073276</c:v>
                </c:pt>
                <c:pt idx="133">
                  <c:v>1.4740105659918457</c:v>
                </c:pt>
                <c:pt idx="134">
                  <c:v>1.4693220190754992</c:v>
                </c:pt>
                <c:pt idx="135">
                  <c:v>1.4644327397699715</c:v>
                </c:pt>
                <c:pt idx="136">
                  <c:v>1.4593264539636723</c:v>
                </c:pt>
                <c:pt idx="137">
                  <c:v>1.453985146448431</c:v>
                </c:pt>
                <c:pt idx="138">
                  <c:v>1.4483888200662793</c:v>
                </c:pt>
                <c:pt idx="139">
                  <c:v>1.4425152139280901</c:v>
                </c:pt>
                <c:pt idx="140">
                  <c:v>1.4363394725179708</c:v>
                </c:pt>
                <c:pt idx="141">
                  <c:v>1.4298337554892733</c:v>
                </c:pt>
                <c:pt idx="142">
                  <c:v>1.4229667755276889</c:v>
                </c:pt>
                <c:pt idx="143">
                  <c:v>1.4157032481378544</c:v>
                </c:pt>
                <c:pt idx="144">
                  <c:v>1.4080032337648363</c:v>
                </c:pt>
                <c:pt idx="145">
                  <c:v>1.3998213468342535</c:v>
                </c:pt>
                <c:pt idx="146">
                  <c:v>1.3911057995970926</c:v>
                </c:pt>
                <c:pt idx="147">
                  <c:v>1.381797239826744</c:v>
                </c:pt>
                <c:pt idx="148">
                  <c:v>1.3718273292750465</c:v>
                </c:pt>
                <c:pt idx="149">
                  <c:v>1.3614561058383006</c:v>
                </c:pt>
                <c:pt idx="150">
                  <c:v>1.351045735593071</c:v>
                </c:pt>
                <c:pt idx="151">
                  <c:v>1.3405822948545649</c:v>
                </c:pt>
                <c:pt idx="152">
                  <c:v>1.3300504772595794</c:v>
                </c:pt>
                <c:pt idx="153">
                  <c:v>1.3194341170963257</c:v>
                </c:pt>
                <c:pt idx="154">
                  <c:v>1.3087159919178712</c:v>
                </c:pt>
                <c:pt idx="155">
                  <c:v>1.2978775871346429</c:v>
                </c:pt>
                <c:pt idx="156">
                  <c:v>1.2868988112265731</c:v>
                </c:pt>
                <c:pt idx="157">
                  <c:v>1.275757645944172</c:v>
                </c:pt>
                <c:pt idx="158">
                  <c:v>1.2644297103471409</c:v>
                </c:pt>
                <c:pt idx="159">
                  <c:v>1.2528877092412407</c:v>
                </c:pt>
                <c:pt idx="160">
                  <c:v>1.2411007243065884</c:v>
                </c:pt>
                <c:pt idx="161">
                  <c:v>1.2290332880577646</c:v>
                </c:pt>
                <c:pt idx="162">
                  <c:v>1.2166441528709171</c:v>
                </c:pt>
                <c:pt idx="163">
                  <c:v>1.2038846239181984</c:v>
                </c:pt>
                <c:pt idx="164">
                  <c:v>1.1906962553348719</c:v>
                </c:pt>
                <c:pt idx="165">
                  <c:v>1.1770075955000139</c:v>
                </c:pt>
                <c:pt idx="166">
                  <c:v>1.1627294753598785</c:v>
                </c:pt>
                <c:pt idx="167">
                  <c:v>1.1477480004540426</c:v>
                </c:pt>
                <c:pt idx="168">
                  <c:v>1.1319138054056621</c:v>
                </c:pt>
                <c:pt idx="169">
                  <c:v>1.1150249985649094</c:v>
                </c:pt>
                <c:pt idx="170">
                  <c:v>1.0967989969103376</c:v>
                </c:pt>
                <c:pt idx="171">
                  <c:v>1.076823816232624</c:v>
                </c:pt>
                <c:pt idx="172">
                  <c:v>1.0544690994046519</c:v>
                </c:pt>
                <c:pt idx="173">
                  <c:v>1.028712520055223</c:v>
                </c:pt>
                <c:pt idx="174">
                  <c:v>0.99777226939609576</c:v>
                </c:pt>
                <c:pt idx="175">
                  <c:v>0.95824368296367823</c:v>
                </c:pt>
                <c:pt idx="176">
                  <c:v>0.90277129919233268</c:v>
                </c:pt>
                <c:pt idx="177">
                  <c:v>0.82162660722401393</c:v>
                </c:pt>
                <c:pt idx="178">
                  <c:v>0.73470808390356357</c:v>
                </c:pt>
                <c:pt idx="179">
                  <c:v>0.64623984442244908</c:v>
                </c:pt>
                <c:pt idx="180">
                  <c:v>0.5571598201615594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01-40B2-91DC-FB8FE007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88900</xdr:colOff>
      <xdr:row>13</xdr:row>
      <xdr:rowOff>31750</xdr:rowOff>
    </xdr:from>
    <xdr:to>
      <xdr:col>30</xdr:col>
      <xdr:colOff>425450</xdr:colOff>
      <xdr:row>28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BY362"/>
  <sheetViews>
    <sheetView tabSelected="1" topLeftCell="R1" zoomScale="80" zoomScaleNormal="80" workbookViewId="0">
      <selection activeCell="AT26" sqref="AT26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3.28515625" bestFit="1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9.42578125" bestFit="1" customWidth="1"/>
    <col min="30" max="30" width="13.7109375" bestFit="1" customWidth="1"/>
    <col min="50" max="50" width="11" bestFit="1" customWidth="1"/>
    <col min="53" max="53" width="8.85546875" customWidth="1"/>
    <col min="54" max="54" width="11" bestFit="1" customWidth="1"/>
    <col min="57" max="57" width="10.7109375" bestFit="1" customWidth="1"/>
    <col min="58" max="58" width="10.28515625" bestFit="1" customWidth="1"/>
    <col min="70" max="70" width="13.7109375" bestFit="1" customWidth="1"/>
  </cols>
  <sheetData>
    <row r="1" spans="1:77" x14ac:dyDescent="0.25">
      <c r="K1" s="8" t="s">
        <v>71</v>
      </c>
      <c r="L1" s="14">
        <v>1E-8</v>
      </c>
      <c r="P1" s="8" t="s">
        <v>144</v>
      </c>
      <c r="Q1" s="4">
        <v>0.375</v>
      </c>
      <c r="AS1" t="s">
        <v>111</v>
      </c>
      <c r="AT1" s="1" t="s">
        <v>100</v>
      </c>
      <c r="AU1" s="1" t="s">
        <v>101</v>
      </c>
      <c r="AV1" t="s">
        <v>112</v>
      </c>
      <c r="BK1" t="s">
        <v>113</v>
      </c>
      <c r="BS1" t="s">
        <v>136</v>
      </c>
      <c r="BY1" t="s">
        <v>143</v>
      </c>
    </row>
    <row r="2" spans="1:77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200</v>
      </c>
      <c r="M2">
        <v>38</v>
      </c>
      <c r="N2">
        <v>7</v>
      </c>
      <c r="O2">
        <v>1</v>
      </c>
      <c r="AS2">
        <v>-3.1415926535897931</v>
      </c>
      <c r="AT2">
        <v>-230.37889532353691</v>
      </c>
      <c r="AU2">
        <v>-1.0799314831707665E-14</v>
      </c>
      <c r="AV2">
        <f>ATAN2(AT2,AU2)</f>
        <v>-3.1415926535897931</v>
      </c>
      <c r="AW2">
        <f>ABS(AS2-AV2)</f>
        <v>0</v>
      </c>
      <c r="AX2" s="40">
        <f>AV2-$U$13</f>
        <v>-3.6987524737512998</v>
      </c>
      <c r="AY2">
        <f>ABS(AX2)</f>
        <v>3.6987524737512998</v>
      </c>
      <c r="AZ2">
        <f>AS2+(2*PI())</f>
        <v>3.1415926535897931</v>
      </c>
      <c r="BA2">
        <f>AV2</f>
        <v>-3.1415926535897931</v>
      </c>
      <c r="BB2">
        <f t="shared" ref="BB2:BD2" si="0">AW2</f>
        <v>0</v>
      </c>
      <c r="BC2">
        <f t="shared" si="0"/>
        <v>-3.6987524737512998</v>
      </c>
      <c r="BD2">
        <f t="shared" si="0"/>
        <v>3.6987524737512998</v>
      </c>
      <c r="BE2" s="40"/>
      <c r="BF2" s="40"/>
      <c r="BK2" s="1" t="s">
        <v>114</v>
      </c>
      <c r="BL2" s="1" t="s">
        <v>33</v>
      </c>
      <c r="BM2" s="1" t="s">
        <v>115</v>
      </c>
      <c r="BN2" s="1" t="s">
        <v>116</v>
      </c>
      <c r="BO2" s="1" t="s">
        <v>117</v>
      </c>
      <c r="BP2" s="1" t="s">
        <v>118</v>
      </c>
      <c r="BS2" s="1" t="s">
        <v>137</v>
      </c>
      <c r="BT2">
        <v>0.55715982016150656</v>
      </c>
    </row>
    <row r="3" spans="1:77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AS3">
        <v>-3.12413936106985</v>
      </c>
      <c r="AT3">
        <v>-230.37057448233853</v>
      </c>
      <c r="AU3">
        <v>-0.80118748020518549</v>
      </c>
      <c r="AV3">
        <f t="shared" ref="AV3:AV66" si="1">ATAN2(AT3,AU3)</f>
        <v>-3.1381148472256539</v>
      </c>
      <c r="AW3">
        <f t="shared" ref="AW3:AW66" si="2">ABS(AS3-AV3)</f>
        <v>1.3975486155803907E-2</v>
      </c>
      <c r="AX3" s="40">
        <f t="shared" ref="AX3:AX66" si="3">AV3-$U$13</f>
        <v>-3.6952746673871606</v>
      </c>
      <c r="AY3">
        <f t="shared" ref="AY3:AY66" si="4">ABS(AX3)</f>
        <v>3.6952746673871606</v>
      </c>
      <c r="AZ3">
        <f t="shared" ref="AZ3:AZ66" si="5">AS3+(2*PI())</f>
        <v>3.1590459461097362</v>
      </c>
      <c r="BA3">
        <f t="shared" ref="BA3:BA66" si="6">AV3</f>
        <v>-3.1381148472256539</v>
      </c>
      <c r="BB3">
        <f t="shared" ref="BB3:BB66" si="7">AW3</f>
        <v>1.3975486155803907E-2</v>
      </c>
      <c r="BC3">
        <f t="shared" ref="BC3:BC66" si="8">AX3</f>
        <v>-3.6952746673871606</v>
      </c>
      <c r="BD3">
        <f t="shared" ref="BD3:BD66" si="9">AY3</f>
        <v>3.6952746673871606</v>
      </c>
      <c r="BE3" s="40"/>
      <c r="BF3" s="40"/>
    </row>
    <row r="4" spans="1:77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8.6387473174909253E-9</v>
      </c>
      <c r="V4" s="17" t="s">
        <v>68</v>
      </c>
      <c r="W4" s="31">
        <f ca="1">U4-U10</f>
        <v>8.6387473174909253E-9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S4">
        <v>-3.1066860685499069</v>
      </c>
      <c r="AT4">
        <v>-230.34826465052998</v>
      </c>
      <c r="AU4">
        <v>-1.6028633196712054</v>
      </c>
      <c r="AV4">
        <f t="shared" si="1"/>
        <v>-3.1346343313608784</v>
      </c>
      <c r="AW4">
        <f t="shared" si="2"/>
        <v>2.7948262810971514E-2</v>
      </c>
      <c r="AX4" s="40">
        <f t="shared" si="3"/>
        <v>-3.6917941515223851</v>
      </c>
      <c r="AY4">
        <f t="shared" si="4"/>
        <v>3.6917941515223851</v>
      </c>
      <c r="AZ4">
        <f t="shared" si="5"/>
        <v>3.1764992386296793</v>
      </c>
      <c r="BA4">
        <f t="shared" si="6"/>
        <v>-3.1346343313608784</v>
      </c>
      <c r="BB4">
        <f t="shared" si="7"/>
        <v>2.7948262810971514E-2</v>
      </c>
      <c r="BC4">
        <f t="shared" si="8"/>
        <v>-3.6917941515223851</v>
      </c>
      <c r="BD4">
        <f t="shared" si="9"/>
        <v>3.6917941515223851</v>
      </c>
      <c r="BE4" s="40"/>
      <c r="BF4" s="40"/>
      <c r="BS4" t="s">
        <v>138</v>
      </c>
      <c r="BT4" t="s">
        <v>139</v>
      </c>
      <c r="BU4" t="s">
        <v>141</v>
      </c>
      <c r="BV4" t="s">
        <v>142</v>
      </c>
      <c r="BW4" t="s">
        <v>140</v>
      </c>
    </row>
    <row r="5" spans="1:77" x14ac:dyDescent="0.25">
      <c r="A5" s="8" t="s">
        <v>5</v>
      </c>
      <c r="B5" s="46">
        <v>12</v>
      </c>
      <c r="C5" t="s">
        <v>4</v>
      </c>
      <c r="E5" s="5">
        <f>E4</f>
        <v>12</v>
      </c>
      <c r="F5">
        <f>(B8-B9)</f>
        <v>16</v>
      </c>
      <c r="G5">
        <f t="shared" ref="G5:G11" si="10">((E4*F5)-(E5*F4))*0.5</f>
        <v>96</v>
      </c>
      <c r="T5" s="27" t="s">
        <v>77</v>
      </c>
      <c r="U5" s="10">
        <f ca="1">U3*B79*(1/12)</f>
        <v>-230.37889532352679</v>
      </c>
      <c r="V5" s="17" t="s">
        <v>70</v>
      </c>
      <c r="W5" s="32"/>
      <c r="X5">
        <f>X4</f>
        <v>34</v>
      </c>
      <c r="Y5">
        <f>X5</f>
        <v>34</v>
      </c>
      <c r="AA5">
        <v>0</v>
      </c>
      <c r="AB5">
        <v>0</v>
      </c>
      <c r="AS5">
        <v>-3.0892327760299638</v>
      </c>
      <c r="AT5">
        <v>-230.31191507580664</v>
      </c>
      <c r="AU5">
        <v>-2.4055170690915708</v>
      </c>
      <c r="AV5">
        <f t="shared" si="1"/>
        <v>-3.1311484279769721</v>
      </c>
      <c r="AW5">
        <f t="shared" si="2"/>
        <v>4.1915651947008303E-2</v>
      </c>
      <c r="AX5" s="40">
        <f t="shared" si="3"/>
        <v>-3.6883082481384788</v>
      </c>
      <c r="AY5">
        <f t="shared" si="4"/>
        <v>3.6883082481384788</v>
      </c>
      <c r="AZ5">
        <f t="shared" si="5"/>
        <v>3.1939525311496224</v>
      </c>
      <c r="BA5">
        <f t="shared" si="6"/>
        <v>-3.1311484279769721</v>
      </c>
      <c r="BB5">
        <f t="shared" si="7"/>
        <v>4.1915651947008303E-2</v>
      </c>
      <c r="BC5">
        <f t="shared" si="8"/>
        <v>-3.6883082481384788</v>
      </c>
      <c r="BD5">
        <f t="shared" si="9"/>
        <v>3.6883082481384788</v>
      </c>
      <c r="BE5" s="40"/>
      <c r="BF5" s="40"/>
    </row>
    <row r="6" spans="1:77" x14ac:dyDescent="0.25">
      <c r="A6" s="8" t="s">
        <v>92</v>
      </c>
      <c r="B6" s="46">
        <v>12</v>
      </c>
      <c r="C6" t="s">
        <v>4</v>
      </c>
      <c r="E6" s="5">
        <f>B7+B5</f>
        <v>24</v>
      </c>
      <c r="F6">
        <f>F5</f>
        <v>16</v>
      </c>
      <c r="G6">
        <f t="shared" si="10"/>
        <v>-96</v>
      </c>
      <c r="T6" s="27" t="s">
        <v>76</v>
      </c>
      <c r="U6" s="10">
        <f ca="1">U3*B80*(1/12)</f>
        <v>9.6812620770935811E-13</v>
      </c>
      <c r="V6" s="17" t="s">
        <v>70</v>
      </c>
      <c r="W6" s="31">
        <f t="shared" ref="W6" ca="1" si="11">U6</f>
        <v>9.6812620770935811E-13</v>
      </c>
      <c r="X6">
        <f>IF(B6=0,0,-1*X5)</f>
        <v>-34</v>
      </c>
      <c r="Y6">
        <f>IF(B6=0,0,Y5)</f>
        <v>34</v>
      </c>
      <c r="AA6">
        <f>U14</f>
        <v>117.81888643167528</v>
      </c>
      <c r="AB6">
        <f>U10</f>
        <v>0</v>
      </c>
      <c r="AS6">
        <v>-3.0717794835100207</v>
      </c>
      <c r="AT6">
        <v>-230.26144038716328</v>
      </c>
      <c r="AU6">
        <v>-3.2096406682070975</v>
      </c>
      <c r="AV6">
        <f t="shared" si="1"/>
        <v>-3.1276544413973131</v>
      </c>
      <c r="AW6">
        <f t="shared" si="2"/>
        <v>5.5874957887292354E-2</v>
      </c>
      <c r="AX6" s="40">
        <f t="shared" si="3"/>
        <v>-3.6848142615588197</v>
      </c>
      <c r="AY6">
        <f t="shared" si="4"/>
        <v>3.6848142615588197</v>
      </c>
      <c r="AZ6">
        <f t="shared" si="5"/>
        <v>3.2114058236695655</v>
      </c>
      <c r="BA6">
        <f t="shared" si="6"/>
        <v>-3.1276544413973131</v>
      </c>
      <c r="BB6">
        <f t="shared" si="7"/>
        <v>5.5874957887292354E-2</v>
      </c>
      <c r="BC6">
        <f t="shared" si="8"/>
        <v>-3.6848142615588197</v>
      </c>
      <c r="BD6">
        <f t="shared" si="9"/>
        <v>3.6848142615588197</v>
      </c>
      <c r="BE6" s="40"/>
      <c r="BF6" s="40"/>
    </row>
    <row r="7" spans="1:77" ht="15.75" thickBot="1" x14ac:dyDescent="0.3">
      <c r="A7" s="8" t="s">
        <v>91</v>
      </c>
      <c r="B7" s="46">
        <v>12</v>
      </c>
      <c r="C7" t="s">
        <v>4</v>
      </c>
      <c r="E7" s="5">
        <f>E6</f>
        <v>24</v>
      </c>
      <c r="F7">
        <f>B8</f>
        <v>24</v>
      </c>
      <c r="G7">
        <f t="shared" si="10"/>
        <v>96</v>
      </c>
      <c r="T7" s="28" t="s">
        <v>96</v>
      </c>
      <c r="U7" s="29">
        <f ca="1">IF(AND(U5=0,U6=0),0,ATAN2(U5,U6))</f>
        <v>3.1415926535897891</v>
      </c>
      <c r="V7" s="18" t="s">
        <v>97</v>
      </c>
      <c r="W7" s="33">
        <f ca="1">U7-U13</f>
        <v>2.5844328334282824</v>
      </c>
      <c r="AA7">
        <f ca="1">U8</f>
        <v>230.37889532352679</v>
      </c>
      <c r="AB7" s="9">
        <f ca="1">U4</f>
        <v>8.6387473174909253E-9</v>
      </c>
      <c r="AS7">
        <v>-3.0543261909900776</v>
      </c>
      <c r="AT7">
        <v>-230.19672010892162</v>
      </c>
      <c r="AU7">
        <v>-4.0157296558398681</v>
      </c>
      <c r="AV7">
        <f t="shared" si="1"/>
        <v>-3.124149649308408</v>
      </c>
      <c r="AW7">
        <f t="shared" si="2"/>
        <v>6.9823458318330367E-2</v>
      </c>
      <c r="AX7" s="40">
        <f t="shared" si="3"/>
        <v>-3.6813094694699147</v>
      </c>
      <c r="AY7">
        <f t="shared" si="4"/>
        <v>3.6813094694699147</v>
      </c>
      <c r="AZ7">
        <f t="shared" si="5"/>
        <v>3.2288591161895086</v>
      </c>
      <c r="BA7">
        <f t="shared" si="6"/>
        <v>-3.124149649308408</v>
      </c>
      <c r="BB7">
        <f t="shared" si="7"/>
        <v>6.9823458318330367E-2</v>
      </c>
      <c r="BC7">
        <f t="shared" si="8"/>
        <v>-3.6813094694699147</v>
      </c>
      <c r="BD7">
        <f t="shared" si="9"/>
        <v>3.6813094694699147</v>
      </c>
      <c r="BE7" s="40"/>
      <c r="BF7" s="40"/>
    </row>
    <row r="8" spans="1:77" ht="15.75" thickBot="1" x14ac:dyDescent="0.3">
      <c r="A8" s="8" t="s">
        <v>6</v>
      </c>
      <c r="B8" s="7">
        <v>24</v>
      </c>
      <c r="C8" t="s">
        <v>4</v>
      </c>
      <c r="E8" s="5">
        <f>E7-(B7+B6+B5)</f>
        <v>-12</v>
      </c>
      <c r="F8">
        <f>F7</f>
        <v>24</v>
      </c>
      <c r="G8">
        <f t="shared" si="10"/>
        <v>432</v>
      </c>
      <c r="T8" s="37" t="s">
        <v>109</v>
      </c>
      <c r="U8" s="6">
        <f ca="1">SQRT(POWER(U5,2)+POWER(U6,2))</f>
        <v>230.37889532352679</v>
      </c>
      <c r="V8" s="42" t="s">
        <v>70</v>
      </c>
      <c r="AS8">
        <v>-3.0368728984701345</v>
      </c>
      <c r="AT8">
        <v>-230.11759812146312</v>
      </c>
      <c r="AU8">
        <v>-4.8242843986944823</v>
      </c>
      <c r="AV8">
        <f t="shared" si="1"/>
        <v>-3.1206312935942457</v>
      </c>
      <c r="AW8">
        <f t="shared" si="2"/>
        <v>8.3758395124111207E-2</v>
      </c>
      <c r="AX8" s="40">
        <f t="shared" si="3"/>
        <v>-3.6777911137557524</v>
      </c>
      <c r="AY8">
        <f t="shared" si="4"/>
        <v>3.6777911137557524</v>
      </c>
      <c r="AZ8">
        <f t="shared" si="5"/>
        <v>3.2463124087094517</v>
      </c>
      <c r="BA8">
        <f t="shared" si="6"/>
        <v>-3.1206312935942457</v>
      </c>
      <c r="BB8">
        <f t="shared" si="7"/>
        <v>8.3758395124111207E-2</v>
      </c>
      <c r="BC8">
        <f t="shared" si="8"/>
        <v>-3.6777911137557524</v>
      </c>
      <c r="BD8">
        <f t="shared" si="9"/>
        <v>3.6777911137557524</v>
      </c>
      <c r="BE8" s="40"/>
      <c r="BF8" s="40"/>
    </row>
    <row r="9" spans="1:77" x14ac:dyDescent="0.25">
      <c r="A9" s="8" t="s">
        <v>7</v>
      </c>
      <c r="B9" s="7">
        <v>8</v>
      </c>
      <c r="C9" t="s">
        <v>4</v>
      </c>
      <c r="E9" s="5">
        <f>E8</f>
        <v>-12</v>
      </c>
      <c r="F9">
        <f>F6</f>
        <v>16</v>
      </c>
      <c r="G9">
        <f t="shared" si="10"/>
        <v>48</v>
      </c>
      <c r="T9" s="35" t="s">
        <v>98</v>
      </c>
      <c r="U9" s="36"/>
      <c r="V9" s="16"/>
      <c r="AA9" s="9">
        <f ca="1">U5-U11</f>
        <v>-330.37889532352676</v>
      </c>
      <c r="AB9" s="9">
        <f ca="1">U6-U12</f>
        <v>-62.299999999999031</v>
      </c>
      <c r="AC9" s="9">
        <f ca="1">AA9+AB9</f>
        <v>-392.67889532352581</v>
      </c>
      <c r="AS9">
        <v>-3.0194196059501914</v>
      </c>
      <c r="AT9">
        <v>-230.02388182180124</v>
      </c>
      <c r="AU9">
        <v>-5.6358113454432663</v>
      </c>
      <c r="AV9">
        <f t="shared" si="1"/>
        <v>-3.1170965709032279</v>
      </c>
      <c r="AW9">
        <f t="shared" si="2"/>
        <v>9.767696495303646E-2</v>
      </c>
      <c r="AX9" s="40">
        <f t="shared" si="3"/>
        <v>-3.6742563910647346</v>
      </c>
      <c r="AY9">
        <f t="shared" si="4"/>
        <v>3.6742563910647346</v>
      </c>
      <c r="AZ9">
        <f t="shared" si="5"/>
        <v>3.2637657012293948</v>
      </c>
      <c r="BA9">
        <f t="shared" si="6"/>
        <v>-3.1170965709032279</v>
      </c>
      <c r="BB9">
        <f t="shared" si="7"/>
        <v>9.767696495303646E-2</v>
      </c>
      <c r="BC9">
        <f t="shared" si="8"/>
        <v>-3.6742563910647346</v>
      </c>
      <c r="BD9">
        <f t="shared" si="9"/>
        <v>3.6742563910647346</v>
      </c>
      <c r="BE9" s="40"/>
      <c r="BF9" s="40"/>
    </row>
    <row r="10" spans="1:77" x14ac:dyDescent="0.25">
      <c r="E10">
        <v>0</v>
      </c>
      <c r="F10">
        <f>F9</f>
        <v>16</v>
      </c>
      <c r="G10">
        <f t="shared" si="10"/>
        <v>-96</v>
      </c>
      <c r="T10" s="37" t="s">
        <v>99</v>
      </c>
      <c r="U10" s="38">
        <v>0</v>
      </c>
      <c r="V10" s="17" t="s">
        <v>68</v>
      </c>
      <c r="W10" t="str">
        <f>"+ Compression"</f>
        <v>+ Compression</v>
      </c>
      <c r="AS10">
        <v>-3.0019663134302483</v>
      </c>
      <c r="AT10">
        <v>-229.91534113290294</v>
      </c>
      <c r="AU10">
        <v>-6.4508243128397078</v>
      </c>
      <c r="AV10">
        <f t="shared" si="1"/>
        <v>-3.1135426228826555</v>
      </c>
      <c r="AW10">
        <f t="shared" si="2"/>
        <v>0.11157630945240715</v>
      </c>
      <c r="AX10" s="40">
        <f t="shared" si="3"/>
        <v>-3.6707024430441622</v>
      </c>
      <c r="AY10">
        <f t="shared" si="4"/>
        <v>3.6707024430441622</v>
      </c>
      <c r="AZ10">
        <f t="shared" si="5"/>
        <v>3.2812189937493379</v>
      </c>
      <c r="BA10">
        <f t="shared" si="6"/>
        <v>-3.1135426228826555</v>
      </c>
      <c r="BB10">
        <f t="shared" si="7"/>
        <v>0.11157630945240715</v>
      </c>
      <c r="BC10">
        <f t="shared" si="8"/>
        <v>-3.6707024430441622</v>
      </c>
      <c r="BD10">
        <f t="shared" si="9"/>
        <v>3.6707024430441622</v>
      </c>
      <c r="BE10" s="40"/>
      <c r="BF10" s="40"/>
    </row>
    <row r="11" spans="1:77" x14ac:dyDescent="0.25">
      <c r="A11" t="s">
        <v>10</v>
      </c>
      <c r="E11">
        <v>0</v>
      </c>
      <c r="F11">
        <v>0</v>
      </c>
      <c r="G11">
        <f t="shared" si="10"/>
        <v>0</v>
      </c>
      <c r="T11" s="37" t="s">
        <v>100</v>
      </c>
      <c r="U11" s="38">
        <v>100</v>
      </c>
      <c r="V11" s="17" t="s">
        <v>70</v>
      </c>
      <c r="W11" t="str">
        <f>"+ Puts Top of Section in Compression"</f>
        <v>+ Puts Top of Section in Compression</v>
      </c>
      <c r="AS11">
        <v>-2.9845130209103052</v>
      </c>
      <c r="AT11">
        <v>-229.79170733942283</v>
      </c>
      <c r="AU11">
        <v>-7.2698458108961344</v>
      </c>
      <c r="AV11">
        <f t="shared" si="1"/>
        <v>-3.1099665260072866</v>
      </c>
      <c r="AW11">
        <f t="shared" si="2"/>
        <v>0.12545350509698139</v>
      </c>
      <c r="AX11" s="40">
        <f t="shared" si="3"/>
        <v>-3.6671263461687933</v>
      </c>
      <c r="AY11">
        <f t="shared" si="4"/>
        <v>3.6671263461687933</v>
      </c>
      <c r="AZ11">
        <f t="shared" si="5"/>
        <v>3.298672286269281</v>
      </c>
      <c r="BA11">
        <f t="shared" si="6"/>
        <v>-3.1099665260072866</v>
      </c>
      <c r="BB11">
        <f t="shared" si="7"/>
        <v>0.12545350509698139</v>
      </c>
      <c r="BC11">
        <f t="shared" si="8"/>
        <v>-3.6671263461687933</v>
      </c>
      <c r="BD11">
        <f t="shared" si="9"/>
        <v>3.6671263461687933</v>
      </c>
      <c r="BE11" s="40"/>
      <c r="BF11" s="40"/>
    </row>
    <row r="12" spans="1:77" x14ac:dyDescent="0.25">
      <c r="A12" s="8" t="s">
        <v>11</v>
      </c>
      <c r="B12" s="2">
        <v>60</v>
      </c>
      <c r="C12" t="s">
        <v>1</v>
      </c>
      <c r="G12">
        <f>SUM(G4:G11)</f>
        <v>480</v>
      </c>
      <c r="T12" s="37" t="s">
        <v>101</v>
      </c>
      <c r="U12" s="38">
        <v>62.3</v>
      </c>
      <c r="V12" s="17" t="s">
        <v>70</v>
      </c>
      <c r="W12" t="str">
        <f>"+ Puts Left of Section in Compression"</f>
        <v>+ Puts Left of Section in Compression</v>
      </c>
      <c r="AS12">
        <v>-2.9670597283903621</v>
      </c>
      <c r="AT12">
        <v>-229.65267161741178</v>
      </c>
      <c r="AU12">
        <v>-8.0934084145184535</v>
      </c>
      <c r="AV12">
        <f t="shared" si="1"/>
        <v>-3.1063652809049493</v>
      </c>
      <c r="AW12">
        <f t="shared" si="2"/>
        <v>0.13930555251458721</v>
      </c>
      <c r="AX12" s="40">
        <f t="shared" si="3"/>
        <v>-3.663525101066456</v>
      </c>
      <c r="AY12">
        <f t="shared" si="4"/>
        <v>3.663525101066456</v>
      </c>
      <c r="AZ12">
        <f t="shared" si="5"/>
        <v>3.3161255787892241</v>
      </c>
      <c r="BA12">
        <f t="shared" si="6"/>
        <v>-3.1063652809049493</v>
      </c>
      <c r="BB12">
        <f t="shared" si="7"/>
        <v>0.13930555251458721</v>
      </c>
      <c r="BC12">
        <f t="shared" si="8"/>
        <v>-3.663525101066456</v>
      </c>
      <c r="BD12">
        <f t="shared" si="9"/>
        <v>3.663525101066456</v>
      </c>
      <c r="BE12" s="40"/>
      <c r="BF12" s="40"/>
    </row>
    <row r="13" spans="1:77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IF(AND(U11=0,U12=0),0,ATAN2(U11,U12))</f>
        <v>0.55715982016150656</v>
      </c>
      <c r="V13" s="18" t="s">
        <v>97</v>
      </c>
      <c r="AS13">
        <v>-2.949606435870419</v>
      </c>
      <c r="AT13">
        <v>-229.49788341576959</v>
      </c>
      <c r="AU13">
        <v>-8.9220561894211876</v>
      </c>
      <c r="AV13">
        <f t="shared" si="1"/>
        <v>-3.1027358011097501</v>
      </c>
      <c r="AW13">
        <f t="shared" si="2"/>
        <v>0.15312936523933107</v>
      </c>
      <c r="AX13" s="40">
        <f t="shared" si="3"/>
        <v>-3.6598956212712568</v>
      </c>
      <c r="AY13">
        <f t="shared" si="4"/>
        <v>3.6598956212712568</v>
      </c>
      <c r="AZ13">
        <f t="shared" si="5"/>
        <v>3.3335788713091672</v>
      </c>
      <c r="BA13">
        <f t="shared" si="6"/>
        <v>-3.1027358011097501</v>
      </c>
      <c r="BB13">
        <f t="shared" si="7"/>
        <v>0.15312936523933107</v>
      </c>
      <c r="BC13">
        <f t="shared" si="8"/>
        <v>-3.6598956212712568</v>
      </c>
      <c r="BD13">
        <f t="shared" si="9"/>
        <v>3.6598956212712568</v>
      </c>
      <c r="BE13" s="40"/>
      <c r="BF13" s="40"/>
    </row>
    <row r="14" spans="1:77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3" t="s">
        <v>109</v>
      </c>
      <c r="U14" s="44">
        <f>SQRT(POWER(U11,2)+POWER(U12,2))</f>
        <v>117.81888643167528</v>
      </c>
      <c r="V14" s="45" t="s">
        <v>70</v>
      </c>
      <c r="AS14">
        <v>-2.9321531433504759</v>
      </c>
      <c r="AT14">
        <v>-229.32694849244353</v>
      </c>
      <c r="AU14">
        <v>-9.756346180653896</v>
      </c>
      <c r="AV14">
        <f t="shared" si="1"/>
        <v>-3.0990749011218086</v>
      </c>
      <c r="AW14">
        <f t="shared" si="2"/>
        <v>0.16692175777133267</v>
      </c>
      <c r="AX14" s="40">
        <f t="shared" si="3"/>
        <v>-3.6562347212833153</v>
      </c>
      <c r="AY14">
        <f t="shared" si="4"/>
        <v>3.6562347212833153</v>
      </c>
      <c r="AZ14">
        <f t="shared" si="5"/>
        <v>3.3510321638291103</v>
      </c>
      <c r="BA14">
        <f t="shared" si="6"/>
        <v>-3.0990749011218086</v>
      </c>
      <c r="BB14">
        <f t="shared" si="7"/>
        <v>0.16692175777133267</v>
      </c>
      <c r="BC14">
        <f t="shared" si="8"/>
        <v>-3.6562347212833153</v>
      </c>
      <c r="BD14">
        <f t="shared" si="9"/>
        <v>3.6562347212833153</v>
      </c>
      <c r="BE14" s="40"/>
      <c r="BF14" s="40"/>
    </row>
    <row r="15" spans="1:77" x14ac:dyDescent="0.25">
      <c r="A15">
        <v>1</v>
      </c>
      <c r="B15" s="20">
        <v>0</v>
      </c>
      <c r="C15" s="6">
        <f ca="1">OFFSET($G$14,MATCH(B15,$G$14:$G$29,0)-1,2)</f>
        <v>0</v>
      </c>
      <c r="D15" s="2">
        <f>-3+12</f>
        <v>9</v>
      </c>
      <c r="E15" s="2">
        <v>22</v>
      </c>
      <c r="G15" s="1">
        <v>3</v>
      </c>
      <c r="H15" s="6">
        <v>0.375</v>
      </c>
      <c r="I15" s="6">
        <v>0.11</v>
      </c>
      <c r="K15" s="1" t="e">
        <f t="shared" ref="K15:K24" si="12">IF($B15=0,NA(),D15)</f>
        <v>#N/A</v>
      </c>
      <c r="L15" s="1" t="e">
        <f t="shared" ref="L15:L24" si="13">IF($B15=0,NA(),E15)</f>
        <v>#N/A</v>
      </c>
      <c r="T15" s="39" t="s">
        <v>103</v>
      </c>
      <c r="U15" s="6">
        <f>SQRT(POWER(U12,2)+POWER(U11,2)+POWER(U10,2))</f>
        <v>117.81888643167528</v>
      </c>
      <c r="AS15">
        <v>-2.9146998508305328</v>
      </c>
      <c r="AT15">
        <v>-229.13942676306775</v>
      </c>
      <c r="AU15">
        <v>-10.596849972663225</v>
      </c>
      <c r="AV15">
        <f t="shared" si="1"/>
        <v>-3.0953792836918161</v>
      </c>
      <c r="AW15">
        <f t="shared" si="2"/>
        <v>0.1806794328612833</v>
      </c>
      <c r="AX15" s="40">
        <f t="shared" si="3"/>
        <v>-3.6525391038533228</v>
      </c>
      <c r="AY15">
        <f t="shared" si="4"/>
        <v>3.6525391038533228</v>
      </c>
      <c r="AZ15">
        <f t="shared" si="5"/>
        <v>3.3684854563490534</v>
      </c>
      <c r="BA15">
        <f t="shared" si="6"/>
        <v>-3.0953792836918161</v>
      </c>
      <c r="BB15">
        <f t="shared" si="7"/>
        <v>0.1806794328612833</v>
      </c>
      <c r="BC15">
        <f t="shared" si="8"/>
        <v>-3.6525391038533228</v>
      </c>
      <c r="BD15">
        <f t="shared" si="9"/>
        <v>3.6525391038533228</v>
      </c>
      <c r="BE15" s="40"/>
      <c r="BF15" s="40"/>
    </row>
    <row r="16" spans="1:77" x14ac:dyDescent="0.25">
      <c r="A16">
        <v>2</v>
      </c>
      <c r="B16" s="20">
        <v>0</v>
      </c>
      <c r="C16" s="6">
        <f t="shared" ref="C16:C24" ca="1" si="14">OFFSET($G$14,MATCH(B16,$G$14:$G$29,0)-1,2)</f>
        <v>0</v>
      </c>
      <c r="D16" s="2">
        <f>-13+12</f>
        <v>-1</v>
      </c>
      <c r="E16" s="2">
        <v>22</v>
      </c>
      <c r="G16" s="1">
        <v>4</v>
      </c>
      <c r="H16" s="6">
        <v>0.5</v>
      </c>
      <c r="I16" s="6">
        <v>0.2</v>
      </c>
      <c r="K16" s="1" t="e">
        <f t="shared" si="12"/>
        <v>#N/A</v>
      </c>
      <c r="L16" s="1" t="e">
        <f t="shared" si="13"/>
        <v>#N/A</v>
      </c>
      <c r="T16" s="39" t="s">
        <v>104</v>
      </c>
      <c r="U16" s="41">
        <f>U10/U15</f>
        <v>0</v>
      </c>
      <c r="V16" s="41">
        <f>U11/U15</f>
        <v>0.8487603560740774</v>
      </c>
      <c r="W16" s="41">
        <f>U12/U15</f>
        <v>0.52877770183415018</v>
      </c>
      <c r="X16" s="40"/>
      <c r="AS16">
        <v>-2.8972465583105897</v>
      </c>
      <c r="AT16">
        <v>-228.93482986910385</v>
      </c>
      <c r="AU16">
        <v>-11.444155330501864</v>
      </c>
      <c r="AV16">
        <f t="shared" si="1"/>
        <v>-3.0916455262061979</v>
      </c>
      <c r="AW16">
        <f t="shared" si="2"/>
        <v>0.19439896789560818</v>
      </c>
      <c r="AX16" s="40">
        <f t="shared" si="3"/>
        <v>-3.6488053463677046</v>
      </c>
      <c r="AY16">
        <f t="shared" si="4"/>
        <v>3.6488053463677046</v>
      </c>
      <c r="AZ16">
        <f t="shared" si="5"/>
        <v>3.3859387488689965</v>
      </c>
      <c r="BA16">
        <f t="shared" si="6"/>
        <v>-3.0916455262061979</v>
      </c>
      <c r="BB16">
        <f t="shared" si="7"/>
        <v>0.19439896789560818</v>
      </c>
      <c r="BC16">
        <f t="shared" si="8"/>
        <v>-3.6488053463677046</v>
      </c>
      <c r="BD16">
        <f t="shared" si="9"/>
        <v>3.6488053463677046</v>
      </c>
      <c r="BE16" s="40"/>
      <c r="BF16" s="40"/>
    </row>
    <row r="17" spans="1:58" x14ac:dyDescent="0.25">
      <c r="A17">
        <v>3</v>
      </c>
      <c r="B17" s="20">
        <v>0</v>
      </c>
      <c r="C17" s="6">
        <f t="shared" ca="1" si="14"/>
        <v>0</v>
      </c>
      <c r="D17" s="2">
        <f>-23+12</f>
        <v>-11</v>
      </c>
      <c r="E17" s="2">
        <v>22</v>
      </c>
      <c r="G17" s="1">
        <v>5</v>
      </c>
      <c r="H17" s="6">
        <v>0.625</v>
      </c>
      <c r="I17" s="6">
        <v>0.31</v>
      </c>
      <c r="K17" s="1" t="e">
        <f t="shared" si="12"/>
        <v>#N/A</v>
      </c>
      <c r="L17" s="1" t="e">
        <f t="shared" si="13"/>
        <v>#N/A</v>
      </c>
      <c r="AS17">
        <v>-2.8797932657906467</v>
      </c>
      <c r="AT17">
        <v>-228.71261836840804</v>
      </c>
      <c r="AU17">
        <v>-12.298867932588394</v>
      </c>
      <c r="AV17">
        <f t="shared" si="1"/>
        <v>-3.0878700660262268</v>
      </c>
      <c r="AW17">
        <f t="shared" si="2"/>
        <v>0.20807680023558017</v>
      </c>
      <c r="AX17" s="40">
        <f t="shared" si="3"/>
        <v>-3.6450298861877335</v>
      </c>
      <c r="AY17">
        <f t="shared" si="4"/>
        <v>3.6450298861877335</v>
      </c>
      <c r="AZ17">
        <f t="shared" si="5"/>
        <v>3.4033920413889396</v>
      </c>
      <c r="BA17">
        <f t="shared" si="6"/>
        <v>-3.0878700660262268</v>
      </c>
      <c r="BB17">
        <f t="shared" si="7"/>
        <v>0.20807680023558017</v>
      </c>
      <c r="BC17">
        <f t="shared" si="8"/>
        <v>-3.6450298861877335</v>
      </c>
      <c r="BD17">
        <f t="shared" si="9"/>
        <v>3.6450298861877335</v>
      </c>
      <c r="BE17" s="40"/>
      <c r="BF17" s="40"/>
    </row>
    <row r="18" spans="1:58" x14ac:dyDescent="0.25">
      <c r="A18">
        <v>4</v>
      </c>
      <c r="B18" s="20">
        <v>0</v>
      </c>
      <c r="C18" s="6">
        <f t="shared" ca="1" si="14"/>
        <v>0</v>
      </c>
      <c r="D18" s="2">
        <f>-33+12</f>
        <v>-21</v>
      </c>
      <c r="E18" s="2">
        <v>22</v>
      </c>
      <c r="G18" s="1">
        <v>6</v>
      </c>
      <c r="H18" s="6">
        <v>0.75</v>
      </c>
      <c r="I18" s="6">
        <v>0.44</v>
      </c>
      <c r="K18" s="1" t="e">
        <f t="shared" si="12"/>
        <v>#N/A</v>
      </c>
      <c r="L18" s="1" t="e">
        <f t="shared" si="13"/>
        <v>#N/A</v>
      </c>
      <c r="T18" s="8" t="s">
        <v>105</v>
      </c>
      <c r="U18" s="6">
        <f ca="1">SQRT(POWER(U6,2)+POWER(U5,2)+POWER(U4,2))</f>
        <v>230.37889532352679</v>
      </c>
      <c r="AS18">
        <v>-2.8623399732707036</v>
      </c>
      <c r="AT18">
        <v>-228.47219863875904</v>
      </c>
      <c r="AU18">
        <v>-13.161613206329132</v>
      </c>
      <c r="AV18">
        <f t="shared" si="1"/>
        <v>-3.0840491846573692</v>
      </c>
      <c r="AW18">
        <f t="shared" si="2"/>
        <v>0.22170921138666566</v>
      </c>
      <c r="AX18" s="40">
        <f t="shared" si="3"/>
        <v>-3.6412090048188759</v>
      </c>
      <c r="AY18">
        <f t="shared" si="4"/>
        <v>3.6412090048188759</v>
      </c>
      <c r="AZ18">
        <f t="shared" si="5"/>
        <v>3.4208453339088827</v>
      </c>
      <c r="BA18">
        <f t="shared" si="6"/>
        <v>-3.0840491846573692</v>
      </c>
      <c r="BB18">
        <f t="shared" si="7"/>
        <v>0.22170921138666566</v>
      </c>
      <c r="BC18">
        <f t="shared" si="8"/>
        <v>-3.6412090048188759</v>
      </c>
      <c r="BD18">
        <f t="shared" si="9"/>
        <v>3.6412090048188759</v>
      </c>
      <c r="BE18" s="40"/>
      <c r="BF18" s="40"/>
    </row>
    <row r="19" spans="1:58" x14ac:dyDescent="0.25">
      <c r="A19">
        <v>5</v>
      </c>
      <c r="B19" s="20">
        <v>0</v>
      </c>
      <c r="C19" s="6">
        <f t="shared" ca="1" si="14"/>
        <v>0</v>
      </c>
      <c r="D19" s="2">
        <v>3</v>
      </c>
      <c r="E19" s="2">
        <v>22</v>
      </c>
      <c r="G19" s="1">
        <v>7</v>
      </c>
      <c r="H19" s="6">
        <v>0.875</v>
      </c>
      <c r="I19" s="6">
        <v>0.6</v>
      </c>
      <c r="K19" s="1" t="e">
        <f t="shared" si="12"/>
        <v>#N/A</v>
      </c>
      <c r="L19" s="1" t="e">
        <f t="shared" si="13"/>
        <v>#N/A</v>
      </c>
      <c r="T19" s="8" t="s">
        <v>106</v>
      </c>
      <c r="U19" s="41">
        <f ca="1">U4/U18</f>
        <v>3.7497997832480786E-11</v>
      </c>
      <c r="V19" s="41">
        <f ca="1">U5/U18</f>
        <v>-1</v>
      </c>
      <c r="W19" s="41">
        <f ca="1">U6/U18</f>
        <v>4.2023215987288876E-15</v>
      </c>
      <c r="X19" s="40"/>
      <c r="AS19">
        <v>-2.8448866807507605</v>
      </c>
      <c r="AT19">
        <v>-228.21291935718673</v>
      </c>
      <c r="AU19">
        <v>-14.033038278952343</v>
      </c>
      <c r="AV19">
        <f t="shared" si="1"/>
        <v>-3.0801789905629513</v>
      </c>
      <c r="AW19">
        <f t="shared" si="2"/>
        <v>0.23529230981219085</v>
      </c>
      <c r="AX19" s="40">
        <f t="shared" si="3"/>
        <v>-3.637338810724458</v>
      </c>
      <c r="AY19">
        <f t="shared" si="4"/>
        <v>3.637338810724458</v>
      </c>
      <c r="AZ19">
        <f t="shared" si="5"/>
        <v>3.4382986264288258</v>
      </c>
      <c r="BA19">
        <f t="shared" si="6"/>
        <v>-3.0801789905629513</v>
      </c>
      <c r="BB19">
        <f t="shared" si="7"/>
        <v>0.23529230981219085</v>
      </c>
      <c r="BC19">
        <f t="shared" si="8"/>
        <v>-3.637338810724458</v>
      </c>
      <c r="BD19">
        <f t="shared" si="9"/>
        <v>3.637338810724458</v>
      </c>
      <c r="BE19" s="40"/>
      <c r="BF19" s="40"/>
    </row>
    <row r="20" spans="1:58" x14ac:dyDescent="0.25">
      <c r="A20">
        <v>6</v>
      </c>
      <c r="B20" s="20">
        <v>0</v>
      </c>
      <c r="C20" s="6">
        <f t="shared" ca="1" si="14"/>
        <v>0</v>
      </c>
      <c r="D20" s="2">
        <v>13</v>
      </c>
      <c r="E20" s="2">
        <v>22</v>
      </c>
      <c r="G20" s="1">
        <v>8</v>
      </c>
      <c r="H20" s="6">
        <v>1</v>
      </c>
      <c r="I20" s="6">
        <v>0.79</v>
      </c>
      <c r="K20" s="1" t="e">
        <f t="shared" si="12"/>
        <v>#N/A</v>
      </c>
      <c r="L20" s="1" t="e">
        <f t="shared" si="13"/>
        <v>#N/A</v>
      </c>
      <c r="AS20">
        <v>-2.8274333882308174</v>
      </c>
      <c r="AT20">
        <v>-227.93406767813966</v>
      </c>
      <c r="AU20">
        <v>-14.913814057090242</v>
      </c>
      <c r="AV20">
        <f t="shared" si="1"/>
        <v>-3.0762554004766156</v>
      </c>
      <c r="AW20">
        <f t="shared" si="2"/>
        <v>0.24882201224579825</v>
      </c>
      <c r="AX20" s="40">
        <f t="shared" si="3"/>
        <v>-3.6334152206381223</v>
      </c>
      <c r="AY20">
        <f t="shared" si="4"/>
        <v>3.6334152206381223</v>
      </c>
      <c r="AZ20">
        <f t="shared" si="5"/>
        <v>3.4557519189487689</v>
      </c>
      <c r="BA20">
        <f t="shared" si="6"/>
        <v>-3.0762554004766156</v>
      </c>
      <c r="BB20">
        <f t="shared" si="7"/>
        <v>0.24882201224579825</v>
      </c>
      <c r="BC20">
        <f t="shared" si="8"/>
        <v>-3.6334152206381223</v>
      </c>
      <c r="BD20">
        <f t="shared" si="9"/>
        <v>3.6334152206381223</v>
      </c>
      <c r="BE20" s="40"/>
      <c r="BF20" s="40"/>
    </row>
    <row r="21" spans="1:58" x14ac:dyDescent="0.25">
      <c r="A21">
        <v>7</v>
      </c>
      <c r="B21" s="20" t="s">
        <v>81</v>
      </c>
      <c r="C21" s="6">
        <f t="shared" ca="1" si="14"/>
        <v>2.4750000000000001</v>
      </c>
      <c r="D21" s="2">
        <v>6</v>
      </c>
      <c r="E21" s="2">
        <v>22</v>
      </c>
      <c r="G21" s="1">
        <v>9</v>
      </c>
      <c r="H21" s="6">
        <v>1.1279999999999999</v>
      </c>
      <c r="I21" s="6">
        <v>1</v>
      </c>
      <c r="K21" s="1">
        <f t="shared" si="12"/>
        <v>6</v>
      </c>
      <c r="L21" s="1">
        <f t="shared" si="13"/>
        <v>22</v>
      </c>
      <c r="T21" s="8" t="s">
        <v>107</v>
      </c>
      <c r="U21" s="41">
        <f ca="1">U16-U19</f>
        <v>-3.7497997832480786E-11</v>
      </c>
      <c r="V21" s="41">
        <f t="shared" ref="V21:W21" ca="1" si="15">V16-V19</f>
        <v>1.8487603560740773</v>
      </c>
      <c r="W21" s="41">
        <f t="shared" ca="1" si="15"/>
        <v>0.52877770183414596</v>
      </c>
      <c r="AS21">
        <v>-2.8099800957108743</v>
      </c>
      <c r="AT21">
        <v>-227.63486479129875</v>
      </c>
      <c r="AU21">
        <v>-15.804637449995441</v>
      </c>
      <c r="AV21">
        <f t="shared" si="1"/>
        <v>-3.0722741189329854</v>
      </c>
      <c r="AW21">
        <f t="shared" si="2"/>
        <v>0.26229402322211115</v>
      </c>
      <c r="AX21" s="40">
        <f t="shared" si="3"/>
        <v>-3.6294339390944921</v>
      </c>
      <c r="AY21">
        <f t="shared" si="4"/>
        <v>3.6294339390944921</v>
      </c>
      <c r="AZ21">
        <f t="shared" si="5"/>
        <v>3.473205211468712</v>
      </c>
      <c r="BA21">
        <f t="shared" si="6"/>
        <v>-3.0722741189329854</v>
      </c>
      <c r="BB21">
        <f t="shared" si="7"/>
        <v>0.26229402322211115</v>
      </c>
      <c r="BC21">
        <f t="shared" si="8"/>
        <v>-3.6294339390944921</v>
      </c>
      <c r="BD21">
        <f t="shared" si="9"/>
        <v>3.6294339390944921</v>
      </c>
      <c r="BE21" s="40"/>
      <c r="BF21" s="40"/>
    </row>
    <row r="22" spans="1:58" x14ac:dyDescent="0.25">
      <c r="A22">
        <v>8</v>
      </c>
      <c r="B22" s="20">
        <v>0</v>
      </c>
      <c r="C22" s="6">
        <f t="shared" ca="1" si="14"/>
        <v>0</v>
      </c>
      <c r="D22" s="2">
        <v>2</v>
      </c>
      <c r="E22" s="2">
        <v>2</v>
      </c>
      <c r="G22" s="1">
        <v>10</v>
      </c>
      <c r="H22" s="6">
        <v>1.27</v>
      </c>
      <c r="I22" s="6">
        <v>1.27</v>
      </c>
      <c r="K22" s="1" t="e">
        <f t="shared" si="12"/>
        <v>#N/A</v>
      </c>
      <c r="L22" s="1" t="e">
        <f t="shared" si="13"/>
        <v>#N/A</v>
      </c>
      <c r="U22" s="1" t="s">
        <v>99</v>
      </c>
      <c r="V22" s="1" t="s">
        <v>100</v>
      </c>
      <c r="W22" s="1" t="s">
        <v>101</v>
      </c>
      <c r="AS22">
        <v>-2.7925268031909312</v>
      </c>
      <c r="AT22">
        <v>-227.31529110489731</v>
      </c>
      <c r="AU22">
        <v>-16.703871088958913</v>
      </c>
      <c r="AV22">
        <f t="shared" si="1"/>
        <v>-3.0682412207033982</v>
      </c>
      <c r="AW22">
        <f t="shared" si="2"/>
        <v>0.27571441751246706</v>
      </c>
      <c r="AX22" s="40">
        <f t="shared" si="3"/>
        <v>-3.6254010408649049</v>
      </c>
      <c r="AY22">
        <f t="shared" si="4"/>
        <v>3.6254010408649049</v>
      </c>
      <c r="AZ22">
        <f t="shared" si="5"/>
        <v>3.4906585039886551</v>
      </c>
      <c r="BA22">
        <f t="shared" si="6"/>
        <v>-3.0682412207033982</v>
      </c>
      <c r="BB22">
        <f t="shared" si="7"/>
        <v>0.27571441751246706</v>
      </c>
      <c r="BC22">
        <f t="shared" si="8"/>
        <v>-3.6254010408649049</v>
      </c>
      <c r="BD22">
        <f t="shared" si="9"/>
        <v>3.6254010408649049</v>
      </c>
      <c r="BE22" s="40"/>
      <c r="BF22" s="40"/>
    </row>
    <row r="23" spans="1:58" x14ac:dyDescent="0.25">
      <c r="A23">
        <v>9</v>
      </c>
      <c r="B23" s="20" t="s">
        <v>81</v>
      </c>
      <c r="C23" s="6">
        <f t="shared" ca="1" si="14"/>
        <v>2.4750000000000001</v>
      </c>
      <c r="D23" s="2">
        <v>6</v>
      </c>
      <c r="E23" s="2">
        <v>2</v>
      </c>
      <c r="G23" s="1">
        <v>11</v>
      </c>
      <c r="H23" s="6">
        <v>1.41</v>
      </c>
      <c r="I23" s="6">
        <v>1.56</v>
      </c>
      <c r="K23" s="1">
        <f t="shared" si="12"/>
        <v>6</v>
      </c>
      <c r="L23" s="1">
        <f t="shared" si="13"/>
        <v>2</v>
      </c>
      <c r="T23" s="8" t="s">
        <v>108</v>
      </c>
      <c r="U23" s="41">
        <f ca="1">SQRT(POWER(U21,2)+POWER(V21,2)+POWER(W21,2))</f>
        <v>1.9228938379817411</v>
      </c>
      <c r="V23" t="str">
        <f ca="1">IF(ABS(U23)&lt;=L1,"","NG")</f>
        <v>NG</v>
      </c>
      <c r="AS23">
        <v>-2.7750735106709881</v>
      </c>
      <c r="AT23">
        <v>-226.99162202621426</v>
      </c>
      <c r="AU23">
        <v>-17.565319749374481</v>
      </c>
      <c r="AV23">
        <f t="shared" si="1"/>
        <v>-3.0643634422737347</v>
      </c>
      <c r="AW23">
        <f t="shared" si="2"/>
        <v>0.28928993160274663</v>
      </c>
      <c r="AX23" s="40">
        <f t="shared" si="3"/>
        <v>-3.6215232624352414</v>
      </c>
      <c r="AY23">
        <f t="shared" si="4"/>
        <v>3.6215232624352414</v>
      </c>
      <c r="AZ23">
        <f t="shared" si="5"/>
        <v>3.5081117965085982</v>
      </c>
      <c r="BA23">
        <f t="shared" si="6"/>
        <v>-3.0643634422737347</v>
      </c>
      <c r="BB23">
        <f t="shared" si="7"/>
        <v>0.28928993160274663</v>
      </c>
      <c r="BC23">
        <f t="shared" si="8"/>
        <v>-3.6215232624352414</v>
      </c>
      <c r="BD23">
        <f t="shared" si="9"/>
        <v>3.6215232624352414</v>
      </c>
      <c r="BE23" s="40"/>
      <c r="BF23" s="40"/>
    </row>
    <row r="24" spans="1:58" ht="15.75" thickBot="1" x14ac:dyDescent="0.3">
      <c r="A24">
        <v>10</v>
      </c>
      <c r="B24" s="20">
        <v>0</v>
      </c>
      <c r="C24" s="11">
        <f t="shared" ca="1" si="14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12"/>
        <v>#N/A</v>
      </c>
      <c r="L24" s="1" t="e">
        <f t="shared" si="13"/>
        <v>#N/A</v>
      </c>
      <c r="AS24">
        <v>-2.757620218151045</v>
      </c>
      <c r="AT24">
        <v>-226.66949265019639</v>
      </c>
      <c r="AU24">
        <v>-18.377354959153543</v>
      </c>
      <c r="AV24">
        <f t="shared" si="1"/>
        <v>-3.0606940442465516</v>
      </c>
      <c r="AW24">
        <f t="shared" si="2"/>
        <v>0.30307382609550659</v>
      </c>
      <c r="AX24" s="40">
        <f t="shared" si="3"/>
        <v>-3.6178538644080582</v>
      </c>
      <c r="AY24">
        <f t="shared" si="4"/>
        <v>3.6178538644080582</v>
      </c>
      <c r="AZ24">
        <f t="shared" si="5"/>
        <v>3.5255650890285413</v>
      </c>
      <c r="BA24">
        <f t="shared" si="6"/>
        <v>-3.0606940442465516</v>
      </c>
      <c r="BB24">
        <f t="shared" si="7"/>
        <v>0.30307382609550659</v>
      </c>
      <c r="BC24">
        <f t="shared" si="8"/>
        <v>-3.6178538644080582</v>
      </c>
      <c r="BD24">
        <f t="shared" si="9"/>
        <v>3.6178538644080582</v>
      </c>
      <c r="BE24" s="40"/>
      <c r="BF24" s="40"/>
    </row>
    <row r="25" spans="1:58" ht="15.75" thickTop="1" x14ac:dyDescent="0.25">
      <c r="C25" s="6">
        <f ca="1">SUM(C15:C24)</f>
        <v>4.95</v>
      </c>
      <c r="D25" s="25">
        <f ca="1">C25/(B5*F27)</f>
        <v>1.8749999999999999E-2</v>
      </c>
      <c r="G25" s="1">
        <v>18</v>
      </c>
      <c r="H25" s="6">
        <v>2.2570000000000001</v>
      </c>
      <c r="I25" s="6">
        <v>4</v>
      </c>
      <c r="AS25">
        <v>-2.7401669256311019</v>
      </c>
      <c r="AT25">
        <v>-226.34774047342069</v>
      </c>
      <c r="AU25">
        <v>-19.147312240882464</v>
      </c>
      <c r="AV25">
        <f t="shared" si="1"/>
        <v>-3.0572011093475648</v>
      </c>
      <c r="AW25">
        <f t="shared" si="2"/>
        <v>0.31703418371646297</v>
      </c>
      <c r="AX25" s="40">
        <f t="shared" si="3"/>
        <v>-3.6143609295090715</v>
      </c>
      <c r="AY25">
        <f t="shared" si="4"/>
        <v>3.6143609295090715</v>
      </c>
      <c r="AZ25">
        <f t="shared" si="5"/>
        <v>3.5430183815484844</v>
      </c>
      <c r="BA25">
        <f t="shared" si="6"/>
        <v>-3.0572011093475648</v>
      </c>
      <c r="BB25">
        <f t="shared" si="7"/>
        <v>0.31703418371646297</v>
      </c>
      <c r="BC25">
        <f t="shared" si="8"/>
        <v>-3.6143609295090715</v>
      </c>
      <c r="BD25">
        <f t="shared" si="9"/>
        <v>3.6143609295090715</v>
      </c>
      <c r="BE25" s="40"/>
      <c r="BF25" s="40"/>
    </row>
    <row r="26" spans="1:58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>
        <v>-2.7227136331111588</v>
      </c>
      <c r="AT26">
        <v>-226.02532590307183</v>
      </c>
      <c r="AU26">
        <v>-19.881275313172932</v>
      </c>
      <c r="AV26">
        <f t="shared" si="1"/>
        <v>-3.0538580692247423</v>
      </c>
      <c r="AW26">
        <f t="shared" si="2"/>
        <v>0.33114443611358357</v>
      </c>
      <c r="AX26" s="40">
        <f t="shared" si="3"/>
        <v>-3.611017889386249</v>
      </c>
      <c r="AY26">
        <f t="shared" si="4"/>
        <v>3.611017889386249</v>
      </c>
      <c r="AZ26">
        <f t="shared" si="5"/>
        <v>3.5604716740684275</v>
      </c>
      <c r="BA26">
        <f t="shared" si="6"/>
        <v>-3.0538580692247423</v>
      </c>
      <c r="BB26">
        <f t="shared" si="7"/>
        <v>0.33114443611358357</v>
      </c>
      <c r="BC26">
        <f t="shared" si="8"/>
        <v>-3.611017889386249</v>
      </c>
      <c r="BD26">
        <f t="shared" si="9"/>
        <v>3.611017889386249</v>
      </c>
      <c r="BE26" s="40"/>
      <c r="BF26" s="40"/>
    </row>
    <row r="27" spans="1:58" x14ac:dyDescent="0.25">
      <c r="A27" s="8" t="s">
        <v>15</v>
      </c>
      <c r="B27" s="34">
        <v>3.1415926535897722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>
        <v>-2.7052603405912157</v>
      </c>
      <c r="AT27">
        <v>-225.70130450772922</v>
      </c>
      <c r="AU27">
        <v>-20.584340298529096</v>
      </c>
      <c r="AV27">
        <f t="shared" si="1"/>
        <v>-3.050642573788926</v>
      </c>
      <c r="AW27">
        <f t="shared" si="2"/>
        <v>0.34538223319771033</v>
      </c>
      <c r="AX27" s="40">
        <f t="shared" si="3"/>
        <v>-3.6078023939504327</v>
      </c>
      <c r="AY27">
        <f t="shared" si="4"/>
        <v>3.6078023939504327</v>
      </c>
      <c r="AZ27">
        <f t="shared" si="5"/>
        <v>3.5779249665883706</v>
      </c>
      <c r="BA27">
        <f t="shared" si="6"/>
        <v>-3.050642573788926</v>
      </c>
      <c r="BB27">
        <f t="shared" si="7"/>
        <v>0.34538223319771033</v>
      </c>
      <c r="BC27">
        <f t="shared" si="8"/>
        <v>-3.6078023939504327</v>
      </c>
      <c r="BD27">
        <f t="shared" si="9"/>
        <v>3.6078023939504327</v>
      </c>
      <c r="BE27" s="40"/>
      <c r="BF27" s="40"/>
    </row>
    <row r="28" spans="1:58" x14ac:dyDescent="0.25">
      <c r="A28" s="8" t="s">
        <v>17</v>
      </c>
      <c r="B28" s="34">
        <v>2.6313102761442018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>
        <v>-2.6878070480712726</v>
      </c>
      <c r="AT28">
        <v>-225.37480497383379</v>
      </c>
      <c r="AU28">
        <v>-21.260816780802934</v>
      </c>
      <c r="AV28">
        <f t="shared" si="1"/>
        <v>-3.047535628967299</v>
      </c>
      <c r="AW28">
        <f t="shared" si="2"/>
        <v>0.35972858089602644</v>
      </c>
      <c r="AX28" s="40">
        <f t="shared" si="3"/>
        <v>-3.6046954491288057</v>
      </c>
      <c r="AY28">
        <f t="shared" si="4"/>
        <v>3.6046954491288057</v>
      </c>
      <c r="AZ28">
        <f t="shared" si="5"/>
        <v>3.5953782591083137</v>
      </c>
      <c r="BA28">
        <f t="shared" si="6"/>
        <v>-3.047535628967299</v>
      </c>
      <c r="BB28">
        <f t="shared" si="7"/>
        <v>0.35972858089602644</v>
      </c>
      <c r="BC28">
        <f t="shared" si="8"/>
        <v>-3.6046954491288057</v>
      </c>
      <c r="BD28">
        <f t="shared" si="9"/>
        <v>3.6046954491288057</v>
      </c>
      <c r="BE28" s="40"/>
      <c r="BF28" s="40"/>
    </row>
    <row r="29" spans="1:58" x14ac:dyDescent="0.25">
      <c r="A29" s="8" t="s">
        <v>18</v>
      </c>
      <c r="B29" s="6">
        <f>B28*B4</f>
        <v>2.1050482209153611</v>
      </c>
      <c r="C29" t="s">
        <v>4</v>
      </c>
      <c r="G29" s="1" t="s">
        <v>84</v>
      </c>
      <c r="H29" s="22" t="s">
        <v>85</v>
      </c>
      <c r="I29" s="7">
        <v>5</v>
      </c>
      <c r="AS29">
        <v>-2.6703537555513295</v>
      </c>
      <c r="AT29">
        <v>-225.0450111653131</v>
      </c>
      <c r="AU29">
        <v>-21.914382616897434</v>
      </c>
      <c r="AV29">
        <f t="shared" si="1"/>
        <v>-3.0445209311885262</v>
      </c>
      <c r="AW29">
        <f t="shared" si="2"/>
        <v>0.3741671756371967</v>
      </c>
      <c r="AX29" s="40">
        <f t="shared" si="3"/>
        <v>-3.6016807513500328</v>
      </c>
      <c r="AY29">
        <f t="shared" si="4"/>
        <v>3.6016807513500328</v>
      </c>
      <c r="AZ29">
        <f t="shared" si="5"/>
        <v>3.6128315516282568</v>
      </c>
      <c r="BA29">
        <f t="shared" si="6"/>
        <v>-3.0445209311885262</v>
      </c>
      <c r="BB29">
        <f t="shared" si="7"/>
        <v>0.3741671756371967</v>
      </c>
      <c r="BC29">
        <f t="shared" si="8"/>
        <v>-3.6016807513500328</v>
      </c>
      <c r="BD29">
        <f t="shared" si="9"/>
        <v>3.6016807513500328</v>
      </c>
      <c r="BE29" s="40"/>
      <c r="BF29" s="40"/>
    </row>
    <row r="30" spans="1:58" x14ac:dyDescent="0.25">
      <c r="A30" s="8" t="s">
        <v>102</v>
      </c>
      <c r="B30" s="1">
        <v>3.0000000000000001E-3</v>
      </c>
      <c r="AS30">
        <v>-2.6529004630313864</v>
      </c>
      <c r="AT30">
        <v>-224.98378555648952</v>
      </c>
      <c r="AU30">
        <v>-22.069698831808253</v>
      </c>
      <c r="AV30">
        <f t="shared" si="1"/>
        <v>-3.0438108701935982</v>
      </c>
      <c r="AW30">
        <f t="shared" si="2"/>
        <v>0.39091040716221181</v>
      </c>
      <c r="AX30" s="40">
        <f t="shared" si="3"/>
        <v>-3.6009706903551049</v>
      </c>
      <c r="AY30">
        <f t="shared" si="4"/>
        <v>3.6009706903551049</v>
      </c>
      <c r="AZ30">
        <f t="shared" si="5"/>
        <v>3.6302848441481999</v>
      </c>
      <c r="BA30">
        <f t="shared" si="6"/>
        <v>-3.0438108701935982</v>
      </c>
      <c r="BB30">
        <f t="shared" si="7"/>
        <v>0.39091040716221181</v>
      </c>
      <c r="BC30">
        <f t="shared" si="8"/>
        <v>-3.6009706903551049</v>
      </c>
      <c r="BD30">
        <f t="shared" si="9"/>
        <v>3.6009706903551049</v>
      </c>
      <c r="BE30" s="40"/>
      <c r="BF30" s="40"/>
    </row>
    <row r="31" spans="1:58" x14ac:dyDescent="0.25">
      <c r="A31" s="8" t="s">
        <v>49</v>
      </c>
      <c r="B31" s="1">
        <f>B2*0.85</f>
        <v>4.25</v>
      </c>
      <c r="C31" t="s">
        <v>1</v>
      </c>
      <c r="AS31">
        <v>-2.6354471705114433</v>
      </c>
      <c r="AT31">
        <v>-224.37246549015288</v>
      </c>
      <c r="AU31">
        <v>-23.165032532687405</v>
      </c>
      <c r="AV31">
        <f t="shared" si="1"/>
        <v>-3.0387135074993648</v>
      </c>
      <c r="AW31">
        <f t="shared" si="2"/>
        <v>0.40326633698792147</v>
      </c>
      <c r="AX31" s="40">
        <f t="shared" si="3"/>
        <v>-3.5958733276608714</v>
      </c>
      <c r="AY31">
        <f t="shared" si="4"/>
        <v>3.5958733276608714</v>
      </c>
      <c r="AZ31">
        <f t="shared" si="5"/>
        <v>3.6477381366681429</v>
      </c>
      <c r="BA31">
        <f t="shared" si="6"/>
        <v>-3.0387135074993648</v>
      </c>
      <c r="BB31">
        <f t="shared" si="7"/>
        <v>0.40326633698792147</v>
      </c>
      <c r="BC31">
        <f t="shared" si="8"/>
        <v>-3.5958733276608714</v>
      </c>
      <c r="BD31">
        <f t="shared" si="9"/>
        <v>3.5958733276608714</v>
      </c>
      <c r="BE31" s="40"/>
      <c r="BF31" s="40"/>
    </row>
    <row r="32" spans="1:58" x14ac:dyDescent="0.25">
      <c r="J32" t="s">
        <v>88</v>
      </c>
      <c r="N32" t="s">
        <v>89</v>
      </c>
      <c r="AS32">
        <v>-2.6179938779915002</v>
      </c>
      <c r="AT32">
        <v>-224.02823521364451</v>
      </c>
      <c r="AU32">
        <v>-23.767275978590668</v>
      </c>
      <c r="AV32">
        <f t="shared" si="1"/>
        <v>-3.0358974726970178</v>
      </c>
      <c r="AW32">
        <f t="shared" si="2"/>
        <v>0.41790359470551763</v>
      </c>
      <c r="AX32" s="40">
        <f t="shared" si="3"/>
        <v>-3.5930572928585245</v>
      </c>
      <c r="AY32">
        <f t="shared" si="4"/>
        <v>3.5930572928585245</v>
      </c>
      <c r="AZ32">
        <f t="shared" si="5"/>
        <v>3.665191429188086</v>
      </c>
      <c r="BA32">
        <f t="shared" si="6"/>
        <v>-3.0358974726970178</v>
      </c>
      <c r="BB32">
        <f t="shared" si="7"/>
        <v>0.41790359470551763</v>
      </c>
      <c r="BC32">
        <f t="shared" si="8"/>
        <v>-3.5930572928585245</v>
      </c>
      <c r="BD32">
        <f t="shared" si="9"/>
        <v>3.5930572928585245</v>
      </c>
      <c r="BE32" s="40"/>
      <c r="BF32" s="40"/>
    </row>
    <row r="33" spans="1:58" x14ac:dyDescent="0.25">
      <c r="A33" t="s">
        <v>19</v>
      </c>
      <c r="J33">
        <f>(J38*COS(-1*$B$27))+(K38*SIN(-1*$B$27))+$I$2</f>
        <v>24.999999999999805</v>
      </c>
      <c r="K33">
        <f>(-1*J38*SIN(-1*$B$27))+(K38*COS(-1*$B$27))+$I$3</f>
        <v>2.631310276143676</v>
      </c>
      <c r="N33">
        <f>(N38*COS(-1*$B$27))+(O38*SIN(-1*$B$27))+$I$2</f>
        <v>24.999999999999794</v>
      </c>
      <c r="O33">
        <f>(-1*N38*SIN(-1*$B$27))+(O38*COS(-1*$B$27))+$I$3</f>
        <v>2.1050482209148349</v>
      </c>
      <c r="AS33">
        <v>-2.6005405854715571</v>
      </c>
      <c r="AT33">
        <v>-224.03269327685888</v>
      </c>
      <c r="AU33">
        <v>-23.762287583797477</v>
      </c>
      <c r="AV33">
        <f t="shared" si="1"/>
        <v>-3.0359215789216818</v>
      </c>
      <c r="AW33">
        <f t="shared" si="2"/>
        <v>0.43538099345012471</v>
      </c>
      <c r="AX33" s="40">
        <f t="shared" si="3"/>
        <v>-3.5930813990831885</v>
      </c>
      <c r="AY33">
        <f t="shared" si="4"/>
        <v>3.5930813990831885</v>
      </c>
      <c r="AZ33">
        <f t="shared" si="5"/>
        <v>3.6826447217080291</v>
      </c>
      <c r="BA33">
        <f t="shared" si="6"/>
        <v>-3.0359215789216818</v>
      </c>
      <c r="BB33">
        <f t="shared" si="7"/>
        <v>0.43538099345012471</v>
      </c>
      <c r="BC33">
        <f t="shared" si="8"/>
        <v>-3.5930813990831885</v>
      </c>
      <c r="BD33">
        <f t="shared" si="9"/>
        <v>3.5930813990831885</v>
      </c>
      <c r="BE33" s="40"/>
      <c r="BF33" s="40"/>
    </row>
    <row r="34" spans="1:58" x14ac:dyDescent="0.25">
      <c r="J34">
        <f>(J39*COS(-1*$B$27))+(K39*SIN(-1*$B$27))+$I$2</f>
        <v>-13.000000000000448</v>
      </c>
      <c r="K34">
        <f>(-1*J39*SIN(-1*$B$27))+(K39*COS(-1*$B$27))+$I$3</f>
        <v>2.6313102761444753</v>
      </c>
      <c r="N34">
        <f>(N39*COS(-1*$B$27))+(O39*SIN(-1*$B$27))+$I$2</f>
        <v>-13.000000000000458</v>
      </c>
      <c r="O34">
        <f>(-1*N39*SIN(-1*$B$27))+(O39*COS(-1*$B$27))+$I$3</f>
        <v>2.1050482209156343</v>
      </c>
      <c r="AS34">
        <v>-2.583087292951614</v>
      </c>
      <c r="AT34">
        <v>-223.32023828047039</v>
      </c>
      <c r="AU34">
        <v>-24.936290650229346</v>
      </c>
      <c r="AV34">
        <f t="shared" si="1"/>
        <v>-3.0303917094755897</v>
      </c>
      <c r="AW34">
        <f t="shared" si="2"/>
        <v>0.44730441652397568</v>
      </c>
      <c r="AX34" s="40">
        <f t="shared" si="3"/>
        <v>-3.5875515296370963</v>
      </c>
      <c r="AY34">
        <f t="shared" si="4"/>
        <v>3.5875515296370963</v>
      </c>
      <c r="AZ34">
        <f t="shared" si="5"/>
        <v>3.7000980142279722</v>
      </c>
      <c r="BA34">
        <f t="shared" si="6"/>
        <v>-3.0303917094755897</v>
      </c>
      <c r="BB34">
        <f t="shared" si="7"/>
        <v>0.44730441652397568</v>
      </c>
      <c r="BC34">
        <f t="shared" si="8"/>
        <v>-3.5875515296370963</v>
      </c>
      <c r="BD34">
        <f t="shared" si="9"/>
        <v>3.5875515296370963</v>
      </c>
      <c r="BE34" s="40"/>
      <c r="BF34" s="40"/>
    </row>
    <row r="35" spans="1:58" x14ac:dyDescent="0.25">
      <c r="A35" s="8" t="s">
        <v>20</v>
      </c>
      <c r="AD35" t="s">
        <v>135</v>
      </c>
      <c r="AS35">
        <v>-2.5656340004316709</v>
      </c>
      <c r="AT35">
        <v>-222.9550175404911</v>
      </c>
      <c r="AU35">
        <v>-25.506662894715209</v>
      </c>
      <c r="AV35">
        <f t="shared" si="1"/>
        <v>-3.0276851399426818</v>
      </c>
      <c r="AW35">
        <f t="shared" si="2"/>
        <v>0.46205113951101096</v>
      </c>
      <c r="AX35" s="40">
        <f t="shared" si="3"/>
        <v>-3.5848449601041885</v>
      </c>
      <c r="AY35">
        <f t="shared" si="4"/>
        <v>3.5848449601041885</v>
      </c>
      <c r="AZ35">
        <f t="shared" si="5"/>
        <v>3.7175513067479153</v>
      </c>
      <c r="BA35">
        <f t="shared" si="6"/>
        <v>-3.0276851399426818</v>
      </c>
      <c r="BB35">
        <f t="shared" si="7"/>
        <v>0.46205113951101096</v>
      </c>
      <c r="BC35">
        <f t="shared" si="8"/>
        <v>-3.5848449601041885</v>
      </c>
      <c r="BD35">
        <f t="shared" si="9"/>
        <v>3.5848449601041885</v>
      </c>
      <c r="BE35" s="40"/>
      <c r="BF35" s="40"/>
    </row>
    <row r="36" spans="1:58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70.888888888889767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>
        <v>-2.5481807079117278</v>
      </c>
      <c r="AT36">
        <v>-223.02173846396818</v>
      </c>
      <c r="AU36">
        <v>-25.37254834859452</v>
      </c>
      <c r="AV36">
        <f t="shared" si="1"/>
        <v>-3.0283125514407803</v>
      </c>
      <c r="AW36">
        <f t="shared" si="2"/>
        <v>0.48013184352905247</v>
      </c>
      <c r="AX36" s="40">
        <f t="shared" si="3"/>
        <v>-3.5854723716022869</v>
      </c>
      <c r="AY36">
        <f t="shared" si="4"/>
        <v>3.5854723716022869</v>
      </c>
      <c r="AZ36">
        <f t="shared" si="5"/>
        <v>3.7350045992678584</v>
      </c>
      <c r="BA36">
        <f t="shared" si="6"/>
        <v>-3.0283125514407803</v>
      </c>
      <c r="BB36">
        <f t="shared" si="7"/>
        <v>0.48013184352905247</v>
      </c>
      <c r="BC36">
        <f t="shared" si="8"/>
        <v>-3.5854723716022869</v>
      </c>
      <c r="BD36">
        <f t="shared" si="9"/>
        <v>3.5854723716022869</v>
      </c>
      <c r="BE36" s="40"/>
      <c r="BF36" s="40"/>
    </row>
    <row r="37" spans="1:58" x14ac:dyDescent="0.25">
      <c r="A37" s="3">
        <f t="shared" ref="A37:A43" si="16">E3-$I$2</f>
        <v>-6</v>
      </c>
      <c r="B37" s="6">
        <f t="shared" ref="B37:B43" si="17">F3-$I$3</f>
        <v>-12</v>
      </c>
      <c r="C37" s="6">
        <f>A37*COS($B$27)+B37*SIN($B$27)</f>
        <v>5.9999999999997478</v>
      </c>
      <c r="D37" s="6">
        <f>-1*A37*SIN($B$27)+B37*COS($B$27)</f>
        <v>12.000000000000126</v>
      </c>
      <c r="F37" s="8" t="s">
        <v>23</v>
      </c>
      <c r="G37" s="1">
        <f>MAX(D37:D41)-MIN(D37:D41)</f>
        <v>24.000000000000504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f>-1*AE37</f>
        <v>3.1415926535897931</v>
      </c>
      <c r="AE37">
        <f>-1*PI()</f>
        <v>-3.1415926535897931</v>
      </c>
      <c r="AS37">
        <v>-2.5307274153917847</v>
      </c>
      <c r="AT37">
        <v>-222.66815043898316</v>
      </c>
      <c r="AU37">
        <v>-25.8980291499165</v>
      </c>
      <c r="AV37">
        <f t="shared" si="1"/>
        <v>-3.0258051490789017</v>
      </c>
      <c r="AW37">
        <f t="shared" si="2"/>
        <v>0.49507773368711705</v>
      </c>
      <c r="AX37" s="40">
        <f t="shared" si="3"/>
        <v>-3.5829649692404084</v>
      </c>
      <c r="AY37">
        <f t="shared" si="4"/>
        <v>3.5829649692404084</v>
      </c>
      <c r="AZ37">
        <f t="shared" si="5"/>
        <v>3.7524578917878015</v>
      </c>
      <c r="BA37">
        <f t="shared" si="6"/>
        <v>-3.0258051490789017</v>
      </c>
      <c r="BB37">
        <f t="shared" si="7"/>
        <v>0.49507773368711705</v>
      </c>
      <c r="BC37">
        <f t="shared" si="8"/>
        <v>-3.5829649692404084</v>
      </c>
      <c r="BD37">
        <f t="shared" si="9"/>
        <v>3.5829649692404084</v>
      </c>
      <c r="BE37" s="40"/>
      <c r="BF37" s="40"/>
    </row>
    <row r="38" spans="1:58" x14ac:dyDescent="0.25">
      <c r="A38" s="3">
        <f t="shared" si="16"/>
        <v>6</v>
      </c>
      <c r="B38" s="6">
        <f t="shared" si="17"/>
        <v>-12</v>
      </c>
      <c r="C38" s="6">
        <f t="shared" ref="C38:C41" si="18">A38*COS($B$27)+B38*SIN($B$27)</f>
        <v>-6.0000000000002522</v>
      </c>
      <c r="D38" s="6">
        <f t="shared" ref="D38:D41" si="19">-1*A38*SIN($B$27)+B38*COS($B$27)</f>
        <v>11.999999999999874</v>
      </c>
      <c r="F38" s="8" t="s">
        <v>24</v>
      </c>
      <c r="G38" s="6">
        <f>MAX(D37:D43)</f>
        <v>12.000000000000126</v>
      </c>
      <c r="H38" t="s">
        <v>4</v>
      </c>
      <c r="J38" s="9">
        <f>MIN(C37:C43,A37:A43)-1</f>
        <v>-19</v>
      </c>
      <c r="K38" s="9">
        <f>G40</f>
        <v>9.3686897238559244</v>
      </c>
      <c r="N38" s="9">
        <f>J38</f>
        <v>-19</v>
      </c>
      <c r="O38" s="9">
        <f>G41</f>
        <v>9.8949517790847654</v>
      </c>
      <c r="AD38">
        <f>AE37</f>
        <v>-3.1415926535897931</v>
      </c>
      <c r="AE38">
        <f>AE37</f>
        <v>-3.1415926535897931</v>
      </c>
      <c r="AS38">
        <v>-2.5132741228718416</v>
      </c>
      <c r="AT38">
        <v>-222.30501720965805</v>
      </c>
      <c r="AU38">
        <v>-26.419962758401248</v>
      </c>
      <c r="AV38">
        <f t="shared" si="1"/>
        <v>-3.0233019412365731</v>
      </c>
      <c r="AW38">
        <f t="shared" si="2"/>
        <v>0.51002781836473154</v>
      </c>
      <c r="AX38" s="40">
        <f t="shared" si="3"/>
        <v>-3.5804617613980798</v>
      </c>
      <c r="AY38">
        <f t="shared" si="4"/>
        <v>3.5804617613980798</v>
      </c>
      <c r="AZ38">
        <f t="shared" si="5"/>
        <v>3.7699111843077446</v>
      </c>
      <c r="BA38">
        <f t="shared" si="6"/>
        <v>-3.0233019412365731</v>
      </c>
      <c r="BB38">
        <f t="shared" si="7"/>
        <v>0.51002781836473154</v>
      </c>
      <c r="BC38">
        <f t="shared" si="8"/>
        <v>-3.5804617613980798</v>
      </c>
      <c r="BD38">
        <f t="shared" si="9"/>
        <v>3.5804617613980798</v>
      </c>
      <c r="BE38" s="40"/>
      <c r="BF38" s="40"/>
    </row>
    <row r="39" spans="1:58" x14ac:dyDescent="0.25">
      <c r="A39" s="3">
        <f t="shared" si="16"/>
        <v>6</v>
      </c>
      <c r="B39" s="6">
        <f t="shared" si="17"/>
        <v>4</v>
      </c>
      <c r="C39" s="6">
        <f t="shared" si="18"/>
        <v>-5.9999999999999156</v>
      </c>
      <c r="D39" s="6">
        <f t="shared" si="19"/>
        <v>-4.0000000000001261</v>
      </c>
      <c r="J39" s="9">
        <f>MAX(C37:C43,A37:A43)+1</f>
        <v>19.000000000000252</v>
      </c>
      <c r="K39" s="9">
        <f>K38</f>
        <v>9.3686897238559244</v>
      </c>
      <c r="N39" s="9">
        <f>J39</f>
        <v>19.000000000000252</v>
      </c>
      <c r="O39" s="9">
        <f>G41</f>
        <v>9.8949517790847654</v>
      </c>
      <c r="AD39">
        <f>AD38</f>
        <v>-3.1415926535897931</v>
      </c>
      <c r="AE39">
        <f>-1*(AD39)</f>
        <v>3.1415926535897931</v>
      </c>
      <c r="AS39">
        <v>-2.4958208303518985</v>
      </c>
      <c r="AT39">
        <v>-221.93154541392499</v>
      </c>
      <c r="AU39">
        <v>-26.939472376869915</v>
      </c>
      <c r="AV39">
        <f t="shared" si="1"/>
        <v>-3.0207972287075413</v>
      </c>
      <c r="AW39">
        <f t="shared" si="2"/>
        <v>0.5249763983556428</v>
      </c>
      <c r="AX39" s="40">
        <f t="shared" si="3"/>
        <v>-3.577957048869048</v>
      </c>
      <c r="AY39">
        <f t="shared" si="4"/>
        <v>3.577957048869048</v>
      </c>
      <c r="AZ39">
        <f t="shared" si="5"/>
        <v>3.7873644768276877</v>
      </c>
      <c r="BA39">
        <f t="shared" si="6"/>
        <v>-3.0207972287075413</v>
      </c>
      <c r="BB39">
        <f t="shared" si="7"/>
        <v>0.5249763983556428</v>
      </c>
      <c r="BC39">
        <f t="shared" si="8"/>
        <v>-3.577957048869048</v>
      </c>
      <c r="BD39">
        <f t="shared" si="9"/>
        <v>3.577957048869048</v>
      </c>
      <c r="BE39" s="40"/>
      <c r="BF39" s="40"/>
    </row>
    <row r="40" spans="1:58" x14ac:dyDescent="0.25">
      <c r="A40" s="3">
        <f t="shared" si="16"/>
        <v>18</v>
      </c>
      <c r="B40" s="6">
        <f t="shared" si="17"/>
        <v>4</v>
      </c>
      <c r="C40" s="6">
        <f t="shared" si="18"/>
        <v>-17.999999999999915</v>
      </c>
      <c r="D40" s="6">
        <f t="shared" si="19"/>
        <v>-4.0000000000003775</v>
      </c>
      <c r="F40" s="8" t="s">
        <v>50</v>
      </c>
      <c r="G40" s="9">
        <f>G38-B28</f>
        <v>9.3686897238559244</v>
      </c>
      <c r="AD40">
        <f>AE39</f>
        <v>3.1415926535897931</v>
      </c>
      <c r="AE40">
        <f>AE39</f>
        <v>3.1415926535897931</v>
      </c>
      <c r="AS40">
        <v>-2.4783675378319554</v>
      </c>
      <c r="AT40">
        <v>-221.54690082804183</v>
      </c>
      <c r="AU40">
        <v>-27.457617066583765</v>
      </c>
      <c r="AV40">
        <f t="shared" si="1"/>
        <v>-3.0182855139217093</v>
      </c>
      <c r="AW40">
        <f t="shared" si="2"/>
        <v>0.53991797608975389</v>
      </c>
      <c r="AX40" s="40">
        <f t="shared" si="3"/>
        <v>-3.575445334083216</v>
      </c>
      <c r="AY40">
        <f t="shared" si="4"/>
        <v>3.575445334083216</v>
      </c>
      <c r="AZ40">
        <f t="shared" si="5"/>
        <v>3.8048177693476308</v>
      </c>
      <c r="BA40">
        <f t="shared" si="6"/>
        <v>-3.0182855139217093</v>
      </c>
      <c r="BB40">
        <f t="shared" si="7"/>
        <v>0.53991797608975389</v>
      </c>
      <c r="BC40">
        <f t="shared" si="8"/>
        <v>-3.575445334083216</v>
      </c>
      <c r="BD40">
        <f t="shared" si="9"/>
        <v>3.575445334083216</v>
      </c>
      <c r="BE40" s="40"/>
      <c r="BF40" s="40"/>
    </row>
    <row r="41" spans="1:58" x14ac:dyDescent="0.25">
      <c r="A41" s="3">
        <f t="shared" si="16"/>
        <v>18</v>
      </c>
      <c r="B41" s="6">
        <f t="shared" si="17"/>
        <v>12</v>
      </c>
      <c r="C41" s="6">
        <f t="shared" si="18"/>
        <v>-17.999999999999748</v>
      </c>
      <c r="D41" s="6">
        <f t="shared" si="19"/>
        <v>-12.000000000000378</v>
      </c>
      <c r="F41" s="8" t="s">
        <v>51</v>
      </c>
      <c r="G41" s="9">
        <f>G38-B29</f>
        <v>9.8949517790847654</v>
      </c>
      <c r="J41" s="9"/>
      <c r="K41" s="9"/>
      <c r="N41" s="9"/>
      <c r="O41" s="9"/>
      <c r="AD41">
        <f>AD40</f>
        <v>3.1415926535897931</v>
      </c>
      <c r="AE41">
        <f>AE37</f>
        <v>-3.1415926535897931</v>
      </c>
      <c r="AS41">
        <v>-2.4609142453120123</v>
      </c>
      <c r="AT41">
        <v>-220.94408852568279</v>
      </c>
      <c r="AU41">
        <v>-28.234223393858816</v>
      </c>
      <c r="AV41">
        <f t="shared" si="1"/>
        <v>-3.0144925192074674</v>
      </c>
      <c r="AW41">
        <f t="shared" si="2"/>
        <v>0.55357827389545511</v>
      </c>
      <c r="AX41" s="40">
        <f t="shared" si="3"/>
        <v>-3.5716523393689741</v>
      </c>
      <c r="AY41">
        <f t="shared" si="4"/>
        <v>3.5716523393689741</v>
      </c>
      <c r="AZ41">
        <f t="shared" si="5"/>
        <v>3.8222710618675739</v>
      </c>
      <c r="BA41">
        <f t="shared" si="6"/>
        <v>-3.0144925192074674</v>
      </c>
      <c r="BB41">
        <f t="shared" si="7"/>
        <v>0.55357827389545511</v>
      </c>
      <c r="BC41">
        <f t="shared" si="8"/>
        <v>-3.5716523393689741</v>
      </c>
      <c r="BD41">
        <f t="shared" si="9"/>
        <v>3.5716523393689741</v>
      </c>
      <c r="BE41" s="40"/>
      <c r="BF41" s="40"/>
    </row>
    <row r="42" spans="1:58" x14ac:dyDescent="0.25">
      <c r="A42" s="3">
        <f t="shared" si="16"/>
        <v>-18</v>
      </c>
      <c r="B42" s="6">
        <f t="shared" si="17"/>
        <v>12</v>
      </c>
      <c r="C42" s="6">
        <f t="shared" ref="C42:C43" si="20">A42*COS($B$27)+B42*SIN($B$27)</f>
        <v>18.000000000000252</v>
      </c>
      <c r="D42" s="6">
        <f t="shared" ref="D42:D43" si="21">-1*A42*SIN($B$27)+B42*COS($B$27)</f>
        <v>-11.999999999999622</v>
      </c>
      <c r="J42" s="9"/>
      <c r="K42" s="9"/>
      <c r="N42" s="9"/>
      <c r="O42" s="9"/>
      <c r="AS42">
        <v>-2.4434609527920692</v>
      </c>
      <c r="AT42">
        <v>-219.29209427152523</v>
      </c>
      <c r="AU42">
        <v>-30.27280559403907</v>
      </c>
      <c r="AV42">
        <f t="shared" si="1"/>
        <v>-3.0044118310218164</v>
      </c>
      <c r="AW42">
        <f t="shared" si="2"/>
        <v>0.56095087822974721</v>
      </c>
      <c r="AX42" s="40">
        <f t="shared" si="3"/>
        <v>-3.5615716511833231</v>
      </c>
      <c r="AY42">
        <f t="shared" si="4"/>
        <v>3.5615716511833231</v>
      </c>
      <c r="AZ42">
        <f t="shared" si="5"/>
        <v>3.839724354387517</v>
      </c>
      <c r="BA42">
        <f t="shared" si="6"/>
        <v>-3.0044118310218164</v>
      </c>
      <c r="BB42">
        <f t="shared" si="7"/>
        <v>0.56095087822974721</v>
      </c>
      <c r="BC42">
        <f t="shared" si="8"/>
        <v>-3.5615716511833231</v>
      </c>
      <c r="BD42">
        <f t="shared" si="9"/>
        <v>3.5615716511833231</v>
      </c>
      <c r="BE42" s="40"/>
      <c r="BF42" s="40"/>
    </row>
    <row r="43" spans="1:58" x14ac:dyDescent="0.25">
      <c r="A43" s="3">
        <f t="shared" si="16"/>
        <v>-18</v>
      </c>
      <c r="B43" s="6">
        <f t="shared" si="17"/>
        <v>4</v>
      </c>
      <c r="C43" s="6">
        <f t="shared" si="20"/>
        <v>18.000000000000085</v>
      </c>
      <c r="D43" s="6">
        <f t="shared" si="21"/>
        <v>-3.9999999999996221</v>
      </c>
      <c r="AD43" t="s">
        <v>134</v>
      </c>
      <c r="AS43">
        <v>-2.4260076602721261</v>
      </c>
      <c r="AT43">
        <v>-216.60071154361844</v>
      </c>
      <c r="AU43">
        <v>-33.481194591417562</v>
      </c>
      <c r="AV43">
        <f t="shared" si="1"/>
        <v>-2.9882307795923766</v>
      </c>
      <c r="AW43">
        <f t="shared" si="2"/>
        <v>0.56222311932025049</v>
      </c>
      <c r="AX43" s="40">
        <f t="shared" si="3"/>
        <v>-3.5453905997538833</v>
      </c>
      <c r="AY43">
        <f t="shared" si="4"/>
        <v>3.5453905997538833</v>
      </c>
      <c r="AZ43">
        <f t="shared" si="5"/>
        <v>3.8571776469074601</v>
      </c>
      <c r="BA43">
        <f t="shared" si="6"/>
        <v>-2.9882307795923766</v>
      </c>
      <c r="BB43">
        <f t="shared" si="7"/>
        <v>0.56222311932025049</v>
      </c>
      <c r="BC43">
        <f t="shared" si="8"/>
        <v>-3.5453905997538833</v>
      </c>
      <c r="BD43">
        <f t="shared" si="9"/>
        <v>3.5453905997538833</v>
      </c>
      <c r="BE43" s="40"/>
      <c r="BF43" s="40"/>
    </row>
    <row r="44" spans="1:58" x14ac:dyDescent="0.25">
      <c r="A44" s="3">
        <f t="shared" ref="A44:A45" si="22">E10-$I$2</f>
        <v>-6</v>
      </c>
      <c r="B44" s="6">
        <f t="shared" ref="B44:B45" si="23">F10-$I$3</f>
        <v>4</v>
      </c>
      <c r="C44" s="6">
        <f t="shared" ref="C44:C45" si="24">A44*COS($B$27)+B44*SIN($B$27)</f>
        <v>6.0000000000000844</v>
      </c>
      <c r="D44" s="6">
        <f t="shared" ref="D44:D45" si="25">-1*A44*SIN($B$27)+B44*COS($B$27)</f>
        <v>-3.9999999999998739</v>
      </c>
      <c r="AD44" t="s">
        <v>8</v>
      </c>
      <c r="AE44" t="s">
        <v>9</v>
      </c>
      <c r="AS44">
        <v>-2.408554367752183</v>
      </c>
      <c r="AT44">
        <v>-212.95653574711093</v>
      </c>
      <c r="AU44">
        <v>-37.685377827167088</v>
      </c>
      <c r="AV44">
        <f t="shared" si="1"/>
        <v>-2.9664431804657729</v>
      </c>
      <c r="AW44">
        <f t="shared" si="2"/>
        <v>0.55788881271358992</v>
      </c>
      <c r="AX44" s="40">
        <f t="shared" si="3"/>
        <v>-3.5236030006272796</v>
      </c>
      <c r="AY44">
        <f t="shared" si="4"/>
        <v>3.5236030006272796</v>
      </c>
      <c r="AZ44">
        <f t="shared" si="5"/>
        <v>3.8746309394274032</v>
      </c>
      <c r="BA44">
        <f t="shared" si="6"/>
        <v>-2.9664431804657729</v>
      </c>
      <c r="BB44">
        <f t="shared" si="7"/>
        <v>0.55788881271358992</v>
      </c>
      <c r="BC44">
        <f t="shared" si="8"/>
        <v>-3.5236030006272796</v>
      </c>
      <c r="BD44">
        <f t="shared" si="9"/>
        <v>3.5236030006272796</v>
      </c>
      <c r="BE44" s="40"/>
      <c r="BF44" s="40"/>
    </row>
    <row r="45" spans="1:58" x14ac:dyDescent="0.25">
      <c r="A45" s="3">
        <f t="shared" si="22"/>
        <v>-6</v>
      </c>
      <c r="B45" s="6">
        <f t="shared" si="23"/>
        <v>-12</v>
      </c>
      <c r="C45" s="6">
        <f t="shared" si="24"/>
        <v>5.9999999999997478</v>
      </c>
      <c r="D45" s="6">
        <f t="shared" si="25"/>
        <v>12.000000000000126</v>
      </c>
      <c r="AD45" s="40">
        <f>U13+PI()/2</f>
        <v>2.1279561469564032</v>
      </c>
      <c r="AE45">
        <v>0</v>
      </c>
      <c r="AS45">
        <v>-2.3911010752322399</v>
      </c>
      <c r="AT45">
        <v>-208.42306996678388</v>
      </c>
      <c r="AU45">
        <v>-42.752314571804376</v>
      </c>
      <c r="AV45">
        <f t="shared" si="1"/>
        <v>-2.9392762541045294</v>
      </c>
      <c r="AW45">
        <f t="shared" si="2"/>
        <v>0.5481751788722895</v>
      </c>
      <c r="AX45" s="40">
        <f t="shared" si="3"/>
        <v>-3.4964360742660361</v>
      </c>
      <c r="AY45">
        <f t="shared" si="4"/>
        <v>3.4964360742660361</v>
      </c>
      <c r="AZ45">
        <f t="shared" si="5"/>
        <v>3.8920842319473463</v>
      </c>
      <c r="BA45">
        <f t="shared" si="6"/>
        <v>-2.9392762541045294</v>
      </c>
      <c r="BB45">
        <f t="shared" si="7"/>
        <v>0.5481751788722895</v>
      </c>
      <c r="BC45">
        <f t="shared" si="8"/>
        <v>-3.4964360742660361</v>
      </c>
      <c r="BD45">
        <f t="shared" si="9"/>
        <v>3.4964360742660361</v>
      </c>
      <c r="BE45" s="40"/>
      <c r="BF45" s="40"/>
    </row>
    <row r="46" spans="1:58" x14ac:dyDescent="0.25">
      <c r="AD46" s="40">
        <f>U13-PI()/2</f>
        <v>-1.0136365066333899</v>
      </c>
      <c r="AE46">
        <f>AE45</f>
        <v>0</v>
      </c>
      <c r="AS46">
        <v>-2.3736477827122968</v>
      </c>
      <c r="AT46">
        <v>-203.04509011482025</v>
      </c>
      <c r="AU46">
        <v>-48.580427321195003</v>
      </c>
      <c r="AV46">
        <f t="shared" si="1"/>
        <v>-2.9067481442467753</v>
      </c>
      <c r="AW46">
        <f t="shared" si="2"/>
        <v>0.53310036153447848</v>
      </c>
      <c r="AX46" s="40">
        <f t="shared" si="3"/>
        <v>-3.463907964408282</v>
      </c>
      <c r="AY46">
        <f t="shared" si="4"/>
        <v>3.463907964408282</v>
      </c>
      <c r="AZ46">
        <f t="shared" si="5"/>
        <v>3.9095375244672894</v>
      </c>
      <c r="BA46">
        <f t="shared" si="6"/>
        <v>-2.9067481442467753</v>
      </c>
      <c r="BB46">
        <f t="shared" si="7"/>
        <v>0.53310036153447848</v>
      </c>
      <c r="BC46">
        <f t="shared" si="8"/>
        <v>-3.463907964408282</v>
      </c>
      <c r="BD46">
        <f t="shared" si="9"/>
        <v>3.463907964408282</v>
      </c>
      <c r="BE46" s="40"/>
      <c r="BF46" s="40"/>
    </row>
    <row r="47" spans="1:58" x14ac:dyDescent="0.25">
      <c r="A47" t="s">
        <v>27</v>
      </c>
      <c r="AS47">
        <v>-2.3561944901923537</v>
      </c>
      <c r="AT47">
        <v>-196.85170484013273</v>
      </c>
      <c r="AU47">
        <v>-55.092814507956575</v>
      </c>
      <c r="AV47">
        <f t="shared" si="1"/>
        <v>-2.8687048433147799</v>
      </c>
      <c r="AW47">
        <f t="shared" si="2"/>
        <v>0.51251035312242621</v>
      </c>
      <c r="AX47" s="40">
        <f t="shared" si="3"/>
        <v>-3.4258646634762866</v>
      </c>
      <c r="AY47">
        <f t="shared" si="4"/>
        <v>3.4258646634762866</v>
      </c>
      <c r="AZ47">
        <f t="shared" si="5"/>
        <v>3.9269908169872325</v>
      </c>
      <c r="BA47">
        <f t="shared" si="6"/>
        <v>-2.8687048433147799</v>
      </c>
      <c r="BB47">
        <f t="shared" si="7"/>
        <v>0.51251035312242621</v>
      </c>
      <c r="BC47">
        <f t="shared" si="8"/>
        <v>-3.4258646634762866</v>
      </c>
      <c r="BD47">
        <f t="shared" si="9"/>
        <v>3.4258646634762866</v>
      </c>
      <c r="BE47" s="40"/>
      <c r="BF47" s="40"/>
    </row>
    <row r="48" spans="1:58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>
        <v>-2.3387411976724106</v>
      </c>
      <c r="AT48">
        <v>-189.85847440305341</v>
      </c>
      <c r="AU48">
        <v>-62.232347906796917</v>
      </c>
      <c r="AV48">
        <f t="shared" si="1"/>
        <v>-2.8248458431203747</v>
      </c>
      <c r="AW48">
        <f t="shared" si="2"/>
        <v>0.48610464544796406</v>
      </c>
      <c r="AX48" s="40">
        <f t="shared" si="3"/>
        <v>-3.3820056632818813</v>
      </c>
      <c r="AY48">
        <f t="shared" si="4"/>
        <v>3.3820056632818813</v>
      </c>
      <c r="AZ48">
        <f t="shared" si="5"/>
        <v>3.9444441095071756</v>
      </c>
      <c r="BA48">
        <f t="shared" si="6"/>
        <v>-2.8248458431203747</v>
      </c>
      <c r="BB48">
        <f t="shared" si="7"/>
        <v>0.48610464544796406</v>
      </c>
      <c r="BC48">
        <f t="shared" si="8"/>
        <v>-3.3820056632818813</v>
      </c>
      <c r="BD48">
        <f t="shared" si="9"/>
        <v>3.3820056632818813</v>
      </c>
      <c r="BE48" s="40"/>
      <c r="BF48" s="40"/>
    </row>
    <row r="49" spans="1:58" x14ac:dyDescent="0.25">
      <c r="A49" t="s">
        <v>43</v>
      </c>
      <c r="B49" s="6">
        <f>C37</f>
        <v>5.9999999999997478</v>
      </c>
      <c r="C49" s="6">
        <f>D37</f>
        <v>12.000000000000126</v>
      </c>
      <c r="D49" s="6">
        <f t="shared" ref="D49:E56" si="26">C38</f>
        <v>-6.0000000000002522</v>
      </c>
      <c r="E49" s="6">
        <f t="shared" si="26"/>
        <v>11.999999999999874</v>
      </c>
      <c r="F49" s="6">
        <f t="shared" ref="F49:F54" si="27">IF(B49=D49,"V",(C49-E49)/(B49-D49))</f>
        <v>2.1020222599569632E-14</v>
      </c>
      <c r="G49" s="6">
        <f t="shared" ref="G49:G54" si="28">IF(F49="V",0,(-1*B49*F49)+C49)</f>
        <v>12</v>
      </c>
      <c r="H49" s="6">
        <f>IF(AND(C49&lt;$G$41,E49&lt;$G$41),0,IF(AND(C49&lt;$G$41,E49&gt;$G$41),IF(F49="V",B49,($G$41-G49)/F49),B49))</f>
        <v>5.9999999999997478</v>
      </c>
      <c r="I49" s="6">
        <f>IF(AND(C49&lt;$G$41,E49&lt;$G$41),0,IF(AND(C49&lt;$G$41,E49&gt;$G$41),$G$41,C49))</f>
        <v>12.000000000000126</v>
      </c>
      <c r="J49" s="6">
        <f>IF(AND(C49&lt;$G$41,E49&lt;$G$41),0,IF(E49&gt;=$G$41,D49,IF(F49="V",D49,($G$41-G49)/F49)))</f>
        <v>-6.0000000000002522</v>
      </c>
      <c r="K49" s="6">
        <f>IF(AND(C49&lt;$G$41,E49&lt;$G$41),0,IF(E49&gt;=$G$41,E49,$G$41))</f>
        <v>11.999999999999874</v>
      </c>
      <c r="L49" s="6">
        <f>IF(AND(I49=0,K49=0,H49=0,J49=0),0,$B$31)</f>
        <v>4.25</v>
      </c>
      <c r="M49" s="6">
        <f>IF(AND(I49=0,K49=0,H49=0,J49=0),0,$B$31)</f>
        <v>4.25</v>
      </c>
      <c r="N49" s="10">
        <f>(1/6)*(K49-I49)*((L49*((2*H49)+J49))+(M49*(H49+(2*J49))))</f>
        <v>2.7033737314653926E-25</v>
      </c>
      <c r="O49" s="10">
        <f>((1/12)*(K49-I49)*(L49*H49*((3*I49)+K49)+L49*J49*(I49+K49)+M49*H49*(I49+K49)+M49*J49*(I49+(3*K49))))</f>
        <v>2.9823738491657986E-24</v>
      </c>
      <c r="P49" s="10">
        <f>((-1/24)*(K49-I49)*(H49*H49*((3*L49)+M49)+2*H49*J49*(L49+M49)+J49*J49*(L49+(3*M49))))</f>
        <v>6.4321881154683061E-12</v>
      </c>
      <c r="S49">
        <f>IF(AND(I49=0,K49=0,H49=0,J49=0),NA(),H49)</f>
        <v>5.9999999999997478</v>
      </c>
      <c r="T49">
        <f>IF(AND(I49=0,K49=0,H49=0,J49=0),NA(),I49)</f>
        <v>12.000000000000126</v>
      </c>
      <c r="V49">
        <f>IF(AND(I49=0,K49=0,H49=0,J49=0),NA(),J49)</f>
        <v>-6.0000000000002522</v>
      </c>
      <c r="W49">
        <f>IF(AND(I49=0,K49=0,H49=0,J49=0),NA(),K49)</f>
        <v>11.999999999999874</v>
      </c>
      <c r="AS49">
        <v>-2.3212879051524675</v>
      </c>
      <c r="AT49">
        <v>-182.06882751253423</v>
      </c>
      <c r="AU49">
        <v>-69.958105813038387</v>
      </c>
      <c r="AV49">
        <f t="shared" si="1"/>
        <v>-2.7747459691715455</v>
      </c>
      <c r="AW49">
        <f t="shared" si="2"/>
        <v>0.45345806401907796</v>
      </c>
      <c r="AX49" s="40">
        <f t="shared" si="3"/>
        <v>-3.3319057893330521</v>
      </c>
      <c r="AY49">
        <f t="shared" si="4"/>
        <v>3.3319057893330521</v>
      </c>
      <c r="AZ49">
        <f t="shared" si="5"/>
        <v>3.9618974020271187</v>
      </c>
      <c r="BA49">
        <f t="shared" si="6"/>
        <v>-2.7747459691715455</v>
      </c>
      <c r="BB49">
        <f t="shared" si="7"/>
        <v>0.45345806401907796</v>
      </c>
      <c r="BC49">
        <f t="shared" si="8"/>
        <v>-3.3319057893330521</v>
      </c>
      <c r="BD49">
        <f t="shared" si="9"/>
        <v>3.3319057893330521</v>
      </c>
      <c r="BE49" s="40"/>
      <c r="BF49" s="40"/>
    </row>
    <row r="50" spans="1:58" x14ac:dyDescent="0.25">
      <c r="A50" t="s">
        <v>44</v>
      </c>
      <c r="B50" s="6">
        <f t="shared" ref="B50:C54" si="29">D49</f>
        <v>-6.0000000000002522</v>
      </c>
      <c r="C50" s="6">
        <f t="shared" si="29"/>
        <v>11.999999999999874</v>
      </c>
      <c r="D50" s="6">
        <f t="shared" si="26"/>
        <v>-5.9999999999999156</v>
      </c>
      <c r="E50" s="6">
        <f t="shared" si="26"/>
        <v>-4.0000000000001261</v>
      </c>
      <c r="F50" s="6">
        <f t="shared" si="27"/>
        <v>-47531394484121.328</v>
      </c>
      <c r="G50" s="6">
        <f t="shared" si="28"/>
        <v>-285188366904727.94</v>
      </c>
      <c r="H50" s="6">
        <f t="shared" ref="H50:H54" si="30">IF(AND(C50&lt;$G$41,E50&lt;$G$41),0,IF(AND(C50&lt;$G$41,E50&gt;$G$41),IF(F50="V",B50,($G$41-G50)/F50),B50))</f>
        <v>-6.0000000000002522</v>
      </c>
      <c r="I50" s="6">
        <f t="shared" ref="I50:I54" si="31">IF(AND(C50&lt;$G$41,E50&lt;$G$41),0,IF(AND(C50&lt;$G$41,E50&gt;$G$41),$G$41,C50))</f>
        <v>11.999999999999874</v>
      </c>
      <c r="J50" s="6">
        <f t="shared" ref="J50:J54" si="32">IF(AND(C50&lt;$G$41,E50&lt;$G$41),0,IF(E50&gt;=$G$41,D50,IF(F50="V",D50,($G$41-G50)/F50)))</f>
        <v>-6.0000000000002069</v>
      </c>
      <c r="K50" s="6">
        <f t="shared" ref="K50:K54" si="33">IF(AND(C50&lt;$G$41,E50&lt;$G$41),0,IF(E50&gt;=$G$41,E50,$G$41))</f>
        <v>9.8949517790847654</v>
      </c>
      <c r="L50" s="6">
        <f t="shared" ref="L50:L54" si="34">IF(AND(I50=0,K50=0,H50=0,J50=0),0,$B$31)</f>
        <v>4.25</v>
      </c>
      <c r="M50" s="6">
        <f t="shared" ref="M50:M54" si="35">IF(AND(I50=0,K50=0,H50=0,J50=0),0,$B$31)</f>
        <v>4.25</v>
      </c>
      <c r="N50" s="10">
        <f t="shared" ref="N50:N54" si="36">(1/6)*(K50-I50)*((L50*((2*H50)+J50))+(M50*(H50+(2*J50))))</f>
        <v>53.678729633337312</v>
      </c>
      <c r="O50" s="10">
        <f t="shared" ref="O50:O54" si="37">((1/12)*(K50-I50)*(L50*H50*((3*I50)+K50)+L50*J50*(I50+K50)+M50*H50*(I50+K50)+M50*J50*(I50+(3*K50))))</f>
        <v>587.64659844222115</v>
      </c>
      <c r="P50" s="10">
        <f t="shared" ref="P50:P54" si="38">((-1/24)*(K50-I50)*(H50*H50*((3*L50)+M50)+2*H50*J50*(L50+M50)+J50*J50*(L50+(3*M50))))</f>
        <v>161.03618890001812</v>
      </c>
      <c r="S50">
        <f t="shared" ref="S50:S55" si="39">IF(AND(I50=0,K50=0,H50=0,J50=0),NA(),H50)</f>
        <v>-6.0000000000002522</v>
      </c>
      <c r="T50">
        <f t="shared" ref="T50:T55" si="40">IF(AND(I50=0,K50=0,H50=0,J50=0),NA(),I50)</f>
        <v>11.999999999999874</v>
      </c>
      <c r="V50">
        <f t="shared" ref="V50:V55" si="41">IF(AND(I50=0,K50=0,H50=0,J50=0),NA(),J50)</f>
        <v>-6.0000000000002069</v>
      </c>
      <c r="W50">
        <f t="shared" ref="W50:W55" si="42">IF(AND(I50=0,K50=0,H50=0,J50=0),NA(),K50)</f>
        <v>9.8949517790847654</v>
      </c>
      <c r="AS50">
        <v>-2.3038346126325244</v>
      </c>
      <c r="AT50">
        <v>-173.47493276257447</v>
      </c>
      <c r="AU50">
        <v>-78.242775538298815</v>
      </c>
      <c r="AV50">
        <f t="shared" si="1"/>
        <v>-2.7178807048233486</v>
      </c>
      <c r="AW50">
        <f t="shared" si="2"/>
        <v>0.41404609219082422</v>
      </c>
      <c r="AX50" s="40">
        <f t="shared" si="3"/>
        <v>-3.2750405249848553</v>
      </c>
      <c r="AY50">
        <f t="shared" si="4"/>
        <v>3.2750405249848553</v>
      </c>
      <c r="AZ50">
        <f t="shared" si="5"/>
        <v>3.9793506945470618</v>
      </c>
      <c r="BA50">
        <f t="shared" si="6"/>
        <v>-2.7178807048233486</v>
      </c>
      <c r="BB50">
        <f t="shared" si="7"/>
        <v>0.41404609219082422</v>
      </c>
      <c r="BC50">
        <f t="shared" si="8"/>
        <v>-3.2750405249848553</v>
      </c>
      <c r="BD50">
        <f t="shared" si="9"/>
        <v>3.2750405249848553</v>
      </c>
      <c r="BE50" s="40"/>
      <c r="BF50" s="40"/>
    </row>
    <row r="51" spans="1:58" x14ac:dyDescent="0.25">
      <c r="A51" t="s">
        <v>45</v>
      </c>
      <c r="B51" s="6">
        <f t="shared" si="29"/>
        <v>-5.9999999999999156</v>
      </c>
      <c r="C51" s="6">
        <f t="shared" si="29"/>
        <v>-4.0000000000001261</v>
      </c>
      <c r="D51" s="6">
        <f t="shared" si="26"/>
        <v>-17.999999999999915</v>
      </c>
      <c r="E51" s="6">
        <f t="shared" si="26"/>
        <v>-4.0000000000003775</v>
      </c>
      <c r="F51" s="6">
        <f t="shared" si="27"/>
        <v>2.0946207731261286E-14</v>
      </c>
      <c r="G51" s="6">
        <f t="shared" si="28"/>
        <v>-4</v>
      </c>
      <c r="H51" s="6">
        <f t="shared" si="30"/>
        <v>0</v>
      </c>
      <c r="I51" s="6">
        <f t="shared" si="31"/>
        <v>0</v>
      </c>
      <c r="J51" s="6">
        <f t="shared" si="32"/>
        <v>0</v>
      </c>
      <c r="K51" s="6">
        <f t="shared" si="33"/>
        <v>0</v>
      </c>
      <c r="L51" s="6">
        <f t="shared" si="34"/>
        <v>0</v>
      </c>
      <c r="M51" s="6">
        <f t="shared" si="35"/>
        <v>0</v>
      </c>
      <c r="N51" s="10">
        <f t="shared" si="36"/>
        <v>0</v>
      </c>
      <c r="O51" s="10">
        <f t="shared" si="37"/>
        <v>0</v>
      </c>
      <c r="P51" s="10">
        <f t="shared" si="38"/>
        <v>0</v>
      </c>
      <c r="S51" t="e">
        <f t="shared" si="39"/>
        <v>#N/A</v>
      </c>
      <c r="T51" t="e">
        <f t="shared" si="40"/>
        <v>#N/A</v>
      </c>
      <c r="V51" t="e">
        <f t="shared" si="41"/>
        <v>#N/A</v>
      </c>
      <c r="W51" t="e">
        <f t="shared" si="42"/>
        <v>#N/A</v>
      </c>
      <c r="AS51">
        <v>-2.2863813201125813</v>
      </c>
      <c r="AT51">
        <v>-164.05812558041697</v>
      </c>
      <c r="AU51">
        <v>-87.070777212412168</v>
      </c>
      <c r="AV51">
        <f t="shared" si="1"/>
        <v>-2.6536633441879638</v>
      </c>
      <c r="AW51">
        <f t="shared" si="2"/>
        <v>0.36728202407538246</v>
      </c>
      <c r="AX51" s="40">
        <f t="shared" si="3"/>
        <v>-3.2108231643494705</v>
      </c>
      <c r="AY51">
        <f t="shared" si="4"/>
        <v>3.2108231643494705</v>
      </c>
      <c r="AZ51">
        <f t="shared" si="5"/>
        <v>3.9968039870670049</v>
      </c>
      <c r="BA51">
        <f t="shared" si="6"/>
        <v>-2.6536633441879638</v>
      </c>
      <c r="BB51">
        <f t="shared" si="7"/>
        <v>0.36728202407538246</v>
      </c>
      <c r="BC51">
        <f t="shared" si="8"/>
        <v>-3.2108231643494705</v>
      </c>
      <c r="BD51">
        <f t="shared" si="9"/>
        <v>3.2108231643494705</v>
      </c>
      <c r="BE51" s="40"/>
      <c r="BF51" s="40"/>
    </row>
    <row r="52" spans="1:58" x14ac:dyDescent="0.25">
      <c r="A52" t="s">
        <v>46</v>
      </c>
      <c r="B52" s="6">
        <f t="shared" si="29"/>
        <v>-17.999999999999915</v>
      </c>
      <c r="C52" s="6">
        <f t="shared" si="29"/>
        <v>-4.0000000000003775</v>
      </c>
      <c r="D52" s="6">
        <f t="shared" si="26"/>
        <v>-17.999999999999748</v>
      </c>
      <c r="E52" s="6">
        <f t="shared" si="26"/>
        <v>-12.000000000000378</v>
      </c>
      <c r="F52" s="6">
        <f t="shared" si="27"/>
        <v>-47910634333728.68</v>
      </c>
      <c r="G52" s="6">
        <f t="shared" si="28"/>
        <v>-862391418007116.13</v>
      </c>
      <c r="H52" s="6">
        <f t="shared" si="30"/>
        <v>0</v>
      </c>
      <c r="I52" s="6">
        <f t="shared" si="31"/>
        <v>0</v>
      </c>
      <c r="J52" s="6">
        <f t="shared" si="32"/>
        <v>0</v>
      </c>
      <c r="K52" s="6">
        <f t="shared" si="33"/>
        <v>0</v>
      </c>
      <c r="L52" s="6">
        <f t="shared" si="34"/>
        <v>0</v>
      </c>
      <c r="M52" s="6">
        <f t="shared" si="35"/>
        <v>0</v>
      </c>
      <c r="N52" s="10">
        <f t="shared" si="36"/>
        <v>0</v>
      </c>
      <c r="O52" s="10">
        <f t="shared" si="37"/>
        <v>0</v>
      </c>
      <c r="P52" s="10">
        <f t="shared" si="38"/>
        <v>0</v>
      </c>
      <c r="S52" t="e">
        <f t="shared" si="39"/>
        <v>#N/A</v>
      </c>
      <c r="T52" t="e">
        <f t="shared" si="40"/>
        <v>#N/A</v>
      </c>
      <c r="V52" t="e">
        <f t="shared" si="41"/>
        <v>#N/A</v>
      </c>
      <c r="W52" t="e">
        <f t="shared" si="42"/>
        <v>#N/A</v>
      </c>
      <c r="AS52">
        <v>-2.2689280275926382</v>
      </c>
      <c r="AT52">
        <v>-153.78895186137024</v>
      </c>
      <c r="AU52">
        <v>-96.436939143226965</v>
      </c>
      <c r="AV52">
        <f t="shared" si="1"/>
        <v>-2.5815038448459791</v>
      </c>
      <c r="AW52">
        <f t="shared" si="2"/>
        <v>0.31257581725334083</v>
      </c>
      <c r="AX52" s="40">
        <f t="shared" si="3"/>
        <v>-3.1386636650074857</v>
      </c>
      <c r="AY52">
        <f t="shared" si="4"/>
        <v>3.1386636650074857</v>
      </c>
      <c r="AZ52">
        <f t="shared" si="5"/>
        <v>4.014257279586948</v>
      </c>
      <c r="BA52">
        <f t="shared" si="6"/>
        <v>-2.5815038448459791</v>
      </c>
      <c r="BB52">
        <f t="shared" si="7"/>
        <v>0.31257581725334083</v>
      </c>
      <c r="BC52">
        <f t="shared" si="8"/>
        <v>-3.1386636650074857</v>
      </c>
      <c r="BD52">
        <f t="shared" si="9"/>
        <v>3.1386636650074857</v>
      </c>
      <c r="BE52" s="40"/>
      <c r="BF52" s="40"/>
    </row>
    <row r="53" spans="1:58" x14ac:dyDescent="0.25">
      <c r="A53" t="s">
        <v>47</v>
      </c>
      <c r="B53" s="6">
        <f t="shared" si="29"/>
        <v>-17.999999999999748</v>
      </c>
      <c r="C53" s="6">
        <f t="shared" si="29"/>
        <v>-12.000000000000378</v>
      </c>
      <c r="D53" s="6">
        <f t="shared" si="26"/>
        <v>18.000000000000252</v>
      </c>
      <c r="E53" s="6">
        <f t="shared" si="26"/>
        <v>-11.999999999999622</v>
      </c>
      <c r="F53" s="6">
        <f t="shared" si="27"/>
        <v>2.1020222599569632E-14</v>
      </c>
      <c r="G53" s="6">
        <f t="shared" si="28"/>
        <v>-12</v>
      </c>
      <c r="H53" s="6">
        <f t="shared" si="30"/>
        <v>0</v>
      </c>
      <c r="I53" s="6">
        <f t="shared" si="31"/>
        <v>0</v>
      </c>
      <c r="J53" s="6">
        <f t="shared" si="32"/>
        <v>0</v>
      </c>
      <c r="K53" s="6">
        <f t="shared" si="33"/>
        <v>0</v>
      </c>
      <c r="L53" s="6">
        <f t="shared" si="34"/>
        <v>0</v>
      </c>
      <c r="M53" s="6">
        <f t="shared" si="35"/>
        <v>0</v>
      </c>
      <c r="N53" s="10">
        <f t="shared" si="36"/>
        <v>0</v>
      </c>
      <c r="O53" s="10">
        <f t="shared" si="37"/>
        <v>0</v>
      </c>
      <c r="P53" s="10">
        <f t="shared" si="38"/>
        <v>0</v>
      </c>
      <c r="S53" t="e">
        <f t="shared" si="39"/>
        <v>#N/A</v>
      </c>
      <c r="T53" t="e">
        <f t="shared" si="40"/>
        <v>#N/A</v>
      </c>
      <c r="V53" t="e">
        <f t="shared" si="41"/>
        <v>#N/A</v>
      </c>
      <c r="W53" t="e">
        <f t="shared" si="42"/>
        <v>#N/A</v>
      </c>
      <c r="AS53">
        <v>-2.2514747350726951</v>
      </c>
      <c r="AT53">
        <v>-142.62686038746278</v>
      </c>
      <c r="AU53">
        <v>-106.34560852939097</v>
      </c>
      <c r="AV53">
        <f t="shared" si="1"/>
        <v>-2.500899882244886</v>
      </c>
      <c r="AW53">
        <f t="shared" si="2"/>
        <v>0.24942514717219089</v>
      </c>
      <c r="AX53" s="40">
        <f t="shared" si="3"/>
        <v>-3.0580597024063927</v>
      </c>
      <c r="AY53">
        <f t="shared" si="4"/>
        <v>3.0580597024063927</v>
      </c>
      <c r="AZ53">
        <f t="shared" si="5"/>
        <v>4.0317105721068911</v>
      </c>
      <c r="BA53">
        <f t="shared" si="6"/>
        <v>-2.500899882244886</v>
      </c>
      <c r="BB53">
        <f t="shared" si="7"/>
        <v>0.24942514717219089</v>
      </c>
      <c r="BC53">
        <f t="shared" si="8"/>
        <v>-3.0580597024063927</v>
      </c>
      <c r="BD53">
        <f t="shared" si="9"/>
        <v>3.0580597024063927</v>
      </c>
      <c r="BE53" s="40"/>
      <c r="BF53" s="40"/>
    </row>
    <row r="54" spans="1:58" x14ac:dyDescent="0.25">
      <c r="A54" t="s">
        <v>48</v>
      </c>
      <c r="B54" s="6">
        <f t="shared" si="29"/>
        <v>18.000000000000252</v>
      </c>
      <c r="C54" s="6">
        <f t="shared" si="29"/>
        <v>-11.999999999999622</v>
      </c>
      <c r="D54" s="6">
        <f t="shared" si="26"/>
        <v>18.000000000000085</v>
      </c>
      <c r="E54" s="6">
        <f t="shared" si="26"/>
        <v>-3.9999999999996221</v>
      </c>
      <c r="F54" s="6">
        <f t="shared" si="27"/>
        <v>-47910634333728.68</v>
      </c>
      <c r="G54" s="6">
        <f t="shared" si="28"/>
        <v>862391418007116.38</v>
      </c>
      <c r="H54" s="6">
        <f t="shared" si="30"/>
        <v>0</v>
      </c>
      <c r="I54" s="6">
        <f t="shared" si="31"/>
        <v>0</v>
      </c>
      <c r="J54" s="6">
        <f t="shared" si="32"/>
        <v>0</v>
      </c>
      <c r="K54" s="6">
        <f t="shared" si="33"/>
        <v>0</v>
      </c>
      <c r="L54" s="6">
        <f t="shared" si="34"/>
        <v>0</v>
      </c>
      <c r="M54" s="6">
        <f t="shared" si="35"/>
        <v>0</v>
      </c>
      <c r="N54" s="10">
        <f t="shared" si="36"/>
        <v>0</v>
      </c>
      <c r="O54" s="10">
        <f t="shared" si="37"/>
        <v>0</v>
      </c>
      <c r="P54" s="10">
        <f t="shared" si="38"/>
        <v>0</v>
      </c>
      <c r="S54" t="e">
        <f t="shared" si="39"/>
        <v>#N/A</v>
      </c>
      <c r="T54" t="e">
        <f t="shared" si="40"/>
        <v>#N/A</v>
      </c>
      <c r="V54" t="e">
        <f t="shared" si="41"/>
        <v>#N/A</v>
      </c>
      <c r="W54" t="e">
        <f t="shared" si="42"/>
        <v>#N/A</v>
      </c>
      <c r="AS54">
        <v>-2.234021442552752</v>
      </c>
      <c r="AT54">
        <v>-130.51955248919975</v>
      </c>
      <c r="AU54">
        <v>-116.81011838475666</v>
      </c>
      <c r="AV54">
        <f t="shared" si="1"/>
        <v>-2.4115676256028262</v>
      </c>
      <c r="AW54">
        <f t="shared" si="2"/>
        <v>0.17754618305007419</v>
      </c>
      <c r="AX54" s="40">
        <f t="shared" si="3"/>
        <v>-2.9687274457643329</v>
      </c>
      <c r="AY54">
        <f t="shared" si="4"/>
        <v>2.9687274457643329</v>
      </c>
      <c r="AZ54">
        <f t="shared" si="5"/>
        <v>4.0491638646268342</v>
      </c>
      <c r="BA54">
        <f t="shared" si="6"/>
        <v>-2.4115676256028262</v>
      </c>
      <c r="BB54">
        <f t="shared" si="7"/>
        <v>0.17754618305007419</v>
      </c>
      <c r="BC54">
        <f t="shared" si="8"/>
        <v>-2.9687274457643329</v>
      </c>
      <c r="BD54">
        <f t="shared" si="9"/>
        <v>2.9687274457643329</v>
      </c>
      <c r="BE54" s="40"/>
      <c r="BF54" s="40"/>
    </row>
    <row r="55" spans="1:58" x14ac:dyDescent="0.25">
      <c r="A55" t="s">
        <v>93</v>
      </c>
      <c r="B55" s="6">
        <f>D54</f>
        <v>18.000000000000085</v>
      </c>
      <c r="C55" s="6">
        <f>E54</f>
        <v>-3.9999999999996221</v>
      </c>
      <c r="D55" s="6">
        <f t="shared" si="26"/>
        <v>6.0000000000000844</v>
      </c>
      <c r="E55" s="6">
        <f t="shared" si="26"/>
        <v>-3.9999999999998739</v>
      </c>
      <c r="F55" s="6">
        <f t="shared" ref="F55:F56" si="43">IF(B55=D55,"V",(C55-E55)/(B55-D55))</f>
        <v>2.0983215165415459E-14</v>
      </c>
      <c r="G55" s="6">
        <f t="shared" ref="G55:G56" si="44">IF(F55="V",0,(-1*B55*F55)+C55)</f>
        <v>-4</v>
      </c>
      <c r="H55" s="6">
        <f t="shared" ref="H55:H56" si="45">IF(AND(C55&lt;$G$41,E55&lt;$G$41),0,IF(AND(C55&lt;$G$41,E55&gt;$G$41),IF(F55="V",B55,($G$41-G55)/F55),B55))</f>
        <v>0</v>
      </c>
      <c r="I55" s="6">
        <f t="shared" ref="I55:I56" si="46">IF(AND(C55&lt;$G$41,E55&lt;$G$41),0,IF(AND(C55&lt;$G$41,E55&gt;$G$41),$G$41,C55))</f>
        <v>0</v>
      </c>
      <c r="J55" s="6">
        <f t="shared" ref="J55:J56" si="47">IF(AND(C55&lt;$G$41,E55&lt;$G$41),0,IF(E55&gt;=$G$41,D55,IF(F55="V",D55,($G$41-G55)/F55)))</f>
        <v>0</v>
      </c>
      <c r="K55" s="6">
        <f t="shared" ref="K55:K56" si="48">IF(AND(C55&lt;$G$41,E55&lt;$G$41),0,IF(E55&gt;=$G$41,E55,$G$41))</f>
        <v>0</v>
      </c>
      <c r="L55" s="6">
        <f t="shared" ref="L55:L56" si="49">IF(AND(I55=0,K55=0,H55=0,J55=0),0,$B$31)</f>
        <v>0</v>
      </c>
      <c r="M55" s="6">
        <f t="shared" ref="M55:M56" si="50">IF(AND(I55=0,K55=0,H55=0,J55=0),0,$B$31)</f>
        <v>0</v>
      </c>
      <c r="N55" s="10">
        <f t="shared" ref="N55:N56" si="51">(1/6)*(K55-I55)*((L55*((2*H55)+J55))+(M55*(H55+(2*J55))))</f>
        <v>0</v>
      </c>
      <c r="O55" s="10">
        <f t="shared" ref="O55:O56" si="52">((1/12)*(K55-I55)*(L55*H55*((3*I55)+K55)+L55*J55*(I55+K55)+M55*H55*(I55+K55)+M55*J55*(I55+(3*K55))))</f>
        <v>0</v>
      </c>
      <c r="P55" s="10">
        <f t="shared" ref="P55:P56" si="53">((-1/24)*(K55-I55)*(H55*H55*((3*L55)+M55)+2*H55*J55*(L55+M55)+J55*J55*(L55+(3*M55))))</f>
        <v>0</v>
      </c>
      <c r="S55" t="e">
        <f t="shared" si="39"/>
        <v>#N/A</v>
      </c>
      <c r="T55" t="e">
        <f t="shared" si="40"/>
        <v>#N/A</v>
      </c>
      <c r="V55" t="e">
        <f t="shared" si="41"/>
        <v>#N/A</v>
      </c>
      <c r="W55" t="e">
        <f t="shared" si="42"/>
        <v>#N/A</v>
      </c>
      <c r="AS55">
        <v>-2.2165681500328089</v>
      </c>
      <c r="AT55">
        <v>-117.40197732637637</v>
      </c>
      <c r="AU55">
        <v>-127.85255868012291</v>
      </c>
      <c r="AV55">
        <f t="shared" si="1"/>
        <v>-2.3136090875900663</v>
      </c>
      <c r="AW55">
        <f t="shared" si="2"/>
        <v>9.7040937557257401E-2</v>
      </c>
      <c r="AX55" s="40">
        <f t="shared" si="3"/>
        <v>-2.870768907751573</v>
      </c>
      <c r="AY55">
        <f t="shared" si="4"/>
        <v>2.870768907751573</v>
      </c>
      <c r="AZ55">
        <f t="shared" si="5"/>
        <v>4.0666171571467773</v>
      </c>
      <c r="BA55">
        <f t="shared" si="6"/>
        <v>-2.3136090875900663</v>
      </c>
      <c r="BB55">
        <f t="shared" si="7"/>
        <v>9.7040937557257401E-2</v>
      </c>
      <c r="BC55">
        <f t="shared" si="8"/>
        <v>-2.870768907751573</v>
      </c>
      <c r="BD55">
        <f t="shared" si="9"/>
        <v>2.870768907751573</v>
      </c>
      <c r="BE55" s="40"/>
      <c r="BF55" s="40"/>
    </row>
    <row r="56" spans="1:58" ht="15.75" thickBot="1" x14ac:dyDescent="0.3">
      <c r="A56" t="s">
        <v>94</v>
      </c>
      <c r="B56" s="6">
        <f>D55</f>
        <v>6.0000000000000844</v>
      </c>
      <c r="C56" s="6">
        <f>E55</f>
        <v>-3.9999999999998739</v>
      </c>
      <c r="D56" s="6">
        <f t="shared" si="26"/>
        <v>5.9999999999997478</v>
      </c>
      <c r="E56" s="6">
        <f t="shared" si="26"/>
        <v>12.000000000000126</v>
      </c>
      <c r="F56" s="6">
        <f t="shared" si="43"/>
        <v>-47531394484121.328</v>
      </c>
      <c r="G56" s="6">
        <f t="shared" si="44"/>
        <v>285188366904728</v>
      </c>
      <c r="H56" s="6">
        <f t="shared" si="45"/>
        <v>5.9999999999997931</v>
      </c>
      <c r="I56" s="6">
        <f t="shared" si="46"/>
        <v>9.8949517790847654</v>
      </c>
      <c r="J56" s="6">
        <f t="shared" si="47"/>
        <v>5.9999999999997478</v>
      </c>
      <c r="K56" s="6">
        <f t="shared" si="48"/>
        <v>12.000000000000126</v>
      </c>
      <c r="L56" s="6">
        <f t="shared" si="49"/>
        <v>4.25</v>
      </c>
      <c r="M56" s="6">
        <f t="shared" si="50"/>
        <v>4.25</v>
      </c>
      <c r="N56" s="11">
        <f t="shared" si="51"/>
        <v>53.678729633339643</v>
      </c>
      <c r="O56" s="11">
        <f t="shared" si="52"/>
        <v>587.64659844225321</v>
      </c>
      <c r="P56" s="11">
        <f t="shared" si="53"/>
        <v>-161.03618890001277</v>
      </c>
      <c r="S56">
        <f t="shared" ref="S56" si="54">IF(AND(I56=0,K56=0,H56=0,J56=0),NA(),H56)</f>
        <v>5.9999999999997931</v>
      </c>
      <c r="T56">
        <f t="shared" ref="T56" si="55">IF(AND(I56=0,K56=0,H56=0,J56=0),NA(),I56)</f>
        <v>9.8949517790847654</v>
      </c>
      <c r="V56">
        <f t="shared" ref="V56" si="56">IF(AND(I56=0,K56=0,H56=0,J56=0),NA(),J56)</f>
        <v>5.9999999999997478</v>
      </c>
      <c r="W56">
        <f t="shared" ref="W56" si="57">IF(AND(I56=0,K56=0,H56=0,J56=0),NA(),K56)</f>
        <v>12.000000000000126</v>
      </c>
      <c r="AS56">
        <v>-2.1991148575128658</v>
      </c>
      <c r="AT56">
        <v>-105.30454209816368</v>
      </c>
      <c r="AU56">
        <v>-137.51205340122658</v>
      </c>
      <c r="AV56">
        <f t="shared" si="1"/>
        <v>-2.224322955083136</v>
      </c>
      <c r="AW56">
        <f t="shared" si="2"/>
        <v>2.5208097570270205E-2</v>
      </c>
      <c r="AX56" s="40">
        <f t="shared" si="3"/>
        <v>-2.7814827752446427</v>
      </c>
      <c r="AY56">
        <f t="shared" si="4"/>
        <v>2.7814827752446427</v>
      </c>
      <c r="AZ56">
        <f t="shared" si="5"/>
        <v>4.0840704496667204</v>
      </c>
      <c r="BA56">
        <f t="shared" si="6"/>
        <v>-2.224322955083136</v>
      </c>
      <c r="BB56">
        <f t="shared" si="7"/>
        <v>2.5208097570270205E-2</v>
      </c>
      <c r="BC56">
        <f t="shared" si="8"/>
        <v>-2.7814827752446427</v>
      </c>
      <c r="BD56">
        <f t="shared" si="9"/>
        <v>2.7814827752446427</v>
      </c>
      <c r="BE56" s="40"/>
      <c r="BF56" s="40"/>
    </row>
    <row r="57" spans="1:58" ht="15.75" thickTop="1" x14ac:dyDescent="0.25">
      <c r="N57" s="6">
        <f>SUM(N49:N56)</f>
        <v>107.35745926667695</v>
      </c>
      <c r="O57" s="6">
        <f t="shared" ref="O57:P57" si="58">SUM(O49:O56)</f>
        <v>1175.2931968844744</v>
      </c>
      <c r="P57" s="6">
        <f t="shared" si="58"/>
        <v>1.1766587704187259E-11</v>
      </c>
      <c r="AS57">
        <v>-2.1816615649929227</v>
      </c>
      <c r="AT57">
        <v>-93.046381897673882</v>
      </c>
      <c r="AU57">
        <v>-146.97250374681121</v>
      </c>
      <c r="AV57">
        <f t="shared" si="1"/>
        <v>-2.1351898900701336</v>
      </c>
      <c r="AW57">
        <f t="shared" si="2"/>
        <v>4.6471674922789141E-2</v>
      </c>
      <c r="AX57" s="40">
        <f t="shared" si="3"/>
        <v>-2.6923497102316403</v>
      </c>
      <c r="AY57">
        <f t="shared" si="4"/>
        <v>2.6923497102316403</v>
      </c>
      <c r="AZ57">
        <f t="shared" si="5"/>
        <v>4.1015237421866635</v>
      </c>
      <c r="BA57">
        <f t="shared" si="6"/>
        <v>-2.1351898900701336</v>
      </c>
      <c r="BB57">
        <f t="shared" si="7"/>
        <v>4.6471674922789141E-2</v>
      </c>
      <c r="BC57">
        <f t="shared" si="8"/>
        <v>-2.6923497102316403</v>
      </c>
      <c r="BD57">
        <f t="shared" si="9"/>
        <v>2.6923497102316403</v>
      </c>
      <c r="BE57" s="40"/>
      <c r="BF57" s="40"/>
    </row>
    <row r="58" spans="1:58" x14ac:dyDescent="0.25">
      <c r="O58" s="6">
        <f>O57/N57</f>
        <v>10.947475889542382</v>
      </c>
      <c r="P58" s="6">
        <f>-1*P57/N57</f>
        <v>-1.0960195765213615E-13</v>
      </c>
      <c r="S58">
        <f>(P58*COS(-1*$B$27))+(O58*SIN(-1*$B$27))+$I$2</f>
        <v>5.9999999999998801</v>
      </c>
      <c r="T58">
        <f>(-1*P58*SIN(-1*$B$27))+(O58*COS(-1*$B$27))+$I$3</f>
        <v>1.0525241104576182</v>
      </c>
      <c r="AS58">
        <v>-2.1642082724729796</v>
      </c>
      <c r="AT58">
        <v>-81.069231464923604</v>
      </c>
      <c r="AU58">
        <v>-155.95055505359869</v>
      </c>
      <c r="AV58">
        <f t="shared" si="1"/>
        <v>-2.0501891355282105</v>
      </c>
      <c r="AW58">
        <f t="shared" si="2"/>
        <v>0.11401913694476917</v>
      </c>
      <c r="AX58" s="40">
        <f t="shared" si="3"/>
        <v>-2.6073489556897171</v>
      </c>
      <c r="AY58">
        <f t="shared" si="4"/>
        <v>2.6073489556897171</v>
      </c>
      <c r="AZ58">
        <f t="shared" si="5"/>
        <v>4.1189770347066066</v>
      </c>
      <c r="BA58">
        <f t="shared" si="6"/>
        <v>-2.0501891355282105</v>
      </c>
      <c r="BB58">
        <f t="shared" si="7"/>
        <v>0.11401913694476917</v>
      </c>
      <c r="BC58">
        <f t="shared" si="8"/>
        <v>-2.6073489556897171</v>
      </c>
      <c r="BD58">
        <f t="shared" si="9"/>
        <v>2.6073489556897171</v>
      </c>
      <c r="BE58" s="40"/>
      <c r="BF58" s="40"/>
    </row>
    <row r="59" spans="1:58" x14ac:dyDescent="0.25">
      <c r="A59" t="s">
        <v>54</v>
      </c>
      <c r="AS59">
        <v>-2.1467549799530365</v>
      </c>
      <c r="AT59">
        <v>-69.466509392345188</v>
      </c>
      <c r="AU59">
        <v>-164.39576083326915</v>
      </c>
      <c r="AV59">
        <f t="shared" si="1"/>
        <v>-1.9705955509572277</v>
      </c>
      <c r="AW59">
        <f t="shared" si="2"/>
        <v>0.17615942899580883</v>
      </c>
      <c r="AX59" s="40">
        <f t="shared" si="3"/>
        <v>-2.5277553711187344</v>
      </c>
      <c r="AY59">
        <f t="shared" si="4"/>
        <v>2.5277553711187344</v>
      </c>
      <c r="AZ59">
        <f t="shared" si="5"/>
        <v>4.1364303272265497</v>
      </c>
      <c r="BA59">
        <f t="shared" si="6"/>
        <v>-1.9705955509572277</v>
      </c>
      <c r="BB59">
        <f t="shared" si="7"/>
        <v>0.17615942899580883</v>
      </c>
      <c r="BC59">
        <f t="shared" si="8"/>
        <v>-2.5277553711187344</v>
      </c>
      <c r="BD59">
        <f t="shared" si="9"/>
        <v>2.5277553711187344</v>
      </c>
      <c r="BE59" s="40"/>
      <c r="BF59" s="40"/>
    </row>
    <row r="60" spans="1:58" x14ac:dyDescent="0.25">
      <c r="AS60">
        <v>-2.1293016874330934</v>
      </c>
      <c r="AT60">
        <v>-58.210981735692293</v>
      </c>
      <c r="AU60">
        <v>-172.34920285984063</v>
      </c>
      <c r="AV60">
        <f t="shared" si="1"/>
        <v>-1.8965168007863307</v>
      </c>
      <c r="AW60">
        <f t="shared" si="2"/>
        <v>0.23278488664676278</v>
      </c>
      <c r="AX60" s="40">
        <f t="shared" si="3"/>
        <v>-2.4536766209478373</v>
      </c>
      <c r="AY60">
        <f t="shared" si="4"/>
        <v>2.4536766209478373</v>
      </c>
      <c r="AZ60">
        <f t="shared" si="5"/>
        <v>4.1538836197464928</v>
      </c>
      <c r="BA60">
        <f t="shared" si="6"/>
        <v>-1.8965168007863307</v>
      </c>
      <c r="BB60">
        <f t="shared" si="7"/>
        <v>0.23278488664676278</v>
      </c>
      <c r="BC60">
        <f t="shared" si="8"/>
        <v>-2.4536766209478373</v>
      </c>
      <c r="BD60">
        <f t="shared" si="9"/>
        <v>2.4536766209478373</v>
      </c>
      <c r="BE60" s="40"/>
      <c r="BF60" s="40"/>
    </row>
    <row r="61" spans="1:58" x14ac:dyDescent="0.25">
      <c r="A61">
        <f t="shared" ref="A61:A71" si="59">A14</f>
        <v>0</v>
      </c>
      <c r="B61" s="1" t="str">
        <f t="shared" ref="B61:D61" si="60">B14</f>
        <v>Bar #</v>
      </c>
      <c r="C61" s="1" t="str">
        <f t="shared" si="60"/>
        <v>As (in^2)</v>
      </c>
      <c r="D61" s="1" t="str">
        <f t="shared" si="60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>
        <v>-2.1118483949131504</v>
      </c>
      <c r="AT61">
        <v>-47.278441632273413</v>
      </c>
      <c r="AU61">
        <v>-179.84762598161902</v>
      </c>
      <c r="AV61">
        <f t="shared" si="1"/>
        <v>-1.8278606358195093</v>
      </c>
      <c r="AW61">
        <f t="shared" si="2"/>
        <v>0.28398775909364105</v>
      </c>
      <c r="AX61" s="40">
        <f t="shared" si="3"/>
        <v>-2.385020455981016</v>
      </c>
      <c r="AY61">
        <f t="shared" si="4"/>
        <v>2.385020455981016</v>
      </c>
      <c r="AZ61">
        <f t="shared" si="5"/>
        <v>4.1713369122664359</v>
      </c>
      <c r="BA61">
        <f t="shared" si="6"/>
        <v>-1.8278606358195093</v>
      </c>
      <c r="BB61">
        <f t="shared" si="7"/>
        <v>0.28398775909364105</v>
      </c>
      <c r="BC61">
        <f t="shared" si="8"/>
        <v>-2.385020455981016</v>
      </c>
      <c r="BD61">
        <f t="shared" si="9"/>
        <v>2.385020455981016</v>
      </c>
      <c r="BE61" s="40"/>
      <c r="BF61" s="40"/>
    </row>
    <row r="62" spans="1:58" x14ac:dyDescent="0.25">
      <c r="A62">
        <f t="shared" si="59"/>
        <v>1</v>
      </c>
      <c r="B62" s="1">
        <f t="shared" ref="B62:D67" si="61">B15</f>
        <v>0</v>
      </c>
      <c r="C62" s="1">
        <f t="shared" ca="1" si="61"/>
        <v>0</v>
      </c>
      <c r="D62" s="1">
        <f t="shared" si="61"/>
        <v>9</v>
      </c>
      <c r="E62" s="1">
        <f t="shared" ref="E62" si="62">E15</f>
        <v>22</v>
      </c>
      <c r="F62" s="1">
        <f>D62-$I$2</f>
        <v>3</v>
      </c>
      <c r="G62" s="1">
        <f>E62-$I$3</f>
        <v>10</v>
      </c>
      <c r="H62" s="6">
        <f>F62*COS($B$27)+G62*SIN($B$27)</f>
        <v>-2.9999999999997899</v>
      </c>
      <c r="I62" s="6">
        <f>-1*F62*SIN($B$27)+G62*COS($B$27)</f>
        <v>-10.000000000000062</v>
      </c>
      <c r="J62" s="6">
        <f>$G$38-I62</f>
        <v>22.000000000000188</v>
      </c>
      <c r="K62">
        <f ca="1">IF($B$28=0,-1,IF(C62=0,0,(($B$28-J62)/$B$28)*$B$30)*IF($B$28&lt;0,-1,1))</f>
        <v>0</v>
      </c>
      <c r="L62">
        <f ca="1">IF(AND(K62&gt;0,J62&lt;=$B$29),MIN((K62*B$13),B$12)-$B$31,MAX(K62*B$13,-1*B$12))</f>
        <v>0</v>
      </c>
      <c r="M62" s="6">
        <f ca="1">L62*C62</f>
        <v>0</v>
      </c>
      <c r="N62" s="6">
        <f ca="1">M62*I62</f>
        <v>0</v>
      </c>
      <c r="O62" s="6">
        <f ca="1">M62*H62*-1</f>
        <v>0</v>
      </c>
      <c r="Q62" t="e">
        <f>IF($B62=0,NA(),H62)</f>
        <v>#N/A</v>
      </c>
      <c r="R62" t="e">
        <f>IF($B62=0,NA(),I62)</f>
        <v>#N/A</v>
      </c>
      <c r="AS62">
        <v>-2.0943951023932073</v>
      </c>
      <c r="AT62">
        <v>-36.308712244258651</v>
      </c>
      <c r="AU62">
        <v>-185.19682977509777</v>
      </c>
      <c r="AV62">
        <f t="shared" si="1"/>
        <v>-1.7643954841666205</v>
      </c>
      <c r="AW62">
        <f t="shared" si="2"/>
        <v>0.32999961822658674</v>
      </c>
      <c r="AX62" s="40">
        <f t="shared" si="3"/>
        <v>-2.3215553043281272</v>
      </c>
      <c r="AY62">
        <f t="shared" si="4"/>
        <v>2.3215553043281272</v>
      </c>
      <c r="AZ62">
        <f t="shared" si="5"/>
        <v>4.188790204786379</v>
      </c>
      <c r="BA62">
        <f t="shared" si="6"/>
        <v>-1.7643954841666205</v>
      </c>
      <c r="BB62">
        <f t="shared" si="7"/>
        <v>0.32999961822658674</v>
      </c>
      <c r="BC62">
        <f t="shared" si="8"/>
        <v>-2.3215553043281272</v>
      </c>
      <c r="BD62">
        <f t="shared" si="9"/>
        <v>2.3215553043281272</v>
      </c>
      <c r="BE62" s="40"/>
      <c r="BF62" s="40"/>
    </row>
    <row r="63" spans="1:58" x14ac:dyDescent="0.25">
      <c r="A63">
        <f t="shared" si="59"/>
        <v>2</v>
      </c>
      <c r="B63" s="1">
        <f t="shared" si="61"/>
        <v>0</v>
      </c>
      <c r="C63" s="1">
        <f t="shared" ca="1" si="61"/>
        <v>0</v>
      </c>
      <c r="D63" s="1">
        <f t="shared" si="61"/>
        <v>-1</v>
      </c>
      <c r="E63" s="1">
        <f t="shared" ref="E63" si="63">E16</f>
        <v>22</v>
      </c>
      <c r="F63" s="1">
        <f t="shared" ref="F63:F71" si="64">D63-$I$2</f>
        <v>-7</v>
      </c>
      <c r="G63" s="1">
        <f t="shared" ref="G63:G71" si="65">E63-$I$3</f>
        <v>10</v>
      </c>
      <c r="H63" s="6">
        <f t="shared" ref="H63:H71" si="66">F63*COS($B$27)+G63*SIN($B$27)</f>
        <v>7.0000000000002096</v>
      </c>
      <c r="I63" s="6">
        <f t="shared" ref="I63:I71" si="67">-1*F63*SIN($B$27)+G63*COS($B$27)</f>
        <v>-9.9999999999998526</v>
      </c>
      <c r="J63" s="6">
        <f t="shared" ref="J63:J71" si="68">$G$38-I63</f>
        <v>21.999999999999979</v>
      </c>
      <c r="K63">
        <f t="shared" ref="K63:K71" ca="1" si="69">IF($B$28=0,-1,IF(C63=0,0,(($B$28-J63)/$B$28)*$B$30)*IF($B$28&lt;0,-1,1))</f>
        <v>0</v>
      </c>
      <c r="L63">
        <f t="shared" ref="L63:L71" ca="1" si="70">IF(AND(K63&gt;0,J63&lt;=$B$29),MIN((K63*B$13),B$12)-$B$31,MAX(K63*B$13,-1*B$12))</f>
        <v>0</v>
      </c>
      <c r="M63" s="6">
        <f t="shared" ref="M63:M71" ca="1" si="71">L63*C63</f>
        <v>0</v>
      </c>
      <c r="N63" s="6">
        <f t="shared" ref="N63:N71" ca="1" si="72">M63*I63</f>
        <v>0</v>
      </c>
      <c r="O63" s="6">
        <f t="shared" ref="O63:O71" ca="1" si="73">M63*H63*-1</f>
        <v>0</v>
      </c>
      <c r="Q63" t="e">
        <f t="shared" ref="Q63:Q71" si="74">IF($B63=0,NA(),H63)</f>
        <v>#N/A</v>
      </c>
      <c r="R63" t="e">
        <f t="shared" ref="R63:R71" si="75">IF($B63=0,NA(),I63)</f>
        <v>#N/A</v>
      </c>
      <c r="AS63">
        <v>-2.0769418098732642</v>
      </c>
      <c r="AT63">
        <v>-25.553021927595445</v>
      </c>
      <c r="AU63">
        <v>-188.11996372414364</v>
      </c>
      <c r="AV63">
        <f t="shared" si="1"/>
        <v>-1.7058036959724938</v>
      </c>
      <c r="AW63">
        <f t="shared" si="2"/>
        <v>0.37113811390077034</v>
      </c>
      <c r="AX63" s="40">
        <f t="shared" si="3"/>
        <v>-2.2629635161340005</v>
      </c>
      <c r="AY63">
        <f t="shared" si="4"/>
        <v>2.2629635161340005</v>
      </c>
      <c r="AZ63">
        <f t="shared" si="5"/>
        <v>4.2062434973063221</v>
      </c>
      <c r="BA63">
        <f t="shared" si="6"/>
        <v>-1.7058036959724938</v>
      </c>
      <c r="BB63">
        <f t="shared" si="7"/>
        <v>0.37113811390077034</v>
      </c>
      <c r="BC63">
        <f t="shared" si="8"/>
        <v>-2.2629635161340005</v>
      </c>
      <c r="BD63">
        <f t="shared" si="9"/>
        <v>2.2629635161340005</v>
      </c>
      <c r="BE63" s="40"/>
      <c r="BF63" s="40"/>
    </row>
    <row r="64" spans="1:58" x14ac:dyDescent="0.25">
      <c r="A64">
        <f t="shared" si="59"/>
        <v>3</v>
      </c>
      <c r="B64" s="1">
        <f t="shared" si="61"/>
        <v>0</v>
      </c>
      <c r="C64" s="1">
        <f t="shared" ca="1" si="61"/>
        <v>0</v>
      </c>
      <c r="D64" s="1">
        <f t="shared" si="61"/>
        <v>-11</v>
      </c>
      <c r="E64" s="1">
        <f t="shared" ref="E64" si="76">E17</f>
        <v>22</v>
      </c>
      <c r="F64" s="1">
        <f t="shared" si="64"/>
        <v>-17</v>
      </c>
      <c r="G64" s="1">
        <f t="shared" si="65"/>
        <v>10</v>
      </c>
      <c r="H64" s="6">
        <f t="shared" si="66"/>
        <v>17.00000000000021</v>
      </c>
      <c r="I64" s="6">
        <f t="shared" si="67"/>
        <v>-9.999999999999643</v>
      </c>
      <c r="J64" s="6">
        <f t="shared" si="68"/>
        <v>21.999999999999769</v>
      </c>
      <c r="K64">
        <f t="shared" ca="1" si="69"/>
        <v>0</v>
      </c>
      <c r="L64">
        <f t="shared" ca="1" si="70"/>
        <v>0</v>
      </c>
      <c r="M64" s="6">
        <f t="shared" ca="1" si="71"/>
        <v>0</v>
      </c>
      <c r="N64" s="6">
        <f t="shared" ca="1" si="72"/>
        <v>0</v>
      </c>
      <c r="O64" s="6">
        <f t="shared" ca="1" si="73"/>
        <v>0</v>
      </c>
      <c r="Q64" t="e">
        <f t="shared" si="74"/>
        <v>#N/A</v>
      </c>
      <c r="R64" t="e">
        <f t="shared" si="75"/>
        <v>#N/A</v>
      </c>
      <c r="AS64">
        <v>-2.0594885173533211</v>
      </c>
      <c r="AT64">
        <v>-15.466160534753977</v>
      </c>
      <c r="AU64">
        <v>-190.69429696942592</v>
      </c>
      <c r="AV64">
        <f t="shared" si="1"/>
        <v>-1.6517236654382774</v>
      </c>
      <c r="AW64">
        <f t="shared" si="2"/>
        <v>0.40776485191504364</v>
      </c>
      <c r="AX64" s="40">
        <f t="shared" si="3"/>
        <v>-2.2088834855997841</v>
      </c>
      <c r="AY64">
        <f t="shared" si="4"/>
        <v>2.2088834855997841</v>
      </c>
      <c r="AZ64">
        <f t="shared" si="5"/>
        <v>4.2236967898262652</v>
      </c>
      <c r="BA64">
        <f t="shared" si="6"/>
        <v>-1.6517236654382774</v>
      </c>
      <c r="BB64">
        <f t="shared" si="7"/>
        <v>0.40776485191504364</v>
      </c>
      <c r="BC64">
        <f t="shared" si="8"/>
        <v>-2.2088834855997841</v>
      </c>
      <c r="BD64">
        <f t="shared" si="9"/>
        <v>2.2088834855997841</v>
      </c>
      <c r="BE64" s="40"/>
      <c r="BF64" s="40"/>
    </row>
    <row r="65" spans="1:58" x14ac:dyDescent="0.25">
      <c r="A65">
        <f t="shared" si="59"/>
        <v>4</v>
      </c>
      <c r="B65" s="1">
        <f t="shared" si="61"/>
        <v>0</v>
      </c>
      <c r="C65" s="1">
        <f t="shared" ca="1" si="61"/>
        <v>0</v>
      </c>
      <c r="D65" s="1">
        <f t="shared" si="61"/>
        <v>-21</v>
      </c>
      <c r="E65" s="1">
        <f t="shared" ref="E65" si="77">E18</f>
        <v>22</v>
      </c>
      <c r="F65" s="1">
        <f t="shared" si="64"/>
        <v>-27</v>
      </c>
      <c r="G65" s="1">
        <f t="shared" si="65"/>
        <v>10</v>
      </c>
      <c r="H65" s="6">
        <f t="shared" si="66"/>
        <v>27.00000000000021</v>
      </c>
      <c r="I65" s="6">
        <f t="shared" si="67"/>
        <v>-9.9999999999994333</v>
      </c>
      <c r="J65" s="6">
        <f t="shared" si="68"/>
        <v>21.999999999999559</v>
      </c>
      <c r="K65">
        <f t="shared" ca="1" si="69"/>
        <v>0</v>
      </c>
      <c r="L65">
        <f t="shared" ca="1" si="70"/>
        <v>0</v>
      </c>
      <c r="M65" s="6">
        <f t="shared" ca="1" si="71"/>
        <v>0</v>
      </c>
      <c r="N65" s="6">
        <f t="shared" ca="1" si="72"/>
        <v>0</v>
      </c>
      <c r="O65" s="6">
        <f t="shared" ca="1" si="73"/>
        <v>0</v>
      </c>
      <c r="Q65" t="e">
        <f t="shared" si="74"/>
        <v>#N/A</v>
      </c>
      <c r="R65" t="e">
        <f t="shared" si="75"/>
        <v>#N/A</v>
      </c>
      <c r="AS65">
        <v>-2.042035224833378</v>
      </c>
      <c r="AT65">
        <v>-5.980648728245705</v>
      </c>
      <c r="AU65">
        <v>-192.96054873405438</v>
      </c>
      <c r="AV65">
        <f t="shared" si="1"/>
        <v>-1.6017805605775886</v>
      </c>
      <c r="AW65">
        <f t="shared" si="2"/>
        <v>0.44025466425578941</v>
      </c>
      <c r="AX65" s="40">
        <f t="shared" si="3"/>
        <v>-2.1589403807390952</v>
      </c>
      <c r="AY65">
        <f t="shared" si="4"/>
        <v>2.1589403807390952</v>
      </c>
      <c r="AZ65">
        <f t="shared" si="5"/>
        <v>4.2411500823462083</v>
      </c>
      <c r="BA65">
        <f t="shared" si="6"/>
        <v>-1.6017805605775886</v>
      </c>
      <c r="BB65">
        <f t="shared" si="7"/>
        <v>0.44025466425578941</v>
      </c>
      <c r="BC65">
        <f t="shared" si="8"/>
        <v>-2.1589403807390952</v>
      </c>
      <c r="BD65">
        <f t="shared" si="9"/>
        <v>2.1589403807390952</v>
      </c>
      <c r="BE65" s="40"/>
      <c r="BF65" s="40"/>
    </row>
    <row r="66" spans="1:58" x14ac:dyDescent="0.25">
      <c r="A66">
        <f t="shared" si="59"/>
        <v>5</v>
      </c>
      <c r="B66" s="1">
        <f t="shared" si="61"/>
        <v>0</v>
      </c>
      <c r="C66" s="1">
        <f t="shared" ca="1" si="61"/>
        <v>0</v>
      </c>
      <c r="D66" s="1">
        <f t="shared" si="61"/>
        <v>3</v>
      </c>
      <c r="E66" s="1">
        <f t="shared" ref="E66" si="78">E19</f>
        <v>22</v>
      </c>
      <c r="F66" s="1">
        <f t="shared" si="64"/>
        <v>-3</v>
      </c>
      <c r="G66" s="1">
        <f t="shared" si="65"/>
        <v>10</v>
      </c>
      <c r="H66" s="6">
        <f t="shared" si="66"/>
        <v>3.0000000000002101</v>
      </c>
      <c r="I66" s="6">
        <f t="shared" si="67"/>
        <v>-9.9999999999999378</v>
      </c>
      <c r="J66" s="6">
        <f t="shared" si="68"/>
        <v>22.000000000000064</v>
      </c>
      <c r="K66">
        <f t="shared" ca="1" si="69"/>
        <v>0</v>
      </c>
      <c r="L66">
        <f t="shared" ca="1" si="70"/>
        <v>0</v>
      </c>
      <c r="M66" s="6">
        <f t="shared" ca="1" si="71"/>
        <v>0</v>
      </c>
      <c r="N66" s="6">
        <f t="shared" ca="1" si="72"/>
        <v>0</v>
      </c>
      <c r="O66" s="6">
        <f t="shared" ca="1" si="73"/>
        <v>0</v>
      </c>
      <c r="Q66" t="e">
        <f t="shared" si="74"/>
        <v>#N/A</v>
      </c>
      <c r="R66" t="e">
        <f t="shared" si="75"/>
        <v>#N/A</v>
      </c>
      <c r="AS66">
        <v>-2.0245819323134349</v>
      </c>
      <c r="AT66">
        <v>2.961408433635043</v>
      </c>
      <c r="AU66">
        <v>-194.95434980592285</v>
      </c>
      <c r="AV66">
        <f t="shared" si="1"/>
        <v>-1.5556072289769163</v>
      </c>
      <c r="AW66">
        <f t="shared" si="2"/>
        <v>0.46897470333651858</v>
      </c>
      <c r="AX66" s="40">
        <f t="shared" si="3"/>
        <v>-2.1127670491384229</v>
      </c>
      <c r="AY66">
        <f t="shared" si="4"/>
        <v>2.1127670491384229</v>
      </c>
      <c r="AZ66">
        <f t="shared" si="5"/>
        <v>4.2586033748661514</v>
      </c>
      <c r="BA66">
        <f t="shared" si="6"/>
        <v>-1.5556072289769163</v>
      </c>
      <c r="BB66">
        <f t="shared" si="7"/>
        <v>0.46897470333651858</v>
      </c>
      <c r="BC66">
        <f t="shared" si="8"/>
        <v>-2.1127670491384229</v>
      </c>
      <c r="BD66">
        <f t="shared" si="9"/>
        <v>2.1127670491384229</v>
      </c>
      <c r="BE66" s="40"/>
      <c r="BF66" s="40"/>
    </row>
    <row r="67" spans="1:58" x14ac:dyDescent="0.25">
      <c r="A67">
        <f t="shared" si="59"/>
        <v>6</v>
      </c>
      <c r="B67" s="1">
        <f t="shared" si="61"/>
        <v>0</v>
      </c>
      <c r="C67" s="1">
        <f t="shared" ca="1" si="61"/>
        <v>0</v>
      </c>
      <c r="D67" s="1">
        <f t="shared" si="61"/>
        <v>13</v>
      </c>
      <c r="E67" s="1">
        <f t="shared" ref="E67" si="79">E20</f>
        <v>22</v>
      </c>
      <c r="F67" s="1">
        <f t="shared" si="64"/>
        <v>7</v>
      </c>
      <c r="G67" s="1">
        <f t="shared" si="65"/>
        <v>10</v>
      </c>
      <c r="H67" s="6">
        <f t="shared" si="66"/>
        <v>-6.9999999999997904</v>
      </c>
      <c r="I67" s="6">
        <f t="shared" si="67"/>
        <v>-10.000000000000147</v>
      </c>
      <c r="J67" s="6">
        <f t="shared" si="68"/>
        <v>22.000000000000274</v>
      </c>
      <c r="K67">
        <f t="shared" ca="1" si="69"/>
        <v>0</v>
      </c>
      <c r="L67">
        <f t="shared" ca="1" si="70"/>
        <v>0</v>
      </c>
      <c r="M67" s="6">
        <f t="shared" ca="1" si="71"/>
        <v>0</v>
      </c>
      <c r="N67" s="6">
        <f t="shared" ca="1" si="72"/>
        <v>0</v>
      </c>
      <c r="O67" s="6">
        <f t="shared" ca="1" si="73"/>
        <v>0</v>
      </c>
      <c r="Q67" t="e">
        <f t="shared" si="74"/>
        <v>#N/A</v>
      </c>
      <c r="R67" t="e">
        <f t="shared" si="75"/>
        <v>#N/A</v>
      </c>
      <c r="AS67">
        <v>-2.0071286397934918</v>
      </c>
      <c r="AT67">
        <v>11.409758092291117</v>
      </c>
      <c r="AU67">
        <v>-196.70723647558935</v>
      </c>
      <c r="AV67">
        <f t="shared" ref="AV67:AV130" si="80">ATAN2(AT67,AU67)</f>
        <v>-1.5128574920738513</v>
      </c>
      <c r="AW67">
        <f t="shared" ref="AW67:AW130" si="81">ABS(AS67-AV67)</f>
        <v>0.49427114771964042</v>
      </c>
      <c r="AX67" s="40">
        <f t="shared" ref="AX67:AX130" si="82">AV67-$U$13</f>
        <v>-2.070017312235358</v>
      </c>
      <c r="AY67">
        <f t="shared" ref="AY67:AY130" si="83">ABS(AX67)</f>
        <v>2.070017312235358</v>
      </c>
      <c r="AZ67">
        <f t="shared" ref="AZ67:AZ130" si="84">AS67+(2*PI())</f>
        <v>4.2760566673860945</v>
      </c>
      <c r="BA67">
        <f t="shared" ref="BA67:BA130" si="85">AV67</f>
        <v>-1.5128574920738513</v>
      </c>
      <c r="BB67">
        <f t="shared" ref="BB67:BB130" si="86">AW67</f>
        <v>0.49427114771964042</v>
      </c>
      <c r="BC67">
        <f t="shared" ref="BC67:BC130" si="87">AX67</f>
        <v>-2.070017312235358</v>
      </c>
      <c r="BD67">
        <f t="shared" ref="BD67:BD130" si="88">AY67</f>
        <v>2.070017312235358</v>
      </c>
      <c r="BE67" s="40"/>
      <c r="BF67" s="40"/>
    </row>
    <row r="68" spans="1:58" x14ac:dyDescent="0.25">
      <c r="A68">
        <f t="shared" si="59"/>
        <v>7</v>
      </c>
      <c r="B68" s="1" t="str">
        <f t="shared" ref="B68:D68" si="89">B21</f>
        <v>p1</v>
      </c>
      <c r="C68" s="1">
        <f t="shared" ca="1" si="89"/>
        <v>2.4750000000000001</v>
      </c>
      <c r="D68" s="1">
        <f t="shared" si="89"/>
        <v>6</v>
      </c>
      <c r="E68" s="1">
        <f>E21</f>
        <v>22</v>
      </c>
      <c r="F68" s="1">
        <f t="shared" si="64"/>
        <v>0</v>
      </c>
      <c r="G68" s="1">
        <f t="shared" si="65"/>
        <v>10</v>
      </c>
      <c r="H68" s="6">
        <f t="shared" si="66"/>
        <v>2.0994707708443805E-13</v>
      </c>
      <c r="I68" s="6">
        <f t="shared" si="67"/>
        <v>-10</v>
      </c>
      <c r="J68" s="6">
        <f t="shared" si="68"/>
        <v>22.000000000000128</v>
      </c>
      <c r="K68">
        <f t="shared" ca="1" si="69"/>
        <v>-2.2082560805681068E-2</v>
      </c>
      <c r="L68">
        <f t="shared" ca="1" si="70"/>
        <v>-60</v>
      </c>
      <c r="M68" s="6">
        <f t="shared" ca="1" si="71"/>
        <v>-148.5</v>
      </c>
      <c r="N68" s="6">
        <f t="shared" ca="1" si="72"/>
        <v>1485</v>
      </c>
      <c r="O68" s="6">
        <f t="shared" ca="1" si="73"/>
        <v>3.117714094703905E-11</v>
      </c>
      <c r="Q68">
        <f t="shared" si="74"/>
        <v>2.0994707708443805E-13</v>
      </c>
      <c r="R68">
        <f t="shared" si="75"/>
        <v>-10</v>
      </c>
      <c r="AS68">
        <v>-1.9896753472735484</v>
      </c>
      <c r="AT68">
        <v>19.407088329175696</v>
      </c>
      <c r="AU68">
        <v>-198.2475004405749</v>
      </c>
      <c r="AV68">
        <f t="shared" si="80"/>
        <v>-1.4732140165033814</v>
      </c>
      <c r="AW68">
        <f t="shared" si="81"/>
        <v>0.51646133077016709</v>
      </c>
      <c r="AX68" s="40">
        <f t="shared" si="82"/>
        <v>-2.030373836664888</v>
      </c>
      <c r="AY68">
        <f t="shared" si="83"/>
        <v>2.030373836664888</v>
      </c>
      <c r="AZ68">
        <f t="shared" si="84"/>
        <v>4.2935099599060376</v>
      </c>
      <c r="BA68">
        <f t="shared" si="85"/>
        <v>-1.4732140165033814</v>
      </c>
      <c r="BB68">
        <f t="shared" si="86"/>
        <v>0.51646133077016709</v>
      </c>
      <c r="BC68">
        <f t="shared" si="87"/>
        <v>-2.030373836664888</v>
      </c>
      <c r="BD68">
        <f t="shared" si="88"/>
        <v>2.030373836664888</v>
      </c>
      <c r="BE68" s="40"/>
      <c r="BF68" s="40"/>
    </row>
    <row r="69" spans="1:58" x14ac:dyDescent="0.25">
      <c r="A69">
        <f t="shared" si="59"/>
        <v>8</v>
      </c>
      <c r="B69" s="1">
        <f t="shared" ref="B69:D71" si="90">B22</f>
        <v>0</v>
      </c>
      <c r="C69" s="1">
        <f t="shared" ca="1" si="90"/>
        <v>0</v>
      </c>
      <c r="D69" s="1">
        <f t="shared" si="90"/>
        <v>2</v>
      </c>
      <c r="E69" s="1">
        <f t="shared" ref="E69" si="91">E22</f>
        <v>2</v>
      </c>
      <c r="F69" s="1">
        <f t="shared" si="64"/>
        <v>-4</v>
      </c>
      <c r="G69" s="1">
        <f t="shared" si="65"/>
        <v>-10</v>
      </c>
      <c r="H69" s="6">
        <f t="shared" si="66"/>
        <v>3.9999999999997899</v>
      </c>
      <c r="I69" s="6">
        <f t="shared" si="67"/>
        <v>10.000000000000083</v>
      </c>
      <c r="J69" s="6">
        <f t="shared" si="68"/>
        <v>2.0000000000000426</v>
      </c>
      <c r="K69">
        <f t="shared" ca="1" si="69"/>
        <v>0</v>
      </c>
      <c r="L69">
        <f t="shared" ca="1" si="70"/>
        <v>0</v>
      </c>
      <c r="M69" s="6">
        <f t="shared" ca="1" si="71"/>
        <v>0</v>
      </c>
      <c r="N69" s="6">
        <f t="shared" ca="1" si="72"/>
        <v>0</v>
      </c>
      <c r="O69" s="6">
        <f t="shared" ca="1" si="73"/>
        <v>0</v>
      </c>
      <c r="Q69" t="e">
        <f t="shared" si="74"/>
        <v>#N/A</v>
      </c>
      <c r="R69" t="e">
        <f t="shared" si="75"/>
        <v>#N/A</v>
      </c>
      <c r="AS69">
        <v>-1.9722220547536051</v>
      </c>
      <c r="AT69">
        <v>26.989816214528474</v>
      </c>
      <c r="AU69">
        <v>-199.60094669387831</v>
      </c>
      <c r="AV69">
        <f t="shared" si="80"/>
        <v>-1.4363926439741748</v>
      </c>
      <c r="AW69">
        <f t="shared" si="81"/>
        <v>0.53582941077943036</v>
      </c>
      <c r="AX69" s="40">
        <f t="shared" si="82"/>
        <v>-1.9935524641356812</v>
      </c>
      <c r="AY69">
        <f t="shared" si="83"/>
        <v>1.9935524641356812</v>
      </c>
      <c r="AZ69">
        <f t="shared" si="84"/>
        <v>4.3109632524259816</v>
      </c>
      <c r="BA69">
        <f t="shared" si="85"/>
        <v>-1.4363926439741748</v>
      </c>
      <c r="BB69">
        <f t="shared" si="86"/>
        <v>0.53582941077943036</v>
      </c>
      <c r="BC69">
        <f t="shared" si="87"/>
        <v>-1.9935524641356812</v>
      </c>
      <c r="BD69">
        <f t="shared" si="88"/>
        <v>1.9935524641356812</v>
      </c>
      <c r="BE69" s="40"/>
      <c r="BF69" s="40"/>
    </row>
    <row r="70" spans="1:58" x14ac:dyDescent="0.25">
      <c r="A70">
        <f t="shared" si="59"/>
        <v>9</v>
      </c>
      <c r="B70" s="1" t="str">
        <f t="shared" si="90"/>
        <v>p1</v>
      </c>
      <c r="C70" s="1">
        <f t="shared" ca="1" si="90"/>
        <v>2.4750000000000001</v>
      </c>
      <c r="D70" s="1">
        <f t="shared" si="90"/>
        <v>6</v>
      </c>
      <c r="E70" s="1">
        <f t="shared" ref="E70" si="92">E23</f>
        <v>2</v>
      </c>
      <c r="F70" s="1">
        <f t="shared" si="64"/>
        <v>0</v>
      </c>
      <c r="G70" s="1">
        <f t="shared" si="65"/>
        <v>-10</v>
      </c>
      <c r="H70" s="6">
        <f t="shared" si="66"/>
        <v>-2.0994707708443805E-13</v>
      </c>
      <c r="I70" s="6">
        <f t="shared" si="67"/>
        <v>10</v>
      </c>
      <c r="J70" s="6">
        <f t="shared" si="68"/>
        <v>2.0000000000001261</v>
      </c>
      <c r="K70">
        <f t="shared" ca="1" si="69"/>
        <v>7.197671994834087E-4</v>
      </c>
      <c r="L70">
        <f t="shared" ca="1" si="70"/>
        <v>16.623248785018852</v>
      </c>
      <c r="M70" s="6">
        <f t="shared" ca="1" si="71"/>
        <v>41.142540742921661</v>
      </c>
      <c r="N70" s="6">
        <f t="shared" ca="1" si="72"/>
        <v>411.42540742921659</v>
      </c>
      <c r="O70" s="6">
        <f t="shared" ca="1" si="73"/>
        <v>8.6377561728038063E-12</v>
      </c>
      <c r="Q70">
        <f t="shared" si="74"/>
        <v>-2.0994707708443805E-13</v>
      </c>
      <c r="R70">
        <f t="shared" si="75"/>
        <v>10</v>
      </c>
      <c r="AS70">
        <v>-1.9547687622336618</v>
      </c>
      <c r="AT70">
        <v>34.188593326861174</v>
      </c>
      <c r="AU70">
        <v>-200.79160849834278</v>
      </c>
      <c r="AV70">
        <f t="shared" si="80"/>
        <v>-1.4021447034252119</v>
      </c>
      <c r="AW70">
        <f t="shared" si="81"/>
        <v>0.55262405880844989</v>
      </c>
      <c r="AX70" s="40">
        <f t="shared" si="82"/>
        <v>-1.9593045235867184</v>
      </c>
      <c r="AY70">
        <f t="shared" si="83"/>
        <v>1.9593045235867184</v>
      </c>
      <c r="AZ70">
        <f t="shared" si="84"/>
        <v>4.3284165449459246</v>
      </c>
      <c r="BA70">
        <f t="shared" si="85"/>
        <v>-1.4021447034252119</v>
      </c>
      <c r="BB70">
        <f t="shared" si="86"/>
        <v>0.55262405880844989</v>
      </c>
      <c r="BC70">
        <f t="shared" si="87"/>
        <v>-1.9593045235867184</v>
      </c>
      <c r="BD70">
        <f t="shared" si="88"/>
        <v>1.9593045235867184</v>
      </c>
      <c r="BE70" s="40"/>
      <c r="BF70" s="40"/>
    </row>
    <row r="71" spans="1:58" ht="15.75" thickBot="1" x14ac:dyDescent="0.3">
      <c r="A71">
        <f t="shared" si="59"/>
        <v>10</v>
      </c>
      <c r="B71" s="1">
        <f t="shared" si="90"/>
        <v>0</v>
      </c>
      <c r="C71" s="1">
        <f t="shared" ca="1" si="90"/>
        <v>0</v>
      </c>
      <c r="D71" s="1">
        <f t="shared" si="90"/>
        <v>10</v>
      </c>
      <c r="E71" s="1">
        <f t="shared" ref="E71" si="93">E24</f>
        <v>2</v>
      </c>
      <c r="F71" s="1">
        <f t="shared" si="64"/>
        <v>4</v>
      </c>
      <c r="G71" s="1">
        <f t="shared" si="65"/>
        <v>-10</v>
      </c>
      <c r="H71" s="6">
        <f t="shared" si="66"/>
        <v>-4.0000000000002096</v>
      </c>
      <c r="I71" s="6">
        <f t="shared" si="67"/>
        <v>9.9999999999999165</v>
      </c>
      <c r="J71" s="6">
        <f t="shared" si="68"/>
        <v>2.0000000000002096</v>
      </c>
      <c r="K71" s="12">
        <f t="shared" ca="1" si="69"/>
        <v>0</v>
      </c>
      <c r="L71">
        <f t="shared" ca="1" si="70"/>
        <v>0</v>
      </c>
      <c r="M71" s="11">
        <f t="shared" ca="1" si="71"/>
        <v>0</v>
      </c>
      <c r="N71" s="11">
        <f t="shared" ca="1" si="72"/>
        <v>0</v>
      </c>
      <c r="O71" s="11">
        <f t="shared" ca="1" si="73"/>
        <v>0</v>
      </c>
      <c r="Q71" t="e">
        <f t="shared" si="74"/>
        <v>#N/A</v>
      </c>
      <c r="R71" t="e">
        <f t="shared" si="75"/>
        <v>#N/A</v>
      </c>
      <c r="AS71">
        <v>-1.9373154697137185</v>
      </c>
      <c r="AT71">
        <v>41.028514564871017</v>
      </c>
      <c r="AU71">
        <v>-201.84247249393539</v>
      </c>
      <c r="AV71">
        <f t="shared" si="80"/>
        <v>-1.3702585454400895</v>
      </c>
      <c r="AW71">
        <f t="shared" si="81"/>
        <v>0.56705692427362897</v>
      </c>
      <c r="AX71" s="40">
        <f t="shared" si="82"/>
        <v>-1.927418365601596</v>
      </c>
      <c r="AY71">
        <f t="shared" si="83"/>
        <v>1.927418365601596</v>
      </c>
      <c r="AZ71">
        <f t="shared" si="84"/>
        <v>4.3458698374658677</v>
      </c>
      <c r="BA71">
        <f t="shared" si="85"/>
        <v>-1.3702585454400895</v>
      </c>
      <c r="BB71">
        <f t="shared" si="86"/>
        <v>0.56705692427362897</v>
      </c>
      <c r="BC71">
        <f t="shared" si="87"/>
        <v>-1.927418365601596</v>
      </c>
      <c r="BD71">
        <f t="shared" si="88"/>
        <v>1.927418365601596</v>
      </c>
      <c r="BE71" s="40"/>
      <c r="BF71" s="40"/>
    </row>
    <row r="72" spans="1:58" ht="15.75" thickTop="1" x14ac:dyDescent="0.25">
      <c r="K72" s="13">
        <f ca="1">MIN(K62:K71)</f>
        <v>-2.2082560805681068E-2</v>
      </c>
      <c r="M72" s="9">
        <f ca="1">SUM(M62:M71)</f>
        <v>-107.35745925707835</v>
      </c>
      <c r="N72" s="9">
        <f t="shared" ref="N72:O72" ca="1" si="94">SUM(N62:N71)</f>
        <v>1896.4254074292166</v>
      </c>
      <c r="O72" s="9">
        <f t="shared" ca="1" si="94"/>
        <v>3.9814897119842857E-11</v>
      </c>
      <c r="AS72">
        <v>-1.9198621771937752</v>
      </c>
      <c r="AT72">
        <v>47.528972464305525</v>
      </c>
      <c r="AU72">
        <v>-202.77628025115453</v>
      </c>
      <c r="AV72">
        <f t="shared" si="80"/>
        <v>-1.3405613980651778</v>
      </c>
      <c r="AW72">
        <f t="shared" si="81"/>
        <v>0.57930077912859734</v>
      </c>
      <c r="AX72" s="40">
        <f t="shared" si="82"/>
        <v>-1.8977212182266845</v>
      </c>
      <c r="AY72">
        <f t="shared" si="83"/>
        <v>1.8977212182266845</v>
      </c>
      <c r="AZ72">
        <f t="shared" si="84"/>
        <v>4.3633231299858108</v>
      </c>
      <c r="BA72">
        <f t="shared" si="85"/>
        <v>-1.3405613980651778</v>
      </c>
      <c r="BB72">
        <f t="shared" si="86"/>
        <v>0.57930077912859734</v>
      </c>
      <c r="BC72">
        <f t="shared" si="87"/>
        <v>-1.8977212182266845</v>
      </c>
      <c r="BD72">
        <f t="shared" si="88"/>
        <v>1.8977212182266845</v>
      </c>
      <c r="BE72" s="40"/>
      <c r="BF72" s="40"/>
    </row>
    <row r="73" spans="1:58" x14ac:dyDescent="0.25">
      <c r="AS73">
        <v>-1.9024088846738318</v>
      </c>
      <c r="AT73">
        <v>53.703031022108981</v>
      </c>
      <c r="AU73">
        <v>-203.61650059928587</v>
      </c>
      <c r="AV73">
        <f t="shared" si="80"/>
        <v>-1.3129227059864201</v>
      </c>
      <c r="AW73">
        <f t="shared" si="81"/>
        <v>0.58948617868741171</v>
      </c>
      <c r="AX73" s="40">
        <f t="shared" si="82"/>
        <v>-1.8700825261479266</v>
      </c>
      <c r="AY73">
        <f t="shared" si="83"/>
        <v>1.8700825261479266</v>
      </c>
      <c r="AZ73">
        <f t="shared" si="84"/>
        <v>4.3807764225057539</v>
      </c>
      <c r="BA73">
        <f t="shared" si="85"/>
        <v>-1.3129227059864201</v>
      </c>
      <c r="BB73">
        <f t="shared" si="86"/>
        <v>0.58948617868741171</v>
      </c>
      <c r="BC73">
        <f t="shared" si="87"/>
        <v>-1.8700825261479266</v>
      </c>
      <c r="BD73">
        <f t="shared" si="88"/>
        <v>1.8700825261479266</v>
      </c>
      <c r="BE73" s="40"/>
      <c r="BF73" s="40"/>
    </row>
    <row r="74" spans="1:58" x14ac:dyDescent="0.25">
      <c r="AS74">
        <v>-1.8849555921538885</v>
      </c>
      <c r="AT74">
        <v>59.556074120474577</v>
      </c>
      <c r="AU74">
        <v>-204.38862152530436</v>
      </c>
      <c r="AV74">
        <f t="shared" si="80"/>
        <v>-1.2872604879889542</v>
      </c>
      <c r="AW74">
        <f t="shared" si="81"/>
        <v>0.59769510416493432</v>
      </c>
      <c r="AX74" s="40">
        <f t="shared" si="82"/>
        <v>-1.8444203081504607</v>
      </c>
      <c r="AY74">
        <f t="shared" si="83"/>
        <v>1.8444203081504607</v>
      </c>
      <c r="AZ74">
        <f t="shared" si="84"/>
        <v>4.3982297150256979</v>
      </c>
      <c r="BA74">
        <f t="shared" si="85"/>
        <v>-1.2872604879889542</v>
      </c>
      <c r="BB74">
        <f t="shared" si="86"/>
        <v>0.59769510416493432</v>
      </c>
      <c r="BC74">
        <f t="shared" si="87"/>
        <v>-1.8444203081504607</v>
      </c>
      <c r="BD74">
        <f t="shared" si="88"/>
        <v>1.8444203081504607</v>
      </c>
      <c r="BE74" s="40"/>
      <c r="BF74" s="40"/>
    </row>
    <row r="75" spans="1:58" x14ac:dyDescent="0.25">
      <c r="A75" s="8" t="s">
        <v>63</v>
      </c>
      <c r="B75" s="9">
        <f ca="1">N57+M72</f>
        <v>9.5986081305454718E-9</v>
      </c>
      <c r="C75" t="s">
        <v>68</v>
      </c>
      <c r="AS75">
        <v>-1.8675022996339452</v>
      </c>
      <c r="AT75">
        <v>65.083259343519387</v>
      </c>
      <c r="AU75">
        <v>-205.12201627751804</v>
      </c>
      <c r="AV75">
        <f t="shared" si="80"/>
        <v>-1.263553165577352</v>
      </c>
      <c r="AW75">
        <f t="shared" si="81"/>
        <v>0.60394913405659323</v>
      </c>
      <c r="AX75" s="40">
        <f t="shared" si="82"/>
        <v>-1.8207129857388584</v>
      </c>
      <c r="AY75">
        <f t="shared" si="83"/>
        <v>1.8207129857388584</v>
      </c>
      <c r="AZ75">
        <f t="shared" si="84"/>
        <v>4.415683007545641</v>
      </c>
      <c r="BA75">
        <f t="shared" si="85"/>
        <v>-1.263553165577352</v>
      </c>
      <c r="BB75">
        <f t="shared" si="86"/>
        <v>0.60394913405659323</v>
      </c>
      <c r="BC75">
        <f t="shared" si="87"/>
        <v>-1.8207129857388584</v>
      </c>
      <c r="BD75">
        <f t="shared" si="88"/>
        <v>1.8207129857388584</v>
      </c>
      <c r="BE75" s="40"/>
      <c r="BF75" s="40"/>
    </row>
    <row r="76" spans="1:58" x14ac:dyDescent="0.25">
      <c r="A76" s="8" t="s">
        <v>66</v>
      </c>
      <c r="B76" s="9">
        <f ca="1">O57+N72</f>
        <v>3071.7186043136908</v>
      </c>
      <c r="C76" t="s">
        <v>69</v>
      </c>
      <c r="AS76">
        <v>-1.8500490071140019</v>
      </c>
      <c r="AT76">
        <v>70.264854134208534</v>
      </c>
      <c r="AU76">
        <v>-205.85285174119201</v>
      </c>
      <c r="AV76">
        <f t="shared" si="80"/>
        <v>-1.2418613329478794</v>
      </c>
      <c r="AW76">
        <f t="shared" si="81"/>
        <v>0.60818767416612252</v>
      </c>
      <c r="AX76" s="40">
        <f t="shared" si="82"/>
        <v>-1.7990211531093858</v>
      </c>
      <c r="AY76">
        <f t="shared" si="83"/>
        <v>1.7990211531093858</v>
      </c>
      <c r="AZ76">
        <f t="shared" si="84"/>
        <v>4.4331363000655841</v>
      </c>
      <c r="BA76">
        <f t="shared" si="85"/>
        <v>-1.2418613329478794</v>
      </c>
      <c r="BB76">
        <f t="shared" si="86"/>
        <v>0.60818767416612252</v>
      </c>
      <c r="BC76">
        <f t="shared" si="87"/>
        <v>-1.7990211531093858</v>
      </c>
      <c r="BD76">
        <f t="shared" si="88"/>
        <v>1.7990211531093858</v>
      </c>
      <c r="BE76" s="40"/>
      <c r="BF76" s="40"/>
    </row>
    <row r="77" spans="1:58" x14ac:dyDescent="0.25">
      <c r="A77" s="8" t="s">
        <v>67</v>
      </c>
      <c r="B77" s="9">
        <f ca="1">P57+O72</f>
        <v>5.1581484824030116E-11</v>
      </c>
      <c r="C77" t="s">
        <v>69</v>
      </c>
      <c r="AS77">
        <v>-1.8325957145940586</v>
      </c>
      <c r="AT77">
        <v>75.057548567667908</v>
      </c>
      <c r="AU77">
        <v>-206.62896147349431</v>
      </c>
      <c r="AV77">
        <f t="shared" si="80"/>
        <v>-1.2223684093259941</v>
      </c>
      <c r="AW77">
        <f t="shared" si="81"/>
        <v>0.61022730526806446</v>
      </c>
      <c r="AX77" s="40">
        <f t="shared" si="82"/>
        <v>-1.7795282294875006</v>
      </c>
      <c r="AY77">
        <f t="shared" si="83"/>
        <v>1.7795282294875006</v>
      </c>
      <c r="AZ77">
        <f t="shared" si="84"/>
        <v>4.4505895925855281</v>
      </c>
      <c r="BA77">
        <f t="shared" si="85"/>
        <v>-1.2223684093259941</v>
      </c>
      <c r="BB77">
        <f t="shared" si="86"/>
        <v>0.61022730526806446</v>
      </c>
      <c r="BC77">
        <f t="shared" si="87"/>
        <v>-1.7795282294875006</v>
      </c>
      <c r="BD77">
        <f t="shared" si="88"/>
        <v>1.7795282294875006</v>
      </c>
      <c r="BE77" s="40"/>
      <c r="BF77" s="40"/>
    </row>
    <row r="78" spans="1:58" x14ac:dyDescent="0.25">
      <c r="AS78">
        <v>-1.8151424220741152</v>
      </c>
      <c r="AT78">
        <v>79.377529689340193</v>
      </c>
      <c r="AU78">
        <v>-207.51865080981344</v>
      </c>
      <c r="AV78">
        <f t="shared" si="80"/>
        <v>-1.2054596630070309</v>
      </c>
      <c r="AW78">
        <f t="shared" si="81"/>
        <v>0.60968275906708436</v>
      </c>
      <c r="AX78" s="40">
        <f t="shared" si="82"/>
        <v>-1.7626194831685376</v>
      </c>
      <c r="AY78">
        <f t="shared" si="83"/>
        <v>1.7626194831685376</v>
      </c>
      <c r="AZ78">
        <f t="shared" si="84"/>
        <v>4.4680428851054712</v>
      </c>
      <c r="BA78">
        <f t="shared" si="85"/>
        <v>-1.2054596630070309</v>
      </c>
      <c r="BB78">
        <f t="shared" si="86"/>
        <v>0.60968275906708436</v>
      </c>
      <c r="BC78">
        <f t="shared" si="87"/>
        <v>-1.7626194831685376</v>
      </c>
      <c r="BD78">
        <f t="shared" si="88"/>
        <v>1.7626194831685376</v>
      </c>
      <c r="BE78" s="40"/>
      <c r="BF78" s="40"/>
    </row>
    <row r="79" spans="1:58" x14ac:dyDescent="0.25">
      <c r="A79" s="8" t="s">
        <v>64</v>
      </c>
      <c r="B79">
        <f ca="1">((B76*COS(-1*B27))+(B77*SIN(-1*B27)))</f>
        <v>-3071.7186043136908</v>
      </c>
      <c r="C79" t="s">
        <v>69</v>
      </c>
      <c r="AS79">
        <v>-1.7976891295541719</v>
      </c>
      <c r="AT79">
        <v>83.199801462960266</v>
      </c>
      <c r="AU79">
        <v>-208.55387637190108</v>
      </c>
      <c r="AV79">
        <f t="shared" si="80"/>
        <v>-1.1912068977123023</v>
      </c>
      <c r="AW79">
        <f t="shared" si="81"/>
        <v>0.60648223184186967</v>
      </c>
      <c r="AX79" s="40">
        <f t="shared" si="82"/>
        <v>-1.7483667178738087</v>
      </c>
      <c r="AY79">
        <f t="shared" si="83"/>
        <v>1.7483667178738087</v>
      </c>
      <c r="AZ79">
        <f t="shared" si="84"/>
        <v>4.4854961776254143</v>
      </c>
      <c r="BA79">
        <f t="shared" si="85"/>
        <v>-1.1912068977123023</v>
      </c>
      <c r="BB79">
        <f t="shared" si="86"/>
        <v>0.60648223184186967</v>
      </c>
      <c r="BC79">
        <f t="shared" si="87"/>
        <v>-1.7483667178738087</v>
      </c>
      <c r="BD79">
        <f t="shared" si="88"/>
        <v>1.7483667178738087</v>
      </c>
      <c r="BE79" s="40"/>
      <c r="BF79" s="40"/>
    </row>
    <row r="80" spans="1:58" x14ac:dyDescent="0.25">
      <c r="A80" s="8" t="s">
        <v>65</v>
      </c>
      <c r="B80">
        <f ca="1">(-1*(B76)*SIN(-1*B27))+((B77)*COS(-1*B27))</f>
        <v>1.2908349436124775E-11</v>
      </c>
      <c r="C80" t="s">
        <v>69</v>
      </c>
      <c r="AS80">
        <v>-1.7802358370342286</v>
      </c>
      <c r="AT80">
        <v>86.882397368023589</v>
      </c>
      <c r="AU80">
        <v>-209.54808062756064</v>
      </c>
      <c r="AV80">
        <f t="shared" si="80"/>
        <v>-1.1777521208885746</v>
      </c>
      <c r="AW80">
        <f t="shared" si="81"/>
        <v>0.60248371614565399</v>
      </c>
      <c r="AX80" s="40">
        <f t="shared" si="82"/>
        <v>-1.7349119410500813</v>
      </c>
      <c r="AY80">
        <f t="shared" si="83"/>
        <v>1.7349119410500813</v>
      </c>
      <c r="AZ80">
        <f t="shared" si="84"/>
        <v>4.5029494701453574</v>
      </c>
      <c r="BA80">
        <f t="shared" si="85"/>
        <v>-1.1777521208885746</v>
      </c>
      <c r="BB80">
        <f t="shared" si="86"/>
        <v>0.60248371614565399</v>
      </c>
      <c r="BC80">
        <f t="shared" si="87"/>
        <v>-1.7349119410500813</v>
      </c>
      <c r="BD80">
        <f t="shared" si="88"/>
        <v>1.7349119410500813</v>
      </c>
      <c r="BE80" s="40"/>
      <c r="BF80" s="40"/>
    </row>
    <row r="81" spans="1:58" x14ac:dyDescent="0.25">
      <c r="AS81">
        <v>-1.7627825445142853</v>
      </c>
      <c r="AT81">
        <v>90.469244465165701</v>
      </c>
      <c r="AU81">
        <v>-210.48396332783344</v>
      </c>
      <c r="AV81">
        <f t="shared" si="80"/>
        <v>-1.1648540904009002</v>
      </c>
      <c r="AW81">
        <f t="shared" si="81"/>
        <v>0.59792845411338513</v>
      </c>
      <c r="AX81" s="40">
        <f t="shared" si="82"/>
        <v>-1.7220139105624068</v>
      </c>
      <c r="AY81">
        <f t="shared" si="83"/>
        <v>1.7220139105624068</v>
      </c>
      <c r="AZ81">
        <f t="shared" si="84"/>
        <v>4.5204027626653005</v>
      </c>
      <c r="BA81">
        <f t="shared" si="85"/>
        <v>-1.1648540904009002</v>
      </c>
      <c r="BB81">
        <f t="shared" si="86"/>
        <v>0.59792845411338513</v>
      </c>
      <c r="BC81">
        <f t="shared" si="87"/>
        <v>-1.7220139105624068</v>
      </c>
      <c r="BD81">
        <f t="shared" si="88"/>
        <v>1.7220139105624068</v>
      </c>
      <c r="BE81" s="40"/>
      <c r="BF81" s="40"/>
    </row>
    <row r="82" spans="1:58" x14ac:dyDescent="0.25">
      <c r="B82">
        <f>ATAN2(1,0)</f>
        <v>0</v>
      </c>
      <c r="AS82">
        <v>-1.745329251994342</v>
      </c>
      <c r="AT82">
        <v>93.966103793320542</v>
      </c>
      <c r="AU82">
        <v>-211.36462915979274</v>
      </c>
      <c r="AV82">
        <f t="shared" si="80"/>
        <v>-1.152468220946802</v>
      </c>
      <c r="AW82">
        <f t="shared" si="81"/>
        <v>0.59286103104753995</v>
      </c>
      <c r="AX82" s="40">
        <f t="shared" si="82"/>
        <v>-1.7096280411083087</v>
      </c>
      <c r="AY82">
        <f t="shared" si="83"/>
        <v>1.7096280411083087</v>
      </c>
      <c r="AZ82">
        <f t="shared" si="84"/>
        <v>4.5378560551852445</v>
      </c>
      <c r="BA82">
        <f t="shared" si="85"/>
        <v>-1.152468220946802</v>
      </c>
      <c r="BB82">
        <f t="shared" si="86"/>
        <v>0.59286103104753995</v>
      </c>
      <c r="BC82">
        <f t="shared" si="87"/>
        <v>-1.7096280411083087</v>
      </c>
      <c r="BD82">
        <f t="shared" si="88"/>
        <v>1.7096280411083087</v>
      </c>
      <c r="BE82" s="40"/>
      <c r="BF82" s="40"/>
    </row>
    <row r="83" spans="1:58" x14ac:dyDescent="0.25">
      <c r="A83" t="s">
        <v>74</v>
      </c>
      <c r="B83">
        <f ca="1">ATAN2(B79,B80)</f>
        <v>3.1415926535897891</v>
      </c>
      <c r="AS83">
        <v>-1.7278759594743986</v>
      </c>
      <c r="AT83">
        <v>97.378324733329293</v>
      </c>
      <c r="AU83">
        <v>-212.19291245029859</v>
      </c>
      <c r="AV83">
        <f t="shared" si="80"/>
        <v>-1.1405541877883505</v>
      </c>
      <c r="AW83">
        <f t="shared" si="81"/>
        <v>0.58732177168604816</v>
      </c>
      <c r="AX83" s="40">
        <f t="shared" si="82"/>
        <v>-1.6977140079498572</v>
      </c>
      <c r="AY83">
        <f t="shared" si="83"/>
        <v>1.6977140079498572</v>
      </c>
      <c r="AZ83">
        <f t="shared" si="84"/>
        <v>4.5553093477051876</v>
      </c>
      <c r="BA83">
        <f t="shared" si="85"/>
        <v>-1.1405541877883505</v>
      </c>
      <c r="BB83">
        <f t="shared" si="86"/>
        <v>0.58732177168604816</v>
      </c>
      <c r="BC83">
        <f t="shared" si="87"/>
        <v>-1.6977140079498572</v>
      </c>
      <c r="BD83">
        <f t="shared" si="88"/>
        <v>1.6977140079498572</v>
      </c>
      <c r="BE83" s="40"/>
      <c r="BF83" s="40"/>
    </row>
    <row r="84" spans="1:58" x14ac:dyDescent="0.25">
      <c r="AS84">
        <v>-1.7104226669544553</v>
      </c>
      <c r="AT84">
        <v>100.71088350364292</v>
      </c>
      <c r="AU84">
        <v>-212.97140179063447</v>
      </c>
      <c r="AV84">
        <f t="shared" si="80"/>
        <v>-1.1290754299011634</v>
      </c>
      <c r="AW84">
        <f t="shared" si="81"/>
        <v>0.58134723705329194</v>
      </c>
      <c r="AX84" s="40">
        <f t="shared" si="82"/>
        <v>-1.6862352500626701</v>
      </c>
      <c r="AY84">
        <f t="shared" si="83"/>
        <v>1.6862352500626701</v>
      </c>
      <c r="AZ84">
        <f t="shared" si="84"/>
        <v>4.5727626402251307</v>
      </c>
      <c r="BA84">
        <f t="shared" si="85"/>
        <v>-1.1290754299011634</v>
      </c>
      <c r="BB84">
        <f t="shared" si="86"/>
        <v>0.58134723705329194</v>
      </c>
      <c r="BC84">
        <f t="shared" si="87"/>
        <v>-1.6862352500626701</v>
      </c>
      <c r="BD84">
        <f t="shared" si="88"/>
        <v>1.6862352500626701</v>
      </c>
      <c r="BE84" s="40"/>
      <c r="BF84" s="40"/>
    </row>
    <row r="85" spans="1:58" x14ac:dyDescent="0.25">
      <c r="AS85">
        <v>-1.692969374434512</v>
      </c>
      <c r="AT85">
        <v>103.96841731799637</v>
      </c>
      <c r="AU85">
        <v>-213.70246178509768</v>
      </c>
      <c r="AV85">
        <f t="shared" si="80"/>
        <v>-1.1179987180776323</v>
      </c>
      <c r="AW85">
        <f t="shared" si="81"/>
        <v>0.57497065635687972</v>
      </c>
      <c r="AX85" s="40">
        <f t="shared" si="82"/>
        <v>-1.6751585382391387</v>
      </c>
      <c r="AY85">
        <f t="shared" si="83"/>
        <v>1.6751585382391387</v>
      </c>
      <c r="AZ85">
        <f t="shared" si="84"/>
        <v>4.5902159327450747</v>
      </c>
      <c r="BA85">
        <f t="shared" si="85"/>
        <v>-1.1179987180776323</v>
      </c>
      <c r="BB85">
        <f t="shared" si="86"/>
        <v>0.57497065635687972</v>
      </c>
      <c r="BC85">
        <f t="shared" si="87"/>
        <v>-1.6751585382391387</v>
      </c>
      <c r="BD85">
        <f t="shared" si="88"/>
        <v>1.6751585382391387</v>
      </c>
      <c r="BE85" s="40"/>
      <c r="BF85" s="40"/>
    </row>
    <row r="86" spans="1:58" x14ac:dyDescent="0.25">
      <c r="AS86">
        <v>-1.6755160819145687</v>
      </c>
      <c r="AT86">
        <v>107.15525482213002</v>
      </c>
      <c r="AU86">
        <v>-214.3882522769301</v>
      </c>
      <c r="AV86">
        <f t="shared" si="80"/>
        <v>-1.1072937784865475</v>
      </c>
      <c r="AW86">
        <f t="shared" si="81"/>
        <v>0.56822230342802116</v>
      </c>
      <c r="AX86" s="40">
        <f t="shared" si="82"/>
        <v>-1.6644535986480542</v>
      </c>
      <c r="AY86">
        <f t="shared" si="83"/>
        <v>1.6644535986480542</v>
      </c>
      <c r="AZ86">
        <f t="shared" si="84"/>
        <v>4.6076692252650178</v>
      </c>
      <c r="BA86">
        <f t="shared" si="85"/>
        <v>-1.1072937784865475</v>
      </c>
      <c r="BB86">
        <f t="shared" si="86"/>
        <v>0.56822230342802116</v>
      </c>
      <c r="BC86">
        <f t="shared" si="87"/>
        <v>-1.6644535986480542</v>
      </c>
      <c r="BD86">
        <f t="shared" si="88"/>
        <v>1.6644535986480542</v>
      </c>
      <c r="BE86" s="40"/>
      <c r="BF86" s="40"/>
    </row>
    <row r="87" spans="1:58" x14ac:dyDescent="0.25">
      <c r="A87" t="s">
        <v>119</v>
      </c>
      <c r="AS87">
        <v>-1.6580627893946254</v>
      </c>
      <c r="AT87">
        <v>110.27544329943851</v>
      </c>
      <c r="AU87">
        <v>-215.03074536669101</v>
      </c>
      <c r="AV87">
        <f t="shared" si="80"/>
        <v>-1.0969329637842</v>
      </c>
      <c r="AW87">
        <f t="shared" si="81"/>
        <v>0.56112982561042535</v>
      </c>
      <c r="AX87" s="40">
        <f t="shared" si="82"/>
        <v>-1.6540927839457065</v>
      </c>
      <c r="AY87">
        <f t="shared" si="83"/>
        <v>1.6540927839457065</v>
      </c>
      <c r="AZ87">
        <f t="shared" si="84"/>
        <v>4.6251225177849609</v>
      </c>
      <c r="BA87">
        <f t="shared" si="85"/>
        <v>-1.0969329637842</v>
      </c>
      <c r="BB87">
        <f t="shared" si="86"/>
        <v>0.56112982561042535</v>
      </c>
      <c r="BC87">
        <f t="shared" si="87"/>
        <v>-1.6540927839457065</v>
      </c>
      <c r="BD87">
        <f t="shared" si="88"/>
        <v>1.6540927839457065</v>
      </c>
      <c r="BE87" s="40"/>
      <c r="BF87" s="40"/>
    </row>
    <row r="88" spans="1:58" x14ac:dyDescent="0.25">
      <c r="A88" t="s">
        <v>120</v>
      </c>
      <c r="AS88">
        <v>-1.640609496874682</v>
      </c>
      <c r="AT88">
        <v>113.33277296570986</v>
      </c>
      <c r="AU88">
        <v>-215.63174050582904</v>
      </c>
      <c r="AV88">
        <f t="shared" si="80"/>
        <v>-1.0868909654400103</v>
      </c>
      <c r="AW88">
        <f t="shared" si="81"/>
        <v>0.55371853143467176</v>
      </c>
      <c r="AX88" s="40">
        <f t="shared" si="82"/>
        <v>-1.6440507856015167</v>
      </c>
      <c r="AY88">
        <f t="shared" si="83"/>
        <v>1.6440507856015167</v>
      </c>
      <c r="AZ88">
        <f t="shared" si="84"/>
        <v>4.642575810304904</v>
      </c>
      <c r="BA88">
        <f t="shared" si="85"/>
        <v>-1.0868909654400103</v>
      </c>
      <c r="BB88">
        <f t="shared" si="86"/>
        <v>0.55371853143467176</v>
      </c>
      <c r="BC88">
        <f t="shared" si="87"/>
        <v>-1.6440507856015167</v>
      </c>
      <c r="BD88">
        <f t="shared" si="88"/>
        <v>1.6440507856015167</v>
      </c>
      <c r="BE88" s="40"/>
      <c r="BF88" s="40"/>
    </row>
    <row r="89" spans="1:58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>
        <v>-1.6231562043547387</v>
      </c>
      <c r="AT89">
        <v>116.3307988252317</v>
      </c>
      <c r="AU89">
        <v>-216.19287787508728</v>
      </c>
      <c r="AV89">
        <f t="shared" si="80"/>
        <v>-1.0771445610827131</v>
      </c>
      <c r="AW89">
        <f t="shared" si="81"/>
        <v>0.54601164327202567</v>
      </c>
      <c r="AX89" s="40">
        <f t="shared" si="82"/>
        <v>-1.6343043812442195</v>
      </c>
      <c r="AY89">
        <f t="shared" si="83"/>
        <v>1.6343043812442195</v>
      </c>
      <c r="AZ89">
        <f t="shared" si="84"/>
        <v>4.6600291028248471</v>
      </c>
      <c r="BA89">
        <f t="shared" si="85"/>
        <v>-1.0771445610827131</v>
      </c>
      <c r="BB89">
        <f t="shared" si="86"/>
        <v>0.54601164327202567</v>
      </c>
      <c r="BC89">
        <f t="shared" si="87"/>
        <v>-1.6343043812442195</v>
      </c>
      <c r="BD89">
        <f t="shared" si="88"/>
        <v>1.6343043812442195</v>
      </c>
      <c r="BE89" s="40"/>
      <c r="BF89" s="40"/>
    </row>
    <row r="90" spans="1:58" x14ac:dyDescent="0.25">
      <c r="A90" s="6">
        <f>E3-$I$2</f>
        <v>-6</v>
      </c>
      <c r="B90" s="1">
        <f>F3-$I$3</f>
        <v>-12</v>
      </c>
      <c r="C90" s="1"/>
      <c r="AS90">
        <v>-1.6057029118347954</v>
      </c>
      <c r="AT90">
        <v>119.27286027398765</v>
      </c>
      <c r="AU90">
        <v>-216.71565026314295</v>
      </c>
      <c r="AV90">
        <f t="shared" si="80"/>
        <v>-1.0676723924761498</v>
      </c>
      <c r="AW90">
        <f t="shared" si="81"/>
        <v>0.53803051935864565</v>
      </c>
      <c r="AX90" s="40">
        <f t="shared" si="82"/>
        <v>-1.6248322126376564</v>
      </c>
      <c r="AY90">
        <f t="shared" si="83"/>
        <v>1.6248322126376564</v>
      </c>
      <c r="AZ90">
        <f t="shared" si="84"/>
        <v>4.677482395344791</v>
      </c>
      <c r="BA90">
        <f t="shared" si="85"/>
        <v>-1.0676723924761498</v>
      </c>
      <c r="BB90">
        <f t="shared" si="86"/>
        <v>0.53803051935864565</v>
      </c>
      <c r="BC90">
        <f t="shared" si="87"/>
        <v>-1.6248322126376564</v>
      </c>
      <c r="BD90">
        <f t="shared" si="88"/>
        <v>1.6248322126376564</v>
      </c>
      <c r="BE90" s="40"/>
      <c r="BF90" s="40"/>
    </row>
    <row r="91" spans="1:58" x14ac:dyDescent="0.25">
      <c r="A91" s="6">
        <f t="shared" ref="A91:A98" si="95">E4-$I$2</f>
        <v>6</v>
      </c>
      <c r="B91" s="1">
        <f t="shared" ref="B91:B98" si="96">F4-$I$3</f>
        <v>-12</v>
      </c>
      <c r="C91" s="1">
        <f>((A90*B91)-(A91*B90))*0.5</f>
        <v>72</v>
      </c>
      <c r="D91" s="6">
        <f>(A91+A90)*((A90*B91)-(A91*B90))*(1/6)</f>
        <v>0</v>
      </c>
      <c r="E91" s="6">
        <f>(B91+B90)*((A90*B91)-(A91*B90))*(1/6)</f>
        <v>-576</v>
      </c>
      <c r="AS91">
        <v>-1.5882496193148521</v>
      </c>
      <c r="AT91">
        <v>122.4140928601151</v>
      </c>
      <c r="AU91">
        <v>-217.1957093249755</v>
      </c>
      <c r="AV91">
        <f t="shared" si="80"/>
        <v>-1.0575625971704017</v>
      </c>
      <c r="AW91">
        <f t="shared" si="81"/>
        <v>0.5306870221444504</v>
      </c>
      <c r="AX91" s="40">
        <f t="shared" si="82"/>
        <v>-1.6147224173319081</v>
      </c>
      <c r="AY91">
        <f t="shared" si="83"/>
        <v>1.6147224173319081</v>
      </c>
      <c r="AZ91">
        <f t="shared" si="84"/>
        <v>4.6949356878647341</v>
      </c>
      <c r="BA91">
        <f t="shared" si="85"/>
        <v>-1.0575625971704017</v>
      </c>
      <c r="BB91">
        <f t="shared" si="86"/>
        <v>0.5306870221444504</v>
      </c>
      <c r="BC91">
        <f t="shared" si="87"/>
        <v>-1.6147224173319081</v>
      </c>
      <c r="BD91">
        <f t="shared" si="88"/>
        <v>1.6147224173319081</v>
      </c>
      <c r="BE91" s="40"/>
      <c r="BF91" s="40"/>
    </row>
    <row r="92" spans="1:58" x14ac:dyDescent="0.25">
      <c r="A92" s="6">
        <f t="shared" si="95"/>
        <v>6</v>
      </c>
      <c r="B92" s="1">
        <f t="shared" si="96"/>
        <v>4</v>
      </c>
      <c r="C92" s="1">
        <f t="shared" ref="C92:C98" si="97">((A91*B92)-(A92*B91))*0.5</f>
        <v>48</v>
      </c>
      <c r="D92" s="6">
        <f t="shared" ref="D92:D98" si="98">(A92+A91)*((A91*B92)-(A92*B91))*(1/6)</f>
        <v>192</v>
      </c>
      <c r="E92" s="6">
        <f t="shared" ref="E92:E98" si="99">(B92+B91)*((A91*B92)-(A92*B91))*(1/6)</f>
        <v>-128</v>
      </c>
      <c r="AS92">
        <v>-1.5707963267949088</v>
      </c>
      <c r="AT92">
        <v>126.99652948894675</v>
      </c>
      <c r="AU92">
        <v>-217.61349483824785</v>
      </c>
      <c r="AV92">
        <f t="shared" si="80"/>
        <v>-1.0425322138106872</v>
      </c>
      <c r="AW92">
        <f t="shared" si="81"/>
        <v>0.5282641129842216</v>
      </c>
      <c r="AX92" s="40">
        <f t="shared" si="82"/>
        <v>-1.5996920339721936</v>
      </c>
      <c r="AY92">
        <f t="shared" si="83"/>
        <v>1.5996920339721936</v>
      </c>
      <c r="AZ92">
        <f t="shared" si="84"/>
        <v>4.7123889803846772</v>
      </c>
      <c r="BA92">
        <f t="shared" si="85"/>
        <v>-1.0425322138106872</v>
      </c>
      <c r="BB92">
        <f t="shared" si="86"/>
        <v>0.5282641129842216</v>
      </c>
      <c r="BC92">
        <f t="shared" si="87"/>
        <v>-1.5996920339721936</v>
      </c>
      <c r="BD92">
        <f t="shared" si="88"/>
        <v>1.5996920339721936</v>
      </c>
      <c r="BE92" s="40"/>
      <c r="BF92" s="40"/>
    </row>
    <row r="93" spans="1:58" x14ac:dyDescent="0.25">
      <c r="A93" s="6">
        <f t="shared" si="95"/>
        <v>18</v>
      </c>
      <c r="B93" s="1">
        <f t="shared" si="96"/>
        <v>4</v>
      </c>
      <c r="C93" s="1">
        <f t="shared" si="97"/>
        <v>-24</v>
      </c>
      <c r="D93" s="6">
        <f t="shared" si="98"/>
        <v>-192</v>
      </c>
      <c r="E93" s="6">
        <f t="shared" si="99"/>
        <v>-64</v>
      </c>
      <c r="AS93">
        <v>-1.5533430342749655</v>
      </c>
      <c r="AT93">
        <v>131.0069140271566</v>
      </c>
      <c r="AU93">
        <v>-219.44844190854741</v>
      </c>
      <c r="AV93">
        <f t="shared" si="80"/>
        <v>-1.0325984144256668</v>
      </c>
      <c r="AW93">
        <f t="shared" si="81"/>
        <v>0.52074461984929865</v>
      </c>
      <c r="AX93" s="40">
        <f t="shared" si="82"/>
        <v>-1.5897582345871735</v>
      </c>
      <c r="AY93">
        <f t="shared" si="83"/>
        <v>1.5897582345871735</v>
      </c>
      <c r="AZ93">
        <f t="shared" si="84"/>
        <v>4.7298422729046212</v>
      </c>
      <c r="BA93">
        <f t="shared" si="85"/>
        <v>-1.0325984144256668</v>
      </c>
      <c r="BB93">
        <f t="shared" si="86"/>
        <v>0.52074461984929865</v>
      </c>
      <c r="BC93">
        <f t="shared" si="87"/>
        <v>-1.5897582345871735</v>
      </c>
      <c r="BD93">
        <f t="shared" si="88"/>
        <v>1.5897582345871735</v>
      </c>
      <c r="BE93" s="40"/>
      <c r="BF93" s="40"/>
    </row>
    <row r="94" spans="1:58" x14ac:dyDescent="0.25">
      <c r="A94" s="6">
        <f t="shared" si="95"/>
        <v>18</v>
      </c>
      <c r="B94" s="1">
        <f t="shared" si="96"/>
        <v>12</v>
      </c>
      <c r="C94" s="1">
        <f t="shared" si="97"/>
        <v>72</v>
      </c>
      <c r="D94" s="6">
        <f t="shared" si="98"/>
        <v>864</v>
      </c>
      <c r="E94" s="6">
        <f t="shared" si="99"/>
        <v>384</v>
      </c>
      <c r="AS94">
        <v>-1.5358897417550221</v>
      </c>
      <c r="AT94">
        <v>132.6547901495573</v>
      </c>
      <c r="AU94">
        <v>-221.20978595345196</v>
      </c>
      <c r="AV94">
        <f t="shared" si="80"/>
        <v>-1.0306131323507988</v>
      </c>
      <c r="AW94">
        <f t="shared" si="81"/>
        <v>0.50527660940422336</v>
      </c>
      <c r="AX94" s="40">
        <f t="shared" si="82"/>
        <v>-1.5877729525123052</v>
      </c>
      <c r="AY94">
        <f t="shared" si="83"/>
        <v>1.5877729525123052</v>
      </c>
      <c r="AZ94">
        <f t="shared" si="84"/>
        <v>4.7472955654245643</v>
      </c>
      <c r="BA94">
        <f t="shared" si="85"/>
        <v>-1.0306131323507988</v>
      </c>
      <c r="BB94">
        <f t="shared" si="86"/>
        <v>0.50527660940422336</v>
      </c>
      <c r="BC94">
        <f t="shared" si="87"/>
        <v>-1.5877729525123052</v>
      </c>
      <c r="BD94">
        <f t="shared" si="88"/>
        <v>1.5877729525123052</v>
      </c>
      <c r="BE94" s="40"/>
      <c r="BF94" s="40"/>
    </row>
    <row r="95" spans="1:58" x14ac:dyDescent="0.25">
      <c r="A95" s="6">
        <f t="shared" si="95"/>
        <v>-18</v>
      </c>
      <c r="B95" s="1">
        <f t="shared" si="96"/>
        <v>12</v>
      </c>
      <c r="C95" s="1">
        <f t="shared" si="97"/>
        <v>216</v>
      </c>
      <c r="D95" s="6">
        <f t="shared" si="98"/>
        <v>0</v>
      </c>
      <c r="E95" s="6">
        <f t="shared" si="99"/>
        <v>1728</v>
      </c>
      <c r="AS95">
        <v>-1.5184364492350788</v>
      </c>
      <c r="AT95">
        <v>134.2960593530311</v>
      </c>
      <c r="AU95">
        <v>-222.93674605841892</v>
      </c>
      <c r="AV95">
        <f t="shared" si="80"/>
        <v>-1.0286174002855442</v>
      </c>
      <c r="AW95">
        <f t="shared" si="81"/>
        <v>0.48981904894953465</v>
      </c>
      <c r="AX95" s="40">
        <f t="shared" si="82"/>
        <v>-1.5857772204470506</v>
      </c>
      <c r="AY95">
        <f t="shared" si="83"/>
        <v>1.5857772204470506</v>
      </c>
      <c r="AZ95">
        <f t="shared" si="84"/>
        <v>4.7647488579445074</v>
      </c>
      <c r="BA95">
        <f t="shared" si="85"/>
        <v>-1.0286174002855442</v>
      </c>
      <c r="BB95">
        <f t="shared" si="86"/>
        <v>0.48981904894953465</v>
      </c>
      <c r="BC95">
        <f t="shared" si="87"/>
        <v>-1.5857772204470506</v>
      </c>
      <c r="BD95">
        <f t="shared" si="88"/>
        <v>1.5857772204470506</v>
      </c>
      <c r="BE95" s="40"/>
      <c r="BF95" s="40"/>
    </row>
    <row r="96" spans="1:58" x14ac:dyDescent="0.25">
      <c r="A96" s="6">
        <f t="shared" si="95"/>
        <v>-18</v>
      </c>
      <c r="B96" s="1">
        <f t="shared" si="96"/>
        <v>4</v>
      </c>
      <c r="C96" s="1">
        <f t="shared" si="97"/>
        <v>72</v>
      </c>
      <c r="D96" s="6">
        <f t="shared" si="98"/>
        <v>-864</v>
      </c>
      <c r="E96" s="6">
        <f t="shared" si="99"/>
        <v>384</v>
      </c>
      <c r="AS96">
        <v>-1.5009831567151355</v>
      </c>
      <c r="AT96">
        <v>135.93172618608884</v>
      </c>
      <c r="AU96">
        <v>-224.63055563190966</v>
      </c>
      <c r="AV96">
        <f t="shared" si="80"/>
        <v>-1.0266099207111836</v>
      </c>
      <c r="AW96">
        <f t="shared" si="81"/>
        <v>0.47437323600395187</v>
      </c>
      <c r="AX96" s="40">
        <f t="shared" si="82"/>
        <v>-1.5837697408726901</v>
      </c>
      <c r="AY96">
        <f t="shared" si="83"/>
        <v>1.5837697408726901</v>
      </c>
      <c r="AZ96">
        <f t="shared" si="84"/>
        <v>4.7822021504644505</v>
      </c>
      <c r="BA96">
        <f t="shared" si="85"/>
        <v>-1.0266099207111836</v>
      </c>
      <c r="BB96">
        <f t="shared" si="86"/>
        <v>0.47437323600395187</v>
      </c>
      <c r="BC96">
        <f t="shared" si="87"/>
        <v>-1.5837697408726901</v>
      </c>
      <c r="BD96">
        <f t="shared" si="88"/>
        <v>1.5837697408726901</v>
      </c>
      <c r="BE96" s="40"/>
      <c r="BF96" s="40"/>
    </row>
    <row r="97" spans="1:68" x14ac:dyDescent="0.25">
      <c r="A97" s="6">
        <f t="shared" si="95"/>
        <v>-6</v>
      </c>
      <c r="B97" s="1">
        <f t="shared" si="96"/>
        <v>4</v>
      </c>
      <c r="C97" s="1">
        <f t="shared" si="97"/>
        <v>-24</v>
      </c>
      <c r="D97" s="6">
        <f t="shared" si="98"/>
        <v>192</v>
      </c>
      <c r="E97" s="6">
        <f t="shared" si="99"/>
        <v>-64</v>
      </c>
      <c r="AS97">
        <v>-1.4835298641951922</v>
      </c>
      <c r="AT97">
        <v>137.56278203130148</v>
      </c>
      <c r="AU97">
        <v>-226.29236754710706</v>
      </c>
      <c r="AV97">
        <f t="shared" si="80"/>
        <v>-1.0245893663212824</v>
      </c>
      <c r="AW97">
        <f t="shared" si="81"/>
        <v>0.45894049787390978</v>
      </c>
      <c r="AX97" s="40">
        <f t="shared" si="82"/>
        <v>-1.5817491864827891</v>
      </c>
      <c r="AY97">
        <f t="shared" si="83"/>
        <v>1.5817491864827891</v>
      </c>
      <c r="AZ97">
        <f t="shared" si="84"/>
        <v>4.7996554429843936</v>
      </c>
      <c r="BA97">
        <f t="shared" si="85"/>
        <v>-1.0245893663212824</v>
      </c>
      <c r="BB97">
        <f t="shared" si="86"/>
        <v>0.45894049787390978</v>
      </c>
      <c r="BC97">
        <f t="shared" si="87"/>
        <v>-1.5817491864827891</v>
      </c>
      <c r="BD97">
        <f t="shared" si="88"/>
        <v>1.5817491864827891</v>
      </c>
      <c r="BE97" s="40"/>
      <c r="BF97" s="40"/>
    </row>
    <row r="98" spans="1:68" x14ac:dyDescent="0.25">
      <c r="A98" s="6">
        <f t="shared" si="95"/>
        <v>-6</v>
      </c>
      <c r="B98" s="1">
        <f t="shared" si="96"/>
        <v>-12</v>
      </c>
      <c r="C98" s="1">
        <f t="shared" si="97"/>
        <v>48</v>
      </c>
      <c r="D98" s="6">
        <f t="shared" si="98"/>
        <v>-192</v>
      </c>
      <c r="E98" s="6">
        <f t="shared" si="99"/>
        <v>-128</v>
      </c>
      <c r="AS98">
        <v>-1.4660765716752489</v>
      </c>
      <c r="AT98">
        <v>139.19020744145155</v>
      </c>
      <c r="AU98">
        <v>-227.92325736483832</v>
      </c>
      <c r="AV98">
        <f t="shared" si="80"/>
        <v>-1.0225543765794634</v>
      </c>
      <c r="AW98">
        <f t="shared" si="81"/>
        <v>0.4435221950957855</v>
      </c>
      <c r="AX98" s="40">
        <f t="shared" si="82"/>
        <v>-1.5797141967409698</v>
      </c>
      <c r="AY98">
        <f t="shared" si="83"/>
        <v>1.5797141967409698</v>
      </c>
      <c r="AZ98">
        <f t="shared" si="84"/>
        <v>4.8171087355043376</v>
      </c>
      <c r="BA98">
        <f t="shared" si="85"/>
        <v>-1.0225543765794634</v>
      </c>
      <c r="BB98">
        <f t="shared" si="86"/>
        <v>0.4435221950957855</v>
      </c>
      <c r="BC98">
        <f t="shared" si="87"/>
        <v>-1.5797141967409698</v>
      </c>
      <c r="BD98">
        <f t="shared" si="88"/>
        <v>1.5797141967409698</v>
      </c>
      <c r="BE98" s="40"/>
      <c r="BF98" s="40"/>
    </row>
    <row r="99" spans="1:68" x14ac:dyDescent="0.25">
      <c r="C99" s="1">
        <f>SUM(C91:C98)</f>
        <v>480</v>
      </c>
      <c r="D99" s="6">
        <f>SUM(D91:D98)/C99</f>
        <v>0</v>
      </c>
      <c r="E99" s="6">
        <f>SUM(E91:E98)/C99</f>
        <v>3.2</v>
      </c>
      <c r="AS99">
        <v>-1.4486232791553055</v>
      </c>
      <c r="AT99">
        <v>140.81497452955605</v>
      </c>
      <c r="AU99">
        <v>-229.52422616592446</v>
      </c>
      <c r="AV99">
        <f t="shared" si="80"/>
        <v>-1.020503553755107</v>
      </c>
      <c r="AW99">
        <f t="shared" si="81"/>
        <v>0.42811972540019849</v>
      </c>
      <c r="AX99" s="40">
        <f t="shared" si="82"/>
        <v>-1.5776633739166135</v>
      </c>
      <c r="AY99">
        <f t="shared" si="83"/>
        <v>1.5776633739166135</v>
      </c>
      <c r="AZ99">
        <f t="shared" si="84"/>
        <v>4.8345620280242807</v>
      </c>
      <c r="BA99">
        <f t="shared" si="85"/>
        <v>-1.020503553755107</v>
      </c>
      <c r="BB99">
        <f t="shared" si="86"/>
        <v>0.42811972540019849</v>
      </c>
      <c r="BC99">
        <f t="shared" si="87"/>
        <v>-1.5776633739166135</v>
      </c>
      <c r="BD99">
        <f t="shared" si="88"/>
        <v>1.5776633739166135</v>
      </c>
      <c r="BE99" s="40"/>
      <c r="BF99" s="40"/>
    </row>
    <row r="100" spans="1:68" x14ac:dyDescent="0.25">
      <c r="A100" s="8" t="s">
        <v>124</v>
      </c>
      <c r="B100" s="1">
        <f>B31*C99*0.65</f>
        <v>1326</v>
      </c>
      <c r="C100" t="s">
        <v>68</v>
      </c>
      <c r="AS100">
        <v>-1.4311699866353622</v>
      </c>
      <c r="AT100">
        <v>142.43804924368277</v>
      </c>
      <c r="AU100">
        <v>-231.09620299946644</v>
      </c>
      <c r="AV100">
        <f t="shared" si="80"/>
        <v>-1.0184354589852289</v>
      </c>
      <c r="AW100">
        <f t="shared" si="81"/>
        <v>0.4127345276501333</v>
      </c>
      <c r="AX100" s="40">
        <f t="shared" si="82"/>
        <v>-1.5755952791467354</v>
      </c>
      <c r="AY100">
        <f t="shared" si="83"/>
        <v>1.5755952791467354</v>
      </c>
      <c r="AZ100">
        <f t="shared" si="84"/>
        <v>4.8520153205442238</v>
      </c>
      <c r="BA100">
        <f t="shared" si="85"/>
        <v>-1.0184354589852289</v>
      </c>
      <c r="BB100">
        <f t="shared" si="86"/>
        <v>0.4127345276501333</v>
      </c>
      <c r="BC100">
        <f t="shared" si="87"/>
        <v>-1.5755952791467354</v>
      </c>
      <c r="BD100">
        <f t="shared" si="88"/>
        <v>1.5755952791467354</v>
      </c>
      <c r="BE100" s="40"/>
      <c r="BF100" s="40"/>
    </row>
    <row r="101" spans="1:68" x14ac:dyDescent="0.25">
      <c r="A101" s="8" t="s">
        <v>77</v>
      </c>
      <c r="B101" s="1">
        <f>B100*E99</f>
        <v>4243.2</v>
      </c>
      <c r="C101" t="s">
        <v>69</v>
      </c>
      <c r="AS101">
        <v>-1.4137166941154189</v>
      </c>
      <c r="AT101">
        <v>144.06039367255948</v>
      </c>
      <c r="AU101">
        <v>-232.64004696730194</v>
      </c>
      <c r="AV101">
        <f t="shared" si="80"/>
        <v>-1.0163486079183384</v>
      </c>
      <c r="AW101">
        <f t="shared" si="81"/>
        <v>0.39736808619708053</v>
      </c>
      <c r="AX101" s="40">
        <f t="shared" si="82"/>
        <v>-1.5735084280798448</v>
      </c>
      <c r="AY101">
        <f t="shared" si="83"/>
        <v>1.5735084280798448</v>
      </c>
      <c r="AZ101">
        <f t="shared" si="84"/>
        <v>4.8694686130641678</v>
      </c>
      <c r="BA101">
        <f t="shared" si="85"/>
        <v>-1.0163486079183384</v>
      </c>
      <c r="BB101">
        <f t="shared" si="86"/>
        <v>0.39736808619708053</v>
      </c>
      <c r="BC101">
        <f t="shared" si="87"/>
        <v>-1.5735084280798448</v>
      </c>
      <c r="BD101">
        <f t="shared" si="88"/>
        <v>1.5735084280798448</v>
      </c>
      <c r="BE101" s="40"/>
      <c r="BF101" s="40"/>
    </row>
    <row r="102" spans="1:68" x14ac:dyDescent="0.25">
      <c r="A102" s="8" t="s">
        <v>125</v>
      </c>
      <c r="B102" s="1">
        <f>B100*D99</f>
        <v>0</v>
      </c>
      <c r="C102" t="s">
        <v>69</v>
      </c>
      <c r="J102" t="s">
        <v>127</v>
      </c>
      <c r="AS102">
        <v>-1.3962634015954756</v>
      </c>
      <c r="AT102">
        <v>145.68296823911342</v>
      </c>
      <c r="AU102">
        <v>-234.15654894402874</v>
      </c>
      <c r="AV102">
        <f t="shared" si="80"/>
        <v>-1.0142414663798918</v>
      </c>
      <c r="AW102">
        <f t="shared" si="81"/>
        <v>0.38202193521558381</v>
      </c>
      <c r="AX102" s="40">
        <f t="shared" si="82"/>
        <v>-1.5714012865413984</v>
      </c>
      <c r="AY102">
        <f t="shared" si="83"/>
        <v>1.5714012865413984</v>
      </c>
      <c r="AZ102">
        <f t="shared" si="84"/>
        <v>4.8869219055841109</v>
      </c>
      <c r="BA102">
        <f t="shared" si="85"/>
        <v>-1.0142414663798918</v>
      </c>
      <c r="BB102">
        <f t="shared" si="86"/>
        <v>0.38202193521558381</v>
      </c>
      <c r="BC102">
        <f t="shared" si="87"/>
        <v>-1.5714012865413984</v>
      </c>
      <c r="BD102">
        <f t="shared" si="88"/>
        <v>1.5714012865413984</v>
      </c>
      <c r="BE102" s="40"/>
      <c r="BF102" s="40"/>
    </row>
    <row r="103" spans="1:68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>
        <v>-1.3788101090755323</v>
      </c>
      <c r="AT103">
        <v>147.30673402417045</v>
      </c>
      <c r="AU103">
        <v>-235.64643295462693</v>
      </c>
      <c r="AV103">
        <f t="shared" si="80"/>
        <v>-1.0121124453356236</v>
      </c>
      <c r="AW103">
        <f t="shared" si="81"/>
        <v>0.36669766373990864</v>
      </c>
      <c r="AX103" s="40">
        <f t="shared" si="82"/>
        <v>-1.5692722654971303</v>
      </c>
      <c r="AY103">
        <f t="shared" si="83"/>
        <v>1.5692722654971303</v>
      </c>
      <c r="AZ103">
        <f t="shared" si="84"/>
        <v>4.904375198104054</v>
      </c>
      <c r="BA103">
        <f t="shared" si="85"/>
        <v>-1.0121124453356236</v>
      </c>
      <c r="BB103">
        <f t="shared" si="86"/>
        <v>0.36669766373990864</v>
      </c>
      <c r="BC103">
        <f t="shared" si="87"/>
        <v>-1.5692722654971303</v>
      </c>
      <c r="BD103">
        <f t="shared" si="88"/>
        <v>1.5692722654971303</v>
      </c>
      <c r="BE103" s="40"/>
      <c r="BF103" s="40"/>
      <c r="BK103">
        <v>3.9269908169872414</v>
      </c>
      <c r="BL103">
        <v>0.78539816339744828</v>
      </c>
      <c r="BM103">
        <v>2.3561944901923448</v>
      </c>
      <c r="BN103">
        <v>-3.9824933885729776</v>
      </c>
      <c r="BO103">
        <v>-1.4041037414427398</v>
      </c>
      <c r="BP103">
        <v>-1.3004149855120073</v>
      </c>
    </row>
    <row r="104" spans="1:68" x14ac:dyDescent="0.25">
      <c r="A104">
        <f>A15</f>
        <v>1</v>
      </c>
      <c r="B104">
        <f t="shared" ref="B104:C104" si="100">B15</f>
        <v>0</v>
      </c>
      <c r="C104">
        <f t="shared" ca="1" si="100"/>
        <v>0</v>
      </c>
      <c r="D104" s="9">
        <f>D15-$I$2</f>
        <v>3</v>
      </c>
      <c r="E104" s="5">
        <f>E15-$I$3</f>
        <v>10</v>
      </c>
      <c r="F104" s="5">
        <f ca="1">($B$12-$B$31)*C104*0.65</f>
        <v>0</v>
      </c>
      <c r="G104">
        <f ca="1">E104*F104</f>
        <v>0</v>
      </c>
      <c r="H104">
        <f ca="1">D104*F104</f>
        <v>0</v>
      </c>
      <c r="J104">
        <f ca="1">-1*C104*$B$12*0.9</f>
        <v>0</v>
      </c>
      <c r="K104">
        <f ca="1">E104*J104</f>
        <v>0</v>
      </c>
      <c r="L104">
        <f ca="1">D104*J104</f>
        <v>0</v>
      </c>
      <c r="AS104">
        <v>-1.3613568165555889</v>
      </c>
      <c r="AT104">
        <v>148.93265495410736</v>
      </c>
      <c r="AU104">
        <v>-237.11035719342081</v>
      </c>
      <c r="AV104">
        <f t="shared" si="80"/>
        <v>-1.0099598959472236</v>
      </c>
      <c r="AW104">
        <f t="shared" si="81"/>
        <v>0.35139692060836536</v>
      </c>
      <c r="AX104" s="40">
        <f t="shared" si="82"/>
        <v>-1.56711971610873</v>
      </c>
      <c r="AY104">
        <f t="shared" si="83"/>
        <v>1.56711971610873</v>
      </c>
      <c r="AZ104">
        <f t="shared" si="84"/>
        <v>4.9218284906239971</v>
      </c>
      <c r="BA104">
        <f t="shared" si="85"/>
        <v>-1.0099598959472236</v>
      </c>
      <c r="BB104">
        <f t="shared" si="86"/>
        <v>0.35139692060836536</v>
      </c>
      <c r="BC104">
        <f t="shared" si="87"/>
        <v>-1.56711971610873</v>
      </c>
      <c r="BD104">
        <f t="shared" si="88"/>
        <v>1.56711971610873</v>
      </c>
      <c r="BE104" s="40"/>
      <c r="BF104" s="40"/>
    </row>
    <row r="105" spans="1:68" x14ac:dyDescent="0.25">
      <c r="A105">
        <f t="shared" ref="A105:C113" si="101">A16</f>
        <v>2</v>
      </c>
      <c r="B105">
        <f t="shared" si="101"/>
        <v>0</v>
      </c>
      <c r="C105">
        <f t="shared" ca="1" si="101"/>
        <v>0</v>
      </c>
      <c r="D105" s="9">
        <f t="shared" ref="D105:D113" si="102">D16-$I$2</f>
        <v>-7</v>
      </c>
      <c r="E105" s="5">
        <f t="shared" ref="E105:E113" si="103">E16-$I$3</f>
        <v>10</v>
      </c>
      <c r="F105" s="5">
        <f t="shared" ref="F105:F113" ca="1" si="104">($B$12-$B$31)*C105*0.65</f>
        <v>0</v>
      </c>
      <c r="G105">
        <f t="shared" ref="G105:G113" ca="1" si="105">E105*F105</f>
        <v>0</v>
      </c>
      <c r="H105">
        <f t="shared" ref="H105:H113" ca="1" si="106">D105*F105</f>
        <v>0</v>
      </c>
      <c r="J105">
        <f t="shared" ref="J105:J113" ca="1" si="107">-1*C105*$B$12*0.9</f>
        <v>0</v>
      </c>
      <c r="K105">
        <f t="shared" ref="K105:K113" ca="1" si="108">E105*J105</f>
        <v>0</v>
      </c>
      <c r="L105">
        <f t="shared" ref="L105:L113" ca="1" si="109">D105*J105</f>
        <v>0</v>
      </c>
      <c r="AS105">
        <v>-1.3439035240356456</v>
      </c>
      <c r="AT105">
        <v>150.56170011778855</v>
      </c>
      <c r="AU105">
        <v>-238.54891470279722</v>
      </c>
      <c r="AV105">
        <f t="shared" si="80"/>
        <v>-1.0077821039300008</v>
      </c>
      <c r="AW105">
        <f t="shared" si="81"/>
        <v>0.33612142010564483</v>
      </c>
      <c r="AX105" s="40">
        <f t="shared" si="82"/>
        <v>-1.5649419240915075</v>
      </c>
      <c r="AY105">
        <f t="shared" si="83"/>
        <v>1.5649419240915075</v>
      </c>
      <c r="AZ105">
        <f t="shared" si="84"/>
        <v>4.9392817831439402</v>
      </c>
      <c r="BA105">
        <f t="shared" si="85"/>
        <v>-1.0077821039300008</v>
      </c>
      <c r="BB105">
        <f t="shared" si="86"/>
        <v>0.33612142010564483</v>
      </c>
      <c r="BC105">
        <f t="shared" si="87"/>
        <v>-1.5649419240915075</v>
      </c>
      <c r="BD105">
        <f t="shared" si="88"/>
        <v>1.5649419240915075</v>
      </c>
      <c r="BE105" s="40"/>
      <c r="BF105" s="40"/>
    </row>
    <row r="106" spans="1:68" x14ac:dyDescent="0.25">
      <c r="A106">
        <f t="shared" si="101"/>
        <v>3</v>
      </c>
      <c r="B106">
        <f t="shared" si="101"/>
        <v>0</v>
      </c>
      <c r="C106">
        <f t="shared" ca="1" si="101"/>
        <v>0</v>
      </c>
      <c r="D106" s="9">
        <f t="shared" si="102"/>
        <v>-17</v>
      </c>
      <c r="E106" s="5">
        <f t="shared" si="103"/>
        <v>10</v>
      </c>
      <c r="F106" s="5">
        <f t="shared" ca="1" si="104"/>
        <v>0</v>
      </c>
      <c r="G106">
        <f t="shared" ca="1" si="105"/>
        <v>0</v>
      </c>
      <c r="H106">
        <f t="shared" ca="1" si="106"/>
        <v>0</v>
      </c>
      <c r="J106">
        <f t="shared" ca="1" si="107"/>
        <v>0</v>
      </c>
      <c r="K106">
        <f t="shared" ca="1" si="108"/>
        <v>0</v>
      </c>
      <c r="L106">
        <f t="shared" ca="1" si="109"/>
        <v>0</v>
      </c>
      <c r="AS106">
        <v>-1.3264502315157023</v>
      </c>
      <c r="AT106">
        <v>152.19484602237048</v>
      </c>
      <c r="AU106">
        <v>-239.96263369304245</v>
      </c>
      <c r="AV106">
        <f t="shared" si="80"/>
        <v>-1.0055772837631245</v>
      </c>
      <c r="AW106">
        <f t="shared" si="81"/>
        <v>0.3208729477525778</v>
      </c>
      <c r="AX106" s="40">
        <f t="shared" si="82"/>
        <v>-1.5627371039246309</v>
      </c>
      <c r="AY106">
        <f t="shared" si="83"/>
        <v>1.5627371039246309</v>
      </c>
      <c r="AZ106">
        <f t="shared" si="84"/>
        <v>4.9567350756638842</v>
      </c>
      <c r="BA106">
        <f t="shared" si="85"/>
        <v>-1.0055772837631245</v>
      </c>
      <c r="BB106">
        <f t="shared" si="86"/>
        <v>0.3208729477525778</v>
      </c>
      <c r="BC106">
        <f t="shared" si="87"/>
        <v>-1.5627371039246309</v>
      </c>
      <c r="BD106">
        <f t="shared" si="88"/>
        <v>1.5627371039246309</v>
      </c>
      <c r="BE106" s="40"/>
      <c r="BF106" s="40"/>
    </row>
    <row r="107" spans="1:68" x14ac:dyDescent="0.25">
      <c r="A107">
        <f t="shared" si="101"/>
        <v>4</v>
      </c>
      <c r="B107">
        <f t="shared" si="101"/>
        <v>0</v>
      </c>
      <c r="C107">
        <f t="shared" ca="1" si="101"/>
        <v>0</v>
      </c>
      <c r="D107" s="9">
        <f t="shared" si="102"/>
        <v>-27</v>
      </c>
      <c r="E107" s="5">
        <f t="shared" si="103"/>
        <v>10</v>
      </c>
      <c r="F107" s="5">
        <f t="shared" ca="1" si="104"/>
        <v>0</v>
      </c>
      <c r="G107">
        <f t="shared" ca="1" si="105"/>
        <v>0</v>
      </c>
      <c r="H107">
        <f t="shared" ca="1" si="106"/>
        <v>0</v>
      </c>
      <c r="J107">
        <f t="shared" ca="1" si="107"/>
        <v>0</v>
      </c>
      <c r="K107">
        <f t="shared" ca="1" si="108"/>
        <v>0</v>
      </c>
      <c r="L107">
        <f t="shared" ca="1" si="109"/>
        <v>0</v>
      </c>
      <c r="AS107">
        <v>-1.308996938995759</v>
      </c>
      <c r="AT107">
        <v>153.83307892451998</v>
      </c>
      <c r="AU107">
        <v>-241.3519775063105</v>
      </c>
      <c r="AV107">
        <f t="shared" si="80"/>
        <v>-1.0033435723410187</v>
      </c>
      <c r="AW107">
        <f t="shared" si="81"/>
        <v>0.3056533666547403</v>
      </c>
      <c r="AX107" s="40">
        <f t="shared" si="82"/>
        <v>-1.5605033925025253</v>
      </c>
      <c r="AY107">
        <f t="shared" si="83"/>
        <v>1.5605033925025253</v>
      </c>
      <c r="AZ107">
        <f t="shared" si="84"/>
        <v>4.9741883681838273</v>
      </c>
      <c r="BA107">
        <f t="shared" si="85"/>
        <v>-1.0033435723410187</v>
      </c>
      <c r="BB107">
        <f t="shared" si="86"/>
        <v>0.3056533666547403</v>
      </c>
      <c r="BC107">
        <f t="shared" si="87"/>
        <v>-1.5605033925025253</v>
      </c>
      <c r="BD107">
        <f t="shared" si="88"/>
        <v>1.5605033925025253</v>
      </c>
      <c r="BE107" s="40"/>
      <c r="BF107" s="40"/>
    </row>
    <row r="108" spans="1:68" x14ac:dyDescent="0.25">
      <c r="A108">
        <f t="shared" si="101"/>
        <v>5</v>
      </c>
      <c r="B108">
        <f t="shared" si="101"/>
        <v>0</v>
      </c>
      <c r="C108">
        <f t="shared" ca="1" si="101"/>
        <v>0</v>
      </c>
      <c r="D108" s="9">
        <f t="shared" si="102"/>
        <v>-3</v>
      </c>
      <c r="E108" s="5">
        <f t="shared" si="103"/>
        <v>10</v>
      </c>
      <c r="F108" s="5">
        <f t="shared" ca="1" si="104"/>
        <v>0</v>
      </c>
      <c r="G108">
        <f t="shared" ca="1" si="105"/>
        <v>0</v>
      </c>
      <c r="H108">
        <f t="shared" ca="1" si="106"/>
        <v>0</v>
      </c>
      <c r="J108">
        <f t="shared" ca="1" si="107"/>
        <v>0</v>
      </c>
      <c r="K108">
        <f t="shared" ca="1" si="108"/>
        <v>0</v>
      </c>
      <c r="L108">
        <f t="shared" ca="1" si="109"/>
        <v>0</v>
      </c>
      <c r="AS108">
        <v>-1.2915436464758157</v>
      </c>
      <c r="AT108">
        <v>155.47739725176623</v>
      </c>
      <c r="AU108">
        <v>-242.71734421628938</v>
      </c>
      <c r="AV108">
        <f t="shared" si="80"/>
        <v>-1.0010790220171011</v>
      </c>
      <c r="AW108">
        <f t="shared" si="81"/>
        <v>0.29046462445871457</v>
      </c>
      <c r="AX108" s="40">
        <f t="shared" si="82"/>
        <v>-1.5582388421786075</v>
      </c>
      <c r="AY108">
        <f t="shared" si="83"/>
        <v>1.5582388421786075</v>
      </c>
      <c r="AZ108">
        <f t="shared" si="84"/>
        <v>4.9916416607037704</v>
      </c>
      <c r="BA108">
        <f t="shared" si="85"/>
        <v>-1.0010790220171011</v>
      </c>
      <c r="BB108">
        <f t="shared" si="86"/>
        <v>0.29046462445871457</v>
      </c>
      <c r="BC108">
        <f t="shared" si="87"/>
        <v>-1.5582388421786075</v>
      </c>
      <c r="BD108">
        <f t="shared" si="88"/>
        <v>1.5582388421786075</v>
      </c>
      <c r="BE108" s="40"/>
      <c r="BF108" s="40"/>
    </row>
    <row r="109" spans="1:68" x14ac:dyDescent="0.25">
      <c r="A109">
        <f t="shared" si="101"/>
        <v>6</v>
      </c>
      <c r="B109">
        <f t="shared" si="101"/>
        <v>0</v>
      </c>
      <c r="C109">
        <f t="shared" ca="1" si="101"/>
        <v>0</v>
      </c>
      <c r="D109" s="9">
        <f t="shared" si="102"/>
        <v>7</v>
      </c>
      <c r="E109" s="5">
        <f t="shared" si="103"/>
        <v>10</v>
      </c>
      <c r="F109" s="5">
        <f t="shared" ca="1" si="104"/>
        <v>0</v>
      </c>
      <c r="G109">
        <f t="shared" ca="1" si="105"/>
        <v>0</v>
      </c>
      <c r="H109">
        <f t="shared" ca="1" si="106"/>
        <v>0</v>
      </c>
      <c r="J109">
        <f t="shared" ca="1" si="107"/>
        <v>0</v>
      </c>
      <c r="K109">
        <f t="shared" ca="1" si="108"/>
        <v>0</v>
      </c>
      <c r="L109">
        <f t="shared" ca="1" si="109"/>
        <v>0</v>
      </c>
      <c r="AS109">
        <v>-1.2740903539558723</v>
      </c>
      <c r="AT109">
        <v>157.12881399132237</v>
      </c>
      <c r="AU109">
        <v>-244.05906583644355</v>
      </c>
      <c r="AV109">
        <f t="shared" si="80"/>
        <v>-0.99878159335660543</v>
      </c>
      <c r="AW109">
        <f t="shared" si="81"/>
        <v>0.2753087605992669</v>
      </c>
      <c r="AX109" s="40">
        <f t="shared" si="82"/>
        <v>-1.555941413518112</v>
      </c>
      <c r="AY109">
        <f t="shared" si="83"/>
        <v>1.555941413518112</v>
      </c>
      <c r="AZ109">
        <f t="shared" si="84"/>
        <v>5.0090949532237143</v>
      </c>
      <c r="BA109">
        <f t="shared" si="85"/>
        <v>-0.99878159335660543</v>
      </c>
      <c r="BB109">
        <f t="shared" si="86"/>
        <v>0.2753087605992669</v>
      </c>
      <c r="BC109">
        <f t="shared" si="87"/>
        <v>-1.555941413518112</v>
      </c>
      <c r="BD109">
        <f t="shared" si="88"/>
        <v>1.555941413518112</v>
      </c>
      <c r="BE109" s="40"/>
      <c r="BF109" s="40"/>
    </row>
    <row r="110" spans="1:68" x14ac:dyDescent="0.25">
      <c r="A110">
        <f t="shared" si="101"/>
        <v>7</v>
      </c>
      <c r="B110" t="str">
        <f t="shared" si="101"/>
        <v>p1</v>
      </c>
      <c r="C110">
        <f t="shared" ca="1" si="101"/>
        <v>2.4750000000000001</v>
      </c>
      <c r="D110" s="9">
        <f t="shared" si="102"/>
        <v>0</v>
      </c>
      <c r="E110" s="5">
        <f t="shared" si="103"/>
        <v>10</v>
      </c>
      <c r="F110" s="5">
        <f t="shared" ca="1" si="104"/>
        <v>89.687812500000021</v>
      </c>
      <c r="G110">
        <f t="shared" ca="1" si="105"/>
        <v>896.87812500000018</v>
      </c>
      <c r="H110">
        <f t="shared" ca="1" si="106"/>
        <v>0</v>
      </c>
      <c r="J110">
        <f t="shared" ca="1" si="107"/>
        <v>-133.65</v>
      </c>
      <c r="K110">
        <f t="shared" ca="1" si="108"/>
        <v>-1336.5</v>
      </c>
      <c r="L110">
        <f t="shared" ca="1" si="109"/>
        <v>0</v>
      </c>
      <c r="AS110">
        <v>-1.256637061435929</v>
      </c>
      <c r="AT110">
        <v>158.78835921747725</v>
      </c>
      <c r="AU110">
        <v>-245.37740713407391</v>
      </c>
      <c r="AV110">
        <f t="shared" si="80"/>
        <v>-0.9964491470931951</v>
      </c>
      <c r="AW110">
        <f t="shared" si="81"/>
        <v>0.26018791434273392</v>
      </c>
      <c r="AX110" s="40">
        <f t="shared" si="82"/>
        <v>-1.5536089672547018</v>
      </c>
      <c r="AY110">
        <f t="shared" si="83"/>
        <v>1.5536089672547018</v>
      </c>
      <c r="AZ110">
        <f t="shared" si="84"/>
        <v>5.0265482457436574</v>
      </c>
      <c r="BA110">
        <f t="shared" si="85"/>
        <v>-0.9964491470931951</v>
      </c>
      <c r="BB110">
        <f t="shared" si="86"/>
        <v>0.26018791434273392</v>
      </c>
      <c r="BC110">
        <f t="shared" si="87"/>
        <v>-1.5536089672547018</v>
      </c>
      <c r="BD110">
        <f t="shared" si="88"/>
        <v>1.5536089672547018</v>
      </c>
      <c r="BE110" s="40"/>
      <c r="BF110" s="40"/>
    </row>
    <row r="111" spans="1:68" x14ac:dyDescent="0.25">
      <c r="A111">
        <f t="shared" si="101"/>
        <v>8</v>
      </c>
      <c r="B111">
        <f t="shared" si="101"/>
        <v>0</v>
      </c>
      <c r="C111">
        <f t="shared" ca="1" si="101"/>
        <v>0</v>
      </c>
      <c r="D111" s="9">
        <f t="shared" si="102"/>
        <v>-4</v>
      </c>
      <c r="E111" s="5">
        <f t="shared" si="103"/>
        <v>-10</v>
      </c>
      <c r="F111" s="5">
        <f t="shared" ca="1" si="104"/>
        <v>0</v>
      </c>
      <c r="G111">
        <f t="shared" ca="1" si="105"/>
        <v>0</v>
      </c>
      <c r="H111">
        <f t="shared" ca="1" si="106"/>
        <v>0</v>
      </c>
      <c r="J111">
        <f t="shared" ca="1" si="107"/>
        <v>0</v>
      </c>
      <c r="K111">
        <f t="shared" ca="1" si="108"/>
        <v>0</v>
      </c>
      <c r="L111">
        <f t="shared" ca="1" si="109"/>
        <v>0</v>
      </c>
      <c r="AS111">
        <v>-1.2391837689159857</v>
      </c>
      <c r="AT111">
        <v>160.4570827438111</v>
      </c>
      <c r="AU111">
        <v>-246.67256402736416</v>
      </c>
      <c r="AV111">
        <f t="shared" si="80"/>
        <v>-0.99407943530632148</v>
      </c>
      <c r="AW111">
        <f t="shared" si="81"/>
        <v>0.24510433360966422</v>
      </c>
      <c r="AX111" s="40">
        <f t="shared" si="82"/>
        <v>-1.551239255467828</v>
      </c>
      <c r="AY111">
        <f t="shared" si="83"/>
        <v>1.551239255467828</v>
      </c>
      <c r="AZ111">
        <f t="shared" si="84"/>
        <v>5.0440015382636005</v>
      </c>
      <c r="BA111">
        <f t="shared" si="85"/>
        <v>-0.99407943530632148</v>
      </c>
      <c r="BB111">
        <f t="shared" si="86"/>
        <v>0.24510433360966422</v>
      </c>
      <c r="BC111">
        <f t="shared" si="87"/>
        <v>-1.551239255467828</v>
      </c>
      <c r="BD111">
        <f t="shared" si="88"/>
        <v>1.551239255467828</v>
      </c>
      <c r="BE111" s="40"/>
      <c r="BF111" s="40"/>
    </row>
    <row r="112" spans="1:68" x14ac:dyDescent="0.25">
      <c r="A112">
        <f t="shared" si="101"/>
        <v>9</v>
      </c>
      <c r="B112" t="str">
        <f t="shared" si="101"/>
        <v>p1</v>
      </c>
      <c r="C112">
        <f t="shared" ca="1" si="101"/>
        <v>2.4750000000000001</v>
      </c>
      <c r="D112" s="9">
        <f t="shared" si="102"/>
        <v>0</v>
      </c>
      <c r="E112" s="5">
        <f t="shared" si="103"/>
        <v>-10</v>
      </c>
      <c r="F112" s="5">
        <f t="shared" ca="1" si="104"/>
        <v>89.687812500000021</v>
      </c>
      <c r="G112">
        <f t="shared" ca="1" si="105"/>
        <v>-896.87812500000018</v>
      </c>
      <c r="H112">
        <f t="shared" ca="1" si="106"/>
        <v>0</v>
      </c>
      <c r="J112">
        <f t="shared" ca="1" si="107"/>
        <v>-133.65</v>
      </c>
      <c r="K112">
        <f t="shared" ca="1" si="108"/>
        <v>1336.5</v>
      </c>
      <c r="L112">
        <f t="shared" ca="1" si="109"/>
        <v>0</v>
      </c>
      <c r="AS112">
        <v>-1.2217304763960424</v>
      </c>
      <c r="AT112">
        <v>162.13605675962367</v>
      </c>
      <c r="AU112">
        <v>-247.94466152047232</v>
      </c>
      <c r="AV112">
        <f t="shared" si="80"/>
        <v>-0.99167009215053481</v>
      </c>
      <c r="AW112">
        <f t="shared" si="81"/>
        <v>0.23006038424550757</v>
      </c>
      <c r="AX112" s="40">
        <f t="shared" si="82"/>
        <v>-1.5488299123120415</v>
      </c>
      <c r="AY112">
        <f t="shared" si="83"/>
        <v>1.5488299123120415</v>
      </c>
      <c r="AZ112">
        <f t="shared" si="84"/>
        <v>5.0614548307835436</v>
      </c>
      <c r="BA112">
        <f t="shared" si="85"/>
        <v>-0.99167009215053481</v>
      </c>
      <c r="BB112">
        <f t="shared" si="86"/>
        <v>0.23006038424550757</v>
      </c>
      <c r="BC112">
        <f t="shared" si="87"/>
        <v>-1.5488299123120415</v>
      </c>
      <c r="BD112">
        <f t="shared" si="88"/>
        <v>1.5488299123120415</v>
      </c>
      <c r="BE112" s="40"/>
      <c r="BF112" s="40"/>
    </row>
    <row r="113" spans="1:58" x14ac:dyDescent="0.25">
      <c r="A113">
        <f t="shared" si="101"/>
        <v>10</v>
      </c>
      <c r="B113">
        <f t="shared" si="101"/>
        <v>0</v>
      </c>
      <c r="C113">
        <f t="shared" ca="1" si="101"/>
        <v>0</v>
      </c>
      <c r="D113" s="9">
        <f t="shared" si="102"/>
        <v>4</v>
      </c>
      <c r="E113" s="5">
        <f t="shared" si="103"/>
        <v>-10</v>
      </c>
      <c r="F113" s="5">
        <f t="shared" ca="1" si="104"/>
        <v>0</v>
      </c>
      <c r="G113">
        <f t="shared" ca="1" si="105"/>
        <v>0</v>
      </c>
      <c r="H113">
        <f t="shared" ca="1" si="106"/>
        <v>0</v>
      </c>
      <c r="J113">
        <f t="shared" ca="1" si="107"/>
        <v>0</v>
      </c>
      <c r="K113">
        <f t="shared" ca="1" si="108"/>
        <v>0</v>
      </c>
      <c r="L113">
        <f t="shared" ca="1" si="109"/>
        <v>0</v>
      </c>
      <c r="AS113">
        <v>-1.2042771838760991</v>
      </c>
      <c r="AT113">
        <v>163.82637869255308</v>
      </c>
      <c r="AU113">
        <v>-249.19375117053133</v>
      </c>
      <c r="AV113">
        <f t="shared" si="80"/>
        <v>-0.98921862344163647</v>
      </c>
      <c r="AW113">
        <f t="shared" si="81"/>
        <v>0.21505856043446259</v>
      </c>
      <c r="AX113" s="40">
        <f t="shared" si="82"/>
        <v>-1.5463784436031429</v>
      </c>
      <c r="AY113">
        <f t="shared" si="83"/>
        <v>1.5463784436031429</v>
      </c>
      <c r="AZ113">
        <f t="shared" si="84"/>
        <v>5.0789081233034867</v>
      </c>
      <c r="BA113">
        <f t="shared" si="85"/>
        <v>-0.98921862344163647</v>
      </c>
      <c r="BB113">
        <f t="shared" si="86"/>
        <v>0.21505856043446259</v>
      </c>
      <c r="BC113">
        <f t="shared" si="87"/>
        <v>-1.5463784436031429</v>
      </c>
      <c r="BD113">
        <f t="shared" si="88"/>
        <v>1.5463784436031429</v>
      </c>
      <c r="BE113" s="40"/>
      <c r="BF113" s="40"/>
    </row>
    <row r="114" spans="1:58" x14ac:dyDescent="0.25">
      <c r="F114" s="5">
        <f ca="1">SUM(F104:F113)</f>
        <v>179.37562500000004</v>
      </c>
      <c r="G114" s="5">
        <f t="shared" ref="G114:H114" ca="1" si="110">SUM(G104:G113)</f>
        <v>0</v>
      </c>
      <c r="H114" s="5">
        <f t="shared" ca="1" si="110"/>
        <v>0</v>
      </c>
      <c r="J114">
        <f ca="1">SUM(J104:J113)</f>
        <v>-267.3</v>
      </c>
      <c r="K114">
        <f t="shared" ref="K114:L114" ca="1" si="111">SUM(K104:K113)</f>
        <v>0</v>
      </c>
      <c r="L114">
        <f t="shared" ca="1" si="111"/>
        <v>0</v>
      </c>
      <c r="AS114">
        <v>-1.1868238913561557</v>
      </c>
      <c r="AT114">
        <v>165.52917417216503</v>
      </c>
      <c r="AU114">
        <v>-250.41980803365973</v>
      </c>
      <c r="AV114">
        <f t="shared" si="80"/>
        <v>-0.98672239538299256</v>
      </c>
      <c r="AW114">
        <f t="shared" si="81"/>
        <v>0.20010149597316318</v>
      </c>
      <c r="AX114" s="40">
        <f t="shared" si="82"/>
        <v>-1.5438822155444991</v>
      </c>
      <c r="AY114">
        <f t="shared" si="83"/>
        <v>1.5438822155444991</v>
      </c>
      <c r="AZ114">
        <f t="shared" si="84"/>
        <v>5.0963614158234307</v>
      </c>
      <c r="BA114">
        <f t="shared" si="85"/>
        <v>-0.98672239538299256</v>
      </c>
      <c r="BB114">
        <f t="shared" si="86"/>
        <v>0.20010149597316318</v>
      </c>
      <c r="BC114">
        <f t="shared" si="87"/>
        <v>-1.5438822155444991</v>
      </c>
      <c r="BD114">
        <f t="shared" si="88"/>
        <v>1.5438822155444991</v>
      </c>
      <c r="BE114" s="40"/>
      <c r="BF114" s="40"/>
    </row>
    <row r="115" spans="1:58" x14ac:dyDescent="0.25">
      <c r="A115" s="8" t="s">
        <v>99</v>
      </c>
      <c r="B115" s="5">
        <f ca="1">B100+F114</f>
        <v>1505.3756250000001</v>
      </c>
      <c r="J115">
        <f ca="1">J114</f>
        <v>-267.3</v>
      </c>
      <c r="AS115">
        <v>-1.1693705988362124</v>
      </c>
      <c r="AT115">
        <v>167.24560010242362</v>
      </c>
      <c r="AU115">
        <v>-251.62272704325005</v>
      </c>
      <c r="AV115">
        <f t="shared" si="80"/>
        <v>-0.98417862233625564</v>
      </c>
      <c r="AW115">
        <f t="shared" si="81"/>
        <v>0.18519197649995678</v>
      </c>
      <c r="AX115" s="40">
        <f t="shared" si="82"/>
        <v>-1.5413384424977621</v>
      </c>
      <c r="AY115">
        <f t="shared" si="83"/>
        <v>1.5413384424977621</v>
      </c>
      <c r="AZ115">
        <f t="shared" si="84"/>
        <v>5.1138147083433738</v>
      </c>
      <c r="BA115">
        <f t="shared" si="85"/>
        <v>-0.98417862233625564</v>
      </c>
      <c r="BB115">
        <f t="shared" si="86"/>
        <v>0.18519197649995678</v>
      </c>
      <c r="BC115">
        <f t="shared" si="87"/>
        <v>-1.5413384424977621</v>
      </c>
      <c r="BD115">
        <f t="shared" si="88"/>
        <v>1.5413384424977621</v>
      </c>
      <c r="BE115" s="40"/>
      <c r="BF115" s="40"/>
    </row>
    <row r="116" spans="1:58" x14ac:dyDescent="0.25">
      <c r="A116" s="8" t="s">
        <v>100</v>
      </c>
      <c r="B116" s="5">
        <f ca="1">B101+G114</f>
        <v>4243.2</v>
      </c>
      <c r="J116">
        <f ca="1">K114</f>
        <v>0</v>
      </c>
      <c r="AS116">
        <v>-1.1519173063162691</v>
      </c>
      <c r="AT116">
        <v>168.9768479738733</v>
      </c>
      <c r="AU116">
        <v>-252.80231878468538</v>
      </c>
      <c r="AV116">
        <f t="shared" si="80"/>
        <v>-0.98158435322565563</v>
      </c>
      <c r="AW116">
        <f t="shared" si="81"/>
        <v>0.17033295309061347</v>
      </c>
      <c r="AX116" s="40">
        <f t="shared" si="82"/>
        <v>-1.5387441733871623</v>
      </c>
      <c r="AY116">
        <f t="shared" si="83"/>
        <v>1.5387441733871623</v>
      </c>
      <c r="AZ116">
        <f t="shared" si="84"/>
        <v>5.1312680008633169</v>
      </c>
      <c r="BA116">
        <f t="shared" si="85"/>
        <v>-0.98158435322565563</v>
      </c>
      <c r="BB116">
        <f t="shared" si="86"/>
        <v>0.17033295309061347</v>
      </c>
      <c r="BC116">
        <f t="shared" si="87"/>
        <v>-1.5387441733871623</v>
      </c>
      <c r="BD116">
        <f t="shared" si="88"/>
        <v>1.5387441733871623</v>
      </c>
      <c r="BE116" s="40"/>
      <c r="BF116" s="40"/>
    </row>
    <row r="117" spans="1:58" x14ac:dyDescent="0.25">
      <c r="A117" s="8" t="s">
        <v>101</v>
      </c>
      <c r="B117" s="5">
        <f ca="1">B102+H114</f>
        <v>0</v>
      </c>
      <c r="J117">
        <f ca="1">L114</f>
        <v>0</v>
      </c>
      <c r="AS117">
        <v>-1.1344640137963258</v>
      </c>
      <c r="AT117">
        <v>170.72414733115454</v>
      </c>
      <c r="AU117">
        <v>-253.95830459339584</v>
      </c>
      <c r="AV117">
        <f t="shared" si="80"/>
        <v>-0.97893645670269747</v>
      </c>
      <c r="AW117">
        <f t="shared" si="81"/>
        <v>0.15552755709362831</v>
      </c>
      <c r="AX117" s="40">
        <f t="shared" si="82"/>
        <v>-1.5360962768642041</v>
      </c>
      <c r="AY117">
        <f t="shared" si="83"/>
        <v>1.5360962768642041</v>
      </c>
      <c r="AZ117">
        <f t="shared" si="84"/>
        <v>5.1487212933832609</v>
      </c>
      <c r="BA117">
        <f t="shared" si="85"/>
        <v>-0.97893645670269747</v>
      </c>
      <c r="BB117">
        <f t="shared" si="86"/>
        <v>0.15552755709362831</v>
      </c>
      <c r="BC117">
        <f t="shared" si="87"/>
        <v>-1.5360962768642041</v>
      </c>
      <c r="BD117">
        <f t="shared" si="88"/>
        <v>1.5360962768642041</v>
      </c>
      <c r="BE117" s="40"/>
      <c r="BF117" s="40"/>
    </row>
    <row r="118" spans="1:58" x14ac:dyDescent="0.25">
      <c r="AS118">
        <v>-1.1170107212763825</v>
      </c>
      <c r="AT118">
        <v>172.48876940725449</v>
      </c>
      <c r="AU118">
        <v>-255.09031090403417</v>
      </c>
      <c r="AV118">
        <f t="shared" si="80"/>
        <v>-0.97623160492610406</v>
      </c>
      <c r="AW118">
        <f t="shared" si="81"/>
        <v>0.1407791163502784</v>
      </c>
      <c r="AX118" s="40">
        <f t="shared" si="82"/>
        <v>-1.5333914250876106</v>
      </c>
      <c r="AY118">
        <f t="shared" si="83"/>
        <v>1.5333914250876106</v>
      </c>
      <c r="AZ118">
        <f t="shared" si="84"/>
        <v>5.166174585903204</v>
      </c>
      <c r="BA118">
        <f t="shared" si="85"/>
        <v>-0.97623160492610406</v>
      </c>
      <c r="BB118">
        <f t="shared" si="86"/>
        <v>0.1407791163502784</v>
      </c>
      <c r="BC118">
        <f t="shared" si="87"/>
        <v>-1.5333914250876106</v>
      </c>
      <c r="BD118">
        <f t="shared" si="88"/>
        <v>1.5333914250876106</v>
      </c>
      <c r="BE118" s="40"/>
      <c r="BF118" s="40"/>
    </row>
    <row r="119" spans="1:58" x14ac:dyDescent="0.25">
      <c r="A119" s="8" t="s">
        <v>8</v>
      </c>
      <c r="B119">
        <f ca="1">B117/B115</f>
        <v>0</v>
      </c>
      <c r="J119">
        <f ca="1">J117/J115</f>
        <v>0</v>
      </c>
      <c r="AS119">
        <v>-1.0995574287564391</v>
      </c>
      <c r="AT119">
        <v>174.27203112136195</v>
      </c>
      <c r="AU119">
        <v>-256.197862799483</v>
      </c>
      <c r="AV119">
        <f t="shared" si="80"/>
        <v>-0.97346625535564635</v>
      </c>
      <c r="AW119">
        <f t="shared" si="81"/>
        <v>0.12609117340079279</v>
      </c>
      <c r="AX119" s="40">
        <f t="shared" si="82"/>
        <v>-1.5306260755171528</v>
      </c>
      <c r="AY119">
        <f t="shared" si="83"/>
        <v>1.5306260755171528</v>
      </c>
      <c r="AZ119">
        <f t="shared" si="84"/>
        <v>5.1836278784231471</v>
      </c>
      <c r="BA119">
        <f t="shared" si="85"/>
        <v>-0.97346625535564635</v>
      </c>
      <c r="BB119">
        <f t="shared" si="86"/>
        <v>0.12609117340079279</v>
      </c>
      <c r="BC119">
        <f t="shared" si="87"/>
        <v>-1.5306260755171528</v>
      </c>
      <c r="BD119">
        <f t="shared" si="88"/>
        <v>1.5306260755171528</v>
      </c>
      <c r="BE119" s="40"/>
      <c r="BF119" s="40"/>
    </row>
    <row r="120" spans="1:58" x14ac:dyDescent="0.25">
      <c r="A120" s="8" t="s">
        <v>9</v>
      </c>
      <c r="B120">
        <f ca="1">B116/B115</f>
        <v>2.8186984892890101</v>
      </c>
      <c r="J120">
        <f ca="1">J116/J115</f>
        <v>0</v>
      </c>
      <c r="AS120">
        <v>-1.0821041362364958</v>
      </c>
      <c r="AT120">
        <v>176.07529920481659</v>
      </c>
      <c r="AU120">
        <v>-257.28037662629509</v>
      </c>
      <c r="AV120">
        <f t="shared" si="80"/>
        <v>-0.97063663098546105</v>
      </c>
      <c r="AW120">
        <f t="shared" si="81"/>
        <v>0.11146750525103477</v>
      </c>
      <c r="AX120" s="40">
        <f t="shared" si="82"/>
        <v>-1.5277964511469677</v>
      </c>
      <c r="AY120">
        <f t="shared" si="83"/>
        <v>1.5277964511469677</v>
      </c>
      <c r="AZ120">
        <f t="shared" si="84"/>
        <v>5.2010811709430902</v>
      </c>
      <c r="BA120">
        <f t="shared" si="85"/>
        <v>-0.97063663098546105</v>
      </c>
      <c r="BB120">
        <f t="shared" si="86"/>
        <v>0.11146750525103477</v>
      </c>
      <c r="BC120">
        <f t="shared" si="87"/>
        <v>-1.5277964511469677</v>
      </c>
      <c r="BD120">
        <f t="shared" si="88"/>
        <v>1.5277964511469677</v>
      </c>
      <c r="BE120" s="40"/>
      <c r="BF120" s="40"/>
    </row>
    <row r="121" spans="1:58" x14ac:dyDescent="0.25">
      <c r="AS121">
        <v>-1.0646508437165525</v>
      </c>
      <c r="AT121">
        <v>177.89999467336924</v>
      </c>
      <c r="AU121">
        <v>-258.3371516000588</v>
      </c>
      <c r="AV121">
        <f t="shared" si="80"/>
        <v>-0.9677386983118661</v>
      </c>
      <c r="AW121">
        <f t="shared" si="81"/>
        <v>9.6912145404686401E-2</v>
      </c>
      <c r="AX121" s="40">
        <f t="shared" si="82"/>
        <v>-1.5248985184733725</v>
      </c>
      <c r="AY121">
        <f t="shared" si="83"/>
        <v>1.5248985184733725</v>
      </c>
      <c r="AZ121">
        <f t="shared" si="84"/>
        <v>5.2185344634630333</v>
      </c>
      <c r="BA121">
        <f t="shared" si="85"/>
        <v>-0.9677386983118661</v>
      </c>
      <c r="BB121">
        <f t="shared" si="86"/>
        <v>9.6912145404686401E-2</v>
      </c>
      <c r="BC121">
        <f t="shared" si="87"/>
        <v>-1.5248985184733725</v>
      </c>
      <c r="BD121">
        <f t="shared" si="88"/>
        <v>1.5248985184733725</v>
      </c>
      <c r="BE121" s="40"/>
      <c r="BF121" s="40"/>
    </row>
    <row r="122" spans="1:58" x14ac:dyDescent="0.25">
      <c r="AS122">
        <v>-1.0471975511966092</v>
      </c>
      <c r="AT122">
        <v>179.74759768911838</v>
      </c>
      <c r="AU122">
        <v>-259.36736028377283</v>
      </c>
      <c r="AV122">
        <f t="shared" si="80"/>
        <v>-0.96476814274657907</v>
      </c>
      <c r="AW122">
        <f t="shared" si="81"/>
        <v>8.2429408450030106E-2</v>
      </c>
      <c r="AX122" s="40">
        <f t="shared" si="82"/>
        <v>-1.5219279629080855</v>
      </c>
      <c r="AY122">
        <f t="shared" si="83"/>
        <v>1.5219279629080855</v>
      </c>
      <c r="AZ122">
        <f t="shared" si="84"/>
        <v>5.2359877559829773</v>
      </c>
      <c r="BA122">
        <f t="shared" si="85"/>
        <v>-0.96476814274657907</v>
      </c>
      <c r="BB122">
        <f t="shared" si="86"/>
        <v>8.2429408450030106E-2</v>
      </c>
      <c r="BC122">
        <f t="shared" si="87"/>
        <v>-1.5219279629080855</v>
      </c>
      <c r="BD122">
        <f t="shared" si="88"/>
        <v>1.5219279629080855</v>
      </c>
      <c r="BE122" s="40"/>
      <c r="BF122" s="40"/>
    </row>
    <row r="123" spans="1:58" x14ac:dyDescent="0.25">
      <c r="A123" t="s">
        <v>128</v>
      </c>
      <c r="AS123">
        <v>-1.0297442586766659</v>
      </c>
      <c r="AT123">
        <v>181.61965267043323</v>
      </c>
      <c r="AU123">
        <v>-260.37003776501831</v>
      </c>
      <c r="AV123">
        <f t="shared" si="80"/>
        <v>-0.96172034156386843</v>
      </c>
      <c r="AW123">
        <f t="shared" si="81"/>
        <v>6.8023917112797427E-2</v>
      </c>
      <c r="AX123" s="40">
        <f t="shared" si="82"/>
        <v>-1.5188801617253751</v>
      </c>
      <c r="AY123">
        <f t="shared" si="83"/>
        <v>1.5188801617253751</v>
      </c>
      <c r="AZ123">
        <f t="shared" si="84"/>
        <v>5.2534410485029204</v>
      </c>
      <c r="BA123">
        <f t="shared" si="85"/>
        <v>-0.96172034156386843</v>
      </c>
      <c r="BB123">
        <f t="shared" si="86"/>
        <v>6.8023917112797427E-2</v>
      </c>
      <c r="BC123">
        <f t="shared" si="87"/>
        <v>-1.5188801617253751</v>
      </c>
      <c r="BD123">
        <f t="shared" si="88"/>
        <v>1.5188801617253751</v>
      </c>
      <c r="BE123" s="40"/>
      <c r="BF123" s="40"/>
    </row>
    <row r="124" spans="1:58" x14ac:dyDescent="0.25">
      <c r="AS124">
        <v>-1.0122909661567225</v>
      </c>
      <c r="AT124">
        <v>183.51777391795727</v>
      </c>
      <c r="AU124">
        <v>-261.34406941255463</v>
      </c>
      <c r="AV124">
        <f t="shared" si="80"/>
        <v>-0.95859033349028977</v>
      </c>
      <c r="AW124">
        <f t="shared" si="81"/>
        <v>5.3700632666432768E-2</v>
      </c>
      <c r="AX124" s="40">
        <f t="shared" si="82"/>
        <v>-1.5157501536517963</v>
      </c>
      <c r="AY124">
        <f t="shared" si="83"/>
        <v>1.5157501536517963</v>
      </c>
      <c r="AZ124">
        <f t="shared" si="84"/>
        <v>5.2708943410228635</v>
      </c>
      <c r="BA124">
        <f t="shared" si="85"/>
        <v>-0.95859033349028977</v>
      </c>
      <c r="BB124">
        <f t="shared" si="86"/>
        <v>5.3700632666432768E-2</v>
      </c>
      <c r="BC124">
        <f t="shared" si="87"/>
        <v>-1.5157501536517963</v>
      </c>
      <c r="BD124">
        <f t="shared" si="88"/>
        <v>1.5157501536517963</v>
      </c>
      <c r="BE124" s="40"/>
      <c r="BF124" s="40"/>
    </row>
    <row r="125" spans="1:58" x14ac:dyDescent="0.25">
      <c r="A125" s="8" t="s">
        <v>77</v>
      </c>
      <c r="B125" s="3">
        <f ca="1">B116</f>
        <v>4243.2</v>
      </c>
      <c r="C125" s="1" t="str">
        <f>"+ t ( "</f>
        <v xml:space="preserve">+ t ( </v>
      </c>
      <c r="D125" s="1">
        <f ca="1">J116</f>
        <v>0</v>
      </c>
      <c r="E125" s="1" t="s">
        <v>129</v>
      </c>
      <c r="F125" s="3">
        <f ca="1">B116</f>
        <v>4243.2</v>
      </c>
      <c r="G125" s="1" t="s">
        <v>130</v>
      </c>
      <c r="AS125">
        <v>-0.99483767363677922</v>
      </c>
      <c r="AT125">
        <v>185.44365157161204</v>
      </c>
      <c r="AU125">
        <v>-262.28817697890133</v>
      </c>
      <c r="AV125">
        <f t="shared" si="80"/>
        <v>-0.95537278502983691</v>
      </c>
      <c r="AW125">
        <f t="shared" si="81"/>
        <v>3.9464888606942305E-2</v>
      </c>
      <c r="AX125" s="40">
        <f t="shared" si="82"/>
        <v>-1.5125326051913435</v>
      </c>
      <c r="AY125">
        <f t="shared" si="83"/>
        <v>1.5125326051913435</v>
      </c>
      <c r="AZ125">
        <f t="shared" si="84"/>
        <v>5.2883476335428075</v>
      </c>
      <c r="BA125">
        <f t="shared" si="85"/>
        <v>-0.95537278502983691</v>
      </c>
      <c r="BB125">
        <f t="shared" si="86"/>
        <v>3.9464888606942305E-2</v>
      </c>
      <c r="BC125">
        <f t="shared" si="87"/>
        <v>-1.5125326051913435</v>
      </c>
      <c r="BD125">
        <f t="shared" si="88"/>
        <v>1.5125326051913435</v>
      </c>
      <c r="BE125" s="40"/>
      <c r="BF125" s="40"/>
    </row>
    <row r="126" spans="1:58" x14ac:dyDescent="0.25">
      <c r="A126" s="8" t="s">
        <v>125</v>
      </c>
      <c r="B126" s="3">
        <f ca="1">B117</f>
        <v>0</v>
      </c>
      <c r="D126" s="1">
        <f ca="1">J117</f>
        <v>0</v>
      </c>
      <c r="F126" s="3">
        <f ca="1">B117</f>
        <v>0</v>
      </c>
      <c r="AS126">
        <v>-0.9773843811168359</v>
      </c>
      <c r="AT126">
        <v>187.39905819120139</v>
      </c>
      <c r="AU126">
        <v>-263.20090288153921</v>
      </c>
      <c r="AV126">
        <f t="shared" si="80"/>
        <v>-0.95206195249299941</v>
      </c>
      <c r="AW126">
        <f t="shared" si="81"/>
        <v>2.532242862383649E-2</v>
      </c>
      <c r="AX126" s="40">
        <f t="shared" si="82"/>
        <v>-1.5092217726545059</v>
      </c>
      <c r="AY126">
        <f t="shared" si="83"/>
        <v>1.5092217726545059</v>
      </c>
      <c r="AZ126">
        <f t="shared" si="84"/>
        <v>5.3058009260627506</v>
      </c>
      <c r="BA126">
        <f t="shared" si="85"/>
        <v>-0.95206195249299941</v>
      </c>
      <c r="BB126">
        <f t="shared" si="86"/>
        <v>2.532242862383649E-2</v>
      </c>
      <c r="BC126">
        <f t="shared" si="87"/>
        <v>-1.5092217726545059</v>
      </c>
      <c r="BD126">
        <f t="shared" si="88"/>
        <v>1.5092217726545059</v>
      </c>
      <c r="BE126" s="40"/>
      <c r="BF126" s="40"/>
    </row>
    <row r="127" spans="1:58" x14ac:dyDescent="0.25">
      <c r="A127" s="8" t="s">
        <v>75</v>
      </c>
      <c r="B127" s="3">
        <f ca="1">B115</f>
        <v>1505.3756250000001</v>
      </c>
      <c r="D127" s="1">
        <f ca="1">J115</f>
        <v>-267.3</v>
      </c>
      <c r="F127" s="3">
        <f ca="1">B115</f>
        <v>1505.3756250000001</v>
      </c>
      <c r="AS127">
        <v>-0.95993108859689258</v>
      </c>
      <c r="AT127">
        <v>189.38585582079546</v>
      </c>
      <c r="AU127">
        <v>-264.08059236996814</v>
      </c>
      <c r="AV127">
        <f t="shared" si="80"/>
        <v>-0.9486516395914607</v>
      </c>
      <c r="AW127">
        <f t="shared" si="81"/>
        <v>1.1279449005431874E-2</v>
      </c>
      <c r="AX127" s="40">
        <f t="shared" si="82"/>
        <v>-1.5058114597529673</v>
      </c>
      <c r="AY127">
        <f t="shared" si="83"/>
        <v>1.5058114597529673</v>
      </c>
      <c r="AZ127">
        <f t="shared" si="84"/>
        <v>5.3232542185826937</v>
      </c>
      <c r="BA127">
        <f t="shared" si="85"/>
        <v>-0.9486516395914607</v>
      </c>
      <c r="BB127">
        <f t="shared" si="86"/>
        <v>1.1279449005431874E-2</v>
      </c>
      <c r="BC127">
        <f t="shared" si="87"/>
        <v>-1.5058114597529673</v>
      </c>
      <c r="BD127">
        <f t="shared" si="88"/>
        <v>1.5058114597529673</v>
      </c>
      <c r="BE127" s="40"/>
      <c r="BF127" s="40"/>
    </row>
    <row r="128" spans="1:58" x14ac:dyDescent="0.25">
      <c r="AS128">
        <v>-0.94247779607694926</v>
      </c>
      <c r="AT128">
        <v>191.40600368664388</v>
      </c>
      <c r="AU128">
        <v>-264.92537330295261</v>
      </c>
      <c r="AV128">
        <f t="shared" si="80"/>
        <v>-0.94513514973634094</v>
      </c>
      <c r="AW128">
        <f t="shared" si="81"/>
        <v>2.6573536593916813E-3</v>
      </c>
      <c r="AX128" s="40">
        <f t="shared" si="82"/>
        <v>-1.5022949698978474</v>
      </c>
      <c r="AY128">
        <f t="shared" si="83"/>
        <v>1.5022949698978474</v>
      </c>
      <c r="AZ128">
        <f t="shared" si="84"/>
        <v>5.3407075111026368</v>
      </c>
      <c r="BA128">
        <f t="shared" si="85"/>
        <v>-0.94513514973634094</v>
      </c>
      <c r="BB128">
        <f t="shared" si="86"/>
        <v>2.6573536593916813E-3</v>
      </c>
      <c r="BC128">
        <f t="shared" si="87"/>
        <v>-1.5022949698978474</v>
      </c>
      <c r="BD128">
        <f t="shared" si="88"/>
        <v>1.5022949698978474</v>
      </c>
      <c r="BE128" s="40"/>
      <c r="BF128" s="40"/>
    </row>
    <row r="129" spans="1:58" x14ac:dyDescent="0.25">
      <c r="A129" s="15" t="s">
        <v>131</v>
      </c>
      <c r="AS129">
        <v>-0.92502450355700594</v>
      </c>
      <c r="AT129">
        <v>193.46156657771252</v>
      </c>
      <c r="AU129">
        <v>-265.73313318946737</v>
      </c>
      <c r="AV129">
        <f t="shared" si="80"/>
        <v>-0.94150523230564187</v>
      </c>
      <c r="AW129">
        <f t="shared" si="81"/>
        <v>1.6480728748635931E-2</v>
      </c>
      <c r="AX129" s="40">
        <f t="shared" si="82"/>
        <v>-1.4986650524671483</v>
      </c>
      <c r="AY129">
        <f t="shared" si="83"/>
        <v>1.4986650524671483</v>
      </c>
      <c r="AZ129">
        <f t="shared" si="84"/>
        <v>5.3581608036225798</v>
      </c>
      <c r="BA129">
        <f t="shared" si="85"/>
        <v>-0.94150523230564187</v>
      </c>
      <c r="BB129">
        <f t="shared" si="86"/>
        <v>1.6480728748635931E-2</v>
      </c>
      <c r="BC129">
        <f t="shared" si="87"/>
        <v>-1.4986650524671483</v>
      </c>
      <c r="BD129">
        <f t="shared" si="88"/>
        <v>1.4986650524671483</v>
      </c>
      <c r="BE129" s="40"/>
      <c r="BF129" s="40"/>
    </row>
    <row r="130" spans="1:58" x14ac:dyDescent="0.25">
      <c r="A130" s="8" t="s">
        <v>133</v>
      </c>
      <c r="B130" s="1">
        <f>U10</f>
        <v>0</v>
      </c>
      <c r="AS130">
        <v>-0.90757121103706262</v>
      </c>
      <c r="AT130">
        <v>195.49706493452953</v>
      </c>
      <c r="AU130">
        <v>-266.42291543067807</v>
      </c>
      <c r="AV130">
        <f t="shared" si="80"/>
        <v>-0.93775402187833246</v>
      </c>
      <c r="AW130">
        <f t="shared" si="81"/>
        <v>3.0182810841269836E-2</v>
      </c>
      <c r="AX130" s="40">
        <f t="shared" si="82"/>
        <v>-1.4949138420398391</v>
      </c>
      <c r="AY130">
        <f t="shared" si="83"/>
        <v>1.4949138420398391</v>
      </c>
      <c r="AZ130">
        <f t="shared" si="84"/>
        <v>5.3756140961425238</v>
      </c>
      <c r="BA130">
        <f t="shared" si="85"/>
        <v>-0.93775402187833246</v>
      </c>
      <c r="BB130">
        <f t="shared" si="86"/>
        <v>3.0182810841269836E-2</v>
      </c>
      <c r="BC130">
        <f t="shared" si="87"/>
        <v>-1.4949138420398391</v>
      </c>
      <c r="BD130">
        <f t="shared" si="88"/>
        <v>1.4949138420398391</v>
      </c>
      <c r="BE130" s="40"/>
      <c r="BF130" s="40"/>
    </row>
    <row r="131" spans="1:58" x14ac:dyDescent="0.25">
      <c r="A131" s="8" t="s">
        <v>132</v>
      </c>
      <c r="B131">
        <f ca="1">(U10-B127)/(D127-F127)</f>
        <v>0.84921099143561585</v>
      </c>
      <c r="AS131">
        <v>-0.8901179185171193</v>
      </c>
      <c r="AT131">
        <v>196.08383611252194</v>
      </c>
      <c r="AU131">
        <v>-265.05961944421165</v>
      </c>
      <c r="AV131">
        <f t="shared" ref="AV131:AV194" si="112">ATAN2(AT131,AU131)</f>
        <v>-0.9338729695107687</v>
      </c>
      <c r="AW131">
        <f t="shared" ref="AW131:AW194" si="113">ABS(AS131-AV131)</f>
        <v>4.3755050993649403E-2</v>
      </c>
      <c r="AX131" s="40">
        <f t="shared" ref="AX131:AX194" si="114">AV131-$U$13</f>
        <v>-1.4910327896722753</v>
      </c>
      <c r="AY131">
        <f t="shared" ref="AY131:AY194" si="115">ABS(AX131)</f>
        <v>1.4910327896722753</v>
      </c>
      <c r="AZ131">
        <f t="shared" ref="AZ131:AZ182" si="116">AS131+(2*PI())</f>
        <v>5.3930673886624669</v>
      </c>
      <c r="BA131">
        <f t="shared" ref="BA131:BA182" si="117">AV131</f>
        <v>-0.9338729695107687</v>
      </c>
      <c r="BB131">
        <f t="shared" ref="BB131:BB182" si="118">AW131</f>
        <v>4.3755050993649403E-2</v>
      </c>
      <c r="BC131">
        <f t="shared" ref="BC131:BC182" si="119">AX131</f>
        <v>-1.4910327896722753</v>
      </c>
      <c r="BD131">
        <f t="shared" ref="BD131:BD182" si="120">AY131</f>
        <v>1.4910327896722753</v>
      </c>
      <c r="BE131" s="40"/>
      <c r="BF131" s="40"/>
    </row>
    <row r="132" spans="1:58" x14ac:dyDescent="0.25">
      <c r="A132" s="8" t="s">
        <v>77</v>
      </c>
      <c r="B132">
        <f ca="1">B125+(B131*(D125-F125))</f>
        <v>639.82792114039466</v>
      </c>
      <c r="AS132">
        <v>-0.87266462599717598</v>
      </c>
      <c r="AT132">
        <v>196.68587684640772</v>
      </c>
      <c r="AU132">
        <v>-263.64993479900909</v>
      </c>
      <c r="AV132">
        <f t="shared" si="112"/>
        <v>-0.92985276458706145</v>
      </c>
      <c r="AW132">
        <f t="shared" si="113"/>
        <v>5.7188138589885473E-2</v>
      </c>
      <c r="AX132" s="40">
        <f t="shared" si="114"/>
        <v>-1.487012584748568</v>
      </c>
      <c r="AY132">
        <f t="shared" si="115"/>
        <v>1.487012584748568</v>
      </c>
      <c r="AZ132">
        <f t="shared" si="116"/>
        <v>5.41052068118241</v>
      </c>
      <c r="BA132">
        <f t="shared" si="117"/>
        <v>-0.92985276458706145</v>
      </c>
      <c r="BB132">
        <f t="shared" si="118"/>
        <v>5.7188138589885473E-2</v>
      </c>
      <c r="BC132">
        <f t="shared" si="119"/>
        <v>-1.487012584748568</v>
      </c>
      <c r="BD132">
        <f t="shared" si="120"/>
        <v>1.487012584748568</v>
      </c>
      <c r="BE132" s="40"/>
      <c r="BF132" s="40"/>
    </row>
    <row r="133" spans="1:58" x14ac:dyDescent="0.25">
      <c r="A133" s="8" t="s">
        <v>125</v>
      </c>
      <c r="B133">
        <f ca="1">B126+(B131*(D126-F126))</f>
        <v>0</v>
      </c>
      <c r="AS133">
        <v>-0.85521133347723266</v>
      </c>
      <c r="AT133">
        <v>197.3041754579572</v>
      </c>
      <c r="AU133">
        <v>-262.19065899436589</v>
      </c>
      <c r="AV133">
        <f t="shared" si="112"/>
        <v>-0.92568324591921147</v>
      </c>
      <c r="AW133">
        <f t="shared" si="113"/>
        <v>7.0471912441978812E-2</v>
      </c>
      <c r="AX133" s="40">
        <f t="shared" si="114"/>
        <v>-1.4828430660807181</v>
      </c>
      <c r="AY133">
        <f t="shared" si="115"/>
        <v>1.4828430660807181</v>
      </c>
      <c r="AZ133">
        <f t="shared" si="116"/>
        <v>5.427973973702354</v>
      </c>
      <c r="BA133">
        <f t="shared" si="117"/>
        <v>-0.92568324591921147</v>
      </c>
      <c r="BB133">
        <f t="shared" si="118"/>
        <v>7.0471912441978812E-2</v>
      </c>
      <c r="BC133">
        <f t="shared" si="119"/>
        <v>-1.4828430660807181</v>
      </c>
      <c r="BD133">
        <f t="shared" si="120"/>
        <v>1.4828430660807181</v>
      </c>
      <c r="BE133" s="40"/>
      <c r="BF133" s="40"/>
    </row>
    <row r="134" spans="1:58" x14ac:dyDescent="0.25">
      <c r="AS134">
        <v>-0.83775804095728934</v>
      </c>
      <c r="AT134">
        <v>197.93979520748343</v>
      </c>
      <c r="AU134">
        <v>-260.678308055657</v>
      </c>
      <c r="AV134">
        <f t="shared" si="112"/>
        <v>-0.92135330024582118</v>
      </c>
      <c r="AW134">
        <f t="shared" si="113"/>
        <v>8.3595259288531842E-2</v>
      </c>
      <c r="AX134" s="40">
        <f t="shared" si="114"/>
        <v>-1.4785131204073276</v>
      </c>
      <c r="AY134">
        <f t="shared" si="115"/>
        <v>1.4785131204073276</v>
      </c>
      <c r="AZ134">
        <f t="shared" si="116"/>
        <v>5.4454272662222971</v>
      </c>
      <c r="BA134">
        <f t="shared" si="117"/>
        <v>-0.92135330024582118</v>
      </c>
      <c r="BB134">
        <f t="shared" si="118"/>
        <v>8.3595259288531842E-2</v>
      </c>
      <c r="BC134">
        <f t="shared" si="119"/>
        <v>-1.4785131204073276</v>
      </c>
      <c r="BD134">
        <f t="shared" si="120"/>
        <v>1.4785131204073276</v>
      </c>
      <c r="BE134" s="40"/>
      <c r="BF134" s="40"/>
    </row>
    <row r="135" spans="1:58" x14ac:dyDescent="0.25">
      <c r="A135" s="8"/>
      <c r="AS135">
        <v>-0.82030474843734602</v>
      </c>
      <c r="AT135">
        <v>198.5938821133291</v>
      </c>
      <c r="AU135">
        <v>-259.10908440757271</v>
      </c>
      <c r="AV135">
        <f t="shared" si="112"/>
        <v>-0.91685074583033899</v>
      </c>
      <c r="AW135">
        <f t="shared" si="113"/>
        <v>9.6545997392992966E-2</v>
      </c>
      <c r="AX135" s="40">
        <f t="shared" si="114"/>
        <v>-1.4740105659918457</v>
      </c>
      <c r="AY135">
        <f t="shared" si="115"/>
        <v>1.4740105659918457</v>
      </c>
      <c r="AZ135">
        <f t="shared" si="116"/>
        <v>5.4628805587422402</v>
      </c>
      <c r="BA135">
        <f t="shared" si="117"/>
        <v>-0.91685074583033899</v>
      </c>
      <c r="BB135">
        <f t="shared" si="118"/>
        <v>9.6545997392992966E-2</v>
      </c>
      <c r="BC135">
        <f t="shared" si="119"/>
        <v>-1.4740105659918457</v>
      </c>
      <c r="BD135">
        <f t="shared" si="120"/>
        <v>1.4740105659918457</v>
      </c>
      <c r="BE135" s="40"/>
      <c r="BF135" s="40"/>
    </row>
    <row r="136" spans="1:58" x14ac:dyDescent="0.25">
      <c r="A136" s="8"/>
      <c r="AS136">
        <v>-0.8028514559174027</v>
      </c>
      <c r="AT136">
        <v>199.26767359126865</v>
      </c>
      <c r="AU136">
        <v>-257.47884017459728</v>
      </c>
      <c r="AV136">
        <f t="shared" si="112"/>
        <v>-0.91216219891399264</v>
      </c>
      <c r="AW136">
        <f t="shared" si="113"/>
        <v>0.10931074299658994</v>
      </c>
      <c r="AX136" s="40">
        <f t="shared" si="114"/>
        <v>-1.4693220190754992</v>
      </c>
      <c r="AY136">
        <f t="shared" si="115"/>
        <v>1.4693220190754992</v>
      </c>
      <c r="AZ136">
        <f t="shared" si="116"/>
        <v>5.4803338512621833</v>
      </c>
      <c r="BA136">
        <f t="shared" si="117"/>
        <v>-0.91216219891399264</v>
      </c>
      <c r="BB136">
        <f t="shared" si="118"/>
        <v>0.10931074299658994</v>
      </c>
      <c r="BC136">
        <f t="shared" si="119"/>
        <v>-1.4693220190754992</v>
      </c>
      <c r="BD136">
        <f t="shared" si="120"/>
        <v>1.4693220190754992</v>
      </c>
      <c r="BE136" s="40"/>
      <c r="BF136" s="40"/>
    </row>
    <row r="137" spans="1:58" x14ac:dyDescent="0.25">
      <c r="AS137">
        <v>-0.78539816339745938</v>
      </c>
      <c r="AT137">
        <v>199.96250832687181</v>
      </c>
      <c r="AU137">
        <v>-255.78303533633681</v>
      </c>
      <c r="AV137">
        <f t="shared" si="112"/>
        <v>-0.90727291960846501</v>
      </c>
      <c r="AW137">
        <f t="shared" si="113"/>
        <v>0.12187475621100563</v>
      </c>
      <c r="AX137" s="40">
        <f t="shared" si="114"/>
        <v>-1.4644327397699715</v>
      </c>
      <c r="AY137">
        <f t="shared" si="115"/>
        <v>1.4644327397699715</v>
      </c>
      <c r="AZ137">
        <f t="shared" si="116"/>
        <v>5.4977871437821264</v>
      </c>
      <c r="BA137">
        <f t="shared" si="117"/>
        <v>-0.90727291960846501</v>
      </c>
      <c r="BB137">
        <f t="shared" si="118"/>
        <v>0.12187475621100563</v>
      </c>
      <c r="BC137">
        <f t="shared" si="119"/>
        <v>-1.4644327397699715</v>
      </c>
      <c r="BD137">
        <f t="shared" si="120"/>
        <v>1.4644327397699715</v>
      </c>
      <c r="BE137" s="40"/>
      <c r="BF137" s="40"/>
    </row>
    <row r="138" spans="1:58" x14ac:dyDescent="0.25">
      <c r="AS138">
        <v>-0.76794487087751606</v>
      </c>
      <c r="AT138">
        <v>200.67983731146538</v>
      </c>
      <c r="AU138">
        <v>-254.01668969023694</v>
      </c>
      <c r="AV138">
        <f t="shared" si="112"/>
        <v>-0.90216663380216588</v>
      </c>
      <c r="AW138">
        <f t="shared" si="113"/>
        <v>0.13422176292464982</v>
      </c>
      <c r="AX138" s="40">
        <f t="shared" si="114"/>
        <v>-1.4593264539636723</v>
      </c>
      <c r="AY138">
        <f t="shared" si="115"/>
        <v>1.4593264539636723</v>
      </c>
      <c r="AZ138">
        <f t="shared" si="116"/>
        <v>5.5152404363020704</v>
      </c>
      <c r="BA138">
        <f t="shared" si="117"/>
        <v>-0.90216663380216588</v>
      </c>
      <c r="BB138">
        <f t="shared" si="118"/>
        <v>0.13422176292464982</v>
      </c>
      <c r="BC138">
        <f t="shared" si="119"/>
        <v>-1.4593264539636723</v>
      </c>
      <c r="BD138">
        <f t="shared" si="120"/>
        <v>1.4593264539636723</v>
      </c>
      <c r="BE138" s="40"/>
      <c r="BF138" s="40"/>
    </row>
    <row r="139" spans="1:58" x14ac:dyDescent="0.25">
      <c r="AS139">
        <v>-0.75049157835757274</v>
      </c>
      <c r="AT139">
        <v>201.42123648188624</v>
      </c>
      <c r="AU139">
        <v>-252.17432771146153</v>
      </c>
      <c r="AV139">
        <f t="shared" si="112"/>
        <v>-0.89682532628692446</v>
      </c>
      <c r="AW139">
        <f t="shared" si="113"/>
        <v>0.14633374792935172</v>
      </c>
      <c r="AX139" s="40">
        <f t="shared" si="114"/>
        <v>-1.453985146448431</v>
      </c>
      <c r="AY139">
        <f t="shared" si="115"/>
        <v>1.453985146448431</v>
      </c>
      <c r="AZ139">
        <f t="shared" si="116"/>
        <v>5.5326937288220135</v>
      </c>
      <c r="BA139">
        <f t="shared" si="117"/>
        <v>-0.89682532628692446</v>
      </c>
      <c r="BB139">
        <f t="shared" si="118"/>
        <v>0.14633374792935172</v>
      </c>
      <c r="BC139">
        <f t="shared" si="119"/>
        <v>-1.453985146448431</v>
      </c>
      <c r="BD139">
        <f t="shared" si="120"/>
        <v>1.453985146448431</v>
      </c>
      <c r="BE139" s="40"/>
      <c r="BF139" s="40"/>
    </row>
    <row r="140" spans="1:58" x14ac:dyDescent="0.25">
      <c r="AS140">
        <v>-0.73303828583762942</v>
      </c>
      <c r="AT140">
        <v>202.18842095168216</v>
      </c>
      <c r="AU140">
        <v>-250.24991485516426</v>
      </c>
      <c r="AV140">
        <f t="shared" si="112"/>
        <v>-0.89122899990477267</v>
      </c>
      <c r="AW140">
        <f t="shared" si="113"/>
        <v>0.15819071406714325</v>
      </c>
      <c r="AX140" s="40">
        <f t="shared" si="114"/>
        <v>-1.4483888200662793</v>
      </c>
      <c r="AY140">
        <f t="shared" si="115"/>
        <v>1.4483888200662793</v>
      </c>
      <c r="AZ140">
        <f t="shared" si="116"/>
        <v>5.5501470213419566</v>
      </c>
      <c r="BA140">
        <f t="shared" si="117"/>
        <v>-0.89122899990477267</v>
      </c>
      <c r="BB140">
        <f t="shared" si="118"/>
        <v>0.15819071406714325</v>
      </c>
      <c r="BC140">
        <f t="shared" si="119"/>
        <v>-1.4483888200662793</v>
      </c>
      <c r="BD140">
        <f t="shared" si="120"/>
        <v>1.4483888200662793</v>
      </c>
      <c r="BE140" s="40"/>
      <c r="BF140" s="40"/>
    </row>
    <row r="141" spans="1:58" x14ac:dyDescent="0.25">
      <c r="AS141">
        <v>-0.7155849933176861</v>
      </c>
      <c r="AT141">
        <v>202.98326131152186</v>
      </c>
      <c r="AU141">
        <v>-248.2367838733494</v>
      </c>
      <c r="AV141">
        <f t="shared" si="112"/>
        <v>-0.88535539376658356</v>
      </c>
      <c r="AW141">
        <f t="shared" si="113"/>
        <v>0.16977040044889746</v>
      </c>
      <c r="AX141" s="40">
        <f t="shared" si="114"/>
        <v>-1.4425152139280901</v>
      </c>
      <c r="AY141">
        <f t="shared" si="115"/>
        <v>1.4425152139280901</v>
      </c>
      <c r="AZ141">
        <f t="shared" si="116"/>
        <v>5.5676003138619006</v>
      </c>
      <c r="BA141">
        <f t="shared" si="117"/>
        <v>-0.88535539376658356</v>
      </c>
      <c r="BB141">
        <f t="shared" si="118"/>
        <v>0.16977040044889746</v>
      </c>
      <c r="BC141">
        <f t="shared" si="119"/>
        <v>-1.4425152139280901</v>
      </c>
      <c r="BD141">
        <f t="shared" si="120"/>
        <v>1.4425152139280901</v>
      </c>
      <c r="BE141" s="40"/>
      <c r="BF141" s="40"/>
    </row>
    <row r="142" spans="1:58" x14ac:dyDescent="0.25">
      <c r="AS142">
        <v>-0.69813170079774278</v>
      </c>
      <c r="AT142">
        <v>203.80780227232225</v>
      </c>
      <c r="AU142">
        <v>-246.12754921035742</v>
      </c>
      <c r="AV142">
        <f t="shared" si="112"/>
        <v>-0.87917965235646411</v>
      </c>
      <c r="AW142">
        <f t="shared" si="113"/>
        <v>0.18104795155872133</v>
      </c>
      <c r="AX142" s="40">
        <f t="shared" si="114"/>
        <v>-1.4363394725179708</v>
      </c>
      <c r="AY142">
        <f t="shared" si="115"/>
        <v>1.4363394725179708</v>
      </c>
      <c r="AZ142">
        <f t="shared" si="116"/>
        <v>5.5850536063818437</v>
      </c>
      <c r="BA142">
        <f t="shared" si="117"/>
        <v>-0.87917965235646411</v>
      </c>
      <c r="BB142">
        <f t="shared" si="118"/>
        <v>0.18104795155872133</v>
      </c>
      <c r="BC142">
        <f t="shared" si="119"/>
        <v>-1.4363394725179708</v>
      </c>
      <c r="BD142">
        <f t="shared" si="120"/>
        <v>1.4363394725179708</v>
      </c>
      <c r="BE142" s="40"/>
      <c r="BF142" s="40"/>
    </row>
    <row r="143" spans="1:58" x14ac:dyDescent="0.25">
      <c r="AS143">
        <v>-0.68067840827779946</v>
      </c>
      <c r="AT143">
        <v>204.66428403472935</v>
      </c>
      <c r="AU143">
        <v>-243.9140071480299</v>
      </c>
      <c r="AV143">
        <f t="shared" si="112"/>
        <v>-0.87267393532776683</v>
      </c>
      <c r="AW143">
        <f t="shared" si="113"/>
        <v>0.19199552704996736</v>
      </c>
      <c r="AX143" s="40">
        <f t="shared" si="114"/>
        <v>-1.4298337554892733</v>
      </c>
      <c r="AY143">
        <f t="shared" si="115"/>
        <v>1.4298337554892733</v>
      </c>
      <c r="AZ143">
        <f t="shared" si="116"/>
        <v>5.6025068989017868</v>
      </c>
      <c r="BA143">
        <f t="shared" si="117"/>
        <v>-0.87267393532776683</v>
      </c>
      <c r="BB143">
        <f t="shared" si="118"/>
        <v>0.19199552704996736</v>
      </c>
      <c r="BC143">
        <f t="shared" si="119"/>
        <v>-1.4298337554892733</v>
      </c>
      <c r="BD143">
        <f t="shared" si="120"/>
        <v>1.4298337554892733</v>
      </c>
      <c r="BE143" s="40"/>
      <c r="BF143" s="40"/>
    </row>
    <row r="144" spans="1:58" x14ac:dyDescent="0.25">
      <c r="AS144">
        <v>-0.66322511575785614</v>
      </c>
      <c r="AT144">
        <v>205.55516679018291</v>
      </c>
      <c r="AU144">
        <v>-241.58701879777993</v>
      </c>
      <c r="AV144">
        <f t="shared" si="112"/>
        <v>-0.86580695536618235</v>
      </c>
      <c r="AW144">
        <f t="shared" si="113"/>
        <v>0.20258183960832621</v>
      </c>
      <c r="AX144" s="40">
        <f t="shared" si="114"/>
        <v>-1.4229667755276889</v>
      </c>
      <c r="AY144">
        <f t="shared" si="115"/>
        <v>1.4229667755276889</v>
      </c>
      <c r="AZ144">
        <f t="shared" si="116"/>
        <v>5.6199601914217299</v>
      </c>
      <c r="BA144">
        <f t="shared" si="117"/>
        <v>-0.86580695536618235</v>
      </c>
      <c r="BB144">
        <f t="shared" si="118"/>
        <v>0.20258183960832621</v>
      </c>
      <c r="BC144">
        <f t="shared" si="119"/>
        <v>-1.4229667755276889</v>
      </c>
      <c r="BD144">
        <f t="shared" si="120"/>
        <v>1.4229667755276889</v>
      </c>
      <c r="BE144" s="40"/>
      <c r="BF144" s="40"/>
    </row>
    <row r="145" spans="45:58" x14ac:dyDescent="0.25">
      <c r="AS145">
        <v>-0.64577182323791282</v>
      </c>
      <c r="AT145">
        <v>206.48315923117082</v>
      </c>
      <c r="AU145">
        <v>-239.13637263722626</v>
      </c>
      <c r="AV145">
        <f t="shared" si="112"/>
        <v>-0.85854342797634797</v>
      </c>
      <c r="AW145">
        <f t="shared" si="113"/>
        <v>0.21277160473843515</v>
      </c>
      <c r="AX145" s="40">
        <f t="shared" si="114"/>
        <v>-1.4157032481378544</v>
      </c>
      <c r="AY145">
        <f t="shared" si="115"/>
        <v>1.4157032481378544</v>
      </c>
      <c r="AZ145">
        <f t="shared" si="116"/>
        <v>5.637413483941673</v>
      </c>
      <c r="BA145">
        <f t="shared" si="117"/>
        <v>-0.85854342797634797</v>
      </c>
      <c r="BB145">
        <f t="shared" si="118"/>
        <v>0.21277160473843515</v>
      </c>
      <c r="BC145">
        <f t="shared" si="119"/>
        <v>-1.4157032481378544</v>
      </c>
      <c r="BD145">
        <f t="shared" si="120"/>
        <v>1.4157032481378544</v>
      </c>
      <c r="BE145" s="40"/>
      <c r="BF145" s="40"/>
    </row>
    <row r="146" spans="45:58" x14ac:dyDescent="0.25">
      <c r="AS146">
        <v>-0.6283185307179695</v>
      </c>
      <c r="AT146">
        <v>207.45125142730447</v>
      </c>
      <c r="AU146">
        <v>-236.5506219764884</v>
      </c>
      <c r="AV146">
        <f t="shared" si="112"/>
        <v>-0.85084341360332971</v>
      </c>
      <c r="AW146">
        <f t="shared" si="113"/>
        <v>0.22252488288536021</v>
      </c>
      <c r="AX146" s="40">
        <f t="shared" si="114"/>
        <v>-1.4080032337648363</v>
      </c>
      <c r="AY146">
        <f t="shared" si="115"/>
        <v>1.4080032337648363</v>
      </c>
      <c r="AZ146">
        <f t="shared" si="116"/>
        <v>5.654866776461617</v>
      </c>
      <c r="BA146">
        <f t="shared" si="117"/>
        <v>-0.85084341360332971</v>
      </c>
      <c r="BB146">
        <f t="shared" si="118"/>
        <v>0.22252488288536021</v>
      </c>
      <c r="BC146">
        <f t="shared" si="119"/>
        <v>-1.4080032337648363</v>
      </c>
      <c r="BD146">
        <f t="shared" si="120"/>
        <v>1.4080032337648363</v>
      </c>
      <c r="BE146" s="40"/>
      <c r="BF146" s="40"/>
    </row>
    <row r="147" spans="45:58" x14ac:dyDescent="0.25">
      <c r="AS147">
        <v>-0.61086523819802618</v>
      </c>
      <c r="AT147">
        <v>208.46275313652669</v>
      </c>
      <c r="AU147">
        <v>-233.81689204586354</v>
      </c>
      <c r="AV147">
        <f t="shared" si="112"/>
        <v>-0.84266152667274685</v>
      </c>
      <c r="AW147">
        <f t="shared" si="113"/>
        <v>0.23179628847472067</v>
      </c>
      <c r="AX147" s="40">
        <f t="shared" si="114"/>
        <v>-1.3998213468342535</v>
      </c>
      <c r="AY147">
        <f t="shared" si="115"/>
        <v>1.3998213468342535</v>
      </c>
      <c r="AZ147">
        <f t="shared" si="116"/>
        <v>5.67232006898156</v>
      </c>
      <c r="BA147">
        <f t="shared" si="117"/>
        <v>-0.84266152667274685</v>
      </c>
      <c r="BB147">
        <f t="shared" si="118"/>
        <v>0.23179628847472067</v>
      </c>
      <c r="BC147">
        <f t="shared" si="119"/>
        <v>-1.3998213468342535</v>
      </c>
      <c r="BD147">
        <f t="shared" si="120"/>
        <v>1.3998213468342535</v>
      </c>
      <c r="BE147" s="40"/>
      <c r="BF147" s="40"/>
    </row>
    <row r="148" spans="45:58" x14ac:dyDescent="0.25">
      <c r="AS148">
        <v>-0.59341194567808286</v>
      </c>
      <c r="AT148">
        <v>209.52133867640981</v>
      </c>
      <c r="AU148">
        <v>-230.92064989948034</v>
      </c>
      <c r="AV148">
        <f t="shared" si="112"/>
        <v>-0.83394597943558602</v>
      </c>
      <c r="AW148">
        <f t="shared" si="113"/>
        <v>0.24053403375750315</v>
      </c>
      <c r="AX148" s="40">
        <f t="shared" si="114"/>
        <v>-1.3911057995970926</v>
      </c>
      <c r="AY148">
        <f t="shared" si="115"/>
        <v>1.3911057995970926</v>
      </c>
      <c r="AZ148">
        <f t="shared" si="116"/>
        <v>5.6897733615015031</v>
      </c>
      <c r="BA148">
        <f t="shared" si="117"/>
        <v>-0.83394597943558602</v>
      </c>
      <c r="BB148">
        <f t="shared" si="118"/>
        <v>0.24053403375750315</v>
      </c>
      <c r="BC148">
        <f t="shared" si="119"/>
        <v>-1.3911057995970926</v>
      </c>
      <c r="BD148">
        <f t="shared" si="120"/>
        <v>1.3911057995970926</v>
      </c>
      <c r="BE148" s="40"/>
      <c r="BF148" s="40"/>
    </row>
    <row r="149" spans="45:58" x14ac:dyDescent="0.25">
      <c r="AS149">
        <v>-0.57595865315813954</v>
      </c>
      <c r="AT149">
        <v>210.63109951361449</v>
      </c>
      <c r="AU149">
        <v>-227.84542834232343</v>
      </c>
      <c r="AV149">
        <f t="shared" si="112"/>
        <v>-0.82463741966523751</v>
      </c>
      <c r="AW149">
        <f t="shared" si="113"/>
        <v>0.24867876650709797</v>
      </c>
      <c r="AX149" s="40">
        <f t="shared" si="114"/>
        <v>-1.381797239826744</v>
      </c>
      <c r="AY149">
        <f t="shared" si="115"/>
        <v>1.381797239826744</v>
      </c>
      <c r="AZ149">
        <f t="shared" si="116"/>
        <v>5.7072266540214471</v>
      </c>
      <c r="BA149">
        <f t="shared" si="117"/>
        <v>-0.82463741966523751</v>
      </c>
      <c r="BB149">
        <f t="shared" si="118"/>
        <v>0.24867876650709797</v>
      </c>
      <c r="BC149">
        <f t="shared" si="119"/>
        <v>-1.381797239826744</v>
      </c>
      <c r="BD149">
        <f t="shared" si="120"/>
        <v>1.381797239826744</v>
      </c>
      <c r="BE149" s="40"/>
      <c r="BF149" s="40"/>
    </row>
    <row r="150" spans="45:58" x14ac:dyDescent="0.25">
      <c r="AS150">
        <v>-0.55850536063819622</v>
      </c>
      <c r="AT150">
        <v>211.79660634443474</v>
      </c>
      <c r="AU150">
        <v>-224.57249292345256</v>
      </c>
      <c r="AV150">
        <f t="shared" si="112"/>
        <v>-0.81466750911353991</v>
      </c>
      <c r="AW150">
        <f t="shared" si="113"/>
        <v>0.25616214847534369</v>
      </c>
      <c r="AX150" s="40">
        <f t="shared" si="114"/>
        <v>-1.3718273292750465</v>
      </c>
      <c r="AY150">
        <f t="shared" si="115"/>
        <v>1.3718273292750465</v>
      </c>
      <c r="AZ150">
        <f t="shared" si="116"/>
        <v>5.7246799465413902</v>
      </c>
      <c r="BA150">
        <f t="shared" si="117"/>
        <v>-0.81466750911353991</v>
      </c>
      <c r="BB150">
        <f t="shared" si="118"/>
        <v>0.25616214847534369</v>
      </c>
      <c r="BC150">
        <f t="shared" si="119"/>
        <v>-1.3718273292750465</v>
      </c>
      <c r="BD150">
        <f t="shared" si="120"/>
        <v>1.3718273292750465</v>
      </c>
      <c r="BE150" s="40"/>
      <c r="BF150" s="40"/>
    </row>
    <row r="151" spans="45:58" x14ac:dyDescent="0.25">
      <c r="AS151">
        <v>-0.5410520681182529</v>
      </c>
      <c r="AT151">
        <v>212.978433969918</v>
      </c>
      <c r="AU151">
        <v>-221.18427075097534</v>
      </c>
      <c r="AV151">
        <f t="shared" si="112"/>
        <v>-0.80429628567679401</v>
      </c>
      <c r="AW151">
        <f t="shared" si="113"/>
        <v>0.2632442175585411</v>
      </c>
      <c r="AX151" s="40">
        <f t="shared" si="114"/>
        <v>-1.3614561058383006</v>
      </c>
      <c r="AY151">
        <f t="shared" si="115"/>
        <v>1.3614561058383006</v>
      </c>
      <c r="AZ151">
        <f t="shared" si="116"/>
        <v>5.7421332390613333</v>
      </c>
      <c r="BA151">
        <f t="shared" si="117"/>
        <v>-0.80429628567679401</v>
      </c>
      <c r="BB151">
        <f t="shared" si="118"/>
        <v>0.2632442175585411</v>
      </c>
      <c r="BC151">
        <f t="shared" si="119"/>
        <v>-1.3614561058383006</v>
      </c>
      <c r="BD151">
        <f t="shared" si="120"/>
        <v>1.3614561058383006</v>
      </c>
      <c r="BE151" s="40"/>
      <c r="BF151" s="40"/>
    </row>
    <row r="152" spans="45:58" x14ac:dyDescent="0.25">
      <c r="AS152">
        <v>-0.52359877559830958</v>
      </c>
      <c r="AT152">
        <v>214.1268615303253</v>
      </c>
      <c r="AU152">
        <v>-217.79297806589858</v>
      </c>
      <c r="AV152">
        <f t="shared" si="112"/>
        <v>-0.79388591543156428</v>
      </c>
      <c r="AW152">
        <f t="shared" si="113"/>
        <v>0.2702871398332547</v>
      </c>
      <c r="AX152" s="40">
        <f t="shared" si="114"/>
        <v>-1.351045735593071</v>
      </c>
      <c r="AY152">
        <f t="shared" si="115"/>
        <v>1.351045735593071</v>
      </c>
      <c r="AZ152">
        <f t="shared" si="116"/>
        <v>5.7595865315812764</v>
      </c>
      <c r="BA152">
        <f t="shared" si="117"/>
        <v>-0.79388591543156428</v>
      </c>
      <c r="BB152">
        <f t="shared" si="118"/>
        <v>0.2702871398332547</v>
      </c>
      <c r="BC152">
        <f t="shared" si="119"/>
        <v>-1.351045735593071</v>
      </c>
      <c r="BD152">
        <f t="shared" si="120"/>
        <v>1.351045735593071</v>
      </c>
      <c r="BE152" s="40"/>
      <c r="BF152" s="40"/>
    </row>
    <row r="153" spans="45:58" x14ac:dyDescent="0.25">
      <c r="AS153">
        <v>-0.50614548307836627</v>
      </c>
      <c r="AT153">
        <v>215.24349428957089</v>
      </c>
      <c r="AU153">
        <v>-214.39466193291815</v>
      </c>
      <c r="AV153">
        <f t="shared" si="112"/>
        <v>-0.78342247469305837</v>
      </c>
      <c r="AW153">
        <f t="shared" si="113"/>
        <v>0.2772769916146921</v>
      </c>
      <c r="AX153" s="40">
        <f t="shared" si="114"/>
        <v>-1.3405822948545649</v>
      </c>
      <c r="AY153">
        <f t="shared" si="115"/>
        <v>1.3405822948545649</v>
      </c>
      <c r="AZ153">
        <f t="shared" si="116"/>
        <v>5.7770398241012195</v>
      </c>
      <c r="BA153">
        <f t="shared" si="117"/>
        <v>-0.78342247469305837</v>
      </c>
      <c r="BB153">
        <f t="shared" si="118"/>
        <v>0.2772769916146921</v>
      </c>
      <c r="BC153">
        <f t="shared" si="119"/>
        <v>-1.3405822948545649</v>
      </c>
      <c r="BD153">
        <f t="shared" si="120"/>
        <v>1.3405822948545649</v>
      </c>
      <c r="BE153" s="40"/>
      <c r="BF153" s="40"/>
    </row>
    <row r="154" spans="45:58" x14ac:dyDescent="0.25">
      <c r="AS154">
        <v>-0.48869219055842295</v>
      </c>
      <c r="AT154">
        <v>216.32992458948797</v>
      </c>
      <c r="AU154">
        <v>-210.98500173788716</v>
      </c>
      <c r="AV154">
        <f t="shared" si="112"/>
        <v>-0.77289065709807281</v>
      </c>
      <c r="AW154">
        <f t="shared" si="113"/>
        <v>0.28419846653964986</v>
      </c>
      <c r="AX154" s="40">
        <f t="shared" si="114"/>
        <v>-1.3300504772595794</v>
      </c>
      <c r="AY154">
        <f t="shared" si="115"/>
        <v>1.3300504772595794</v>
      </c>
      <c r="AZ154">
        <f t="shared" si="116"/>
        <v>5.7944931166211635</v>
      </c>
      <c r="BA154">
        <f t="shared" si="117"/>
        <v>-0.77289065709807281</v>
      </c>
      <c r="BB154">
        <f t="shared" si="118"/>
        <v>0.28419846653964986</v>
      </c>
      <c r="BC154">
        <f t="shared" si="119"/>
        <v>-1.3300504772595794</v>
      </c>
      <c r="BD154">
        <f t="shared" si="120"/>
        <v>1.3300504772595794</v>
      </c>
      <c r="BE154" s="40"/>
      <c r="BF154" s="40"/>
    </row>
    <row r="155" spans="45:58" x14ac:dyDescent="0.25">
      <c r="AS155">
        <v>-0.47123889803847963</v>
      </c>
      <c r="AT155">
        <v>217.387650425201</v>
      </c>
      <c r="AU155">
        <v>-207.55947796108663</v>
      </c>
      <c r="AV155">
        <f t="shared" si="112"/>
        <v>-0.7622742969348193</v>
      </c>
      <c r="AW155">
        <f t="shared" si="113"/>
        <v>0.29103539889633967</v>
      </c>
      <c r="AX155" s="40">
        <f t="shared" si="114"/>
        <v>-1.3194341170963257</v>
      </c>
      <c r="AY155">
        <f t="shared" si="115"/>
        <v>1.3194341170963257</v>
      </c>
      <c r="AZ155">
        <f t="shared" si="116"/>
        <v>5.8119464091411066</v>
      </c>
      <c r="BA155">
        <f t="shared" si="117"/>
        <v>-0.7622742969348193</v>
      </c>
      <c r="BB155">
        <f t="shared" si="118"/>
        <v>0.29103539889633967</v>
      </c>
      <c r="BC155">
        <f t="shared" si="119"/>
        <v>-1.3194341170963257</v>
      </c>
      <c r="BD155">
        <f t="shared" si="120"/>
        <v>1.3194341170963257</v>
      </c>
      <c r="BE155" s="40"/>
      <c r="BF155" s="40"/>
    </row>
    <row r="156" spans="45:58" x14ac:dyDescent="0.25">
      <c r="AS156">
        <v>-0.45378560551853631</v>
      </c>
      <c r="AT156">
        <v>218.4180865744558</v>
      </c>
      <c r="AU156">
        <v>-204.11332081133099</v>
      </c>
      <c r="AV156">
        <f t="shared" si="112"/>
        <v>-0.75155617175636469</v>
      </c>
      <c r="AW156">
        <f t="shared" si="113"/>
        <v>0.29777056623782838</v>
      </c>
      <c r="AX156" s="40">
        <f t="shared" si="114"/>
        <v>-1.3087159919178712</v>
      </c>
      <c r="AY156">
        <f t="shared" si="115"/>
        <v>1.3087159919178712</v>
      </c>
      <c r="AZ156">
        <f t="shared" si="116"/>
        <v>5.8293997016610497</v>
      </c>
      <c r="BA156">
        <f t="shared" si="117"/>
        <v>-0.75155617175636469</v>
      </c>
      <c r="BB156">
        <f t="shared" si="118"/>
        <v>0.29777056623782838</v>
      </c>
      <c r="BC156">
        <f t="shared" si="119"/>
        <v>-1.3087159919178712</v>
      </c>
      <c r="BD156">
        <f t="shared" si="120"/>
        <v>1.3087159919178712</v>
      </c>
      <c r="BE156" s="40"/>
      <c r="BF156" s="40"/>
    </row>
    <row r="157" spans="45:58" x14ac:dyDescent="0.25">
      <c r="AS157">
        <v>-0.43633231299859299</v>
      </c>
      <c r="AT157">
        <v>219.42257593360503</v>
      </c>
      <c r="AU157">
        <v>-200.6414492755155</v>
      </c>
      <c r="AV157">
        <f t="shared" si="112"/>
        <v>-0.7407177669731364</v>
      </c>
      <c r="AW157">
        <f t="shared" si="113"/>
        <v>0.30438545397454342</v>
      </c>
      <c r="AX157" s="40">
        <f t="shared" si="114"/>
        <v>-1.2978775871346429</v>
      </c>
      <c r="AY157">
        <f t="shared" si="115"/>
        <v>1.2978775871346429</v>
      </c>
      <c r="AZ157">
        <f t="shared" si="116"/>
        <v>5.8468529941809937</v>
      </c>
      <c r="BA157">
        <f t="shared" si="117"/>
        <v>-0.7407177669731364</v>
      </c>
      <c r="BB157">
        <f t="shared" si="118"/>
        <v>0.30438545397454342</v>
      </c>
      <c r="BC157">
        <f t="shared" si="119"/>
        <v>-1.2978775871346429</v>
      </c>
      <c r="BD157">
        <f t="shared" si="120"/>
        <v>1.2978775871346429</v>
      </c>
      <c r="BE157" s="40"/>
      <c r="BF157" s="40"/>
    </row>
    <row r="158" spans="45:58" x14ac:dyDescent="0.25">
      <c r="AS158">
        <v>-0.41887902047864967</v>
      </c>
      <c r="AT158">
        <v>220.40240116940072</v>
      </c>
      <c r="AU158">
        <v>-197.13839741913526</v>
      </c>
      <c r="AV158">
        <f t="shared" si="112"/>
        <v>-0.72973899106506657</v>
      </c>
      <c r="AW158">
        <f t="shared" si="113"/>
        <v>0.3108599705864169</v>
      </c>
      <c r="AX158" s="40">
        <f t="shared" si="114"/>
        <v>-1.2868988112265731</v>
      </c>
      <c r="AY158">
        <f t="shared" si="115"/>
        <v>1.2868988112265731</v>
      </c>
      <c r="AZ158">
        <f t="shared" si="116"/>
        <v>5.8643062867009368</v>
      </c>
      <c r="BA158">
        <f t="shared" si="117"/>
        <v>-0.72973899106506657</v>
      </c>
      <c r="BB158">
        <f t="shared" si="118"/>
        <v>0.3108599705864169</v>
      </c>
      <c r="BC158">
        <f t="shared" si="119"/>
        <v>-1.2868988112265731</v>
      </c>
      <c r="BD158">
        <f t="shared" si="120"/>
        <v>1.2868988112265731</v>
      </c>
      <c r="BE158" s="40"/>
      <c r="BF158" s="40"/>
    </row>
    <row r="159" spans="45:58" x14ac:dyDescent="0.25">
      <c r="AS159">
        <v>-0.40142572795870635</v>
      </c>
      <c r="AT159">
        <v>221.35879739378314</v>
      </c>
      <c r="AU159">
        <v>-193.59822410860829</v>
      </c>
      <c r="AV159">
        <f t="shared" si="112"/>
        <v>-0.71859782578266551</v>
      </c>
      <c r="AW159">
        <f t="shared" si="113"/>
        <v>0.31717209782395916</v>
      </c>
      <c r="AX159" s="40">
        <f t="shared" si="114"/>
        <v>-1.275757645944172</v>
      </c>
      <c r="AY159">
        <f t="shared" si="115"/>
        <v>1.275757645944172</v>
      </c>
      <c r="AZ159">
        <f t="shared" si="116"/>
        <v>5.8817595792208799</v>
      </c>
      <c r="BA159">
        <f t="shared" si="117"/>
        <v>-0.71859782578266551</v>
      </c>
      <c r="BB159">
        <f t="shared" si="118"/>
        <v>0.31717209782395916</v>
      </c>
      <c r="BC159">
        <f t="shared" si="119"/>
        <v>-1.275757645944172</v>
      </c>
      <c r="BD159">
        <f t="shared" si="120"/>
        <v>1.275757645944172</v>
      </c>
      <c r="BE159" s="40"/>
      <c r="BF159" s="40"/>
    </row>
    <row r="160" spans="45:58" x14ac:dyDescent="0.25">
      <c r="AS160">
        <v>-0.38397243543876303</v>
      </c>
      <c r="AT160">
        <v>222.29296634461031</v>
      </c>
      <c r="AU160">
        <v>-190.01440057960076</v>
      </c>
      <c r="AV160">
        <f t="shared" si="112"/>
        <v>-0.70726989018563435</v>
      </c>
      <c r="AW160">
        <f t="shared" si="113"/>
        <v>0.32329745474687133</v>
      </c>
      <c r="AX160" s="40">
        <f t="shared" si="114"/>
        <v>-1.2644297103471409</v>
      </c>
      <c r="AY160">
        <f t="shared" si="115"/>
        <v>1.2644297103471409</v>
      </c>
      <c r="AZ160">
        <f t="shared" si="116"/>
        <v>5.899212871740823</v>
      </c>
      <c r="BA160">
        <f t="shared" si="117"/>
        <v>-0.70726989018563435</v>
      </c>
      <c r="BB160">
        <f t="shared" si="118"/>
        <v>0.32329745474687133</v>
      </c>
      <c r="BC160">
        <f t="shared" si="119"/>
        <v>-1.2644297103471409</v>
      </c>
      <c r="BD160">
        <f t="shared" si="120"/>
        <v>1.2644297103471409</v>
      </c>
      <c r="BE160" s="40"/>
      <c r="BF160" s="40"/>
    </row>
    <row r="161" spans="45:58" x14ac:dyDescent="0.25">
      <c r="AS161">
        <v>-0.36651914291881971</v>
      </c>
      <c r="AT161">
        <v>223.20609276633053</v>
      </c>
      <c r="AU161">
        <v>-186.37966815314729</v>
      </c>
      <c r="AV161">
        <f t="shared" si="112"/>
        <v>-0.69572788907973415</v>
      </c>
      <c r="AW161">
        <f t="shared" si="113"/>
        <v>0.32920874616091444</v>
      </c>
      <c r="AX161" s="40">
        <f t="shared" si="114"/>
        <v>-1.2528877092412407</v>
      </c>
      <c r="AY161">
        <f t="shared" si="115"/>
        <v>1.2528877092412407</v>
      </c>
      <c r="AZ161">
        <f t="shared" si="116"/>
        <v>5.9166661642607661</v>
      </c>
      <c r="BA161">
        <f t="shared" si="117"/>
        <v>-0.69572788907973415</v>
      </c>
      <c r="BB161">
        <f t="shared" si="118"/>
        <v>0.32920874616091444</v>
      </c>
      <c r="BC161">
        <f t="shared" si="119"/>
        <v>-1.2528877092412407</v>
      </c>
      <c r="BD161">
        <f t="shared" si="120"/>
        <v>1.2528877092412407</v>
      </c>
      <c r="BE161" s="40"/>
      <c r="BF161" s="40"/>
    </row>
    <row r="162" spans="45:58" x14ac:dyDescent="0.25">
      <c r="AS162">
        <v>-0.34906585039887639</v>
      </c>
      <c r="AT162">
        <v>224.09936415414828</v>
      </c>
      <c r="AU162">
        <v>-182.6858553752503</v>
      </c>
      <c r="AV162">
        <f t="shared" si="112"/>
        <v>-0.6839409041450818</v>
      </c>
      <c r="AW162">
        <f t="shared" si="113"/>
        <v>0.33487505374620541</v>
      </c>
      <c r="AX162" s="40">
        <f t="shared" si="114"/>
        <v>-1.2411007243065884</v>
      </c>
      <c r="AY162">
        <f t="shared" si="115"/>
        <v>1.2411007243065884</v>
      </c>
      <c r="AZ162">
        <f t="shared" si="116"/>
        <v>5.9341194567807101</v>
      </c>
      <c r="BA162">
        <f t="shared" si="117"/>
        <v>-0.6839409041450818</v>
      </c>
      <c r="BB162">
        <f t="shared" si="118"/>
        <v>0.33487505374620541</v>
      </c>
      <c r="BC162">
        <f t="shared" si="119"/>
        <v>-1.2411007243065884</v>
      </c>
      <c r="BD162">
        <f t="shared" si="120"/>
        <v>1.2411007243065884</v>
      </c>
      <c r="BE162" s="40"/>
      <c r="BF162" s="40"/>
    </row>
    <row r="163" spans="45:58" x14ac:dyDescent="0.25">
      <c r="AS163">
        <v>-0.33161255787893307</v>
      </c>
      <c r="AT163">
        <v>224.97399527156131</v>
      </c>
      <c r="AU163">
        <v>-178.92363901528506</v>
      </c>
      <c r="AV163">
        <f t="shared" si="112"/>
        <v>-0.67187346789625813</v>
      </c>
      <c r="AW163">
        <f t="shared" si="113"/>
        <v>0.34026091001732506</v>
      </c>
      <c r="AX163" s="40">
        <f t="shared" si="114"/>
        <v>-1.2290332880577646</v>
      </c>
      <c r="AY163">
        <f t="shared" si="115"/>
        <v>1.2290332880577646</v>
      </c>
      <c r="AZ163">
        <f t="shared" si="116"/>
        <v>5.9515727493006532</v>
      </c>
      <c r="BA163">
        <f t="shared" si="117"/>
        <v>-0.67187346789625813</v>
      </c>
      <c r="BB163">
        <f t="shared" si="118"/>
        <v>0.34026091001732506</v>
      </c>
      <c r="BC163">
        <f t="shared" si="119"/>
        <v>-1.2290332880577646</v>
      </c>
      <c r="BD163">
        <f t="shared" si="120"/>
        <v>1.2290332880577646</v>
      </c>
      <c r="BE163" s="40"/>
      <c r="BF163" s="40"/>
    </row>
    <row r="164" spans="45:58" x14ac:dyDescent="0.25">
      <c r="AS164">
        <v>-0.31415926535898975</v>
      </c>
      <c r="AT164">
        <v>225.83125957374261</v>
      </c>
      <c r="AU164">
        <v>-175.08222622506787</v>
      </c>
      <c r="AV164">
        <f t="shared" si="112"/>
        <v>-0.65948433270941054</v>
      </c>
      <c r="AW164">
        <f t="shared" si="113"/>
        <v>0.34532506735042079</v>
      </c>
      <c r="AX164" s="40">
        <f t="shared" si="114"/>
        <v>-1.2166441528709171</v>
      </c>
      <c r="AY164">
        <f t="shared" si="115"/>
        <v>1.2166441528709171</v>
      </c>
      <c r="AZ164">
        <f t="shared" si="116"/>
        <v>5.9690260418205963</v>
      </c>
      <c r="BA164">
        <f t="shared" si="117"/>
        <v>-0.65948433270941054</v>
      </c>
      <c r="BB164">
        <f t="shared" si="118"/>
        <v>0.34532506735042079</v>
      </c>
      <c r="BC164">
        <f t="shared" si="119"/>
        <v>-1.2166441528709171</v>
      </c>
      <c r="BD164">
        <f t="shared" si="120"/>
        <v>1.2166441528709171</v>
      </c>
      <c r="BE164" s="40"/>
      <c r="BF164" s="40"/>
    </row>
    <row r="165" spans="45:58" x14ac:dyDescent="0.25">
      <c r="AS165">
        <v>-0.29670597283904643</v>
      </c>
      <c r="AT165">
        <v>226.67253048701969</v>
      </c>
      <c r="AU165">
        <v>-171.14892386775807</v>
      </c>
      <c r="AV165">
        <f t="shared" si="112"/>
        <v>-0.64672480375669184</v>
      </c>
      <c r="AW165">
        <f t="shared" si="113"/>
        <v>0.35001883091764541</v>
      </c>
      <c r="AX165" s="40">
        <f t="shared" si="114"/>
        <v>-1.2038846239181984</v>
      </c>
      <c r="AY165">
        <f t="shared" si="115"/>
        <v>1.2038846239181984</v>
      </c>
      <c r="AZ165">
        <f t="shared" si="116"/>
        <v>5.9864793343405402</v>
      </c>
      <c r="BA165">
        <f t="shared" si="117"/>
        <v>-0.64672480375669184</v>
      </c>
      <c r="BB165">
        <f t="shared" si="118"/>
        <v>0.35001883091764541</v>
      </c>
      <c r="BC165">
        <f t="shared" si="119"/>
        <v>-1.2038846239181984</v>
      </c>
      <c r="BD165">
        <f t="shared" si="120"/>
        <v>1.2038846239181984</v>
      </c>
      <c r="BE165" s="40"/>
      <c r="BF165" s="40"/>
    </row>
    <row r="166" spans="45:58" x14ac:dyDescent="0.25">
      <c r="AS166">
        <v>-0.27925268031910311</v>
      </c>
      <c r="AT166">
        <v>227.49933722934819</v>
      </c>
      <c r="AU166">
        <v>-167.10854333485389</v>
      </c>
      <c r="AV166">
        <f t="shared" si="112"/>
        <v>-0.63353643517336544</v>
      </c>
      <c r="AW166">
        <f t="shared" si="113"/>
        <v>0.35428375485426233</v>
      </c>
      <c r="AX166" s="40">
        <f t="shared" si="114"/>
        <v>-1.1906962553348719</v>
      </c>
      <c r="AY166">
        <f t="shared" si="115"/>
        <v>1.1906962553348719</v>
      </c>
      <c r="AZ166">
        <f t="shared" si="116"/>
        <v>6.0039326268604833</v>
      </c>
      <c r="BA166">
        <f t="shared" si="117"/>
        <v>-0.63353643517336544</v>
      </c>
      <c r="BB166">
        <f t="shared" si="118"/>
        <v>0.35428375485426233</v>
      </c>
      <c r="BC166">
        <f t="shared" si="119"/>
        <v>-1.1906962553348719</v>
      </c>
      <c r="BD166">
        <f t="shared" si="120"/>
        <v>1.1906962553348719</v>
      </c>
      <c r="BE166" s="40"/>
      <c r="BF166" s="40"/>
    </row>
    <row r="167" spans="45:58" x14ac:dyDescent="0.25">
      <c r="AS167">
        <v>-0.26179938779915979</v>
      </c>
      <c r="AT167">
        <v>228.31344166034091</v>
      </c>
      <c r="AU167">
        <v>-162.94255969543914</v>
      </c>
      <c r="AV167">
        <f t="shared" si="112"/>
        <v>-0.61984777533850732</v>
      </c>
      <c r="AW167">
        <f t="shared" si="113"/>
        <v>0.35804838753934753</v>
      </c>
      <c r="AX167" s="40">
        <f t="shared" si="114"/>
        <v>-1.1770075955000139</v>
      </c>
      <c r="AY167">
        <f t="shared" si="115"/>
        <v>1.1770075955000139</v>
      </c>
      <c r="AZ167">
        <f t="shared" si="116"/>
        <v>6.0213859193804264</v>
      </c>
      <c r="BA167">
        <f t="shared" si="117"/>
        <v>-0.61984777533850732</v>
      </c>
      <c r="BB167">
        <f t="shared" si="118"/>
        <v>0.35804838753934753</v>
      </c>
      <c r="BC167">
        <f t="shared" si="119"/>
        <v>-1.1770075955000139</v>
      </c>
      <c r="BD167">
        <f t="shared" si="120"/>
        <v>1.1770075955000139</v>
      </c>
      <c r="BE167" s="40"/>
      <c r="BF167" s="40"/>
    </row>
    <row r="168" spans="45:58" x14ac:dyDescent="0.25">
      <c r="AS168">
        <v>-0.2443460952792165</v>
      </c>
      <c r="AT168">
        <v>229.11694705242513</v>
      </c>
      <c r="AU168">
        <v>-158.627895439631</v>
      </c>
      <c r="AV168">
        <f t="shared" si="112"/>
        <v>-0.60556965519837191</v>
      </c>
      <c r="AW168">
        <f t="shared" si="113"/>
        <v>0.36122355991915545</v>
      </c>
      <c r="AX168" s="40">
        <f t="shared" si="114"/>
        <v>-1.1627294753598785</v>
      </c>
      <c r="AY168">
        <f t="shared" si="115"/>
        <v>1.1627294753598785</v>
      </c>
      <c r="AZ168">
        <f t="shared" si="116"/>
        <v>6.0388392119003695</v>
      </c>
      <c r="BA168">
        <f t="shared" si="117"/>
        <v>-0.60556965519837191</v>
      </c>
      <c r="BB168">
        <f t="shared" si="118"/>
        <v>0.36122355991915545</v>
      </c>
      <c r="BC168">
        <f t="shared" si="119"/>
        <v>-1.1627294753598785</v>
      </c>
      <c r="BD168">
        <f t="shared" si="120"/>
        <v>1.1627294753598785</v>
      </c>
      <c r="BE168" s="40"/>
      <c r="BF168" s="40"/>
    </row>
    <row r="169" spans="45:58" x14ac:dyDescent="0.25">
      <c r="AS169">
        <v>-0.2268928027592732</v>
      </c>
      <c r="AT169">
        <v>229.91245528663288</v>
      </c>
      <c r="AU169">
        <v>-154.13511384957167</v>
      </c>
      <c r="AV169">
        <f t="shared" si="112"/>
        <v>-0.59058818029253601</v>
      </c>
      <c r="AW169">
        <f t="shared" si="113"/>
        <v>0.36369537753326281</v>
      </c>
      <c r="AX169" s="40">
        <f t="shared" si="114"/>
        <v>-1.1477480004540426</v>
      </c>
      <c r="AY169">
        <f t="shared" si="115"/>
        <v>1.1477480004540426</v>
      </c>
      <c r="AZ169">
        <f t="shared" si="116"/>
        <v>6.0562925044203126</v>
      </c>
      <c r="BA169">
        <f t="shared" si="117"/>
        <v>-0.59058818029253601</v>
      </c>
      <c r="BB169">
        <f t="shared" si="118"/>
        <v>0.36369537753326281</v>
      </c>
      <c r="BC169">
        <f t="shared" si="119"/>
        <v>-1.1477480004540426</v>
      </c>
      <c r="BD169">
        <f t="shared" si="120"/>
        <v>1.1477480004540426</v>
      </c>
      <c r="BE169" s="40"/>
      <c r="BF169" s="40"/>
    </row>
    <row r="170" spans="45:58" x14ac:dyDescent="0.25">
      <c r="AS170">
        <v>-0.20943951023932991</v>
      </c>
      <c r="AT170">
        <v>230.70329986343995</v>
      </c>
      <c r="AU170">
        <v>-149.42565490140302</v>
      </c>
      <c r="AV170">
        <f t="shared" si="112"/>
        <v>-0.57475398524415544</v>
      </c>
      <c r="AW170">
        <f t="shared" si="113"/>
        <v>0.3653144750048255</v>
      </c>
      <c r="AX170" s="40">
        <f t="shared" si="114"/>
        <v>-1.1319138054056621</v>
      </c>
      <c r="AY170">
        <f t="shared" si="115"/>
        <v>1.1319138054056621</v>
      </c>
      <c r="AZ170">
        <f t="shared" si="116"/>
        <v>6.0737457969402566</v>
      </c>
      <c r="BA170">
        <f t="shared" si="117"/>
        <v>-0.57475398524415544</v>
      </c>
      <c r="BB170">
        <f t="shared" si="118"/>
        <v>0.3653144750048255</v>
      </c>
      <c r="BC170">
        <f t="shared" si="119"/>
        <v>-1.1319138054056621</v>
      </c>
      <c r="BD170">
        <f t="shared" si="120"/>
        <v>1.1319138054056621</v>
      </c>
      <c r="BE170" s="40"/>
      <c r="BF170" s="40"/>
    </row>
    <row r="171" spans="45:58" x14ac:dyDescent="0.25">
      <c r="AS171">
        <v>-0.19198621771938662</v>
      </c>
      <c r="AT171">
        <v>231.49390105564308</v>
      </c>
      <c r="AU171">
        <v>-144.4474622569299</v>
      </c>
      <c r="AV171">
        <f t="shared" si="112"/>
        <v>-0.55786517840340299</v>
      </c>
      <c r="AW171">
        <f t="shared" si="113"/>
        <v>0.36587896068401637</v>
      </c>
      <c r="AX171" s="40">
        <f t="shared" si="114"/>
        <v>-1.1150249985649094</v>
      </c>
      <c r="AY171">
        <f t="shared" si="115"/>
        <v>1.1150249985649094</v>
      </c>
      <c r="AZ171">
        <f t="shared" si="116"/>
        <v>6.0911990894601997</v>
      </c>
      <c r="BA171">
        <f t="shared" si="117"/>
        <v>-0.55786517840340299</v>
      </c>
      <c r="BB171">
        <f t="shared" si="118"/>
        <v>0.36587896068401637</v>
      </c>
      <c r="BC171">
        <f t="shared" si="119"/>
        <v>-1.1150249985649094</v>
      </c>
      <c r="BD171">
        <f t="shared" si="120"/>
        <v>1.1150249985649094</v>
      </c>
      <c r="BE171" s="40"/>
      <c r="BF171" s="40"/>
    </row>
    <row r="172" spans="45:58" x14ac:dyDescent="0.25">
      <c r="AS172">
        <v>-0.17453292519944333</v>
      </c>
      <c r="AT172">
        <v>232.29032363513036</v>
      </c>
      <c r="AU172">
        <v>-139.12779371367995</v>
      </c>
      <c r="AV172">
        <f t="shared" si="112"/>
        <v>-0.539639176748831</v>
      </c>
      <c r="AW172">
        <f t="shared" si="113"/>
        <v>0.36510625154938769</v>
      </c>
      <c r="AX172" s="40">
        <f t="shared" si="114"/>
        <v>-1.0967989969103376</v>
      </c>
      <c r="AY172">
        <f t="shared" si="115"/>
        <v>1.0967989969103376</v>
      </c>
      <c r="AZ172">
        <f t="shared" si="116"/>
        <v>6.1086523819801428</v>
      </c>
      <c r="BA172">
        <f t="shared" si="117"/>
        <v>-0.539639176748831</v>
      </c>
      <c r="BB172">
        <f t="shared" si="118"/>
        <v>0.36510625154938769</v>
      </c>
      <c r="BC172">
        <f t="shared" si="119"/>
        <v>-1.0967989969103376</v>
      </c>
      <c r="BD172">
        <f t="shared" si="120"/>
        <v>1.0967989969103376</v>
      </c>
      <c r="BE172" s="40"/>
      <c r="BF172" s="40"/>
    </row>
    <row r="173" spans="45:58" x14ac:dyDescent="0.25">
      <c r="AS173">
        <v>-0.15707963267950004</v>
      </c>
      <c r="AT173">
        <v>233.10118549477045</v>
      </c>
      <c r="AU173">
        <v>-133.36086211665003</v>
      </c>
      <c r="AV173">
        <f t="shared" si="112"/>
        <v>-0.51966399607111746</v>
      </c>
      <c r="AW173">
        <f t="shared" si="113"/>
        <v>0.36258436339161743</v>
      </c>
      <c r="AX173" s="40">
        <f t="shared" si="114"/>
        <v>-1.076823816232624</v>
      </c>
      <c r="AY173">
        <f t="shared" si="115"/>
        <v>1.076823816232624</v>
      </c>
      <c r="AZ173">
        <f t="shared" si="116"/>
        <v>6.1261056745000859</v>
      </c>
      <c r="BA173">
        <f t="shared" si="117"/>
        <v>-0.51966399607111746</v>
      </c>
      <c r="BB173">
        <f t="shared" si="118"/>
        <v>0.36258436339161743</v>
      </c>
      <c r="BC173">
        <f t="shared" si="119"/>
        <v>-1.076823816232624</v>
      </c>
      <c r="BD173">
        <f t="shared" si="120"/>
        <v>1.076823816232624</v>
      </c>
      <c r="BE173" s="40"/>
      <c r="BF173" s="40"/>
    </row>
    <row r="174" spans="45:58" x14ac:dyDescent="0.25">
      <c r="AS174">
        <v>-0.13962634015955674</v>
      </c>
      <c r="AT174">
        <v>233.9392015019273</v>
      </c>
      <c r="AU174">
        <v>-126.98543929511675</v>
      </c>
      <c r="AV174">
        <f t="shared" si="112"/>
        <v>-0.49730927924314539</v>
      </c>
      <c r="AW174">
        <f t="shared" si="113"/>
        <v>0.35768293908358861</v>
      </c>
      <c r="AX174" s="40">
        <f t="shared" si="114"/>
        <v>-1.0544690994046519</v>
      </c>
      <c r="AY174">
        <f t="shared" si="115"/>
        <v>1.0544690994046519</v>
      </c>
      <c r="AZ174">
        <f t="shared" si="116"/>
        <v>6.1435589670200299</v>
      </c>
      <c r="BA174">
        <f t="shared" si="117"/>
        <v>-0.49730927924314539</v>
      </c>
      <c r="BB174">
        <f t="shared" si="118"/>
        <v>0.35768293908358861</v>
      </c>
      <c r="BC174">
        <f t="shared" si="119"/>
        <v>-1.0544690994046519</v>
      </c>
      <c r="BD174">
        <f t="shared" si="120"/>
        <v>1.0544690994046519</v>
      </c>
      <c r="BE174" s="40"/>
      <c r="BF174" s="40"/>
    </row>
    <row r="175" spans="45:58" x14ac:dyDescent="0.25">
      <c r="AS175">
        <v>-0.12217304763961345</v>
      </c>
      <c r="AT175">
        <v>234.8239462879601</v>
      </c>
      <c r="AU175">
        <v>-119.74161046732848</v>
      </c>
      <c r="AV175">
        <f t="shared" si="112"/>
        <v>-0.47155269989371634</v>
      </c>
      <c r="AW175">
        <f t="shared" si="113"/>
        <v>0.34937965225410289</v>
      </c>
      <c r="AX175" s="40">
        <f t="shared" si="114"/>
        <v>-1.028712520055223</v>
      </c>
      <c r="AY175">
        <f t="shared" si="115"/>
        <v>1.028712520055223</v>
      </c>
      <c r="AZ175">
        <f t="shared" si="116"/>
        <v>6.161012259539973</v>
      </c>
      <c r="BA175">
        <f t="shared" si="117"/>
        <v>-0.47155269989371634</v>
      </c>
      <c r="BB175">
        <f t="shared" si="118"/>
        <v>0.34937965225410289</v>
      </c>
      <c r="BC175">
        <f t="shared" si="119"/>
        <v>-1.028712520055223</v>
      </c>
      <c r="BD175">
        <f t="shared" si="120"/>
        <v>1.028712520055223</v>
      </c>
      <c r="BE175" s="40"/>
      <c r="BF175" s="40"/>
    </row>
    <row r="176" spans="45:58" x14ac:dyDescent="0.25">
      <c r="AS176">
        <v>-0.10471975511967016</v>
      </c>
      <c r="AT176">
        <v>235.78712723471236</v>
      </c>
      <c r="AU176">
        <v>-111.18045232043501</v>
      </c>
      <c r="AV176">
        <f t="shared" si="112"/>
        <v>-0.4406124492345892</v>
      </c>
      <c r="AW176">
        <f t="shared" si="113"/>
        <v>0.33589269411491907</v>
      </c>
      <c r="AX176" s="40">
        <f t="shared" si="114"/>
        <v>-0.99777226939609576</v>
      </c>
      <c r="AY176">
        <f t="shared" si="115"/>
        <v>0.99777226939609576</v>
      </c>
      <c r="AZ176">
        <f t="shared" si="116"/>
        <v>6.1784655520599161</v>
      </c>
      <c r="BA176">
        <f t="shared" si="117"/>
        <v>-0.4406124492345892</v>
      </c>
      <c r="BB176">
        <f t="shared" si="118"/>
        <v>0.33589269411491907</v>
      </c>
      <c r="BC176">
        <f t="shared" si="119"/>
        <v>-0.99777226939609576</v>
      </c>
      <c r="BD176">
        <f t="shared" si="120"/>
        <v>0.99777226939609576</v>
      </c>
      <c r="BE176" s="40"/>
      <c r="BF176" s="40"/>
    </row>
    <row r="177" spans="45:58" x14ac:dyDescent="0.25">
      <c r="AS177">
        <v>-8.7266462599726868E-2</v>
      </c>
      <c r="AT177">
        <v>236.88351811536813</v>
      </c>
      <c r="AU177">
        <v>-100.45552817230805</v>
      </c>
      <c r="AV177">
        <f t="shared" si="112"/>
        <v>-0.40108386280217168</v>
      </c>
      <c r="AW177">
        <f t="shared" si="113"/>
        <v>0.31381740020244481</v>
      </c>
      <c r="AX177" s="40">
        <f t="shared" si="114"/>
        <v>-0.95824368296367823</v>
      </c>
      <c r="AY177">
        <f t="shared" si="115"/>
        <v>0.95824368296367823</v>
      </c>
      <c r="AZ177">
        <f t="shared" si="116"/>
        <v>6.1959188445798592</v>
      </c>
      <c r="BA177">
        <f t="shared" si="117"/>
        <v>-0.40108386280217168</v>
      </c>
      <c r="BB177">
        <f t="shared" si="118"/>
        <v>0.31381740020244481</v>
      </c>
      <c r="BC177">
        <f t="shared" si="119"/>
        <v>-0.95824368296367823</v>
      </c>
      <c r="BD177">
        <f t="shared" si="120"/>
        <v>0.95824368296367823</v>
      </c>
      <c r="BE177" s="40"/>
      <c r="BF177" s="40"/>
    </row>
    <row r="178" spans="45:58" x14ac:dyDescent="0.25">
      <c r="AS178">
        <v>-6.9813170079783576E-2</v>
      </c>
      <c r="AT178">
        <v>238.21629225170977</v>
      </c>
      <c r="AU178">
        <v>-85.772907178017164</v>
      </c>
      <c r="AV178">
        <f t="shared" si="112"/>
        <v>-0.34561147903082617</v>
      </c>
      <c r="AW178">
        <f t="shared" si="113"/>
        <v>0.27579830895104263</v>
      </c>
      <c r="AX178" s="40">
        <f t="shared" si="114"/>
        <v>-0.90277129919233268</v>
      </c>
      <c r="AY178">
        <f t="shared" si="115"/>
        <v>0.90277129919233268</v>
      </c>
      <c r="AZ178">
        <f t="shared" si="116"/>
        <v>6.2133721370998023</v>
      </c>
      <c r="BA178">
        <f t="shared" si="117"/>
        <v>-0.34561147903082617</v>
      </c>
      <c r="BB178">
        <f t="shared" si="118"/>
        <v>0.27579830895104263</v>
      </c>
      <c r="BC178">
        <f t="shared" si="119"/>
        <v>-0.90277129919233268</v>
      </c>
      <c r="BD178">
        <f t="shared" si="120"/>
        <v>0.90277129919233268</v>
      </c>
      <c r="BE178" s="40"/>
      <c r="BF178" s="40"/>
    </row>
    <row r="179" spans="45:58" x14ac:dyDescent="0.25">
      <c r="AS179">
        <v>-5.2359877559840284E-2</v>
      </c>
      <c r="AT179">
        <v>239.8320739491212</v>
      </c>
      <c r="AU179">
        <v>-64.948960865485901</v>
      </c>
      <c r="AV179">
        <f t="shared" si="112"/>
        <v>-0.26446678706250742</v>
      </c>
      <c r="AW179">
        <f t="shared" si="113"/>
        <v>0.21210690950266714</v>
      </c>
      <c r="AX179" s="40">
        <f t="shared" si="114"/>
        <v>-0.82162660722401393</v>
      </c>
      <c r="AY179">
        <f t="shared" si="115"/>
        <v>0.82162660722401393</v>
      </c>
      <c r="AZ179">
        <f t="shared" si="116"/>
        <v>6.2308254296197463</v>
      </c>
      <c r="BA179">
        <f t="shared" si="117"/>
        <v>-0.26446678706250742</v>
      </c>
      <c r="BB179">
        <f t="shared" si="118"/>
        <v>0.21210690950266714</v>
      </c>
      <c r="BC179">
        <f t="shared" si="119"/>
        <v>-0.82162660722401393</v>
      </c>
      <c r="BD179">
        <f t="shared" si="120"/>
        <v>0.82162660722401393</v>
      </c>
      <c r="BE179" s="40"/>
      <c r="BF179" s="40"/>
    </row>
    <row r="180" spans="45:58" x14ac:dyDescent="0.25">
      <c r="AS180">
        <v>-3.4906585039896992E-2</v>
      </c>
      <c r="AT180">
        <v>241.18288208894535</v>
      </c>
      <c r="AU180">
        <v>-43.277309631135864</v>
      </c>
      <c r="AV180">
        <f t="shared" si="112"/>
        <v>-0.17754826374205696</v>
      </c>
      <c r="AW180">
        <f t="shared" si="113"/>
        <v>0.14264167870215996</v>
      </c>
      <c r="AX180" s="40">
        <f t="shared" si="114"/>
        <v>-0.73470808390356357</v>
      </c>
      <c r="AY180">
        <f t="shared" si="115"/>
        <v>0.73470808390356357</v>
      </c>
      <c r="AZ180">
        <f t="shared" si="116"/>
        <v>6.2482787221396894</v>
      </c>
      <c r="BA180">
        <f t="shared" si="117"/>
        <v>-0.17754826374205696</v>
      </c>
      <c r="BB180">
        <f t="shared" si="118"/>
        <v>0.14264167870215996</v>
      </c>
      <c r="BC180">
        <f t="shared" si="119"/>
        <v>-0.73470808390356357</v>
      </c>
      <c r="BD180">
        <f t="shared" si="120"/>
        <v>0.73470808390356357</v>
      </c>
      <c r="BE180" s="40"/>
      <c r="BF180" s="40"/>
    </row>
    <row r="181" spans="45:58" x14ac:dyDescent="0.25">
      <c r="AS181">
        <v>-1.7453292519953697E-2</v>
      </c>
      <c r="AT181">
        <v>242.19585973706526</v>
      </c>
      <c r="AU181">
        <v>-21.632061965552925</v>
      </c>
      <c r="AV181">
        <f t="shared" si="112"/>
        <v>-8.9080024260942581E-2</v>
      </c>
      <c r="AW181">
        <f t="shared" si="113"/>
        <v>7.162673174098888E-2</v>
      </c>
      <c r="AX181" s="40">
        <f t="shared" si="114"/>
        <v>-0.64623984442244908</v>
      </c>
      <c r="AY181">
        <f t="shared" si="115"/>
        <v>0.64623984442244908</v>
      </c>
      <c r="AZ181">
        <f t="shared" si="116"/>
        <v>6.2657320146596325</v>
      </c>
      <c r="BA181">
        <f t="shared" si="117"/>
        <v>-8.9080024260942581E-2</v>
      </c>
      <c r="BB181">
        <f t="shared" si="118"/>
        <v>7.162673174098888E-2</v>
      </c>
      <c r="BC181">
        <f t="shared" si="119"/>
        <v>-0.64623984442244908</v>
      </c>
      <c r="BD181">
        <f t="shared" si="120"/>
        <v>0.64623984442244908</v>
      </c>
      <c r="BE181" s="40"/>
      <c r="BF181" s="40"/>
    </row>
    <row r="182" spans="45:58" x14ac:dyDescent="0.25">
      <c r="AS182">
        <v>-1.0401401961956935E-14</v>
      </c>
      <c r="AT182">
        <v>242.87264361152887</v>
      </c>
      <c r="AU182">
        <v>-1.2843028186941792E-11</v>
      </c>
      <c r="AV182">
        <f t="shared" si="112"/>
        <v>-5.2879682108142327E-14</v>
      </c>
      <c r="AW182">
        <f t="shared" si="113"/>
        <v>4.2478280146185392E-14</v>
      </c>
      <c r="AX182" s="40">
        <f t="shared" si="114"/>
        <v>-0.5571598201615594</v>
      </c>
      <c r="AY182">
        <f t="shared" si="115"/>
        <v>0.5571598201615594</v>
      </c>
      <c r="AZ182">
        <f t="shared" si="116"/>
        <v>6.2831853071795756</v>
      </c>
      <c r="BA182">
        <f t="shared" si="117"/>
        <v>-5.2879682108142327E-14</v>
      </c>
      <c r="BB182">
        <f t="shared" si="118"/>
        <v>4.2478280146185392E-14</v>
      </c>
      <c r="BC182">
        <f t="shared" si="119"/>
        <v>-0.5571598201615594</v>
      </c>
      <c r="BD182">
        <f t="shared" si="120"/>
        <v>0.5571598201615594</v>
      </c>
      <c r="BE182" s="40"/>
      <c r="BF182" s="40"/>
    </row>
    <row r="183" spans="45:58" x14ac:dyDescent="0.25">
      <c r="AS183">
        <v>1.7453292519932894E-2</v>
      </c>
      <c r="AT183">
        <v>242.19585973713518</v>
      </c>
      <c r="AU183">
        <v>21.632061965527228</v>
      </c>
      <c r="AV183">
        <f t="shared" si="112"/>
        <v>8.9080024260811741E-2</v>
      </c>
      <c r="AW183">
        <f t="shared" si="113"/>
        <v>7.1626731740878843E-2</v>
      </c>
      <c r="AX183" s="40">
        <f t="shared" si="114"/>
        <v>-0.46807979590069482</v>
      </c>
      <c r="AY183">
        <f t="shared" si="115"/>
        <v>0.46807979590069482</v>
      </c>
      <c r="BF183" s="40"/>
    </row>
    <row r="184" spans="45:58" x14ac:dyDescent="0.25">
      <c r="AS184">
        <v>3.490658503987619E-2</v>
      </c>
      <c r="AT184">
        <v>241.18288208901117</v>
      </c>
      <c r="AU184">
        <v>43.277309631110008</v>
      </c>
      <c r="AV184">
        <f t="shared" si="112"/>
        <v>0.17754826374190566</v>
      </c>
      <c r="AW184">
        <f t="shared" si="113"/>
        <v>0.14264167870202948</v>
      </c>
      <c r="AX184" s="40">
        <f t="shared" si="114"/>
        <v>-0.37961155641960087</v>
      </c>
      <c r="AY184">
        <f t="shared" si="115"/>
        <v>0.37961155641960087</v>
      </c>
      <c r="BF184" s="40"/>
    </row>
    <row r="185" spans="45:58" x14ac:dyDescent="0.25">
      <c r="AS185">
        <v>5.2359877559819482E-2</v>
      </c>
      <c r="AT185">
        <v>239.83207394918361</v>
      </c>
      <c r="AU185">
        <v>64.948960865460066</v>
      </c>
      <c r="AV185">
        <f t="shared" si="112"/>
        <v>0.26446678706234145</v>
      </c>
      <c r="AW185">
        <f t="shared" si="113"/>
        <v>0.21210690950252198</v>
      </c>
      <c r="AX185" s="40">
        <f t="shared" si="114"/>
        <v>-0.29269303309916511</v>
      </c>
      <c r="AY185">
        <f t="shared" si="115"/>
        <v>0.29269303309916511</v>
      </c>
      <c r="BF185" s="40"/>
    </row>
    <row r="186" spans="45:58" x14ac:dyDescent="0.25">
      <c r="AS186">
        <v>6.9813170079762774E-2</v>
      </c>
      <c r="AT186">
        <v>238.21629225176446</v>
      </c>
      <c r="AU186">
        <v>85.77290717799913</v>
      </c>
      <c r="AV186">
        <f t="shared" si="112"/>
        <v>0.34561147903068601</v>
      </c>
      <c r="AW186">
        <f t="shared" si="113"/>
        <v>0.27579830895092322</v>
      </c>
      <c r="AX186" s="40">
        <f t="shared" si="114"/>
        <v>-0.21154834113082055</v>
      </c>
      <c r="AY186">
        <f t="shared" si="115"/>
        <v>0.21154834113082055</v>
      </c>
      <c r="BF186" s="40"/>
    </row>
    <row r="187" spans="45:58" x14ac:dyDescent="0.25">
      <c r="AS187">
        <v>8.7266462599706066E-2</v>
      </c>
      <c r="AT187">
        <v>236.8835181154117</v>
      </c>
      <c r="AU187">
        <v>100.45552817230056</v>
      </c>
      <c r="AV187">
        <f t="shared" si="112"/>
        <v>0.40108386280207875</v>
      </c>
      <c r="AW187">
        <f t="shared" si="113"/>
        <v>0.3138174002023727</v>
      </c>
      <c r="AX187" s="40">
        <f t="shared" si="114"/>
        <v>-0.15607595735942781</v>
      </c>
      <c r="AY187">
        <f t="shared" si="115"/>
        <v>0.15607595735942781</v>
      </c>
      <c r="BF187" s="40"/>
    </row>
    <row r="188" spans="45:58" x14ac:dyDescent="0.25">
      <c r="AS188">
        <v>0.10471975511964936</v>
      </c>
      <c r="AT188">
        <v>235.78712723474854</v>
      </c>
      <c r="AU188">
        <v>111.18045232043239</v>
      </c>
      <c r="AV188">
        <f t="shared" si="112"/>
        <v>0.44061244923452098</v>
      </c>
      <c r="AW188">
        <f t="shared" si="113"/>
        <v>0.3358926941148716</v>
      </c>
      <c r="AX188" s="40">
        <f t="shared" si="114"/>
        <v>-0.11654737092698558</v>
      </c>
      <c r="AY188">
        <f t="shared" si="115"/>
        <v>0.11654737092698558</v>
      </c>
      <c r="BF188" s="40"/>
    </row>
    <row r="189" spans="45:58" x14ac:dyDescent="0.25">
      <c r="AS189">
        <v>0.12217304763959265</v>
      </c>
      <c r="AT189">
        <v>234.82394628799136</v>
      </c>
      <c r="AU189">
        <v>119.74161046732844</v>
      </c>
      <c r="AV189">
        <f t="shared" si="112"/>
        <v>0.47155269989366233</v>
      </c>
      <c r="AW189">
        <f t="shared" si="113"/>
        <v>0.34937965225406969</v>
      </c>
      <c r="AX189" s="40">
        <f t="shared" si="114"/>
        <v>-8.5607120267844228E-2</v>
      </c>
      <c r="AY189">
        <f t="shared" si="115"/>
        <v>8.5607120267844228E-2</v>
      </c>
      <c r="BF189" s="40"/>
    </row>
    <row r="190" spans="45:58" x14ac:dyDescent="0.25">
      <c r="AS190">
        <v>0.13962634015953596</v>
      </c>
      <c r="AT190">
        <v>233.93920150195481</v>
      </c>
      <c r="AU190">
        <v>126.98543929511803</v>
      </c>
      <c r="AV190">
        <f t="shared" si="112"/>
        <v>0.49730927924310031</v>
      </c>
      <c r="AW190">
        <f t="shared" si="113"/>
        <v>0.35768293908356436</v>
      </c>
      <c r="AX190" s="40">
        <f t="shared" si="114"/>
        <v>-5.9850540918406248E-2</v>
      </c>
      <c r="AY190">
        <f t="shared" si="115"/>
        <v>5.9850540918406248E-2</v>
      </c>
      <c r="BF190" s="40"/>
    </row>
    <row r="191" spans="45:58" x14ac:dyDescent="0.25">
      <c r="AS191">
        <v>0.15707963267947925</v>
      </c>
      <c r="AT191">
        <v>233.10118549479469</v>
      </c>
      <c r="AU191">
        <v>133.36086211665196</v>
      </c>
      <c r="AV191">
        <f t="shared" si="112"/>
        <v>0.51966399607107894</v>
      </c>
      <c r="AW191">
        <f t="shared" si="113"/>
        <v>0.36258436339159972</v>
      </c>
      <c r="AX191" s="40">
        <f t="shared" si="114"/>
        <v>-3.7495824090427621E-2</v>
      </c>
      <c r="AY191">
        <f t="shared" si="115"/>
        <v>3.7495824090427621E-2</v>
      </c>
      <c r="BF191" s="40"/>
    </row>
    <row r="192" spans="45:58" x14ac:dyDescent="0.25">
      <c r="AS192">
        <v>0.17453292519942254</v>
      </c>
      <c r="AT192">
        <v>232.29032363515233</v>
      </c>
      <c r="AU192">
        <v>139.12779371368242</v>
      </c>
      <c r="AV192">
        <f t="shared" si="112"/>
        <v>0.53963917674879713</v>
      </c>
      <c r="AW192">
        <f t="shared" si="113"/>
        <v>0.36510625154937459</v>
      </c>
      <c r="AX192" s="40">
        <f t="shared" si="114"/>
        <v>-1.7520643412709425E-2</v>
      </c>
      <c r="AY192">
        <f t="shared" si="115"/>
        <v>1.7520643412709425E-2</v>
      </c>
      <c r="BF192" s="40"/>
    </row>
    <row r="193" spans="45:68" x14ac:dyDescent="0.25">
      <c r="AS193">
        <v>0.19198621771936583</v>
      </c>
      <c r="AT193">
        <v>231.49390105566312</v>
      </c>
      <c r="AU193">
        <v>144.44746225693254</v>
      </c>
      <c r="AV193">
        <f t="shared" si="112"/>
        <v>0.55786517840337235</v>
      </c>
      <c r="AW193">
        <f t="shared" si="113"/>
        <v>0.36587896068400649</v>
      </c>
      <c r="AX193" s="40">
        <f t="shared" si="114"/>
        <v>7.0535824186579443E-4</v>
      </c>
      <c r="AY193">
        <f t="shared" si="115"/>
        <v>7.0535824186579443E-4</v>
      </c>
      <c r="BF193" s="40"/>
    </row>
    <row r="194" spans="45:68" x14ac:dyDescent="0.25">
      <c r="AS194">
        <v>0.20943951023930912</v>
      </c>
      <c r="AT194">
        <v>230.70329986345848</v>
      </c>
      <c r="AU194">
        <v>149.42565490140584</v>
      </c>
      <c r="AV194">
        <f t="shared" si="112"/>
        <v>0.57475398524412735</v>
      </c>
      <c r="AW194">
        <f t="shared" si="113"/>
        <v>0.36531447500481823</v>
      </c>
      <c r="AX194" s="40">
        <f t="shared" si="114"/>
        <v>1.7594165082620794E-2</v>
      </c>
      <c r="AY194">
        <f t="shared" si="115"/>
        <v>1.7594165082620794E-2</v>
      </c>
      <c r="BF194" s="40"/>
    </row>
    <row r="195" spans="45:68" x14ac:dyDescent="0.25">
      <c r="AS195">
        <v>0.22689280275925242</v>
      </c>
      <c r="AT195">
        <v>229.91245528665002</v>
      </c>
      <c r="AU195">
        <v>154.13511384957445</v>
      </c>
      <c r="AV195">
        <f t="shared" ref="AV195:AV258" si="121">ATAN2(AT195,AU195)</f>
        <v>0.59058818029250992</v>
      </c>
      <c r="AW195">
        <f t="shared" ref="AW195:AW258" si="122">ABS(AS195-AV195)</f>
        <v>0.36369537753325754</v>
      </c>
      <c r="AX195" s="40">
        <f t="shared" ref="AX195:AX258" si="123">AV195-$U$13</f>
        <v>3.3428360131003365E-2</v>
      </c>
      <c r="AY195">
        <f t="shared" ref="AY195:AY258" si="124">ABS(AX195)</f>
        <v>3.3428360131003365E-2</v>
      </c>
      <c r="BF195" s="40"/>
    </row>
    <row r="196" spans="45:68" x14ac:dyDescent="0.25">
      <c r="AS196">
        <v>0.24434609527919571</v>
      </c>
      <c r="AT196">
        <v>229.11694705244113</v>
      </c>
      <c r="AU196">
        <v>158.62789543963387</v>
      </c>
      <c r="AV196">
        <f t="shared" si="121"/>
        <v>0.60556965519834771</v>
      </c>
      <c r="AW196">
        <f t="shared" si="122"/>
        <v>0.361223559919152</v>
      </c>
      <c r="AX196" s="40">
        <f t="shared" si="123"/>
        <v>4.8409835036841153E-2</v>
      </c>
      <c r="AY196">
        <f t="shared" si="124"/>
        <v>4.8409835036841153E-2</v>
      </c>
      <c r="BF196" s="40"/>
    </row>
    <row r="197" spans="45:68" x14ac:dyDescent="0.25">
      <c r="AS197">
        <v>0.26179938779913903</v>
      </c>
      <c r="AT197">
        <v>228.31344166035572</v>
      </c>
      <c r="AU197">
        <v>162.94255969544179</v>
      </c>
      <c r="AV197">
        <f t="shared" si="121"/>
        <v>0.61984777533848434</v>
      </c>
      <c r="AW197">
        <f t="shared" si="122"/>
        <v>0.35804838753934531</v>
      </c>
      <c r="AX197" s="40">
        <f t="shared" si="123"/>
        <v>6.2687955176977783E-2</v>
      </c>
      <c r="AY197">
        <f t="shared" si="124"/>
        <v>6.2687955176977783E-2</v>
      </c>
      <c r="BF197" s="40"/>
    </row>
    <row r="198" spans="45:68" x14ac:dyDescent="0.25">
      <c r="AS198">
        <v>0.27925268031908235</v>
      </c>
      <c r="AT198">
        <v>227.4993372293618</v>
      </c>
      <c r="AU198">
        <v>167.10854333485628</v>
      </c>
      <c r="AV198">
        <f t="shared" si="121"/>
        <v>0.63353643517334379</v>
      </c>
      <c r="AW198">
        <f t="shared" si="122"/>
        <v>0.35428375485426145</v>
      </c>
      <c r="AX198" s="40">
        <f t="shared" si="123"/>
        <v>7.6376615011837234E-2</v>
      </c>
      <c r="AY198">
        <f t="shared" si="124"/>
        <v>7.6376615011837234E-2</v>
      </c>
      <c r="BF198" s="40"/>
    </row>
    <row r="199" spans="45:68" x14ac:dyDescent="0.25">
      <c r="AS199">
        <v>0.29670597283902567</v>
      </c>
      <c r="AT199">
        <v>226.67253048703282</v>
      </c>
      <c r="AU199">
        <v>171.14892386776052</v>
      </c>
      <c r="AV199">
        <f t="shared" si="121"/>
        <v>0.64672480375667096</v>
      </c>
      <c r="AW199">
        <f t="shared" si="122"/>
        <v>0.3500188309176453</v>
      </c>
      <c r="AX199" s="40">
        <f t="shared" si="123"/>
        <v>8.9564983595164405E-2</v>
      </c>
      <c r="AY199">
        <f t="shared" si="124"/>
        <v>8.9564983595164405E-2</v>
      </c>
      <c r="BF199" s="40"/>
    </row>
    <row r="200" spans="45:68" x14ac:dyDescent="0.25">
      <c r="AS200">
        <v>0.31415926535896899</v>
      </c>
      <c r="AT200">
        <v>225.83125957375506</v>
      </c>
      <c r="AU200">
        <v>175.0822262250702</v>
      </c>
      <c r="AV200">
        <f t="shared" si="121"/>
        <v>0.65948433270939033</v>
      </c>
      <c r="AW200">
        <f t="shared" si="122"/>
        <v>0.34532506735042134</v>
      </c>
      <c r="AX200" s="40">
        <f t="shared" si="123"/>
        <v>0.10232451254788377</v>
      </c>
      <c r="AY200">
        <f t="shared" si="124"/>
        <v>0.10232451254788377</v>
      </c>
      <c r="BF200" s="40"/>
    </row>
    <row r="201" spans="45:68" x14ac:dyDescent="0.25">
      <c r="AS201">
        <v>0.33161255787891231</v>
      </c>
      <c r="AT201">
        <v>224.97399527157285</v>
      </c>
      <c r="AU201">
        <v>178.92363901528714</v>
      </c>
      <c r="AV201">
        <f t="shared" si="121"/>
        <v>0.67187346789623881</v>
      </c>
      <c r="AW201">
        <f t="shared" si="122"/>
        <v>0.3402609100173265</v>
      </c>
      <c r="AX201" s="40">
        <f t="shared" si="123"/>
        <v>0.11471364773473225</v>
      </c>
      <c r="AY201">
        <f t="shared" si="124"/>
        <v>0.11471364773473225</v>
      </c>
      <c r="BF201" s="40"/>
    </row>
    <row r="202" spans="45:68" x14ac:dyDescent="0.25">
      <c r="AS202">
        <v>0.34906585039885563</v>
      </c>
      <c r="AT202">
        <v>224.0993641541595</v>
      </c>
      <c r="AU202">
        <v>182.68585537525249</v>
      </c>
      <c r="AV202">
        <f t="shared" si="121"/>
        <v>0.68394090414506314</v>
      </c>
      <c r="AW202">
        <f t="shared" si="122"/>
        <v>0.33487505374620752</v>
      </c>
      <c r="AX202" s="40">
        <f t="shared" si="123"/>
        <v>0.12678108398355659</v>
      </c>
      <c r="AY202">
        <f t="shared" si="124"/>
        <v>0.12678108398355659</v>
      </c>
      <c r="BF202" s="40"/>
    </row>
    <row r="203" spans="45:68" x14ac:dyDescent="0.25">
      <c r="AS203">
        <v>0.36651914291879895</v>
      </c>
      <c r="AT203">
        <v>223.20609276634104</v>
      </c>
      <c r="AU203">
        <v>186.3796681531492</v>
      </c>
      <c r="AV203">
        <f t="shared" si="121"/>
        <v>0.69572788907971594</v>
      </c>
      <c r="AW203">
        <f t="shared" si="122"/>
        <v>0.329208746160917</v>
      </c>
      <c r="AX203" s="40">
        <f t="shared" si="123"/>
        <v>0.13856806891820939</v>
      </c>
      <c r="AY203">
        <f t="shared" si="124"/>
        <v>0.13856806891820939</v>
      </c>
      <c r="BF203" s="40"/>
      <c r="BK203">
        <v>4.7123889803846897</v>
      </c>
      <c r="BL203">
        <v>1.5707963267948966</v>
      </c>
      <c r="BM203">
        <v>3.1415926535897931</v>
      </c>
      <c r="BN203">
        <v>-4.0912502843112222</v>
      </c>
      <c r="BO203">
        <v>-1.4470868049625145</v>
      </c>
      <c r="BP203">
        <v>-0.32583879748816091</v>
      </c>
    </row>
    <row r="204" spans="45:68" x14ac:dyDescent="0.25">
      <c r="AS204">
        <v>0.38397243543874227</v>
      </c>
      <c r="AT204">
        <v>222.2929663446206</v>
      </c>
      <c r="AU204">
        <v>190.01440057960258</v>
      </c>
      <c r="AV204">
        <f t="shared" si="121"/>
        <v>0.70726989018561615</v>
      </c>
      <c r="AW204">
        <f t="shared" si="122"/>
        <v>0.32329745474687388</v>
      </c>
      <c r="AX204" s="40">
        <f t="shared" si="123"/>
        <v>0.15011007002410959</v>
      </c>
      <c r="AY204">
        <f t="shared" si="124"/>
        <v>0.15011007002410959</v>
      </c>
      <c r="BF204" s="40"/>
    </row>
    <row r="205" spans="45:68" x14ac:dyDescent="0.25">
      <c r="AS205">
        <v>0.40142572795868559</v>
      </c>
      <c r="AT205">
        <v>221.35879739379266</v>
      </c>
      <c r="AU205">
        <v>193.59822410860977</v>
      </c>
      <c r="AV205">
        <f t="shared" si="121"/>
        <v>0.71859782578264808</v>
      </c>
      <c r="AW205">
        <f t="shared" si="122"/>
        <v>0.3171720978239625</v>
      </c>
      <c r="AX205" s="40">
        <f t="shared" si="123"/>
        <v>0.16143800562114152</v>
      </c>
      <c r="AY205">
        <f t="shared" si="124"/>
        <v>0.16143800562114152</v>
      </c>
      <c r="BF205" s="40"/>
    </row>
    <row r="206" spans="45:68" x14ac:dyDescent="0.25">
      <c r="AS206">
        <v>0.41887902047862891</v>
      </c>
      <c r="AT206">
        <v>220.40240116940961</v>
      </c>
      <c r="AU206">
        <v>197.13839741913648</v>
      </c>
      <c r="AV206">
        <f t="shared" si="121"/>
        <v>0.72973899106504958</v>
      </c>
      <c r="AW206">
        <f t="shared" si="122"/>
        <v>0.31085997058642068</v>
      </c>
      <c r="AX206" s="40">
        <f t="shared" si="123"/>
        <v>0.17257917090354302</v>
      </c>
      <c r="AY206">
        <f t="shared" si="124"/>
        <v>0.17257917090354302</v>
      </c>
      <c r="BF206" s="40"/>
    </row>
    <row r="207" spans="45:68" x14ac:dyDescent="0.25">
      <c r="AS207">
        <v>0.43633231299857222</v>
      </c>
      <c r="AT207">
        <v>219.4225759336141</v>
      </c>
      <c r="AU207">
        <v>200.64144927551706</v>
      </c>
      <c r="AV207">
        <f t="shared" si="121"/>
        <v>0.74071776697311975</v>
      </c>
      <c r="AW207">
        <f t="shared" si="122"/>
        <v>0.30438545397454753</v>
      </c>
      <c r="AX207" s="40">
        <f t="shared" si="123"/>
        <v>0.18355794681161319</v>
      </c>
      <c r="AY207">
        <f t="shared" si="124"/>
        <v>0.18355794681161319</v>
      </c>
      <c r="BF207" s="40"/>
    </row>
    <row r="208" spans="45:68" x14ac:dyDescent="0.25">
      <c r="AS208">
        <v>0.45378560551851554</v>
      </c>
      <c r="AT208">
        <v>218.41808657446438</v>
      </c>
      <c r="AU208">
        <v>204.11332081133213</v>
      </c>
      <c r="AV208">
        <f t="shared" si="121"/>
        <v>0.75155617175634781</v>
      </c>
      <c r="AW208">
        <f t="shared" si="122"/>
        <v>0.29777056623783227</v>
      </c>
      <c r="AX208" s="40">
        <f t="shared" si="123"/>
        <v>0.19439635159484125</v>
      </c>
      <c r="AY208">
        <f t="shared" si="124"/>
        <v>0.19439635159484125</v>
      </c>
      <c r="BF208" s="40"/>
    </row>
    <row r="209" spans="45:58" x14ac:dyDescent="0.25">
      <c r="AS209">
        <v>0.47123889803845886</v>
      </c>
      <c r="AT209">
        <v>217.38765042520916</v>
      </c>
      <c r="AU209">
        <v>207.55947796108742</v>
      </c>
      <c r="AV209">
        <f t="shared" si="121"/>
        <v>0.76227429693480253</v>
      </c>
      <c r="AW209">
        <f t="shared" si="122"/>
        <v>0.29103539889634367</v>
      </c>
      <c r="AX209" s="40">
        <f t="shared" si="123"/>
        <v>0.20511447677329597</v>
      </c>
      <c r="AY209">
        <f t="shared" si="124"/>
        <v>0.20511447677329597</v>
      </c>
      <c r="BF209" s="40"/>
    </row>
    <row r="210" spans="45:58" x14ac:dyDescent="0.25">
      <c r="AS210">
        <v>0.48869219055840218</v>
      </c>
      <c r="AT210">
        <v>216.32992458949599</v>
      </c>
      <c r="AU210">
        <v>210.9850017378881</v>
      </c>
      <c r="AV210">
        <f t="shared" si="121"/>
        <v>0.77289065709805649</v>
      </c>
      <c r="AW210">
        <f t="shared" si="122"/>
        <v>0.2841984665396543</v>
      </c>
      <c r="AX210" s="40">
        <f t="shared" si="123"/>
        <v>0.21573083693654993</v>
      </c>
      <c r="AY210">
        <f t="shared" si="124"/>
        <v>0.21573083693654993</v>
      </c>
      <c r="BF210" s="40"/>
    </row>
    <row r="211" spans="45:58" x14ac:dyDescent="0.25">
      <c r="AS211">
        <v>0.5061454830783455</v>
      </c>
      <c r="AT211">
        <v>215.24349428957839</v>
      </c>
      <c r="AU211">
        <v>214.39466193291884</v>
      </c>
      <c r="AV211">
        <f t="shared" si="121"/>
        <v>0.78342247469304249</v>
      </c>
      <c r="AW211">
        <f t="shared" si="122"/>
        <v>0.27727699161469699</v>
      </c>
      <c r="AX211" s="40">
        <f t="shared" si="123"/>
        <v>0.22626265453153593</v>
      </c>
      <c r="AY211">
        <f t="shared" si="124"/>
        <v>0.22626265453153593</v>
      </c>
      <c r="BF211" s="40"/>
    </row>
    <row r="212" spans="45:58" x14ac:dyDescent="0.25">
      <c r="AS212">
        <v>0.52359877559828882</v>
      </c>
      <c r="AT212">
        <v>214.12686153033269</v>
      </c>
      <c r="AU212">
        <v>217.79297806589932</v>
      </c>
      <c r="AV212">
        <f t="shared" si="121"/>
        <v>0.79388591543154874</v>
      </c>
      <c r="AW212">
        <f t="shared" si="122"/>
        <v>0.27028713983325992</v>
      </c>
      <c r="AX212" s="40">
        <f t="shared" si="123"/>
        <v>0.23672609527004218</v>
      </c>
      <c r="AY212">
        <f t="shared" si="124"/>
        <v>0.23672609527004218</v>
      </c>
      <c r="BF212" s="40"/>
    </row>
    <row r="213" spans="45:58" x14ac:dyDescent="0.25">
      <c r="AS213">
        <v>0.54105206811823214</v>
      </c>
      <c r="AT213">
        <v>212.97843396992522</v>
      </c>
      <c r="AU213">
        <v>221.184270750976</v>
      </c>
      <c r="AV213">
        <f t="shared" si="121"/>
        <v>0.80429628567677858</v>
      </c>
      <c r="AW213">
        <f t="shared" si="122"/>
        <v>0.26324421755854643</v>
      </c>
      <c r="AX213" s="40">
        <f t="shared" si="123"/>
        <v>0.24713646551527202</v>
      </c>
      <c r="AY213">
        <f t="shared" si="124"/>
        <v>0.24713646551527202</v>
      </c>
      <c r="BF213" s="40"/>
    </row>
    <row r="214" spans="45:58" x14ac:dyDescent="0.25">
      <c r="AS214">
        <v>0.55850536063817546</v>
      </c>
      <c r="AT214">
        <v>211.79660634444161</v>
      </c>
      <c r="AU214">
        <v>224.5724929234529</v>
      </c>
      <c r="AV214">
        <f t="shared" si="121"/>
        <v>0.81466750911352448</v>
      </c>
      <c r="AW214">
        <f t="shared" si="122"/>
        <v>0.25616214847534902</v>
      </c>
      <c r="AX214" s="40">
        <f t="shared" si="123"/>
        <v>0.25750768895201792</v>
      </c>
      <c r="AY214">
        <f t="shared" si="124"/>
        <v>0.25750768895201792</v>
      </c>
      <c r="BF214" s="40"/>
    </row>
    <row r="215" spans="45:58" x14ac:dyDescent="0.25">
      <c r="AS215">
        <v>0.57595865315811878</v>
      </c>
      <c r="AT215">
        <v>210.63109951362145</v>
      </c>
      <c r="AU215">
        <v>227.84542834232411</v>
      </c>
      <c r="AV215">
        <f t="shared" si="121"/>
        <v>0.82463741966522264</v>
      </c>
      <c r="AW215">
        <f t="shared" si="122"/>
        <v>0.24867876650710385</v>
      </c>
      <c r="AX215" s="40">
        <f t="shared" si="123"/>
        <v>0.26747759950371608</v>
      </c>
      <c r="AY215">
        <f t="shared" si="124"/>
        <v>0.26747759950371608</v>
      </c>
      <c r="BF215" s="40"/>
    </row>
    <row r="216" spans="45:58" x14ac:dyDescent="0.25">
      <c r="AS216">
        <v>0.5934119456780621</v>
      </c>
      <c r="AT216">
        <v>209.52133867641669</v>
      </c>
      <c r="AU216">
        <v>230.92064989948113</v>
      </c>
      <c r="AV216">
        <f t="shared" si="121"/>
        <v>0.83394597943557147</v>
      </c>
      <c r="AW216">
        <f t="shared" si="122"/>
        <v>0.24053403375750937</v>
      </c>
      <c r="AX216" s="40">
        <f t="shared" si="123"/>
        <v>0.27678615927406491</v>
      </c>
      <c r="AY216">
        <f t="shared" si="124"/>
        <v>0.27678615927406491</v>
      </c>
      <c r="BF216" s="40"/>
    </row>
    <row r="217" spans="45:58" x14ac:dyDescent="0.25">
      <c r="AS217">
        <v>0.61086523819800542</v>
      </c>
      <c r="AT217">
        <v>208.46275313653331</v>
      </c>
      <c r="AU217">
        <v>233.81689204586434</v>
      </c>
      <c r="AV217">
        <f t="shared" si="121"/>
        <v>0.84266152667273275</v>
      </c>
      <c r="AW217">
        <f t="shared" si="122"/>
        <v>0.23179628847472733</v>
      </c>
      <c r="AX217" s="40">
        <f t="shared" si="123"/>
        <v>0.28550170651122619</v>
      </c>
      <c r="AY217">
        <f t="shared" si="124"/>
        <v>0.28550170651122619</v>
      </c>
      <c r="BF217" s="40"/>
    </row>
    <row r="218" spans="45:58" x14ac:dyDescent="0.25">
      <c r="AS218">
        <v>0.62831853071794874</v>
      </c>
      <c r="AT218">
        <v>207.45125142731106</v>
      </c>
      <c r="AU218">
        <v>236.55062197648934</v>
      </c>
      <c r="AV218">
        <f t="shared" si="121"/>
        <v>0.85084341360331595</v>
      </c>
      <c r="AW218">
        <f t="shared" si="122"/>
        <v>0.2225248828853672</v>
      </c>
      <c r="AX218" s="40">
        <f t="shared" si="123"/>
        <v>0.29368359344180939</v>
      </c>
      <c r="AY218">
        <f t="shared" si="124"/>
        <v>0.29368359344180939</v>
      </c>
      <c r="BF218" s="40"/>
    </row>
    <row r="219" spans="45:58" x14ac:dyDescent="0.25">
      <c r="AS219">
        <v>0.64577182323789206</v>
      </c>
      <c r="AT219">
        <v>206.48315923117713</v>
      </c>
      <c r="AU219">
        <v>239.1363726372272</v>
      </c>
      <c r="AV219">
        <f t="shared" si="121"/>
        <v>0.85854342797633487</v>
      </c>
      <c r="AW219">
        <f t="shared" si="122"/>
        <v>0.21277160473844281</v>
      </c>
      <c r="AX219" s="40">
        <f t="shared" si="123"/>
        <v>0.30138360781482831</v>
      </c>
      <c r="AY219">
        <f t="shared" si="124"/>
        <v>0.30138360781482831</v>
      </c>
      <c r="BF219" s="40"/>
    </row>
    <row r="220" spans="45:58" x14ac:dyDescent="0.25">
      <c r="AS220">
        <v>0.66322511575783538</v>
      </c>
      <c r="AT220">
        <v>205.55516679018916</v>
      </c>
      <c r="AU220">
        <v>241.58701879778084</v>
      </c>
      <c r="AV220">
        <f t="shared" si="121"/>
        <v>0.86580695536616914</v>
      </c>
      <c r="AW220">
        <f t="shared" si="122"/>
        <v>0.20258183960833376</v>
      </c>
      <c r="AX220" s="40">
        <f t="shared" si="123"/>
        <v>0.30864713520466258</v>
      </c>
      <c r="AY220">
        <f t="shared" si="124"/>
        <v>0.30864713520466258</v>
      </c>
      <c r="BF220" s="40"/>
    </row>
    <row r="221" spans="45:58" x14ac:dyDescent="0.25">
      <c r="AS221">
        <v>0.6806784082777787</v>
      </c>
      <c r="AT221">
        <v>204.66428403473543</v>
      </c>
      <c r="AU221">
        <v>243.91400714803081</v>
      </c>
      <c r="AV221">
        <f t="shared" si="121"/>
        <v>0.87267393532775406</v>
      </c>
      <c r="AW221">
        <f t="shared" si="122"/>
        <v>0.19199552704997536</v>
      </c>
      <c r="AX221" s="40">
        <f t="shared" si="123"/>
        <v>0.3155141151662475</v>
      </c>
      <c r="AY221">
        <f t="shared" si="124"/>
        <v>0.3155141151662475</v>
      </c>
      <c r="BF221" s="40"/>
    </row>
    <row r="222" spans="45:58" x14ac:dyDescent="0.25">
      <c r="AS222">
        <v>0.69813170079772202</v>
      </c>
      <c r="AT222">
        <v>203.80780227232827</v>
      </c>
      <c r="AU222">
        <v>246.12754921035844</v>
      </c>
      <c r="AV222">
        <f t="shared" si="121"/>
        <v>0.87917965235645168</v>
      </c>
      <c r="AW222">
        <f t="shared" si="122"/>
        <v>0.18104795155872966</v>
      </c>
      <c r="AX222" s="40">
        <f t="shared" si="123"/>
        <v>0.32201983219494512</v>
      </c>
      <c r="AY222">
        <f t="shared" si="124"/>
        <v>0.32201983219494512</v>
      </c>
      <c r="BF222" s="40"/>
    </row>
    <row r="223" spans="45:58" x14ac:dyDescent="0.25">
      <c r="AS223">
        <v>0.71558499331766534</v>
      </c>
      <c r="AT223">
        <v>202.98326131152794</v>
      </c>
      <c r="AU223">
        <v>248.23678387335053</v>
      </c>
      <c r="AV223">
        <f t="shared" si="121"/>
        <v>0.88535539376657113</v>
      </c>
      <c r="AW223">
        <f t="shared" si="122"/>
        <v>0.16977040044890579</v>
      </c>
      <c r="AX223" s="40">
        <f t="shared" si="123"/>
        <v>0.32819557360506457</v>
      </c>
      <c r="AY223">
        <f t="shared" si="124"/>
        <v>0.32819557360506457</v>
      </c>
      <c r="BF223" s="40"/>
    </row>
    <row r="224" spans="45:58" x14ac:dyDescent="0.25">
      <c r="AS224">
        <v>0.73303828583760866</v>
      </c>
      <c r="AT224">
        <v>202.18842094658152</v>
      </c>
      <c r="AU224">
        <v>250.24991485161576</v>
      </c>
      <c r="AV224">
        <f t="shared" si="121"/>
        <v>0.89122899991017301</v>
      </c>
      <c r="AW224">
        <f t="shared" si="122"/>
        <v>0.15819071407256435</v>
      </c>
      <c r="AX224" s="40">
        <f t="shared" si="123"/>
        <v>0.33406917974866646</v>
      </c>
      <c r="AY224">
        <f t="shared" si="124"/>
        <v>0.33406917974866646</v>
      </c>
      <c r="BF224" s="40"/>
    </row>
    <row r="225" spans="45:58" x14ac:dyDescent="0.25">
      <c r="AS225">
        <v>0.75049157835755198</v>
      </c>
      <c r="AT225">
        <v>201.42123648471969</v>
      </c>
      <c r="AU225">
        <v>252.17432771340549</v>
      </c>
      <c r="AV225">
        <f t="shared" si="121"/>
        <v>0.89682532628382383</v>
      </c>
      <c r="AW225">
        <f t="shared" si="122"/>
        <v>0.14633374792627185</v>
      </c>
      <c r="AX225" s="40">
        <f t="shared" si="123"/>
        <v>0.33966550612231727</v>
      </c>
      <c r="AY225">
        <f t="shared" si="124"/>
        <v>0.33966550612231727</v>
      </c>
      <c r="BF225" s="40"/>
    </row>
    <row r="226" spans="45:58" x14ac:dyDescent="0.25">
      <c r="AS226">
        <v>0.7679448708774953</v>
      </c>
      <c r="AT226">
        <v>200.67983732239975</v>
      </c>
      <c r="AU226">
        <v>254.01668969766217</v>
      </c>
      <c r="AV226">
        <f t="shared" si="121"/>
        <v>0.90216663378988093</v>
      </c>
      <c r="AW226">
        <f t="shared" si="122"/>
        <v>0.13422176291238563</v>
      </c>
      <c r="AX226" s="40">
        <f t="shared" si="123"/>
        <v>0.34500681362837438</v>
      </c>
      <c r="AY226">
        <f t="shared" si="124"/>
        <v>0.34500681362837438</v>
      </c>
      <c r="BF226" s="40"/>
    </row>
    <row r="227" spans="45:58" x14ac:dyDescent="0.25">
      <c r="AS227">
        <v>0.78539816339743862</v>
      </c>
      <c r="AT227">
        <v>199.96250833091034</v>
      </c>
      <c r="AU227">
        <v>255.78303533904733</v>
      </c>
      <c r="AV227">
        <f t="shared" si="121"/>
        <v>0.90727291960380707</v>
      </c>
      <c r="AW227">
        <f t="shared" si="122"/>
        <v>0.12187475620636845</v>
      </c>
      <c r="AX227" s="40">
        <f t="shared" si="123"/>
        <v>0.35011309944230051</v>
      </c>
      <c r="AY227">
        <f t="shared" si="124"/>
        <v>0.35011309944230051</v>
      </c>
      <c r="BF227" s="40"/>
    </row>
    <row r="228" spans="45:58" x14ac:dyDescent="0.25">
      <c r="AS228">
        <v>0.80285145591738194</v>
      </c>
      <c r="AT228">
        <v>199.26767358890766</v>
      </c>
      <c r="AU228">
        <v>257.47884017302579</v>
      </c>
      <c r="AV228">
        <f t="shared" si="121"/>
        <v>0.91216219891677319</v>
      </c>
      <c r="AW228">
        <f t="shared" si="122"/>
        <v>0.10931074299939125</v>
      </c>
      <c r="AX228" s="40">
        <f t="shared" si="123"/>
        <v>0.35500237875526663</v>
      </c>
      <c r="AY228">
        <f t="shared" si="124"/>
        <v>0.35500237875526663</v>
      </c>
      <c r="BF228" s="40"/>
    </row>
    <row r="229" spans="45:58" x14ac:dyDescent="0.25">
      <c r="AS229">
        <v>0.82030474843732526</v>
      </c>
      <c r="AT229">
        <v>198.59388211132108</v>
      </c>
      <c r="AU229">
        <v>259.10908440624985</v>
      </c>
      <c r="AV229">
        <f t="shared" si="121"/>
        <v>0.91685074583275583</v>
      </c>
      <c r="AW229">
        <f t="shared" si="122"/>
        <v>9.6545997395430572E-2</v>
      </c>
      <c r="AX229" s="40">
        <f t="shared" si="123"/>
        <v>0.35969092567124927</v>
      </c>
      <c r="AY229">
        <f t="shared" si="124"/>
        <v>0.35969092567124927</v>
      </c>
      <c r="BF229" s="40"/>
    </row>
    <row r="230" spans="45:58" x14ac:dyDescent="0.25">
      <c r="AS230">
        <v>0.83775804095726858</v>
      </c>
      <c r="AT230">
        <v>197.93979520783546</v>
      </c>
      <c r="AU230">
        <v>260.67830805588369</v>
      </c>
      <c r="AV230">
        <f t="shared" si="121"/>
        <v>0.92135330024538342</v>
      </c>
      <c r="AW230">
        <f t="shared" si="122"/>
        <v>8.3595259288114843E-2</v>
      </c>
      <c r="AX230" s="40">
        <f t="shared" si="123"/>
        <v>0.36419348008387686</v>
      </c>
      <c r="AY230">
        <f t="shared" si="124"/>
        <v>0.36419348008387686</v>
      </c>
      <c r="BF230" s="40"/>
    </row>
    <row r="231" spans="45:58" x14ac:dyDescent="0.25">
      <c r="AS231">
        <v>0.8552113334772119</v>
      </c>
      <c r="AT231">
        <v>197.30417544681814</v>
      </c>
      <c r="AU231">
        <v>262.19065898718787</v>
      </c>
      <c r="AV231">
        <f t="shared" si="121"/>
        <v>0.92568324593318252</v>
      </c>
      <c r="AW231">
        <f t="shared" si="122"/>
        <v>7.047191245597062E-2</v>
      </c>
      <c r="AX231" s="40">
        <f t="shared" si="123"/>
        <v>0.36852342577167596</v>
      </c>
      <c r="AY231">
        <f t="shared" si="124"/>
        <v>0.36852342577167596</v>
      </c>
      <c r="BF231" s="40"/>
    </row>
    <row r="232" spans="45:58" x14ac:dyDescent="0.25">
      <c r="AS232">
        <v>0.87266462599715522</v>
      </c>
      <c r="AT232">
        <v>196.68587684837814</v>
      </c>
      <c r="AU232">
        <v>263.64993480026374</v>
      </c>
      <c r="AV232">
        <f t="shared" si="121"/>
        <v>0.9298527645845408</v>
      </c>
      <c r="AW232">
        <f t="shared" si="122"/>
        <v>5.7188138587385584E-2</v>
      </c>
      <c r="AX232" s="40">
        <f t="shared" si="123"/>
        <v>0.37269294442303424</v>
      </c>
      <c r="AY232">
        <f t="shared" si="124"/>
        <v>0.37269294442303424</v>
      </c>
      <c r="BF232" s="40"/>
    </row>
    <row r="233" spans="45:58" x14ac:dyDescent="0.25">
      <c r="AS233">
        <v>0.89011791851709854</v>
      </c>
      <c r="AT233">
        <v>196.08383611261661</v>
      </c>
      <c r="AU233">
        <v>265.0596194442694</v>
      </c>
      <c r="AV233">
        <f t="shared" si="121"/>
        <v>0.93387296951064203</v>
      </c>
      <c r="AW233">
        <f t="shared" si="122"/>
        <v>4.3755050993543487E-2</v>
      </c>
      <c r="AX233" s="40">
        <f t="shared" si="123"/>
        <v>0.37671314934913547</v>
      </c>
      <c r="AY233">
        <f t="shared" si="124"/>
        <v>0.37671314934913547</v>
      </c>
      <c r="BF233" s="40"/>
    </row>
    <row r="234" spans="45:58" x14ac:dyDescent="0.25">
      <c r="AS234">
        <v>0.90757121103704186</v>
      </c>
      <c r="AT234">
        <v>195.49706493368905</v>
      </c>
      <c r="AU234">
        <v>266.42291543015028</v>
      </c>
      <c r="AV234">
        <f t="shared" si="121"/>
        <v>0.93775402187943813</v>
      </c>
      <c r="AW234">
        <f t="shared" si="122"/>
        <v>3.0182810842396268E-2</v>
      </c>
      <c r="AX234" s="40">
        <f t="shared" si="123"/>
        <v>0.38059420171793157</v>
      </c>
      <c r="AY234">
        <f t="shared" si="124"/>
        <v>0.38059420171793157</v>
      </c>
      <c r="BF234" s="40"/>
    </row>
    <row r="235" spans="45:58" x14ac:dyDescent="0.25">
      <c r="AS235">
        <v>0.92502450355698518</v>
      </c>
      <c r="AT235">
        <v>193.46156658454152</v>
      </c>
      <c r="AU235">
        <v>265.73313319131017</v>
      </c>
      <c r="AV235">
        <f t="shared" si="121"/>
        <v>0.94150523229214544</v>
      </c>
      <c r="AW235">
        <f t="shared" si="122"/>
        <v>1.6480728735160266E-2</v>
      </c>
      <c r="AX235" s="40">
        <f t="shared" si="123"/>
        <v>0.38434541213063889</v>
      </c>
      <c r="AY235">
        <f t="shared" si="124"/>
        <v>0.38434541213063889</v>
      </c>
      <c r="BF235" s="40"/>
    </row>
    <row r="236" spans="45:58" x14ac:dyDescent="0.25">
      <c r="AS236">
        <v>0.9424777960769285</v>
      </c>
      <c r="AT236">
        <v>191.406003691552</v>
      </c>
      <c r="AU236">
        <v>264.92537330422402</v>
      </c>
      <c r="AV236">
        <f t="shared" si="121"/>
        <v>0.94513514972644663</v>
      </c>
      <c r="AW236">
        <f t="shared" si="122"/>
        <v>2.6573536495181349E-3</v>
      </c>
      <c r="AX236" s="40">
        <f t="shared" si="123"/>
        <v>0.38797532956494007</v>
      </c>
      <c r="AY236">
        <f t="shared" si="124"/>
        <v>0.38797532956494007</v>
      </c>
      <c r="BF236" s="40"/>
    </row>
    <row r="237" spans="45:58" x14ac:dyDescent="0.25">
      <c r="AS237">
        <v>0.95993108859687182</v>
      </c>
      <c r="AT237">
        <v>189.38585582953198</v>
      </c>
      <c r="AU237">
        <v>264.08059237213951</v>
      </c>
      <c r="AV237">
        <f t="shared" si="121"/>
        <v>0.94865163957350795</v>
      </c>
      <c r="AW237">
        <f t="shared" si="122"/>
        <v>1.1279449023363863E-2</v>
      </c>
      <c r="AX237" s="40">
        <f t="shared" si="123"/>
        <v>0.3914918194120014</v>
      </c>
      <c r="AY237">
        <f t="shared" si="124"/>
        <v>0.3914918194120014</v>
      </c>
      <c r="BF237" s="40"/>
    </row>
    <row r="238" spans="45:58" x14ac:dyDescent="0.25">
      <c r="AS238">
        <v>0.97738438111681514</v>
      </c>
      <c r="AT238">
        <v>187.39905818889167</v>
      </c>
      <c r="AU238">
        <v>263.20090288098913</v>
      </c>
      <c r="AV238">
        <f t="shared" si="121"/>
        <v>0.95206195249783543</v>
      </c>
      <c r="AW238">
        <f t="shared" si="122"/>
        <v>2.5322428618979709E-2</v>
      </c>
      <c r="AX238" s="40">
        <f t="shared" si="123"/>
        <v>0.39490213233632887</v>
      </c>
      <c r="AY238">
        <f t="shared" si="124"/>
        <v>0.39490213233632887</v>
      </c>
      <c r="BF238" s="40"/>
    </row>
    <row r="239" spans="45:58" x14ac:dyDescent="0.25">
      <c r="AS239">
        <v>0.99483767363675846</v>
      </c>
      <c r="AT239">
        <v>185.44365156943189</v>
      </c>
      <c r="AU239">
        <v>262.28817697840327</v>
      </c>
      <c r="AV239">
        <f t="shared" si="121"/>
        <v>0.95537278503448364</v>
      </c>
      <c r="AW239">
        <f t="shared" si="122"/>
        <v>3.9464888602274817E-2</v>
      </c>
      <c r="AX239" s="40">
        <f t="shared" si="123"/>
        <v>0.39821296487297708</v>
      </c>
      <c r="AY239">
        <f t="shared" si="124"/>
        <v>0.39821296487297708</v>
      </c>
      <c r="BF239" s="40"/>
    </row>
    <row r="240" spans="45:58" x14ac:dyDescent="0.25">
      <c r="AS240">
        <v>1.0122909661567017</v>
      </c>
      <c r="AT240">
        <v>183.51777391358772</v>
      </c>
      <c r="AU240">
        <v>261.34406941159682</v>
      </c>
      <c r="AV240">
        <f t="shared" si="121"/>
        <v>0.95859033349976408</v>
      </c>
      <c r="AW240">
        <f t="shared" si="122"/>
        <v>5.3700632656937586E-2</v>
      </c>
      <c r="AX240" s="40">
        <f t="shared" si="123"/>
        <v>0.40143051333825752</v>
      </c>
      <c r="AY240">
        <f t="shared" si="124"/>
        <v>0.40143051333825752</v>
      </c>
      <c r="BF240" s="40"/>
    </row>
    <row r="241" spans="45:58" x14ac:dyDescent="0.25">
      <c r="AS241">
        <v>1.029744258676645</v>
      </c>
      <c r="AT241">
        <v>181.61965267247041</v>
      </c>
      <c r="AU241">
        <v>260.37003776544753</v>
      </c>
      <c r="AV241">
        <f t="shared" si="121"/>
        <v>0.96172034155937869</v>
      </c>
      <c r="AW241">
        <f t="shared" si="122"/>
        <v>6.8023917117266297E-2</v>
      </c>
      <c r="AX241" s="40">
        <f t="shared" si="123"/>
        <v>0.40456052139787213</v>
      </c>
      <c r="AY241">
        <f t="shared" si="124"/>
        <v>0.40456052139787213</v>
      </c>
      <c r="BF241" s="40"/>
    </row>
    <row r="242" spans="45:58" x14ac:dyDescent="0.25">
      <c r="AS242">
        <v>1.0471975511965883</v>
      </c>
      <c r="AT242">
        <v>179.74759768978902</v>
      </c>
      <c r="AU242">
        <v>259.36736028390885</v>
      </c>
      <c r="AV242">
        <f t="shared" si="121"/>
        <v>0.96476814274507783</v>
      </c>
      <c r="AW242">
        <f t="shared" si="122"/>
        <v>8.2429408451510477E-2</v>
      </c>
      <c r="AX242" s="40">
        <f t="shared" si="123"/>
        <v>0.40760832258357127</v>
      </c>
      <c r="AY242">
        <f t="shared" si="124"/>
        <v>0.40760832258357127</v>
      </c>
      <c r="BF242" s="40"/>
    </row>
    <row r="243" spans="45:58" x14ac:dyDescent="0.25">
      <c r="AS243">
        <v>1.0646508437165316</v>
      </c>
      <c r="AT243">
        <v>177.89999466857995</v>
      </c>
      <c r="AU243">
        <v>258.3371515991347</v>
      </c>
      <c r="AV243">
        <f t="shared" si="121"/>
        <v>0.9677386983227706</v>
      </c>
      <c r="AW243">
        <f t="shared" si="122"/>
        <v>9.6912145393761029E-2</v>
      </c>
      <c r="AX243" s="40">
        <f t="shared" si="123"/>
        <v>0.41057887816126404</v>
      </c>
      <c r="AY243">
        <f t="shared" si="124"/>
        <v>0.41057887816126404</v>
      </c>
      <c r="BF243" s="40"/>
    </row>
    <row r="244" spans="45:58" x14ac:dyDescent="0.25">
      <c r="AS244">
        <v>1.0821041362364749</v>
      </c>
      <c r="AT244">
        <v>176.07529919880557</v>
      </c>
      <c r="AU244">
        <v>257.28037662518392</v>
      </c>
      <c r="AV244">
        <f t="shared" si="121"/>
        <v>0.97063663099935937</v>
      </c>
      <c r="AW244">
        <f t="shared" si="122"/>
        <v>0.11146750523711557</v>
      </c>
      <c r="AX244" s="40">
        <f t="shared" si="123"/>
        <v>0.41347681083785282</v>
      </c>
      <c r="AY244">
        <f t="shared" si="124"/>
        <v>0.41347681083785282</v>
      </c>
      <c r="BF244" s="40"/>
    </row>
    <row r="245" spans="45:58" x14ac:dyDescent="0.25">
      <c r="AS245">
        <v>1.0995574287564183</v>
      </c>
      <c r="AT245">
        <v>174.27203112001226</v>
      </c>
      <c r="AU245">
        <v>256.1978627992446</v>
      </c>
      <c r="AV245">
        <f t="shared" si="121"/>
        <v>0.97346625535881526</v>
      </c>
      <c r="AW245">
        <f t="shared" si="122"/>
        <v>0.12609117339760301</v>
      </c>
      <c r="AX245" s="40">
        <f t="shared" si="123"/>
        <v>0.4163064351973087</v>
      </c>
      <c r="AY245">
        <f t="shared" si="124"/>
        <v>0.4163064351973087</v>
      </c>
      <c r="BF245" s="40"/>
    </row>
    <row r="246" spans="45:58" x14ac:dyDescent="0.25">
      <c r="AS246">
        <v>1.1170107212763616</v>
      </c>
      <c r="AT246">
        <v>172.48876940924634</v>
      </c>
      <c r="AU246">
        <v>255.09031090437298</v>
      </c>
      <c r="AV246">
        <f t="shared" si="121"/>
        <v>0.97623160492136196</v>
      </c>
      <c r="AW246">
        <f t="shared" si="122"/>
        <v>0.14077911635499962</v>
      </c>
      <c r="AX246" s="40">
        <f t="shared" si="123"/>
        <v>0.4190717847598554</v>
      </c>
      <c r="AY246">
        <f t="shared" si="124"/>
        <v>0.4190717847598554</v>
      </c>
      <c r="BF246" s="40"/>
    </row>
    <row r="247" spans="45:58" x14ac:dyDescent="0.25">
      <c r="AS247">
        <v>1.1344640137963049</v>
      </c>
      <c r="AT247">
        <v>170.72414732228822</v>
      </c>
      <c r="AU247">
        <v>253.95830459195935</v>
      </c>
      <c r="AV247">
        <f t="shared" si="121"/>
        <v>0.97893645672412422</v>
      </c>
      <c r="AW247">
        <f t="shared" si="122"/>
        <v>0.15552755707218069</v>
      </c>
      <c r="AX247" s="40">
        <f t="shared" si="123"/>
        <v>0.42177663656261766</v>
      </c>
      <c r="AY247">
        <f t="shared" si="124"/>
        <v>0.42177663656261766</v>
      </c>
      <c r="BF247" s="40"/>
    </row>
    <row r="248" spans="45:58" x14ac:dyDescent="0.25">
      <c r="AS248">
        <v>1.1519173063162482</v>
      </c>
      <c r="AT248">
        <v>168.97684797700668</v>
      </c>
      <c r="AU248">
        <v>252.80231878517213</v>
      </c>
      <c r="AV248">
        <f t="shared" si="121"/>
        <v>0.9815843532179781</v>
      </c>
      <c r="AW248">
        <f t="shared" si="122"/>
        <v>0.17033295309827012</v>
      </c>
      <c r="AX248" s="40">
        <f t="shared" si="123"/>
        <v>0.42442453305647154</v>
      </c>
      <c r="AY248">
        <f t="shared" si="124"/>
        <v>0.42442453305647154</v>
      </c>
      <c r="BF248" s="40"/>
    </row>
    <row r="249" spans="45:58" x14ac:dyDescent="0.25">
      <c r="AS249">
        <v>1.1693705988361915</v>
      </c>
      <c r="AT249">
        <v>167.2456001006033</v>
      </c>
      <c r="AU249">
        <v>251.62272704298158</v>
      </c>
      <c r="AV249">
        <f t="shared" si="121"/>
        <v>0.98417862234078135</v>
      </c>
      <c r="AW249">
        <f t="shared" si="122"/>
        <v>0.18519197649541019</v>
      </c>
      <c r="AX249" s="40">
        <f t="shared" si="123"/>
        <v>0.42701880217927479</v>
      </c>
      <c r="AY249">
        <f t="shared" si="124"/>
        <v>0.42701880217927479</v>
      </c>
      <c r="BF249" s="40"/>
    </row>
    <row r="250" spans="45:58" x14ac:dyDescent="0.25">
      <c r="AS250">
        <v>1.1868238913561349</v>
      </c>
      <c r="AT250">
        <v>165.52917416883608</v>
      </c>
      <c r="AU250">
        <v>250.41980803319024</v>
      </c>
      <c r="AV250">
        <f t="shared" si="121"/>
        <v>0.9867223953913814</v>
      </c>
      <c r="AW250">
        <f t="shared" si="122"/>
        <v>0.20010149596475346</v>
      </c>
      <c r="AX250" s="40">
        <f t="shared" si="123"/>
        <v>0.42956257522987484</v>
      </c>
      <c r="AY250">
        <f t="shared" si="124"/>
        <v>0.42956257522987484</v>
      </c>
      <c r="BF250" s="40"/>
    </row>
    <row r="251" spans="45:58" x14ac:dyDescent="0.25">
      <c r="AS251">
        <v>1.2042771838760782</v>
      </c>
      <c r="AT251">
        <v>163.82637869718775</v>
      </c>
      <c r="AU251">
        <v>249.193751171158</v>
      </c>
      <c r="AV251">
        <f t="shared" si="121"/>
        <v>0.98921862342980482</v>
      </c>
      <c r="AW251">
        <f t="shared" si="122"/>
        <v>0.21505856044627336</v>
      </c>
      <c r="AX251" s="40">
        <f t="shared" si="123"/>
        <v>0.43205880326829826</v>
      </c>
      <c r="AY251">
        <f t="shared" si="124"/>
        <v>0.43205880326829826</v>
      </c>
      <c r="BF251" s="40"/>
    </row>
    <row r="252" spans="45:58" x14ac:dyDescent="0.25">
      <c r="AS252">
        <v>1.2217304763960215</v>
      </c>
      <c r="AT252">
        <v>162.13605675747107</v>
      </c>
      <c r="AU252">
        <v>247.94466152019635</v>
      </c>
      <c r="AV252">
        <f t="shared" si="121"/>
        <v>0.99167009215610624</v>
      </c>
      <c r="AW252">
        <f t="shared" si="122"/>
        <v>0.23006038423991526</v>
      </c>
      <c r="AX252" s="40">
        <f t="shared" si="123"/>
        <v>0.43451027199459968</v>
      </c>
      <c r="AY252">
        <f t="shared" si="124"/>
        <v>0.43451027199459968</v>
      </c>
      <c r="BF252" s="40"/>
    </row>
    <row r="253" spans="45:58" x14ac:dyDescent="0.25">
      <c r="AS253">
        <v>1.2391837689159648</v>
      </c>
      <c r="AT253">
        <v>160.45708274193572</v>
      </c>
      <c r="AU253">
        <v>246.67256402713542</v>
      </c>
      <c r="AV253">
        <f t="shared" si="121"/>
        <v>0.99407943531123988</v>
      </c>
      <c r="AW253">
        <f t="shared" si="122"/>
        <v>0.24510433360472494</v>
      </c>
      <c r="AX253" s="40">
        <f t="shared" si="123"/>
        <v>0.43691961514973332</v>
      </c>
      <c r="AY253">
        <f t="shared" si="124"/>
        <v>0.43691961514973332</v>
      </c>
      <c r="BF253" s="40"/>
    </row>
    <row r="254" spans="45:58" x14ac:dyDescent="0.25">
      <c r="AS254">
        <v>1.2566370614359081</v>
      </c>
      <c r="AT254">
        <v>158.78835922371979</v>
      </c>
      <c r="AU254">
        <v>245.37740713480417</v>
      </c>
      <c r="AV254">
        <f t="shared" si="121"/>
        <v>0.99644914707662102</v>
      </c>
      <c r="AW254">
        <f t="shared" si="122"/>
        <v>0.26018791435928712</v>
      </c>
      <c r="AX254" s="40">
        <f t="shared" si="123"/>
        <v>0.43928932691511446</v>
      </c>
      <c r="AY254">
        <f t="shared" si="124"/>
        <v>0.43928932691511446</v>
      </c>
      <c r="BF254" s="40"/>
    </row>
    <row r="255" spans="45:58" x14ac:dyDescent="0.25">
      <c r="AS255">
        <v>1.2740903539558515</v>
      </c>
      <c r="AT255">
        <v>157.12881398622608</v>
      </c>
      <c r="AU255">
        <v>244.05906583587864</v>
      </c>
      <c r="AV255">
        <f t="shared" si="121"/>
        <v>0.99878159337031436</v>
      </c>
      <c r="AW255">
        <f t="shared" si="122"/>
        <v>0.2753087605855371</v>
      </c>
      <c r="AX255" s="40">
        <f t="shared" si="123"/>
        <v>0.4416217732088078</v>
      </c>
      <c r="AY255">
        <f t="shared" si="124"/>
        <v>0.4416217732088078</v>
      </c>
      <c r="BF255" s="40"/>
    </row>
    <row r="256" spans="45:58" x14ac:dyDescent="0.25">
      <c r="AS256">
        <v>1.2915436464757948</v>
      </c>
      <c r="AT256">
        <v>155.47739725530155</v>
      </c>
      <c r="AU256">
        <v>242.71734421666412</v>
      </c>
      <c r="AV256">
        <f t="shared" si="121"/>
        <v>1.0010790220074746</v>
      </c>
      <c r="AW256">
        <f t="shared" si="122"/>
        <v>0.29046462446832022</v>
      </c>
      <c r="AX256" s="40">
        <f t="shared" si="123"/>
        <v>0.443919201845968</v>
      </c>
      <c r="AY256">
        <f t="shared" si="124"/>
        <v>0.443919201845968</v>
      </c>
      <c r="BF256" s="40"/>
    </row>
    <row r="257" spans="45:58" x14ac:dyDescent="0.25">
      <c r="AS257">
        <v>1.3089969389957381</v>
      </c>
      <c r="AT257">
        <v>153.83307892818769</v>
      </c>
      <c r="AU257">
        <v>241.3519775066797</v>
      </c>
      <c r="AV257">
        <f t="shared" si="121"/>
        <v>1.0033435723309057</v>
      </c>
      <c r="AW257">
        <f t="shared" si="122"/>
        <v>0.30565336666483245</v>
      </c>
      <c r="AX257" s="40">
        <f t="shared" si="123"/>
        <v>0.44618375216939909</v>
      </c>
      <c r="AY257">
        <f t="shared" si="124"/>
        <v>0.44618375216939909</v>
      </c>
      <c r="BF257" s="40"/>
    </row>
    <row r="258" spans="45:58" x14ac:dyDescent="0.25">
      <c r="AS258">
        <v>1.3264502315156814</v>
      </c>
      <c r="AT258">
        <v>152.19484602382087</v>
      </c>
      <c r="AU258">
        <v>239.96263369318177</v>
      </c>
      <c r="AV258">
        <f t="shared" si="121"/>
        <v>1.0055772837590768</v>
      </c>
      <c r="AW258">
        <f t="shared" si="122"/>
        <v>0.32087294775660458</v>
      </c>
      <c r="AX258" s="40">
        <f t="shared" si="123"/>
        <v>0.44841746359757029</v>
      </c>
      <c r="AY258">
        <f t="shared" si="124"/>
        <v>0.44841746359757029</v>
      </c>
      <c r="BF258" s="40"/>
    </row>
    <row r="259" spans="45:58" x14ac:dyDescent="0.25">
      <c r="AS259">
        <v>1.3439035240356247</v>
      </c>
      <c r="AT259">
        <v>150.56170012105173</v>
      </c>
      <c r="AU259">
        <v>238.54891470309286</v>
      </c>
      <c r="AV259">
        <f t="shared" ref="AV259:AV322" si="125">ATAN2(AT259,AU259)</f>
        <v>1.0077821039207777</v>
      </c>
      <c r="AW259">
        <f t="shared" ref="AW259:AW322" si="126">ABS(AS259-AV259)</f>
        <v>0.33612142011484702</v>
      </c>
      <c r="AX259" s="40">
        <f t="shared" ref="AX259:AX322" si="127">AV259-$U$13</f>
        <v>0.45062228375927116</v>
      </c>
      <c r="AY259">
        <f t="shared" ref="AY259:AY322" si="128">ABS(AX259)</f>
        <v>0.45062228375927116</v>
      </c>
      <c r="BF259" s="40"/>
    </row>
    <row r="260" spans="45:58" x14ac:dyDescent="0.25">
      <c r="AS260">
        <v>1.3613568165555681</v>
      </c>
      <c r="AT260">
        <v>148.93265495210451</v>
      </c>
      <c r="AU260">
        <v>237.11035719325139</v>
      </c>
      <c r="AV260">
        <f t="shared" si="125"/>
        <v>1.0099598959529588</v>
      </c>
      <c r="AW260">
        <f t="shared" si="126"/>
        <v>0.3513969206026093</v>
      </c>
      <c r="AX260" s="40">
        <f t="shared" si="127"/>
        <v>0.45280007579145221</v>
      </c>
      <c r="AY260">
        <f t="shared" si="128"/>
        <v>0.45280007579145221</v>
      </c>
      <c r="BF260" s="40"/>
    </row>
    <row r="261" spans="45:58" x14ac:dyDescent="0.25">
      <c r="AS261">
        <v>1.3788101090755114</v>
      </c>
      <c r="AT261">
        <v>147.30673401629832</v>
      </c>
      <c r="AU261">
        <v>235.64643295399372</v>
      </c>
      <c r="AV261">
        <f t="shared" si="125"/>
        <v>1.012112445358436</v>
      </c>
      <c r="AW261">
        <f t="shared" si="126"/>
        <v>0.36669766371707535</v>
      </c>
      <c r="AX261" s="40">
        <f t="shared" si="127"/>
        <v>0.45495262519692947</v>
      </c>
      <c r="AY261">
        <f t="shared" si="128"/>
        <v>0.45495262519692947</v>
      </c>
      <c r="BF261" s="40"/>
    </row>
    <row r="262" spans="45:58" x14ac:dyDescent="0.25">
      <c r="AS262">
        <v>1.3962634015954547</v>
      </c>
      <c r="AT262">
        <v>145.68296823224671</v>
      </c>
      <c r="AU262">
        <v>234.15654894350746</v>
      </c>
      <c r="AV262">
        <f t="shared" si="125"/>
        <v>1.0142414664000348</v>
      </c>
      <c r="AW262">
        <f t="shared" si="126"/>
        <v>0.38202193519541994</v>
      </c>
      <c r="AX262" s="40">
        <f t="shared" si="127"/>
        <v>0.45708164623852821</v>
      </c>
      <c r="AY262">
        <f t="shared" si="128"/>
        <v>0.45708164623852821</v>
      </c>
      <c r="BF262" s="40"/>
    </row>
    <row r="263" spans="45:58" x14ac:dyDescent="0.25">
      <c r="AS263">
        <v>1.413716694115398</v>
      </c>
      <c r="AT263">
        <v>144.06039366423764</v>
      </c>
      <c r="AU263">
        <v>232.64004696670622</v>
      </c>
      <c r="AV263">
        <f t="shared" si="125"/>
        <v>1.0163486079430486</v>
      </c>
      <c r="AW263">
        <f t="shared" si="126"/>
        <v>0.39736808617234942</v>
      </c>
      <c r="AX263" s="40">
        <f t="shared" si="127"/>
        <v>0.45918878778154204</v>
      </c>
      <c r="AY263">
        <f t="shared" si="128"/>
        <v>0.45918878778154204</v>
      </c>
      <c r="BF263" s="40"/>
    </row>
    <row r="264" spans="45:58" x14ac:dyDescent="0.25">
      <c r="AS264">
        <v>1.4311699866353413</v>
      </c>
      <c r="AT264">
        <v>142.43804925129706</v>
      </c>
      <c r="AU264">
        <v>231.09620299998301</v>
      </c>
      <c r="AV264">
        <f t="shared" si="125"/>
        <v>1.0184354589623497</v>
      </c>
      <c r="AW264">
        <f t="shared" si="126"/>
        <v>0.41273452767299168</v>
      </c>
      <c r="AX264" s="40">
        <f t="shared" si="127"/>
        <v>0.4612756388008431</v>
      </c>
      <c r="AY264">
        <f t="shared" si="128"/>
        <v>0.4612756388008431</v>
      </c>
      <c r="BF264" s="40"/>
    </row>
    <row r="265" spans="45:58" x14ac:dyDescent="0.25">
      <c r="AS265">
        <v>1.4486232791552847</v>
      </c>
      <c r="AT265">
        <v>140.81497452626377</v>
      </c>
      <c r="AU265">
        <v>229.52422616571693</v>
      </c>
      <c r="AV265">
        <f t="shared" si="125"/>
        <v>1.0205035537651255</v>
      </c>
      <c r="AW265">
        <f t="shared" si="126"/>
        <v>0.42811972539015919</v>
      </c>
      <c r="AX265" s="40">
        <f t="shared" si="127"/>
        <v>0.46334373360361891</v>
      </c>
      <c r="AY265">
        <f t="shared" si="128"/>
        <v>0.46334373360361891</v>
      </c>
      <c r="BF265" s="40"/>
    </row>
    <row r="266" spans="45:58" x14ac:dyDescent="0.25">
      <c r="AS266">
        <v>1.466076571675228</v>
      </c>
      <c r="AT266">
        <v>139.19020743826289</v>
      </c>
      <c r="AU266">
        <v>227.9232573646498</v>
      </c>
      <c r="AV266">
        <f t="shared" si="125"/>
        <v>1.0225543765892853</v>
      </c>
      <c r="AW266">
        <f t="shared" si="126"/>
        <v>0.44352219508594271</v>
      </c>
      <c r="AX266" s="40">
        <f t="shared" si="127"/>
        <v>0.46539455642777872</v>
      </c>
      <c r="AY266">
        <f t="shared" si="128"/>
        <v>0.46539455642777872</v>
      </c>
      <c r="BF266" s="40"/>
    </row>
    <row r="267" spans="45:58" x14ac:dyDescent="0.25">
      <c r="AS267">
        <v>1.4835298641951713</v>
      </c>
      <c r="AT267">
        <v>137.56278202084354</v>
      </c>
      <c r="AU267">
        <v>226.29236754652351</v>
      </c>
      <c r="AV267">
        <f t="shared" si="125"/>
        <v>1.0245893663538823</v>
      </c>
      <c r="AW267">
        <f t="shared" si="126"/>
        <v>0.45894049784128899</v>
      </c>
      <c r="AX267" s="40">
        <f t="shared" si="127"/>
        <v>0.46742954619237576</v>
      </c>
      <c r="AY267">
        <f t="shared" si="128"/>
        <v>0.46742954619237576</v>
      </c>
      <c r="BF267" s="40"/>
    </row>
    <row r="268" spans="45:58" x14ac:dyDescent="0.25">
      <c r="AS268">
        <v>1.5009831567151146</v>
      </c>
      <c r="AT268">
        <v>135.93172618889039</v>
      </c>
      <c r="AU268">
        <v>224.63055563205847</v>
      </c>
      <c r="AV268">
        <f t="shared" si="125"/>
        <v>1.0266099207023482</v>
      </c>
      <c r="AW268">
        <f t="shared" si="126"/>
        <v>0.47437323601276637</v>
      </c>
      <c r="AX268" s="40">
        <f t="shared" si="127"/>
        <v>0.46945010054084169</v>
      </c>
      <c r="AY268">
        <f t="shared" si="128"/>
        <v>0.46945010054084169</v>
      </c>
      <c r="BF268" s="40"/>
    </row>
    <row r="269" spans="45:58" x14ac:dyDescent="0.25">
      <c r="AS269">
        <v>1.5184364492350579</v>
      </c>
      <c r="AT269">
        <v>134.29605934636257</v>
      </c>
      <c r="AU269">
        <v>222.93674605809417</v>
      </c>
      <c r="AV269">
        <f t="shared" si="125"/>
        <v>1.028617400306848</v>
      </c>
      <c r="AW269">
        <f t="shared" si="126"/>
        <v>0.48981904892820993</v>
      </c>
      <c r="AX269" s="40">
        <f t="shared" si="127"/>
        <v>0.47145758014534145</v>
      </c>
      <c r="AY269">
        <f t="shared" si="128"/>
        <v>0.47145758014534145</v>
      </c>
      <c r="BF269" s="40"/>
    </row>
    <row r="270" spans="45:58" x14ac:dyDescent="0.25">
      <c r="AS270">
        <v>1.5358897417550013</v>
      </c>
      <c r="AT270">
        <v>132.65479014658527</v>
      </c>
      <c r="AU270">
        <v>221.20978595331792</v>
      </c>
      <c r="AV270">
        <f t="shared" si="125"/>
        <v>1.0306131323604133</v>
      </c>
      <c r="AW270">
        <f t="shared" si="126"/>
        <v>0.50527660939458796</v>
      </c>
      <c r="AX270" s="40">
        <f t="shared" si="127"/>
        <v>0.47345331219890674</v>
      </c>
      <c r="AY270">
        <f t="shared" si="128"/>
        <v>0.47345331219890674</v>
      </c>
      <c r="BF270" s="40"/>
    </row>
    <row r="271" spans="45:58" x14ac:dyDescent="0.25">
      <c r="AS271">
        <v>1.5533430342749446</v>
      </c>
      <c r="AT271">
        <v>131.00691402747702</v>
      </c>
      <c r="AU271">
        <v>219.44844190856304</v>
      </c>
      <c r="AV271">
        <f t="shared" si="125"/>
        <v>1.0325984144246216</v>
      </c>
      <c r="AW271">
        <f t="shared" si="126"/>
        <v>0.52074461985032294</v>
      </c>
      <c r="AX271" s="40">
        <f t="shared" si="127"/>
        <v>0.47543859426311508</v>
      </c>
      <c r="AY271">
        <f t="shared" si="128"/>
        <v>0.47543859426311508</v>
      </c>
      <c r="BF271" s="40"/>
    </row>
    <row r="272" spans="45:58" x14ac:dyDescent="0.25">
      <c r="AS272">
        <v>1.5707963267948879</v>
      </c>
      <c r="AT272">
        <v>126.99652948843153</v>
      </c>
      <c r="AU272">
        <v>217.61349483813834</v>
      </c>
      <c r="AV272">
        <f t="shared" si="125"/>
        <v>1.0425322138122342</v>
      </c>
      <c r="AW272">
        <f t="shared" si="126"/>
        <v>0.52826411298265374</v>
      </c>
      <c r="AX272" s="40">
        <f t="shared" si="127"/>
        <v>0.4853723936507276</v>
      </c>
      <c r="AY272">
        <f t="shared" si="128"/>
        <v>0.4853723936507276</v>
      </c>
      <c r="BF272" s="40"/>
    </row>
    <row r="273" spans="45:68" x14ac:dyDescent="0.25">
      <c r="AS273">
        <v>1.5882496193148312</v>
      </c>
      <c r="AT273">
        <v>122.41409285916072</v>
      </c>
      <c r="AU273">
        <v>217.19570932476881</v>
      </c>
      <c r="AV273">
        <f t="shared" si="125"/>
        <v>1.0575625971733296</v>
      </c>
      <c r="AW273">
        <f t="shared" si="126"/>
        <v>0.53068702214150165</v>
      </c>
      <c r="AX273" s="40">
        <f t="shared" si="127"/>
        <v>0.50040277701182301</v>
      </c>
      <c r="AY273">
        <f t="shared" si="128"/>
        <v>0.50040277701182301</v>
      </c>
      <c r="BF273" s="40"/>
    </row>
    <row r="274" spans="45:68" x14ac:dyDescent="0.25">
      <c r="AS274">
        <v>1.6057029118347745</v>
      </c>
      <c r="AT274">
        <v>119.27286027804107</v>
      </c>
      <c r="AU274">
        <v>216.71565026277156</v>
      </c>
      <c r="AV274">
        <f t="shared" si="125"/>
        <v>1.0676723924610703</v>
      </c>
      <c r="AW274">
        <f t="shared" si="126"/>
        <v>0.53803051937370427</v>
      </c>
      <c r="AX274" s="40">
        <f t="shared" si="127"/>
        <v>0.5105125722995637</v>
      </c>
      <c r="AY274">
        <f t="shared" si="128"/>
        <v>0.5105125722995637</v>
      </c>
      <c r="BF274" s="40"/>
    </row>
    <row r="275" spans="45:68" x14ac:dyDescent="0.25">
      <c r="AS275">
        <v>1.6231562043547179</v>
      </c>
      <c r="AT275">
        <v>116.33079882804385</v>
      </c>
      <c r="AU275">
        <v>216.19287787478746</v>
      </c>
      <c r="AV275">
        <f t="shared" si="125"/>
        <v>1.0771445610720471</v>
      </c>
      <c r="AW275">
        <f t="shared" si="126"/>
        <v>0.54601164328267071</v>
      </c>
      <c r="AX275" s="40">
        <f t="shared" si="127"/>
        <v>0.51998474091054059</v>
      </c>
      <c r="AY275">
        <f t="shared" si="128"/>
        <v>0.51998474091054059</v>
      </c>
      <c r="BF275" s="40"/>
    </row>
    <row r="276" spans="45:68" x14ac:dyDescent="0.25">
      <c r="AS276">
        <v>1.6406094968746612</v>
      </c>
      <c r="AT276">
        <v>113.33277296489292</v>
      </c>
      <c r="AU276">
        <v>215.63174050593062</v>
      </c>
      <c r="AV276">
        <f t="shared" si="125"/>
        <v>1.0868909654431729</v>
      </c>
      <c r="AW276">
        <f t="shared" si="126"/>
        <v>0.5537185314314883</v>
      </c>
      <c r="AX276" s="40">
        <f t="shared" si="127"/>
        <v>0.52973114528166632</v>
      </c>
      <c r="AY276">
        <f t="shared" si="128"/>
        <v>0.52973114528166632</v>
      </c>
      <c r="BF276" s="40"/>
    </row>
    <row r="277" spans="45:68" x14ac:dyDescent="0.25">
      <c r="AS277">
        <v>1.6580627893946045</v>
      </c>
      <c r="AT277">
        <v>110.27544329549335</v>
      </c>
      <c r="AU277">
        <v>215.03074536724492</v>
      </c>
      <c r="AV277">
        <f t="shared" si="125"/>
        <v>1.0969329637997725</v>
      </c>
      <c r="AW277">
        <f t="shared" si="126"/>
        <v>0.56112982559483204</v>
      </c>
      <c r="AX277" s="40">
        <f t="shared" si="127"/>
        <v>0.5397731436382659</v>
      </c>
      <c r="AY277">
        <f t="shared" si="128"/>
        <v>0.5397731436382659</v>
      </c>
      <c r="BF277" s="40"/>
    </row>
    <row r="278" spans="45:68" x14ac:dyDescent="0.25">
      <c r="AS278">
        <v>1.6755160819145478</v>
      </c>
      <c r="AT278">
        <v>107.15525482736666</v>
      </c>
      <c r="AU278">
        <v>214.38825227610215</v>
      </c>
      <c r="AV278">
        <f t="shared" si="125"/>
        <v>1.1072937784654595</v>
      </c>
      <c r="AW278">
        <f t="shared" si="126"/>
        <v>0.56822230344908831</v>
      </c>
      <c r="AX278" s="40">
        <f t="shared" si="127"/>
        <v>0.55013395830395295</v>
      </c>
      <c r="AY278">
        <f t="shared" si="128"/>
        <v>0.55013395830395295</v>
      </c>
      <c r="BF278" s="40"/>
      <c r="BK278">
        <v>4.7123889803846897</v>
      </c>
      <c r="BL278">
        <v>1.5707963267948966</v>
      </c>
      <c r="BM278">
        <v>3.1415926535897931</v>
      </c>
      <c r="BN278">
        <v>-3.888219269264714</v>
      </c>
      <c r="BO278">
        <v>-2.901725429851342</v>
      </c>
      <c r="BP278">
        <v>-5.3398535353577863</v>
      </c>
    </row>
    <row r="279" spans="45:68" x14ac:dyDescent="0.25">
      <c r="AS279">
        <v>1.6929693744344911</v>
      </c>
      <c r="AT279">
        <v>103.96841732019806</v>
      </c>
      <c r="AU279">
        <v>213.70246178470757</v>
      </c>
      <c r="AV279">
        <f t="shared" si="125"/>
        <v>1.1179987180685835</v>
      </c>
      <c r="AW279">
        <f t="shared" si="126"/>
        <v>0.57497065636590761</v>
      </c>
      <c r="AX279" s="40">
        <f t="shared" si="127"/>
        <v>0.56083889790707697</v>
      </c>
      <c r="AY279">
        <f t="shared" si="128"/>
        <v>0.56083889790707697</v>
      </c>
      <c r="BF279" s="40"/>
    </row>
    <row r="280" spans="45:68" x14ac:dyDescent="0.25">
      <c r="AS280">
        <v>1.7104226669544345</v>
      </c>
      <c r="AT280">
        <v>100.71088350865598</v>
      </c>
      <c r="AU280">
        <v>212.97140178963892</v>
      </c>
      <c r="AV280">
        <f t="shared" si="125"/>
        <v>1.1290754298801198</v>
      </c>
      <c r="AW280">
        <f t="shared" si="126"/>
        <v>0.58134723707431468</v>
      </c>
      <c r="AX280" s="40">
        <f t="shared" si="127"/>
        <v>0.57191560971861322</v>
      </c>
      <c r="AY280">
        <f t="shared" si="128"/>
        <v>0.57191560971861322</v>
      </c>
      <c r="BF280" s="40"/>
    </row>
    <row r="281" spans="45:68" x14ac:dyDescent="0.25">
      <c r="AS281">
        <v>1.7278759594743778</v>
      </c>
      <c r="AT281">
        <v>97.378324736437847</v>
      </c>
      <c r="AU281">
        <v>212.1929124496117</v>
      </c>
      <c r="AV281">
        <f t="shared" si="125"/>
        <v>1.140554187775022</v>
      </c>
      <c r="AW281">
        <f t="shared" si="126"/>
        <v>0.58732177169935573</v>
      </c>
      <c r="AX281" s="40">
        <f t="shared" si="127"/>
        <v>0.58339436761351549</v>
      </c>
      <c r="AY281">
        <f t="shared" si="128"/>
        <v>0.58339436761351549</v>
      </c>
      <c r="BF281" s="40"/>
    </row>
    <row r="282" spans="45:68" x14ac:dyDescent="0.25">
      <c r="AS282">
        <v>1.7453292519943211</v>
      </c>
      <c r="AT282">
        <v>93.966103793131495</v>
      </c>
      <c r="AU282">
        <v>211.3646291598414</v>
      </c>
      <c r="AV282">
        <f t="shared" si="125"/>
        <v>1.1524682209476342</v>
      </c>
      <c r="AW282">
        <f t="shared" si="126"/>
        <v>0.59286103104668686</v>
      </c>
      <c r="AX282" s="40">
        <f t="shared" si="127"/>
        <v>0.59530840078612768</v>
      </c>
      <c r="AY282">
        <f t="shared" si="128"/>
        <v>0.59530840078612768</v>
      </c>
      <c r="BF282" s="40"/>
    </row>
    <row r="283" spans="45:68" x14ac:dyDescent="0.25">
      <c r="AS283">
        <v>1.7627825445142644</v>
      </c>
      <c r="AT283">
        <v>90.469244465625209</v>
      </c>
      <c r="AU283">
        <v>210.48396332771043</v>
      </c>
      <c r="AV283">
        <f t="shared" si="125"/>
        <v>1.1648540903988456</v>
      </c>
      <c r="AW283">
        <f t="shared" si="126"/>
        <v>0.59792845411541884</v>
      </c>
      <c r="AX283" s="40">
        <f t="shared" si="127"/>
        <v>0.60769427023733902</v>
      </c>
      <c r="AY283">
        <f t="shared" si="128"/>
        <v>0.60769427023733902</v>
      </c>
      <c r="BF283" s="40"/>
    </row>
    <row r="284" spans="45:68" x14ac:dyDescent="0.25">
      <c r="AS284">
        <v>1.7802358370342077</v>
      </c>
      <c r="AT284">
        <v>86.882397366476098</v>
      </c>
      <c r="AU284">
        <v>209.54808062802979</v>
      </c>
      <c r="AV284">
        <f t="shared" si="125"/>
        <v>1.1777521208956683</v>
      </c>
      <c r="AW284">
        <f t="shared" si="126"/>
        <v>0.60248371613853946</v>
      </c>
      <c r="AX284" s="40">
        <f t="shared" si="127"/>
        <v>0.62059230073416172</v>
      </c>
      <c r="AY284">
        <f t="shared" si="128"/>
        <v>0.62059230073416172</v>
      </c>
      <c r="BF284" s="40"/>
    </row>
    <row r="285" spans="45:68" x14ac:dyDescent="0.25">
      <c r="AS285">
        <v>1.7976891295541511</v>
      </c>
      <c r="AT285">
        <v>83.199801462974165</v>
      </c>
      <c r="AU285">
        <v>208.55387637189921</v>
      </c>
      <c r="AV285">
        <f t="shared" si="125"/>
        <v>1.1912068977122419</v>
      </c>
      <c r="AW285">
        <f t="shared" si="126"/>
        <v>0.60648223184190919</v>
      </c>
      <c r="AX285" s="40">
        <f t="shared" si="127"/>
        <v>0.63404707755073531</v>
      </c>
      <c r="AY285">
        <f t="shared" si="128"/>
        <v>0.63404707755073531</v>
      </c>
      <c r="BF285" s="40"/>
    </row>
    <row r="286" spans="45:68" x14ac:dyDescent="0.25">
      <c r="AS286">
        <v>1.8151424220740944</v>
      </c>
      <c r="AT286">
        <v>79.377529689539486</v>
      </c>
      <c r="AU286">
        <v>207.5186508097409</v>
      </c>
      <c r="AV286">
        <f t="shared" si="125"/>
        <v>1.2054596630060765</v>
      </c>
      <c r="AW286">
        <f t="shared" si="126"/>
        <v>0.60968275906801783</v>
      </c>
      <c r="AX286" s="40">
        <f t="shared" si="127"/>
        <v>0.64829984284456998</v>
      </c>
      <c r="AY286">
        <f t="shared" si="128"/>
        <v>0.64829984284456998</v>
      </c>
      <c r="BF286" s="40"/>
    </row>
    <row r="287" spans="45:68" x14ac:dyDescent="0.25">
      <c r="AS287">
        <v>1.8325957145940377</v>
      </c>
      <c r="AT287">
        <v>75.057548564304767</v>
      </c>
      <c r="AU287">
        <v>206.62896147493876</v>
      </c>
      <c r="AV287">
        <f t="shared" si="125"/>
        <v>1.2223684093426164</v>
      </c>
      <c r="AW287">
        <f t="shared" si="126"/>
        <v>0.61022730525142133</v>
      </c>
      <c r="AX287" s="40">
        <f t="shared" si="127"/>
        <v>0.66520858918110981</v>
      </c>
      <c r="AY287">
        <f t="shared" si="128"/>
        <v>0.66520858918110981</v>
      </c>
      <c r="BF287" s="40"/>
    </row>
    <row r="288" spans="45:68" x14ac:dyDescent="0.25">
      <c r="AS288">
        <v>1.850049007113981</v>
      </c>
      <c r="AT288">
        <v>70.264854139310174</v>
      </c>
      <c r="AU288">
        <v>205.852851738813</v>
      </c>
      <c r="AV288">
        <f t="shared" si="125"/>
        <v>1.2418613329221495</v>
      </c>
      <c r="AW288">
        <f t="shared" si="126"/>
        <v>0.60818767419183151</v>
      </c>
      <c r="AX288" s="40">
        <f t="shared" si="127"/>
        <v>0.68470151276064295</v>
      </c>
      <c r="AY288">
        <f t="shared" si="128"/>
        <v>0.68470151276064295</v>
      </c>
      <c r="BF288" s="40"/>
    </row>
    <row r="289" spans="45:58" x14ac:dyDescent="0.25">
      <c r="AS289">
        <v>1.8675022996339243</v>
      </c>
      <c r="AT289">
        <v>65.083259344583155</v>
      </c>
      <c r="AU289">
        <v>205.12201627699085</v>
      </c>
      <c r="AV289">
        <f t="shared" si="125"/>
        <v>1.2635531655718995</v>
      </c>
      <c r="AW289">
        <f t="shared" si="126"/>
        <v>0.60394913406202488</v>
      </c>
      <c r="AX289" s="40">
        <f t="shared" si="127"/>
        <v>0.70639334541039289</v>
      </c>
      <c r="AY289">
        <f t="shared" si="128"/>
        <v>0.70639334541039289</v>
      </c>
      <c r="BF289" s="40"/>
    </row>
    <row r="290" spans="45:58" x14ac:dyDescent="0.25">
      <c r="AS290">
        <v>1.8849555921538677</v>
      </c>
      <c r="AT290">
        <v>59.556074124989337</v>
      </c>
      <c r="AU290">
        <v>204.38862152292194</v>
      </c>
      <c r="AV290">
        <f t="shared" si="125"/>
        <v>1.2872604879654632</v>
      </c>
      <c r="AW290">
        <f t="shared" si="126"/>
        <v>0.59769510418840444</v>
      </c>
      <c r="AX290" s="40">
        <f t="shared" si="127"/>
        <v>0.73010066780395666</v>
      </c>
      <c r="AY290">
        <f t="shared" si="128"/>
        <v>0.73010066780395666</v>
      </c>
      <c r="BF290" s="40"/>
    </row>
    <row r="291" spans="45:58" x14ac:dyDescent="0.25">
      <c r="AS291">
        <v>1.902408884673811</v>
      </c>
      <c r="AT291">
        <v>53.703031022708018</v>
      </c>
      <c r="AU291">
        <v>203.61650059895771</v>
      </c>
      <c r="AV291">
        <f t="shared" si="125"/>
        <v>1.312922705983272</v>
      </c>
      <c r="AW291">
        <f t="shared" si="126"/>
        <v>0.58948617869053899</v>
      </c>
      <c r="AX291" s="40">
        <f t="shared" si="127"/>
        <v>0.75576288582176543</v>
      </c>
      <c r="AY291">
        <f t="shared" si="128"/>
        <v>0.75576288582176543</v>
      </c>
      <c r="BF291" s="40"/>
    </row>
    <row r="292" spans="45:58" x14ac:dyDescent="0.25">
      <c r="AS292">
        <v>1.9198621771937543</v>
      </c>
      <c r="AT292">
        <v>47.528972468151217</v>
      </c>
      <c r="AU292">
        <v>202.77628024891965</v>
      </c>
      <c r="AV292">
        <f t="shared" si="125"/>
        <v>1.3405613980447515</v>
      </c>
      <c r="AW292">
        <f t="shared" si="126"/>
        <v>0.5793007791490028</v>
      </c>
      <c r="AX292" s="40">
        <f t="shared" si="127"/>
        <v>0.78340157788324494</v>
      </c>
      <c r="AY292">
        <f t="shared" si="128"/>
        <v>0.78340157788324494</v>
      </c>
      <c r="BF292" s="40"/>
    </row>
    <row r="293" spans="45:58" x14ac:dyDescent="0.25">
      <c r="AS293">
        <v>1.9373154697136976</v>
      </c>
      <c r="AT293">
        <v>41.028514564120528</v>
      </c>
      <c r="AU293">
        <v>201.84247249439841</v>
      </c>
      <c r="AV293">
        <f t="shared" si="125"/>
        <v>1.3702585454441079</v>
      </c>
      <c r="AW293">
        <f t="shared" si="126"/>
        <v>0.56705692426958976</v>
      </c>
      <c r="AX293" s="40">
        <f t="shared" si="127"/>
        <v>0.8130987252826013</v>
      </c>
      <c r="AY293">
        <f t="shared" si="128"/>
        <v>0.8130987252826013</v>
      </c>
      <c r="BF293" s="40"/>
    </row>
    <row r="294" spans="45:58" x14ac:dyDescent="0.25">
      <c r="AS294">
        <v>1.9547687622336409</v>
      </c>
      <c r="AT294">
        <v>34.188593323807751</v>
      </c>
      <c r="AU294">
        <v>200.79160850029169</v>
      </c>
      <c r="AV294">
        <f t="shared" si="125"/>
        <v>1.4021447034415966</v>
      </c>
      <c r="AW294">
        <f t="shared" si="126"/>
        <v>0.55262405879204435</v>
      </c>
      <c r="AX294" s="40">
        <f t="shared" si="127"/>
        <v>0.84498488328009003</v>
      </c>
      <c r="AY294">
        <f t="shared" si="128"/>
        <v>0.84498488328009003</v>
      </c>
      <c r="BF294" s="40"/>
    </row>
    <row r="295" spans="45:58" x14ac:dyDescent="0.25">
      <c r="AS295">
        <v>1.9722220547535843</v>
      </c>
      <c r="AT295">
        <v>26.989816215490013</v>
      </c>
      <c r="AU295">
        <v>199.60094669324715</v>
      </c>
      <c r="AV295">
        <f t="shared" si="125"/>
        <v>1.4363926439690242</v>
      </c>
      <c r="AW295">
        <f t="shared" si="126"/>
        <v>0.53582941078456003</v>
      </c>
      <c r="AX295" s="40">
        <f t="shared" si="127"/>
        <v>0.87923282380751766</v>
      </c>
      <c r="AY295">
        <f t="shared" si="128"/>
        <v>0.87923282380751766</v>
      </c>
      <c r="BF295" s="40"/>
    </row>
    <row r="296" spans="45:58" x14ac:dyDescent="0.25">
      <c r="AS296">
        <v>1.9896753472735276</v>
      </c>
      <c r="AT296">
        <v>19.407088328100848</v>
      </c>
      <c r="AU296">
        <v>198.24750044132895</v>
      </c>
      <c r="AV296">
        <f t="shared" si="125"/>
        <v>1.4732140165091205</v>
      </c>
      <c r="AW296">
        <f t="shared" si="126"/>
        <v>0.51646133076440703</v>
      </c>
      <c r="AX296" s="40">
        <f t="shared" si="127"/>
        <v>0.91605419634761398</v>
      </c>
      <c r="AY296">
        <f t="shared" si="128"/>
        <v>0.91605419634761398</v>
      </c>
      <c r="BF296" s="40"/>
    </row>
    <row r="297" spans="45:58" x14ac:dyDescent="0.25">
      <c r="AS297">
        <v>2.0071286397934709</v>
      </c>
      <c r="AT297">
        <v>11.409758087892687</v>
      </c>
      <c r="AU297">
        <v>196.70723647879095</v>
      </c>
      <c r="AV297">
        <f t="shared" si="125"/>
        <v>1.5128574920970776</v>
      </c>
      <c r="AW297">
        <f t="shared" si="126"/>
        <v>0.49427114769639324</v>
      </c>
      <c r="AX297" s="40">
        <f t="shared" si="127"/>
        <v>0.95569767193557109</v>
      </c>
      <c r="AY297">
        <f t="shared" si="128"/>
        <v>0.95569767193557109</v>
      </c>
      <c r="BF297" s="40"/>
    </row>
    <row r="298" spans="45:58" x14ac:dyDescent="0.25">
      <c r="AS298">
        <v>2.024581932313414</v>
      </c>
      <c r="AT298">
        <v>2.9614084296643304</v>
      </c>
      <c r="AU298">
        <v>194.95434980895394</v>
      </c>
      <c r="AV298">
        <f t="shared" si="125"/>
        <v>1.5556072289975151</v>
      </c>
      <c r="AW298">
        <f t="shared" si="126"/>
        <v>0.46897470331589886</v>
      </c>
      <c r="AX298" s="40">
        <f t="shared" si="127"/>
        <v>0.99844740883600858</v>
      </c>
      <c r="AY298">
        <f t="shared" si="128"/>
        <v>0.99844740883600858</v>
      </c>
      <c r="BF298" s="40"/>
    </row>
    <row r="299" spans="45:58" x14ac:dyDescent="0.25">
      <c r="AS299">
        <v>2.0420352248333571</v>
      </c>
      <c r="AT299">
        <v>-5.9806487249979137</v>
      </c>
      <c r="AU299">
        <v>192.960548731469</v>
      </c>
      <c r="AV299">
        <f t="shared" si="125"/>
        <v>1.6017805605611881</v>
      </c>
      <c r="AW299">
        <f t="shared" si="126"/>
        <v>0.44025466427216897</v>
      </c>
      <c r="AX299" s="40">
        <f t="shared" si="127"/>
        <v>1.0446207403996817</v>
      </c>
      <c r="AY299">
        <f t="shared" si="128"/>
        <v>1.0446207403996817</v>
      </c>
      <c r="BF299" s="40"/>
    </row>
    <row r="300" spans="45:58" x14ac:dyDescent="0.25">
      <c r="AS300">
        <v>2.0594885173533002</v>
      </c>
      <c r="AT300">
        <v>-15.46616053501651</v>
      </c>
      <c r="AU300">
        <v>190.69429696965997</v>
      </c>
      <c r="AV300">
        <f t="shared" si="125"/>
        <v>1.6517236654395462</v>
      </c>
      <c r="AW300">
        <f t="shared" si="126"/>
        <v>0.407764851913754</v>
      </c>
      <c r="AX300" s="40">
        <f t="shared" si="127"/>
        <v>1.0945638452780395</v>
      </c>
      <c r="AY300">
        <f t="shared" si="128"/>
        <v>1.0945638452780395</v>
      </c>
      <c r="BF300" s="40"/>
    </row>
    <row r="301" spans="45:58" x14ac:dyDescent="0.25">
      <c r="AS301">
        <v>2.0769418098732433</v>
      </c>
      <c r="AT301">
        <v>-25.553021930477303</v>
      </c>
      <c r="AU301">
        <v>188.11996372673073</v>
      </c>
      <c r="AV301">
        <f t="shared" si="125"/>
        <v>1.7058036959857013</v>
      </c>
      <c r="AW301">
        <f t="shared" si="126"/>
        <v>0.37113811388754203</v>
      </c>
      <c r="AX301" s="40">
        <f t="shared" si="127"/>
        <v>1.1486438758241948</v>
      </c>
      <c r="AY301">
        <f t="shared" si="128"/>
        <v>1.1486438758241948</v>
      </c>
      <c r="BF301" s="40"/>
    </row>
    <row r="302" spans="45:58" x14ac:dyDescent="0.25">
      <c r="AS302">
        <v>2.0943951023931864</v>
      </c>
      <c r="AT302">
        <v>-36.308712241377265</v>
      </c>
      <c r="AU302">
        <v>185.19682977237645</v>
      </c>
      <c r="AV302">
        <f t="shared" si="125"/>
        <v>1.7643954841544123</v>
      </c>
      <c r="AW302">
        <f t="shared" si="126"/>
        <v>0.32999961823877411</v>
      </c>
      <c r="AX302" s="40">
        <f t="shared" si="127"/>
        <v>1.2072356639929058</v>
      </c>
      <c r="AY302">
        <f t="shared" si="128"/>
        <v>1.2072356639929058</v>
      </c>
      <c r="BF302" s="40"/>
    </row>
    <row r="303" spans="45:58" x14ac:dyDescent="0.25">
      <c r="AS303">
        <v>2.1118483949131295</v>
      </c>
      <c r="AT303">
        <v>-47.278441633916778</v>
      </c>
      <c r="AU303">
        <v>179.84762598420869</v>
      </c>
      <c r="AV303">
        <f t="shared" si="125"/>
        <v>1.8278606358245157</v>
      </c>
      <c r="AW303">
        <f t="shared" si="126"/>
        <v>0.28398775908861373</v>
      </c>
      <c r="AX303" s="40">
        <f t="shared" si="127"/>
        <v>1.2707008156630093</v>
      </c>
      <c r="AY303">
        <f t="shared" si="128"/>
        <v>1.2707008156630093</v>
      </c>
      <c r="BF303" s="40"/>
    </row>
    <row r="304" spans="45:58" x14ac:dyDescent="0.25">
      <c r="AS304">
        <v>2.1293016874330726</v>
      </c>
      <c r="AT304">
        <v>-58.210981737698887</v>
      </c>
      <c r="AU304">
        <v>172.34920286297887</v>
      </c>
      <c r="AV304">
        <f t="shared" si="125"/>
        <v>1.8965168007912607</v>
      </c>
      <c r="AW304">
        <f t="shared" si="126"/>
        <v>0.23278488664181185</v>
      </c>
      <c r="AX304" s="40">
        <f t="shared" si="127"/>
        <v>1.3393569806297543</v>
      </c>
      <c r="AY304">
        <f t="shared" si="128"/>
        <v>1.3393569806297543</v>
      </c>
      <c r="BF304" s="40"/>
    </row>
    <row r="305" spans="45:58" x14ac:dyDescent="0.25">
      <c r="AS305">
        <v>2.1467549799530157</v>
      </c>
      <c r="AT305">
        <v>-69.466509395219646</v>
      </c>
      <c r="AU305">
        <v>164.39576083772653</v>
      </c>
      <c r="AV305">
        <f t="shared" si="125"/>
        <v>1.9705955509623423</v>
      </c>
      <c r="AW305">
        <f t="shared" si="126"/>
        <v>0.17615942899067338</v>
      </c>
      <c r="AX305" s="40">
        <f t="shared" si="127"/>
        <v>1.4134357308008356</v>
      </c>
      <c r="AY305">
        <f t="shared" si="128"/>
        <v>1.4134357308008356</v>
      </c>
      <c r="BF305" s="40"/>
    </row>
    <row r="306" spans="45:58" x14ac:dyDescent="0.25">
      <c r="AS306">
        <v>2.1642082724729588</v>
      </c>
      <c r="AT306">
        <v>-81.069231466661861</v>
      </c>
      <c r="AU306">
        <v>155.9505550562921</v>
      </c>
      <c r="AV306">
        <f t="shared" si="125"/>
        <v>2.0501891355299176</v>
      </c>
      <c r="AW306">
        <f t="shared" si="126"/>
        <v>0.11401913694304122</v>
      </c>
      <c r="AX306" s="40">
        <f t="shared" si="127"/>
        <v>1.4930293153684109</v>
      </c>
      <c r="AY306">
        <f t="shared" si="128"/>
        <v>1.4930293153684109</v>
      </c>
      <c r="BF306" s="40"/>
    </row>
    <row r="307" spans="45:58" x14ac:dyDescent="0.25">
      <c r="AS307">
        <v>2.1816615649929019</v>
      </c>
      <c r="AT307">
        <v>-93.046381898977842</v>
      </c>
      <c r="AU307">
        <v>146.9725037488293</v>
      </c>
      <c r="AV307">
        <f t="shared" si="125"/>
        <v>2.1351898900702615</v>
      </c>
      <c r="AW307">
        <f t="shared" si="126"/>
        <v>4.6471674922640371E-2</v>
      </c>
      <c r="AX307" s="40">
        <f t="shared" si="127"/>
        <v>1.5780300699087548</v>
      </c>
      <c r="AY307">
        <f t="shared" si="128"/>
        <v>1.5780300699087548</v>
      </c>
      <c r="BF307" s="40"/>
    </row>
    <row r="308" spans="45:58" x14ac:dyDescent="0.25">
      <c r="AS308">
        <v>2.199114857512845</v>
      </c>
      <c r="AT308">
        <v>-105.30454209378223</v>
      </c>
      <c r="AU308">
        <v>137.5120533950427</v>
      </c>
      <c r="AV308">
        <f t="shared" si="125"/>
        <v>2.2243229550847587</v>
      </c>
      <c r="AW308">
        <f t="shared" si="126"/>
        <v>2.5208097571913779E-2</v>
      </c>
      <c r="AX308" s="40">
        <f t="shared" si="127"/>
        <v>1.6671631349232521</v>
      </c>
      <c r="AY308">
        <f t="shared" si="128"/>
        <v>1.6671631349232521</v>
      </c>
      <c r="BF308" s="40"/>
    </row>
    <row r="309" spans="45:58" x14ac:dyDescent="0.25">
      <c r="AS309">
        <v>2.2165681500327881</v>
      </c>
      <c r="AT309">
        <v>-117.40197732320291</v>
      </c>
      <c r="AU309">
        <v>127.85255867617553</v>
      </c>
      <c r="AV309">
        <f t="shared" si="125"/>
        <v>2.3136090875919813</v>
      </c>
      <c r="AW309">
        <f t="shared" si="126"/>
        <v>9.7040937559193186E-2</v>
      </c>
      <c r="AX309" s="40">
        <f t="shared" si="127"/>
        <v>1.7564492674304746</v>
      </c>
      <c r="AY309">
        <f t="shared" si="128"/>
        <v>1.7564492674304746</v>
      </c>
      <c r="BF309" s="40"/>
    </row>
    <row r="310" spans="45:58" x14ac:dyDescent="0.25">
      <c r="AS310">
        <v>2.2340214425527312</v>
      </c>
      <c r="AT310">
        <v>-130.51955248478762</v>
      </c>
      <c r="AU310">
        <v>116.81011837959451</v>
      </c>
      <c r="AV310">
        <f t="shared" si="125"/>
        <v>2.4115676256079888</v>
      </c>
      <c r="AW310">
        <f t="shared" si="126"/>
        <v>0.1775461830552576</v>
      </c>
      <c r="AX310" s="40">
        <f t="shared" si="127"/>
        <v>1.8544078054464821</v>
      </c>
      <c r="AY310">
        <f t="shared" si="128"/>
        <v>1.8544078054464821</v>
      </c>
      <c r="BF310" s="40"/>
    </row>
    <row r="311" spans="45:58" x14ac:dyDescent="0.25">
      <c r="AS311">
        <v>2.2514747350726743</v>
      </c>
      <c r="AT311">
        <v>-142.62686039092461</v>
      </c>
      <c r="AU311">
        <v>106.34560853322348</v>
      </c>
      <c r="AV311">
        <f t="shared" si="125"/>
        <v>2.5008998822392474</v>
      </c>
      <c r="AW311">
        <f t="shared" si="126"/>
        <v>0.24942514716657316</v>
      </c>
      <c r="AX311" s="40">
        <f t="shared" si="127"/>
        <v>1.9437400620777407</v>
      </c>
      <c r="AY311">
        <f t="shared" si="128"/>
        <v>1.9437400620777407</v>
      </c>
      <c r="BF311" s="40"/>
    </row>
    <row r="312" spans="45:58" x14ac:dyDescent="0.25">
      <c r="AS312">
        <v>2.2689280275926174</v>
      </c>
      <c r="AT312">
        <v>-153.78895186482038</v>
      </c>
      <c r="AU312">
        <v>96.436939146775629</v>
      </c>
      <c r="AV312">
        <f t="shared" si="125"/>
        <v>2.581503844839514</v>
      </c>
      <c r="AW312">
        <f t="shared" si="126"/>
        <v>0.31257581724689665</v>
      </c>
      <c r="AX312" s="40">
        <f t="shared" si="127"/>
        <v>2.0243440246780073</v>
      </c>
      <c r="AY312">
        <f t="shared" si="128"/>
        <v>2.0243440246780073</v>
      </c>
      <c r="BF312" s="40"/>
    </row>
    <row r="313" spans="45:58" x14ac:dyDescent="0.25">
      <c r="AS313">
        <v>2.2863813201125605</v>
      </c>
      <c r="AT313">
        <v>-164.05812557747709</v>
      </c>
      <c r="AU313">
        <v>87.070777209658445</v>
      </c>
      <c r="AV313">
        <f t="shared" si="125"/>
        <v>2.6536633441936393</v>
      </c>
      <c r="AW313">
        <f t="shared" si="126"/>
        <v>0.3672820240810788</v>
      </c>
      <c r="AX313" s="40">
        <f t="shared" si="127"/>
        <v>2.0965035240321326</v>
      </c>
      <c r="AY313">
        <f t="shared" si="128"/>
        <v>2.0965035240321326</v>
      </c>
      <c r="BF313" s="40"/>
    </row>
    <row r="314" spans="45:58" x14ac:dyDescent="0.25">
      <c r="AS314">
        <v>2.3038346126325036</v>
      </c>
      <c r="AT314">
        <v>-173.47493276991668</v>
      </c>
      <c r="AU314">
        <v>78.242775544685173</v>
      </c>
      <c r="AV314">
        <f t="shared" si="125"/>
        <v>2.7178807048086204</v>
      </c>
      <c r="AW314">
        <f t="shared" si="126"/>
        <v>0.41404609217611688</v>
      </c>
      <c r="AX314" s="40">
        <f t="shared" si="127"/>
        <v>2.1607208846471138</v>
      </c>
      <c r="AY314">
        <f t="shared" si="128"/>
        <v>2.1607208846471138</v>
      </c>
      <c r="BF314" s="40"/>
    </row>
    <row r="315" spans="45:58" x14ac:dyDescent="0.25">
      <c r="AS315">
        <v>2.3212879051524467</v>
      </c>
      <c r="AT315">
        <v>-182.06882751520561</v>
      </c>
      <c r="AU315">
        <v>69.958105815167386</v>
      </c>
      <c r="AV315">
        <f t="shared" si="125"/>
        <v>2.7747459691662688</v>
      </c>
      <c r="AW315">
        <f t="shared" si="126"/>
        <v>0.45345806401382216</v>
      </c>
      <c r="AX315" s="40">
        <f t="shared" si="127"/>
        <v>2.2175861490047621</v>
      </c>
      <c r="AY315">
        <f t="shared" si="128"/>
        <v>2.2175861490047621</v>
      </c>
      <c r="BF315" s="40"/>
    </row>
    <row r="316" spans="45:58" x14ac:dyDescent="0.25">
      <c r="AS316">
        <v>2.3387411976723897</v>
      </c>
      <c r="AT316">
        <v>-189.85847440269634</v>
      </c>
      <c r="AU316">
        <v>62.232347906557187</v>
      </c>
      <c r="AV316">
        <f t="shared" si="125"/>
        <v>2.8248458431209582</v>
      </c>
      <c r="AW316">
        <f t="shared" si="126"/>
        <v>0.48610464544856846</v>
      </c>
      <c r="AX316" s="40">
        <f t="shared" si="127"/>
        <v>2.2676860229594515</v>
      </c>
      <c r="AY316">
        <f t="shared" si="128"/>
        <v>2.2676860229594515</v>
      </c>
      <c r="BF316" s="40"/>
    </row>
    <row r="317" spans="45:58" x14ac:dyDescent="0.25">
      <c r="AS317">
        <v>2.3561944901923328</v>
      </c>
      <c r="AT317">
        <v>-196.85170483307667</v>
      </c>
      <c r="AU317">
        <v>55.092814503471317</v>
      </c>
      <c r="AV317">
        <f t="shared" si="125"/>
        <v>2.8687048433266065</v>
      </c>
      <c r="AW317">
        <f t="shared" si="126"/>
        <v>0.51251035313427362</v>
      </c>
      <c r="AX317" s="40">
        <f t="shared" si="127"/>
        <v>2.3115450231650998</v>
      </c>
      <c r="AY317">
        <f t="shared" si="128"/>
        <v>2.3115450231650998</v>
      </c>
      <c r="BF317" s="40"/>
    </row>
    <row r="318" spans="45:58" x14ac:dyDescent="0.25">
      <c r="AS318">
        <v>2.3736477827122759</v>
      </c>
      <c r="AT318">
        <v>-203.04509011759035</v>
      </c>
      <c r="AU318">
        <v>48.580427322760102</v>
      </c>
      <c r="AV318">
        <f t="shared" si="125"/>
        <v>2.906748144242572</v>
      </c>
      <c r="AW318">
        <f t="shared" si="126"/>
        <v>0.53310036153029605</v>
      </c>
      <c r="AX318" s="40">
        <f t="shared" si="127"/>
        <v>2.3495883240810653</v>
      </c>
      <c r="AY318">
        <f t="shared" si="128"/>
        <v>2.3495883240810653</v>
      </c>
      <c r="BF318" s="40"/>
    </row>
    <row r="319" spans="45:58" x14ac:dyDescent="0.25">
      <c r="AS319">
        <v>2.391101075232219</v>
      </c>
      <c r="AT319">
        <v>-208.42306996855976</v>
      </c>
      <c r="AU319">
        <v>42.752314572673164</v>
      </c>
      <c r="AV319">
        <f t="shared" si="125"/>
        <v>2.9392762541022068</v>
      </c>
      <c r="AW319">
        <f t="shared" si="126"/>
        <v>0.54817517886998779</v>
      </c>
      <c r="AX319" s="40">
        <f t="shared" si="127"/>
        <v>2.3821164339407002</v>
      </c>
      <c r="AY319">
        <f t="shared" si="128"/>
        <v>2.3821164339407002</v>
      </c>
      <c r="BF319" s="40"/>
    </row>
    <row r="320" spans="45:58" x14ac:dyDescent="0.25">
      <c r="AS320">
        <v>2.4085543677521621</v>
      </c>
      <c r="AT320">
        <v>-212.95653574421331</v>
      </c>
      <c r="AU320">
        <v>37.685377825998003</v>
      </c>
      <c r="AV320">
        <f t="shared" si="125"/>
        <v>2.9664431804687612</v>
      </c>
      <c r="AW320">
        <f t="shared" si="126"/>
        <v>0.55788881271659907</v>
      </c>
      <c r="AX320" s="40">
        <f t="shared" si="127"/>
        <v>2.4092833603072545</v>
      </c>
      <c r="AY320">
        <f t="shared" si="128"/>
        <v>2.4092833603072545</v>
      </c>
      <c r="BF320" s="40"/>
    </row>
    <row r="321" spans="45:58" x14ac:dyDescent="0.25">
      <c r="AS321">
        <v>2.4260076602721052</v>
      </c>
      <c r="AT321">
        <v>-216.60071154740561</v>
      </c>
      <c r="AU321">
        <v>33.481194592662312</v>
      </c>
      <c r="AV321">
        <f t="shared" si="125"/>
        <v>2.9882307795894039</v>
      </c>
      <c r="AW321">
        <f t="shared" si="126"/>
        <v>0.56222311931729863</v>
      </c>
      <c r="AX321" s="40">
        <f t="shared" si="127"/>
        <v>2.4310709594278972</v>
      </c>
      <c r="AY321">
        <f t="shared" si="128"/>
        <v>2.4310709594278972</v>
      </c>
      <c r="BF321" s="40"/>
    </row>
    <row r="322" spans="45:58" x14ac:dyDescent="0.25">
      <c r="AS322">
        <v>2.4434609527920483</v>
      </c>
      <c r="AT322">
        <v>-219.29209427544794</v>
      </c>
      <c r="AU322">
        <v>30.272805595010457</v>
      </c>
      <c r="AV322">
        <f t="shared" si="125"/>
        <v>3.0044118310198931</v>
      </c>
      <c r="AW322">
        <f t="shared" si="126"/>
        <v>0.56095087822784473</v>
      </c>
      <c r="AX322" s="40">
        <f t="shared" si="127"/>
        <v>2.4472520108583864</v>
      </c>
      <c r="AY322">
        <f t="shared" si="128"/>
        <v>2.4472520108583864</v>
      </c>
      <c r="BF322" s="40"/>
    </row>
    <row r="323" spans="45:58" x14ac:dyDescent="0.25">
      <c r="AS323">
        <v>2.4609142453119914</v>
      </c>
      <c r="AT323">
        <v>-220.94408852390791</v>
      </c>
      <c r="AU323">
        <v>28.234223393569579</v>
      </c>
      <c r="AV323">
        <f t="shared" ref="AV323:AV362" si="129">ATAN2(AT323,AU323)</f>
        <v>3.0144925192077454</v>
      </c>
      <c r="AW323">
        <f t="shared" ref="AW323:AW362" si="130">ABS(AS323-AV323)</f>
        <v>0.55357827389575398</v>
      </c>
      <c r="AX323" s="40">
        <f t="shared" ref="AX323:AX362" si="131">AV323-$U$13</f>
        <v>2.4573326990462387</v>
      </c>
      <c r="AY323">
        <f t="shared" ref="AY323:AY362" si="132">ABS(AX323)</f>
        <v>2.4573326990462387</v>
      </c>
      <c r="BF323" s="40"/>
    </row>
    <row r="324" spans="45:58" x14ac:dyDescent="0.25">
      <c r="AS324">
        <v>2.4783675378319345</v>
      </c>
      <c r="AT324">
        <v>-221.54690082606805</v>
      </c>
      <c r="AU324">
        <v>27.457617066362278</v>
      </c>
      <c r="AV324">
        <f t="shared" si="129"/>
        <v>3.0182855139216067</v>
      </c>
      <c r="AW324">
        <f t="shared" si="130"/>
        <v>0.53991797608967218</v>
      </c>
      <c r="AX324" s="40">
        <f t="shared" si="131"/>
        <v>2.4611256937601</v>
      </c>
      <c r="AY324">
        <f t="shared" si="132"/>
        <v>2.4611256937601</v>
      </c>
      <c r="BF324" s="40"/>
    </row>
    <row r="325" spans="45:58" x14ac:dyDescent="0.25">
      <c r="AS325">
        <v>2.4958208303518776</v>
      </c>
      <c r="AT325">
        <v>-221.93154541074341</v>
      </c>
      <c r="AU325">
        <v>26.939472376526002</v>
      </c>
      <c r="AV325">
        <f t="shared" si="129"/>
        <v>3.0207972287073535</v>
      </c>
      <c r="AW325">
        <f t="shared" si="130"/>
        <v>0.52497639835547583</v>
      </c>
      <c r="AX325" s="40">
        <f t="shared" si="131"/>
        <v>2.4636374085458468</v>
      </c>
      <c r="AY325">
        <f t="shared" si="132"/>
        <v>2.4636374085458468</v>
      </c>
      <c r="BF325" s="40"/>
    </row>
    <row r="326" spans="45:58" x14ac:dyDescent="0.25">
      <c r="AS326">
        <v>2.5132741228718207</v>
      </c>
      <c r="AT326">
        <v>-222.30501720994641</v>
      </c>
      <c r="AU326">
        <v>26.419962758431893</v>
      </c>
      <c r="AV326">
        <f t="shared" si="129"/>
        <v>3.0233019412365896</v>
      </c>
      <c r="AW326">
        <f t="shared" si="130"/>
        <v>0.51002781836476885</v>
      </c>
      <c r="AX326" s="40">
        <f t="shared" si="131"/>
        <v>2.4661421210750829</v>
      </c>
      <c r="AY326">
        <f t="shared" si="132"/>
        <v>2.4661421210750829</v>
      </c>
      <c r="BF326" s="40"/>
    </row>
    <row r="327" spans="45:58" x14ac:dyDescent="0.25">
      <c r="AS327">
        <v>2.5307274153917638</v>
      </c>
      <c r="AT327">
        <v>-222.66815043604549</v>
      </c>
      <c r="AU327">
        <v>25.898029149624605</v>
      </c>
      <c r="AV327">
        <f t="shared" si="129"/>
        <v>3.0258051490786815</v>
      </c>
      <c r="AW327">
        <f t="shared" si="130"/>
        <v>0.49507773368691765</v>
      </c>
      <c r="AX327" s="40">
        <f t="shared" si="131"/>
        <v>2.4686453289171748</v>
      </c>
      <c r="AY327">
        <f t="shared" si="132"/>
        <v>2.4686453289171748</v>
      </c>
      <c r="BF327" s="40"/>
    </row>
    <row r="328" spans="45:58" x14ac:dyDescent="0.25">
      <c r="AS328">
        <v>2.5481807079117069</v>
      </c>
      <c r="AT328">
        <v>-223.02173845726395</v>
      </c>
      <c r="AU328">
        <v>25.372548347957604</v>
      </c>
      <c r="AV328">
        <f t="shared" si="129"/>
        <v>3.0283125514402234</v>
      </c>
      <c r="AW328">
        <f t="shared" si="130"/>
        <v>0.48013184352851646</v>
      </c>
      <c r="AX328" s="40">
        <f t="shared" si="131"/>
        <v>2.4711527312787167</v>
      </c>
      <c r="AY328">
        <f t="shared" si="132"/>
        <v>2.4711527312787167</v>
      </c>
      <c r="BF328" s="40"/>
    </row>
    <row r="329" spans="45:58" x14ac:dyDescent="0.25">
      <c r="AS329">
        <v>2.56563400043165</v>
      </c>
      <c r="AT329">
        <v>-223.36654056516716</v>
      </c>
      <c r="AU329">
        <v>24.842317648207146</v>
      </c>
      <c r="AV329">
        <f t="shared" si="129"/>
        <v>3.030830123619769</v>
      </c>
      <c r="AW329">
        <f t="shared" si="130"/>
        <v>0.46519612318811898</v>
      </c>
      <c r="AX329" s="40">
        <f t="shared" si="131"/>
        <v>2.4736703034582623</v>
      </c>
      <c r="AY329">
        <f t="shared" si="132"/>
        <v>2.4736703034582623</v>
      </c>
      <c r="BF329" s="40"/>
    </row>
    <row r="330" spans="45:58" x14ac:dyDescent="0.25">
      <c r="AS330">
        <v>2.5830872929515931</v>
      </c>
      <c r="AT330">
        <v>-223.32023827252613</v>
      </c>
      <c r="AU330">
        <v>24.936290649578382</v>
      </c>
      <c r="AV330">
        <f t="shared" si="129"/>
        <v>3.0303917094745452</v>
      </c>
      <c r="AW330">
        <f t="shared" si="130"/>
        <v>0.44730441652295205</v>
      </c>
      <c r="AX330" s="40">
        <f t="shared" si="131"/>
        <v>2.4732318893130385</v>
      </c>
      <c r="AY330">
        <f t="shared" si="132"/>
        <v>2.4732318893130385</v>
      </c>
      <c r="BF330" s="40"/>
    </row>
    <row r="331" spans="45:58" x14ac:dyDescent="0.25">
      <c r="AS331">
        <v>2.6005405854715362</v>
      </c>
      <c r="AT331">
        <v>-224.03269327506951</v>
      </c>
      <c r="AU331">
        <v>23.762287583653364</v>
      </c>
      <c r="AV331">
        <f t="shared" si="129"/>
        <v>3.0359215789214802</v>
      </c>
      <c r="AW331">
        <f t="shared" si="130"/>
        <v>0.43538099344994396</v>
      </c>
      <c r="AX331" s="40">
        <f t="shared" si="131"/>
        <v>2.4787617587599735</v>
      </c>
      <c r="AY331">
        <f t="shared" si="132"/>
        <v>2.4787617587599735</v>
      </c>
      <c r="BF331" s="40"/>
    </row>
    <row r="332" spans="45:58" x14ac:dyDescent="0.25">
      <c r="AS332">
        <v>2.6179938779914793</v>
      </c>
      <c r="AT332">
        <v>-224.02823521162173</v>
      </c>
      <c r="AU332">
        <v>23.767275978446808</v>
      </c>
      <c r="AV332">
        <f t="shared" si="129"/>
        <v>3.0358974726967056</v>
      </c>
      <c r="AW332">
        <f t="shared" si="130"/>
        <v>0.41790359470522631</v>
      </c>
      <c r="AX332" s="40">
        <f t="shared" si="131"/>
        <v>2.478737652535199</v>
      </c>
      <c r="AY332">
        <f t="shared" si="132"/>
        <v>2.478737652535199</v>
      </c>
      <c r="BF332" s="40"/>
    </row>
    <row r="333" spans="45:58" x14ac:dyDescent="0.25">
      <c r="AS333">
        <v>2.6354471705114224</v>
      </c>
      <c r="AT333">
        <v>-224.67225234799764</v>
      </c>
      <c r="AU333">
        <v>22.645959993669919</v>
      </c>
      <c r="AV333">
        <f t="shared" si="129"/>
        <v>3.0411364043587676</v>
      </c>
      <c r="AW333">
        <f t="shared" si="130"/>
        <v>0.40568923384734523</v>
      </c>
      <c r="AX333" s="40">
        <f t="shared" si="131"/>
        <v>2.483976584197261</v>
      </c>
      <c r="AY333">
        <f t="shared" si="132"/>
        <v>2.483976584197261</v>
      </c>
      <c r="BF333" s="40"/>
    </row>
    <row r="334" spans="45:58" x14ac:dyDescent="0.25">
      <c r="AS334">
        <v>2.6529004630313655</v>
      </c>
      <c r="AT334">
        <v>-224.71114728925505</v>
      </c>
      <c r="AU334">
        <v>22.548204454870159</v>
      </c>
      <c r="AV334">
        <f t="shared" si="129"/>
        <v>3.0415843478733056</v>
      </c>
      <c r="AW334">
        <f t="shared" si="130"/>
        <v>0.38868388484194005</v>
      </c>
      <c r="AX334" s="40">
        <f t="shared" si="131"/>
        <v>2.4844245277117989</v>
      </c>
      <c r="AY334">
        <f t="shared" si="132"/>
        <v>2.4844245277117989</v>
      </c>
      <c r="BF334" s="40"/>
    </row>
    <row r="335" spans="45:58" x14ac:dyDescent="0.25">
      <c r="AS335">
        <v>2.6703537555513086</v>
      </c>
      <c r="AT335">
        <v>-225.29074878907159</v>
      </c>
      <c r="AU335">
        <v>21.478521458847855</v>
      </c>
      <c r="AV335">
        <f t="shared" si="129"/>
        <v>3.0465430321003506</v>
      </c>
      <c r="AW335">
        <f t="shared" si="130"/>
        <v>0.376189276549042</v>
      </c>
      <c r="AX335" s="40">
        <f t="shared" si="131"/>
        <v>2.4893832119388439</v>
      </c>
      <c r="AY335">
        <f t="shared" si="132"/>
        <v>2.4893832119388439</v>
      </c>
      <c r="BF335" s="40"/>
    </row>
    <row r="336" spans="45:58" x14ac:dyDescent="0.25">
      <c r="AS336">
        <v>2.6878070480712517</v>
      </c>
      <c r="AT336">
        <v>-225.37480497143522</v>
      </c>
      <c r="AU336">
        <v>21.260816780688771</v>
      </c>
      <c r="AV336">
        <f t="shared" si="129"/>
        <v>3.0475356289668056</v>
      </c>
      <c r="AW336">
        <f t="shared" si="130"/>
        <v>0.35972858089555393</v>
      </c>
      <c r="AX336" s="40">
        <f t="shared" si="131"/>
        <v>2.490375808805299</v>
      </c>
      <c r="AY336">
        <f t="shared" si="132"/>
        <v>2.490375808805299</v>
      </c>
      <c r="BF336" s="40"/>
    </row>
    <row r="337" spans="45:58" x14ac:dyDescent="0.25">
      <c r="AS337">
        <v>2.7052603405911948</v>
      </c>
      <c r="AT337">
        <v>-225.70130450567353</v>
      </c>
      <c r="AU337">
        <v>20.584340298444854</v>
      </c>
      <c r="AV337">
        <f t="shared" si="129"/>
        <v>3.0506425737884726</v>
      </c>
      <c r="AW337">
        <f t="shared" si="130"/>
        <v>0.34538223319727779</v>
      </c>
      <c r="AX337" s="40">
        <f t="shared" si="131"/>
        <v>2.4934827536269659</v>
      </c>
      <c r="AY337">
        <f t="shared" si="132"/>
        <v>2.4934827536269659</v>
      </c>
      <c r="BF337" s="40"/>
    </row>
    <row r="338" spans="45:58" x14ac:dyDescent="0.25">
      <c r="AS338">
        <v>2.7227136331111379</v>
      </c>
      <c r="AT338">
        <v>-226.02532589270817</v>
      </c>
      <c r="AU338">
        <v>19.881275312816662</v>
      </c>
      <c r="AV338">
        <f t="shared" si="129"/>
        <v>3.0538580692223043</v>
      </c>
      <c r="AW338">
        <f t="shared" si="130"/>
        <v>0.3311444361111664</v>
      </c>
      <c r="AX338" s="40">
        <f t="shared" si="131"/>
        <v>2.4966982490607976</v>
      </c>
      <c r="AY338">
        <f t="shared" si="132"/>
        <v>2.4966982490607976</v>
      </c>
      <c r="BF338" s="40"/>
    </row>
    <row r="339" spans="45:58" x14ac:dyDescent="0.25">
      <c r="AS339">
        <v>2.740166925631081</v>
      </c>
      <c r="AT339">
        <v>-226.34774046984813</v>
      </c>
      <c r="AU339">
        <v>19.147312240786334</v>
      </c>
      <c r="AV339">
        <f t="shared" si="129"/>
        <v>3.0572011093466607</v>
      </c>
      <c r="AW339">
        <f t="shared" si="130"/>
        <v>0.31703418371557968</v>
      </c>
      <c r="AX339" s="40">
        <f t="shared" si="131"/>
        <v>2.500041289185154</v>
      </c>
      <c r="AY339">
        <f t="shared" si="132"/>
        <v>2.500041289185154</v>
      </c>
      <c r="BF339" s="40"/>
    </row>
    <row r="340" spans="45:58" x14ac:dyDescent="0.25">
      <c r="AS340">
        <v>2.7576202181510241</v>
      </c>
      <c r="AT340">
        <v>-226.66949264516199</v>
      </c>
      <c r="AU340">
        <v>18.377354959056682</v>
      </c>
      <c r="AV340">
        <f t="shared" si="129"/>
        <v>3.0606940442451873</v>
      </c>
      <c r="AW340">
        <f t="shared" si="130"/>
        <v>0.30307382609416322</v>
      </c>
      <c r="AX340" s="40">
        <f t="shared" si="131"/>
        <v>2.5035342240836806</v>
      </c>
      <c r="AY340">
        <f t="shared" si="132"/>
        <v>2.5035342240836806</v>
      </c>
      <c r="BF340" s="40"/>
    </row>
    <row r="341" spans="45:58" x14ac:dyDescent="0.25">
      <c r="AS341">
        <v>2.7750735106709672</v>
      </c>
      <c r="AT341">
        <v>-226.99162202728442</v>
      </c>
      <c r="AU341">
        <v>17.565319749387434</v>
      </c>
      <c r="AV341">
        <f t="shared" si="129"/>
        <v>3.0643634422740407</v>
      </c>
      <c r="AW341">
        <f t="shared" si="130"/>
        <v>0.28928993160307348</v>
      </c>
      <c r="AX341" s="40">
        <f t="shared" si="131"/>
        <v>2.507203622112534</v>
      </c>
      <c r="AY341">
        <f t="shared" si="132"/>
        <v>2.507203622112534</v>
      </c>
      <c r="BF341" s="40"/>
    </row>
    <row r="342" spans="45:58" x14ac:dyDescent="0.25">
      <c r="AS342">
        <v>2.7925268031909103</v>
      </c>
      <c r="AT342">
        <v>-227.31529111330315</v>
      </c>
      <c r="AU342">
        <v>16.703871088979909</v>
      </c>
      <c r="AV342">
        <f t="shared" si="129"/>
        <v>3.068241220706009</v>
      </c>
      <c r="AW342">
        <f t="shared" si="130"/>
        <v>0.27571441751509873</v>
      </c>
      <c r="AX342" s="40">
        <f t="shared" si="131"/>
        <v>2.5110814005445024</v>
      </c>
      <c r="AY342">
        <f t="shared" si="132"/>
        <v>2.5110814005445024</v>
      </c>
      <c r="BF342" s="40"/>
    </row>
    <row r="343" spans="45:58" x14ac:dyDescent="0.25">
      <c r="AS343">
        <v>2.8099800957108534</v>
      </c>
      <c r="AT343">
        <v>-227.6348647940199</v>
      </c>
      <c r="AU343">
        <v>15.804637449996516</v>
      </c>
      <c r="AV343">
        <f t="shared" si="129"/>
        <v>3.072274118933807</v>
      </c>
      <c r="AW343">
        <f t="shared" si="130"/>
        <v>0.26229402322295359</v>
      </c>
      <c r="AX343" s="40">
        <f t="shared" si="131"/>
        <v>2.5151142987723003</v>
      </c>
      <c r="AY343">
        <f t="shared" si="132"/>
        <v>2.5151142987723003</v>
      </c>
      <c r="BF343" s="40"/>
    </row>
    <row r="344" spans="45:58" x14ac:dyDescent="0.25">
      <c r="AS344">
        <v>2.8274333882307965</v>
      </c>
      <c r="AT344">
        <v>-227.93406767440939</v>
      </c>
      <c r="AU344">
        <v>14.913814057091288</v>
      </c>
      <c r="AV344">
        <f t="shared" si="129"/>
        <v>3.0762554004755449</v>
      </c>
      <c r="AW344">
        <f t="shared" si="130"/>
        <v>0.24882201224474843</v>
      </c>
      <c r="AX344" s="40">
        <f t="shared" si="131"/>
        <v>2.5190955803140382</v>
      </c>
      <c r="AY344">
        <f t="shared" si="132"/>
        <v>2.5190955803140382</v>
      </c>
      <c r="BF344" s="40"/>
    </row>
    <row r="345" spans="45:58" x14ac:dyDescent="0.25">
      <c r="AS345">
        <v>2.8448866807507396</v>
      </c>
      <c r="AT345">
        <v>-228.21291936229946</v>
      </c>
      <c r="AU345">
        <v>14.0330382789534</v>
      </c>
      <c r="AV345">
        <f t="shared" si="129"/>
        <v>3.0801789905643191</v>
      </c>
      <c r="AW345">
        <f t="shared" si="130"/>
        <v>0.23529230981357951</v>
      </c>
      <c r="AX345" s="40">
        <f t="shared" si="131"/>
        <v>2.5230191704028124</v>
      </c>
      <c r="AY345">
        <f t="shared" si="132"/>
        <v>2.5230191704028124</v>
      </c>
      <c r="BF345" s="40"/>
    </row>
    <row r="346" spans="45:58" x14ac:dyDescent="0.25">
      <c r="AS346">
        <v>2.8623399732706827</v>
      </c>
      <c r="AT346">
        <v>-228.47219864123849</v>
      </c>
      <c r="AU346">
        <v>13.161613206330166</v>
      </c>
      <c r="AV346">
        <f t="shared" si="129"/>
        <v>3.0840491846579878</v>
      </c>
      <c r="AW346">
        <f t="shared" si="130"/>
        <v>0.22170921138730515</v>
      </c>
      <c r="AX346" s="40">
        <f t="shared" si="131"/>
        <v>2.5268893644964812</v>
      </c>
      <c r="AY346">
        <f t="shared" si="132"/>
        <v>2.5268893644964812</v>
      </c>
      <c r="BF346" s="40"/>
    </row>
    <row r="347" spans="45:58" x14ac:dyDescent="0.25">
      <c r="AS347">
        <v>2.8797932657906258</v>
      </c>
      <c r="AT347">
        <v>-228.71261836718898</v>
      </c>
      <c r="AU347">
        <v>12.298867932589426</v>
      </c>
      <c r="AV347">
        <f t="shared" si="129"/>
        <v>3.0878700660259364</v>
      </c>
      <c r="AW347">
        <f t="shared" si="130"/>
        <v>0.20807680023531061</v>
      </c>
      <c r="AX347" s="40">
        <f t="shared" si="131"/>
        <v>2.5307102458644297</v>
      </c>
      <c r="AY347">
        <f t="shared" si="132"/>
        <v>2.5307102458644297</v>
      </c>
      <c r="BF347" s="40"/>
    </row>
    <row r="348" spans="45:58" x14ac:dyDescent="0.25">
      <c r="AS348">
        <v>2.8972465583105689</v>
      </c>
      <c r="AT348">
        <v>-228.93482987265853</v>
      </c>
      <c r="AU348">
        <v>11.444155330502888</v>
      </c>
      <c r="AV348">
        <f t="shared" si="129"/>
        <v>3.0916455262069675</v>
      </c>
      <c r="AW348">
        <f t="shared" si="130"/>
        <v>0.19439896789639866</v>
      </c>
      <c r="AX348" s="40">
        <f t="shared" si="131"/>
        <v>2.5344857060454609</v>
      </c>
      <c r="AY348">
        <f t="shared" si="132"/>
        <v>2.5344857060454609</v>
      </c>
      <c r="BF348" s="40"/>
    </row>
    <row r="349" spans="45:58" x14ac:dyDescent="0.25">
      <c r="AS349">
        <v>2.914699850830512</v>
      </c>
      <c r="AT349">
        <v>-229.13942675117636</v>
      </c>
      <c r="AU349">
        <v>10.596849972664231</v>
      </c>
      <c r="AV349">
        <f t="shared" si="129"/>
        <v>3.0953792836894167</v>
      </c>
      <c r="AW349">
        <f t="shared" si="130"/>
        <v>0.18067943285890475</v>
      </c>
      <c r="AX349" s="40">
        <f t="shared" si="131"/>
        <v>2.5382194635279101</v>
      </c>
      <c r="AY349">
        <f t="shared" si="132"/>
        <v>2.5382194635279101</v>
      </c>
      <c r="BF349" s="40"/>
    </row>
    <row r="350" spans="45:58" x14ac:dyDescent="0.25">
      <c r="AS350">
        <v>2.9321531433504551</v>
      </c>
      <c r="AT350">
        <v>-229.32694847938399</v>
      </c>
      <c r="AU350">
        <v>9.7563461806549014</v>
      </c>
      <c r="AV350">
        <f t="shared" si="129"/>
        <v>3.0990749011193861</v>
      </c>
      <c r="AW350">
        <f t="shared" si="130"/>
        <v>0.16692175776893103</v>
      </c>
      <c r="AX350" s="40">
        <f t="shared" si="131"/>
        <v>2.5419150809578794</v>
      </c>
      <c r="AY350">
        <f t="shared" si="132"/>
        <v>2.5419150809578794</v>
      </c>
      <c r="BF350" s="40"/>
    </row>
    <row r="351" spans="45:58" x14ac:dyDescent="0.25">
      <c r="AS351">
        <v>2.9496064358703982</v>
      </c>
      <c r="AT351">
        <v>-229.49788341182665</v>
      </c>
      <c r="AU351">
        <v>8.9220561894221753</v>
      </c>
      <c r="AV351">
        <f t="shared" si="129"/>
        <v>3.1027358011090787</v>
      </c>
      <c r="AW351">
        <f t="shared" si="130"/>
        <v>0.15312936523868048</v>
      </c>
      <c r="AX351" s="40">
        <f t="shared" si="131"/>
        <v>2.545575980947572</v>
      </c>
      <c r="AY351">
        <f t="shared" si="132"/>
        <v>2.545575980947572</v>
      </c>
      <c r="BF351" s="40"/>
    </row>
    <row r="352" spans="45:58" x14ac:dyDescent="0.25">
      <c r="AS352">
        <v>2.9670597283903413</v>
      </c>
      <c r="AT352">
        <v>-229.65267163153672</v>
      </c>
      <c r="AU352">
        <v>8.0934084145194376</v>
      </c>
      <c r="AV352">
        <f t="shared" si="129"/>
        <v>3.1063652809071103</v>
      </c>
      <c r="AW352">
        <f t="shared" si="130"/>
        <v>0.13930555251676902</v>
      </c>
      <c r="AX352" s="40">
        <f t="shared" si="131"/>
        <v>2.5492054607456036</v>
      </c>
      <c r="AY352">
        <f t="shared" si="132"/>
        <v>2.5492054607456036</v>
      </c>
      <c r="BF352" s="40"/>
    </row>
    <row r="353" spans="45:58" x14ac:dyDescent="0.25">
      <c r="AS353">
        <v>2.9845130209102844</v>
      </c>
      <c r="AT353">
        <v>-229.79170733776738</v>
      </c>
      <c r="AU353">
        <v>7.2698458108971149</v>
      </c>
      <c r="AV353">
        <f t="shared" si="129"/>
        <v>3.1099665260070548</v>
      </c>
      <c r="AW353">
        <f t="shared" si="130"/>
        <v>0.12545350509677045</v>
      </c>
      <c r="AX353" s="40">
        <f t="shared" si="131"/>
        <v>2.5528067058455481</v>
      </c>
      <c r="AY353">
        <f t="shared" si="132"/>
        <v>2.5528067058455481</v>
      </c>
      <c r="BF353" s="40"/>
    </row>
    <row r="354" spans="45:58" x14ac:dyDescent="0.25">
      <c r="AS354">
        <v>3.0019663134302275</v>
      </c>
      <c r="AT354">
        <v>-229.91534112718585</v>
      </c>
      <c r="AU354">
        <v>6.4508243128406768</v>
      </c>
      <c r="AV354">
        <f t="shared" si="129"/>
        <v>3.1135426228819543</v>
      </c>
      <c r="AW354">
        <f t="shared" si="130"/>
        <v>0.11157630945172681</v>
      </c>
      <c r="AX354" s="40">
        <f t="shared" si="131"/>
        <v>2.5563828027204476</v>
      </c>
      <c r="AY354">
        <f t="shared" si="132"/>
        <v>2.5563828027204476</v>
      </c>
      <c r="BF354" s="40"/>
    </row>
    <row r="355" spans="45:58" x14ac:dyDescent="0.25">
      <c r="AS355">
        <v>3.0194196059501706</v>
      </c>
      <c r="AT355">
        <v>-230.02388182218482</v>
      </c>
      <c r="AU355">
        <v>5.6358113454442353</v>
      </c>
      <c r="AV355">
        <f t="shared" si="129"/>
        <v>3.1170965709032648</v>
      </c>
      <c r="AW355">
        <f t="shared" si="130"/>
        <v>9.7676964953094192E-2</v>
      </c>
      <c r="AX355" s="40">
        <f t="shared" si="131"/>
        <v>2.5599367507417581</v>
      </c>
      <c r="AY355">
        <f t="shared" si="132"/>
        <v>2.5599367507417581</v>
      </c>
      <c r="BF355" s="40"/>
    </row>
    <row r="356" spans="45:58" x14ac:dyDescent="0.25">
      <c r="AS356">
        <v>3.0368728984701137</v>
      </c>
      <c r="AT356">
        <v>-230.11759812050786</v>
      </c>
      <c r="AU356">
        <v>4.8242843986954789</v>
      </c>
      <c r="AV356">
        <f t="shared" si="129"/>
        <v>3.1206312935941547</v>
      </c>
      <c r="AW356">
        <f t="shared" si="130"/>
        <v>8.3758395124041041E-2</v>
      </c>
      <c r="AX356" s="40">
        <f t="shared" si="131"/>
        <v>2.563471473432648</v>
      </c>
      <c r="AY356">
        <f t="shared" si="132"/>
        <v>2.563471473432648</v>
      </c>
      <c r="BF356" s="40"/>
    </row>
    <row r="357" spans="45:58" x14ac:dyDescent="0.25">
      <c r="AS357">
        <v>3.0543261909900568</v>
      </c>
      <c r="AT357">
        <v>-230.19672010648799</v>
      </c>
      <c r="AU357">
        <v>4.0157296558408273</v>
      </c>
      <c r="AV357">
        <f t="shared" si="129"/>
        <v>3.1241496493082193</v>
      </c>
      <c r="AW357">
        <f t="shared" si="130"/>
        <v>6.9823458318162501E-2</v>
      </c>
      <c r="AX357" s="40">
        <f t="shared" si="131"/>
        <v>2.5669898291467126</v>
      </c>
      <c r="AY357">
        <f t="shared" si="132"/>
        <v>2.5669898291467126</v>
      </c>
      <c r="BF357" s="40"/>
    </row>
    <row r="358" spans="45:58" x14ac:dyDescent="0.25">
      <c r="AS358">
        <v>3.0717794835099999</v>
      </c>
      <c r="AT358">
        <v>-230.2614403824264</v>
      </c>
      <c r="AU358">
        <v>3.2096406682080616</v>
      </c>
      <c r="AV358">
        <f t="shared" si="129"/>
        <v>3.1276544413970222</v>
      </c>
      <c r="AW358">
        <f t="shared" si="130"/>
        <v>5.5874957887022347E-2</v>
      </c>
      <c r="AX358" s="40">
        <f t="shared" si="131"/>
        <v>2.5704946212355155</v>
      </c>
      <c r="AY358">
        <f t="shared" si="132"/>
        <v>2.5704946212355155</v>
      </c>
      <c r="BF358" s="40"/>
    </row>
    <row r="359" spans="45:58" x14ac:dyDescent="0.25">
      <c r="AS359">
        <v>3.089232776029943</v>
      </c>
      <c r="AT359">
        <v>-230.31191508104052</v>
      </c>
      <c r="AU359">
        <v>2.4055170690925261</v>
      </c>
      <c r="AV359">
        <f t="shared" si="129"/>
        <v>3.1311484279772057</v>
      </c>
      <c r="AW359">
        <f t="shared" si="130"/>
        <v>4.1915651947262766E-2</v>
      </c>
      <c r="AX359" s="40">
        <f t="shared" si="131"/>
        <v>2.573988607815699</v>
      </c>
      <c r="AY359">
        <f t="shared" si="132"/>
        <v>2.573988607815699</v>
      </c>
      <c r="BF359" s="40"/>
    </row>
    <row r="360" spans="45:58" x14ac:dyDescent="0.25">
      <c r="AS360">
        <v>3.106686068549886</v>
      </c>
      <c r="AT360">
        <v>-230.34826463933965</v>
      </c>
      <c r="AU360">
        <v>1.6028633196721593</v>
      </c>
      <c r="AV360">
        <f t="shared" si="129"/>
        <v>3.1346343313605365</v>
      </c>
      <c r="AW360">
        <f t="shared" si="130"/>
        <v>2.7948262810650437E-2</v>
      </c>
      <c r="AX360" s="40">
        <f t="shared" si="131"/>
        <v>2.5774745111990298</v>
      </c>
      <c r="AY360">
        <f t="shared" si="132"/>
        <v>2.5774745111990298</v>
      </c>
      <c r="BF360" s="40"/>
    </row>
    <row r="361" spans="45:58" x14ac:dyDescent="0.25">
      <c r="AS361">
        <v>3.1241393610698291</v>
      </c>
      <c r="AT361">
        <v>-230.37057448070942</v>
      </c>
      <c r="AU361">
        <v>0.80118748020615005</v>
      </c>
      <c r="AV361">
        <f t="shared" si="129"/>
        <v>3.1381148472256251</v>
      </c>
      <c r="AW361">
        <f t="shared" si="130"/>
        <v>1.3975486155795913E-2</v>
      </c>
      <c r="AX361" s="40">
        <f t="shared" si="131"/>
        <v>2.5809550270641184</v>
      </c>
      <c r="AY361">
        <f t="shared" si="132"/>
        <v>2.5809550270641184</v>
      </c>
      <c r="BF361" s="40"/>
    </row>
    <row r="362" spans="45:58" x14ac:dyDescent="0.25">
      <c r="AS362">
        <v>3.1415926535897722</v>
      </c>
      <c r="AT362">
        <v>-230.37889532352679</v>
      </c>
      <c r="AU362">
        <v>9.6812620770935811E-13</v>
      </c>
      <c r="AV362">
        <f t="shared" si="129"/>
        <v>3.1415926535897891</v>
      </c>
      <c r="AW362">
        <f t="shared" si="130"/>
        <v>1.6875389974302379E-14</v>
      </c>
      <c r="AX362" s="40">
        <f t="shared" si="131"/>
        <v>2.5844328334282824</v>
      </c>
      <c r="AY362">
        <f t="shared" si="132"/>
        <v>2.5844328334282824</v>
      </c>
      <c r="BF362" s="40"/>
    </row>
  </sheetData>
  <phoneticPr fontId="3" type="noConversion"/>
  <dataValidations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 Bockoven</cp:lastModifiedBy>
  <dcterms:created xsi:type="dcterms:W3CDTF">2020-11-07T15:23:03Z</dcterms:created>
  <dcterms:modified xsi:type="dcterms:W3CDTF">2020-11-11T18:56:09Z</dcterms:modified>
</cp:coreProperties>
</file>