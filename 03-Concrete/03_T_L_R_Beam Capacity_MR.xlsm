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cuments/"/>
    </mc:Choice>
  </mc:AlternateContent>
  <xr:revisionPtr revIDLastSave="0" documentId="13_ncr:1_{FC63C3AE-4D92-C046-A000-46A09CCBB805}" xr6:coauthVersionLast="45" xr6:coauthVersionMax="45" xr10:uidLastSave="{00000000-0000-0000-0000-000000000000}"/>
  <bookViews>
    <workbookView xWindow="0" yWindow="440" windowWidth="25600" windowHeight="14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6" i="1" l="1"/>
  <c r="AA6" i="1"/>
  <c r="U14" i="1"/>
  <c r="U16" i="1"/>
  <c r="U15" i="1" l="1"/>
  <c r="W16" i="1" s="1"/>
  <c r="V16" i="1" l="1"/>
  <c r="W12" i="1"/>
  <c r="W11" i="1"/>
  <c r="W10" i="1"/>
  <c r="U13" i="1"/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S56" i="1" l="1"/>
  <c r="W56" i="1"/>
  <c r="T56" i="1"/>
  <c r="V56" i="1"/>
  <c r="L56" i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AB7" i="1" s="1"/>
  <c r="P57" i="1"/>
  <c r="B77" i="1" s="1"/>
  <c r="W4" i="1" l="1"/>
  <c r="B79" i="1"/>
  <c r="U5" i="1" s="1"/>
  <c r="B80" i="1"/>
  <c r="U6" i="1" s="1"/>
  <c r="U8" i="1" l="1"/>
  <c r="AA7" i="1" s="1"/>
  <c r="W6" i="1"/>
  <c r="U18" i="1"/>
  <c r="U19" i="1" s="1"/>
  <c r="U21" i="1" s="1"/>
  <c r="U7" i="1"/>
  <c r="W7" i="1" s="1"/>
  <c r="B83" i="1"/>
  <c r="W19" i="1" l="1"/>
  <c r="W21" i="1" s="1"/>
  <c r="V19" i="1"/>
  <c r="V21" i="1" s="1"/>
  <c r="U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<sst xmlns="http://schemas.openxmlformats.org/spreadsheetml/2006/main" count="151" uniqueCount="111">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</sst>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2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5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48</c:v>
                </c:pt>
                <c:pt idx="4">
                  <c:v>48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18</c:v>
                </c:pt>
                <c:pt idx="5">
                  <c:v>18</c:v>
                </c:pt>
                <c:pt idx="6">
                  <c:v>10</c:v>
                </c:pt>
                <c:pt idx="7">
                  <c:v>10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10</c:v>
                </c:pt>
                <c:pt idx="2">
                  <c:v>2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16</c:v>
                </c:pt>
                <c:pt idx="3">
                  <c:v>16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-58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-13.275984175543766</c:v>
                </c:pt>
                <c:pt idx="1">
                  <c:v>48.99165911906212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15.857203518770095</c:v>
                </c:pt>
                <c:pt idx="1">
                  <c:v>18.23731608480729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-13.291969171121277</c:v>
                </c:pt>
                <c:pt idx="1">
                  <c:v>48.975674123484609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16.275397186115629</c:v>
                </c:pt>
                <c:pt idx="1">
                  <c:v>18.655509752152824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-6.3393857138436838</c:v>
                </c:pt>
                <c:pt idx="1">
                  <c:v>5.6518574786001343</c:v>
                </c:pt>
                <c:pt idx="2">
                  <c:v>6.0338176092909954</c:v>
                </c:pt>
                <c:pt idx="3">
                  <c:v>42.007547186622446</c:v>
                </c:pt>
                <c:pt idx="4">
                  <c:v>42.313115291175137</c:v>
                </c:pt>
                <c:pt idx="5">
                  <c:v>-17.643100671043953</c:v>
                </c:pt>
                <c:pt idx="6">
                  <c:v>-17.948668775596641</c:v>
                </c:pt>
                <c:pt idx="7">
                  <c:v>-5.9574255831528227</c:v>
                </c:pt>
                <c:pt idx="8">
                  <c:v>-6.3393857138436838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-8.7642563159183471</c:v>
                </c:pt>
                <c:pt idx="1">
                  <c:v>-9.22260847274738</c:v>
                </c:pt>
                <c:pt idx="2">
                  <c:v>0.77009418762246806</c:v>
                </c:pt>
                <c:pt idx="3">
                  <c:v>-0.60496228286463172</c:v>
                </c:pt>
                <c:pt idx="4">
                  <c:v>7.3891998454312473</c:v>
                </c:pt>
                <c:pt idx="5">
                  <c:v>9.680960629576413</c:v>
                </c:pt>
                <c:pt idx="6">
                  <c:v>1.6867985012805347</c:v>
                </c:pt>
                <c:pt idx="7">
                  <c:v>1.2284463444515015</c:v>
                </c:pt>
                <c:pt idx="8">
                  <c:v>-8.7642563159183471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-4.2644531556315419</c:v>
                </c:pt>
                <c:pt idx="1">
                  <c:v>3.7297089726643362</c:v>
                </c:pt>
                <c:pt idx="2">
                  <c:v>-3.7297089726643362</c:v>
                </c:pt>
                <c:pt idx="3">
                  <c:v>4.2644531556315419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-6.842107809982549</c:v>
                </c:pt>
                <c:pt idx="1">
                  <c:v>-7.1476759145352382</c:v>
                </c:pt>
                <c:pt idx="2">
                  <c:v>7.1476759145352382</c:v>
                </c:pt>
                <c:pt idx="3">
                  <c:v>6.842107809982549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-19</c:v>
                </c:pt>
                <c:pt idx="1">
                  <c:v>43.313115291175137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7.5884653279597067</c:v>
                </c:pt>
                <c:pt idx="1">
                  <c:v>7.5884653279597067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-19</c:v>
                </c:pt>
                <c:pt idx="1">
                  <c:v>43.313115291175137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8.0069643882830484</c:v>
                </c:pt>
                <c:pt idx="1">
                  <c:v>8.0069643882830484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26.151382966725862</c:v>
                </c:pt>
                <c:pt idx="5">
                  <c:v>-17.643100671043953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8.0069643882830484</c:v>
                </c:pt>
                <c:pt idx="5">
                  <c:v>9.680960629576413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-17.643100671043953</c:v>
                </c:pt>
                <c:pt idx="5">
                  <c:v>-17.707087346604332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9.680960629576413</c:v>
                </c:pt>
                <c:pt idx="5">
                  <c:v>8.0069643882830484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L_Section_Capacity!$AA$5:$AA$7</c:f>
              <c:numCache>
                <c:formatCode>General</c:formatCode>
                <c:ptCount val="3"/>
                <c:pt idx="0">
                  <c:v>0</c:v>
                </c:pt>
                <c:pt idx="1">
                  <c:v>31.622776601683793</c:v>
                </c:pt>
                <c:pt idx="2">
                  <c:v>135.00285781609367</c:v>
                </c:pt>
              </c:numCache>
            </c:numRef>
          </c:xVal>
          <c:yVal>
            <c:numRef>
              <c:f>L_Section_Capacity!$AB$5:$AB$7</c:f>
              <c:numCache>
                <c:formatCode>General</c:formatCode>
                <c:ptCount val="3"/>
                <c:pt idx="0">
                  <c:v>0</c:v>
                </c:pt>
                <c:pt idx="1">
                  <c:v>20</c:v>
                </c:pt>
                <c:pt idx="2" formatCode="0.000">
                  <c:v>20.000000000000338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3</xdr:row>
          <xdr:rowOff>12700</xdr:rowOff>
        </xdr:from>
        <xdr:to>
          <xdr:col>9</xdr:col>
          <xdr:colOff>190500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8</xdr:row>
          <xdr:rowOff>25400</xdr:rowOff>
        </xdr:from>
        <xdr:to>
          <xdr:col>9</xdr:col>
          <xdr:colOff>203200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24</xdr:row>
          <xdr:rowOff>88900</xdr:rowOff>
        </xdr:from>
        <xdr:to>
          <xdr:col>20</xdr:col>
          <xdr:colOff>800100</xdr:colOff>
          <xdr:row>27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2B540E4-B317-5644-8183-5D9F20533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A497C7-0661-564F-98E0-EE5076F1EE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topLeftCell="I1" workbookViewId="0">
      <selection activeCell="AA11" sqref="AA11"/>
    </sheetView>
  </sheetViews>
  <sheetFormatPr baseColWidth="10" defaultColWidth="8.83203125" defaultRowHeight="15" x14ac:dyDescent="0.2"/>
  <cols>
    <col min="1" max="1" width="15.33203125" customWidth="1"/>
    <col min="2" max="2" width="13.83203125" customWidth="1"/>
    <col min="3" max="3" width="12.5" customWidth="1"/>
    <col min="4" max="5" width="11.1640625" customWidth="1"/>
    <col min="15" max="16" width="10.6640625" bestFit="1" customWidth="1"/>
    <col min="20" max="20" width="13.33203125" bestFit="1" customWidth="1"/>
    <col min="21" max="21" width="12.83203125" bestFit="1" customWidth="1"/>
    <col min="22" max="22" width="9.5" bestFit="1" customWidth="1"/>
    <col min="23" max="23" width="12.1640625" bestFit="1" customWidth="1"/>
    <col min="24" max="24" width="9.5" bestFit="1" customWidth="1"/>
  </cols>
  <sheetData>
    <row r="1" spans="1:41" x14ac:dyDescent="0.2">
      <c r="K1" s="8" t="s">
        <v>71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6" thickBot="1" x14ac:dyDescent="0.25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6</v>
      </c>
      <c r="K2" s="8" t="s">
        <v>72</v>
      </c>
      <c r="L2" s="4">
        <v>100</v>
      </c>
      <c r="M2">
        <v>681</v>
      </c>
      <c r="N2">
        <v>12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9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20.000000000000338</v>
      </c>
      <c r="V4" s="17" t="s">
        <v>68</v>
      </c>
      <c r="W4" s="31">
        <f ca="1">U4-U10</f>
        <v>3.3750779948604759E-13</v>
      </c>
      <c r="X4">
        <f>MAX(E3:F9)+10</f>
        <v>58</v>
      </c>
      <c r="Y4">
        <f>X4</f>
        <v>58</v>
      </c>
      <c r="AA4" t="s">
        <v>8</v>
      </c>
      <c r="AB4" t="s">
        <v>9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">
      <c r="A5" s="8" t="s">
        <v>5</v>
      </c>
      <c r="B5" s="2">
        <v>12</v>
      </c>
      <c r="C5" t="s">
        <v>4</v>
      </c>
      <c r="E5" s="5">
        <f>E4</f>
        <v>12</v>
      </c>
      <c r="F5">
        <f>(B8-B9)</f>
        <v>10</v>
      </c>
      <c r="G5">
        <f t="shared" ref="G5:G11" si="1">((E4*F5)-(E5*F4))*0.5</f>
        <v>60</v>
      </c>
      <c r="T5" s="27" t="s">
        <v>77</v>
      </c>
      <c r="U5" s="10">
        <f ca="1">U3*B79*(1/12)</f>
        <v>128.07495639921646</v>
      </c>
      <c r="V5" s="17" t="s">
        <v>70</v>
      </c>
      <c r="W5" s="32"/>
      <c r="X5">
        <f>X4</f>
        <v>58</v>
      </c>
      <c r="Y5">
        <f>X5</f>
        <v>58</v>
      </c>
      <c r="AA5">
        <v>0</v>
      </c>
      <c r="AB5">
        <v>0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x14ac:dyDescent="0.2">
      <c r="A6" s="8" t="s">
        <v>92</v>
      </c>
      <c r="B6" s="2">
        <v>12</v>
      </c>
      <c r="C6" t="s">
        <v>4</v>
      </c>
      <c r="E6" s="5">
        <f>B7+B5</f>
        <v>48</v>
      </c>
      <c r="F6">
        <f>F5</f>
        <v>10</v>
      </c>
      <c r="G6">
        <f t="shared" si="1"/>
        <v>-180</v>
      </c>
      <c r="T6" s="27" t="s">
        <v>76</v>
      </c>
      <c r="U6" s="10">
        <f ca="1">U3*B80*(1/12)</f>
        <v>42.691652133071706</v>
      </c>
      <c r="V6" s="17" t="s">
        <v>70</v>
      </c>
      <c r="W6" s="31">
        <f t="shared" ref="W6" ca="1" si="5">U6</f>
        <v>42.691652133071706</v>
      </c>
      <c r="X6">
        <f>IF(B6=0,0,-1*X5)</f>
        <v>-58</v>
      </c>
      <c r="Y6">
        <f>IF(B6=0,0,Y5)</f>
        <v>58</v>
      </c>
      <c r="AA6">
        <f>U14</f>
        <v>31.622776601683793</v>
      </c>
      <c r="AB6">
        <f>U10</f>
        <v>20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ht="16" thickBot="1" x14ac:dyDescent="0.25">
      <c r="A7" s="8" t="s">
        <v>91</v>
      </c>
      <c r="B7" s="2">
        <v>36</v>
      </c>
      <c r="C7" t="s">
        <v>4</v>
      </c>
      <c r="E7" s="5">
        <f>E6</f>
        <v>48</v>
      </c>
      <c r="F7">
        <f>B8</f>
        <v>18</v>
      </c>
      <c r="G7">
        <f t="shared" si="1"/>
        <v>192</v>
      </c>
      <c r="T7" s="28" t="s">
        <v>96</v>
      </c>
      <c r="U7" s="29">
        <f ca="1">ATAN2(U5,U6)</f>
        <v>0.32175055439663902</v>
      </c>
      <c r="V7" s="18" t="s">
        <v>97</v>
      </c>
      <c r="W7" s="33">
        <f ca="1">U7-U13</f>
        <v>-3.1641356201816961E-15</v>
      </c>
      <c r="AA7">
        <f ca="1">U8</f>
        <v>135.00285781609367</v>
      </c>
      <c r="AB7" s="9">
        <f ca="1">U4</f>
        <v>20.000000000000338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ht="16" thickBot="1" x14ac:dyDescent="0.25">
      <c r="A8" s="8" t="s">
        <v>6</v>
      </c>
      <c r="B8" s="4">
        <v>18</v>
      </c>
      <c r="C8" t="s">
        <v>4</v>
      </c>
      <c r="E8" s="5">
        <f>E7-(B7+B6+B5)</f>
        <v>-12</v>
      </c>
      <c r="F8">
        <f>F7</f>
        <v>18</v>
      </c>
      <c r="G8">
        <f t="shared" si="1"/>
        <v>540</v>
      </c>
      <c r="T8" s="37" t="s">
        <v>109</v>
      </c>
      <c r="U8">
        <f ca="1">SQRT(POWER(U5,2)+POWER(U6,2))</f>
        <v>135.00285781609367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">
      <c r="A9" s="8" t="s">
        <v>7</v>
      </c>
      <c r="B9" s="4">
        <v>8</v>
      </c>
      <c r="C9" t="s">
        <v>4</v>
      </c>
      <c r="E9" s="5">
        <f>E8</f>
        <v>-12</v>
      </c>
      <c r="F9">
        <f>F6</f>
        <v>10</v>
      </c>
      <c r="G9">
        <f t="shared" si="1"/>
        <v>48</v>
      </c>
      <c r="T9" s="35" t="s">
        <v>98</v>
      </c>
      <c r="U9" s="36"/>
      <c r="V9" s="16"/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">
      <c r="E10">
        <v>0</v>
      </c>
      <c r="F10">
        <f>F9</f>
        <v>10</v>
      </c>
      <c r="G10">
        <f t="shared" si="1"/>
        <v>-60</v>
      </c>
      <c r="T10" s="37" t="s">
        <v>99</v>
      </c>
      <c r="U10" s="38">
        <v>20</v>
      </c>
      <c r="V10" s="17" t="s">
        <v>68</v>
      </c>
      <c r="W10" t="str">
        <f>"+ Compression"</f>
        <v>+ Compression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">
      <c r="A11" t="s">
        <v>10</v>
      </c>
      <c r="E11">
        <v>0</v>
      </c>
      <c r="F11">
        <v>0</v>
      </c>
      <c r="G11">
        <f t="shared" si="1"/>
        <v>0</v>
      </c>
      <c r="T11" s="37" t="s">
        <v>100</v>
      </c>
      <c r="U11" s="38">
        <v>30</v>
      </c>
      <c r="V11" s="17" t="s">
        <v>70</v>
      </c>
      <c r="W11" t="str">
        <f>"+ Puts Top of Section in Compression"</f>
        <v>+ Puts Top of Section in Compression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">
      <c r="A12" s="8" t="s">
        <v>11</v>
      </c>
      <c r="B12" s="2">
        <v>60</v>
      </c>
      <c r="C12" t="s">
        <v>1</v>
      </c>
      <c r="G12">
        <f>SUM(G4:G11)</f>
        <v>600</v>
      </c>
      <c r="T12" s="37" t="s">
        <v>101</v>
      </c>
      <c r="U12" s="38">
        <v>10</v>
      </c>
      <c r="V12" s="17" t="s">
        <v>70</v>
      </c>
      <c r="W12" t="str">
        <f>"+ Puts Left of Section in Compression"</f>
        <v>+ Puts Left of Section in Compression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ht="16" thickBot="1" x14ac:dyDescent="0.25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0.32175055439664219</v>
      </c>
      <c r="V13" s="18" t="s">
        <v>97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x14ac:dyDescent="0.2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37" t="s">
        <v>109</v>
      </c>
      <c r="U14">
        <f>SQRT(POWER(U11,2)+POWER(U12,2))</f>
        <v>31.622776601683793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">
      <c r="A15">
        <v>1</v>
      </c>
      <c r="B15" s="20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9">IF($B15=0,NA(),D15)</f>
        <v>2</v>
      </c>
      <c r="L15" s="1">
        <f t="shared" ref="L15:L24" si="10">IF($B15=0,NA(),E15)</f>
        <v>2</v>
      </c>
      <c r="T15" s="39" t="s">
        <v>103</v>
      </c>
      <c r="U15" s="6">
        <f>SQRT(POWER(U12,2)+POWER(U11,2)+POWER(U10,2))</f>
        <v>37.416573867739416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">
      <c r="A16">
        <v>2</v>
      </c>
      <c r="B16" s="20">
        <v>8</v>
      </c>
      <c r="C16" s="6">
        <f t="shared" ref="C16:C24" ca="1" si="11">OFFSET($G$14,MATCH(B16,$G$14:$G$29,0)-1,2)</f>
        <v>0.79</v>
      </c>
      <c r="D16" s="2">
        <v>10</v>
      </c>
      <c r="E16" s="2">
        <v>2</v>
      </c>
      <c r="G16" s="1">
        <v>4</v>
      </c>
      <c r="H16" s="6">
        <v>0.5</v>
      </c>
      <c r="I16" s="6">
        <v>0.2</v>
      </c>
      <c r="K16" s="1">
        <f t="shared" si="9"/>
        <v>10</v>
      </c>
      <c r="L16" s="1">
        <f t="shared" si="10"/>
        <v>2</v>
      </c>
      <c r="T16" s="39" t="s">
        <v>104</v>
      </c>
      <c r="U16" s="41">
        <f>U10/U15</f>
        <v>0.53452248382484879</v>
      </c>
      <c r="V16" s="41">
        <f>U11/U15</f>
        <v>0.80178372573727308</v>
      </c>
      <c r="W16" s="41">
        <f>U12/U15</f>
        <v>0.2672612419124244</v>
      </c>
      <c r="X16" s="40"/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">
      <c r="A17">
        <v>3</v>
      </c>
      <c r="B17" s="20">
        <v>8</v>
      </c>
      <c r="C17" s="6">
        <f t="shared" ca="1" si="11"/>
        <v>0.79</v>
      </c>
      <c r="D17" s="2">
        <v>2</v>
      </c>
      <c r="E17" s="2">
        <v>16</v>
      </c>
      <c r="G17" s="1">
        <v>5</v>
      </c>
      <c r="H17" s="6">
        <v>0.625</v>
      </c>
      <c r="I17" s="6">
        <v>0.31</v>
      </c>
      <c r="K17" s="1">
        <f t="shared" si="9"/>
        <v>2</v>
      </c>
      <c r="L17" s="1">
        <f t="shared" si="10"/>
        <v>16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">
      <c r="A18">
        <v>4</v>
      </c>
      <c r="B18" s="20">
        <v>8</v>
      </c>
      <c r="C18" s="6">
        <f t="shared" ca="1" si="11"/>
        <v>0.79</v>
      </c>
      <c r="D18" s="2">
        <v>10</v>
      </c>
      <c r="E18" s="2">
        <v>16</v>
      </c>
      <c r="G18" s="1">
        <v>6</v>
      </c>
      <c r="H18" s="6">
        <v>0.75</v>
      </c>
      <c r="I18" s="6">
        <v>0.44</v>
      </c>
      <c r="K18" s="1">
        <f t="shared" si="9"/>
        <v>10</v>
      </c>
      <c r="L18" s="1">
        <f t="shared" si="10"/>
        <v>16</v>
      </c>
      <c r="T18" s="8" t="s">
        <v>105</v>
      </c>
      <c r="U18" s="6">
        <f ca="1">SQRT(POWER(U6,2)+POWER(U5,2)+POWER(U4,2))</f>
        <v>136.47626760177909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">
      <c r="A19">
        <v>5</v>
      </c>
      <c r="B19" s="20">
        <v>0</v>
      </c>
      <c r="C19" s="6">
        <f t="shared" ca="1" si="11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K19" s="1" t="e">
        <f t="shared" si="9"/>
        <v>#N/A</v>
      </c>
      <c r="L19" s="1" t="e">
        <f t="shared" si="10"/>
        <v>#N/A</v>
      </c>
      <c r="T19" s="8" t="s">
        <v>106</v>
      </c>
      <c r="U19" s="41">
        <f ca="1">U4/U18</f>
        <v>0.14654562548821948</v>
      </c>
      <c r="V19" s="41">
        <f ca="1">U5/U18</f>
        <v>0.9384412297449648</v>
      </c>
      <c r="W19" s="41">
        <f ca="1">U6/U18</f>
        <v>0.31281374324831834</v>
      </c>
      <c r="X19" s="40"/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">
      <c r="A20">
        <v>6</v>
      </c>
      <c r="B20" s="20">
        <v>0</v>
      </c>
      <c r="C20" s="6">
        <f t="shared" ca="1" si="11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K20" s="1" t="e">
        <f t="shared" si="9"/>
        <v>#N/A</v>
      </c>
      <c r="L20" s="1" t="e">
        <f t="shared" si="10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">
      <c r="A21">
        <v>7</v>
      </c>
      <c r="B21" s="20">
        <v>0</v>
      </c>
      <c r="C21" s="6">
        <f t="shared" ca="1" si="11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K21" s="1" t="e">
        <f t="shared" si="9"/>
        <v>#N/A</v>
      </c>
      <c r="L21" s="1" t="e">
        <f t="shared" si="10"/>
        <v>#N/A</v>
      </c>
      <c r="T21" s="8" t="s">
        <v>107</v>
      </c>
      <c r="U21" s="41">
        <f ca="1">U16-U19</f>
        <v>0.38797685833662932</v>
      </c>
      <c r="V21" s="41">
        <f t="shared" ref="V21:W21" ca="1" si="12">V16-V19</f>
        <v>-0.13665750400769172</v>
      </c>
      <c r="W21" s="41">
        <f t="shared" ca="1" si="12"/>
        <v>-4.5552501335893947E-2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">
      <c r="A22">
        <v>8</v>
      </c>
      <c r="B22" s="20">
        <v>0</v>
      </c>
      <c r="C22" s="6">
        <f t="shared" ca="1" si="11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K22" s="1" t="e">
        <f t="shared" si="9"/>
        <v>#N/A</v>
      </c>
      <c r="L22" s="1" t="e">
        <f t="shared" si="10"/>
        <v>#N/A</v>
      </c>
      <c r="U22" s="1" t="s">
        <v>99</v>
      </c>
      <c r="V22" s="1" t="s">
        <v>100</v>
      </c>
      <c r="W22" s="1" t="s">
        <v>101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">
      <c r="A23">
        <v>9</v>
      </c>
      <c r="B23" s="20">
        <v>0</v>
      </c>
      <c r="C23" s="6">
        <f t="shared" ca="1" si="11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K23" s="1" t="e">
        <f t="shared" si="9"/>
        <v>#N/A</v>
      </c>
      <c r="L23" s="1" t="e">
        <f t="shared" si="10"/>
        <v>#N/A</v>
      </c>
      <c r="T23" s="8" t="s">
        <v>108</v>
      </c>
      <c r="U23" s="41">
        <f ca="1">SQRT(POWER(U21,2)+POWER(V21,2)+POWER(W21,2))</f>
        <v>0.41385546557261976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6" thickBot="1" x14ac:dyDescent="0.25">
      <c r="A24">
        <v>10</v>
      </c>
      <c r="B24" s="20">
        <v>0</v>
      </c>
      <c r="C24" s="11">
        <f t="shared" ca="1" si="11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K24" s="1" t="e">
        <f t="shared" si="9"/>
        <v>#N/A</v>
      </c>
      <c r="L24" s="1" t="e">
        <f t="shared" si="10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6" thickTop="1" x14ac:dyDescent="0.2">
      <c r="C25" s="6">
        <f ca="1">SUM(C15:C24)</f>
        <v>3.16</v>
      </c>
      <c r="D25" s="25">
        <f ca="1">C25/(B5*F27)</f>
        <v>1.6458333333333335E-2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1.7999999999999998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">
      <c r="A27" s="8" t="s">
        <v>15</v>
      </c>
      <c r="B27" s="34">
        <v>3.8205306757906919E-2</v>
      </c>
      <c r="C27" t="s">
        <v>16</v>
      </c>
      <c r="E27" s="8" t="s">
        <v>90</v>
      </c>
      <c r="F27" s="3" cm="1">
        <f t="array" ref="F27">B8-MIN(IF(E15:E24&gt;0,E15:E24))</f>
        <v>16</v>
      </c>
      <c r="G27" s="1" t="s">
        <v>82</v>
      </c>
      <c r="H27" s="24">
        <f>F28</f>
        <v>3.5355339059327377E-3</v>
      </c>
      <c r="I27" s="6">
        <f>IF(F26="web",(B5*F27)*H27,G12*H27)</f>
        <v>0.67882250993908566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">
      <c r="A28" s="8" t="s">
        <v>17</v>
      </c>
      <c r="B28" s="34">
        <v>2.0924953016167063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">
      <c r="A29" s="8" t="s">
        <v>18</v>
      </c>
      <c r="B29" s="6">
        <f>B28*B4</f>
        <v>1.6739962412933649</v>
      </c>
      <c r="C29" t="s">
        <v>4</v>
      </c>
      <c r="G29" s="1" t="s">
        <v>84</v>
      </c>
      <c r="H29" s="22" t="s">
        <v>85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">
      <c r="A30" s="8" t="s">
        <v>102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">
      <c r="A31" s="8" t="s">
        <v>49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">
      <c r="J32" t="s">
        <v>88</v>
      </c>
      <c r="N32" t="s">
        <v>89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">
      <c r="A33" t="s">
        <v>19</v>
      </c>
      <c r="J33">
        <f>(J38*COS(-1*$B$27))+(K38*SIN(-1*$B$27))+$I$2</f>
        <v>-13.275984175543766</v>
      </c>
      <c r="K33">
        <f>(-1*J38*SIN(-1*$B$27))+(K38*COS(-1*$B$27))+$I$3</f>
        <v>15.857203518770095</v>
      </c>
      <c r="N33">
        <f>(N38*COS(-1*$B$27))+(O38*SIN(-1*$B$27))+$I$2</f>
        <v>-13.291969171121277</v>
      </c>
      <c r="O33">
        <f>(-1*N38*SIN(-1*$B$27))+(O38*COS(-1*$B$27))+$I$3</f>
        <v>16.275397186115629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">
      <c r="J34">
        <f>(J39*COS(-1*$B$27))+(K39*SIN(-1*$B$27))+$I$2</f>
        <v>48.99165911906212</v>
      </c>
      <c r="K34">
        <f>(-1*J39*SIN(-1*$B$27))+(K39*COS(-1*$B$27))+$I$3</f>
        <v>18.23731608480729</v>
      </c>
      <c r="N34">
        <f>(N39*COS(-1*$B$27))+(O39*SIN(-1*$B$27))+$I$2</f>
        <v>48.975674123484609</v>
      </c>
      <c r="O34">
        <f>(-1*N39*SIN(-1*$B$27))+(O39*COS(-1*$B$27))+$I$3</f>
        <v>18.655509752152824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(-1*0.003*MAX(J62:J71))/(0.002-0.003)</f>
        <v>55.335650836484284</v>
      </c>
      <c r="H36" s="15" t="s">
        <v>4</v>
      </c>
      <c r="J36" t="s">
        <v>52</v>
      </c>
      <c r="N36" t="s">
        <v>53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">
      <c r="A37" s="3">
        <f t="shared" ref="A37:A43" si="13">E3-$I$2</f>
        <v>-6</v>
      </c>
      <c r="B37" s="6">
        <f t="shared" ref="B37:B43" si="14">F3-$I$3</f>
        <v>-9</v>
      </c>
      <c r="C37" s="6">
        <f>A37*COS($B$27)+B37*SIN($B$27)</f>
        <v>-6.3393857138436838</v>
      </c>
      <c r="D37" s="6">
        <f>-1*A37*SIN($B$27)+B37*COS($B$27)</f>
        <v>-8.7642563159183471</v>
      </c>
      <c r="F37" s="8" t="s">
        <v>23</v>
      </c>
      <c r="G37" s="1">
        <f>MAX(D37:D41)-MIN(D37:D41)</f>
        <v>16.611808318178628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">
      <c r="A38" s="3">
        <f t="shared" si="13"/>
        <v>6</v>
      </c>
      <c r="B38" s="6">
        <f t="shared" si="14"/>
        <v>-9</v>
      </c>
      <c r="C38" s="6">
        <f t="shared" ref="C38:C41" si="15">A38*COS($B$27)+B38*SIN($B$27)</f>
        <v>5.6518574786001343</v>
      </c>
      <c r="D38" s="6">
        <f t="shared" ref="D38:D41" si="16">-1*A38*SIN($B$27)+B38*COS($B$27)</f>
        <v>-9.22260847274738</v>
      </c>
      <c r="F38" s="8" t="s">
        <v>24</v>
      </c>
      <c r="G38" s="6">
        <f>MAX(D37:D43)</f>
        <v>9.680960629576413</v>
      </c>
      <c r="H38" t="s">
        <v>4</v>
      </c>
      <c r="J38" s="9">
        <f>MIN(C37:C43,A37:A43)-1</f>
        <v>-19</v>
      </c>
      <c r="K38" s="9">
        <f>G40</f>
        <v>7.5884653279597067</v>
      </c>
      <c r="N38" s="9">
        <f>J38</f>
        <v>-19</v>
      </c>
      <c r="O38" s="9">
        <f>G41</f>
        <v>8.0069643882830484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">
      <c r="A39" s="3">
        <f t="shared" si="13"/>
        <v>6</v>
      </c>
      <c r="B39" s="6">
        <f t="shared" si="14"/>
        <v>1</v>
      </c>
      <c r="C39" s="6">
        <f t="shared" si="15"/>
        <v>6.0338176092909954</v>
      </c>
      <c r="D39" s="6">
        <f t="shared" si="16"/>
        <v>0.77009418762246806</v>
      </c>
      <c r="J39" s="9">
        <f>MAX(C37:C43,A37:A43)+1</f>
        <v>43.313115291175137</v>
      </c>
      <c r="K39" s="9">
        <f>K38</f>
        <v>7.5884653279597067</v>
      </c>
      <c r="N39" s="9">
        <f>J39</f>
        <v>43.313115291175137</v>
      </c>
      <c r="O39" s="9">
        <f>G41</f>
        <v>8.0069643882830484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">
      <c r="A40" s="3">
        <f t="shared" si="13"/>
        <v>42</v>
      </c>
      <c r="B40" s="6">
        <f t="shared" si="14"/>
        <v>1</v>
      </c>
      <c r="C40" s="6">
        <f t="shared" si="15"/>
        <v>42.007547186622446</v>
      </c>
      <c r="D40" s="6">
        <f t="shared" si="16"/>
        <v>-0.60496228286463172</v>
      </c>
      <c r="F40" s="8" t="s">
        <v>50</v>
      </c>
      <c r="G40" s="9">
        <f>G38-B28</f>
        <v>7.5884653279597067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">
      <c r="A41" s="3">
        <f t="shared" si="13"/>
        <v>42</v>
      </c>
      <c r="B41" s="6">
        <f t="shared" si="14"/>
        <v>9</v>
      </c>
      <c r="C41" s="6">
        <f t="shared" si="15"/>
        <v>42.313115291175137</v>
      </c>
      <c r="D41" s="6">
        <f t="shared" si="16"/>
        <v>7.3891998454312473</v>
      </c>
      <c r="F41" s="8" t="s">
        <v>51</v>
      </c>
      <c r="G41" s="9">
        <f>G38-B29</f>
        <v>8.0069643882830484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">
      <c r="A42" s="3">
        <f t="shared" si="13"/>
        <v>-18</v>
      </c>
      <c r="B42" s="6">
        <f t="shared" si="14"/>
        <v>9</v>
      </c>
      <c r="C42" s="6">
        <f t="shared" ref="C42:C43" si="17">A42*COS($B$27)+B42*SIN($B$27)</f>
        <v>-17.643100671043953</v>
      </c>
      <c r="D42" s="6">
        <f t="shared" ref="D42:D43" si="18">-1*A42*SIN($B$27)+B42*COS($B$27)</f>
        <v>9.680960629576413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">
      <c r="A43" s="3">
        <f t="shared" si="13"/>
        <v>-18</v>
      </c>
      <c r="B43" s="6">
        <f t="shared" si="14"/>
        <v>1</v>
      </c>
      <c r="C43" s="6">
        <f t="shared" si="17"/>
        <v>-17.948668775596641</v>
      </c>
      <c r="D43" s="6">
        <f t="shared" si="18"/>
        <v>1.6867985012805347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">
      <c r="A44" s="3">
        <f t="shared" ref="A44:A45" si="19">E10-$I$2</f>
        <v>-6</v>
      </c>
      <c r="B44" s="6">
        <f t="shared" ref="B44:B45" si="20">F10-$I$3</f>
        <v>1</v>
      </c>
      <c r="C44" s="6">
        <f t="shared" ref="C44:C45" si="21">A44*COS($B$27)+B44*SIN($B$27)</f>
        <v>-5.9574255831528227</v>
      </c>
      <c r="D44" s="6">
        <f t="shared" ref="D44:D45" si="22">-1*A44*SIN($B$27)+B44*COS($B$27)</f>
        <v>1.2284463444515015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">
      <c r="A45" s="3">
        <f t="shared" si="19"/>
        <v>-6</v>
      </c>
      <c r="B45" s="6">
        <f t="shared" si="20"/>
        <v>-9</v>
      </c>
      <c r="C45" s="6">
        <f t="shared" si="21"/>
        <v>-6.3393857138436838</v>
      </c>
      <c r="D45" s="6">
        <f t="shared" si="22"/>
        <v>-8.7642563159183471</v>
      </c>
    </row>
    <row r="47" spans="1:41" x14ac:dyDescent="0.2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">
      <c r="A49" t="s">
        <v>43</v>
      </c>
      <c r="B49" s="6">
        <f>C37</f>
        <v>-6.3393857138436838</v>
      </c>
      <c r="C49" s="6">
        <f>D37</f>
        <v>-8.7642563159183471</v>
      </c>
      <c r="D49" s="6">
        <f t="shared" ref="D49:E56" si="23">C38</f>
        <v>5.6518574786001343</v>
      </c>
      <c r="E49" s="6">
        <f t="shared" si="23"/>
        <v>-9.22260847274738</v>
      </c>
      <c r="F49" s="6">
        <f t="shared" ref="F49:F54" si="24">IF(B49=D49,"V",(C49-E49)/(B49-D49))</f>
        <v>-3.8223906351750062E-2</v>
      </c>
      <c r="G49" s="6">
        <f t="shared" ref="G49:G54" si="25">IF(F49="V",0,(-1*B49*F49)+C49)</f>
        <v>-9.0065724017719297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">
      <c r="A50" t="s">
        <v>44</v>
      </c>
      <c r="B50" s="6">
        <f t="shared" ref="B50:C54" si="26">D49</f>
        <v>5.6518574786001343</v>
      </c>
      <c r="C50" s="6">
        <f t="shared" si="26"/>
        <v>-9.22260847274738</v>
      </c>
      <c r="D50" s="6">
        <f t="shared" si="23"/>
        <v>6.0338176092909954</v>
      </c>
      <c r="E50" s="6">
        <f t="shared" si="23"/>
        <v>0.77009418762246806</v>
      </c>
      <c r="F50" s="6">
        <f t="shared" si="24"/>
        <v>26.161637975921177</v>
      </c>
      <c r="G50" s="6">
        <f t="shared" si="25"/>
        <v>-157.08445771938676</v>
      </c>
      <c r="H50" s="6">
        <f t="shared" ref="H50:H54" si="27">IF(AND(C50&lt;$G$41,E50&lt;$G$41),0,IF(AND(C50&lt;$G$41,E50&gt;$G$41),IF(F50="V",B50,($G$41-G50)/F50),B50))</f>
        <v>0</v>
      </c>
      <c r="I50" s="6">
        <f t="shared" ref="I50:I54" si="28">IF(AND(C50&lt;$G$41,E50&lt;$G$41),0,IF(AND(C50&lt;$G$41,E50&gt;$G$41),$G$41,C50))</f>
        <v>0</v>
      </c>
      <c r="J50" s="6">
        <f t="shared" ref="J50:J54" si="29">IF(AND(C50&lt;$G$41,E50&lt;$G$41),0,IF(E50&gt;=$G$41,D50,IF(F50="V",D50,($G$41-G50)/F50)))</f>
        <v>0</v>
      </c>
      <c r="K50" s="6">
        <f t="shared" ref="K50:K54" si="30">IF(AND(C50&lt;$G$41,E50&lt;$G$41),0,IF(E50&gt;=$G$41,E50,$G$41))</f>
        <v>0</v>
      </c>
      <c r="L50" s="6">
        <f t="shared" ref="L50:L54" si="31">IF(AND(I50=0,K50=0,H50=0,J50=0),0,$B$31)</f>
        <v>0</v>
      </c>
      <c r="M50" s="6">
        <f t="shared" ref="M50:M54" si="32">IF(AND(I50=0,K50=0,H50=0,J50=0),0,$B$31)</f>
        <v>0</v>
      </c>
      <c r="N50" s="10">
        <f t="shared" ref="N50:N54" si="33">(1/6)*(K50-I50)*((L50*((2*H50)+J50))+(M50*(H50+(2*J50))))</f>
        <v>0</v>
      </c>
      <c r="O50" s="10">
        <f t="shared" ref="O50:O54" si="34">((1/12)*(K50-I50)*(L50*H50*((3*I50)+K50)+L50*J50*(I50+K50)+M50*H50*(I50+K50)+M50*J50*(I50+(3*K50))))</f>
        <v>0</v>
      </c>
      <c r="P50" s="10">
        <f t="shared" ref="P50:P54" si="35">((-1/24)*(K50-I50)*(H50*H50*((3*L50)+M50)+2*H50*J50*(L50+M50)+J50*J50*(L50+(3*M50))))</f>
        <v>0</v>
      </c>
      <c r="S50" t="e">
        <f t="shared" ref="S50:S55" si="36">IF(AND(I50=0,K50=0,H50=0,J50=0),NA(),H50)</f>
        <v>#N/A</v>
      </c>
      <c r="T50" t="e">
        <f t="shared" ref="T50:T55" si="37">IF(AND(I50=0,K50=0,H50=0,J50=0),NA(),I50)</f>
        <v>#N/A</v>
      </c>
      <c r="V50" t="e">
        <f t="shared" ref="V50:V55" si="38">IF(AND(I50=0,K50=0,H50=0,J50=0),NA(),J50)</f>
        <v>#N/A</v>
      </c>
      <c r="W50" t="e">
        <f t="shared" ref="W50:W55" si="39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">
      <c r="A51" t="s">
        <v>45</v>
      </c>
      <c r="B51" s="6">
        <f t="shared" si="26"/>
        <v>6.0338176092909954</v>
      </c>
      <c r="C51" s="6">
        <f t="shared" si="26"/>
        <v>0.77009418762246806</v>
      </c>
      <c r="D51" s="6">
        <f t="shared" si="23"/>
        <v>42.007547186622446</v>
      </c>
      <c r="E51" s="6">
        <f t="shared" si="23"/>
        <v>-0.60496228286463172</v>
      </c>
      <c r="F51" s="6">
        <f t="shared" si="24"/>
        <v>-3.8223906351750089E-2</v>
      </c>
      <c r="G51" s="6">
        <f t="shared" si="25"/>
        <v>1.0007302668635476</v>
      </c>
      <c r="H51" s="6">
        <f t="shared" si="27"/>
        <v>0</v>
      </c>
      <c r="I51" s="6">
        <f t="shared" si="28"/>
        <v>0</v>
      </c>
      <c r="J51" s="6">
        <f t="shared" si="29"/>
        <v>0</v>
      </c>
      <c r="K51" s="6">
        <f t="shared" si="30"/>
        <v>0</v>
      </c>
      <c r="L51" s="6">
        <f t="shared" si="31"/>
        <v>0</v>
      </c>
      <c r="M51" s="6">
        <f t="shared" si="32"/>
        <v>0</v>
      </c>
      <c r="N51" s="10">
        <f t="shared" si="33"/>
        <v>0</v>
      </c>
      <c r="O51" s="10">
        <f t="shared" si="34"/>
        <v>0</v>
      </c>
      <c r="P51" s="10">
        <f t="shared" si="35"/>
        <v>0</v>
      </c>
      <c r="S51" t="e">
        <f t="shared" si="36"/>
        <v>#N/A</v>
      </c>
      <c r="T51" t="e">
        <f t="shared" si="37"/>
        <v>#N/A</v>
      </c>
      <c r="V51" t="e">
        <f t="shared" si="38"/>
        <v>#N/A</v>
      </c>
      <c r="W51" t="e">
        <f t="shared" si="39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">
      <c r="A52" t="s">
        <v>46</v>
      </c>
      <c r="B52" s="6">
        <f t="shared" si="26"/>
        <v>42.007547186622446</v>
      </c>
      <c r="C52" s="6">
        <f t="shared" si="26"/>
        <v>-0.60496228286463172</v>
      </c>
      <c r="D52" s="6">
        <f t="shared" si="23"/>
        <v>42.313115291175137</v>
      </c>
      <c r="E52" s="6">
        <f t="shared" si="23"/>
        <v>7.3891998454312473</v>
      </c>
      <c r="F52" s="6">
        <f t="shared" si="24"/>
        <v>26.161637975920996</v>
      </c>
      <c r="G52" s="6">
        <f t="shared" si="25"/>
        <v>-1099.5912040356995</v>
      </c>
      <c r="H52" s="6">
        <f t="shared" si="27"/>
        <v>0</v>
      </c>
      <c r="I52" s="6">
        <f t="shared" si="28"/>
        <v>0</v>
      </c>
      <c r="J52" s="6">
        <f t="shared" si="29"/>
        <v>0</v>
      </c>
      <c r="K52" s="6">
        <f t="shared" si="30"/>
        <v>0</v>
      </c>
      <c r="L52" s="6">
        <f t="shared" si="31"/>
        <v>0</v>
      </c>
      <c r="M52" s="6">
        <f t="shared" si="32"/>
        <v>0</v>
      </c>
      <c r="N52" s="10">
        <f t="shared" si="33"/>
        <v>0</v>
      </c>
      <c r="O52" s="10">
        <f t="shared" si="34"/>
        <v>0</v>
      </c>
      <c r="P52" s="10">
        <f t="shared" si="35"/>
        <v>0</v>
      </c>
      <c r="S52" t="e">
        <f t="shared" si="36"/>
        <v>#N/A</v>
      </c>
      <c r="T52" t="e">
        <f t="shared" si="37"/>
        <v>#N/A</v>
      </c>
      <c r="V52" t="e">
        <f t="shared" si="38"/>
        <v>#N/A</v>
      </c>
      <c r="W52" t="e">
        <f t="shared" si="39"/>
        <v>#N/A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">
      <c r="A53" t="s">
        <v>47</v>
      </c>
      <c r="B53" s="6">
        <f t="shared" si="26"/>
        <v>42.313115291175137</v>
      </c>
      <c r="C53" s="6">
        <f t="shared" si="26"/>
        <v>7.3891998454312473</v>
      </c>
      <c r="D53" s="6">
        <f t="shared" si="23"/>
        <v>-17.643100671043953</v>
      </c>
      <c r="E53" s="6">
        <f t="shared" si="23"/>
        <v>9.680960629576413</v>
      </c>
      <c r="F53" s="6">
        <f t="shared" si="24"/>
        <v>-3.8223906351750075E-2</v>
      </c>
      <c r="G53" s="6">
        <f t="shared" si="25"/>
        <v>9.0065724017719297</v>
      </c>
      <c r="H53" s="6">
        <f t="shared" si="27"/>
        <v>26.151382966725862</v>
      </c>
      <c r="I53" s="6">
        <f t="shared" si="28"/>
        <v>8.0069643882830484</v>
      </c>
      <c r="J53" s="6">
        <f t="shared" si="29"/>
        <v>-17.643100671043953</v>
      </c>
      <c r="K53" s="6">
        <f t="shared" si="30"/>
        <v>9.680960629576413</v>
      </c>
      <c r="L53" s="6">
        <f t="shared" si="31"/>
        <v>4.25</v>
      </c>
      <c r="M53" s="6">
        <f t="shared" si="32"/>
        <v>4.25</v>
      </c>
      <c r="N53" s="10">
        <f t="shared" si="33"/>
        <v>30.266019238523086</v>
      </c>
      <c r="O53" s="10">
        <f t="shared" si="34"/>
        <v>224.20690301605575</v>
      </c>
      <c r="P53" s="10">
        <f t="shared" si="35"/>
        <v>-632.93100035168368</v>
      </c>
      <c r="S53">
        <f t="shared" si="36"/>
        <v>26.151382966725862</v>
      </c>
      <c r="T53">
        <f t="shared" si="37"/>
        <v>8.0069643882830484</v>
      </c>
      <c r="V53">
        <f t="shared" si="38"/>
        <v>-17.643100671043953</v>
      </c>
      <c r="W53">
        <f t="shared" si="39"/>
        <v>9.680960629576413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">
      <c r="A54" t="s">
        <v>48</v>
      </c>
      <c r="B54" s="6">
        <f t="shared" si="26"/>
        <v>-17.643100671043953</v>
      </c>
      <c r="C54" s="6">
        <f t="shared" si="26"/>
        <v>9.680960629576413</v>
      </c>
      <c r="D54" s="6">
        <f t="shared" si="23"/>
        <v>-17.948668775596641</v>
      </c>
      <c r="E54" s="6">
        <f t="shared" si="23"/>
        <v>1.6867985012805347</v>
      </c>
      <c r="F54" s="6">
        <f t="shared" si="24"/>
        <v>26.161637975921298</v>
      </c>
      <c r="G54" s="6">
        <f t="shared" si="25"/>
        <v>471.25337315816245</v>
      </c>
      <c r="H54" s="6">
        <f t="shared" si="27"/>
        <v>-17.643100671043953</v>
      </c>
      <c r="I54" s="6">
        <f t="shared" si="28"/>
        <v>9.680960629576413</v>
      </c>
      <c r="J54" s="6">
        <f t="shared" si="29"/>
        <v>-17.707087346604332</v>
      </c>
      <c r="K54" s="6">
        <f t="shared" si="30"/>
        <v>8.0069643882830484</v>
      </c>
      <c r="L54" s="6">
        <f t="shared" si="31"/>
        <v>4.25</v>
      </c>
      <c r="M54" s="6">
        <f t="shared" si="32"/>
        <v>4.25</v>
      </c>
      <c r="N54" s="10">
        <f t="shared" si="33"/>
        <v>125.74917397493356</v>
      </c>
      <c r="O54" s="10">
        <f t="shared" si="34"/>
        <v>1112.0574754165189</v>
      </c>
      <c r="P54" s="10">
        <f t="shared" si="35"/>
        <v>1111.3154494692114</v>
      </c>
      <c r="S54">
        <f t="shared" si="36"/>
        <v>-17.643100671043953</v>
      </c>
      <c r="T54">
        <f t="shared" si="37"/>
        <v>9.680960629576413</v>
      </c>
      <c r="V54">
        <f t="shared" si="38"/>
        <v>-17.707087346604332</v>
      </c>
      <c r="W54">
        <f t="shared" si="39"/>
        <v>8.0069643882830484</v>
      </c>
    </row>
    <row r="55" spans="1:41" x14ac:dyDescent="0.2">
      <c r="A55" t="s">
        <v>93</v>
      </c>
      <c r="B55" s="6">
        <f>D54</f>
        <v>-17.948668775596641</v>
      </c>
      <c r="C55" s="6">
        <f>E54</f>
        <v>1.6867985012805347</v>
      </c>
      <c r="D55" s="6">
        <f t="shared" si="23"/>
        <v>-5.9574255831528227</v>
      </c>
      <c r="E55" s="6">
        <f t="shared" si="23"/>
        <v>1.2284463444515015</v>
      </c>
      <c r="F55" s="6">
        <f t="shared" ref="F55:F56" si="40">IF(B55=D55,"V",(C55-E55)/(B55-D55))</f>
        <v>-3.8223906351750082E-2</v>
      </c>
      <c r="G55" s="6">
        <f t="shared" ref="G55:G56" si="41">IF(F55="V",0,(-1*B55*F55)+C55)</f>
        <v>1.0007302668635478</v>
      </c>
      <c r="H55" s="6">
        <f t="shared" ref="H55:H56" si="42">IF(AND(C55&lt;$G$41,E55&lt;$G$41),0,IF(AND(C55&lt;$G$41,E55&gt;$G$41),IF(F55="V",B55,($G$41-G55)/F55),B55))</f>
        <v>0</v>
      </c>
      <c r="I55" s="6">
        <f t="shared" ref="I55:I56" si="43">IF(AND(C55&lt;$G$41,E55&lt;$G$41),0,IF(AND(C55&lt;$G$41,E55&gt;$G$41),$G$41,C55))</f>
        <v>0</v>
      </c>
      <c r="J55" s="6">
        <f t="shared" ref="J55:J56" si="44">IF(AND(C55&lt;$G$41,E55&lt;$G$41),0,IF(E55&gt;=$G$41,D55,IF(F55="V",D55,($G$41-G55)/F55)))</f>
        <v>0</v>
      </c>
      <c r="K55" s="6">
        <f t="shared" ref="K55:K56" si="45">IF(AND(C55&lt;$G$41,E55&lt;$G$41),0,IF(E55&gt;=$G$41,E55,$G$41))</f>
        <v>0</v>
      </c>
      <c r="L55" s="6">
        <f t="shared" ref="L55:L56" si="46">IF(AND(I55=0,K55=0,H55=0,J55=0),0,$B$31)</f>
        <v>0</v>
      </c>
      <c r="M55" s="6">
        <f t="shared" ref="M55:M56" si="47">IF(AND(I55=0,K55=0,H55=0,J55=0),0,$B$31)</f>
        <v>0</v>
      </c>
      <c r="N55" s="10">
        <f t="shared" ref="N55:N56" si="48">(1/6)*(K55-I55)*((L55*((2*H55)+J55))+(M55*(H55+(2*J55))))</f>
        <v>0</v>
      </c>
      <c r="O55" s="10">
        <f t="shared" ref="O55:O56" si="49">((1/12)*(K55-I55)*(L55*H55*((3*I55)+K55)+L55*J55*(I55+K55)+M55*H55*(I55+K55)+M55*J55*(I55+(3*K55))))</f>
        <v>0</v>
      </c>
      <c r="P55" s="10">
        <f t="shared" ref="P55:P56" si="50">((-1/24)*(K55-I55)*(H55*H55*((3*L55)+M55)+2*H55*J55*(L55+M55)+J55*J55*(L55+(3*M55))))</f>
        <v>0</v>
      </c>
      <c r="S55" t="e">
        <f t="shared" si="36"/>
        <v>#N/A</v>
      </c>
      <c r="T55" t="e">
        <f t="shared" si="37"/>
        <v>#N/A</v>
      </c>
      <c r="V55" t="e">
        <f t="shared" si="38"/>
        <v>#N/A</v>
      </c>
      <c r="W55" t="e">
        <f t="shared" si="39"/>
        <v>#N/A</v>
      </c>
    </row>
    <row r="56" spans="1:41" ht="16" thickBot="1" x14ac:dyDescent="0.25">
      <c r="A56" t="s">
        <v>94</v>
      </c>
      <c r="B56" s="6">
        <f>D55</f>
        <v>-5.9574255831528227</v>
      </c>
      <c r="C56" s="6">
        <f>E55</f>
        <v>1.2284463444515015</v>
      </c>
      <c r="D56" s="6">
        <f t="shared" si="23"/>
        <v>-6.3393857138436838</v>
      </c>
      <c r="E56" s="6">
        <f t="shared" si="23"/>
        <v>-8.7642563159183471</v>
      </c>
      <c r="F56" s="6">
        <f t="shared" si="40"/>
        <v>26.161637975921181</v>
      </c>
      <c r="G56" s="6">
        <f t="shared" si="41"/>
        <v>157.08445771938676</v>
      </c>
      <c r="H56" s="6">
        <f t="shared" si="42"/>
        <v>0</v>
      </c>
      <c r="I56" s="6">
        <f t="shared" si="43"/>
        <v>0</v>
      </c>
      <c r="J56" s="6">
        <f t="shared" si="44"/>
        <v>0</v>
      </c>
      <c r="K56" s="6">
        <f t="shared" si="45"/>
        <v>0</v>
      </c>
      <c r="L56" s="6">
        <f t="shared" si="46"/>
        <v>0</v>
      </c>
      <c r="M56" s="6">
        <f t="shared" si="47"/>
        <v>0</v>
      </c>
      <c r="N56" s="11">
        <f t="shared" si="48"/>
        <v>0</v>
      </c>
      <c r="O56" s="11">
        <f t="shared" si="49"/>
        <v>0</v>
      </c>
      <c r="P56" s="11">
        <f t="shared" si="50"/>
        <v>0</v>
      </c>
      <c r="S56" t="e">
        <f t="shared" ref="S56" si="51">IF(AND(I56=0,K56=0,H56=0,J56=0),NA(),H56)</f>
        <v>#N/A</v>
      </c>
      <c r="T56" t="e">
        <f t="shared" ref="T56" si="52">IF(AND(I56=0,K56=0,H56=0,J56=0),NA(),I56)</f>
        <v>#N/A</v>
      </c>
      <c r="V56" t="e">
        <f t="shared" ref="V56" si="53">IF(AND(I56=0,K56=0,H56=0,J56=0),NA(),J56)</f>
        <v>#N/A</v>
      </c>
      <c r="W56" t="e">
        <f t="shared" ref="W56" si="54">IF(AND(I56=0,K56=0,H56=0,J56=0),NA(),K56)</f>
        <v>#N/A</v>
      </c>
    </row>
    <row r="57" spans="1:41" ht="16" thickTop="1" x14ac:dyDescent="0.2">
      <c r="N57" s="6">
        <f>SUM(N49:N56)</f>
        <v>156.01519321345666</v>
      </c>
      <c r="O57" s="6">
        <f t="shared" ref="O57:P57" si="55">SUM(O49:O56)</f>
        <v>1336.2643784325746</v>
      </c>
      <c r="P57" s="6">
        <f t="shared" si="55"/>
        <v>478.38444911752777</v>
      </c>
    </row>
    <row r="59" spans="1:41" x14ac:dyDescent="0.2">
      <c r="A59" t="s">
        <v>54</v>
      </c>
    </row>
    <row r="61" spans="1:41" x14ac:dyDescent="0.2">
      <c r="A61">
        <f t="shared" ref="A61:A71" si="56">A14</f>
        <v>0</v>
      </c>
      <c r="B61" s="1" t="str">
        <f t="shared" ref="B61:D61" si="57">B14</f>
        <v>Bar #</v>
      </c>
      <c r="C61" s="1" t="str">
        <f t="shared" si="57"/>
        <v>As (in^2)</v>
      </c>
      <c r="D61" s="1" t="str">
        <f t="shared" si="57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</row>
    <row r="62" spans="1:41" x14ac:dyDescent="0.2">
      <c r="A62">
        <f t="shared" si="56"/>
        <v>1</v>
      </c>
      <c r="B62" s="1">
        <f t="shared" ref="B62:D67" si="58">B15</f>
        <v>8</v>
      </c>
      <c r="C62" s="1">
        <f t="shared" ca="1" si="58"/>
        <v>0.79</v>
      </c>
      <c r="D62" s="1">
        <f t="shared" si="58"/>
        <v>2</v>
      </c>
      <c r="E62" s="1">
        <f t="shared" ref="E62" si="59">E15</f>
        <v>2</v>
      </c>
      <c r="F62" s="1">
        <f>D62-$I$2</f>
        <v>-4</v>
      </c>
      <c r="G62" s="1">
        <f>E62-$I$3</f>
        <v>-7</v>
      </c>
      <c r="H62" s="6">
        <f>F62*COS($B$27)+G62*SIN($B$27)</f>
        <v>-4.2644531556315419</v>
      </c>
      <c r="I62" s="6">
        <f>-1*F62*SIN($B$27)+G62*COS($B$27)</f>
        <v>-6.842107809982549</v>
      </c>
      <c r="J62" s="6">
        <f>$G$38-I62</f>
        <v>16.523068439558962</v>
      </c>
      <c r="K62">
        <f ca="1">IF($B$28=0,-1,IF(C62=0,0,(($B$28-J62)/$B$28)*$B$30)*IF($B$28&lt;0,-1,1))</f>
        <v>-2.0689040200175677E-2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324.31591019317284</v>
      </c>
      <c r="O62" s="6">
        <f ca="1">M62*H62*-1</f>
        <v>-202.13507957693511</v>
      </c>
      <c r="Q62">
        <f>IF($B62=0,NA(),H62)</f>
        <v>-4.2644531556315419</v>
      </c>
      <c r="R62">
        <f>IF($B62=0,NA(),I62)</f>
        <v>-6.842107809982549</v>
      </c>
    </row>
    <row r="63" spans="1:41" x14ac:dyDescent="0.2">
      <c r="A63">
        <f t="shared" si="56"/>
        <v>2</v>
      </c>
      <c r="B63" s="1">
        <f t="shared" si="58"/>
        <v>8</v>
      </c>
      <c r="C63" s="1">
        <f t="shared" ca="1" si="58"/>
        <v>0.79</v>
      </c>
      <c r="D63" s="1">
        <f t="shared" si="58"/>
        <v>10</v>
      </c>
      <c r="E63" s="1">
        <f t="shared" ref="E63" si="60">E16</f>
        <v>2</v>
      </c>
      <c r="F63" s="1">
        <f t="shared" ref="F63:F71" si="61">D63-$I$2</f>
        <v>4</v>
      </c>
      <c r="G63" s="1">
        <f t="shared" ref="G63:G71" si="62">E63-$I$3</f>
        <v>-7</v>
      </c>
      <c r="H63" s="6">
        <f t="shared" ref="H63:H71" si="63">F63*COS($B$27)+G63*SIN($B$27)</f>
        <v>3.7297089726643362</v>
      </c>
      <c r="I63" s="6">
        <f t="shared" ref="I63:I71" si="64">-1*F63*SIN($B$27)+G63*COS($B$27)</f>
        <v>-7.1476759145352382</v>
      </c>
      <c r="J63" s="6">
        <f t="shared" ref="J63:J71" si="65">$G$38-I63</f>
        <v>16.828636544111653</v>
      </c>
      <c r="K63">
        <f t="shared" ref="K63:K71" ca="1" si="66">IF($B$28=0,-1,IF(C63=0,0,(($B$28-J63)/$B$28)*$B$30)*IF($B$28&lt;0,-1,1))</f>
        <v>-2.1127131656318882E-2</v>
      </c>
      <c r="L63">
        <f t="shared" ref="L63:L71" ca="1" si="67">IF(AND(K63&gt;0,J63&lt;=$B$29),MIN((K63*B$13),B$12)-$B$31,MAX(K63*B$13,-1*B$12))</f>
        <v>-60</v>
      </c>
      <c r="M63" s="6">
        <f t="shared" ref="M63:M71" ca="1" si="68">L63*C63</f>
        <v>-47.400000000000006</v>
      </c>
      <c r="N63" s="6">
        <f t="shared" ref="N63:N71" ca="1" si="69">M63*I63</f>
        <v>338.79983834897035</v>
      </c>
      <c r="O63" s="6">
        <f t="shared" ref="O63:O71" ca="1" si="70">M63*H63*-1</f>
        <v>176.78820530428956</v>
      </c>
      <c r="Q63">
        <f t="shared" ref="Q63:Q71" si="71">IF($B63=0,NA(),H63)</f>
        <v>3.7297089726643362</v>
      </c>
      <c r="R63">
        <f t="shared" ref="R63:R71" si="72">IF($B63=0,NA(),I63)</f>
        <v>-7.1476759145352382</v>
      </c>
    </row>
    <row r="64" spans="1:41" x14ac:dyDescent="0.2">
      <c r="A64">
        <f t="shared" si="56"/>
        <v>3</v>
      </c>
      <c r="B64" s="1">
        <f t="shared" si="58"/>
        <v>8</v>
      </c>
      <c r="C64" s="1">
        <f t="shared" ca="1" si="58"/>
        <v>0.79</v>
      </c>
      <c r="D64" s="1">
        <f t="shared" si="58"/>
        <v>2</v>
      </c>
      <c r="E64" s="1">
        <f t="shared" ref="E64" si="73">E17</f>
        <v>16</v>
      </c>
      <c r="F64" s="1">
        <f t="shared" si="61"/>
        <v>-4</v>
      </c>
      <c r="G64" s="1">
        <f t="shared" si="62"/>
        <v>7</v>
      </c>
      <c r="H64" s="6">
        <f t="shared" si="63"/>
        <v>-3.7297089726643362</v>
      </c>
      <c r="I64" s="6">
        <f t="shared" si="64"/>
        <v>7.1476759145352382</v>
      </c>
      <c r="J64" s="6">
        <f t="shared" si="65"/>
        <v>2.5332847150411748</v>
      </c>
      <c r="K64">
        <f t="shared" ca="1" si="66"/>
        <v>-6.3195756724123396E-4</v>
      </c>
      <c r="L64">
        <f t="shared" ca="1" si="67"/>
        <v>-18.326769449995783</v>
      </c>
      <c r="M64" s="6">
        <f t="shared" ca="1" si="68"/>
        <v>-14.47814786549667</v>
      </c>
      <c r="N64" s="6">
        <f t="shared" ca="1" si="69"/>
        <v>-103.48510878529032</v>
      </c>
      <c r="O64" s="6">
        <f t="shared" ca="1" si="70"/>
        <v>-53.999278001503939</v>
      </c>
      <c r="Q64">
        <f t="shared" si="71"/>
        <v>-3.7297089726643362</v>
      </c>
      <c r="R64">
        <f t="shared" si="72"/>
        <v>7.1476759145352382</v>
      </c>
    </row>
    <row r="65" spans="1:18" x14ac:dyDescent="0.2">
      <c r="A65">
        <f t="shared" si="56"/>
        <v>4</v>
      </c>
      <c r="B65" s="1">
        <f t="shared" si="58"/>
        <v>8</v>
      </c>
      <c r="C65" s="1">
        <f t="shared" ca="1" si="58"/>
        <v>0.79</v>
      </c>
      <c r="D65" s="1">
        <f t="shared" si="58"/>
        <v>10</v>
      </c>
      <c r="E65" s="1">
        <f t="shared" ref="E65" si="74">E18</f>
        <v>16</v>
      </c>
      <c r="F65" s="1">
        <f t="shared" si="61"/>
        <v>4</v>
      </c>
      <c r="G65" s="1">
        <f t="shared" si="62"/>
        <v>7</v>
      </c>
      <c r="H65" s="6">
        <f t="shared" si="63"/>
        <v>4.2644531556315419</v>
      </c>
      <c r="I65" s="6">
        <f t="shared" si="64"/>
        <v>6.842107809982549</v>
      </c>
      <c r="J65" s="6">
        <f t="shared" si="65"/>
        <v>2.838852819593864</v>
      </c>
      <c r="K65">
        <f t="shared" ca="1" si="66"/>
        <v>-1.0700490233844339E-3</v>
      </c>
      <c r="L65">
        <f t="shared" ca="1" si="67"/>
        <v>-31.031421678148583</v>
      </c>
      <c r="M65" s="6">
        <f t="shared" ca="1" si="68"/>
        <v>-24.514823125737383</v>
      </c>
      <c r="N65" s="6">
        <f t="shared" ca="1" si="69"/>
        <v>-167.73306276894854</v>
      </c>
      <c r="O65" s="6">
        <f t="shared" ca="1" si="70"/>
        <v>104.54231483829989</v>
      </c>
      <c r="Q65">
        <f t="shared" si="71"/>
        <v>4.2644531556315419</v>
      </c>
      <c r="R65">
        <f t="shared" si="72"/>
        <v>6.842107809982549</v>
      </c>
    </row>
    <row r="66" spans="1:18" x14ac:dyDescent="0.2">
      <c r="A66">
        <f t="shared" si="56"/>
        <v>5</v>
      </c>
      <c r="B66" s="1">
        <f t="shared" si="58"/>
        <v>0</v>
      </c>
      <c r="C66" s="1">
        <f t="shared" ca="1" si="58"/>
        <v>0</v>
      </c>
      <c r="D66" s="1">
        <f t="shared" si="58"/>
        <v>0</v>
      </c>
      <c r="E66" s="1">
        <f t="shared" ref="E66" si="75">E19</f>
        <v>0</v>
      </c>
      <c r="F66" s="1">
        <f t="shared" si="61"/>
        <v>-6</v>
      </c>
      <c r="G66" s="1">
        <f t="shared" si="62"/>
        <v>-9</v>
      </c>
      <c r="H66" s="6">
        <f t="shared" si="63"/>
        <v>-6.3393857138436838</v>
      </c>
      <c r="I66" s="6">
        <f t="shared" si="64"/>
        <v>-8.7642563159183471</v>
      </c>
      <c r="J66" s="6">
        <f t="shared" si="65"/>
        <v>18.44521694549476</v>
      </c>
      <c r="K66">
        <f t="shared" ca="1" si="66"/>
        <v>0</v>
      </c>
      <c r="L66">
        <f t="shared" ca="1" si="67"/>
        <v>0</v>
      </c>
      <c r="M66" s="6">
        <f t="shared" ca="1" si="68"/>
        <v>0</v>
      </c>
      <c r="N66" s="6">
        <f t="shared" ca="1" si="69"/>
        <v>0</v>
      </c>
      <c r="O66" s="6">
        <f t="shared" ca="1" si="70"/>
        <v>0</v>
      </c>
      <c r="Q66" t="e">
        <f t="shared" si="71"/>
        <v>#N/A</v>
      </c>
      <c r="R66" t="e">
        <f t="shared" si="72"/>
        <v>#N/A</v>
      </c>
    </row>
    <row r="67" spans="1:18" x14ac:dyDescent="0.2">
      <c r="A67">
        <f t="shared" si="56"/>
        <v>6</v>
      </c>
      <c r="B67" s="1">
        <f t="shared" si="58"/>
        <v>0</v>
      </c>
      <c r="C67" s="1">
        <f t="shared" ca="1" si="58"/>
        <v>0</v>
      </c>
      <c r="D67" s="1">
        <f t="shared" si="58"/>
        <v>0</v>
      </c>
      <c r="E67" s="1">
        <f t="shared" ref="E67" si="76">E20</f>
        <v>0</v>
      </c>
      <c r="F67" s="1">
        <f t="shared" si="61"/>
        <v>-6</v>
      </c>
      <c r="G67" s="1">
        <f t="shared" si="62"/>
        <v>-9</v>
      </c>
      <c r="H67" s="6">
        <f t="shared" si="63"/>
        <v>-6.3393857138436838</v>
      </c>
      <c r="I67" s="6">
        <f t="shared" si="64"/>
        <v>-8.7642563159183471</v>
      </c>
      <c r="J67" s="6">
        <f t="shared" si="65"/>
        <v>18.44521694549476</v>
      </c>
      <c r="K67">
        <f t="shared" ca="1" si="66"/>
        <v>0</v>
      </c>
      <c r="L67">
        <f t="shared" ca="1" si="67"/>
        <v>0</v>
      </c>
      <c r="M67" s="6">
        <f t="shared" ca="1" si="68"/>
        <v>0</v>
      </c>
      <c r="N67" s="6">
        <f t="shared" ca="1" si="69"/>
        <v>0</v>
      </c>
      <c r="O67" s="6">
        <f t="shared" ca="1" si="70"/>
        <v>0</v>
      </c>
      <c r="Q67" t="e">
        <f t="shared" si="71"/>
        <v>#N/A</v>
      </c>
      <c r="R67" t="e">
        <f t="shared" si="72"/>
        <v>#N/A</v>
      </c>
    </row>
    <row r="68" spans="1:18" x14ac:dyDescent="0.2">
      <c r="A68">
        <f t="shared" si="56"/>
        <v>7</v>
      </c>
      <c r="B68" s="1">
        <f t="shared" ref="B68:D68" si="77">B21</f>
        <v>0</v>
      </c>
      <c r="C68" s="1">
        <f t="shared" ca="1" si="77"/>
        <v>0</v>
      </c>
      <c r="D68" s="1">
        <f t="shared" si="77"/>
        <v>0</v>
      </c>
      <c r="E68" s="1">
        <f>E21</f>
        <v>0</v>
      </c>
      <c r="F68" s="1">
        <f t="shared" si="61"/>
        <v>-6</v>
      </c>
      <c r="G68" s="1">
        <f t="shared" si="62"/>
        <v>-9</v>
      </c>
      <c r="H68" s="6">
        <f t="shared" si="63"/>
        <v>-6.3393857138436838</v>
      </c>
      <c r="I68" s="6">
        <f t="shared" si="64"/>
        <v>-8.7642563159183471</v>
      </c>
      <c r="J68" s="6">
        <f t="shared" si="65"/>
        <v>18.44521694549476</v>
      </c>
      <c r="K68">
        <f t="shared" ca="1" si="66"/>
        <v>0</v>
      </c>
      <c r="L68">
        <f t="shared" ca="1" si="67"/>
        <v>0</v>
      </c>
      <c r="M68" s="6">
        <f t="shared" ca="1" si="68"/>
        <v>0</v>
      </c>
      <c r="N68" s="6">
        <f t="shared" ca="1" si="69"/>
        <v>0</v>
      </c>
      <c r="O68" s="6">
        <f t="shared" ca="1" si="70"/>
        <v>0</v>
      </c>
      <c r="Q68" t="e">
        <f t="shared" si="71"/>
        <v>#N/A</v>
      </c>
      <c r="R68" t="e">
        <f t="shared" si="72"/>
        <v>#N/A</v>
      </c>
    </row>
    <row r="69" spans="1:18" x14ac:dyDescent="0.2">
      <c r="A69">
        <f t="shared" si="56"/>
        <v>8</v>
      </c>
      <c r="B69" s="1">
        <f t="shared" ref="B69:D71" si="78">B22</f>
        <v>0</v>
      </c>
      <c r="C69" s="1">
        <f t="shared" ca="1" si="78"/>
        <v>0</v>
      </c>
      <c r="D69" s="1">
        <f t="shared" si="78"/>
        <v>0</v>
      </c>
      <c r="E69" s="1">
        <f t="shared" ref="E69" si="79">E22</f>
        <v>0</v>
      </c>
      <c r="F69" s="1">
        <f t="shared" si="61"/>
        <v>-6</v>
      </c>
      <c r="G69" s="1">
        <f t="shared" si="62"/>
        <v>-9</v>
      </c>
      <c r="H69" s="6">
        <f t="shared" si="63"/>
        <v>-6.3393857138436838</v>
      </c>
      <c r="I69" s="6">
        <f t="shared" si="64"/>
        <v>-8.7642563159183471</v>
      </c>
      <c r="J69" s="6">
        <f t="shared" si="65"/>
        <v>18.44521694549476</v>
      </c>
      <c r="K69">
        <f t="shared" ca="1" si="66"/>
        <v>0</v>
      </c>
      <c r="L69">
        <f t="shared" ca="1" si="67"/>
        <v>0</v>
      </c>
      <c r="M69" s="6">
        <f t="shared" ca="1" si="68"/>
        <v>0</v>
      </c>
      <c r="N69" s="6">
        <f t="shared" ca="1" si="69"/>
        <v>0</v>
      </c>
      <c r="O69" s="6">
        <f t="shared" ca="1" si="70"/>
        <v>0</v>
      </c>
      <c r="Q69" t="e">
        <f t="shared" si="71"/>
        <v>#N/A</v>
      </c>
      <c r="R69" t="e">
        <f t="shared" si="72"/>
        <v>#N/A</v>
      </c>
    </row>
    <row r="70" spans="1:18" x14ac:dyDescent="0.2">
      <c r="A70">
        <f t="shared" si="56"/>
        <v>9</v>
      </c>
      <c r="B70" s="1">
        <f t="shared" si="78"/>
        <v>0</v>
      </c>
      <c r="C70" s="1">
        <f t="shared" ca="1" si="78"/>
        <v>0</v>
      </c>
      <c r="D70" s="1">
        <f t="shared" si="78"/>
        <v>0</v>
      </c>
      <c r="E70" s="1">
        <f t="shared" ref="E70" si="80">E23</f>
        <v>0</v>
      </c>
      <c r="F70" s="1">
        <f t="shared" si="61"/>
        <v>-6</v>
      </c>
      <c r="G70" s="1">
        <f t="shared" si="62"/>
        <v>-9</v>
      </c>
      <c r="H70" s="6">
        <f t="shared" si="63"/>
        <v>-6.3393857138436838</v>
      </c>
      <c r="I70" s="6">
        <f t="shared" si="64"/>
        <v>-8.7642563159183471</v>
      </c>
      <c r="J70" s="6">
        <f t="shared" si="65"/>
        <v>18.44521694549476</v>
      </c>
      <c r="K70">
        <f t="shared" ca="1" si="66"/>
        <v>0</v>
      </c>
      <c r="L70">
        <f t="shared" ca="1" si="67"/>
        <v>0</v>
      </c>
      <c r="M70" s="6">
        <f t="shared" ca="1" si="68"/>
        <v>0</v>
      </c>
      <c r="N70" s="6">
        <f t="shared" ca="1" si="69"/>
        <v>0</v>
      </c>
      <c r="O70" s="6">
        <f t="shared" ca="1" si="70"/>
        <v>0</v>
      </c>
      <c r="Q70" t="e">
        <f t="shared" si="71"/>
        <v>#N/A</v>
      </c>
      <c r="R70" t="e">
        <f t="shared" si="72"/>
        <v>#N/A</v>
      </c>
    </row>
    <row r="71" spans="1:18" ht="16" thickBot="1" x14ac:dyDescent="0.25">
      <c r="A71">
        <f t="shared" si="56"/>
        <v>10</v>
      </c>
      <c r="B71" s="1">
        <f t="shared" si="78"/>
        <v>0</v>
      </c>
      <c r="C71" s="1">
        <f t="shared" ca="1" si="78"/>
        <v>0</v>
      </c>
      <c r="D71" s="1">
        <f t="shared" si="78"/>
        <v>0</v>
      </c>
      <c r="E71" s="1">
        <f t="shared" ref="E71" si="81">E24</f>
        <v>0</v>
      </c>
      <c r="F71" s="1">
        <f t="shared" si="61"/>
        <v>-6</v>
      </c>
      <c r="G71" s="1">
        <f t="shared" si="62"/>
        <v>-9</v>
      </c>
      <c r="H71" s="6">
        <f t="shared" si="63"/>
        <v>-6.3393857138436838</v>
      </c>
      <c r="I71" s="6">
        <f t="shared" si="64"/>
        <v>-8.7642563159183471</v>
      </c>
      <c r="J71" s="6">
        <f t="shared" si="65"/>
        <v>18.44521694549476</v>
      </c>
      <c r="K71" s="12">
        <f t="shared" ca="1" si="66"/>
        <v>0</v>
      </c>
      <c r="L71">
        <f t="shared" ca="1" si="67"/>
        <v>0</v>
      </c>
      <c r="M71" s="11">
        <f t="shared" ca="1" si="68"/>
        <v>0</v>
      </c>
      <c r="N71" s="11">
        <f t="shared" ca="1" si="69"/>
        <v>0</v>
      </c>
      <c r="O71" s="11">
        <f t="shared" ca="1" si="70"/>
        <v>0</v>
      </c>
      <c r="Q71" t="e">
        <f t="shared" si="71"/>
        <v>#N/A</v>
      </c>
      <c r="R71" t="e">
        <f t="shared" si="72"/>
        <v>#N/A</v>
      </c>
    </row>
    <row r="72" spans="1:18" ht="16" thickTop="1" x14ac:dyDescent="0.2">
      <c r="K72" s="13">
        <f ca="1">MIN(K62:K71)</f>
        <v>-2.1127131656318882E-2</v>
      </c>
      <c r="M72" s="9">
        <f ca="1">SUM(M62:M71)</f>
        <v>-133.79297099123406</v>
      </c>
      <c r="N72" s="9">
        <f t="shared" ref="N72:O72" ca="1" si="82">SUM(N62:N71)</f>
        <v>391.89757698790424</v>
      </c>
      <c r="O72" s="9">
        <f t="shared" ca="1" si="82"/>
        <v>25.196162564150399</v>
      </c>
    </row>
    <row r="75" spans="1:18" x14ac:dyDescent="0.2">
      <c r="A75" s="8" t="s">
        <v>63</v>
      </c>
      <c r="B75" s="9">
        <f ca="1">N57+M72</f>
        <v>22.222222222222598</v>
      </c>
      <c r="C75" t="s">
        <v>68</v>
      </c>
    </row>
    <row r="76" spans="1:18" x14ac:dyDescent="0.2">
      <c r="A76" s="8" t="s">
        <v>66</v>
      </c>
      <c r="B76" s="9">
        <f ca="1">O57+N72</f>
        <v>1728.161955420479</v>
      </c>
      <c r="C76" t="s">
        <v>69</v>
      </c>
    </row>
    <row r="77" spans="1:18" x14ac:dyDescent="0.2">
      <c r="A77" s="8" t="s">
        <v>67</v>
      </c>
      <c r="B77" s="9">
        <f ca="1">P57+O72</f>
        <v>503.58061168167819</v>
      </c>
      <c r="C77" t="s">
        <v>69</v>
      </c>
    </row>
    <row r="79" spans="1:18" x14ac:dyDescent="0.2">
      <c r="A79" s="8" t="s">
        <v>64</v>
      </c>
      <c r="B79">
        <f ca="1">((B76*COS(-1*B27))+(B77*SIN(-1*B27)))</f>
        <v>1707.6660853228861</v>
      </c>
      <c r="C79" t="s">
        <v>69</v>
      </c>
    </row>
    <row r="80" spans="1:18" x14ac:dyDescent="0.2">
      <c r="A80" s="8" t="s">
        <v>65</v>
      </c>
      <c r="B80">
        <f ca="1">(-1*(B76)*SIN(-1*B27))+((B77)*COS(-1*B27))</f>
        <v>569.22202844095614</v>
      </c>
      <c r="C80" t="s">
        <v>69</v>
      </c>
    </row>
    <row r="82" spans="1:2" x14ac:dyDescent="0.2">
      <c r="B82">
        <f>ATAN2(1,0)</f>
        <v>0</v>
      </c>
    </row>
    <row r="83" spans="1:2" x14ac:dyDescent="0.2">
      <c r="A83" t="s">
        <v>74</v>
      </c>
      <c r="B83">
        <f ca="1">ATAN2(B79,B80)</f>
        <v>0.32175055439663908</v>
      </c>
    </row>
  </sheetData>
  <phoneticPr fontId="4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50800</xdr:colOff>
                    <xdr:row>3</xdr:row>
                    <xdr:rowOff>12700</xdr:rowOff>
                  </from>
                  <to>
                    <xdr:col>9</xdr:col>
                    <xdr:colOff>190500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63500</xdr:colOff>
                    <xdr:row>8</xdr:row>
                    <xdr:rowOff>25400</xdr:rowOff>
                  </from>
                  <to>
                    <xdr:col>9</xdr:col>
                    <xdr:colOff>203200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292100</xdr:colOff>
                    <xdr:row>24</xdr:row>
                    <xdr:rowOff>88900</xdr:rowOff>
                  </from>
                  <to>
                    <xdr:col>20</xdr:col>
                    <xdr:colOff>800100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</cp:lastModifiedBy>
  <dcterms:created xsi:type="dcterms:W3CDTF">2020-11-07T15:23:03Z</dcterms:created>
  <dcterms:modified xsi:type="dcterms:W3CDTF">2020-11-09T00:14:09Z</dcterms:modified>
</cp:coreProperties>
</file>