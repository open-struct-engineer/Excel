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586712" documentId="114_{4C9766C2-934B-FE43-8898-95272A9847CE}" xr6:coauthVersionLast="45" xr6:coauthVersionMax="45" xr10:uidLastSave="{53723F54-5614-4FD2-810E-AD3D7E885EBE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AB17" i="1" l="1"/>
  <c r="AA17" i="1"/>
  <c r="Z17" i="1"/>
  <c r="DW4" i="1" l="1"/>
  <c r="DW6" i="1" s="1"/>
  <c r="DV4" i="1"/>
  <c r="DV6" i="1" s="1"/>
  <c r="DU4" i="1"/>
  <c r="DZ4" i="1" s="1"/>
  <c r="EC4" i="1" s="1"/>
  <c r="DO4" i="1"/>
  <c r="DO5" i="1"/>
  <c r="DP3" i="1"/>
  <c r="DQ3" i="1"/>
  <c r="DR3" i="1"/>
  <c r="EB4" i="1" l="1"/>
  <c r="EA4" i="1"/>
  <c r="DY6" i="1"/>
  <c r="DY4" i="1"/>
  <c r="AT5" i="1"/>
  <c r="AS5" i="1"/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K194" i="1" s="1"/>
  <c r="M194" i="1" s="1"/>
  <c r="C112" i="1"/>
  <c r="J112" i="1" s="1"/>
  <c r="L112" i="1" s="1"/>
  <c r="C193" i="1"/>
  <c r="K193" i="1" s="1"/>
  <c r="M193" i="1" s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N194" i="1"/>
  <c r="P194" i="1" s="1"/>
  <c r="N193" i="1"/>
  <c r="O193" i="1" s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O194" i="1" l="1"/>
  <c r="P193" i="1"/>
  <c r="F108" i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L193" i="1" l="1"/>
  <c r="L194" i="1"/>
  <c r="B151" i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R5" i="1" l="1"/>
  <c r="DR8" i="1" s="1"/>
  <c r="AE16" i="1"/>
  <c r="DQ5" i="1"/>
  <c r="DQ8" i="1" s="1"/>
  <c r="AD16" i="1"/>
  <c r="DP5" i="1"/>
  <c r="DP8" i="1" s="1"/>
  <c r="AC16" i="1"/>
  <c r="B127" i="1"/>
  <c r="Z15" i="1"/>
  <c r="F127" i="1"/>
  <c r="F126" i="1"/>
  <c r="C117" i="1"/>
  <c r="AB15" i="1" s="1"/>
  <c r="B125" i="1"/>
  <c r="C116" i="1"/>
  <c r="AA15" i="1" s="1"/>
  <c r="F125" i="1"/>
  <c r="B120" i="1"/>
  <c r="B119" i="1"/>
  <c r="B126" i="1"/>
  <c r="DQ4" i="1" l="1"/>
  <c r="DQ10" i="1" s="1"/>
  <c r="AD15" i="1"/>
  <c r="DR4" i="1"/>
  <c r="DR10" i="1" s="1"/>
  <c r="AE15" i="1"/>
  <c r="DP4" i="1"/>
  <c r="DP10" i="1" s="1"/>
  <c r="AC15" i="1"/>
  <c r="DP11" i="1"/>
  <c r="DU10" i="1"/>
  <c r="DR11" i="1"/>
  <c r="DW10" i="1"/>
  <c r="DQ11" i="1"/>
  <c r="DV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DP14" i="1" l="1"/>
  <c r="DQ18" i="1" s="1"/>
  <c r="DZ10" i="1"/>
  <c r="EA10" i="1" s="1"/>
  <c r="BW9" i="1"/>
  <c r="DV12" i="1"/>
  <c r="DY10" i="1"/>
  <c r="BX15" i="1"/>
  <c r="BX16" i="1"/>
  <c r="BX24" i="1"/>
  <c r="BX32" i="1"/>
  <c r="BX40" i="1"/>
  <c r="BX48" i="1"/>
  <c r="BX56" i="1"/>
  <c r="BX64" i="1"/>
  <c r="BX72" i="1"/>
  <c r="BX80" i="1"/>
  <c r="BX88" i="1"/>
  <c r="BX96" i="1"/>
  <c r="BX104" i="1"/>
  <c r="BX112" i="1"/>
  <c r="BX120" i="1"/>
  <c r="BX128" i="1"/>
  <c r="BX136" i="1"/>
  <c r="BX144" i="1"/>
  <c r="BX152" i="1"/>
  <c r="BX160" i="1"/>
  <c r="BX168" i="1"/>
  <c r="BX176" i="1"/>
  <c r="BX184" i="1"/>
  <c r="BX192" i="1"/>
  <c r="BX200" i="1"/>
  <c r="BX208" i="1"/>
  <c r="BX216" i="1"/>
  <c r="BX224" i="1"/>
  <c r="BX232" i="1"/>
  <c r="BX240" i="1"/>
  <c r="BX248" i="1"/>
  <c r="BX256" i="1"/>
  <c r="BX264" i="1"/>
  <c r="BX272" i="1"/>
  <c r="BX280" i="1"/>
  <c r="BX288" i="1"/>
  <c r="BX296" i="1"/>
  <c r="BX304" i="1"/>
  <c r="BX312" i="1"/>
  <c r="BX320" i="1"/>
  <c r="BX328" i="1"/>
  <c r="BX336" i="1"/>
  <c r="BX344" i="1"/>
  <c r="BX352" i="1"/>
  <c r="BX360" i="1"/>
  <c r="BX368" i="1"/>
  <c r="BX300" i="1"/>
  <c r="BX340" i="1"/>
  <c r="BX341" i="1"/>
  <c r="BX39" i="1"/>
  <c r="BX135" i="1"/>
  <c r="BX215" i="1"/>
  <c r="BX311" i="1"/>
  <c r="BX17" i="1"/>
  <c r="BX25" i="1"/>
  <c r="BX33" i="1"/>
  <c r="BX41" i="1"/>
  <c r="BX49" i="1"/>
  <c r="BX57" i="1"/>
  <c r="BX65" i="1"/>
  <c r="BX73" i="1"/>
  <c r="BX81" i="1"/>
  <c r="BX89" i="1"/>
  <c r="BX97" i="1"/>
  <c r="BX105" i="1"/>
  <c r="BX113" i="1"/>
  <c r="BX121" i="1"/>
  <c r="BX129" i="1"/>
  <c r="BX137" i="1"/>
  <c r="BX145" i="1"/>
  <c r="BX153" i="1"/>
  <c r="BX161" i="1"/>
  <c r="BX169" i="1"/>
  <c r="BX177" i="1"/>
  <c r="BX185" i="1"/>
  <c r="BX193" i="1"/>
  <c r="BX201" i="1"/>
  <c r="BX209" i="1"/>
  <c r="BX217" i="1"/>
  <c r="BX225" i="1"/>
  <c r="BX233" i="1"/>
  <c r="BX241" i="1"/>
  <c r="BX249" i="1"/>
  <c r="BX257" i="1"/>
  <c r="BX265" i="1"/>
  <c r="BX273" i="1"/>
  <c r="BX281" i="1"/>
  <c r="BX289" i="1"/>
  <c r="BX297" i="1"/>
  <c r="BX305" i="1"/>
  <c r="BX313" i="1"/>
  <c r="BX321" i="1"/>
  <c r="BX329" i="1"/>
  <c r="BX337" i="1"/>
  <c r="BX345" i="1"/>
  <c r="BX353" i="1"/>
  <c r="BX361" i="1"/>
  <c r="BX369" i="1"/>
  <c r="BX316" i="1"/>
  <c r="BX356" i="1"/>
  <c r="BX349" i="1"/>
  <c r="BX55" i="1"/>
  <c r="BX95" i="1"/>
  <c r="BX167" i="1"/>
  <c r="BX239" i="1"/>
  <c r="BX287" i="1"/>
  <c r="BX343" i="1"/>
  <c r="BX18" i="1"/>
  <c r="BX26" i="1"/>
  <c r="BX34" i="1"/>
  <c r="BX42" i="1"/>
  <c r="BX50" i="1"/>
  <c r="BX58" i="1"/>
  <c r="BX66" i="1"/>
  <c r="BX74" i="1"/>
  <c r="BX82" i="1"/>
  <c r="BX90" i="1"/>
  <c r="BX98" i="1"/>
  <c r="BX106" i="1"/>
  <c r="BX114" i="1"/>
  <c r="BX122" i="1"/>
  <c r="BX130" i="1"/>
  <c r="BX138" i="1"/>
  <c r="BX146" i="1"/>
  <c r="BX154" i="1"/>
  <c r="BX162" i="1"/>
  <c r="BX170" i="1"/>
  <c r="BX178" i="1"/>
  <c r="BX186" i="1"/>
  <c r="BX194" i="1"/>
  <c r="BX202" i="1"/>
  <c r="BX210" i="1"/>
  <c r="BX218" i="1"/>
  <c r="BX226" i="1"/>
  <c r="BX234" i="1"/>
  <c r="BX242" i="1"/>
  <c r="BX250" i="1"/>
  <c r="BX258" i="1"/>
  <c r="BX266" i="1"/>
  <c r="BX274" i="1"/>
  <c r="BX282" i="1"/>
  <c r="BX290" i="1"/>
  <c r="BX298" i="1"/>
  <c r="BX306" i="1"/>
  <c r="BX314" i="1"/>
  <c r="BX322" i="1"/>
  <c r="BX330" i="1"/>
  <c r="BX338" i="1"/>
  <c r="BX346" i="1"/>
  <c r="BX354" i="1"/>
  <c r="BX362" i="1"/>
  <c r="BX370" i="1"/>
  <c r="BX308" i="1"/>
  <c r="BX348" i="1"/>
  <c r="BX357" i="1"/>
  <c r="BX23" i="1"/>
  <c r="BX79" i="1"/>
  <c r="BX87" i="1"/>
  <c r="BX111" i="1"/>
  <c r="BX151" i="1"/>
  <c r="BX191" i="1"/>
  <c r="BX231" i="1"/>
  <c r="BX255" i="1"/>
  <c r="BX279" i="1"/>
  <c r="BX319" i="1"/>
  <c r="BX367" i="1"/>
  <c r="BX19" i="1"/>
  <c r="BX27" i="1"/>
  <c r="BX35" i="1"/>
  <c r="BX43" i="1"/>
  <c r="BX51" i="1"/>
  <c r="BX59" i="1"/>
  <c r="BX67" i="1"/>
  <c r="BX75" i="1"/>
  <c r="BX83" i="1"/>
  <c r="BX91" i="1"/>
  <c r="BX99" i="1"/>
  <c r="BX107" i="1"/>
  <c r="BX115" i="1"/>
  <c r="BX123" i="1"/>
  <c r="BX131" i="1"/>
  <c r="BX139" i="1"/>
  <c r="BX147" i="1"/>
  <c r="BX155" i="1"/>
  <c r="BX163" i="1"/>
  <c r="BX171" i="1"/>
  <c r="BX179" i="1"/>
  <c r="BX187" i="1"/>
  <c r="BX195" i="1"/>
  <c r="BX203" i="1"/>
  <c r="BX211" i="1"/>
  <c r="BX219" i="1"/>
  <c r="BX227" i="1"/>
  <c r="BX235" i="1"/>
  <c r="BX243" i="1"/>
  <c r="BX251" i="1"/>
  <c r="BX259" i="1"/>
  <c r="BX267" i="1"/>
  <c r="BX275" i="1"/>
  <c r="BX283" i="1"/>
  <c r="BX291" i="1"/>
  <c r="BX299" i="1"/>
  <c r="BX307" i="1"/>
  <c r="BX315" i="1"/>
  <c r="BX323" i="1"/>
  <c r="BX331" i="1"/>
  <c r="BX339" i="1"/>
  <c r="BX347" i="1"/>
  <c r="BX355" i="1"/>
  <c r="BX363" i="1"/>
  <c r="BX371" i="1"/>
  <c r="BX284" i="1"/>
  <c r="BX332" i="1"/>
  <c r="BX364" i="1"/>
  <c r="BX365" i="1"/>
  <c r="BX374" i="1"/>
  <c r="BX47" i="1"/>
  <c r="BX127" i="1"/>
  <c r="BX207" i="1"/>
  <c r="BX303" i="1"/>
  <c r="BX375" i="1"/>
  <c r="BX20" i="1"/>
  <c r="BX28" i="1"/>
  <c r="BX36" i="1"/>
  <c r="BX44" i="1"/>
  <c r="BX52" i="1"/>
  <c r="BX60" i="1"/>
  <c r="BX68" i="1"/>
  <c r="BX76" i="1"/>
  <c r="BX84" i="1"/>
  <c r="BX92" i="1"/>
  <c r="BX100" i="1"/>
  <c r="BX108" i="1"/>
  <c r="BX116" i="1"/>
  <c r="BX124" i="1"/>
  <c r="BX132" i="1"/>
  <c r="BX140" i="1"/>
  <c r="BX148" i="1"/>
  <c r="BX156" i="1"/>
  <c r="BX164" i="1"/>
  <c r="BX172" i="1"/>
  <c r="BX180" i="1"/>
  <c r="BX188" i="1"/>
  <c r="BX196" i="1"/>
  <c r="BX204" i="1"/>
  <c r="BX212" i="1"/>
  <c r="BX220" i="1"/>
  <c r="BX228" i="1"/>
  <c r="BX236" i="1"/>
  <c r="BX244" i="1"/>
  <c r="BX252" i="1"/>
  <c r="BX260" i="1"/>
  <c r="BX268" i="1"/>
  <c r="BX276" i="1"/>
  <c r="BX292" i="1"/>
  <c r="BX324" i="1"/>
  <c r="BX372" i="1"/>
  <c r="BX373" i="1"/>
  <c r="BX358" i="1"/>
  <c r="BX71" i="1"/>
  <c r="BX143" i="1"/>
  <c r="BX199" i="1"/>
  <c r="BX271" i="1"/>
  <c r="BX327" i="1"/>
  <c r="BX359" i="1"/>
  <c r="BX21" i="1"/>
  <c r="BX29" i="1"/>
  <c r="BX37" i="1"/>
  <c r="BX45" i="1"/>
  <c r="BX53" i="1"/>
  <c r="BX61" i="1"/>
  <c r="BX69" i="1"/>
  <c r="BX77" i="1"/>
  <c r="BX85" i="1"/>
  <c r="BX93" i="1"/>
  <c r="BX101" i="1"/>
  <c r="BX109" i="1"/>
  <c r="BX117" i="1"/>
  <c r="BX125" i="1"/>
  <c r="BX133" i="1"/>
  <c r="BX141" i="1"/>
  <c r="BX149" i="1"/>
  <c r="BX157" i="1"/>
  <c r="BX165" i="1"/>
  <c r="BX173" i="1"/>
  <c r="BX181" i="1"/>
  <c r="BX189" i="1"/>
  <c r="BX197" i="1"/>
  <c r="BX205" i="1"/>
  <c r="BX213" i="1"/>
  <c r="BX221" i="1"/>
  <c r="BX229" i="1"/>
  <c r="BX237" i="1"/>
  <c r="BX245" i="1"/>
  <c r="BX253" i="1"/>
  <c r="BX261" i="1"/>
  <c r="BX269" i="1"/>
  <c r="BX277" i="1"/>
  <c r="BX285" i="1"/>
  <c r="BX293" i="1"/>
  <c r="BX301" i="1"/>
  <c r="BX309" i="1"/>
  <c r="BX317" i="1"/>
  <c r="BX325" i="1"/>
  <c r="BX333" i="1"/>
  <c r="BX31" i="1"/>
  <c r="BX103" i="1"/>
  <c r="BX175" i="1"/>
  <c r="BX247" i="1"/>
  <c r="BX295" i="1"/>
  <c r="BX351" i="1"/>
  <c r="BX22" i="1"/>
  <c r="BX30" i="1"/>
  <c r="BX38" i="1"/>
  <c r="BX46" i="1"/>
  <c r="BX54" i="1"/>
  <c r="BX62" i="1"/>
  <c r="BX70" i="1"/>
  <c r="BX78" i="1"/>
  <c r="BX86" i="1"/>
  <c r="BX94" i="1"/>
  <c r="BX102" i="1"/>
  <c r="BX110" i="1"/>
  <c r="BX118" i="1"/>
  <c r="BX126" i="1"/>
  <c r="BX134" i="1"/>
  <c r="BX142" i="1"/>
  <c r="BX150" i="1"/>
  <c r="BX158" i="1"/>
  <c r="BX166" i="1"/>
  <c r="BX174" i="1"/>
  <c r="BX182" i="1"/>
  <c r="BX190" i="1"/>
  <c r="BX198" i="1"/>
  <c r="BX206" i="1"/>
  <c r="BX214" i="1"/>
  <c r="BX222" i="1"/>
  <c r="BX230" i="1"/>
  <c r="BX238" i="1"/>
  <c r="BX246" i="1"/>
  <c r="BX254" i="1"/>
  <c r="BX262" i="1"/>
  <c r="BX270" i="1"/>
  <c r="BX278" i="1"/>
  <c r="BX286" i="1"/>
  <c r="BX294" i="1"/>
  <c r="BX302" i="1"/>
  <c r="BX310" i="1"/>
  <c r="BX318" i="1"/>
  <c r="BX326" i="1"/>
  <c r="BX334" i="1"/>
  <c r="BX342" i="1"/>
  <c r="BX350" i="1"/>
  <c r="BX366" i="1"/>
  <c r="BX63" i="1"/>
  <c r="BX119" i="1"/>
  <c r="BX159" i="1"/>
  <c r="BX183" i="1"/>
  <c r="BX223" i="1"/>
  <c r="BX263" i="1"/>
  <c r="BX335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DR17" i="1" l="1"/>
  <c r="DP18" i="1"/>
  <c r="DP16" i="1"/>
  <c r="DR18" i="1"/>
  <c r="DQ16" i="1"/>
  <c r="DR16" i="1"/>
  <c r="DP17" i="1"/>
  <c r="DQ17" i="1"/>
  <c r="EC10" i="1"/>
  <c r="EB10" i="1"/>
  <c r="CD326" i="1"/>
  <c r="CD183" i="1"/>
  <c r="CD198" i="1"/>
  <c r="CD181" i="1"/>
  <c r="CD148" i="1"/>
  <c r="CD267" i="1"/>
  <c r="CD70" i="1"/>
  <c r="CD53" i="1"/>
  <c r="CD20" i="1"/>
  <c r="CD75" i="1"/>
  <c r="CD295" i="1"/>
  <c r="CD199" i="1"/>
  <c r="CD331" i="1"/>
  <c r="CD87" i="1"/>
  <c r="CD262" i="1"/>
  <c r="CD245" i="1"/>
  <c r="CD212" i="1"/>
  <c r="CD203" i="1"/>
  <c r="CD134" i="1"/>
  <c r="CD117" i="1"/>
  <c r="CD84" i="1"/>
  <c r="CD139" i="1"/>
  <c r="CD309" i="1"/>
  <c r="CD276" i="1"/>
  <c r="CD364" i="1"/>
  <c r="CD367" i="1"/>
  <c r="CD354" i="1"/>
  <c r="CD226" i="1"/>
  <c r="CD98" i="1"/>
  <c r="CD290" i="1"/>
  <c r="CD162" i="1"/>
  <c r="CD34" i="1"/>
  <c r="CD273" i="1"/>
  <c r="CD55" i="1"/>
  <c r="CD337" i="1"/>
  <c r="CD209" i="1"/>
  <c r="CD81" i="1"/>
  <c r="CD145" i="1"/>
  <c r="CD48" i="1"/>
  <c r="CD17" i="1"/>
  <c r="CD112" i="1"/>
  <c r="CD240" i="1"/>
  <c r="CD304" i="1"/>
  <c r="CD176" i="1"/>
  <c r="CD368" i="1"/>
  <c r="CD62" i="1"/>
  <c r="CD143" i="1"/>
  <c r="CD332" i="1"/>
  <c r="CD319" i="1"/>
  <c r="CD26" i="1"/>
  <c r="CD137" i="1"/>
  <c r="CD232" i="1"/>
  <c r="CD342" i="1"/>
  <c r="CD214" i="1"/>
  <c r="CD223" i="1"/>
  <c r="CD334" i="1"/>
  <c r="CD270" i="1"/>
  <c r="CD206" i="1"/>
  <c r="CD142" i="1"/>
  <c r="CD78" i="1"/>
  <c r="CD351" i="1"/>
  <c r="CD317" i="1"/>
  <c r="CD253" i="1"/>
  <c r="CD189" i="1"/>
  <c r="CD125" i="1"/>
  <c r="CD61" i="1"/>
  <c r="CD271" i="1"/>
  <c r="CD292" i="1"/>
  <c r="CD220" i="1"/>
  <c r="CD156" i="1"/>
  <c r="CD92" i="1"/>
  <c r="CD28" i="1"/>
  <c r="CD365" i="1"/>
  <c r="CD339" i="1"/>
  <c r="CD275" i="1"/>
  <c r="CD211" i="1"/>
  <c r="CD147" i="1"/>
  <c r="CD83" i="1"/>
  <c r="CD19" i="1"/>
  <c r="CD111" i="1"/>
  <c r="CD362" i="1"/>
  <c r="CD298" i="1"/>
  <c r="CD234" i="1"/>
  <c r="CD170" i="1"/>
  <c r="CD106" i="1"/>
  <c r="CD42" i="1"/>
  <c r="CD95" i="1"/>
  <c r="CD345" i="1"/>
  <c r="CD281" i="1"/>
  <c r="CD217" i="1"/>
  <c r="CD153" i="1"/>
  <c r="CD89" i="1"/>
  <c r="CD25" i="1"/>
  <c r="CD300" i="1"/>
  <c r="CD312" i="1"/>
  <c r="CD248" i="1"/>
  <c r="CD184" i="1"/>
  <c r="CD120" i="1"/>
  <c r="CD56" i="1"/>
  <c r="CD190" i="1"/>
  <c r="CD237" i="1"/>
  <c r="CD204" i="1"/>
  <c r="CD259" i="1"/>
  <c r="CD79" i="1"/>
  <c r="CD90" i="1"/>
  <c r="CD201" i="1"/>
  <c r="CD311" i="1"/>
  <c r="CD360" i="1"/>
  <c r="CD119" i="1"/>
  <c r="CD310" i="1"/>
  <c r="CD246" i="1"/>
  <c r="CD182" i="1"/>
  <c r="CD118" i="1"/>
  <c r="CD54" i="1"/>
  <c r="CD175" i="1"/>
  <c r="CD293" i="1"/>
  <c r="CD229" i="1"/>
  <c r="CD165" i="1"/>
  <c r="CD101" i="1"/>
  <c r="CD37" i="1"/>
  <c r="CD71" i="1"/>
  <c r="CD260" i="1"/>
  <c r="CD196" i="1"/>
  <c r="CD132" i="1"/>
  <c r="CD68" i="1"/>
  <c r="CD303" i="1"/>
  <c r="CD284" i="1"/>
  <c r="CD315" i="1"/>
  <c r="CD251" i="1"/>
  <c r="CD187" i="1"/>
  <c r="CD123" i="1"/>
  <c r="CD59" i="1"/>
  <c r="CD279" i="1"/>
  <c r="CD23" i="1"/>
  <c r="CD338" i="1"/>
  <c r="CD274" i="1"/>
  <c r="CD210" i="1"/>
  <c r="CD146" i="1"/>
  <c r="CD82" i="1"/>
  <c r="CD18" i="1"/>
  <c r="CD356" i="1"/>
  <c r="CD321" i="1"/>
  <c r="CD257" i="1"/>
  <c r="CD193" i="1"/>
  <c r="CD129" i="1"/>
  <c r="CD65" i="1"/>
  <c r="CD215" i="1"/>
  <c r="CD352" i="1"/>
  <c r="CD288" i="1"/>
  <c r="CD224" i="1"/>
  <c r="CD126" i="1"/>
  <c r="CD109" i="1"/>
  <c r="CD76" i="1"/>
  <c r="CD195" i="1"/>
  <c r="CD282" i="1"/>
  <c r="CD265" i="1"/>
  <c r="CD104" i="1"/>
  <c r="CD63" i="1"/>
  <c r="CD302" i="1"/>
  <c r="CD238" i="1"/>
  <c r="CD174" i="1"/>
  <c r="CD110" i="1"/>
  <c r="CD46" i="1"/>
  <c r="CD103" i="1"/>
  <c r="CD285" i="1"/>
  <c r="CD221" i="1"/>
  <c r="CD157" i="1"/>
  <c r="CD93" i="1"/>
  <c r="CD29" i="1"/>
  <c r="CD358" i="1"/>
  <c r="CD252" i="1"/>
  <c r="CD188" i="1"/>
  <c r="CD124" i="1"/>
  <c r="CD60" i="1"/>
  <c r="CD207" i="1"/>
  <c r="CD371" i="1"/>
  <c r="CD307" i="1"/>
  <c r="CD243" i="1"/>
  <c r="CD179" i="1"/>
  <c r="CD115" i="1"/>
  <c r="CD51" i="1"/>
  <c r="CD255" i="1"/>
  <c r="CD357" i="1"/>
  <c r="CD330" i="1"/>
  <c r="CD266" i="1"/>
  <c r="CD202" i="1"/>
  <c r="CD138" i="1"/>
  <c r="CD74" i="1"/>
  <c r="CD343" i="1"/>
  <c r="CD316" i="1"/>
  <c r="CD313" i="1"/>
  <c r="CD249" i="1"/>
  <c r="CD185" i="1"/>
  <c r="CD121" i="1"/>
  <c r="CD57" i="1"/>
  <c r="CD135" i="1"/>
  <c r="CD344" i="1"/>
  <c r="CD280" i="1"/>
  <c r="CD159" i="1"/>
  <c r="CD301" i="1"/>
  <c r="CD268" i="1"/>
  <c r="CD323" i="1"/>
  <c r="CD346" i="1"/>
  <c r="CD329" i="1"/>
  <c r="CD168" i="1"/>
  <c r="CD366" i="1"/>
  <c r="CD294" i="1"/>
  <c r="CD230" i="1"/>
  <c r="CD166" i="1"/>
  <c r="CD102" i="1"/>
  <c r="CD38" i="1"/>
  <c r="CD31" i="1"/>
  <c r="CD277" i="1"/>
  <c r="CD213" i="1"/>
  <c r="CD149" i="1"/>
  <c r="CD85" i="1"/>
  <c r="CD21" i="1"/>
  <c r="CD373" i="1"/>
  <c r="CD244" i="1"/>
  <c r="CD180" i="1"/>
  <c r="CD116" i="1"/>
  <c r="CD52" i="1"/>
  <c r="CD127" i="1"/>
  <c r="CD363" i="1"/>
  <c r="CD299" i="1"/>
  <c r="CD235" i="1"/>
  <c r="CD171" i="1"/>
  <c r="CD107" i="1"/>
  <c r="CD43" i="1"/>
  <c r="CD231" i="1"/>
  <c r="CD348" i="1"/>
  <c r="CD322" i="1"/>
  <c r="CD258" i="1"/>
  <c r="CD194" i="1"/>
  <c r="CD130" i="1"/>
  <c r="CD66" i="1"/>
  <c r="CD287" i="1"/>
  <c r="CD369" i="1"/>
  <c r="CD305" i="1"/>
  <c r="CD241" i="1"/>
  <c r="CD177" i="1"/>
  <c r="CD113" i="1"/>
  <c r="CD49" i="1"/>
  <c r="CD39" i="1"/>
  <c r="CD254" i="1"/>
  <c r="CD173" i="1"/>
  <c r="CD140" i="1"/>
  <c r="CD131" i="1"/>
  <c r="CD154" i="1"/>
  <c r="CD335" i="1"/>
  <c r="CD350" i="1"/>
  <c r="CD286" i="1"/>
  <c r="CD222" i="1"/>
  <c r="CD158" i="1"/>
  <c r="CD94" i="1"/>
  <c r="CD30" i="1"/>
  <c r="CD333" i="1"/>
  <c r="CD269" i="1"/>
  <c r="CD205" i="1"/>
  <c r="CD141" i="1"/>
  <c r="CD77" i="1"/>
  <c r="CD359" i="1"/>
  <c r="CD372" i="1"/>
  <c r="CD236" i="1"/>
  <c r="CD172" i="1"/>
  <c r="CD108" i="1"/>
  <c r="CD44" i="1"/>
  <c r="CD47" i="1"/>
  <c r="CD355" i="1"/>
  <c r="CD291" i="1"/>
  <c r="CD227" i="1"/>
  <c r="CD163" i="1"/>
  <c r="CD99" i="1"/>
  <c r="CD35" i="1"/>
  <c r="CD191" i="1"/>
  <c r="CD308" i="1"/>
  <c r="CD314" i="1"/>
  <c r="CD250" i="1"/>
  <c r="CD186" i="1"/>
  <c r="CD122" i="1"/>
  <c r="CD58" i="1"/>
  <c r="CD239" i="1"/>
  <c r="CD361" i="1"/>
  <c r="CD297" i="1"/>
  <c r="CD233" i="1"/>
  <c r="CD169" i="1"/>
  <c r="CD105" i="1"/>
  <c r="CD41" i="1"/>
  <c r="CD341" i="1"/>
  <c r="CD328" i="1"/>
  <c r="CD264" i="1"/>
  <c r="CD200" i="1"/>
  <c r="CD136" i="1"/>
  <c r="CD72" i="1"/>
  <c r="CD15" i="1"/>
  <c r="CD318" i="1"/>
  <c r="CD247" i="1"/>
  <c r="CD45" i="1"/>
  <c r="CD375" i="1"/>
  <c r="CD67" i="1"/>
  <c r="CD218" i="1"/>
  <c r="CD349" i="1"/>
  <c r="CD73" i="1"/>
  <c r="CD296" i="1"/>
  <c r="CD263" i="1"/>
  <c r="CD278" i="1"/>
  <c r="CD150" i="1"/>
  <c r="CD86" i="1"/>
  <c r="CD22" i="1"/>
  <c r="CD325" i="1"/>
  <c r="CD261" i="1"/>
  <c r="CD197" i="1"/>
  <c r="CD133" i="1"/>
  <c r="CD69" i="1"/>
  <c r="CD327" i="1"/>
  <c r="CD324" i="1"/>
  <c r="CD228" i="1"/>
  <c r="CD164" i="1"/>
  <c r="CD100" i="1"/>
  <c r="CD36" i="1"/>
  <c r="CD374" i="1"/>
  <c r="CD347" i="1"/>
  <c r="CD283" i="1"/>
  <c r="CD219" i="1"/>
  <c r="CD155" i="1"/>
  <c r="CD91" i="1"/>
  <c r="CD27" i="1"/>
  <c r="CD151" i="1"/>
  <c r="CD370" i="1"/>
  <c r="CD306" i="1"/>
  <c r="CD242" i="1"/>
  <c r="CD178" i="1"/>
  <c r="CD114" i="1"/>
  <c r="CD50" i="1"/>
  <c r="CD167" i="1"/>
  <c r="CD353" i="1"/>
  <c r="CD289" i="1"/>
  <c r="CD225" i="1"/>
  <c r="CD161" i="1"/>
  <c r="CD97" i="1"/>
  <c r="CD33" i="1"/>
  <c r="CD340" i="1"/>
  <c r="CD320" i="1"/>
  <c r="CD256" i="1"/>
  <c r="CD192" i="1"/>
  <c r="CD336" i="1"/>
  <c r="CD128" i="1"/>
  <c r="CD216" i="1"/>
  <c r="CD272" i="1"/>
  <c r="CD64" i="1"/>
  <c r="CD160" i="1"/>
  <c r="CD152" i="1"/>
  <c r="CD208" i="1"/>
  <c r="CD40" i="1"/>
  <c r="CD96" i="1"/>
  <c r="CD32" i="1"/>
  <c r="CD88" i="1"/>
  <c r="CD24" i="1"/>
  <c r="CD144" i="1"/>
  <c r="CD80" i="1"/>
  <c r="CD16" i="1"/>
  <c r="BX9" i="1"/>
  <c r="BW10" i="1" s="1"/>
  <c r="DW12" i="1"/>
  <c r="BY15" i="1"/>
  <c r="BY16" i="1"/>
  <c r="BY24" i="1"/>
  <c r="BY32" i="1"/>
  <c r="BY40" i="1"/>
  <c r="BY48" i="1"/>
  <c r="BY56" i="1"/>
  <c r="BY64" i="1"/>
  <c r="BY72" i="1"/>
  <c r="BY80" i="1"/>
  <c r="BY88" i="1"/>
  <c r="BY96" i="1"/>
  <c r="BY104" i="1"/>
  <c r="BY112" i="1"/>
  <c r="BY120" i="1"/>
  <c r="BY128" i="1"/>
  <c r="BY136" i="1"/>
  <c r="BY144" i="1"/>
  <c r="BY152" i="1"/>
  <c r="BY160" i="1"/>
  <c r="BY168" i="1"/>
  <c r="BY176" i="1"/>
  <c r="BY184" i="1"/>
  <c r="BY192" i="1"/>
  <c r="BY200" i="1"/>
  <c r="BY208" i="1"/>
  <c r="BY216" i="1"/>
  <c r="BY224" i="1"/>
  <c r="BY232" i="1"/>
  <c r="BY240" i="1"/>
  <c r="BY248" i="1"/>
  <c r="BY256" i="1"/>
  <c r="BY264" i="1"/>
  <c r="BY272" i="1"/>
  <c r="BY280" i="1"/>
  <c r="BY288" i="1"/>
  <c r="BY296" i="1"/>
  <c r="BY304" i="1"/>
  <c r="BY312" i="1"/>
  <c r="BY320" i="1"/>
  <c r="BY328" i="1"/>
  <c r="BY336" i="1"/>
  <c r="BY344" i="1"/>
  <c r="BY352" i="1"/>
  <c r="BY360" i="1"/>
  <c r="BY368" i="1"/>
  <c r="BY355" i="1"/>
  <c r="BY363" i="1"/>
  <c r="BY364" i="1"/>
  <c r="BY21" i="1"/>
  <c r="BY245" i="1"/>
  <c r="BY349" i="1"/>
  <c r="BY46" i="1"/>
  <c r="BY86" i="1"/>
  <c r="BY150" i="1"/>
  <c r="BY206" i="1"/>
  <c r="BY262" i="1"/>
  <c r="BY318" i="1"/>
  <c r="BY366" i="1"/>
  <c r="BY17" i="1"/>
  <c r="BY25" i="1"/>
  <c r="BY33" i="1"/>
  <c r="BY41" i="1"/>
  <c r="BY49" i="1"/>
  <c r="BY57" i="1"/>
  <c r="BY65" i="1"/>
  <c r="BY73" i="1"/>
  <c r="BY81" i="1"/>
  <c r="BY89" i="1"/>
  <c r="BY97" i="1"/>
  <c r="BY105" i="1"/>
  <c r="BY113" i="1"/>
  <c r="BY121" i="1"/>
  <c r="BY129" i="1"/>
  <c r="BY137" i="1"/>
  <c r="BY145" i="1"/>
  <c r="BY153" i="1"/>
  <c r="BY161" i="1"/>
  <c r="BY169" i="1"/>
  <c r="BY177" i="1"/>
  <c r="BY185" i="1"/>
  <c r="BY193" i="1"/>
  <c r="BY201" i="1"/>
  <c r="BY209" i="1"/>
  <c r="BY217" i="1"/>
  <c r="BY225" i="1"/>
  <c r="BY233" i="1"/>
  <c r="BY241" i="1"/>
  <c r="BY249" i="1"/>
  <c r="BY257" i="1"/>
  <c r="BY265" i="1"/>
  <c r="BY273" i="1"/>
  <c r="BY281" i="1"/>
  <c r="BY289" i="1"/>
  <c r="BY297" i="1"/>
  <c r="BY305" i="1"/>
  <c r="BY313" i="1"/>
  <c r="BY321" i="1"/>
  <c r="BY329" i="1"/>
  <c r="BY337" i="1"/>
  <c r="BY345" i="1"/>
  <c r="BY353" i="1"/>
  <c r="BY361" i="1"/>
  <c r="BY369" i="1"/>
  <c r="BY347" i="1"/>
  <c r="BY371" i="1"/>
  <c r="BY356" i="1"/>
  <c r="BY29" i="1"/>
  <c r="BY237" i="1"/>
  <c r="BY325" i="1"/>
  <c r="BY38" i="1"/>
  <c r="BY94" i="1"/>
  <c r="BY142" i="1"/>
  <c r="BY198" i="1"/>
  <c r="BY270" i="1"/>
  <c r="BY310" i="1"/>
  <c r="BY358" i="1"/>
  <c r="BY18" i="1"/>
  <c r="BY26" i="1"/>
  <c r="BY34" i="1"/>
  <c r="BY42" i="1"/>
  <c r="BY50" i="1"/>
  <c r="BY58" i="1"/>
  <c r="BY66" i="1"/>
  <c r="BY74" i="1"/>
  <c r="BY82" i="1"/>
  <c r="BY90" i="1"/>
  <c r="BY98" i="1"/>
  <c r="BY106" i="1"/>
  <c r="BY114" i="1"/>
  <c r="BY122" i="1"/>
  <c r="BY130" i="1"/>
  <c r="BY138" i="1"/>
  <c r="BY146" i="1"/>
  <c r="BY154" i="1"/>
  <c r="BY162" i="1"/>
  <c r="BY170" i="1"/>
  <c r="BY178" i="1"/>
  <c r="BY186" i="1"/>
  <c r="BY194" i="1"/>
  <c r="BY202" i="1"/>
  <c r="BY210" i="1"/>
  <c r="BY218" i="1"/>
  <c r="BY226" i="1"/>
  <c r="BY234" i="1"/>
  <c r="BY242" i="1"/>
  <c r="BY250" i="1"/>
  <c r="BY258" i="1"/>
  <c r="BY266" i="1"/>
  <c r="BY274" i="1"/>
  <c r="BY282" i="1"/>
  <c r="BY290" i="1"/>
  <c r="BY298" i="1"/>
  <c r="BY306" i="1"/>
  <c r="BY314" i="1"/>
  <c r="BY322" i="1"/>
  <c r="BY330" i="1"/>
  <c r="BY338" i="1"/>
  <c r="BY346" i="1"/>
  <c r="BY354" i="1"/>
  <c r="BY362" i="1"/>
  <c r="BY370" i="1"/>
  <c r="BY339" i="1"/>
  <c r="BY372" i="1"/>
  <c r="BY45" i="1"/>
  <c r="BY213" i="1"/>
  <c r="BY309" i="1"/>
  <c r="BY54" i="1"/>
  <c r="BY110" i="1"/>
  <c r="BY158" i="1"/>
  <c r="BY190" i="1"/>
  <c r="BY230" i="1"/>
  <c r="BY278" i="1"/>
  <c r="BY342" i="1"/>
  <c r="BY19" i="1"/>
  <c r="BY27" i="1"/>
  <c r="BY35" i="1"/>
  <c r="BY43" i="1"/>
  <c r="BY51" i="1"/>
  <c r="BY59" i="1"/>
  <c r="BY67" i="1"/>
  <c r="BY75" i="1"/>
  <c r="BY83" i="1"/>
  <c r="BY91" i="1"/>
  <c r="BY99" i="1"/>
  <c r="BY107" i="1"/>
  <c r="BY115" i="1"/>
  <c r="BY123" i="1"/>
  <c r="BY131" i="1"/>
  <c r="BY139" i="1"/>
  <c r="BY147" i="1"/>
  <c r="BY155" i="1"/>
  <c r="BY163" i="1"/>
  <c r="BY171" i="1"/>
  <c r="BY179" i="1"/>
  <c r="BY187" i="1"/>
  <c r="BY195" i="1"/>
  <c r="BY203" i="1"/>
  <c r="BY211" i="1"/>
  <c r="BY219" i="1"/>
  <c r="BY227" i="1"/>
  <c r="BY235" i="1"/>
  <c r="BY243" i="1"/>
  <c r="BY251" i="1"/>
  <c r="BY259" i="1"/>
  <c r="BY267" i="1"/>
  <c r="BY275" i="1"/>
  <c r="BY283" i="1"/>
  <c r="BY291" i="1"/>
  <c r="BY299" i="1"/>
  <c r="BY307" i="1"/>
  <c r="BY315" i="1"/>
  <c r="BY323" i="1"/>
  <c r="BY331" i="1"/>
  <c r="BY37" i="1"/>
  <c r="BY221" i="1"/>
  <c r="BY317" i="1"/>
  <c r="BY62" i="1"/>
  <c r="BY126" i="1"/>
  <c r="BY182" i="1"/>
  <c r="BY238" i="1"/>
  <c r="BY302" i="1"/>
  <c r="BY374" i="1"/>
  <c r="BY20" i="1"/>
  <c r="BY28" i="1"/>
  <c r="BY36" i="1"/>
  <c r="BY44" i="1"/>
  <c r="BY52" i="1"/>
  <c r="BY60" i="1"/>
  <c r="BY68" i="1"/>
  <c r="BY76" i="1"/>
  <c r="BY84" i="1"/>
  <c r="BY92" i="1"/>
  <c r="BY100" i="1"/>
  <c r="BY108" i="1"/>
  <c r="BY116" i="1"/>
  <c r="BY124" i="1"/>
  <c r="BY132" i="1"/>
  <c r="BY140" i="1"/>
  <c r="BY148" i="1"/>
  <c r="BY156" i="1"/>
  <c r="BY164" i="1"/>
  <c r="BY172" i="1"/>
  <c r="BY180" i="1"/>
  <c r="BY188" i="1"/>
  <c r="BY196" i="1"/>
  <c r="BY204" i="1"/>
  <c r="BY212" i="1"/>
  <c r="BY220" i="1"/>
  <c r="BY228" i="1"/>
  <c r="BY236" i="1"/>
  <c r="BY244" i="1"/>
  <c r="BY252" i="1"/>
  <c r="BY260" i="1"/>
  <c r="BY268" i="1"/>
  <c r="BY276" i="1"/>
  <c r="BY284" i="1"/>
  <c r="BY292" i="1"/>
  <c r="BY300" i="1"/>
  <c r="BY308" i="1"/>
  <c r="BY316" i="1"/>
  <c r="BY324" i="1"/>
  <c r="BY332" i="1"/>
  <c r="BY340" i="1"/>
  <c r="BY348" i="1"/>
  <c r="BY53" i="1"/>
  <c r="BY77" i="1"/>
  <c r="BY93" i="1"/>
  <c r="BY109" i="1"/>
  <c r="BY125" i="1"/>
  <c r="BY141" i="1"/>
  <c r="BY157" i="1"/>
  <c r="BY173" i="1"/>
  <c r="BY189" i="1"/>
  <c r="BY205" i="1"/>
  <c r="BY253" i="1"/>
  <c r="BY269" i="1"/>
  <c r="BY285" i="1"/>
  <c r="BY301" i="1"/>
  <c r="BY341" i="1"/>
  <c r="BY365" i="1"/>
  <c r="BY22" i="1"/>
  <c r="BY78" i="1"/>
  <c r="BY118" i="1"/>
  <c r="BY166" i="1"/>
  <c r="BY214" i="1"/>
  <c r="BY246" i="1"/>
  <c r="BY286" i="1"/>
  <c r="BY334" i="1"/>
  <c r="BY23" i="1"/>
  <c r="BY31" i="1"/>
  <c r="BY39" i="1"/>
  <c r="BY47" i="1"/>
  <c r="BY55" i="1"/>
  <c r="BY63" i="1"/>
  <c r="BY71" i="1"/>
  <c r="BY79" i="1"/>
  <c r="BY87" i="1"/>
  <c r="BY95" i="1"/>
  <c r="BY103" i="1"/>
  <c r="BY111" i="1"/>
  <c r="BY119" i="1"/>
  <c r="BY127" i="1"/>
  <c r="BY135" i="1"/>
  <c r="BY143" i="1"/>
  <c r="BY151" i="1"/>
  <c r="BY159" i="1"/>
  <c r="BY167" i="1"/>
  <c r="BY175" i="1"/>
  <c r="BY183" i="1"/>
  <c r="BY191" i="1"/>
  <c r="BY199" i="1"/>
  <c r="BY207" i="1"/>
  <c r="BY215" i="1"/>
  <c r="BY223" i="1"/>
  <c r="BY231" i="1"/>
  <c r="BY239" i="1"/>
  <c r="BY247" i="1"/>
  <c r="BY255" i="1"/>
  <c r="BY263" i="1"/>
  <c r="BY271" i="1"/>
  <c r="BY279" i="1"/>
  <c r="BY287" i="1"/>
  <c r="BY295" i="1"/>
  <c r="BY303" i="1"/>
  <c r="BY311" i="1"/>
  <c r="BY319" i="1"/>
  <c r="BY327" i="1"/>
  <c r="BY335" i="1"/>
  <c r="BY343" i="1"/>
  <c r="BY351" i="1"/>
  <c r="BY359" i="1"/>
  <c r="BY367" i="1"/>
  <c r="BY375" i="1"/>
  <c r="BY61" i="1"/>
  <c r="BY69" i="1"/>
  <c r="BY85" i="1"/>
  <c r="BY101" i="1"/>
  <c r="BY117" i="1"/>
  <c r="BY133" i="1"/>
  <c r="BY149" i="1"/>
  <c r="BY165" i="1"/>
  <c r="BY181" i="1"/>
  <c r="BY197" i="1"/>
  <c r="BY229" i="1"/>
  <c r="BY261" i="1"/>
  <c r="BY277" i="1"/>
  <c r="BY293" i="1"/>
  <c r="BY333" i="1"/>
  <c r="BY357" i="1"/>
  <c r="BY373" i="1"/>
  <c r="BY30" i="1"/>
  <c r="BY70" i="1"/>
  <c r="BY102" i="1"/>
  <c r="BY134" i="1"/>
  <c r="BY174" i="1"/>
  <c r="BY222" i="1"/>
  <c r="BY254" i="1"/>
  <c r="BY294" i="1"/>
  <c r="BY326" i="1"/>
  <c r="BY350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E373" i="1" l="1"/>
  <c r="CE61" i="1"/>
  <c r="CE255" i="1"/>
  <c r="CF255" i="1" s="1"/>
  <c r="CG255" i="1" s="1"/>
  <c r="CE127" i="1"/>
  <c r="CE63" i="1"/>
  <c r="CE141" i="1"/>
  <c r="CF141" i="1" s="1"/>
  <c r="CG141" i="1" s="1"/>
  <c r="CE301" i="1"/>
  <c r="CF301" i="1" s="1"/>
  <c r="CG301" i="1" s="1"/>
  <c r="CE204" i="1"/>
  <c r="CF204" i="1" s="1"/>
  <c r="CG204" i="1" s="1"/>
  <c r="CE294" i="1"/>
  <c r="CE181" i="1"/>
  <c r="CE319" i="1"/>
  <c r="CE191" i="1"/>
  <c r="CE246" i="1"/>
  <c r="CE140" i="1"/>
  <c r="CE268" i="1"/>
  <c r="CE37" i="1"/>
  <c r="CE211" i="1"/>
  <c r="CF211" i="1" s="1"/>
  <c r="CG211" i="1" s="1"/>
  <c r="CE332" i="1"/>
  <c r="CF332" i="1" s="1"/>
  <c r="CH332" i="1" s="1"/>
  <c r="CE76" i="1"/>
  <c r="CE374" i="1"/>
  <c r="CF374" i="1" s="1"/>
  <c r="CG374" i="1" s="1"/>
  <c r="DP20" i="1" a="1"/>
  <c r="DP20" i="1" s="1"/>
  <c r="DP21" i="1" a="1"/>
  <c r="DP21" i="1" s="1"/>
  <c r="DU20" i="1" a="1"/>
  <c r="DU20" i="1" s="1"/>
  <c r="DY12" i="1"/>
  <c r="CE275" i="1"/>
  <c r="CF275" i="1" s="1"/>
  <c r="CG275" i="1" s="1"/>
  <c r="CE19" i="1"/>
  <c r="CE309" i="1"/>
  <c r="CF309" i="1" s="1"/>
  <c r="CG309" i="1" s="1"/>
  <c r="CE147" i="1"/>
  <c r="CE346" i="1"/>
  <c r="CF346" i="1" s="1"/>
  <c r="CG346" i="1" s="1"/>
  <c r="CE83" i="1"/>
  <c r="CE282" i="1"/>
  <c r="CF282" i="1" s="1"/>
  <c r="CG282" i="1" s="1"/>
  <c r="CE218" i="1"/>
  <c r="CF218" i="1" s="1"/>
  <c r="CG218" i="1" s="1"/>
  <c r="CE26" i="1"/>
  <c r="CE90" i="1"/>
  <c r="CE154" i="1"/>
  <c r="CF154" i="1" s="1"/>
  <c r="CG154" i="1" s="1"/>
  <c r="CE38" i="1"/>
  <c r="CE233" i="1"/>
  <c r="CF233" i="1" s="1"/>
  <c r="CG233" i="1" s="1"/>
  <c r="CE297" i="1"/>
  <c r="CE361" i="1"/>
  <c r="CE169" i="1"/>
  <c r="CE150" i="1"/>
  <c r="CF150" i="1" s="1"/>
  <c r="CG150" i="1" s="1"/>
  <c r="CE312" i="1"/>
  <c r="CF312" i="1" s="1"/>
  <c r="CG312" i="1" s="1"/>
  <c r="CE105" i="1"/>
  <c r="CF105" i="1" s="1"/>
  <c r="CG105" i="1" s="1"/>
  <c r="CE355" i="1"/>
  <c r="CF355" i="1" s="1"/>
  <c r="CG355" i="1" s="1"/>
  <c r="CE41" i="1"/>
  <c r="CE326" i="1"/>
  <c r="CF326" i="1" s="1"/>
  <c r="CH326" i="1" s="1"/>
  <c r="CE30" i="1"/>
  <c r="CE197" i="1"/>
  <c r="CF197" i="1" s="1"/>
  <c r="CG197" i="1" s="1"/>
  <c r="CE69" i="1"/>
  <c r="CE327" i="1"/>
  <c r="CE263" i="1"/>
  <c r="CF263" i="1" s="1"/>
  <c r="CG263" i="1" s="1"/>
  <c r="CE199" i="1"/>
  <c r="CF199" i="1" s="1"/>
  <c r="CH199" i="1" s="1"/>
  <c r="CE135" i="1"/>
  <c r="CF135" i="1" s="1"/>
  <c r="CG135" i="1" s="1"/>
  <c r="CE71" i="1"/>
  <c r="CE286" i="1"/>
  <c r="CF286" i="1" s="1"/>
  <c r="CG286" i="1" s="1"/>
  <c r="CE341" i="1"/>
  <c r="CF341" i="1" s="1"/>
  <c r="CG341" i="1" s="1"/>
  <c r="CE157" i="1"/>
  <c r="CF157" i="1" s="1"/>
  <c r="CG157" i="1" s="1"/>
  <c r="CE340" i="1"/>
  <c r="CE276" i="1"/>
  <c r="CF276" i="1" s="1"/>
  <c r="CG276" i="1" s="1"/>
  <c r="CE212" i="1"/>
  <c r="CE148" i="1"/>
  <c r="CE84" i="1"/>
  <c r="CF84" i="1" s="1"/>
  <c r="CG84" i="1" s="1"/>
  <c r="CE20" i="1"/>
  <c r="CE221" i="1"/>
  <c r="CE283" i="1"/>
  <c r="CF283" i="1" s="1"/>
  <c r="CG283" i="1" s="1"/>
  <c r="CE219" i="1"/>
  <c r="CF219" i="1" s="1"/>
  <c r="CG219" i="1" s="1"/>
  <c r="CE155" i="1"/>
  <c r="CE91" i="1"/>
  <c r="CF91" i="1" s="1"/>
  <c r="CG91" i="1" s="1"/>
  <c r="CE27" i="1"/>
  <c r="CF27" i="1" s="1"/>
  <c r="CG27" i="1" s="1"/>
  <c r="CE54" i="1"/>
  <c r="CF54" i="1" s="1"/>
  <c r="CG54" i="1" s="1"/>
  <c r="CE354" i="1"/>
  <c r="CE290" i="1"/>
  <c r="CE226" i="1"/>
  <c r="CF226" i="1" s="1"/>
  <c r="CG226" i="1" s="1"/>
  <c r="CE162" i="1"/>
  <c r="CE98" i="1"/>
  <c r="CF98" i="1" s="1"/>
  <c r="CG98" i="1" s="1"/>
  <c r="CE34" i="1"/>
  <c r="CF34" i="1" s="1"/>
  <c r="CG34" i="1" s="1"/>
  <c r="CE94" i="1"/>
  <c r="CE369" i="1"/>
  <c r="CF369" i="1" s="1"/>
  <c r="CG369" i="1" s="1"/>
  <c r="CE305" i="1"/>
  <c r="CE241" i="1"/>
  <c r="CF241" i="1" s="1"/>
  <c r="CG241" i="1" s="1"/>
  <c r="CE177" i="1"/>
  <c r="CF177" i="1" s="1"/>
  <c r="CG177" i="1" s="1"/>
  <c r="CE113" i="1"/>
  <c r="CF113" i="1" s="1"/>
  <c r="CE49" i="1"/>
  <c r="CF49" i="1" s="1"/>
  <c r="CG49" i="1" s="1"/>
  <c r="CE222" i="1"/>
  <c r="CF222" i="1" s="1"/>
  <c r="CG222" i="1" s="1"/>
  <c r="CE293" i="1"/>
  <c r="CF293" i="1" s="1"/>
  <c r="CG293" i="1" s="1"/>
  <c r="CE350" i="1"/>
  <c r="CE70" i="1"/>
  <c r="CE229" i="1"/>
  <c r="CF229" i="1" s="1"/>
  <c r="CG229" i="1" s="1"/>
  <c r="CE85" i="1"/>
  <c r="CF85" i="1" s="1"/>
  <c r="CG85" i="1" s="1"/>
  <c r="CE335" i="1"/>
  <c r="CF335" i="1" s="1"/>
  <c r="CH335" i="1" s="1"/>
  <c r="CE271" i="1"/>
  <c r="CE207" i="1"/>
  <c r="CF207" i="1" s="1"/>
  <c r="CG207" i="1" s="1"/>
  <c r="CE143" i="1"/>
  <c r="CF143" i="1" s="1"/>
  <c r="CG143" i="1" s="1"/>
  <c r="CE79" i="1"/>
  <c r="CE334" i="1"/>
  <c r="CF334" i="1" s="1"/>
  <c r="CG334" i="1" s="1"/>
  <c r="CE365" i="1"/>
  <c r="CF365" i="1" s="1"/>
  <c r="CG365" i="1" s="1"/>
  <c r="CE173" i="1"/>
  <c r="CF173" i="1" s="1"/>
  <c r="CE348" i="1"/>
  <c r="CF348" i="1" s="1"/>
  <c r="CG348" i="1" s="1"/>
  <c r="CE284" i="1"/>
  <c r="CE220" i="1"/>
  <c r="CF220" i="1" s="1"/>
  <c r="CG220" i="1" s="1"/>
  <c r="CE156" i="1"/>
  <c r="CF156" i="1" s="1"/>
  <c r="CG156" i="1" s="1"/>
  <c r="CE92" i="1"/>
  <c r="CE28" i="1"/>
  <c r="CF28" i="1" s="1"/>
  <c r="CG28" i="1" s="1"/>
  <c r="CE317" i="1"/>
  <c r="CE291" i="1"/>
  <c r="CF291" i="1" s="1"/>
  <c r="CG291" i="1" s="1"/>
  <c r="CE227" i="1"/>
  <c r="CF227" i="1" s="1"/>
  <c r="CG227" i="1" s="1"/>
  <c r="CE163" i="1"/>
  <c r="CF163" i="1" s="1"/>
  <c r="CG163" i="1" s="1"/>
  <c r="CE99" i="1"/>
  <c r="CF99" i="1" s="1"/>
  <c r="CG99" i="1" s="1"/>
  <c r="CE35" i="1"/>
  <c r="CE110" i="1"/>
  <c r="CF110" i="1" s="1"/>
  <c r="CG110" i="1" s="1"/>
  <c r="CE362" i="1"/>
  <c r="CF362" i="1" s="1"/>
  <c r="CG362" i="1" s="1"/>
  <c r="CE254" i="1"/>
  <c r="CE357" i="1"/>
  <c r="CF357" i="1" s="1"/>
  <c r="CG357" i="1" s="1"/>
  <c r="CE165" i="1"/>
  <c r="CF165" i="1" s="1"/>
  <c r="CG165" i="1" s="1"/>
  <c r="CE375" i="1"/>
  <c r="CE311" i="1"/>
  <c r="CE247" i="1"/>
  <c r="CE183" i="1"/>
  <c r="CE119" i="1"/>
  <c r="CF119" i="1" s="1"/>
  <c r="CG119" i="1" s="1"/>
  <c r="CE55" i="1"/>
  <c r="CE214" i="1"/>
  <c r="CE285" i="1"/>
  <c r="CF285" i="1" s="1"/>
  <c r="CG285" i="1" s="1"/>
  <c r="CE125" i="1"/>
  <c r="CF125" i="1" s="1"/>
  <c r="CG125" i="1" s="1"/>
  <c r="CE324" i="1"/>
  <c r="CF324" i="1" s="1"/>
  <c r="CG324" i="1" s="1"/>
  <c r="CE260" i="1"/>
  <c r="CE196" i="1"/>
  <c r="CE132" i="1"/>
  <c r="CF132" i="1" s="1"/>
  <c r="CG132" i="1" s="1"/>
  <c r="CE68" i="1"/>
  <c r="CE302" i="1"/>
  <c r="CF302" i="1" s="1"/>
  <c r="CG302" i="1" s="1"/>
  <c r="CE331" i="1"/>
  <c r="CE267" i="1"/>
  <c r="CF267" i="1" s="1"/>
  <c r="CG267" i="1" s="1"/>
  <c r="CE203" i="1"/>
  <c r="CE139" i="1"/>
  <c r="CF139" i="1" s="1"/>
  <c r="CG139" i="1" s="1"/>
  <c r="CE75" i="1"/>
  <c r="CE342" i="1"/>
  <c r="CF342" i="1" s="1"/>
  <c r="CG342" i="1" s="1"/>
  <c r="CE213" i="1"/>
  <c r="CF213" i="1" s="1"/>
  <c r="CG213" i="1" s="1"/>
  <c r="CE338" i="1"/>
  <c r="CF338" i="1" s="1"/>
  <c r="CG338" i="1" s="1"/>
  <c r="CE274" i="1"/>
  <c r="CF274" i="1" s="1"/>
  <c r="CG274" i="1" s="1"/>
  <c r="CE210" i="1"/>
  <c r="CF210" i="1" s="1"/>
  <c r="CG210" i="1" s="1"/>
  <c r="CE146" i="1"/>
  <c r="CF146" i="1" s="1"/>
  <c r="CG146" i="1" s="1"/>
  <c r="CE82" i="1"/>
  <c r="CF82" i="1" s="1"/>
  <c r="CH82" i="1" s="1"/>
  <c r="CE18" i="1"/>
  <c r="CE325" i="1"/>
  <c r="CE353" i="1"/>
  <c r="CF353" i="1" s="1"/>
  <c r="CG353" i="1" s="1"/>
  <c r="CE289" i="1"/>
  <c r="CE225" i="1"/>
  <c r="CE161" i="1"/>
  <c r="CE97" i="1"/>
  <c r="CF97" i="1" s="1"/>
  <c r="CG97" i="1" s="1"/>
  <c r="CE333" i="1"/>
  <c r="CE149" i="1"/>
  <c r="CF149" i="1" s="1"/>
  <c r="CG149" i="1" s="1"/>
  <c r="CE367" i="1"/>
  <c r="CF367" i="1" s="1"/>
  <c r="CG367" i="1" s="1"/>
  <c r="CE303" i="1"/>
  <c r="CF303" i="1" s="1"/>
  <c r="CG303" i="1" s="1"/>
  <c r="CE239" i="1"/>
  <c r="CE175" i="1"/>
  <c r="CE111" i="1"/>
  <c r="CF111" i="1" s="1"/>
  <c r="CG111" i="1" s="1"/>
  <c r="CE47" i="1"/>
  <c r="CF47" i="1" s="1"/>
  <c r="CG47" i="1" s="1"/>
  <c r="CE166" i="1"/>
  <c r="CF166" i="1" s="1"/>
  <c r="CG166" i="1" s="1"/>
  <c r="CE269" i="1"/>
  <c r="CE109" i="1"/>
  <c r="CF109" i="1" s="1"/>
  <c r="CG109" i="1" s="1"/>
  <c r="CE316" i="1"/>
  <c r="CF316" i="1" s="1"/>
  <c r="CG316" i="1" s="1"/>
  <c r="CE252" i="1"/>
  <c r="CE188" i="1"/>
  <c r="CF188" i="1" s="1"/>
  <c r="CE124" i="1"/>
  <c r="CF124" i="1" s="1"/>
  <c r="CG124" i="1" s="1"/>
  <c r="CE60" i="1"/>
  <c r="CF60" i="1" s="1"/>
  <c r="CG60" i="1" s="1"/>
  <c r="CE238" i="1"/>
  <c r="CF238" i="1" s="1"/>
  <c r="CH238" i="1" s="1"/>
  <c r="CE323" i="1"/>
  <c r="CF323" i="1" s="1"/>
  <c r="CG323" i="1" s="1"/>
  <c r="CE259" i="1"/>
  <c r="CF259" i="1" s="1"/>
  <c r="CG259" i="1" s="1"/>
  <c r="CE195" i="1"/>
  <c r="CF195" i="1" s="1"/>
  <c r="CG195" i="1" s="1"/>
  <c r="CE131" i="1"/>
  <c r="CE67" i="1"/>
  <c r="CE278" i="1"/>
  <c r="CE45" i="1"/>
  <c r="CF45" i="1" s="1"/>
  <c r="CH45" i="1" s="1"/>
  <c r="CE330" i="1"/>
  <c r="CF330" i="1" s="1"/>
  <c r="CG330" i="1" s="1"/>
  <c r="CE174" i="1"/>
  <c r="CF174" i="1" s="1"/>
  <c r="CG174" i="1" s="1"/>
  <c r="CE295" i="1"/>
  <c r="CF295" i="1" s="1"/>
  <c r="CG295" i="1" s="1"/>
  <c r="CE231" i="1"/>
  <c r="CE167" i="1"/>
  <c r="CE103" i="1"/>
  <c r="CF103" i="1" s="1"/>
  <c r="CG103" i="1" s="1"/>
  <c r="CE39" i="1"/>
  <c r="CF39" i="1" s="1"/>
  <c r="CG39" i="1" s="1"/>
  <c r="CE118" i="1"/>
  <c r="CE253" i="1"/>
  <c r="CF253" i="1" s="1"/>
  <c r="CG253" i="1" s="1"/>
  <c r="CE93" i="1"/>
  <c r="CF93" i="1" s="1"/>
  <c r="CG93" i="1" s="1"/>
  <c r="CE308" i="1"/>
  <c r="CE244" i="1"/>
  <c r="CE180" i="1"/>
  <c r="CE116" i="1"/>
  <c r="CF116" i="1" s="1"/>
  <c r="CG116" i="1" s="1"/>
  <c r="CE52" i="1"/>
  <c r="CF52" i="1" s="1"/>
  <c r="CG52" i="1" s="1"/>
  <c r="CE182" i="1"/>
  <c r="CE315" i="1"/>
  <c r="CE251" i="1"/>
  <c r="CF251" i="1" s="1"/>
  <c r="CG251" i="1" s="1"/>
  <c r="CE187" i="1"/>
  <c r="CF187" i="1" s="1"/>
  <c r="CG187" i="1" s="1"/>
  <c r="CE123" i="1"/>
  <c r="CE59" i="1"/>
  <c r="CE230" i="1"/>
  <c r="CF230" i="1" s="1"/>
  <c r="CG230" i="1" s="1"/>
  <c r="CE372" i="1"/>
  <c r="CF372" i="1" s="1"/>
  <c r="CG372" i="1" s="1"/>
  <c r="CE322" i="1"/>
  <c r="CF322" i="1" s="1"/>
  <c r="CG322" i="1" s="1"/>
  <c r="CE258" i="1"/>
  <c r="CE194" i="1"/>
  <c r="CF194" i="1" s="1"/>
  <c r="CG194" i="1" s="1"/>
  <c r="CE130" i="1"/>
  <c r="CF130" i="1" s="1"/>
  <c r="CG130" i="1" s="1"/>
  <c r="CE66" i="1"/>
  <c r="CF66" i="1" s="1"/>
  <c r="CH66" i="1" s="1"/>
  <c r="CE310" i="1"/>
  <c r="CE29" i="1"/>
  <c r="CF29" i="1" s="1"/>
  <c r="CG29" i="1" s="1"/>
  <c r="CE337" i="1"/>
  <c r="CF337" i="1" s="1"/>
  <c r="CG337" i="1" s="1"/>
  <c r="CE273" i="1"/>
  <c r="CF273" i="1" s="1"/>
  <c r="CG273" i="1" s="1"/>
  <c r="CE209" i="1"/>
  <c r="CF209" i="1" s="1"/>
  <c r="CG209" i="1" s="1"/>
  <c r="CE145" i="1"/>
  <c r="CF145" i="1" s="1"/>
  <c r="CG145" i="1" s="1"/>
  <c r="CE81" i="1"/>
  <c r="CE17" i="1"/>
  <c r="CE349" i="1"/>
  <c r="CF349" i="1" s="1"/>
  <c r="CG349" i="1" s="1"/>
  <c r="CE352" i="1"/>
  <c r="CF352" i="1" s="1"/>
  <c r="CG352" i="1" s="1"/>
  <c r="CE359" i="1"/>
  <c r="CF359" i="1" s="1"/>
  <c r="CG359" i="1" s="1"/>
  <c r="CE134" i="1"/>
  <c r="CE277" i="1"/>
  <c r="CF277" i="1" s="1"/>
  <c r="CG277" i="1" s="1"/>
  <c r="CE117" i="1"/>
  <c r="CE351" i="1"/>
  <c r="CF351" i="1" s="1"/>
  <c r="CG351" i="1" s="1"/>
  <c r="CE287" i="1"/>
  <c r="CE223" i="1"/>
  <c r="CE159" i="1"/>
  <c r="CF159" i="1" s="1"/>
  <c r="CG159" i="1" s="1"/>
  <c r="CE95" i="1"/>
  <c r="CE31" i="1"/>
  <c r="CF31" i="1" s="1"/>
  <c r="CG31" i="1" s="1"/>
  <c r="CE78" i="1"/>
  <c r="CE205" i="1"/>
  <c r="CF205" i="1" s="1"/>
  <c r="CG205" i="1" s="1"/>
  <c r="CE77" i="1"/>
  <c r="CE300" i="1"/>
  <c r="CF300" i="1" s="1"/>
  <c r="CG300" i="1" s="1"/>
  <c r="CE236" i="1"/>
  <c r="CF236" i="1" s="1"/>
  <c r="CG236" i="1" s="1"/>
  <c r="CE172" i="1"/>
  <c r="CF172" i="1" s="1"/>
  <c r="CG172" i="1" s="1"/>
  <c r="CE108" i="1"/>
  <c r="CF108" i="1" s="1"/>
  <c r="CG108" i="1" s="1"/>
  <c r="CE44" i="1"/>
  <c r="CE126" i="1"/>
  <c r="CF126" i="1" s="1"/>
  <c r="CG126" i="1" s="1"/>
  <c r="CE307" i="1"/>
  <c r="CF307" i="1" s="1"/>
  <c r="CG307" i="1" s="1"/>
  <c r="CE243" i="1"/>
  <c r="CF243" i="1" s="1"/>
  <c r="CG243" i="1" s="1"/>
  <c r="CE179" i="1"/>
  <c r="CF179" i="1" s="1"/>
  <c r="CG179" i="1" s="1"/>
  <c r="CE115" i="1"/>
  <c r="CE51" i="1"/>
  <c r="CE190" i="1"/>
  <c r="CE339" i="1"/>
  <c r="CF339" i="1" s="1"/>
  <c r="CG339" i="1" s="1"/>
  <c r="CE314" i="1"/>
  <c r="CF314" i="1" s="1"/>
  <c r="CG314" i="1" s="1"/>
  <c r="CE250" i="1"/>
  <c r="CF250" i="1" s="1"/>
  <c r="CG250" i="1" s="1"/>
  <c r="CE186" i="1"/>
  <c r="CF186" i="1" s="1"/>
  <c r="CG186" i="1" s="1"/>
  <c r="CE122" i="1"/>
  <c r="CF122" i="1" s="1"/>
  <c r="CG122" i="1" s="1"/>
  <c r="CE58" i="1"/>
  <c r="CF58" i="1" s="1"/>
  <c r="CG58" i="1" s="1"/>
  <c r="CE270" i="1"/>
  <c r="CF270" i="1" s="1"/>
  <c r="CE356" i="1"/>
  <c r="CF356" i="1" s="1"/>
  <c r="CG356" i="1" s="1"/>
  <c r="CE329" i="1"/>
  <c r="CE265" i="1"/>
  <c r="CF265" i="1" s="1"/>
  <c r="CG265" i="1" s="1"/>
  <c r="CE201" i="1"/>
  <c r="CF201" i="1" s="1"/>
  <c r="CG201" i="1" s="1"/>
  <c r="CE137" i="1"/>
  <c r="CF137" i="1" s="1"/>
  <c r="CG137" i="1" s="1"/>
  <c r="CE73" i="1"/>
  <c r="CF73" i="1" s="1"/>
  <c r="CG73" i="1" s="1"/>
  <c r="CE366" i="1"/>
  <c r="CF366" i="1" s="1"/>
  <c r="CG366" i="1" s="1"/>
  <c r="CE245" i="1"/>
  <c r="CF245" i="1" s="1"/>
  <c r="CG245" i="1" s="1"/>
  <c r="CE133" i="1"/>
  <c r="CE102" i="1"/>
  <c r="CF102" i="1" s="1"/>
  <c r="CG102" i="1" s="1"/>
  <c r="CE261" i="1"/>
  <c r="CE101" i="1"/>
  <c r="CF101" i="1" s="1"/>
  <c r="CG101" i="1" s="1"/>
  <c r="CE343" i="1"/>
  <c r="CE279" i="1"/>
  <c r="CE215" i="1"/>
  <c r="CE151" i="1"/>
  <c r="CF151" i="1" s="1"/>
  <c r="CG151" i="1" s="1"/>
  <c r="CE87" i="1"/>
  <c r="CF87" i="1" s="1"/>
  <c r="CG87" i="1" s="1"/>
  <c r="CE23" i="1"/>
  <c r="CF23" i="1" s="1"/>
  <c r="CG23" i="1" s="1"/>
  <c r="CE22" i="1"/>
  <c r="CF22" i="1" s="1"/>
  <c r="CG22" i="1" s="1"/>
  <c r="CE189" i="1"/>
  <c r="CE53" i="1"/>
  <c r="CE292" i="1"/>
  <c r="CE228" i="1"/>
  <c r="CE164" i="1"/>
  <c r="CE100" i="1"/>
  <c r="CF100" i="1" s="1"/>
  <c r="CG100" i="1" s="1"/>
  <c r="CE36" i="1"/>
  <c r="CE62" i="1"/>
  <c r="CF62" i="1" s="1"/>
  <c r="CG62" i="1" s="1"/>
  <c r="CE299" i="1"/>
  <c r="CF299" i="1" s="1"/>
  <c r="CG299" i="1" s="1"/>
  <c r="CE235" i="1"/>
  <c r="CF235" i="1" s="1"/>
  <c r="CG235" i="1" s="1"/>
  <c r="CE171" i="1"/>
  <c r="CE107" i="1"/>
  <c r="CF107" i="1" s="1"/>
  <c r="CG107" i="1" s="1"/>
  <c r="CE43" i="1"/>
  <c r="CF43" i="1" s="1"/>
  <c r="CG43" i="1" s="1"/>
  <c r="CE158" i="1"/>
  <c r="CF158" i="1" s="1"/>
  <c r="CG158" i="1" s="1"/>
  <c r="CE370" i="1"/>
  <c r="CE306" i="1"/>
  <c r="CF306" i="1" s="1"/>
  <c r="CG306" i="1" s="1"/>
  <c r="CE242" i="1"/>
  <c r="CE178" i="1"/>
  <c r="CE114" i="1"/>
  <c r="CF114" i="1" s="1"/>
  <c r="CG114" i="1" s="1"/>
  <c r="CE50" i="1"/>
  <c r="CF50" i="1" s="1"/>
  <c r="CE198" i="1"/>
  <c r="CF198" i="1" s="1"/>
  <c r="CG198" i="1" s="1"/>
  <c r="CE371" i="1"/>
  <c r="CE321" i="1"/>
  <c r="CF321" i="1" s="1"/>
  <c r="CG321" i="1" s="1"/>
  <c r="CE257" i="1"/>
  <c r="CF257" i="1" s="1"/>
  <c r="CG257" i="1" s="1"/>
  <c r="CE193" i="1"/>
  <c r="CF193" i="1" s="1"/>
  <c r="CG193" i="1" s="1"/>
  <c r="CE129" i="1"/>
  <c r="CF129" i="1" s="1"/>
  <c r="CG129" i="1" s="1"/>
  <c r="CE65" i="1"/>
  <c r="CE288" i="1"/>
  <c r="CF288" i="1" s="1"/>
  <c r="CG288" i="1" s="1"/>
  <c r="CE224" i="1"/>
  <c r="CE160" i="1"/>
  <c r="CF160" i="1" s="1"/>
  <c r="CG160" i="1" s="1"/>
  <c r="CE96" i="1"/>
  <c r="CE344" i="1"/>
  <c r="CE318" i="1"/>
  <c r="CF318" i="1" s="1"/>
  <c r="CG318" i="1" s="1"/>
  <c r="CE21" i="1"/>
  <c r="CE336" i="1"/>
  <c r="CF336" i="1" s="1"/>
  <c r="CG336" i="1" s="1"/>
  <c r="CE206" i="1"/>
  <c r="CF206" i="1" s="1"/>
  <c r="CG206" i="1" s="1"/>
  <c r="CE363" i="1"/>
  <c r="CF363" i="1" s="1"/>
  <c r="CG363" i="1" s="1"/>
  <c r="CE320" i="1"/>
  <c r="CE32" i="1"/>
  <c r="CE272" i="1"/>
  <c r="CE208" i="1"/>
  <c r="CE144" i="1"/>
  <c r="CE80" i="1"/>
  <c r="CF80" i="1" s="1"/>
  <c r="CG80" i="1" s="1"/>
  <c r="CE16" i="1"/>
  <c r="CE280" i="1"/>
  <c r="CF280" i="1" s="1"/>
  <c r="CH280" i="1" s="1"/>
  <c r="CE216" i="1"/>
  <c r="CF216" i="1" s="1"/>
  <c r="CG216" i="1" s="1"/>
  <c r="CE152" i="1"/>
  <c r="CE88" i="1"/>
  <c r="CE24" i="1"/>
  <c r="CE298" i="1"/>
  <c r="CF298" i="1" s="1"/>
  <c r="CG298" i="1" s="1"/>
  <c r="CE234" i="1"/>
  <c r="CF234" i="1" s="1"/>
  <c r="CG234" i="1" s="1"/>
  <c r="CE170" i="1"/>
  <c r="CF170" i="1" s="1"/>
  <c r="CG170" i="1" s="1"/>
  <c r="CE106" i="1"/>
  <c r="CF106" i="1" s="1"/>
  <c r="CG106" i="1" s="1"/>
  <c r="CE42" i="1"/>
  <c r="CE142" i="1"/>
  <c r="CE347" i="1"/>
  <c r="CF347" i="1" s="1"/>
  <c r="CG347" i="1" s="1"/>
  <c r="CE313" i="1"/>
  <c r="CE249" i="1"/>
  <c r="CE185" i="1"/>
  <c r="CF185" i="1" s="1"/>
  <c r="CG185" i="1" s="1"/>
  <c r="CE121" i="1"/>
  <c r="CF121" i="1" s="1"/>
  <c r="CG121" i="1" s="1"/>
  <c r="CE57" i="1"/>
  <c r="CF57" i="1" s="1"/>
  <c r="CG57" i="1" s="1"/>
  <c r="CE262" i="1"/>
  <c r="CF262" i="1" s="1"/>
  <c r="CG262" i="1" s="1"/>
  <c r="CE364" i="1"/>
  <c r="CE328" i="1"/>
  <c r="CF328" i="1" s="1"/>
  <c r="CG328" i="1" s="1"/>
  <c r="CE264" i="1"/>
  <c r="CF264" i="1" s="1"/>
  <c r="CG264" i="1" s="1"/>
  <c r="CE200" i="1"/>
  <c r="CF200" i="1" s="1"/>
  <c r="CG200" i="1" s="1"/>
  <c r="CE136" i="1"/>
  <c r="CF136" i="1" s="1"/>
  <c r="CG136" i="1" s="1"/>
  <c r="CE72" i="1"/>
  <c r="CF72" i="1" s="1"/>
  <c r="CH72" i="1" s="1"/>
  <c r="CE256" i="1"/>
  <c r="CE192" i="1"/>
  <c r="CF192" i="1" s="1"/>
  <c r="CG192" i="1" s="1"/>
  <c r="CE128" i="1"/>
  <c r="CE64" i="1"/>
  <c r="CF64" i="1" s="1"/>
  <c r="CG64" i="1" s="1"/>
  <c r="CE248" i="1"/>
  <c r="CE184" i="1"/>
  <c r="CF184" i="1" s="1"/>
  <c r="CG184" i="1" s="1"/>
  <c r="CE120" i="1"/>
  <c r="CF120" i="1" s="1"/>
  <c r="CG120" i="1" s="1"/>
  <c r="CE56" i="1"/>
  <c r="CE33" i="1"/>
  <c r="CF33" i="1" s="1"/>
  <c r="CG33" i="1" s="1"/>
  <c r="CE86" i="1"/>
  <c r="CE368" i="1"/>
  <c r="CF368" i="1" s="1"/>
  <c r="CG368" i="1" s="1"/>
  <c r="CE304" i="1"/>
  <c r="CF304" i="1" s="1"/>
  <c r="CH304" i="1" s="1"/>
  <c r="CE240" i="1"/>
  <c r="CE176" i="1"/>
  <c r="CF176" i="1" s="1"/>
  <c r="CG176" i="1" s="1"/>
  <c r="CE112" i="1"/>
  <c r="CF112" i="1" s="1"/>
  <c r="CH112" i="1" s="1"/>
  <c r="CE48" i="1"/>
  <c r="CE266" i="1"/>
  <c r="CE202" i="1"/>
  <c r="CE138" i="1"/>
  <c r="CE74" i="1"/>
  <c r="CF74" i="1" s="1"/>
  <c r="CG74" i="1" s="1"/>
  <c r="CE358" i="1"/>
  <c r="CE237" i="1"/>
  <c r="CE345" i="1"/>
  <c r="CF345" i="1" s="1"/>
  <c r="CG345" i="1" s="1"/>
  <c r="CE281" i="1"/>
  <c r="CF281" i="1" s="1"/>
  <c r="CG281" i="1" s="1"/>
  <c r="CE217" i="1"/>
  <c r="CE153" i="1"/>
  <c r="CE89" i="1"/>
  <c r="CF89" i="1" s="1"/>
  <c r="CH89" i="1" s="1"/>
  <c r="CE25" i="1"/>
  <c r="CE46" i="1"/>
  <c r="CE360" i="1"/>
  <c r="CE296" i="1"/>
  <c r="CE232" i="1"/>
  <c r="CF232" i="1" s="1"/>
  <c r="CG232" i="1" s="1"/>
  <c r="CE168" i="1"/>
  <c r="CF168" i="1" s="1"/>
  <c r="CG168" i="1" s="1"/>
  <c r="CE104" i="1"/>
  <c r="CF104" i="1" s="1"/>
  <c r="CG104" i="1" s="1"/>
  <c r="CE40" i="1"/>
  <c r="CF40" i="1" s="1"/>
  <c r="CG40" i="1" s="1"/>
  <c r="CE15" i="1"/>
  <c r="BZ15" i="1"/>
  <c r="CA15" i="1" s="1"/>
  <c r="BW11" i="1"/>
  <c r="BZ38" i="1"/>
  <c r="CA38" i="1" s="1"/>
  <c r="BZ227" i="1"/>
  <c r="CB227" i="1" s="1"/>
  <c r="BZ214" i="1"/>
  <c r="CA214" i="1" s="1"/>
  <c r="BZ215" i="1"/>
  <c r="CB215" i="1" s="1"/>
  <c r="BZ190" i="1"/>
  <c r="CB190" i="1" s="1"/>
  <c r="BZ355" i="1"/>
  <c r="CA355" i="1" s="1"/>
  <c r="BZ46" i="1"/>
  <c r="CA46" i="1" s="1"/>
  <c r="BZ35" i="1"/>
  <c r="CB35" i="1" s="1"/>
  <c r="BZ291" i="1"/>
  <c r="CB291" i="1" s="1"/>
  <c r="BZ354" i="1"/>
  <c r="CB354" i="1" s="1"/>
  <c r="BZ210" i="1"/>
  <c r="CA210" i="1" s="1"/>
  <c r="BZ342" i="1"/>
  <c r="CB342" i="1" s="1"/>
  <c r="BZ220" i="1"/>
  <c r="CA220" i="1" s="1"/>
  <c r="BZ49" i="1"/>
  <c r="CA49" i="1" s="1"/>
  <c r="BZ244" i="1"/>
  <c r="CB244" i="1" s="1"/>
  <c r="BZ146" i="1"/>
  <c r="CA146" i="1" s="1"/>
  <c r="BZ261" i="1"/>
  <c r="CB261" i="1" s="1"/>
  <c r="BZ311" i="1"/>
  <c r="CA311" i="1" s="1"/>
  <c r="BZ223" i="1"/>
  <c r="CB223" i="1" s="1"/>
  <c r="BZ286" i="1"/>
  <c r="CA286" i="1" s="1"/>
  <c r="BZ165" i="1"/>
  <c r="CA165" i="1" s="1"/>
  <c r="BZ277" i="1"/>
  <c r="CB277" i="1" s="1"/>
  <c r="BZ353" i="1"/>
  <c r="CB353" i="1" s="1"/>
  <c r="BZ211" i="1"/>
  <c r="CB211" i="1" s="1"/>
  <c r="BZ345" i="1"/>
  <c r="CB345" i="1" s="1"/>
  <c r="BZ369" i="1"/>
  <c r="CA369" i="1" s="1"/>
  <c r="BZ31" i="1"/>
  <c r="CA31" i="1" s="1"/>
  <c r="BZ346" i="1"/>
  <c r="CA346" i="1" s="1"/>
  <c r="BZ68" i="1"/>
  <c r="CA68" i="1" s="1"/>
  <c r="BZ181" i="1"/>
  <c r="CA181" i="1" s="1"/>
  <c r="BZ58" i="1"/>
  <c r="CA58" i="1" s="1"/>
  <c r="BZ132" i="1"/>
  <c r="CA132" i="1" s="1"/>
  <c r="BZ236" i="1"/>
  <c r="CB236" i="1" s="1"/>
  <c r="BZ373" i="1"/>
  <c r="CA373" i="1" s="1"/>
  <c r="BZ243" i="1"/>
  <c r="CB243" i="1" s="1"/>
  <c r="BZ219" i="1"/>
  <c r="CA219" i="1" s="1"/>
  <c r="BZ103" i="1"/>
  <c r="CB103" i="1" s="1"/>
  <c r="BZ229" i="1"/>
  <c r="CB229" i="1" s="1"/>
  <c r="BZ159" i="1"/>
  <c r="CA159" i="1" s="1"/>
  <c r="BZ50" i="1"/>
  <c r="CB50" i="1" s="1"/>
  <c r="BZ326" i="1"/>
  <c r="CA326" i="1" s="1"/>
  <c r="BZ239" i="1"/>
  <c r="CB239" i="1" s="1"/>
  <c r="BZ158" i="1"/>
  <c r="CA158" i="1" s="1"/>
  <c r="BZ241" i="1"/>
  <c r="CB241" i="1" s="1"/>
  <c r="BZ118" i="1"/>
  <c r="CA118" i="1" s="1"/>
  <c r="BZ124" i="1"/>
  <c r="CA124" i="1" s="1"/>
  <c r="BZ285" i="1"/>
  <c r="CA285" i="1" s="1"/>
  <c r="BZ313" i="1"/>
  <c r="CA313" i="1" s="1"/>
  <c r="BZ126" i="1"/>
  <c r="CA126" i="1" s="1"/>
  <c r="BZ180" i="1"/>
  <c r="CA180" i="1" s="1"/>
  <c r="BZ27" i="1"/>
  <c r="CA27" i="1" s="1"/>
  <c r="BZ115" i="1"/>
  <c r="CA115" i="1" s="1"/>
  <c r="BZ122" i="1"/>
  <c r="CB122" i="1" s="1"/>
  <c r="BZ329" i="1"/>
  <c r="CB329" i="1" s="1"/>
  <c r="BZ302" i="1"/>
  <c r="CB302" i="1" s="1"/>
  <c r="BZ66" i="1"/>
  <c r="CB66" i="1" s="1"/>
  <c r="BZ143" i="1"/>
  <c r="CB143" i="1" s="1"/>
  <c r="BZ316" i="1"/>
  <c r="CA316" i="1" s="1"/>
  <c r="BZ299" i="1"/>
  <c r="CB299" i="1" s="1"/>
  <c r="BZ195" i="1"/>
  <c r="CA195" i="1" s="1"/>
  <c r="BZ125" i="1"/>
  <c r="CA125" i="1" s="1"/>
  <c r="BZ356" i="1"/>
  <c r="CB356" i="1" s="1"/>
  <c r="BZ101" i="1"/>
  <c r="CB101" i="1" s="1"/>
  <c r="BZ111" i="1"/>
  <c r="CB111" i="1" s="1"/>
  <c r="BZ303" i="1"/>
  <c r="CB303" i="1" s="1"/>
  <c r="BZ53" i="1"/>
  <c r="CA53" i="1" s="1"/>
  <c r="BZ62" i="1"/>
  <c r="CB62" i="1" s="1"/>
  <c r="BZ338" i="1"/>
  <c r="CA338" i="1" s="1"/>
  <c r="BZ337" i="1"/>
  <c r="CA337" i="1" s="1"/>
  <c r="BZ322" i="1"/>
  <c r="CB322" i="1" s="1"/>
  <c r="BZ270" i="1"/>
  <c r="CB270" i="1" s="1"/>
  <c r="BZ140" i="1"/>
  <c r="CB140" i="1" s="1"/>
  <c r="BZ148" i="1"/>
  <c r="CA148" i="1" s="1"/>
  <c r="BZ306" i="1"/>
  <c r="CA306" i="1" s="1"/>
  <c r="BZ156" i="1"/>
  <c r="CA156" i="1" s="1"/>
  <c r="BZ254" i="1"/>
  <c r="CA254" i="1" s="1"/>
  <c r="BZ39" i="1"/>
  <c r="CA39" i="1" s="1"/>
  <c r="BZ54" i="1"/>
  <c r="CA54" i="1" s="1"/>
  <c r="BZ169" i="1"/>
  <c r="CB169" i="1" s="1"/>
  <c r="BZ367" i="1"/>
  <c r="CB367" i="1" s="1"/>
  <c r="BZ361" i="1"/>
  <c r="CB361" i="1" s="1"/>
  <c r="BZ279" i="1"/>
  <c r="CA279" i="1" s="1"/>
  <c r="BZ332" i="1"/>
  <c r="CA332" i="1" s="1"/>
  <c r="BZ331" i="1"/>
  <c r="CB331" i="1" s="1"/>
  <c r="BZ226" i="1"/>
  <c r="CA226" i="1" s="1"/>
  <c r="BZ273" i="1"/>
  <c r="CB273" i="1" s="1"/>
  <c r="BZ83" i="1"/>
  <c r="CA83" i="1" s="1"/>
  <c r="BZ182" i="1"/>
  <c r="CA182" i="1" s="1"/>
  <c r="BZ197" i="1"/>
  <c r="CA197" i="1" s="1"/>
  <c r="BZ246" i="1"/>
  <c r="CB246" i="1" s="1"/>
  <c r="BZ102" i="1"/>
  <c r="CB102" i="1" s="1"/>
  <c r="BZ212" i="1"/>
  <c r="CB212" i="1" s="1"/>
  <c r="BZ366" i="1"/>
  <c r="CB366" i="1" s="1"/>
  <c r="BZ157" i="1"/>
  <c r="CB157" i="1" s="1"/>
  <c r="BZ282" i="1"/>
  <c r="CB282" i="1" s="1"/>
  <c r="BZ22" i="1"/>
  <c r="CB22" i="1" s="1"/>
  <c r="BZ266" i="1"/>
  <c r="CB266" i="1" s="1"/>
  <c r="BZ52" i="1"/>
  <c r="CA52" i="1" s="1"/>
  <c r="BZ305" i="1"/>
  <c r="CB305" i="1" s="1"/>
  <c r="BZ307" i="1"/>
  <c r="CA307" i="1" s="1"/>
  <c r="BZ20" i="1"/>
  <c r="CB20" i="1" s="1"/>
  <c r="BZ250" i="1"/>
  <c r="CB250" i="1" s="1"/>
  <c r="BZ26" i="1"/>
  <c r="CB26" i="1" s="1"/>
  <c r="BZ209" i="1"/>
  <c r="CA209" i="1" s="1"/>
  <c r="BZ173" i="1"/>
  <c r="CB173" i="1" s="1"/>
  <c r="BZ147" i="1"/>
  <c r="CB147" i="1" s="1"/>
  <c r="BZ222" i="1"/>
  <c r="CB222" i="1" s="1"/>
  <c r="BZ47" i="1"/>
  <c r="CA47" i="1" s="1"/>
  <c r="BZ63" i="1"/>
  <c r="CB63" i="1" s="1"/>
  <c r="BZ374" i="1"/>
  <c r="CA374" i="1" s="1"/>
  <c r="BZ235" i="1"/>
  <c r="CA235" i="1" s="1"/>
  <c r="BZ370" i="1"/>
  <c r="CA370" i="1" s="1"/>
  <c r="BZ99" i="1"/>
  <c r="CB99" i="1" s="1"/>
  <c r="BZ127" i="1"/>
  <c r="CA127" i="1" s="1"/>
  <c r="BZ300" i="1"/>
  <c r="CB300" i="1" s="1"/>
  <c r="BZ131" i="1"/>
  <c r="CA131" i="1" s="1"/>
  <c r="BZ364" i="1"/>
  <c r="CA364" i="1" s="1"/>
  <c r="BZ174" i="1"/>
  <c r="CA174" i="1" s="1"/>
  <c r="BZ70" i="1"/>
  <c r="CB70" i="1" s="1"/>
  <c r="BZ191" i="1"/>
  <c r="CB191" i="1" s="1"/>
  <c r="BZ51" i="1"/>
  <c r="CB51" i="1" s="1"/>
  <c r="BZ84" i="1"/>
  <c r="CB84" i="1" s="1"/>
  <c r="BZ333" i="1"/>
  <c r="CB333" i="1" s="1"/>
  <c r="BZ151" i="1"/>
  <c r="CB151" i="1" s="1"/>
  <c r="BZ135" i="1"/>
  <c r="CB135" i="1" s="1"/>
  <c r="BZ268" i="1"/>
  <c r="CB268" i="1" s="1"/>
  <c r="BZ245" i="1"/>
  <c r="CB245" i="1" s="1"/>
  <c r="BZ130" i="1"/>
  <c r="CA130" i="1" s="1"/>
  <c r="BZ324" i="1"/>
  <c r="CA324" i="1" s="1"/>
  <c r="BZ295" i="1"/>
  <c r="CB295" i="1" s="1"/>
  <c r="BZ155" i="1"/>
  <c r="CB155" i="1" s="1"/>
  <c r="BZ359" i="1"/>
  <c r="CB359" i="1" s="1"/>
  <c r="BZ205" i="1"/>
  <c r="CB205" i="1" s="1"/>
  <c r="BZ133" i="1"/>
  <c r="CB133" i="1" s="1"/>
  <c r="BZ60" i="1"/>
  <c r="CA60" i="1" s="1"/>
  <c r="BZ85" i="1"/>
  <c r="CA85" i="1" s="1"/>
  <c r="BZ263" i="1"/>
  <c r="CB263" i="1" s="1"/>
  <c r="BZ260" i="1"/>
  <c r="CB260" i="1" s="1"/>
  <c r="BZ339" i="1"/>
  <c r="CA339" i="1" s="1"/>
  <c r="BZ75" i="1"/>
  <c r="CA75" i="1" s="1"/>
  <c r="BZ71" i="1"/>
  <c r="CB71" i="1" s="1"/>
  <c r="BZ344" i="1"/>
  <c r="CA344" i="1" s="1"/>
  <c r="BZ349" i="1"/>
  <c r="CB349" i="1" s="1"/>
  <c r="BZ188" i="1"/>
  <c r="CB188" i="1" s="1"/>
  <c r="BZ45" i="1"/>
  <c r="CA45" i="1" s="1"/>
  <c r="BZ271" i="1"/>
  <c r="CB271" i="1" s="1"/>
  <c r="BZ274" i="1"/>
  <c r="CA274" i="1" s="1"/>
  <c r="BZ154" i="1"/>
  <c r="CB154" i="1" s="1"/>
  <c r="BZ55" i="1"/>
  <c r="CA55" i="1" s="1"/>
  <c r="BZ269" i="1"/>
  <c r="CB269" i="1" s="1"/>
  <c r="BZ69" i="1"/>
  <c r="CB69" i="1" s="1"/>
  <c r="BZ116" i="1"/>
  <c r="CB116" i="1" s="1"/>
  <c r="BZ59" i="1"/>
  <c r="CB59" i="1" s="1"/>
  <c r="BZ281" i="1"/>
  <c r="CA281" i="1" s="1"/>
  <c r="BZ365" i="1"/>
  <c r="CA365" i="1" s="1"/>
  <c r="BZ206" i="1"/>
  <c r="CA206" i="1" s="1"/>
  <c r="BZ183" i="1"/>
  <c r="CA183" i="1" s="1"/>
  <c r="BZ372" i="1"/>
  <c r="CB372" i="1" s="1"/>
  <c r="BZ65" i="1"/>
  <c r="CA65" i="1" s="1"/>
  <c r="BZ323" i="1"/>
  <c r="CA323" i="1" s="1"/>
  <c r="BZ328" i="1"/>
  <c r="CA328" i="1" s="1"/>
  <c r="BZ228" i="1"/>
  <c r="CB228" i="1" s="1"/>
  <c r="BZ317" i="1"/>
  <c r="CA317" i="1" s="1"/>
  <c r="BZ213" i="1"/>
  <c r="CB213" i="1" s="1"/>
  <c r="BZ255" i="1"/>
  <c r="CB255" i="1" s="1"/>
  <c r="BZ179" i="1"/>
  <c r="CB179" i="1" s="1"/>
  <c r="BZ100" i="1"/>
  <c r="CB100" i="1" s="1"/>
  <c r="BZ186" i="1"/>
  <c r="CA186" i="1" s="1"/>
  <c r="BZ175" i="1"/>
  <c r="CA175" i="1" s="1"/>
  <c r="BZ259" i="1"/>
  <c r="CA259" i="1" s="1"/>
  <c r="BZ202" i="1"/>
  <c r="CA202" i="1" s="1"/>
  <c r="BZ77" i="1"/>
  <c r="CB77" i="1" s="1"/>
  <c r="BZ275" i="1"/>
  <c r="CA275" i="1" s="1"/>
  <c r="BZ86" i="1"/>
  <c r="CA86" i="1" s="1"/>
  <c r="BZ363" i="1"/>
  <c r="CB363" i="1" s="1"/>
  <c r="BZ166" i="1"/>
  <c r="CA166" i="1" s="1"/>
  <c r="BZ137" i="1"/>
  <c r="CA137" i="1" s="1"/>
  <c r="BZ341" i="1"/>
  <c r="CA341" i="1" s="1"/>
  <c r="BZ90" i="1"/>
  <c r="CA90" i="1" s="1"/>
  <c r="BZ301" i="1"/>
  <c r="CB301" i="1" s="1"/>
  <c r="BZ253" i="1"/>
  <c r="CB253" i="1" s="1"/>
  <c r="BZ292" i="1"/>
  <c r="CA292" i="1" s="1"/>
  <c r="BZ91" i="1"/>
  <c r="CA91" i="1" s="1"/>
  <c r="BZ74" i="1"/>
  <c r="CB74" i="1" s="1"/>
  <c r="BZ294" i="1"/>
  <c r="CB294" i="1" s="1"/>
  <c r="BZ28" i="1"/>
  <c r="CA28" i="1" s="1"/>
  <c r="BZ93" i="1"/>
  <c r="CA93" i="1" s="1"/>
  <c r="BZ284" i="1"/>
  <c r="CB284" i="1" s="1"/>
  <c r="BZ23" i="1"/>
  <c r="CB23" i="1" s="1"/>
  <c r="BZ371" i="1"/>
  <c r="CA371" i="1" s="1"/>
  <c r="BZ92" i="1"/>
  <c r="CA92" i="1" s="1"/>
  <c r="BZ167" i="1"/>
  <c r="CB167" i="1" s="1"/>
  <c r="BZ163" i="1"/>
  <c r="CB163" i="1" s="1"/>
  <c r="BZ230" i="1"/>
  <c r="CA230" i="1" s="1"/>
  <c r="BZ327" i="1"/>
  <c r="CB327" i="1" s="1"/>
  <c r="BZ221" i="1"/>
  <c r="CB221" i="1" s="1"/>
  <c r="BZ265" i="1"/>
  <c r="CB265" i="1" s="1"/>
  <c r="BZ29" i="1"/>
  <c r="CB29" i="1" s="1"/>
  <c r="BZ172" i="1"/>
  <c r="CA172" i="1" s="1"/>
  <c r="BZ256" i="1"/>
  <c r="CB256" i="1" s="1"/>
  <c r="BZ194" i="1"/>
  <c r="CB194" i="1" s="1"/>
  <c r="BZ310" i="1"/>
  <c r="CA310" i="1" s="1"/>
  <c r="BZ315" i="1"/>
  <c r="CA315" i="1" s="1"/>
  <c r="BZ67" i="1"/>
  <c r="CA67" i="1" s="1"/>
  <c r="BZ336" i="1"/>
  <c r="CB336" i="1" s="1"/>
  <c r="BZ87" i="1"/>
  <c r="CA87" i="1" s="1"/>
  <c r="BZ171" i="1"/>
  <c r="CA171" i="1" s="1"/>
  <c r="BZ37" i="1"/>
  <c r="CB37" i="1" s="1"/>
  <c r="BZ287" i="1"/>
  <c r="CA287" i="1" s="1"/>
  <c r="BZ178" i="1"/>
  <c r="CA178" i="1" s="1"/>
  <c r="BZ343" i="1"/>
  <c r="CA343" i="1" s="1"/>
  <c r="BZ61" i="1"/>
  <c r="CB61" i="1" s="1"/>
  <c r="BZ375" i="1"/>
  <c r="CB375" i="1" s="1"/>
  <c r="BZ79" i="1"/>
  <c r="CB79" i="1" s="1"/>
  <c r="BZ290" i="1"/>
  <c r="CB290" i="1" s="1"/>
  <c r="BZ335" i="1"/>
  <c r="CB335" i="1" s="1"/>
  <c r="BZ204" i="1"/>
  <c r="CB204" i="1" s="1"/>
  <c r="BZ238" i="1"/>
  <c r="CB238" i="1" s="1"/>
  <c r="BZ189" i="1"/>
  <c r="CA189" i="1" s="1"/>
  <c r="BZ139" i="1"/>
  <c r="CB139" i="1" s="1"/>
  <c r="BZ193" i="1"/>
  <c r="CB193" i="1" s="1"/>
  <c r="BZ350" i="1"/>
  <c r="CA350" i="1" s="1"/>
  <c r="BZ21" i="1"/>
  <c r="CB21" i="1" s="1"/>
  <c r="BZ78" i="1"/>
  <c r="CA78" i="1" s="1"/>
  <c r="BZ150" i="1"/>
  <c r="CA150" i="1" s="1"/>
  <c r="BZ30" i="1"/>
  <c r="CA30" i="1" s="1"/>
  <c r="BZ242" i="1"/>
  <c r="CB242" i="1" s="1"/>
  <c r="BZ95" i="1"/>
  <c r="CA95" i="1" s="1"/>
  <c r="BZ258" i="1"/>
  <c r="CA258" i="1" s="1"/>
  <c r="BZ113" i="1"/>
  <c r="CA113" i="1" s="1"/>
  <c r="BZ142" i="1"/>
  <c r="CA142" i="1" s="1"/>
  <c r="BZ201" i="1"/>
  <c r="CB201" i="1" s="1"/>
  <c r="BZ149" i="1"/>
  <c r="CA149" i="1" s="1"/>
  <c r="BZ340" i="1"/>
  <c r="CA340" i="1" s="1"/>
  <c r="BZ36" i="1"/>
  <c r="CB36" i="1" s="1"/>
  <c r="BZ129" i="1"/>
  <c r="CB129" i="1" s="1"/>
  <c r="BZ109" i="1"/>
  <c r="CB109" i="1" s="1"/>
  <c r="BZ196" i="1"/>
  <c r="CA196" i="1" s="1"/>
  <c r="BZ123" i="1"/>
  <c r="CB123" i="1" s="1"/>
  <c r="BZ18" i="1"/>
  <c r="CA18" i="1" s="1"/>
  <c r="BZ330" i="1"/>
  <c r="CA330" i="1" s="1"/>
  <c r="BZ357" i="1"/>
  <c r="CA357" i="1" s="1"/>
  <c r="BZ321" i="1"/>
  <c r="CA321" i="1" s="1"/>
  <c r="BZ334" i="1"/>
  <c r="CB334" i="1" s="1"/>
  <c r="BZ110" i="1"/>
  <c r="CA110" i="1" s="1"/>
  <c r="BZ348" i="1"/>
  <c r="CA348" i="1" s="1"/>
  <c r="BZ43" i="1"/>
  <c r="CA43" i="1" s="1"/>
  <c r="BZ318" i="1"/>
  <c r="CB318" i="1" s="1"/>
  <c r="BZ325" i="1"/>
  <c r="CB325" i="1" s="1"/>
  <c r="BZ283" i="1"/>
  <c r="CB283" i="1" s="1"/>
  <c r="BZ358" i="1"/>
  <c r="CB358" i="1" s="1"/>
  <c r="BZ138" i="1"/>
  <c r="CA138" i="1" s="1"/>
  <c r="BZ203" i="1"/>
  <c r="CB203" i="1" s="1"/>
  <c r="BZ207" i="1"/>
  <c r="CB207" i="1" s="1"/>
  <c r="BZ94" i="1"/>
  <c r="CA94" i="1" s="1"/>
  <c r="BZ314" i="1"/>
  <c r="CB314" i="1" s="1"/>
  <c r="BZ108" i="1"/>
  <c r="CB108" i="1" s="1"/>
  <c r="BZ262" i="1"/>
  <c r="CB262" i="1" s="1"/>
  <c r="BZ164" i="1"/>
  <c r="CB164" i="1" s="1"/>
  <c r="BZ187" i="1"/>
  <c r="CB187" i="1" s="1"/>
  <c r="BZ247" i="1"/>
  <c r="CA247" i="1" s="1"/>
  <c r="BZ141" i="1"/>
  <c r="CA141" i="1" s="1"/>
  <c r="BZ347" i="1"/>
  <c r="CA347" i="1" s="1"/>
  <c r="BZ199" i="1"/>
  <c r="CA199" i="1" s="1"/>
  <c r="BZ76" i="1"/>
  <c r="CA76" i="1" s="1"/>
  <c r="BZ276" i="1"/>
  <c r="CA276" i="1" s="1"/>
  <c r="BZ134" i="1"/>
  <c r="CB134" i="1" s="1"/>
  <c r="BZ278" i="1"/>
  <c r="CB278" i="1" s="1"/>
  <c r="BZ308" i="1"/>
  <c r="CB308" i="1" s="1"/>
  <c r="BZ41" i="1"/>
  <c r="CB41" i="1" s="1"/>
  <c r="BZ231" i="1"/>
  <c r="CA231" i="1" s="1"/>
  <c r="BZ82" i="1"/>
  <c r="CA82" i="1" s="1"/>
  <c r="BZ351" i="1"/>
  <c r="CA351" i="1" s="1"/>
  <c r="BZ237" i="1"/>
  <c r="CA237" i="1" s="1"/>
  <c r="BZ252" i="1"/>
  <c r="CB252" i="1" s="1"/>
  <c r="BZ44" i="1"/>
  <c r="CA44" i="1" s="1"/>
  <c r="BZ251" i="1"/>
  <c r="CA251" i="1" s="1"/>
  <c r="BZ218" i="1"/>
  <c r="CA218" i="1" s="1"/>
  <c r="BZ208" i="1"/>
  <c r="CB208" i="1" s="1"/>
  <c r="BZ114" i="1"/>
  <c r="CA114" i="1" s="1"/>
  <c r="BZ119" i="1"/>
  <c r="CA119" i="1" s="1"/>
  <c r="BZ319" i="1"/>
  <c r="CB319" i="1" s="1"/>
  <c r="BZ198" i="1"/>
  <c r="CB198" i="1" s="1"/>
  <c r="BZ267" i="1"/>
  <c r="CB267" i="1" s="1"/>
  <c r="BZ19" i="1"/>
  <c r="CA19" i="1" s="1"/>
  <c r="BZ309" i="1"/>
  <c r="CA309" i="1" s="1"/>
  <c r="BZ107" i="1"/>
  <c r="CB107" i="1" s="1"/>
  <c r="BZ117" i="1"/>
  <c r="CA117" i="1" s="1"/>
  <c r="BZ293" i="1"/>
  <c r="CB293" i="1" s="1"/>
  <c r="BZ106" i="1"/>
  <c r="CA106" i="1" s="1"/>
  <c r="BZ312" i="1"/>
  <c r="CA312" i="1" s="1"/>
  <c r="BZ217" i="1"/>
  <c r="CB217" i="1" s="1"/>
  <c r="BZ216" i="1"/>
  <c r="CB216" i="1" s="1"/>
  <c r="BZ136" i="1"/>
  <c r="CA136" i="1" s="1"/>
  <c r="BZ272" i="1"/>
  <c r="CB272" i="1" s="1"/>
  <c r="BZ192" i="1"/>
  <c r="CA192" i="1" s="1"/>
  <c r="BZ289" i="1"/>
  <c r="CB289" i="1" s="1"/>
  <c r="BZ176" i="1"/>
  <c r="CB176" i="1" s="1"/>
  <c r="BZ249" i="1"/>
  <c r="CA249" i="1" s="1"/>
  <c r="BZ25" i="1"/>
  <c r="CB25" i="1" s="1"/>
  <c r="BZ96" i="1"/>
  <c r="CA96" i="1" s="1"/>
  <c r="BZ144" i="1"/>
  <c r="CA144" i="1" s="1"/>
  <c r="BZ177" i="1"/>
  <c r="CA177" i="1" s="1"/>
  <c r="BZ73" i="1"/>
  <c r="CB73" i="1" s="1"/>
  <c r="BZ297" i="1"/>
  <c r="CA297" i="1" s="1"/>
  <c r="BZ233" i="1"/>
  <c r="CB233" i="1" s="1"/>
  <c r="BZ298" i="1"/>
  <c r="CB298" i="1" s="1"/>
  <c r="BZ105" i="1"/>
  <c r="CB105" i="1" s="1"/>
  <c r="BZ57" i="1"/>
  <c r="CB57" i="1" s="1"/>
  <c r="BZ360" i="1"/>
  <c r="CA360" i="1" s="1"/>
  <c r="BZ33" i="1"/>
  <c r="CA33" i="1" s="1"/>
  <c r="BZ161" i="1"/>
  <c r="CB161" i="1" s="1"/>
  <c r="BZ225" i="1"/>
  <c r="CA225" i="1" s="1"/>
  <c r="BZ234" i="1"/>
  <c r="CB234" i="1" s="1"/>
  <c r="BZ64" i="1"/>
  <c r="CB64" i="1" s="1"/>
  <c r="BZ257" i="1"/>
  <c r="CA257" i="1" s="1"/>
  <c r="BZ362" i="1"/>
  <c r="CA362" i="1" s="1"/>
  <c r="BZ48" i="1"/>
  <c r="CB48" i="1" s="1"/>
  <c r="BZ145" i="1"/>
  <c r="CA145" i="1" s="1"/>
  <c r="BZ121" i="1"/>
  <c r="CB121" i="1" s="1"/>
  <c r="BZ152" i="1"/>
  <c r="CB152" i="1" s="1"/>
  <c r="BZ32" i="1"/>
  <c r="CA32" i="1" s="1"/>
  <c r="BZ42" i="1"/>
  <c r="CA42" i="1" s="1"/>
  <c r="BZ320" i="1"/>
  <c r="CB320" i="1" s="1"/>
  <c r="BZ89" i="1"/>
  <c r="CB89" i="1" s="1"/>
  <c r="BZ264" i="1"/>
  <c r="CA264" i="1" s="1"/>
  <c r="BZ153" i="1"/>
  <c r="CA153" i="1" s="1"/>
  <c r="BZ162" i="1"/>
  <c r="CB162" i="1" s="1"/>
  <c r="BZ280" i="1"/>
  <c r="CA280" i="1" s="1"/>
  <c r="BZ97" i="1"/>
  <c r="CB97" i="1" s="1"/>
  <c r="BZ368" i="1"/>
  <c r="CA368" i="1" s="1"/>
  <c r="BZ34" i="1"/>
  <c r="CB34" i="1" s="1"/>
  <c r="BZ98" i="1"/>
  <c r="CB98" i="1" s="1"/>
  <c r="BZ200" i="1"/>
  <c r="CA200" i="1" s="1"/>
  <c r="BZ17" i="1"/>
  <c r="CB17" i="1" s="1"/>
  <c r="BZ81" i="1"/>
  <c r="CB81" i="1" s="1"/>
  <c r="BZ56" i="1"/>
  <c r="CB56" i="1" s="1"/>
  <c r="BZ112" i="1"/>
  <c r="CB112" i="1" s="1"/>
  <c r="BZ16" i="1"/>
  <c r="CA16" i="1" s="1"/>
  <c r="BZ128" i="1"/>
  <c r="CB128" i="1" s="1"/>
  <c r="BZ185" i="1"/>
  <c r="CA185" i="1" s="1"/>
  <c r="BZ248" i="1"/>
  <c r="CA248" i="1" s="1"/>
  <c r="BZ296" i="1"/>
  <c r="CA296" i="1" s="1"/>
  <c r="BZ88" i="1"/>
  <c r="CB88" i="1" s="1"/>
  <c r="BZ184" i="1"/>
  <c r="CA184" i="1" s="1"/>
  <c r="BZ80" i="1"/>
  <c r="CA80" i="1" s="1"/>
  <c r="BZ232" i="1"/>
  <c r="CA232" i="1" s="1"/>
  <c r="BZ120" i="1"/>
  <c r="CB120" i="1" s="1"/>
  <c r="BZ352" i="1"/>
  <c r="CB352" i="1" s="1"/>
  <c r="BZ168" i="1"/>
  <c r="CB168" i="1" s="1"/>
  <c r="BZ288" i="1"/>
  <c r="CB288" i="1" s="1"/>
  <c r="BZ40" i="1"/>
  <c r="CA40" i="1" s="1"/>
  <c r="BZ304" i="1"/>
  <c r="CA304" i="1" s="1"/>
  <c r="BZ72" i="1"/>
  <c r="CB72" i="1" s="1"/>
  <c r="BZ104" i="1"/>
  <c r="CB104" i="1" s="1"/>
  <c r="BZ224" i="1"/>
  <c r="CB224" i="1" s="1"/>
  <c r="BZ240" i="1"/>
  <c r="CB240" i="1" s="1"/>
  <c r="BZ24" i="1"/>
  <c r="CA24" i="1" s="1"/>
  <c r="BZ160" i="1"/>
  <c r="CA160" i="1" s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DS21" i="1" l="1"/>
  <c r="DQ21" i="1"/>
  <c r="DR20" i="1"/>
  <c r="DS20" i="1"/>
  <c r="DQ20" i="1"/>
  <c r="DP24" i="1" s="1"/>
  <c r="DR21" i="1"/>
  <c r="DW20" i="1"/>
  <c r="DX20" i="1"/>
  <c r="DV20" i="1"/>
  <c r="CH197" i="1"/>
  <c r="CI197" i="1" s="1"/>
  <c r="CJ197" i="1" s="1"/>
  <c r="CB15" i="1"/>
  <c r="CC15" i="1" s="1"/>
  <c r="CH85" i="1"/>
  <c r="CI85" i="1" s="1"/>
  <c r="CJ85" i="1" s="1"/>
  <c r="CH104" i="1"/>
  <c r="CI104" i="1" s="1"/>
  <c r="CJ104" i="1" s="1"/>
  <c r="CH97" i="1"/>
  <c r="CI97" i="1" s="1"/>
  <c r="CJ97" i="1" s="1"/>
  <c r="CH102" i="1"/>
  <c r="CI102" i="1" s="1"/>
  <c r="CJ102" i="1" s="1"/>
  <c r="CH351" i="1"/>
  <c r="CI351" i="1" s="1"/>
  <c r="CJ351" i="1" s="1"/>
  <c r="CH363" i="1"/>
  <c r="CI363" i="1" s="1"/>
  <c r="CJ363" i="1" s="1"/>
  <c r="CH275" i="1"/>
  <c r="CI275" i="1" s="1"/>
  <c r="CJ275" i="1" s="1"/>
  <c r="CH218" i="1"/>
  <c r="CI218" i="1" s="1"/>
  <c r="CJ218" i="1" s="1"/>
  <c r="CB214" i="1"/>
  <c r="CC214" i="1" s="1"/>
  <c r="CH227" i="1"/>
  <c r="CI227" i="1" s="1"/>
  <c r="CJ227" i="1" s="1"/>
  <c r="CH195" i="1"/>
  <c r="CI195" i="1" s="1"/>
  <c r="CJ195" i="1" s="1"/>
  <c r="CG50" i="1"/>
  <c r="CH50" i="1"/>
  <c r="CH341" i="1"/>
  <c r="CI341" i="1" s="1"/>
  <c r="CJ341" i="1" s="1"/>
  <c r="CG326" i="1"/>
  <c r="CI326" i="1" s="1"/>
  <c r="CJ326" i="1" s="1"/>
  <c r="CH186" i="1"/>
  <c r="CI186" i="1" s="1"/>
  <c r="CJ186" i="1" s="1"/>
  <c r="CG280" i="1"/>
  <c r="CI280" i="1" s="1"/>
  <c r="CJ280" i="1" s="1"/>
  <c r="CH243" i="1"/>
  <c r="CI243" i="1" s="1"/>
  <c r="CJ243" i="1" s="1"/>
  <c r="CH23" i="1"/>
  <c r="CI23" i="1" s="1"/>
  <c r="CJ23" i="1" s="1"/>
  <c r="CF44" i="1"/>
  <c r="CG44" i="1" s="1"/>
  <c r="CH367" i="1"/>
  <c r="CI367" i="1" s="1"/>
  <c r="CJ367" i="1" s="1"/>
  <c r="CH323" i="1"/>
  <c r="CI323" i="1" s="1"/>
  <c r="CJ323" i="1" s="1"/>
  <c r="CG270" i="1"/>
  <c r="CH270" i="1"/>
  <c r="CH113" i="1"/>
  <c r="CG113" i="1"/>
  <c r="CG66" i="1"/>
  <c r="CI66" i="1" s="1"/>
  <c r="CJ66" i="1" s="1"/>
  <c r="CG335" i="1"/>
  <c r="CI335" i="1" s="1"/>
  <c r="CJ335" i="1" s="1"/>
  <c r="CG304" i="1"/>
  <c r="CI304" i="1" s="1"/>
  <c r="CJ304" i="1" s="1"/>
  <c r="CF319" i="1"/>
  <c r="CG319" i="1" s="1"/>
  <c r="CH318" i="1"/>
  <c r="CI318" i="1" s="1"/>
  <c r="CJ318" i="1" s="1"/>
  <c r="CG82" i="1"/>
  <c r="CI82" i="1" s="1"/>
  <c r="CJ82" i="1" s="1"/>
  <c r="CH43" i="1"/>
  <c r="CI43" i="1" s="1"/>
  <c r="CJ43" i="1" s="1"/>
  <c r="CH145" i="1"/>
  <c r="CI145" i="1" s="1"/>
  <c r="CJ145" i="1" s="1"/>
  <c r="CG199" i="1"/>
  <c r="CI199" i="1" s="1"/>
  <c r="CJ199" i="1" s="1"/>
  <c r="CF329" i="1"/>
  <c r="CG329" i="1" s="1"/>
  <c r="CF315" i="1"/>
  <c r="CG315" i="1" s="1"/>
  <c r="CF55" i="1"/>
  <c r="CG55" i="1" s="1"/>
  <c r="CF53" i="1"/>
  <c r="CG53" i="1" s="1"/>
  <c r="CF90" i="1"/>
  <c r="CG90" i="1" s="1"/>
  <c r="CH288" i="1"/>
  <c r="CI288" i="1" s="1"/>
  <c r="CJ288" i="1" s="1"/>
  <c r="CF71" i="1"/>
  <c r="CG71" i="1" s="1"/>
  <c r="CF140" i="1"/>
  <c r="CG140" i="1" s="1"/>
  <c r="CF17" i="1"/>
  <c r="CG17" i="1" s="1"/>
  <c r="CF42" i="1"/>
  <c r="CG42" i="1" s="1"/>
  <c r="CF246" i="1"/>
  <c r="CG246" i="1" s="1"/>
  <c r="CF268" i="1"/>
  <c r="CG268" i="1" s="1"/>
  <c r="CF175" i="1"/>
  <c r="CG175" i="1" s="1"/>
  <c r="CF35" i="1"/>
  <c r="CG35" i="1" s="1"/>
  <c r="CH201" i="1"/>
  <c r="CI201" i="1" s="1"/>
  <c r="CJ201" i="1" s="1"/>
  <c r="CF24" i="1"/>
  <c r="CG24" i="1" s="1"/>
  <c r="CH357" i="1"/>
  <c r="CI357" i="1" s="1"/>
  <c r="CJ357" i="1" s="1"/>
  <c r="CF59" i="1"/>
  <c r="CG59" i="1" s="1"/>
  <c r="CF152" i="1"/>
  <c r="CG152" i="1" s="1"/>
  <c r="CF46" i="1"/>
  <c r="CG46" i="1" s="1"/>
  <c r="CF20" i="1"/>
  <c r="CG20" i="1" s="1"/>
  <c r="CF269" i="1"/>
  <c r="CG269" i="1" s="1"/>
  <c r="CF373" i="1"/>
  <c r="CG373" i="1" s="1"/>
  <c r="CH207" i="1"/>
  <c r="CI207" i="1" s="1"/>
  <c r="CJ207" i="1" s="1"/>
  <c r="CF148" i="1"/>
  <c r="CG148" i="1" s="1"/>
  <c r="CH283" i="1"/>
  <c r="CI283" i="1" s="1"/>
  <c r="CJ283" i="1" s="1"/>
  <c r="CF361" i="1"/>
  <c r="CG361" i="1" s="1"/>
  <c r="CH312" i="1"/>
  <c r="CI312" i="1" s="1"/>
  <c r="CJ312" i="1" s="1"/>
  <c r="CF181" i="1"/>
  <c r="CG181" i="1" s="1"/>
  <c r="CF249" i="1"/>
  <c r="CG249" i="1" s="1"/>
  <c r="CF311" i="1"/>
  <c r="CG311" i="1" s="1"/>
  <c r="CF78" i="1"/>
  <c r="CG78" i="1" s="1"/>
  <c r="CF70" i="1"/>
  <c r="CG70" i="1" s="1"/>
  <c r="CF147" i="1"/>
  <c r="CG147" i="1" s="1"/>
  <c r="CF271" i="1"/>
  <c r="CG271" i="1" s="1"/>
  <c r="CH222" i="1"/>
  <c r="CI222" i="1" s="1"/>
  <c r="CJ222" i="1" s="1"/>
  <c r="CF371" i="1"/>
  <c r="CG371" i="1" s="1"/>
  <c r="CH160" i="1"/>
  <c r="CI160" i="1" s="1"/>
  <c r="CJ160" i="1" s="1"/>
  <c r="CF358" i="1"/>
  <c r="CG358" i="1" s="1"/>
  <c r="CH300" i="1"/>
  <c r="CI300" i="1" s="1"/>
  <c r="CJ300" i="1" s="1"/>
  <c r="CH365" i="1"/>
  <c r="CI365" i="1" s="1"/>
  <c r="CJ365" i="1" s="1"/>
  <c r="CH337" i="1"/>
  <c r="CI337" i="1" s="1"/>
  <c r="CJ337" i="1" s="1"/>
  <c r="CF96" i="1"/>
  <c r="CG96" i="1" s="1"/>
  <c r="CH236" i="1"/>
  <c r="CI236" i="1" s="1"/>
  <c r="CJ236" i="1" s="1"/>
  <c r="CF242" i="1"/>
  <c r="CG242" i="1" s="1"/>
  <c r="CF292" i="1"/>
  <c r="CG292" i="1" s="1"/>
  <c r="CF56" i="1"/>
  <c r="CG56" i="1" s="1"/>
  <c r="CH267" i="1"/>
  <c r="CI267" i="1" s="1"/>
  <c r="CJ267" i="1" s="1"/>
  <c r="CF61" i="1"/>
  <c r="CG61" i="1" s="1"/>
  <c r="CH110" i="1"/>
  <c r="CI110" i="1" s="1"/>
  <c r="CJ110" i="1" s="1"/>
  <c r="CF244" i="1"/>
  <c r="CG244" i="1" s="1"/>
  <c r="CH58" i="1"/>
  <c r="CI58" i="1" s="1"/>
  <c r="CJ58" i="1" s="1"/>
  <c r="CF320" i="1"/>
  <c r="CG320" i="1" s="1"/>
  <c r="CF95" i="1"/>
  <c r="CG95" i="1" s="1"/>
  <c r="CF81" i="1"/>
  <c r="CG81" i="1" s="1"/>
  <c r="CF231" i="1"/>
  <c r="CG231" i="1" s="1"/>
  <c r="CF196" i="1"/>
  <c r="CG196" i="1" s="1"/>
  <c r="CF202" i="1"/>
  <c r="CG202" i="1" s="1"/>
  <c r="CF208" i="1"/>
  <c r="CG208" i="1" s="1"/>
  <c r="CF214" i="1"/>
  <c r="CG214" i="1" s="1"/>
  <c r="CG72" i="1"/>
  <c r="CI72" i="1" s="1"/>
  <c r="CJ72" i="1" s="1"/>
  <c r="CF123" i="1"/>
  <c r="CG123" i="1" s="1"/>
  <c r="CF284" i="1"/>
  <c r="CG284" i="1" s="1"/>
  <c r="CF360" i="1"/>
  <c r="CG360" i="1" s="1"/>
  <c r="CG188" i="1"/>
  <c r="CH188" i="1"/>
  <c r="CG238" i="1"/>
  <c r="CI238" i="1" s="1"/>
  <c r="CJ238" i="1" s="1"/>
  <c r="CH220" i="1"/>
  <c r="CI220" i="1" s="1"/>
  <c r="CJ220" i="1" s="1"/>
  <c r="CF296" i="1"/>
  <c r="CG296" i="1" s="1"/>
  <c r="CF317" i="1"/>
  <c r="CG317" i="1" s="1"/>
  <c r="CF117" i="1"/>
  <c r="CG117" i="1" s="1"/>
  <c r="CH91" i="1"/>
  <c r="CI91" i="1" s="1"/>
  <c r="CJ91" i="1" s="1"/>
  <c r="CG173" i="1"/>
  <c r="CH173" i="1"/>
  <c r="CF294" i="1"/>
  <c r="CG294" i="1" s="1"/>
  <c r="CF354" i="1"/>
  <c r="CG354" i="1" s="1"/>
  <c r="CF94" i="1"/>
  <c r="CG94" i="1" s="1"/>
  <c r="CH107" i="1"/>
  <c r="CI107" i="1" s="1"/>
  <c r="CJ107" i="1" s="1"/>
  <c r="CH106" i="1"/>
  <c r="CI106" i="1" s="1"/>
  <c r="CJ106" i="1" s="1"/>
  <c r="CF310" i="1"/>
  <c r="CG310" i="1" s="1"/>
  <c r="CF190" i="1"/>
  <c r="CG190" i="1" s="1"/>
  <c r="CH99" i="1"/>
  <c r="CI99" i="1" s="1"/>
  <c r="CJ99" i="1" s="1"/>
  <c r="CF237" i="1"/>
  <c r="CG237" i="1" s="1"/>
  <c r="CF239" i="1"/>
  <c r="CG239" i="1" s="1"/>
  <c r="CH321" i="1"/>
  <c r="CI321" i="1" s="1"/>
  <c r="CJ321" i="1" s="1"/>
  <c r="CF134" i="1"/>
  <c r="CG134" i="1" s="1"/>
  <c r="CF51" i="1"/>
  <c r="CG51" i="1" s="1"/>
  <c r="CH129" i="1"/>
  <c r="CI129" i="1" s="1"/>
  <c r="CJ129" i="1" s="1"/>
  <c r="CF127" i="1"/>
  <c r="CG127" i="1" s="1"/>
  <c r="CF37" i="1"/>
  <c r="CG37" i="1" s="1"/>
  <c r="CF212" i="1"/>
  <c r="CG212" i="1" s="1"/>
  <c r="CF370" i="1"/>
  <c r="CG370" i="1" s="1"/>
  <c r="CH139" i="1"/>
  <c r="CI139" i="1" s="1"/>
  <c r="CJ139" i="1" s="1"/>
  <c r="CF279" i="1"/>
  <c r="CG279" i="1" s="1"/>
  <c r="CF340" i="1"/>
  <c r="CG340" i="1" s="1"/>
  <c r="CH116" i="1"/>
  <c r="CI116" i="1" s="1"/>
  <c r="CJ116" i="1" s="1"/>
  <c r="CH369" i="1"/>
  <c r="CI369" i="1" s="1"/>
  <c r="CJ369" i="1" s="1"/>
  <c r="CH192" i="1"/>
  <c r="CI192" i="1" s="1"/>
  <c r="CJ192" i="1" s="1"/>
  <c r="CG45" i="1"/>
  <c r="CI45" i="1" s="1"/>
  <c r="CJ45" i="1" s="1"/>
  <c r="CF215" i="1"/>
  <c r="CG215" i="1" s="1"/>
  <c r="CH259" i="1"/>
  <c r="CI259" i="1" s="1"/>
  <c r="CJ259" i="1" s="1"/>
  <c r="CH52" i="1"/>
  <c r="CI52" i="1" s="1"/>
  <c r="CJ52" i="1" s="1"/>
  <c r="CF128" i="1"/>
  <c r="CG128" i="1" s="1"/>
  <c r="CF133" i="1"/>
  <c r="CG133" i="1" s="1"/>
  <c r="CF63" i="1"/>
  <c r="CG63" i="1" s="1"/>
  <c r="CF65" i="1"/>
  <c r="CG65" i="1" s="1"/>
  <c r="CF261" i="1"/>
  <c r="CG261" i="1" s="1"/>
  <c r="CF189" i="1"/>
  <c r="CG189" i="1" s="1"/>
  <c r="CH157" i="1"/>
  <c r="CI157" i="1" s="1"/>
  <c r="CJ157" i="1" s="1"/>
  <c r="CF217" i="1"/>
  <c r="CG217" i="1" s="1"/>
  <c r="CH60" i="1"/>
  <c r="CI60" i="1" s="1"/>
  <c r="CJ60" i="1" s="1"/>
  <c r="CF313" i="1"/>
  <c r="CG313" i="1" s="1"/>
  <c r="CF375" i="1"/>
  <c r="CG375" i="1" s="1"/>
  <c r="CF142" i="1"/>
  <c r="CG142" i="1" s="1"/>
  <c r="CH251" i="1"/>
  <c r="CI251" i="1" s="1"/>
  <c r="CJ251" i="1" s="1"/>
  <c r="CH265" i="1"/>
  <c r="CI265" i="1" s="1"/>
  <c r="CJ265" i="1" s="1"/>
  <c r="CF88" i="1"/>
  <c r="CG88" i="1" s="1"/>
  <c r="CF30" i="1"/>
  <c r="CG30" i="1" s="1"/>
  <c r="CF228" i="1"/>
  <c r="CG228" i="1" s="1"/>
  <c r="CH234" i="1"/>
  <c r="CI234" i="1" s="1"/>
  <c r="CJ234" i="1" s="1"/>
  <c r="CF48" i="1"/>
  <c r="CG48" i="1" s="1"/>
  <c r="CH353" i="1"/>
  <c r="CI353" i="1" s="1"/>
  <c r="CJ353" i="1" s="1"/>
  <c r="CF164" i="1"/>
  <c r="CG164" i="1" s="1"/>
  <c r="CF16" i="1"/>
  <c r="CH16" i="1" s="1"/>
  <c r="CH149" i="1"/>
  <c r="CI149" i="1" s="1"/>
  <c r="CJ149" i="1" s="1"/>
  <c r="CH295" i="1"/>
  <c r="CI295" i="1" s="1"/>
  <c r="CJ295" i="1" s="1"/>
  <c r="CF260" i="1"/>
  <c r="CG260" i="1" s="1"/>
  <c r="CF266" i="1"/>
  <c r="CG266" i="1" s="1"/>
  <c r="CF272" i="1"/>
  <c r="CG272" i="1" s="1"/>
  <c r="CF278" i="1"/>
  <c r="CG278" i="1" s="1"/>
  <c r="CF224" i="1"/>
  <c r="CG224" i="1" s="1"/>
  <c r="CF221" i="1"/>
  <c r="CG221" i="1" s="1"/>
  <c r="CH372" i="1"/>
  <c r="CI372" i="1" s="1"/>
  <c r="CJ372" i="1" s="1"/>
  <c r="CF83" i="1"/>
  <c r="CG83" i="1" s="1"/>
  <c r="CF240" i="1"/>
  <c r="CG240" i="1" s="1"/>
  <c r="CF223" i="1"/>
  <c r="CG223" i="1" s="1"/>
  <c r="CH299" i="1"/>
  <c r="CI299" i="1" s="1"/>
  <c r="CJ299" i="1" s="1"/>
  <c r="CH185" i="1"/>
  <c r="CI185" i="1" s="1"/>
  <c r="CJ185" i="1" s="1"/>
  <c r="CF247" i="1"/>
  <c r="CG247" i="1" s="1"/>
  <c r="CF203" i="1"/>
  <c r="CG203" i="1" s="1"/>
  <c r="CF18" i="1"/>
  <c r="CG18" i="1" s="1"/>
  <c r="CH226" i="1"/>
  <c r="CI226" i="1" s="1"/>
  <c r="CJ226" i="1" s="1"/>
  <c r="CH210" i="1"/>
  <c r="CI210" i="1" s="1"/>
  <c r="CJ210" i="1" s="1"/>
  <c r="CH29" i="1"/>
  <c r="CI29" i="1" s="1"/>
  <c r="CJ29" i="1" s="1"/>
  <c r="CF350" i="1"/>
  <c r="CG350" i="1" s="1"/>
  <c r="CF76" i="1"/>
  <c r="CG76" i="1" s="1"/>
  <c r="CF67" i="1"/>
  <c r="CG67" i="1" s="1"/>
  <c r="CH301" i="1"/>
  <c r="CI301" i="1" s="1"/>
  <c r="CJ301" i="1" s="1"/>
  <c r="CF256" i="1"/>
  <c r="CG256" i="1" s="1"/>
  <c r="CF38" i="1"/>
  <c r="CG38" i="1" s="1"/>
  <c r="CH198" i="1"/>
  <c r="CI198" i="1" s="1"/>
  <c r="CJ198" i="1" s="1"/>
  <c r="CF115" i="1"/>
  <c r="CG115" i="1" s="1"/>
  <c r="CH193" i="1"/>
  <c r="CI193" i="1" s="1"/>
  <c r="CJ193" i="1" s="1"/>
  <c r="CF191" i="1"/>
  <c r="CG191" i="1" s="1"/>
  <c r="CF25" i="1"/>
  <c r="CG25" i="1" s="1"/>
  <c r="CH348" i="1"/>
  <c r="CI348" i="1" s="1"/>
  <c r="CJ348" i="1" s="1"/>
  <c r="CH93" i="1"/>
  <c r="CI93" i="1" s="1"/>
  <c r="CJ93" i="1" s="1"/>
  <c r="CH143" i="1"/>
  <c r="CI143" i="1" s="1"/>
  <c r="CJ143" i="1" s="1"/>
  <c r="CF131" i="1"/>
  <c r="CG131" i="1" s="1"/>
  <c r="CH219" i="1"/>
  <c r="CI219" i="1" s="1"/>
  <c r="CJ219" i="1" s="1"/>
  <c r="CF297" i="1"/>
  <c r="CG297" i="1" s="1"/>
  <c r="CF180" i="1"/>
  <c r="CG180" i="1" s="1"/>
  <c r="CF343" i="1"/>
  <c r="CG343" i="1" s="1"/>
  <c r="CF167" i="1"/>
  <c r="CG167" i="1" s="1"/>
  <c r="CH132" i="1"/>
  <c r="CI132" i="1" s="1"/>
  <c r="CJ132" i="1" s="1"/>
  <c r="CF138" i="1"/>
  <c r="CG138" i="1" s="1"/>
  <c r="CF144" i="1"/>
  <c r="CG144" i="1" s="1"/>
  <c r="CH150" i="1"/>
  <c r="CI150" i="1" s="1"/>
  <c r="CJ150" i="1" s="1"/>
  <c r="CF248" i="1"/>
  <c r="CG248" i="1" s="1"/>
  <c r="CG332" i="1"/>
  <c r="CI332" i="1" s="1"/>
  <c r="CJ332" i="1" s="1"/>
  <c r="CF289" i="1"/>
  <c r="CG289" i="1" s="1"/>
  <c r="CF19" i="1"/>
  <c r="CG19" i="1" s="1"/>
  <c r="CH103" i="1"/>
  <c r="CI103" i="1" s="1"/>
  <c r="CJ103" i="1" s="1"/>
  <c r="CF68" i="1"/>
  <c r="CG68" i="1" s="1"/>
  <c r="CH74" i="1"/>
  <c r="CI74" i="1" s="1"/>
  <c r="CJ74" i="1" s="1"/>
  <c r="CH80" i="1"/>
  <c r="CI80" i="1" s="1"/>
  <c r="CJ80" i="1" s="1"/>
  <c r="CF26" i="1"/>
  <c r="CG26" i="1" s="1"/>
  <c r="CF305" i="1"/>
  <c r="CG305" i="1" s="1"/>
  <c r="CF75" i="1"/>
  <c r="CG75" i="1" s="1"/>
  <c r="CH205" i="1"/>
  <c r="CI205" i="1" s="1"/>
  <c r="CJ205" i="1" s="1"/>
  <c r="CH73" i="1"/>
  <c r="CI73" i="1" s="1"/>
  <c r="CJ73" i="1" s="1"/>
  <c r="CH345" i="1"/>
  <c r="CI345" i="1" s="1"/>
  <c r="CJ345" i="1" s="1"/>
  <c r="CF36" i="1"/>
  <c r="CG36" i="1" s="1"/>
  <c r="CH346" i="1"/>
  <c r="CI346" i="1" s="1"/>
  <c r="CJ346" i="1" s="1"/>
  <c r="CH307" i="1"/>
  <c r="CI307" i="1" s="1"/>
  <c r="CJ307" i="1" s="1"/>
  <c r="CH322" i="1"/>
  <c r="CI322" i="1" s="1"/>
  <c r="CJ322" i="1" s="1"/>
  <c r="CH276" i="1"/>
  <c r="CI276" i="1" s="1"/>
  <c r="CJ276" i="1" s="1"/>
  <c r="CH40" i="1"/>
  <c r="CI40" i="1" s="1"/>
  <c r="CJ40" i="1" s="1"/>
  <c r="CH174" i="1"/>
  <c r="CI174" i="1" s="1"/>
  <c r="CJ174" i="1" s="1"/>
  <c r="CH122" i="1"/>
  <c r="CI122" i="1" s="1"/>
  <c r="CJ122" i="1" s="1"/>
  <c r="CH314" i="1"/>
  <c r="CI314" i="1" s="1"/>
  <c r="CJ314" i="1" s="1"/>
  <c r="CH176" i="1"/>
  <c r="CI176" i="1" s="1"/>
  <c r="CJ176" i="1" s="1"/>
  <c r="CH273" i="1"/>
  <c r="CI273" i="1" s="1"/>
  <c r="CJ273" i="1" s="1"/>
  <c r="CH230" i="1"/>
  <c r="CI230" i="1" s="1"/>
  <c r="CJ230" i="1" s="1"/>
  <c r="CH172" i="1"/>
  <c r="CI172" i="1" s="1"/>
  <c r="CJ172" i="1" s="1"/>
  <c r="CH146" i="1"/>
  <c r="CI146" i="1" s="1"/>
  <c r="CJ146" i="1" s="1"/>
  <c r="CH286" i="1"/>
  <c r="CI286" i="1" s="1"/>
  <c r="CJ286" i="1" s="1"/>
  <c r="CH28" i="1"/>
  <c r="CI28" i="1" s="1"/>
  <c r="CJ28" i="1" s="1"/>
  <c r="CH170" i="1"/>
  <c r="CI170" i="1" s="1"/>
  <c r="CJ170" i="1" s="1"/>
  <c r="CH374" i="1"/>
  <c r="CI374" i="1" s="1"/>
  <c r="CJ374" i="1" s="1"/>
  <c r="CH163" i="1"/>
  <c r="CI163" i="1" s="1"/>
  <c r="CJ163" i="1" s="1"/>
  <c r="CH49" i="1"/>
  <c r="CI49" i="1" s="1"/>
  <c r="CJ49" i="1" s="1"/>
  <c r="CH303" i="1"/>
  <c r="CI303" i="1" s="1"/>
  <c r="CJ303" i="1" s="1"/>
  <c r="CH125" i="1"/>
  <c r="CI125" i="1" s="1"/>
  <c r="CJ125" i="1" s="1"/>
  <c r="CH264" i="1"/>
  <c r="CI264" i="1" s="1"/>
  <c r="CJ264" i="1" s="1"/>
  <c r="CH47" i="1"/>
  <c r="CI47" i="1" s="1"/>
  <c r="CJ47" i="1" s="1"/>
  <c r="CH156" i="1"/>
  <c r="CI156" i="1" s="1"/>
  <c r="CJ156" i="1" s="1"/>
  <c r="CH232" i="1"/>
  <c r="CI232" i="1" s="1"/>
  <c r="CJ232" i="1" s="1"/>
  <c r="CH366" i="1"/>
  <c r="CI366" i="1" s="1"/>
  <c r="CJ366" i="1" s="1"/>
  <c r="CH101" i="1"/>
  <c r="CI101" i="1" s="1"/>
  <c r="CJ101" i="1" s="1"/>
  <c r="CH27" i="1"/>
  <c r="CI27" i="1" s="1"/>
  <c r="CJ27" i="1" s="1"/>
  <c r="CH105" i="1"/>
  <c r="CI105" i="1" s="1"/>
  <c r="CJ105" i="1" s="1"/>
  <c r="CH282" i="1"/>
  <c r="CI282" i="1" s="1"/>
  <c r="CJ282" i="1" s="1"/>
  <c r="CH263" i="1"/>
  <c r="CI263" i="1" s="1"/>
  <c r="CJ263" i="1" s="1"/>
  <c r="CH368" i="1"/>
  <c r="CI368" i="1" s="1"/>
  <c r="CJ368" i="1" s="1"/>
  <c r="CH339" i="1"/>
  <c r="CI339" i="1" s="1"/>
  <c r="CJ339" i="1" s="1"/>
  <c r="CF69" i="1"/>
  <c r="CG69" i="1" s="1"/>
  <c r="CH33" i="1"/>
  <c r="CI33" i="1" s="1"/>
  <c r="CJ33" i="1" s="1"/>
  <c r="CH298" i="1"/>
  <c r="CI298" i="1" s="1"/>
  <c r="CJ298" i="1" s="1"/>
  <c r="CH124" i="1"/>
  <c r="CI124" i="1" s="1"/>
  <c r="CJ124" i="1" s="1"/>
  <c r="CH213" i="1"/>
  <c r="CI213" i="1" s="1"/>
  <c r="CJ213" i="1" s="1"/>
  <c r="CH293" i="1"/>
  <c r="CI293" i="1" s="1"/>
  <c r="CJ293" i="1" s="1"/>
  <c r="CH206" i="1"/>
  <c r="CI206" i="1" s="1"/>
  <c r="CJ206" i="1" s="1"/>
  <c r="CF287" i="1"/>
  <c r="CG287" i="1" s="1"/>
  <c r="CH34" i="1"/>
  <c r="CI34" i="1" s="1"/>
  <c r="CJ34" i="1" s="1"/>
  <c r="CH233" i="1"/>
  <c r="CI233" i="1" s="1"/>
  <c r="CJ233" i="1" s="1"/>
  <c r="CF118" i="1"/>
  <c r="CG118" i="1" s="1"/>
  <c r="CF79" i="1"/>
  <c r="CG79" i="1" s="1"/>
  <c r="CH184" i="1"/>
  <c r="CI184" i="1" s="1"/>
  <c r="CJ184" i="1" s="1"/>
  <c r="CH235" i="1"/>
  <c r="CI235" i="1" s="1"/>
  <c r="CJ235" i="1" s="1"/>
  <c r="CH121" i="1"/>
  <c r="CI121" i="1" s="1"/>
  <c r="CJ121" i="1" s="1"/>
  <c r="CH151" i="1"/>
  <c r="CI151" i="1" s="1"/>
  <c r="CJ151" i="1" s="1"/>
  <c r="CH109" i="1"/>
  <c r="CI109" i="1" s="1"/>
  <c r="CJ109" i="1" s="1"/>
  <c r="CH241" i="1"/>
  <c r="CI241" i="1" s="1"/>
  <c r="CJ241" i="1" s="1"/>
  <c r="CH64" i="1"/>
  <c r="CI64" i="1" s="1"/>
  <c r="CJ64" i="1" s="1"/>
  <c r="CF153" i="1"/>
  <c r="CG153" i="1" s="1"/>
  <c r="CF258" i="1"/>
  <c r="CG258" i="1" s="1"/>
  <c r="CF325" i="1"/>
  <c r="CG325" i="1" s="1"/>
  <c r="CH159" i="1"/>
  <c r="CI159" i="1" s="1"/>
  <c r="CJ159" i="1" s="1"/>
  <c r="CH209" i="1"/>
  <c r="CI209" i="1" s="1"/>
  <c r="CJ209" i="1" s="1"/>
  <c r="CH355" i="1"/>
  <c r="CI355" i="1" s="1"/>
  <c r="CJ355" i="1" s="1"/>
  <c r="CH166" i="1"/>
  <c r="CI166" i="1" s="1"/>
  <c r="CJ166" i="1" s="1"/>
  <c r="CH108" i="1"/>
  <c r="CI108" i="1" s="1"/>
  <c r="CJ108" i="1" s="1"/>
  <c r="CH114" i="1"/>
  <c r="CI114" i="1" s="1"/>
  <c r="CJ114" i="1" s="1"/>
  <c r="CH359" i="1"/>
  <c r="CI359" i="1" s="1"/>
  <c r="CJ359" i="1" s="1"/>
  <c r="CH324" i="1"/>
  <c r="CI324" i="1" s="1"/>
  <c r="CJ324" i="1" s="1"/>
  <c r="CH336" i="1"/>
  <c r="CI336" i="1" s="1"/>
  <c r="CJ336" i="1" s="1"/>
  <c r="CH342" i="1"/>
  <c r="CI342" i="1" s="1"/>
  <c r="CJ342" i="1" s="1"/>
  <c r="CF77" i="1"/>
  <c r="CG77" i="1" s="1"/>
  <c r="CF86" i="1"/>
  <c r="CG86" i="1" s="1"/>
  <c r="CH54" i="1"/>
  <c r="CI54" i="1" s="1"/>
  <c r="CJ54" i="1" s="1"/>
  <c r="CH316" i="1"/>
  <c r="CI316" i="1" s="1"/>
  <c r="CJ316" i="1" s="1"/>
  <c r="CH194" i="1"/>
  <c r="CI194" i="1" s="1"/>
  <c r="CJ194" i="1" s="1"/>
  <c r="CH200" i="1"/>
  <c r="CI200" i="1" s="1"/>
  <c r="CJ200" i="1" s="1"/>
  <c r="CH347" i="1"/>
  <c r="CI347" i="1" s="1"/>
  <c r="CJ347" i="1" s="1"/>
  <c r="CH168" i="1"/>
  <c r="CI168" i="1" s="1"/>
  <c r="CJ168" i="1" s="1"/>
  <c r="CH302" i="1"/>
  <c r="CI302" i="1" s="1"/>
  <c r="CJ302" i="1" s="1"/>
  <c r="CH62" i="1"/>
  <c r="CI62" i="1" s="1"/>
  <c r="CJ62" i="1" s="1"/>
  <c r="CH250" i="1"/>
  <c r="CI250" i="1" s="1"/>
  <c r="CJ250" i="1" s="1"/>
  <c r="CH262" i="1"/>
  <c r="CI262" i="1" s="1"/>
  <c r="CJ262" i="1" s="1"/>
  <c r="CH179" i="1"/>
  <c r="CI179" i="1" s="1"/>
  <c r="CJ179" i="1" s="1"/>
  <c r="CH257" i="1"/>
  <c r="CI257" i="1" s="1"/>
  <c r="CJ257" i="1" s="1"/>
  <c r="CH255" i="1"/>
  <c r="CI255" i="1" s="1"/>
  <c r="CJ255" i="1" s="1"/>
  <c r="CH98" i="1"/>
  <c r="CI98" i="1" s="1"/>
  <c r="CJ98" i="1" s="1"/>
  <c r="CF21" i="1"/>
  <c r="CG21" i="1" s="1"/>
  <c r="CF308" i="1"/>
  <c r="CG308" i="1" s="1"/>
  <c r="CF162" i="1"/>
  <c r="CG162" i="1" s="1"/>
  <c r="CH187" i="1"/>
  <c r="CI187" i="1" s="1"/>
  <c r="CJ187" i="1" s="1"/>
  <c r="CH328" i="1"/>
  <c r="CI328" i="1" s="1"/>
  <c r="CJ328" i="1" s="1"/>
  <c r="CH111" i="1"/>
  <c r="CI111" i="1" s="1"/>
  <c r="CJ111" i="1" s="1"/>
  <c r="CF182" i="1"/>
  <c r="CG182" i="1" s="1"/>
  <c r="CF155" i="1"/>
  <c r="CG155" i="1" s="1"/>
  <c r="CH165" i="1"/>
  <c r="CI165" i="1" s="1"/>
  <c r="CJ165" i="1" s="1"/>
  <c r="CH84" i="1"/>
  <c r="CI84" i="1" s="1"/>
  <c r="CJ84" i="1" s="1"/>
  <c r="CH274" i="1"/>
  <c r="CI274" i="1" s="1"/>
  <c r="CJ274" i="1" s="1"/>
  <c r="CH285" i="1"/>
  <c r="CI285" i="1" s="1"/>
  <c r="CJ285" i="1" s="1"/>
  <c r="CH141" i="1"/>
  <c r="CI141" i="1" s="1"/>
  <c r="CJ141" i="1" s="1"/>
  <c r="CH306" i="1"/>
  <c r="CI306" i="1" s="1"/>
  <c r="CJ306" i="1" s="1"/>
  <c r="CH120" i="1"/>
  <c r="CI120" i="1" s="1"/>
  <c r="CJ120" i="1" s="1"/>
  <c r="CH204" i="1"/>
  <c r="CI204" i="1" s="1"/>
  <c r="CJ204" i="1" s="1"/>
  <c r="CH57" i="1"/>
  <c r="CI57" i="1" s="1"/>
  <c r="CJ57" i="1" s="1"/>
  <c r="CH119" i="1"/>
  <c r="CI119" i="1" s="1"/>
  <c r="CJ119" i="1" s="1"/>
  <c r="CF171" i="1"/>
  <c r="CG171" i="1" s="1"/>
  <c r="CF225" i="1"/>
  <c r="CG225" i="1" s="1"/>
  <c r="CF178" i="1"/>
  <c r="CG178" i="1" s="1"/>
  <c r="CF327" i="1"/>
  <c r="CG327" i="1" s="1"/>
  <c r="CG112" i="1"/>
  <c r="CI112" i="1" s="1"/>
  <c r="CJ112" i="1" s="1"/>
  <c r="CH330" i="1"/>
  <c r="CI330" i="1" s="1"/>
  <c r="CJ330" i="1" s="1"/>
  <c r="CH87" i="1"/>
  <c r="CI87" i="1" s="1"/>
  <c r="CJ87" i="1" s="1"/>
  <c r="CH281" i="1"/>
  <c r="CI281" i="1" s="1"/>
  <c r="CJ281" i="1" s="1"/>
  <c r="CH291" i="1"/>
  <c r="CI291" i="1" s="1"/>
  <c r="CJ291" i="1" s="1"/>
  <c r="CH177" i="1"/>
  <c r="CI177" i="1" s="1"/>
  <c r="CJ177" i="1" s="1"/>
  <c r="CH245" i="1"/>
  <c r="CI245" i="1" s="1"/>
  <c r="CJ245" i="1" s="1"/>
  <c r="CG89" i="1"/>
  <c r="CI89" i="1" s="1"/>
  <c r="CJ89" i="1" s="1"/>
  <c r="CF290" i="1"/>
  <c r="CG290" i="1" s="1"/>
  <c r="CH31" i="1"/>
  <c r="CI31" i="1" s="1"/>
  <c r="CJ31" i="1" s="1"/>
  <c r="CH338" i="1"/>
  <c r="CI338" i="1" s="1"/>
  <c r="CJ338" i="1" s="1"/>
  <c r="CH216" i="1"/>
  <c r="CI216" i="1" s="1"/>
  <c r="CJ216" i="1" s="1"/>
  <c r="CH158" i="1"/>
  <c r="CI158" i="1" s="1"/>
  <c r="CJ158" i="1" s="1"/>
  <c r="CH356" i="1"/>
  <c r="CI356" i="1" s="1"/>
  <c r="CJ356" i="1" s="1"/>
  <c r="CF183" i="1"/>
  <c r="CG183" i="1" s="1"/>
  <c r="CH137" i="1"/>
  <c r="CI137" i="1" s="1"/>
  <c r="CJ137" i="1" s="1"/>
  <c r="CH362" i="1"/>
  <c r="CI362" i="1" s="1"/>
  <c r="CJ362" i="1" s="1"/>
  <c r="CH277" i="1"/>
  <c r="CI277" i="1" s="1"/>
  <c r="CJ277" i="1" s="1"/>
  <c r="CH100" i="1"/>
  <c r="CI100" i="1" s="1"/>
  <c r="CJ100" i="1" s="1"/>
  <c r="CF169" i="1"/>
  <c r="CG169" i="1" s="1"/>
  <c r="CF364" i="1"/>
  <c r="CG364" i="1" s="1"/>
  <c r="CH39" i="1"/>
  <c r="CI39" i="1" s="1"/>
  <c r="CJ39" i="1" s="1"/>
  <c r="CH253" i="1"/>
  <c r="CI253" i="1" s="1"/>
  <c r="CJ253" i="1" s="1"/>
  <c r="CH309" i="1"/>
  <c r="CI309" i="1" s="1"/>
  <c r="CJ309" i="1" s="1"/>
  <c r="CH349" i="1"/>
  <c r="CI349" i="1" s="1"/>
  <c r="CJ349" i="1" s="1"/>
  <c r="CH22" i="1"/>
  <c r="CI22" i="1" s="1"/>
  <c r="CJ22" i="1" s="1"/>
  <c r="CF32" i="1"/>
  <c r="CG32" i="1" s="1"/>
  <c r="CF254" i="1"/>
  <c r="CG254" i="1" s="1"/>
  <c r="CH229" i="1"/>
  <c r="CI229" i="1" s="1"/>
  <c r="CJ229" i="1" s="1"/>
  <c r="CH130" i="1"/>
  <c r="CI130" i="1" s="1"/>
  <c r="CJ130" i="1" s="1"/>
  <c r="CH136" i="1"/>
  <c r="CI136" i="1" s="1"/>
  <c r="CJ136" i="1" s="1"/>
  <c r="CH334" i="1"/>
  <c r="CI334" i="1" s="1"/>
  <c r="CJ334" i="1" s="1"/>
  <c r="CF92" i="1"/>
  <c r="CG92" i="1" s="1"/>
  <c r="CF161" i="1"/>
  <c r="CG161" i="1" s="1"/>
  <c r="CF333" i="1"/>
  <c r="CG333" i="1" s="1"/>
  <c r="CF344" i="1"/>
  <c r="CG344" i="1" s="1"/>
  <c r="CF331" i="1"/>
  <c r="CG331" i="1" s="1"/>
  <c r="CH154" i="1"/>
  <c r="CI154" i="1" s="1"/>
  <c r="CJ154" i="1" s="1"/>
  <c r="CH352" i="1"/>
  <c r="CI352" i="1" s="1"/>
  <c r="CJ352" i="1" s="1"/>
  <c r="CH135" i="1"/>
  <c r="CI135" i="1" s="1"/>
  <c r="CJ135" i="1" s="1"/>
  <c r="CH126" i="1"/>
  <c r="CI126" i="1" s="1"/>
  <c r="CJ126" i="1" s="1"/>
  <c r="CH211" i="1"/>
  <c r="CI211" i="1" s="1"/>
  <c r="CJ211" i="1" s="1"/>
  <c r="CF41" i="1"/>
  <c r="CG41" i="1" s="1"/>
  <c r="CF252" i="1"/>
  <c r="CG252" i="1" s="1"/>
  <c r="CF15" i="1"/>
  <c r="CG15" i="1" s="1"/>
  <c r="CA190" i="1"/>
  <c r="CC190" i="1" s="1"/>
  <c r="CA215" i="1"/>
  <c r="CC215" i="1" s="1"/>
  <c r="CA227" i="1"/>
  <c r="CC227" i="1" s="1"/>
  <c r="CB38" i="1"/>
  <c r="CC38" i="1" s="1"/>
  <c r="CB355" i="1"/>
  <c r="CC355" i="1" s="1"/>
  <c r="CB46" i="1"/>
  <c r="CC46" i="1" s="1"/>
  <c r="CB210" i="1"/>
  <c r="CC210" i="1" s="1"/>
  <c r="CA342" i="1"/>
  <c r="CC342" i="1" s="1"/>
  <c r="CA35" i="1"/>
  <c r="CC35" i="1" s="1"/>
  <c r="CB220" i="1"/>
  <c r="CC220" i="1" s="1"/>
  <c r="CB132" i="1"/>
  <c r="CC132" i="1" s="1"/>
  <c r="CA291" i="1"/>
  <c r="CC291" i="1" s="1"/>
  <c r="CA354" i="1"/>
  <c r="CC354" i="1" s="1"/>
  <c r="CA244" i="1"/>
  <c r="CC244" i="1" s="1"/>
  <c r="CB159" i="1"/>
  <c r="CC159" i="1" s="1"/>
  <c r="CB58" i="1"/>
  <c r="CC58" i="1" s="1"/>
  <c r="CA353" i="1"/>
  <c r="CC353" i="1" s="1"/>
  <c r="CB285" i="1"/>
  <c r="CC285" i="1" s="1"/>
  <c r="CB126" i="1"/>
  <c r="CC126" i="1" s="1"/>
  <c r="CA277" i="1"/>
  <c r="CC277" i="1" s="1"/>
  <c r="CB124" i="1"/>
  <c r="CC124" i="1" s="1"/>
  <c r="CA229" i="1"/>
  <c r="CC229" i="1" s="1"/>
  <c r="CB181" i="1"/>
  <c r="CC181" i="1" s="1"/>
  <c r="CB49" i="1"/>
  <c r="CC49" i="1" s="1"/>
  <c r="CA345" i="1"/>
  <c r="CC345" i="1" s="1"/>
  <c r="CA261" i="1"/>
  <c r="CC261" i="1" s="1"/>
  <c r="CB53" i="1"/>
  <c r="CC53" i="1" s="1"/>
  <c r="CB306" i="1"/>
  <c r="CC306" i="1" s="1"/>
  <c r="CB311" i="1"/>
  <c r="CC311" i="1" s="1"/>
  <c r="CB180" i="1"/>
  <c r="CC180" i="1" s="1"/>
  <c r="CA239" i="1"/>
  <c r="CC239" i="1" s="1"/>
  <c r="CB316" i="1"/>
  <c r="CC316" i="1" s="1"/>
  <c r="CB373" i="1"/>
  <c r="CC373" i="1" s="1"/>
  <c r="CB369" i="1"/>
  <c r="CC369" i="1" s="1"/>
  <c r="CB146" i="1"/>
  <c r="CC146" i="1" s="1"/>
  <c r="CA241" i="1"/>
  <c r="CC241" i="1" s="1"/>
  <c r="CA243" i="1"/>
  <c r="CC243" i="1" s="1"/>
  <c r="CA223" i="1"/>
  <c r="CC223" i="1" s="1"/>
  <c r="CB158" i="1"/>
  <c r="CC158" i="1" s="1"/>
  <c r="CB156" i="1"/>
  <c r="CC156" i="1" s="1"/>
  <c r="CB31" i="1"/>
  <c r="CC31" i="1" s="1"/>
  <c r="CB343" i="1"/>
  <c r="CC343" i="1" s="1"/>
  <c r="CB332" i="1"/>
  <c r="CC332" i="1" s="1"/>
  <c r="CB27" i="1"/>
  <c r="CC27" i="1" s="1"/>
  <c r="CA299" i="1"/>
  <c r="CC299" i="1" s="1"/>
  <c r="CA62" i="1"/>
  <c r="CC62" i="1" s="1"/>
  <c r="CB313" i="1"/>
  <c r="CC313" i="1" s="1"/>
  <c r="CA211" i="1"/>
  <c r="CC211" i="1" s="1"/>
  <c r="CA50" i="1"/>
  <c r="CC50" i="1" s="1"/>
  <c r="CB165" i="1"/>
  <c r="CC165" i="1" s="1"/>
  <c r="CB286" i="1"/>
  <c r="CC286" i="1" s="1"/>
  <c r="CB346" i="1"/>
  <c r="CC346" i="1" s="1"/>
  <c r="CB219" i="1"/>
  <c r="CC219" i="1" s="1"/>
  <c r="CB68" i="1"/>
  <c r="CC68" i="1" s="1"/>
  <c r="CB148" i="1"/>
  <c r="CC148" i="1" s="1"/>
  <c r="CA236" i="1"/>
  <c r="CC236" i="1" s="1"/>
  <c r="CB326" i="1"/>
  <c r="CC326" i="1" s="1"/>
  <c r="CA303" i="1"/>
  <c r="CC303" i="1" s="1"/>
  <c r="CA143" i="1"/>
  <c r="CC143" i="1" s="1"/>
  <c r="CB118" i="1"/>
  <c r="CC118" i="1" s="1"/>
  <c r="CA103" i="1"/>
  <c r="CC103" i="1" s="1"/>
  <c r="CB195" i="1"/>
  <c r="CC195" i="1" s="1"/>
  <c r="CB254" i="1"/>
  <c r="CC254" i="1" s="1"/>
  <c r="CB131" i="1"/>
  <c r="CC131" i="1" s="1"/>
  <c r="CB115" i="1"/>
  <c r="CC115" i="1" s="1"/>
  <c r="CB338" i="1"/>
  <c r="CC338" i="1" s="1"/>
  <c r="CB337" i="1"/>
  <c r="CC337" i="1" s="1"/>
  <c r="CA122" i="1"/>
  <c r="CC122" i="1" s="1"/>
  <c r="CB125" i="1"/>
  <c r="CC125" i="1" s="1"/>
  <c r="CB226" i="1"/>
  <c r="CC226" i="1" s="1"/>
  <c r="CB39" i="1"/>
  <c r="CC39" i="1" s="1"/>
  <c r="CB130" i="1"/>
  <c r="CC130" i="1" s="1"/>
  <c r="CB209" i="1"/>
  <c r="CC209" i="1" s="1"/>
  <c r="CA22" i="1"/>
  <c r="CC22" i="1" s="1"/>
  <c r="CA66" i="1"/>
  <c r="CC66" i="1" s="1"/>
  <c r="CA191" i="1"/>
  <c r="CC191" i="1" s="1"/>
  <c r="CA367" i="1"/>
  <c r="CC367" i="1" s="1"/>
  <c r="CA111" i="1"/>
  <c r="CC111" i="1" s="1"/>
  <c r="CA140" i="1"/>
  <c r="CC140" i="1" s="1"/>
  <c r="CB182" i="1"/>
  <c r="CC182" i="1" s="1"/>
  <c r="CA250" i="1"/>
  <c r="CC250" i="1" s="1"/>
  <c r="CA79" i="1"/>
  <c r="CC79" i="1" s="1"/>
  <c r="CA270" i="1"/>
  <c r="CC270" i="1" s="1"/>
  <c r="CA169" i="1"/>
  <c r="CC169" i="1" s="1"/>
  <c r="CB113" i="1"/>
  <c r="CC113" i="1" s="1"/>
  <c r="CA273" i="1"/>
  <c r="CC273" i="1" s="1"/>
  <c r="CA207" i="1"/>
  <c r="CC207" i="1" s="1"/>
  <c r="CB218" i="1"/>
  <c r="CC218" i="1" s="1"/>
  <c r="CA269" i="1"/>
  <c r="CC269" i="1" s="1"/>
  <c r="CB83" i="1"/>
  <c r="CC83" i="1" s="1"/>
  <c r="CA133" i="1"/>
  <c r="CC133" i="1" s="1"/>
  <c r="CA329" i="1"/>
  <c r="CC329" i="1" s="1"/>
  <c r="CB350" i="1"/>
  <c r="CC350" i="1" s="1"/>
  <c r="CA302" i="1"/>
  <c r="CC302" i="1" s="1"/>
  <c r="CB144" i="1"/>
  <c r="CC144" i="1" s="1"/>
  <c r="CA29" i="1"/>
  <c r="CC29" i="1" s="1"/>
  <c r="CB87" i="1"/>
  <c r="CC87" i="1" s="1"/>
  <c r="CB86" i="1"/>
  <c r="CC86" i="1" s="1"/>
  <c r="CA282" i="1"/>
  <c r="CC282" i="1" s="1"/>
  <c r="CB344" i="1"/>
  <c r="CC344" i="1" s="1"/>
  <c r="CA101" i="1"/>
  <c r="CC101" i="1" s="1"/>
  <c r="CA372" i="1"/>
  <c r="CC372" i="1" s="1"/>
  <c r="CB371" i="1"/>
  <c r="CC371" i="1" s="1"/>
  <c r="CB54" i="1"/>
  <c r="CC54" i="1" s="1"/>
  <c r="CB136" i="1"/>
  <c r="CC136" i="1" s="1"/>
  <c r="CA322" i="1"/>
  <c r="CC322" i="1" s="1"/>
  <c r="CA157" i="1"/>
  <c r="CC157" i="1" s="1"/>
  <c r="CB196" i="1"/>
  <c r="CC196" i="1" s="1"/>
  <c r="CB309" i="1"/>
  <c r="CC309" i="1" s="1"/>
  <c r="CB292" i="1"/>
  <c r="CC292" i="1" s="1"/>
  <c r="CA41" i="1"/>
  <c r="CC41" i="1" s="1"/>
  <c r="CB348" i="1"/>
  <c r="CC348" i="1" s="1"/>
  <c r="CA268" i="1"/>
  <c r="CC268" i="1" s="1"/>
  <c r="CA179" i="1"/>
  <c r="CC179" i="1" s="1"/>
  <c r="CB374" i="1"/>
  <c r="CC374" i="1" s="1"/>
  <c r="CB141" i="1"/>
  <c r="CC141" i="1" s="1"/>
  <c r="CA356" i="1"/>
  <c r="CC356" i="1" s="1"/>
  <c r="CB174" i="1"/>
  <c r="CC174" i="1" s="1"/>
  <c r="CA173" i="1"/>
  <c r="CC173" i="1" s="1"/>
  <c r="CB279" i="1"/>
  <c r="CC279" i="1" s="1"/>
  <c r="CB197" i="1"/>
  <c r="CC197" i="1" s="1"/>
  <c r="CA361" i="1"/>
  <c r="CC361" i="1" s="1"/>
  <c r="CA266" i="1"/>
  <c r="CC266" i="1" s="1"/>
  <c r="CA99" i="1"/>
  <c r="CC99" i="1" s="1"/>
  <c r="CB206" i="1"/>
  <c r="CC206" i="1" s="1"/>
  <c r="CA284" i="1"/>
  <c r="CC284" i="1" s="1"/>
  <c r="CB75" i="1"/>
  <c r="CC75" i="1" s="1"/>
  <c r="CA151" i="1"/>
  <c r="CC151" i="1" s="1"/>
  <c r="CB307" i="1"/>
  <c r="CC307" i="1" s="1"/>
  <c r="CA301" i="1"/>
  <c r="CC301" i="1" s="1"/>
  <c r="CA331" i="1"/>
  <c r="CC331" i="1" s="1"/>
  <c r="CA212" i="1"/>
  <c r="CC212" i="1" s="1"/>
  <c r="CB47" i="1"/>
  <c r="CC47" i="1" s="1"/>
  <c r="CA221" i="1"/>
  <c r="CC221" i="1" s="1"/>
  <c r="CA77" i="1"/>
  <c r="CC77" i="1" s="1"/>
  <c r="CA213" i="1"/>
  <c r="CC213" i="1" s="1"/>
  <c r="CA154" i="1"/>
  <c r="CC154" i="1" s="1"/>
  <c r="CA359" i="1"/>
  <c r="CC359" i="1" s="1"/>
  <c r="CB370" i="1"/>
  <c r="CC370" i="1" s="1"/>
  <c r="CA147" i="1"/>
  <c r="CC147" i="1" s="1"/>
  <c r="CA102" i="1"/>
  <c r="CC102" i="1" s="1"/>
  <c r="CA238" i="1"/>
  <c r="CC238" i="1" s="1"/>
  <c r="CA84" i="1"/>
  <c r="CC84" i="1" s="1"/>
  <c r="CA295" i="1"/>
  <c r="CC295" i="1" s="1"/>
  <c r="CB259" i="1"/>
  <c r="CC259" i="1" s="1"/>
  <c r="CB178" i="1"/>
  <c r="CC178" i="1" s="1"/>
  <c r="CB127" i="1"/>
  <c r="CC127" i="1" s="1"/>
  <c r="CA246" i="1"/>
  <c r="CC246" i="1" s="1"/>
  <c r="CB52" i="1"/>
  <c r="CC52" i="1" s="1"/>
  <c r="CB230" i="1"/>
  <c r="CC230" i="1" s="1"/>
  <c r="CB281" i="1"/>
  <c r="CC281" i="1" s="1"/>
  <c r="CB341" i="1"/>
  <c r="CC341" i="1" s="1"/>
  <c r="CA333" i="1"/>
  <c r="CC333" i="1" s="1"/>
  <c r="CA222" i="1"/>
  <c r="CC222" i="1" s="1"/>
  <c r="CA300" i="1"/>
  <c r="CC300" i="1" s="1"/>
  <c r="CA155" i="1"/>
  <c r="CC155" i="1" s="1"/>
  <c r="CA305" i="1"/>
  <c r="CC305" i="1" s="1"/>
  <c r="CB339" i="1"/>
  <c r="CC339" i="1" s="1"/>
  <c r="CA255" i="1"/>
  <c r="CC255" i="1" s="1"/>
  <c r="CB364" i="1"/>
  <c r="CC364" i="1" s="1"/>
  <c r="CA366" i="1"/>
  <c r="CC366" i="1" s="1"/>
  <c r="CB235" i="1"/>
  <c r="CC235" i="1" s="1"/>
  <c r="CA26" i="1"/>
  <c r="CC26" i="1" s="1"/>
  <c r="CA70" i="1"/>
  <c r="CC70" i="1" s="1"/>
  <c r="CB110" i="1"/>
  <c r="CC110" i="1" s="1"/>
  <c r="CB274" i="1"/>
  <c r="CC274" i="1" s="1"/>
  <c r="CB90" i="1"/>
  <c r="CC90" i="1" s="1"/>
  <c r="CA327" i="1"/>
  <c r="CC327" i="1" s="1"/>
  <c r="CB202" i="1"/>
  <c r="CC202" i="1" s="1"/>
  <c r="CB317" i="1"/>
  <c r="CC317" i="1" s="1"/>
  <c r="CB365" i="1"/>
  <c r="CC365" i="1" s="1"/>
  <c r="CB93" i="1"/>
  <c r="CC93" i="1" s="1"/>
  <c r="CA135" i="1"/>
  <c r="CC135" i="1" s="1"/>
  <c r="CB258" i="1"/>
  <c r="CC258" i="1" s="1"/>
  <c r="CA253" i="1"/>
  <c r="CC253" i="1" s="1"/>
  <c r="CB96" i="1"/>
  <c r="CC96" i="1" s="1"/>
  <c r="CA23" i="1"/>
  <c r="CC23" i="1" s="1"/>
  <c r="CA63" i="1"/>
  <c r="CC63" i="1" s="1"/>
  <c r="CA205" i="1"/>
  <c r="CC205" i="1" s="1"/>
  <c r="CA336" i="1"/>
  <c r="CC336" i="1" s="1"/>
  <c r="CA109" i="1"/>
  <c r="CC109" i="1" s="1"/>
  <c r="CA265" i="1"/>
  <c r="CC265" i="1" s="1"/>
  <c r="CA375" i="1"/>
  <c r="CC375" i="1" s="1"/>
  <c r="CA203" i="1"/>
  <c r="CC203" i="1" s="1"/>
  <c r="CA20" i="1"/>
  <c r="CC20" i="1" s="1"/>
  <c r="CB55" i="1"/>
  <c r="CC55" i="1" s="1"/>
  <c r="CB183" i="1"/>
  <c r="CC183" i="1" s="1"/>
  <c r="CA71" i="1"/>
  <c r="CC71" i="1" s="1"/>
  <c r="CB247" i="1"/>
  <c r="CC247" i="1" s="1"/>
  <c r="CA193" i="1"/>
  <c r="CC193" i="1" s="1"/>
  <c r="CB275" i="1"/>
  <c r="CC275" i="1" s="1"/>
  <c r="CB324" i="1"/>
  <c r="CC324" i="1" s="1"/>
  <c r="CA51" i="1"/>
  <c r="CC51" i="1" s="1"/>
  <c r="CA245" i="1"/>
  <c r="CC245" i="1" s="1"/>
  <c r="CB65" i="1"/>
  <c r="CC65" i="1" s="1"/>
  <c r="CA363" i="1"/>
  <c r="CC363" i="1" s="1"/>
  <c r="CA100" i="1"/>
  <c r="CC100" i="1" s="1"/>
  <c r="CB91" i="1"/>
  <c r="CC91" i="1" s="1"/>
  <c r="CA21" i="1"/>
  <c r="CC21" i="1" s="1"/>
  <c r="CA123" i="1"/>
  <c r="CC123" i="1" s="1"/>
  <c r="CA349" i="1"/>
  <c r="CC349" i="1" s="1"/>
  <c r="CA69" i="1"/>
  <c r="CC69" i="1" s="1"/>
  <c r="CB60" i="1"/>
  <c r="CC60" i="1" s="1"/>
  <c r="CB172" i="1"/>
  <c r="CC172" i="1" s="1"/>
  <c r="CB92" i="1"/>
  <c r="CC92" i="1" s="1"/>
  <c r="CA116" i="1"/>
  <c r="CC116" i="1" s="1"/>
  <c r="CB166" i="1"/>
  <c r="CC166" i="1" s="1"/>
  <c r="CA188" i="1"/>
  <c r="CC188" i="1" s="1"/>
  <c r="CB323" i="1"/>
  <c r="CC323" i="1" s="1"/>
  <c r="CB186" i="1"/>
  <c r="CC186" i="1" s="1"/>
  <c r="CB85" i="1"/>
  <c r="CC85" i="1" s="1"/>
  <c r="CA228" i="1"/>
  <c r="CC228" i="1" s="1"/>
  <c r="CB30" i="1"/>
  <c r="CC30" i="1" s="1"/>
  <c r="CB28" i="1"/>
  <c r="CC28" i="1" s="1"/>
  <c r="CA271" i="1"/>
  <c r="CC271" i="1" s="1"/>
  <c r="CA260" i="1"/>
  <c r="CC260" i="1" s="1"/>
  <c r="CB310" i="1"/>
  <c r="CC310" i="1" s="1"/>
  <c r="CB175" i="1"/>
  <c r="CC175" i="1" s="1"/>
  <c r="CB150" i="1"/>
  <c r="CC150" i="1" s="1"/>
  <c r="CB287" i="1"/>
  <c r="CC287" i="1" s="1"/>
  <c r="CA194" i="1"/>
  <c r="CC194" i="1" s="1"/>
  <c r="CA204" i="1"/>
  <c r="CC204" i="1" s="1"/>
  <c r="CA59" i="1"/>
  <c r="CC59" i="1" s="1"/>
  <c r="CA163" i="1"/>
  <c r="CC163" i="1" s="1"/>
  <c r="CB137" i="1"/>
  <c r="CC137" i="1" s="1"/>
  <c r="CA263" i="1"/>
  <c r="CC263" i="1" s="1"/>
  <c r="CB45" i="1"/>
  <c r="CC45" i="1" s="1"/>
  <c r="CA294" i="1"/>
  <c r="CC294" i="1" s="1"/>
  <c r="CB328" i="1"/>
  <c r="CC328" i="1" s="1"/>
  <c r="CA37" i="1"/>
  <c r="CC37" i="1" s="1"/>
  <c r="CA318" i="1"/>
  <c r="CC318" i="1" s="1"/>
  <c r="CA74" i="1"/>
  <c r="CC74" i="1" s="1"/>
  <c r="CA167" i="1"/>
  <c r="CC167" i="1" s="1"/>
  <c r="CA335" i="1"/>
  <c r="CC335" i="1" s="1"/>
  <c r="CA256" i="1"/>
  <c r="CC256" i="1" s="1"/>
  <c r="CB78" i="1"/>
  <c r="CC78" i="1" s="1"/>
  <c r="CB312" i="1"/>
  <c r="CC312" i="1" s="1"/>
  <c r="CB321" i="1"/>
  <c r="CC321" i="1" s="1"/>
  <c r="CA358" i="1"/>
  <c r="CC358" i="1" s="1"/>
  <c r="CB189" i="1"/>
  <c r="CC189" i="1" s="1"/>
  <c r="CA252" i="1"/>
  <c r="CC252" i="1" s="1"/>
  <c r="CA242" i="1"/>
  <c r="CC242" i="1" s="1"/>
  <c r="CA164" i="1"/>
  <c r="CC164" i="1" s="1"/>
  <c r="CA134" i="1"/>
  <c r="CC134" i="1" s="1"/>
  <c r="CA36" i="1"/>
  <c r="CC36" i="1" s="1"/>
  <c r="CA198" i="1"/>
  <c r="CC198" i="1" s="1"/>
  <c r="CB315" i="1"/>
  <c r="CC315" i="1" s="1"/>
  <c r="CB95" i="1"/>
  <c r="CC95" i="1" s="1"/>
  <c r="CB138" i="1"/>
  <c r="CC138" i="1" s="1"/>
  <c r="CA139" i="1"/>
  <c r="CC139" i="1" s="1"/>
  <c r="CA334" i="1"/>
  <c r="CC334" i="1" s="1"/>
  <c r="CB67" i="1"/>
  <c r="CC67" i="1" s="1"/>
  <c r="CA129" i="1"/>
  <c r="CC129" i="1" s="1"/>
  <c r="CA187" i="1"/>
  <c r="CC187" i="1" s="1"/>
  <c r="CA278" i="1"/>
  <c r="CC278" i="1" s="1"/>
  <c r="CA267" i="1"/>
  <c r="CC267" i="1" s="1"/>
  <c r="CB44" i="1"/>
  <c r="CC44" i="1" s="1"/>
  <c r="CA61" i="1"/>
  <c r="CC61" i="1" s="1"/>
  <c r="CB142" i="1"/>
  <c r="CC142" i="1" s="1"/>
  <c r="CA290" i="1"/>
  <c r="CC290" i="1" s="1"/>
  <c r="CA217" i="1"/>
  <c r="CC217" i="1" s="1"/>
  <c r="CB171" i="1"/>
  <c r="CC171" i="1" s="1"/>
  <c r="CB76" i="1"/>
  <c r="CC76" i="1" s="1"/>
  <c r="CB199" i="1"/>
  <c r="CC199" i="1" s="1"/>
  <c r="CA314" i="1"/>
  <c r="CC314" i="1" s="1"/>
  <c r="CB82" i="1"/>
  <c r="CC82" i="1" s="1"/>
  <c r="CB114" i="1"/>
  <c r="CC114" i="1" s="1"/>
  <c r="CA201" i="1"/>
  <c r="CC201" i="1" s="1"/>
  <c r="CB18" i="1"/>
  <c r="CC18" i="1" s="1"/>
  <c r="CB117" i="1"/>
  <c r="CC117" i="1" s="1"/>
  <c r="CB340" i="1"/>
  <c r="CC340" i="1" s="1"/>
  <c r="CA262" i="1"/>
  <c r="CC262" i="1" s="1"/>
  <c r="CA283" i="1"/>
  <c r="CC283" i="1" s="1"/>
  <c r="CB276" i="1"/>
  <c r="CC276" i="1" s="1"/>
  <c r="CB330" i="1"/>
  <c r="CC330" i="1" s="1"/>
  <c r="CA108" i="1"/>
  <c r="CC108" i="1" s="1"/>
  <c r="CA325" i="1"/>
  <c r="CC325" i="1" s="1"/>
  <c r="CA293" i="1"/>
  <c r="CC293" i="1" s="1"/>
  <c r="CB119" i="1"/>
  <c r="CC119" i="1" s="1"/>
  <c r="CB351" i="1"/>
  <c r="CC351" i="1" s="1"/>
  <c r="CB149" i="1"/>
  <c r="CC149" i="1" s="1"/>
  <c r="CB357" i="1"/>
  <c r="CC357" i="1" s="1"/>
  <c r="CB153" i="1"/>
  <c r="CC153" i="1" s="1"/>
  <c r="CA107" i="1"/>
  <c r="CC107" i="1" s="1"/>
  <c r="CB43" i="1"/>
  <c r="CC43" i="1" s="1"/>
  <c r="CA208" i="1"/>
  <c r="CC208" i="1" s="1"/>
  <c r="CA272" i="1"/>
  <c r="CC272" i="1" s="1"/>
  <c r="CB177" i="1"/>
  <c r="CC177" i="1" s="1"/>
  <c r="CB94" i="1"/>
  <c r="CC94" i="1" s="1"/>
  <c r="CB347" i="1"/>
  <c r="CC347" i="1" s="1"/>
  <c r="CB231" i="1"/>
  <c r="CC231" i="1" s="1"/>
  <c r="CA308" i="1"/>
  <c r="CC308" i="1" s="1"/>
  <c r="CB19" i="1"/>
  <c r="CC19" i="1" s="1"/>
  <c r="CA216" i="1"/>
  <c r="CC216" i="1" s="1"/>
  <c r="CB251" i="1"/>
  <c r="CC251" i="1" s="1"/>
  <c r="CB106" i="1"/>
  <c r="CC106" i="1" s="1"/>
  <c r="CA319" i="1"/>
  <c r="CC319" i="1" s="1"/>
  <c r="CB237" i="1"/>
  <c r="CC237" i="1" s="1"/>
  <c r="CA73" i="1"/>
  <c r="CC73" i="1" s="1"/>
  <c r="CA162" i="1"/>
  <c r="CC162" i="1" s="1"/>
  <c r="CA121" i="1"/>
  <c r="CC121" i="1" s="1"/>
  <c r="CA161" i="1"/>
  <c r="CC161" i="1" s="1"/>
  <c r="CB192" i="1"/>
  <c r="CC192" i="1" s="1"/>
  <c r="CB297" i="1"/>
  <c r="CC297" i="1" s="1"/>
  <c r="CA233" i="1"/>
  <c r="CC233" i="1" s="1"/>
  <c r="CA234" i="1"/>
  <c r="CC234" i="1" s="1"/>
  <c r="CA176" i="1"/>
  <c r="CC176" i="1" s="1"/>
  <c r="CB225" i="1"/>
  <c r="CC225" i="1" s="1"/>
  <c r="CA289" i="1"/>
  <c r="CC289" i="1" s="1"/>
  <c r="CA298" i="1"/>
  <c r="CC298" i="1" s="1"/>
  <c r="CB249" i="1"/>
  <c r="CC249" i="1" s="1"/>
  <c r="CA25" i="1"/>
  <c r="CC25" i="1" s="1"/>
  <c r="CA105" i="1"/>
  <c r="CC105" i="1" s="1"/>
  <c r="CB33" i="1"/>
  <c r="CC33" i="1" s="1"/>
  <c r="CB145" i="1"/>
  <c r="CC145" i="1" s="1"/>
  <c r="CB360" i="1"/>
  <c r="CC360" i="1" s="1"/>
  <c r="CB264" i="1"/>
  <c r="CC264" i="1" s="1"/>
  <c r="CA57" i="1"/>
  <c r="CC57" i="1" s="1"/>
  <c r="CA48" i="1"/>
  <c r="CC48" i="1" s="1"/>
  <c r="CA64" i="1"/>
  <c r="CC64" i="1" s="1"/>
  <c r="CA34" i="1"/>
  <c r="CC34" i="1" s="1"/>
  <c r="CA320" i="1"/>
  <c r="CC320" i="1" s="1"/>
  <c r="CB257" i="1"/>
  <c r="CC257" i="1" s="1"/>
  <c r="CB362" i="1"/>
  <c r="CC362" i="1" s="1"/>
  <c r="CA89" i="1"/>
  <c r="CC89" i="1" s="1"/>
  <c r="CB32" i="1"/>
  <c r="CC32" i="1" s="1"/>
  <c r="CB280" i="1"/>
  <c r="CC280" i="1" s="1"/>
  <c r="CA152" i="1"/>
  <c r="CC152" i="1" s="1"/>
  <c r="CB42" i="1"/>
  <c r="CC42" i="1" s="1"/>
  <c r="CB80" i="1"/>
  <c r="CC80" i="1" s="1"/>
  <c r="CA112" i="1"/>
  <c r="CC112" i="1" s="1"/>
  <c r="CA72" i="1"/>
  <c r="CC72" i="1" s="1"/>
  <c r="CA97" i="1"/>
  <c r="CC97" i="1" s="1"/>
  <c r="CB368" i="1"/>
  <c r="CC368" i="1" s="1"/>
  <c r="CA98" i="1"/>
  <c r="CC98" i="1" s="1"/>
  <c r="CB185" i="1"/>
  <c r="CC185" i="1" s="1"/>
  <c r="CA17" i="1"/>
  <c r="CC17" i="1" s="1"/>
  <c r="CB200" i="1"/>
  <c r="CC200" i="1" s="1"/>
  <c r="CB248" i="1"/>
  <c r="CC248" i="1" s="1"/>
  <c r="CA56" i="1"/>
  <c r="CC56" i="1" s="1"/>
  <c r="CA81" i="1"/>
  <c r="CC81" i="1" s="1"/>
  <c r="CA128" i="1"/>
  <c r="CC128" i="1" s="1"/>
  <c r="CB232" i="1"/>
  <c r="CC232" i="1" s="1"/>
  <c r="CB16" i="1"/>
  <c r="CC16" i="1" s="1"/>
  <c r="CB184" i="1"/>
  <c r="CC184" i="1" s="1"/>
  <c r="CA88" i="1"/>
  <c r="CC88" i="1" s="1"/>
  <c r="CB296" i="1"/>
  <c r="CC296" i="1" s="1"/>
  <c r="CA352" i="1"/>
  <c r="CC352" i="1" s="1"/>
  <c r="CA168" i="1"/>
  <c r="CC168" i="1" s="1"/>
  <c r="CA240" i="1"/>
  <c r="CC240" i="1" s="1"/>
  <c r="CB304" i="1"/>
  <c r="CC304" i="1" s="1"/>
  <c r="CA120" i="1"/>
  <c r="CC120" i="1" s="1"/>
  <c r="CA288" i="1"/>
  <c r="CC288" i="1" s="1"/>
  <c r="CB24" i="1"/>
  <c r="CC24" i="1" s="1"/>
  <c r="CB160" i="1"/>
  <c r="CC160" i="1" s="1"/>
  <c r="CB40" i="1"/>
  <c r="CC40" i="1" s="1"/>
  <c r="CA104" i="1"/>
  <c r="CC104" i="1" s="1"/>
  <c r="CA224" i="1"/>
  <c r="CC224" i="1" s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J186" i="1"/>
  <c r="K186" i="1" s="1"/>
  <c r="J194" i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BZ11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DR28" i="1" l="1"/>
  <c r="DP26" i="1"/>
  <c r="DQ28" i="1"/>
  <c r="DQ26" i="1"/>
  <c r="DP28" i="1"/>
  <c r="DP27" i="1"/>
  <c r="DR27" i="1"/>
  <c r="DR26" i="1"/>
  <c r="DQ27" i="1"/>
  <c r="CH17" i="1"/>
  <c r="CI17" i="1" s="1"/>
  <c r="CJ17" i="1" s="1"/>
  <c r="CI50" i="1"/>
  <c r="CJ50" i="1" s="1"/>
  <c r="CH86" i="1"/>
  <c r="CI86" i="1" s="1"/>
  <c r="CJ86" i="1" s="1"/>
  <c r="CH115" i="1"/>
  <c r="CI115" i="1" s="1"/>
  <c r="CJ115" i="1" s="1"/>
  <c r="CH268" i="1"/>
  <c r="CI268" i="1" s="1"/>
  <c r="CJ268" i="1" s="1"/>
  <c r="CH71" i="1"/>
  <c r="CI71" i="1" s="1"/>
  <c r="CJ71" i="1" s="1"/>
  <c r="CH76" i="1"/>
  <c r="CI76" i="1" s="1"/>
  <c r="CJ76" i="1" s="1"/>
  <c r="CH42" i="1"/>
  <c r="CI42" i="1" s="1"/>
  <c r="CJ42" i="1" s="1"/>
  <c r="CH191" i="1"/>
  <c r="CI191" i="1" s="1"/>
  <c r="CJ191" i="1" s="1"/>
  <c r="CH360" i="1"/>
  <c r="CI360" i="1" s="1"/>
  <c r="CJ360" i="1" s="1"/>
  <c r="CH196" i="1"/>
  <c r="CI196" i="1" s="1"/>
  <c r="CJ196" i="1" s="1"/>
  <c r="CI113" i="1"/>
  <c r="CJ113" i="1" s="1"/>
  <c r="CH319" i="1"/>
  <c r="CI319" i="1" s="1"/>
  <c r="CJ319" i="1" s="1"/>
  <c r="CH30" i="1"/>
  <c r="CI30" i="1" s="1"/>
  <c r="CJ30" i="1" s="1"/>
  <c r="CI173" i="1"/>
  <c r="CJ173" i="1" s="1"/>
  <c r="CH296" i="1"/>
  <c r="CI296" i="1" s="1"/>
  <c r="CJ296" i="1" s="1"/>
  <c r="CH308" i="1"/>
  <c r="CI308" i="1" s="1"/>
  <c r="CJ308" i="1" s="1"/>
  <c r="CH221" i="1"/>
  <c r="CI221" i="1" s="1"/>
  <c r="CJ221" i="1" s="1"/>
  <c r="CH56" i="1"/>
  <c r="CI56" i="1" s="1"/>
  <c r="CJ56" i="1" s="1"/>
  <c r="CH252" i="1"/>
  <c r="CI252" i="1" s="1"/>
  <c r="CJ252" i="1" s="1"/>
  <c r="CH325" i="1"/>
  <c r="CI325" i="1" s="1"/>
  <c r="CJ325" i="1" s="1"/>
  <c r="CH287" i="1"/>
  <c r="CI287" i="1" s="1"/>
  <c r="CJ287" i="1" s="1"/>
  <c r="CH261" i="1"/>
  <c r="CI261" i="1" s="1"/>
  <c r="CJ261" i="1" s="1"/>
  <c r="CH44" i="1"/>
  <c r="CI44" i="1" s="1"/>
  <c r="CJ44" i="1" s="1"/>
  <c r="CH162" i="1"/>
  <c r="CI162" i="1" s="1"/>
  <c r="CJ162" i="1" s="1"/>
  <c r="CH343" i="1"/>
  <c r="CI343" i="1" s="1"/>
  <c r="CJ343" i="1" s="1"/>
  <c r="CH142" i="1"/>
  <c r="CI142" i="1" s="1"/>
  <c r="CJ142" i="1" s="1"/>
  <c r="CH128" i="1"/>
  <c r="CI128" i="1" s="1"/>
  <c r="CJ128" i="1" s="1"/>
  <c r="CH127" i="1"/>
  <c r="CI127" i="1" s="1"/>
  <c r="CJ127" i="1" s="1"/>
  <c r="CH358" i="1"/>
  <c r="CI358" i="1" s="1"/>
  <c r="CJ358" i="1" s="1"/>
  <c r="CH256" i="1"/>
  <c r="CI256" i="1" s="1"/>
  <c r="CJ256" i="1" s="1"/>
  <c r="CH266" i="1"/>
  <c r="CI266" i="1" s="1"/>
  <c r="CJ266" i="1" s="1"/>
  <c r="CH61" i="1"/>
  <c r="CI61" i="1" s="1"/>
  <c r="CJ61" i="1" s="1"/>
  <c r="CH77" i="1"/>
  <c r="CI77" i="1" s="1"/>
  <c r="CJ77" i="1" s="1"/>
  <c r="CH169" i="1"/>
  <c r="CI169" i="1" s="1"/>
  <c r="CJ169" i="1" s="1"/>
  <c r="CH94" i="1"/>
  <c r="CI94" i="1" s="1"/>
  <c r="CJ94" i="1" s="1"/>
  <c r="CH46" i="1"/>
  <c r="CI46" i="1" s="1"/>
  <c r="CJ46" i="1" s="1"/>
  <c r="CH239" i="1"/>
  <c r="CI239" i="1" s="1"/>
  <c r="CJ239" i="1" s="1"/>
  <c r="CH333" i="1"/>
  <c r="CI333" i="1" s="1"/>
  <c r="CJ333" i="1" s="1"/>
  <c r="CH79" i="1"/>
  <c r="CI79" i="1" s="1"/>
  <c r="CJ79" i="1" s="1"/>
  <c r="CH258" i="1"/>
  <c r="CI258" i="1" s="1"/>
  <c r="CJ258" i="1" s="1"/>
  <c r="CH279" i="1"/>
  <c r="CI279" i="1" s="1"/>
  <c r="CJ279" i="1" s="1"/>
  <c r="CH225" i="1"/>
  <c r="CI225" i="1" s="1"/>
  <c r="CJ225" i="1" s="1"/>
  <c r="CG16" i="1"/>
  <c r="CI16" i="1" s="1"/>
  <c r="CJ16" i="1" s="1"/>
  <c r="CH51" i="1"/>
  <c r="CI51" i="1" s="1"/>
  <c r="CJ51" i="1" s="1"/>
  <c r="CH117" i="1"/>
  <c r="CI117" i="1" s="1"/>
  <c r="CJ117" i="1" s="1"/>
  <c r="CH208" i="1"/>
  <c r="CI208" i="1" s="1"/>
  <c r="CJ208" i="1" s="1"/>
  <c r="CH96" i="1"/>
  <c r="CI96" i="1" s="1"/>
  <c r="CJ96" i="1" s="1"/>
  <c r="CH371" i="1"/>
  <c r="CI371" i="1" s="1"/>
  <c r="CJ371" i="1" s="1"/>
  <c r="CH249" i="1"/>
  <c r="CI249" i="1" s="1"/>
  <c r="CJ249" i="1" s="1"/>
  <c r="CH175" i="1"/>
  <c r="CI175" i="1" s="1"/>
  <c r="CJ175" i="1" s="1"/>
  <c r="CH55" i="1"/>
  <c r="CI55" i="1" s="1"/>
  <c r="CJ55" i="1" s="1"/>
  <c r="CH37" i="1"/>
  <c r="CI37" i="1" s="1"/>
  <c r="CJ37" i="1" s="1"/>
  <c r="CH278" i="1"/>
  <c r="CI278" i="1" s="1"/>
  <c r="CJ278" i="1" s="1"/>
  <c r="CH63" i="1"/>
  <c r="CI63" i="1" s="1"/>
  <c r="CJ63" i="1" s="1"/>
  <c r="CH310" i="1"/>
  <c r="CI310" i="1" s="1"/>
  <c r="CJ310" i="1" s="1"/>
  <c r="CH35" i="1"/>
  <c r="CI35" i="1" s="1"/>
  <c r="CJ35" i="1" s="1"/>
  <c r="CH69" i="1"/>
  <c r="CI69" i="1" s="1"/>
  <c r="CJ69" i="1" s="1"/>
  <c r="CH373" i="1"/>
  <c r="CI373" i="1" s="1"/>
  <c r="CJ373" i="1" s="1"/>
  <c r="CH164" i="1"/>
  <c r="CI164" i="1" s="1"/>
  <c r="CJ164" i="1" s="1"/>
  <c r="CI270" i="1"/>
  <c r="CJ270" i="1" s="1"/>
  <c r="CH178" i="1"/>
  <c r="CI178" i="1" s="1"/>
  <c r="CJ178" i="1" s="1"/>
  <c r="CH290" i="1"/>
  <c r="CI290" i="1" s="1"/>
  <c r="CJ290" i="1" s="1"/>
  <c r="CH26" i="1"/>
  <c r="CI26" i="1" s="1"/>
  <c r="CJ26" i="1" s="1"/>
  <c r="CH180" i="1"/>
  <c r="CI180" i="1" s="1"/>
  <c r="CJ180" i="1" s="1"/>
  <c r="CH271" i="1"/>
  <c r="CI271" i="1" s="1"/>
  <c r="CJ271" i="1" s="1"/>
  <c r="CH144" i="1"/>
  <c r="CI144" i="1" s="1"/>
  <c r="CJ144" i="1" s="1"/>
  <c r="CH247" i="1"/>
  <c r="CI247" i="1" s="1"/>
  <c r="CJ247" i="1" s="1"/>
  <c r="CH83" i="1"/>
  <c r="CI83" i="1" s="1"/>
  <c r="CJ83" i="1" s="1"/>
  <c r="CH88" i="1"/>
  <c r="CI88" i="1" s="1"/>
  <c r="CJ88" i="1" s="1"/>
  <c r="CH375" i="1"/>
  <c r="CI375" i="1" s="1"/>
  <c r="CJ375" i="1" s="1"/>
  <c r="CH305" i="1"/>
  <c r="CI305" i="1" s="1"/>
  <c r="CJ305" i="1" s="1"/>
  <c r="CH181" i="1"/>
  <c r="CI181" i="1" s="1"/>
  <c r="CJ181" i="1" s="1"/>
  <c r="CH148" i="1"/>
  <c r="CI148" i="1" s="1"/>
  <c r="CJ148" i="1" s="1"/>
  <c r="CH354" i="1"/>
  <c r="CI354" i="1" s="1"/>
  <c r="CJ354" i="1" s="1"/>
  <c r="CH92" i="1"/>
  <c r="CI92" i="1" s="1"/>
  <c r="CJ92" i="1" s="1"/>
  <c r="CH183" i="1"/>
  <c r="CI183" i="1" s="1"/>
  <c r="CJ183" i="1" s="1"/>
  <c r="CH155" i="1"/>
  <c r="CI155" i="1" s="1"/>
  <c r="CJ155" i="1" s="1"/>
  <c r="CH32" i="1"/>
  <c r="CI32" i="1" s="1"/>
  <c r="CJ32" i="1" s="1"/>
  <c r="CH19" i="1"/>
  <c r="CI19" i="1" s="1"/>
  <c r="CJ19" i="1" s="1"/>
  <c r="CH297" i="1"/>
  <c r="CI297" i="1" s="1"/>
  <c r="CJ297" i="1" s="1"/>
  <c r="CH25" i="1"/>
  <c r="CI25" i="1" s="1"/>
  <c r="CJ25" i="1" s="1"/>
  <c r="CH260" i="1"/>
  <c r="CI260" i="1" s="1"/>
  <c r="CJ260" i="1" s="1"/>
  <c r="CH182" i="1"/>
  <c r="CI182" i="1" s="1"/>
  <c r="CJ182" i="1" s="1"/>
  <c r="CH189" i="1"/>
  <c r="CI189" i="1" s="1"/>
  <c r="CJ189" i="1" s="1"/>
  <c r="CH133" i="1"/>
  <c r="CI133" i="1" s="1"/>
  <c r="CJ133" i="1" s="1"/>
  <c r="CH237" i="1"/>
  <c r="CI237" i="1" s="1"/>
  <c r="CJ237" i="1" s="1"/>
  <c r="CH284" i="1"/>
  <c r="CI284" i="1" s="1"/>
  <c r="CJ284" i="1" s="1"/>
  <c r="CH202" i="1"/>
  <c r="CI202" i="1" s="1"/>
  <c r="CJ202" i="1" s="1"/>
  <c r="CH320" i="1"/>
  <c r="CI320" i="1" s="1"/>
  <c r="CJ320" i="1" s="1"/>
  <c r="CH370" i="1"/>
  <c r="CI370" i="1" s="1"/>
  <c r="CJ370" i="1" s="1"/>
  <c r="CH240" i="1"/>
  <c r="CI240" i="1" s="1"/>
  <c r="CJ240" i="1" s="1"/>
  <c r="CH20" i="1"/>
  <c r="CI20" i="1" s="1"/>
  <c r="CJ20" i="1" s="1"/>
  <c r="CH90" i="1"/>
  <c r="CI90" i="1" s="1"/>
  <c r="CJ90" i="1" s="1"/>
  <c r="CH315" i="1"/>
  <c r="CI315" i="1" s="1"/>
  <c r="CJ315" i="1" s="1"/>
  <c r="CH329" i="1"/>
  <c r="CI329" i="1" s="1"/>
  <c r="CJ329" i="1" s="1"/>
  <c r="CH67" i="1"/>
  <c r="CI67" i="1" s="1"/>
  <c r="CJ67" i="1" s="1"/>
  <c r="CH161" i="1"/>
  <c r="CI161" i="1" s="1"/>
  <c r="CJ161" i="1" s="1"/>
  <c r="CH364" i="1"/>
  <c r="CI364" i="1" s="1"/>
  <c r="CJ364" i="1" s="1"/>
  <c r="CH344" i="1"/>
  <c r="CI344" i="1" s="1"/>
  <c r="CJ344" i="1" s="1"/>
  <c r="CH36" i="1"/>
  <c r="CI36" i="1" s="1"/>
  <c r="CJ36" i="1" s="1"/>
  <c r="CH138" i="1"/>
  <c r="CI138" i="1" s="1"/>
  <c r="CJ138" i="1" s="1"/>
  <c r="CH38" i="1"/>
  <c r="CI38" i="1" s="1"/>
  <c r="CJ38" i="1" s="1"/>
  <c r="CH313" i="1"/>
  <c r="CI313" i="1" s="1"/>
  <c r="CJ313" i="1" s="1"/>
  <c r="CH203" i="1"/>
  <c r="CI203" i="1" s="1"/>
  <c r="CJ203" i="1" s="1"/>
  <c r="CH292" i="1"/>
  <c r="CI292" i="1" s="1"/>
  <c r="CJ292" i="1" s="1"/>
  <c r="CH242" i="1"/>
  <c r="CI242" i="1" s="1"/>
  <c r="CJ242" i="1" s="1"/>
  <c r="CH78" i="1"/>
  <c r="CI78" i="1" s="1"/>
  <c r="CJ78" i="1" s="1"/>
  <c r="CH24" i="1"/>
  <c r="CI24" i="1" s="1"/>
  <c r="CJ24" i="1" s="1"/>
  <c r="CH147" i="1"/>
  <c r="CI147" i="1" s="1"/>
  <c r="CJ147" i="1" s="1"/>
  <c r="CH212" i="1"/>
  <c r="CI212" i="1" s="1"/>
  <c r="CJ212" i="1" s="1"/>
  <c r="CH331" i="1"/>
  <c r="CI331" i="1" s="1"/>
  <c r="CJ331" i="1" s="1"/>
  <c r="CH65" i="1"/>
  <c r="CI65" i="1" s="1"/>
  <c r="CJ65" i="1" s="1"/>
  <c r="CH95" i="1"/>
  <c r="CI95" i="1" s="1"/>
  <c r="CJ95" i="1" s="1"/>
  <c r="CH41" i="1"/>
  <c r="CI41" i="1" s="1"/>
  <c r="CJ41" i="1" s="1"/>
  <c r="CH254" i="1"/>
  <c r="CI254" i="1" s="1"/>
  <c r="CJ254" i="1" s="1"/>
  <c r="CH153" i="1"/>
  <c r="CI153" i="1" s="1"/>
  <c r="CJ153" i="1" s="1"/>
  <c r="CH327" i="1"/>
  <c r="CI327" i="1" s="1"/>
  <c r="CJ327" i="1" s="1"/>
  <c r="CH131" i="1"/>
  <c r="CI131" i="1" s="1"/>
  <c r="CJ131" i="1" s="1"/>
  <c r="CH18" i="1"/>
  <c r="CI18" i="1" s="1"/>
  <c r="CJ18" i="1" s="1"/>
  <c r="CH223" i="1"/>
  <c r="CI223" i="1" s="1"/>
  <c r="CJ223" i="1" s="1"/>
  <c r="CH118" i="1"/>
  <c r="CI118" i="1" s="1"/>
  <c r="CJ118" i="1" s="1"/>
  <c r="CH228" i="1"/>
  <c r="CI228" i="1" s="1"/>
  <c r="CJ228" i="1" s="1"/>
  <c r="CH215" i="1"/>
  <c r="CI215" i="1" s="1"/>
  <c r="CJ215" i="1" s="1"/>
  <c r="CH134" i="1"/>
  <c r="CI134" i="1" s="1"/>
  <c r="CJ134" i="1" s="1"/>
  <c r="CH190" i="1"/>
  <c r="CI190" i="1" s="1"/>
  <c r="CJ190" i="1" s="1"/>
  <c r="CI188" i="1"/>
  <c r="CJ188" i="1" s="1"/>
  <c r="CH244" i="1"/>
  <c r="CI244" i="1" s="1"/>
  <c r="CJ244" i="1" s="1"/>
  <c r="CH294" i="1"/>
  <c r="CI294" i="1" s="1"/>
  <c r="CJ294" i="1" s="1"/>
  <c r="CH311" i="1"/>
  <c r="CI311" i="1" s="1"/>
  <c r="CJ311" i="1" s="1"/>
  <c r="CH59" i="1"/>
  <c r="CI59" i="1" s="1"/>
  <c r="CJ59" i="1" s="1"/>
  <c r="CH123" i="1"/>
  <c r="CI123" i="1" s="1"/>
  <c r="CJ123" i="1" s="1"/>
  <c r="CH140" i="1"/>
  <c r="CI140" i="1" s="1"/>
  <c r="CJ140" i="1" s="1"/>
  <c r="CH53" i="1"/>
  <c r="CI53" i="1" s="1"/>
  <c r="CJ53" i="1" s="1"/>
  <c r="CH70" i="1"/>
  <c r="CI70" i="1" s="1"/>
  <c r="CJ70" i="1" s="1"/>
  <c r="CH171" i="1"/>
  <c r="CI171" i="1" s="1"/>
  <c r="CJ171" i="1" s="1"/>
  <c r="CH21" i="1"/>
  <c r="CI21" i="1" s="1"/>
  <c r="CJ21" i="1" s="1"/>
  <c r="CH68" i="1"/>
  <c r="CI68" i="1" s="1"/>
  <c r="CJ68" i="1" s="1"/>
  <c r="CH167" i="1"/>
  <c r="CI167" i="1" s="1"/>
  <c r="CJ167" i="1" s="1"/>
  <c r="CH350" i="1"/>
  <c r="CI350" i="1" s="1"/>
  <c r="CJ350" i="1" s="1"/>
  <c r="CH248" i="1"/>
  <c r="CI248" i="1" s="1"/>
  <c r="CJ248" i="1" s="1"/>
  <c r="CH224" i="1"/>
  <c r="CI224" i="1" s="1"/>
  <c r="CJ224" i="1" s="1"/>
  <c r="CH272" i="1"/>
  <c r="CI272" i="1" s="1"/>
  <c r="CJ272" i="1" s="1"/>
  <c r="CH289" i="1"/>
  <c r="CI289" i="1" s="1"/>
  <c r="CJ289" i="1" s="1"/>
  <c r="CH217" i="1"/>
  <c r="CI217" i="1" s="1"/>
  <c r="CJ217" i="1" s="1"/>
  <c r="CH75" i="1"/>
  <c r="CI75" i="1" s="1"/>
  <c r="CJ75" i="1" s="1"/>
  <c r="CH340" i="1"/>
  <c r="CI340" i="1" s="1"/>
  <c r="CJ340" i="1" s="1"/>
  <c r="CH48" i="1"/>
  <c r="CI48" i="1" s="1"/>
  <c r="CJ48" i="1" s="1"/>
  <c r="CH317" i="1"/>
  <c r="CI317" i="1" s="1"/>
  <c r="CJ317" i="1" s="1"/>
  <c r="CH214" i="1"/>
  <c r="CI214" i="1" s="1"/>
  <c r="CJ214" i="1" s="1"/>
  <c r="CH231" i="1"/>
  <c r="CI231" i="1" s="1"/>
  <c r="CJ231" i="1" s="1"/>
  <c r="CH361" i="1"/>
  <c r="CI361" i="1" s="1"/>
  <c r="CJ361" i="1" s="1"/>
  <c r="CH269" i="1"/>
  <c r="CI269" i="1" s="1"/>
  <c r="CJ269" i="1" s="1"/>
  <c r="CH152" i="1"/>
  <c r="CI152" i="1" s="1"/>
  <c r="CJ152" i="1" s="1"/>
  <c r="CH246" i="1"/>
  <c r="CI246" i="1" s="1"/>
  <c r="CJ246" i="1" s="1"/>
  <c r="CH81" i="1"/>
  <c r="CI81" i="1" s="1"/>
  <c r="CJ81" i="1" s="1"/>
  <c r="CH15" i="1"/>
  <c r="CI15" i="1" s="1"/>
  <c r="CJ15" i="1" s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DP40" i="1" l="1" a="1"/>
  <c r="DP31" i="1" a="1"/>
  <c r="DQ31" i="1" s="1"/>
  <c r="DU30" i="1" a="1"/>
  <c r="DU30" i="1" s="1"/>
  <c r="DP30" i="1" a="1"/>
  <c r="DP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AC17" i="1" l="1"/>
  <c r="AD17" i="1"/>
  <c r="AE17" i="1"/>
  <c r="DQ41" i="1"/>
  <c r="DR41" i="1"/>
  <c r="DR43" i="1"/>
  <c r="DS41" i="1"/>
  <c r="DS43" i="1"/>
  <c r="DP40" i="1"/>
  <c r="DP42" i="1"/>
  <c r="DQ40" i="1"/>
  <c r="DQ42" i="1"/>
  <c r="DR40" i="1"/>
  <c r="DR42" i="1"/>
  <c r="DS40" i="1"/>
  <c r="DS42" i="1"/>
  <c r="DP41" i="1"/>
  <c r="DP43" i="1"/>
  <c r="DQ43" i="1"/>
  <c r="DP31" i="1"/>
  <c r="DR31" i="1"/>
  <c r="DX30" i="1"/>
  <c r="DW30" i="1"/>
  <c r="DV30" i="1"/>
  <c r="DQ30" i="1"/>
  <c r="DS30" i="1"/>
  <c r="DR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P44" i="1" l="1" a="1"/>
  <c r="DY30" i="1"/>
  <c r="DS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DP44" i="1" l="1"/>
  <c r="DS44" i="1"/>
  <c r="DQ44" i="1"/>
  <c r="DR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Z18" i="1" s="1"/>
  <c r="AC18" i="1" s="1"/>
  <c r="AW158" i="1"/>
  <c r="O158" i="1" s="1"/>
  <c r="AW164" i="1"/>
  <c r="O164" i="1" s="1"/>
  <c r="BZ170" i="1"/>
  <c r="CB170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DU5" i="1"/>
  <c r="AB7" i="1"/>
  <c r="CA170" i="1"/>
  <c r="CC170" i="1" s="1"/>
  <c r="O165" i="1"/>
  <c r="B180" i="1" s="1"/>
  <c r="B202" i="1" s="1"/>
  <c r="N165" i="1"/>
  <c r="B179" i="1" s="1"/>
  <c r="B201" i="1" s="1"/>
  <c r="B83" i="1"/>
  <c r="DU11" i="1" l="1"/>
  <c r="DU6" i="1"/>
  <c r="B205" i="1"/>
  <c r="U6" i="1" s="1"/>
  <c r="AB18" i="1" s="1"/>
  <c r="AE18" i="1" s="1"/>
  <c r="B204" i="1"/>
  <c r="U5" i="1" s="1"/>
  <c r="AA18" i="1" s="1"/>
  <c r="AD18" i="1" s="1"/>
  <c r="DU12" i="1" l="1"/>
  <c r="DU22" i="1" s="1" a="1"/>
  <c r="DU22" i="1" s="1"/>
  <c r="DZ6" i="1"/>
  <c r="CC9" i="1"/>
  <c r="CJ9" i="1" s="1"/>
  <c r="DW5" i="1"/>
  <c r="CB9" i="1"/>
  <c r="CI9" i="1" s="1"/>
  <c r="DV5" i="1"/>
  <c r="U8" i="1"/>
  <c r="AA7" i="1" s="1"/>
  <c r="U7" i="1"/>
  <c r="W7" i="1" s="1"/>
  <c r="AA9" i="1"/>
  <c r="AB9" i="1"/>
  <c r="W6" i="1"/>
  <c r="U18" i="1"/>
  <c r="U19" i="1" s="1"/>
  <c r="U21" i="1" s="1"/>
  <c r="DZ12" i="1" l="1"/>
  <c r="EB12" i="1" s="1"/>
  <c r="DW11" i="1"/>
  <c r="EC6" i="1"/>
  <c r="EB6" i="1"/>
  <c r="EA6" i="1"/>
  <c r="DZ5" i="1"/>
  <c r="EA5" i="1" s="1"/>
  <c r="DW22" i="1"/>
  <c r="DV22" i="1"/>
  <c r="DX22" i="1"/>
  <c r="CI10" i="1"/>
  <c r="CI11" i="1" s="1"/>
  <c r="DV11" i="1"/>
  <c r="DY5" i="1"/>
  <c r="CB10" i="1"/>
  <c r="CB11" i="1" s="1"/>
  <c r="X8" i="1"/>
  <c r="X7" i="1"/>
  <c r="V19" i="1"/>
  <c r="V21" i="1" s="1"/>
  <c r="W19" i="1"/>
  <c r="W21" i="1" s="1"/>
  <c r="AC9" i="1"/>
  <c r="EA12" i="1" l="1"/>
  <c r="EC12" i="1"/>
  <c r="EC5" i="1"/>
  <c r="EB5" i="1"/>
  <c r="DZ11" i="1"/>
  <c r="CJ11" i="1"/>
  <c r="CL11" i="1" s="1"/>
  <c r="CM11" i="1" s="1"/>
  <c r="DY11" i="1"/>
  <c r="DU21" i="1" a="1"/>
  <c r="DU32" i="1" a="1"/>
  <c r="CC11" i="1"/>
  <c r="CE11" i="1" s="1"/>
  <c r="CG11" i="1" s="1"/>
  <c r="U23" i="1"/>
  <c r="V23" i="1" s="1"/>
  <c r="EA11" i="1" l="1"/>
  <c r="EC11" i="1"/>
  <c r="EB11" i="1"/>
  <c r="DU21" i="1"/>
  <c r="DX21" i="1"/>
  <c r="DV21" i="1"/>
  <c r="DW21" i="1"/>
  <c r="DU32" i="1"/>
  <c r="DU36" i="1" s="1"/>
  <c r="DW32" i="1"/>
  <c r="DW36" i="1" s="1"/>
  <c r="DV32" i="1"/>
  <c r="DV36" i="1" s="1"/>
  <c r="DX32" i="1"/>
  <c r="DX36" i="1" l="1"/>
  <c r="DY36" i="1" s="1"/>
  <c r="DU31" i="1" a="1"/>
  <c r="DU31" i="1" s="1"/>
  <c r="DU37" i="1" s="1"/>
  <c r="EA36" i="1" l="1"/>
  <c r="DZ36" i="1"/>
  <c r="DW31" i="1"/>
  <c r="DW37" i="1" s="1"/>
  <c r="DX31" i="1"/>
  <c r="DV31" i="1"/>
  <c r="DV37" i="1" s="1"/>
  <c r="DY31" i="1" l="1"/>
  <c r="DY32" i="1" s="1"/>
  <c r="DX37" i="1"/>
  <c r="DY37" i="1" s="1"/>
  <c r="DY38" i="1" s="1"/>
  <c r="DZ37" i="1" l="1"/>
  <c r="DZ38" i="1" s="1"/>
  <c r="EA37" i="1"/>
  <c r="EA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<sst xmlns="http://schemas.openxmlformats.org/spreadsheetml/2006/main" count="395" uniqueCount="227">
  <si>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</si>
  <si>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</si>
  <si>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</si>
  <si>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</si>
  <si>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</si>
  <si>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</si>
  <si>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</si>
  <si>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</si>
  <si>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</si>
  <si>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</si>
  <si>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</si>
  <si>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</si>
  <si>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</si>
  <si>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</si>
  <si>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</si>
  <si>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</si>
  <si>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</si>
  <si>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</si>
  <si>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</si>
  <si>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</si>
  <si>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</si>
  <si>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</si>
  <si>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</si>
  <si>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</si>
  <si>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</si>
  <si>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</si>
  <si>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</si>
  <si>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</si>
  <si>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</si>
  <si>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</si>
  <si>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</si>
  <si>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</si>
  <si>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</si>
  <si>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</si>
  <si>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</si>
  <si>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</si>
  <si>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</si>
  <si>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</si>
  <si>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</si>
  <si>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</si>
  <si>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</si>
  <si>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</si>
  <si>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</si>
  <si>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</si>
  <si>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</si>
  <si>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</si>
  <si>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</si>
  <si>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</si>
  <si>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</si>
  <si>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</si>
  <si>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</si>
  <si>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</si>
  <si>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</si>
  <si>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</si>
  <si>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</si>
  <si>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</si>
  <si>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</si>
  <si>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</si>
  <si>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</si>
  <si>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</si>
  <si>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</si>
  <si>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</si>
  <si>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</si>
  <si>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</si>
  <si>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</si>
  <si>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</si>
  <si>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</si>
  <si>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</si>
  <si>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</si>
  <si>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</si>
  <si>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</si>
  <si>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</si>
  <si>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</si>
  <si>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</si>
  <si>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</si>
  <si>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</si>
  <si>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</si>
  <si>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</si>
  <si>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</si>
  <si>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</si>
  <si>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</si>
  <si>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</si>
  <si>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</si>
  <si>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</si>
  <si>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</si>
  <si>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</si>
  <si>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</si>
  <si>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</si>
  <si>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</si>
  <si>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</si>
  <si>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</si>
  <si>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</si>
  <si>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</si>
  <si>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</si>
  <si>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</si>
  <si>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</si>
  <si>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</si>
  <si>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</si>
  <si>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</si>
  <si>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</si>
  <si>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</si>
  <si>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</si>
  <si>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</si>
  <si>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</si>
  <si>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</si>
  <si>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</si>
  <si>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</si>
  <si>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</si>
  <si>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</si>
  <si>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</si>
  <si>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</si>
  <si>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</si>
  <si>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</si>
  <si>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</si>
  <si>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</si>
  <si>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</si>
  <si>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</si>
  <si>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</si>
  <si>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</si>
  <si>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</si>
  <si>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</si>
  <si>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</si>
  <si>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</si>
  <si>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</si>
  <si>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</si>
  <si>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</si>
  <si>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</si>
  <si>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</si>
  <si>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</si>
  <si>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</si>
  <si>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</si>
  <si>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</si>
  <si>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</si>
  <si>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</si>
  <si>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</si>
  <si>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</si>
  <si>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</si>
  <si>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</si>
  <si>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</si>
  <si>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</si>
  <si>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</si>
  <si>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</si>
  <si>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</si>
  <si>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</si>
  <si>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</si>
  <si>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</si>
  <si>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</si>
  <si>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</si>
  <si>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</si>
  <si>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</si>
  <si>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</si>
  <si>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</si>
  <si>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</si>
  <si>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</si>
  <si>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</si>
  <si>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</si>
  <si>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</si>
  <si>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</si>
  <si>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</si>
  <si>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</si>
  <si>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</si>
  <si>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</si>
  <si>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</si>
  <si>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</si>
  <si>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</si>
  <si>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</si>
  <si>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</si>
  <si>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</si>
  <si>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</si>
  <si>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</si>
  <si>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</si>
  <si>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</si>
  <si>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</si>
  <si>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</si>
  <si>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</si>
  <si>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</si>
  <si>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</si>
  <si>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</si>
  <si>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</si>
  <si>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</si>
  <si>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</si>
  <si>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</si>
  <si>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</si>
  <si>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</si>
  <si>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</si>
  <si>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</si>
  <si>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</si>
  <si>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</si>
  <si>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</si>
  <si>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</si>
  <si>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</si>
  <si>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</si>
  <si>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</si>
  <si>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</si>
  <si>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</si>
  <si>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</si>
  <si>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</si>
  <si>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</si>
  <si>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</si>
  <si>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</si>
  <si>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GU</t>
  </si>
  <si>
    <t>|GU|</t>
  </si>
  <si>
    <t>t</t>
  </si>
  <si>
    <t>Mx,calc</t>
  </si>
  <si>
    <t>My,calc</t>
  </si>
  <si>
    <t>Mx,user</t>
  </si>
  <si>
    <t>My,user</t>
  </si>
  <si>
    <t>2D Vector Between User Load/Calculated and New Center Point - moving from load to point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</si>
  <si>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</si>
  <si>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</si>
  <si>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</si>
  <si>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</si>
  <si>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</si>
  <si>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</si>
  <si>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</si>
  <si>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</si>
  <si>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</si>
  <si>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</si>
  <si>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</si>
  <si>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</si>
  <si>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</si>
  <si>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</si>
  <si>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PCA_Parabolic</t>
  </si>
  <si>
    <t>Pn</t>
  </si>
  <si>
    <t>Mxn</t>
  </si>
  <si>
    <t>Myn</t>
  </si>
  <si>
    <t>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</si>
</sst>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2.6133703423708647</c:v>
                </c:pt>
                <c:pt idx="1">
                  <c:v>0.45805873386891083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-1.758170867506589</c:v>
                </c:pt>
                <c:pt idx="1">
                  <c:v>25.040069518993892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-1.797678039587705</c:v>
                </c:pt>
                <c:pt idx="1">
                  <c:v>25.000562346912776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0.65955929232954169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8.1869366169937834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-11.480365006438387</c:v>
                </c:pt>
                <c:pt idx="1">
                  <c:v>-12.442386841093445</c:v>
                </c:pt>
                <c:pt idx="2">
                  <c:v>3.5061143905944427</c:v>
                </c:pt>
                <c:pt idx="3">
                  <c:v>3.5061143905944427</c:v>
                </c:pt>
                <c:pt idx="4">
                  <c:v>11.480365006438387</c:v>
                </c:pt>
                <c:pt idx="5">
                  <c:v>12.442386841093445</c:v>
                </c:pt>
                <c:pt idx="6">
                  <c:v>4.4681362252495012</c:v>
                </c:pt>
                <c:pt idx="7">
                  <c:v>4.4681362252495012</c:v>
                </c:pt>
                <c:pt idx="8">
                  <c:v>-11.480365006438387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6.9427097965380158</c:v>
                </c:pt>
                <c:pt idx="1">
                  <c:v>-5.0186661272278998</c:v>
                </c:pt>
                <c:pt idx="2">
                  <c:v>-6.3013619067679771</c:v>
                </c:pt>
                <c:pt idx="3">
                  <c:v>-6.3013619067679771</c:v>
                </c:pt>
                <c:pt idx="4">
                  <c:v>-6.9427097965380158</c:v>
                </c:pt>
                <c:pt idx="5">
                  <c:v>5.0186661272278998</c:v>
                </c:pt>
                <c:pt idx="6">
                  <c:v>5.6600140169979385</c:v>
                </c:pt>
                <c:pt idx="7">
                  <c:v>5.6600140169979385</c:v>
                </c:pt>
                <c:pt idx="8">
                  <c:v>6.9427097965380158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-9.6471393249199107</c:v>
                </c:pt>
                <c:pt idx="1">
                  <c:v>-7.6535766709589241</c:v>
                </c:pt>
                <c:pt idx="2">
                  <c:v>-9.8074762973624203</c:v>
                </c:pt>
                <c:pt idx="3">
                  <c:v>-7.8139136434014338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4.7888101701345205</c:v>
                </c:pt>
                <c:pt idx="1">
                  <c:v>4.6284731976920108</c:v>
                </c:pt>
                <c:pt idx="2">
                  <c:v>2.7952475161735344</c:v>
                </c:pt>
                <c:pt idx="3">
                  <c:v>2.6349105437310247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-13.442386841093445</c:v>
                </c:pt>
                <c:pt idx="1">
                  <c:v>13.442386841093445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4.4787009357444338</c:v>
                </c:pt>
                <c:pt idx="1">
                  <c:v>4.4787009357444338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-13.442386841093445</c:v>
                </c:pt>
                <c:pt idx="1">
                  <c:v>13.442386841093445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4.9715027079031504</c:v>
                </c:pt>
                <c:pt idx="1">
                  <c:v>4.9715027079031504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-11.480365006438387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12.43859361199701</c:v>
                </c:pt>
                <c:pt idx="5">
                  <c:v>12.442386841093445</c:v>
                </c:pt>
                <c:pt idx="6">
                  <c:v>4.4681362252495012</c:v>
                </c:pt>
                <c:pt idx="7">
                  <c:v>4.4681362252495012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6.9427097965380158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4.9715027079031504</c:v>
                </c:pt>
                <c:pt idx="5">
                  <c:v>5.0186661272278998</c:v>
                </c:pt>
                <c:pt idx="6">
                  <c:v>5.6600140169979385</c:v>
                </c:pt>
                <c:pt idx="7">
                  <c:v>5.6600140169979385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-11.638903979879206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12.442386841093445</c:v>
                </c:pt>
                <c:pt idx="5">
                  <c:v>4.4681362252495012</c:v>
                </c:pt>
                <c:pt idx="6">
                  <c:v>4.4681362252495012</c:v>
                </c:pt>
                <c:pt idx="7">
                  <c:v>-11.480365006438387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4.9715027079031504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5.0186661272278998</c:v>
                </c:pt>
                <c:pt idx="5">
                  <c:v>5.6600140169979385</c:v>
                </c:pt>
                <c:pt idx="6">
                  <c:v>5.6600140169979385</c:v>
                </c:pt>
                <c:pt idx="7">
                  <c:v>6.9427097965380158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70.710678118654755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29.754362592971209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9.9999999996268478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70.710678118654755</c:v>
                </c:pt>
                <c:pt idx="1">
                  <c:v>29.754362592971209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10</c:v>
                </c:pt>
                <c:pt idx="1">
                  <c:v>9.9999999996268478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277.65011198714569</c:v>
                </c:pt>
                <c:pt idx="1">
                  <c:v>277.57038759620008</c:v>
                </c:pt>
                <c:pt idx="2">
                  <c:v>277.47470519226954</c:v>
                </c:pt>
                <c:pt idx="3">
                  <c:v>277.36296267728272</c:v>
                </c:pt>
                <c:pt idx="4">
                  <c:v>277.23501857246367</c:v>
                </c:pt>
                <c:pt idx="5">
                  <c:v>277.09069141158091</c:v>
                </c:pt>
                <c:pt idx="6">
                  <c:v>276.92975890513054</c:v>
                </c:pt>
                <c:pt idx="7">
                  <c:v>276.75195690141783</c:v>
                </c:pt>
                <c:pt idx="8">
                  <c:v>276.55697811618393</c:v>
                </c:pt>
                <c:pt idx="9">
                  <c:v>276.34447062261194</c:v>
                </c:pt>
                <c:pt idx="10">
                  <c:v>276.11404667603995</c:v>
                </c:pt>
                <c:pt idx="11">
                  <c:v>275.86547723921962</c:v>
                </c:pt>
                <c:pt idx="12">
                  <c:v>275.59887119879613</c:v>
                </c:pt>
                <c:pt idx="13">
                  <c:v>275.31452449045719</c:v>
                </c:pt>
                <c:pt idx="14">
                  <c:v>275.01279946026273</c:v>
                </c:pt>
                <c:pt idx="15">
                  <c:v>274.69406015287598</c:v>
                </c:pt>
                <c:pt idx="16">
                  <c:v>274.35863779841463</c:v>
                </c:pt>
                <c:pt idx="17">
                  <c:v>274.00681302344918</c:v>
                </c:pt>
                <c:pt idx="18">
                  <c:v>273.63880743944509</c:v>
                </c:pt>
                <c:pt idx="19">
                  <c:v>273.25478055787573</c:v>
                </c:pt>
                <c:pt idx="20">
                  <c:v>272.85482964845966</c:v>
                </c:pt>
                <c:pt idx="21">
                  <c:v>272.43899121758636</c:v>
                </c:pt>
                <c:pt idx="22">
                  <c:v>272.00724331351489</c:v>
                </c:pt>
                <c:pt idx="23">
                  <c:v>271.55950819619477</c:v>
                </c:pt>
                <c:pt idx="24">
                  <c:v>271.09565514270912</c:v>
                </c:pt>
                <c:pt idx="25">
                  <c:v>270.61550325679644</c:v>
                </c:pt>
                <c:pt idx="26">
                  <c:v>270.11882422499076</c:v>
                </c:pt>
                <c:pt idx="27">
                  <c:v>268.91267210317841</c:v>
                </c:pt>
                <c:pt idx="28">
                  <c:v>265.5971415303469</c:v>
                </c:pt>
                <c:pt idx="29">
                  <c:v>262.3470762067501</c:v>
                </c:pt>
                <c:pt idx="30">
                  <c:v>259.1586663503407</c:v>
                </c:pt>
                <c:pt idx="31">
                  <c:v>256.02831714612495</c:v>
                </c:pt>
                <c:pt idx="32">
                  <c:v>252.9526425119698</c:v>
                </c:pt>
                <c:pt idx="33">
                  <c:v>249.92846027807801</c:v>
                </c:pt>
                <c:pt idx="34">
                  <c:v>246.95278909262444</c:v>
                </c:pt>
                <c:pt idx="35">
                  <c:v>244.02284740959951</c:v>
                </c:pt>
                <c:pt idx="36">
                  <c:v>241.1360549819268</c:v>
                </c:pt>
                <c:pt idx="37">
                  <c:v>238.29003737779959</c:v>
                </c:pt>
                <c:pt idx="38">
                  <c:v>235.48263416907909</c:v>
                </c:pt>
                <c:pt idx="39">
                  <c:v>232.71191162017482</c:v>
                </c:pt>
                <c:pt idx="40">
                  <c:v>229.9761809472374</c:v>
                </c:pt>
                <c:pt idx="41">
                  <c:v>227.27402354759838</c:v>
                </c:pt>
                <c:pt idx="42">
                  <c:v>224.60432504603551</c:v>
                </c:pt>
                <c:pt idx="43">
                  <c:v>221.96632062498597</c:v>
                </c:pt>
                <c:pt idx="44">
                  <c:v>219.35965496120622</c:v>
                </c:pt>
                <c:pt idx="45">
                  <c:v>216.78446130312727</c:v>
                </c:pt>
                <c:pt idx="46">
                  <c:v>214.24146594535583</c:v>
                </c:pt>
                <c:pt idx="47">
                  <c:v>211.73212686336805</c:v>
                </c:pt>
                <c:pt idx="48">
                  <c:v>209.25793684114475</c:v>
                </c:pt>
                <c:pt idx="49">
                  <c:v>206.25110789920936</c:v>
                </c:pt>
                <c:pt idx="50">
                  <c:v>203.17837561163131</c:v>
                </c:pt>
                <c:pt idx="51">
                  <c:v>200.15712693563364</c:v>
                </c:pt>
                <c:pt idx="52">
                  <c:v>197.18320176117655</c:v>
                </c:pt>
                <c:pt idx="53">
                  <c:v>194.25263622167202</c:v>
                </c:pt>
                <c:pt idx="54">
                  <c:v>191.36163706388638</c:v>
                </c:pt>
                <c:pt idx="55">
                  <c:v>188.50655746186439</c:v>
                </c:pt>
                <c:pt idx="56">
                  <c:v>185.54770840975479</c:v>
                </c:pt>
                <c:pt idx="57">
                  <c:v>182.22147566634828</c:v>
                </c:pt>
                <c:pt idx="58">
                  <c:v>178.93400294366535</c:v>
                </c:pt>
                <c:pt idx="59">
                  <c:v>175.6817283824347</c:v>
                </c:pt>
                <c:pt idx="60">
                  <c:v>172.46120352858588</c:v>
                </c:pt>
                <c:pt idx="61">
                  <c:v>169.26907431048778</c:v>
                </c:pt>
                <c:pt idx="62">
                  <c:v>166.10206206322704</c:v>
                </c:pt>
                <c:pt idx="63">
                  <c:v>162.95694417732639</c:v>
                </c:pt>
                <c:pt idx="64">
                  <c:v>159.80756624782228</c:v>
                </c:pt>
                <c:pt idx="65">
                  <c:v>156.60463447580469</c:v>
                </c:pt>
                <c:pt idx="66">
                  <c:v>153.42317129358614</c:v>
                </c:pt>
                <c:pt idx="67">
                  <c:v>150.26036147677982</c:v>
                </c:pt>
                <c:pt idx="68">
                  <c:v>147.1133951254775</c:v>
                </c:pt>
                <c:pt idx="69">
                  <c:v>143.97943541744428</c:v>
                </c:pt>
                <c:pt idx="70">
                  <c:v>140.85557634286354</c:v>
                </c:pt>
                <c:pt idx="71">
                  <c:v>137.73878510822937</c:v>
                </c:pt>
                <c:pt idx="72">
                  <c:v>134.62582092861925</c:v>
                </c:pt>
                <c:pt idx="73">
                  <c:v>131.51311699273819</c:v>
                </c:pt>
                <c:pt idx="74">
                  <c:v>128.39660413211945</c:v>
                </c:pt>
                <c:pt idx="75">
                  <c:v>125.27144042710707</c:v>
                </c:pt>
                <c:pt idx="76">
                  <c:v>122.13158566746442</c:v>
                </c:pt>
                <c:pt idx="77">
                  <c:v>118.969113310944</c:v>
                </c:pt>
                <c:pt idx="78">
                  <c:v>115.77306501068053</c:v>
                </c:pt>
                <c:pt idx="79">
                  <c:v>112.52752159601688</c:v>
                </c:pt>
                <c:pt idx="80">
                  <c:v>109.2188717852531</c:v>
                </c:pt>
                <c:pt idx="81">
                  <c:v>105.73285241018895</c:v>
                </c:pt>
                <c:pt idx="82">
                  <c:v>102.16211995533689</c:v>
                </c:pt>
                <c:pt idx="83">
                  <c:v>98.537496807824269</c:v>
                </c:pt>
                <c:pt idx="84">
                  <c:v>94.873663018924432</c:v>
                </c:pt>
                <c:pt idx="85">
                  <c:v>91.190871709275797</c:v>
                </c:pt>
                <c:pt idx="86">
                  <c:v>87.518628043361957</c:v>
                </c:pt>
                <c:pt idx="87">
                  <c:v>83.902208536931084</c:v>
                </c:pt>
                <c:pt idx="88">
                  <c:v>80.416294759657276</c:v>
                </c:pt>
                <c:pt idx="89">
                  <c:v>77.191756851495924</c:v>
                </c:pt>
                <c:pt idx="90">
                  <c:v>74.41737841316457</c:v>
                </c:pt>
                <c:pt idx="91">
                  <c:v>59.31437128128465</c:v>
                </c:pt>
                <c:pt idx="92">
                  <c:v>46.080967296938987</c:v>
                </c:pt>
                <c:pt idx="93">
                  <c:v>34.840152032236773</c:v>
                </c:pt>
                <c:pt idx="94">
                  <c:v>25.725497239852682</c:v>
                </c:pt>
                <c:pt idx="95">
                  <c:v>17.725581718003106</c:v>
                </c:pt>
                <c:pt idx="96">
                  <c:v>10.725302198083931</c:v>
                </c:pt>
                <c:pt idx="97">
                  <c:v>5.7553980506532412</c:v>
                </c:pt>
                <c:pt idx="98">
                  <c:v>2.2929179679954212</c:v>
                </c:pt>
                <c:pt idx="99">
                  <c:v>-0.23521914611165276</c:v>
                </c:pt>
                <c:pt idx="100">
                  <c:v>-2.146073014612317</c:v>
                </c:pt>
                <c:pt idx="101">
                  <c:v>-3.6316843968572163</c:v>
                </c:pt>
                <c:pt idx="102">
                  <c:v>-4.8142484008470676</c:v>
                </c:pt>
                <c:pt idx="103">
                  <c:v>-5.774702825855818</c:v>
                </c:pt>
                <c:pt idx="104">
                  <c:v>-6.5684782486277102</c:v>
                </c:pt>
                <c:pt idx="105">
                  <c:v>-7.2346239103809875</c:v>
                </c:pt>
                <c:pt idx="106">
                  <c:v>-7.8013235813468702</c:v>
                </c:pt>
                <c:pt idx="107">
                  <c:v>-8.2893515037344248</c:v>
                </c:pt>
                <c:pt idx="108">
                  <c:v>-8.7143058456550104</c:v>
                </c:pt>
                <c:pt idx="109">
                  <c:v>-9.0880916212036933</c:v>
                </c:pt>
                <c:pt idx="110">
                  <c:v>-9.4199289810390496</c:v>
                </c:pt>
                <c:pt idx="111">
                  <c:v>-9.7170533759574944</c:v>
                </c:pt>
                <c:pt idx="112">
                  <c:v>-9.9852110146046087</c:v>
                </c:pt>
                <c:pt idx="113">
                  <c:v>-10.229015457219424</c:v>
                </c:pt>
                <c:pt idx="114">
                  <c:v>-10.4522082242271</c:v>
                </c:pt>
                <c:pt idx="115">
                  <c:v>-10.657851947612077</c:v>
                </c:pt>
                <c:pt idx="116">
                  <c:v>-10.848475345670709</c:v>
                </c:pt>
                <c:pt idx="117">
                  <c:v>-11.026183344195063</c:v>
                </c:pt>
                <c:pt idx="118">
                  <c:v>-11.192741607930309</c:v>
                </c:pt>
                <c:pt idx="119">
                  <c:v>-11.349642109959456</c:v>
                </c:pt>
                <c:pt idx="120">
                  <c:v>-11.498154450906407</c:v>
                </c:pt>
                <c:pt idx="121">
                  <c:v>-11.639366394737257</c:v>
                </c:pt>
                <c:pt idx="122">
                  <c:v>-11.776797397455224</c:v>
                </c:pt>
                <c:pt idx="123">
                  <c:v>-11.908935881307334</c:v>
                </c:pt>
                <c:pt idx="124">
                  <c:v>-12.036349713535676</c:v>
                </c:pt>
                <c:pt idx="125">
                  <c:v>-12.159661084526258</c:v>
                </c:pt>
                <c:pt idx="126">
                  <c:v>-12.279421574340583</c:v>
                </c:pt>
                <c:pt idx="127">
                  <c:v>-12.396123621469558</c:v>
                </c:pt>
                <c:pt idx="128">
                  <c:v>-12.510210095018609</c:v>
                </c:pt>
                <c:pt idx="129">
                  <c:v>-12.622082303280145</c:v>
                </c:pt>
                <c:pt idx="130">
                  <c:v>-12.732106784205188</c:v>
                </c:pt>
                <c:pt idx="131">
                  <c:v>-12.840621100538037</c:v>
                </c:pt>
                <c:pt idx="132">
                  <c:v>-12.9479388209626</c:v>
                </c:pt>
                <c:pt idx="133">
                  <c:v>-13.054353872205319</c:v>
                </c:pt>
                <c:pt idx="134">
                  <c:v>-13.160144368795706</c:v>
                </c:pt>
                <c:pt idx="135">
                  <c:v>-13.265576028065926</c:v>
                </c:pt>
                <c:pt idx="136">
                  <c:v>-13.370905281032526</c:v>
                </c:pt>
                <c:pt idx="137">
                  <c:v>-13.476382128404479</c:v>
                </c:pt>
                <c:pt idx="138">
                  <c:v>-13.582252833102144</c:v>
                </c:pt>
                <c:pt idx="139">
                  <c:v>-13.688762499453883</c:v>
                </c:pt>
                <c:pt idx="140">
                  <c:v>-13.796157599871986</c:v>
                </c:pt>
                <c:pt idx="141">
                  <c:v>-13.904688503409609</c:v>
                </c:pt>
                <c:pt idx="142">
                  <c:v>-14.014612059654686</c:v>
                </c:pt>
                <c:pt idx="143">
                  <c:v>-14.126194304481359</c:v>
                </c:pt>
                <c:pt idx="144">
                  <c:v>-14.239713336936591</c:v>
                </c:pt>
                <c:pt idx="145">
                  <c:v>-14.355462445724616</c:v>
                </c:pt>
                <c:pt idx="146">
                  <c:v>-14.473753551665935</c:v>
                </c:pt>
                <c:pt idx="147">
                  <c:v>-14.594921083257955</c:v>
                </c:pt>
                <c:pt idx="148">
                  <c:v>-14.719326351918408</c:v>
                </c:pt>
                <c:pt idx="149">
                  <c:v>-14.847218255713566</c:v>
                </c:pt>
                <c:pt idx="150">
                  <c:v>-14.976587692721521</c:v>
                </c:pt>
                <c:pt idx="151">
                  <c:v>-15.110571550992198</c:v>
                </c:pt>
                <c:pt idx="152">
                  <c:v>-15.249699243236364</c:v>
                </c:pt>
                <c:pt idx="153">
                  <c:v>-15.394563422546954</c:v>
                </c:pt>
                <c:pt idx="154">
                  <c:v>-15.545831795955085</c:v>
                </c:pt>
                <c:pt idx="155">
                  <c:v>-15.704261493709097</c:v>
                </c:pt>
                <c:pt idx="156">
                  <c:v>-15.870716692088523</c:v>
                </c:pt>
                <c:pt idx="157">
                  <c:v>-16.046190437001179</c:v>
                </c:pt>
                <c:pt idx="158">
                  <c:v>-16.231831892320074</c:v>
                </c:pt>
                <c:pt idx="159">
                  <c:v>-16.42898073155564</c:v>
                </c:pt>
                <c:pt idx="160">
                  <c:v>-16.639210963190695</c:v>
                </c:pt>
                <c:pt idx="161">
                  <c:v>-16.864387440802325</c:v>
                </c:pt>
                <c:pt idx="162">
                  <c:v>-17.106739603084584</c:v>
                </c:pt>
                <c:pt idx="163">
                  <c:v>-17.368959001855451</c:v>
                </c:pt>
                <c:pt idx="164">
                  <c:v>-17.654330197125326</c:v>
                </c:pt>
                <c:pt idx="165">
                  <c:v>-17.966030427916294</c:v>
                </c:pt>
                <c:pt idx="166">
                  <c:v>-18.30277026342905</c:v>
                </c:pt>
                <c:pt idx="167">
                  <c:v>-18.661669943627611</c:v>
                </c:pt>
                <c:pt idx="168">
                  <c:v>-19.039985908499176</c:v>
                </c:pt>
                <c:pt idx="169">
                  <c:v>-19.434999992000535</c:v>
                </c:pt>
                <c:pt idx="170">
                  <c:v>-19.843910300159155</c:v>
                </c:pt>
                <c:pt idx="171">
                  <c:v>-20.263723976336799</c:v>
                </c:pt>
                <c:pt idx="172">
                  <c:v>-20.691152857377162</c:v>
                </c:pt>
                <c:pt idx="173">
                  <c:v>-21.122520611076805</c:v>
                </c:pt>
                <c:pt idx="174">
                  <c:v>-21.55370841086204</c:v>
                </c:pt>
                <c:pt idx="175">
                  <c:v>-21.980216841112441</c:v>
                </c:pt>
                <c:pt idx="176">
                  <c:v>-22.397584858168173</c:v>
                </c:pt>
                <c:pt idx="177">
                  <c:v>-22.802891698772051</c:v>
                </c:pt>
                <c:pt idx="178">
                  <c:v>-23.19584960425</c:v>
                </c:pt>
                <c:pt idx="179">
                  <c:v>-23.663215738924585</c:v>
                </c:pt>
                <c:pt idx="180">
                  <c:v>-24.082659939669306</c:v>
                </c:pt>
                <c:pt idx="181">
                  <c:v>-23.672862905784825</c:v>
                </c:pt>
                <c:pt idx="182">
                  <c:v>-23.250981603677484</c:v>
                </c:pt>
                <c:pt idx="183">
                  <c:v>-22.925683024830327</c:v>
                </c:pt>
                <c:pt idx="184">
                  <c:v>-22.610318820419042</c:v>
                </c:pt>
                <c:pt idx="185">
                  <c:v>-22.302078150797993</c:v>
                </c:pt>
                <c:pt idx="186">
                  <c:v>-21.999458902238931</c:v>
                </c:pt>
                <c:pt idx="187">
                  <c:v>-21.702350917592891</c:v>
                </c:pt>
                <c:pt idx="188">
                  <c:v>-21.405974816057224</c:v>
                </c:pt>
                <c:pt idx="189">
                  <c:v>-21.114176320318514</c:v>
                </c:pt>
                <c:pt idx="190">
                  <c:v>-20.828813180663751</c:v>
                </c:pt>
                <c:pt idx="191">
                  <c:v>-20.549725768343766</c:v>
                </c:pt>
                <c:pt idx="192">
                  <c:v>-20.276663234004612</c:v>
                </c:pt>
                <c:pt idx="193">
                  <c:v>-20.009312746628169</c:v>
                </c:pt>
                <c:pt idx="194">
                  <c:v>-19.747324505546995</c:v>
                </c:pt>
                <c:pt idx="195">
                  <c:v>-19.490331490695777</c:v>
                </c:pt>
                <c:pt idx="196">
                  <c:v>-19.237964496015426</c:v>
                </c:pt>
                <c:pt idx="197">
                  <c:v>-18.989863348193722</c:v>
                </c:pt>
                <c:pt idx="198">
                  <c:v>-18.745685277674298</c:v>
                </c:pt>
                <c:pt idx="199">
                  <c:v>-18.505111237593077</c:v>
                </c:pt>
                <c:pt idx="200">
                  <c:v>-18.267850798466274</c:v>
                </c:pt>
                <c:pt idx="201">
                  <c:v>-18.033646173883238</c:v>
                </c:pt>
                <c:pt idx="202">
                  <c:v>-17.802275771441138</c:v>
                </c:pt>
                <c:pt idx="203">
                  <c:v>-17.571891949438246</c:v>
                </c:pt>
                <c:pt idx="204">
                  <c:v>-17.343630662310325</c:v>
                </c:pt>
                <c:pt idx="205">
                  <c:v>-17.117695154667583</c:v>
                </c:pt>
                <c:pt idx="206">
                  <c:v>-16.894010138701891</c:v>
                </c:pt>
                <c:pt idx="207">
                  <c:v>-16.672116537321699</c:v>
                </c:pt>
                <c:pt idx="208">
                  <c:v>-16.451101716138542</c:v>
                </c:pt>
                <c:pt idx="209">
                  <c:v>-16.230088359216939</c:v>
                </c:pt>
                <c:pt idx="210">
                  <c:v>-16.00825023168348</c:v>
                </c:pt>
                <c:pt idx="211">
                  <c:v>-15.784799240937113</c:v>
                </c:pt>
                <c:pt idx="212">
                  <c:v>-15.55897419429688</c:v>
                </c:pt>
                <c:pt idx="213">
                  <c:v>-15.330030850825722</c:v>
                </c:pt>
                <c:pt idx="214">
                  <c:v>-15.097232911484198</c:v>
                </c:pt>
                <c:pt idx="215">
                  <c:v>-14.859843707245561</c:v>
                </c:pt>
                <c:pt idx="216">
                  <c:v>-14.617118331914574</c:v>
                </c:pt>
                <c:pt idx="217">
                  <c:v>-14.368296028316054</c:v>
                </c:pt>
                <c:pt idx="218">
                  <c:v>-14.112592656253334</c:v>
                </c:pt>
                <c:pt idx="219">
                  <c:v>-13.849193081323877</c:v>
                </c:pt>
                <c:pt idx="220">
                  <c:v>-13.577243313118389</c:v>
                </c:pt>
                <c:pt idx="221">
                  <c:v>-13.295842250018783</c:v>
                </c:pt>
                <c:pt idx="222">
                  <c:v>-13.004032869669365</c:v>
                </c:pt>
                <c:pt idx="223">
                  <c:v>-12.700792680173871</c:v>
                </c:pt>
                <c:pt idx="224">
                  <c:v>-12.385023264239114</c:v>
                </c:pt>
                <c:pt idx="225">
                  <c:v>-12.055538675217308</c:v>
                </c:pt>
                <c:pt idx="226">
                  <c:v>-11.711052482009219</c:v>
                </c:pt>
                <c:pt idx="227">
                  <c:v>-11.350163149849198</c:v>
                </c:pt>
                <c:pt idx="228">
                  <c:v>-10.971337453867232</c:v>
                </c:pt>
                <c:pt idx="229">
                  <c:v>-10.572891520801402</c:v>
                </c:pt>
                <c:pt idx="230">
                  <c:v>-10.152969053021989</c:v>
                </c:pt>
                <c:pt idx="231">
                  <c:v>-9.7095161608281941</c:v>
                </c:pt>
                <c:pt idx="232">
                  <c:v>-9.2402521454148498</c:v>
                </c:pt>
                <c:pt idx="233">
                  <c:v>-8.7426353920835105</c:v>
                </c:pt>
                <c:pt idx="234">
                  <c:v>-8.2138233795167892</c:v>
                </c:pt>
                <c:pt idx="235">
                  <c:v>-7.6506255455647336</c:v>
                </c:pt>
                <c:pt idx="236">
                  <c:v>-7.0494474628516777</c:v>
                </c:pt>
                <c:pt idx="237">
                  <c:v>-6.4062243915022368</c:v>
                </c:pt>
                <c:pt idx="238">
                  <c:v>-5.7163417619637906</c:v>
                </c:pt>
                <c:pt idx="239">
                  <c:v>-4.9745395041808314</c:v>
                </c:pt>
                <c:pt idx="240">
                  <c:v>-4.1747962789148465</c:v>
                </c:pt>
                <c:pt idx="241">
                  <c:v>-3.3101885527441652</c:v>
                </c:pt>
                <c:pt idx="242">
                  <c:v>-2.3727179374895897</c:v>
                </c:pt>
                <c:pt idx="243">
                  <c:v>-1.353098240342679</c:v>
                </c:pt>
                <c:pt idx="244">
                  <c:v>-0.24049091424224162</c:v>
                </c:pt>
                <c:pt idx="245">
                  <c:v>0.98101596519020295</c:v>
                </c:pt>
                <c:pt idx="246">
                  <c:v>2.3544434478068745</c:v>
                </c:pt>
                <c:pt idx="247">
                  <c:v>3.8802849403348083</c:v>
                </c:pt>
                <c:pt idx="248">
                  <c:v>5.556377919681962</c:v>
                </c:pt>
                <c:pt idx="249">
                  <c:v>7.4259141264589994</c:v>
                </c:pt>
                <c:pt idx="250">
                  <c:v>9.5239308506818219</c:v>
                </c:pt>
                <c:pt idx="251">
                  <c:v>11.892276767627306</c:v>
                </c:pt>
                <c:pt idx="252">
                  <c:v>14.583177737440613</c:v>
                </c:pt>
                <c:pt idx="253">
                  <c:v>17.583169910957658</c:v>
                </c:pt>
                <c:pt idx="254">
                  <c:v>20.684272869101513</c:v>
                </c:pt>
                <c:pt idx="255">
                  <c:v>24.272570328249707</c:v>
                </c:pt>
                <c:pt idx="256">
                  <c:v>28.466312175738999</c:v>
                </c:pt>
                <c:pt idx="257">
                  <c:v>33.420731208760436</c:v>
                </c:pt>
                <c:pt idx="258">
                  <c:v>39.244314324976045</c:v>
                </c:pt>
                <c:pt idx="259">
                  <c:v>45.962290217712109</c:v>
                </c:pt>
                <c:pt idx="260">
                  <c:v>53.609047983305743</c:v>
                </c:pt>
                <c:pt idx="261">
                  <c:v>61.649443182588378</c:v>
                </c:pt>
                <c:pt idx="262">
                  <c:v>69.09019409402508</c:v>
                </c:pt>
                <c:pt idx="263">
                  <c:v>76.75665974707951</c:v>
                </c:pt>
                <c:pt idx="264">
                  <c:v>85.439492878937216</c:v>
                </c:pt>
                <c:pt idx="265">
                  <c:v>95.335635823243678</c:v>
                </c:pt>
                <c:pt idx="266">
                  <c:v>102.36544566355445</c:v>
                </c:pt>
                <c:pt idx="267">
                  <c:v>108.73863448207527</c:v>
                </c:pt>
                <c:pt idx="268">
                  <c:v>115.15709344261987</c:v>
                </c:pt>
                <c:pt idx="269">
                  <c:v>121.5705001583481</c:v>
                </c:pt>
                <c:pt idx="270">
                  <c:v>127.97999999998947</c:v>
                </c:pt>
                <c:pt idx="271">
                  <c:v>134.38949984163094</c:v>
                </c:pt>
                <c:pt idx="272">
                  <c:v>140.80290655735911</c:v>
                </c:pt>
                <c:pt idx="273">
                  <c:v>147.22136551790368</c:v>
                </c:pt>
                <c:pt idx="274">
                  <c:v>153.59455433642432</c:v>
                </c:pt>
                <c:pt idx="275">
                  <c:v>159.83451031426344</c:v>
                </c:pt>
                <c:pt idx="276">
                  <c:v>165.88392056654763</c:v>
                </c:pt>
                <c:pt idx="277">
                  <c:v>171.71126434222694</c:v>
                </c:pt>
                <c:pt idx="278">
                  <c:v>177.29918926273749</c:v>
                </c:pt>
                <c:pt idx="279">
                  <c:v>182.63732604555312</c:v>
                </c:pt>
                <c:pt idx="280">
                  <c:v>187.2680750961901</c:v>
                </c:pt>
                <c:pt idx="281">
                  <c:v>189.50654674857259</c:v>
                </c:pt>
                <c:pt idx="282">
                  <c:v>191.72875431063156</c:v>
                </c:pt>
                <c:pt idx="283">
                  <c:v>193.91311057361992</c:v>
                </c:pt>
                <c:pt idx="284">
                  <c:v>196.03879053083628</c:v>
                </c:pt>
                <c:pt idx="285">
                  <c:v>198.08447483180194</c:v>
                </c:pt>
                <c:pt idx="286">
                  <c:v>200.03721979204522</c:v>
                </c:pt>
                <c:pt idx="287">
                  <c:v>201.91274225156107</c:v>
                </c:pt>
                <c:pt idx="288">
                  <c:v>203.72813934620407</c:v>
                </c:pt>
                <c:pt idx="289">
                  <c:v>205.49661074564418</c:v>
                </c:pt>
                <c:pt idx="290">
                  <c:v>207.22854476850438</c:v>
                </c:pt>
                <c:pt idx="291">
                  <c:v>208.93226995673237</c:v>
                </c:pt>
                <c:pt idx="292">
                  <c:v>210.61458526345666</c:v>
                </c:pt>
                <c:pt idx="293">
                  <c:v>212.2811407039527</c:v>
                </c:pt>
                <c:pt idx="294">
                  <c:v>213.93671513128436</c:v>
                </c:pt>
                <c:pt idx="295">
                  <c:v>215.58542205661408</c:v>
                </c:pt>
                <c:pt idx="296">
                  <c:v>217.23086439798305</c:v>
                </c:pt>
                <c:pt idx="297">
                  <c:v>218.87625249158654</c:v>
                </c:pt>
                <c:pt idx="298">
                  <c:v>220.52449536914565</c:v>
                </c:pt>
                <c:pt idx="299">
                  <c:v>222.17827238147433</c:v>
                </c:pt>
                <c:pt idx="300">
                  <c:v>223.84009024894803</c:v>
                </c:pt>
                <c:pt idx="301">
                  <c:v>225.51232923641751</c:v>
                </c:pt>
                <c:pt idx="302">
                  <c:v>227.19728117693026</c:v>
                </c:pt>
                <c:pt idx="303">
                  <c:v>228.89718137821333</c:v>
                </c:pt>
                <c:pt idx="304">
                  <c:v>230.61423595409082</c:v>
                </c:pt>
                <c:pt idx="305">
                  <c:v>232.35064576417733</c:v>
                </c:pt>
                <c:pt idx="306">
                  <c:v>234.10862788885092</c:v>
                </c:pt>
                <c:pt idx="307">
                  <c:v>235.89043537761569</c:v>
                </c:pt>
                <c:pt idx="308">
                  <c:v>237.69837587338438</c:v>
                </c:pt>
                <c:pt idx="309">
                  <c:v>239.53482961764107</c:v>
                </c:pt>
                <c:pt idx="310">
                  <c:v>241.40226727324136</c:v>
                </c:pt>
                <c:pt idx="311">
                  <c:v>243.30326795644683</c:v>
                </c:pt>
                <c:pt idx="312">
                  <c:v>245.24053784282304</c:v>
                </c:pt>
                <c:pt idx="313">
                  <c:v>247.21692969950286</c:v>
                </c:pt>
                <c:pt idx="314">
                  <c:v>249.23478023608837</c:v>
                </c:pt>
                <c:pt idx="315">
                  <c:v>251.29189099032908</c:v>
                </c:pt>
                <c:pt idx="316">
                  <c:v>253.3849317229247</c:v>
                </c:pt>
                <c:pt idx="317">
                  <c:v>255.51158521478769</c:v>
                </c:pt>
                <c:pt idx="318">
                  <c:v>257.67035179971572</c:v>
                </c:pt>
                <c:pt idx="319">
                  <c:v>259.86039351614482</c:v>
                </c:pt>
                <c:pt idx="320">
                  <c:v>261.21673478557994</c:v>
                </c:pt>
                <c:pt idx="321">
                  <c:v>261.98715668829237</c:v>
                </c:pt>
                <c:pt idx="322">
                  <c:v>262.7350355576437</c:v>
                </c:pt>
                <c:pt idx="323">
                  <c:v>263.46075833407406</c:v>
                </c:pt>
                <c:pt idx="324">
                  <c:v>264.16477122430388</c:v>
                </c:pt>
                <c:pt idx="325">
                  <c:v>264.84755781862839</c:v>
                </c:pt>
                <c:pt idx="326">
                  <c:v>265.50962200021161</c:v>
                </c:pt>
                <c:pt idx="327">
                  <c:v>266.15147451659806</c:v>
                </c:pt>
                <c:pt idx="328">
                  <c:v>266.77362240067208</c:v>
                </c:pt>
                <c:pt idx="329">
                  <c:v>267.37656056218748</c:v>
                </c:pt>
                <c:pt idx="330">
                  <c:v>267.96076503839123</c:v>
                </c:pt>
                <c:pt idx="331">
                  <c:v>268.5266875246071</c:v>
                </c:pt>
                <c:pt idx="332">
                  <c:v>269.07475083352557</c:v>
                </c:pt>
                <c:pt idx="333">
                  <c:v>269.60534505902314</c:v>
                </c:pt>
                <c:pt idx="334">
                  <c:v>270.11882422498502</c:v>
                </c:pt>
                <c:pt idx="335">
                  <c:v>270.61550325679065</c:v>
                </c:pt>
                <c:pt idx="336">
                  <c:v>271.09565514270332</c:v>
                </c:pt>
                <c:pt idx="337">
                  <c:v>271.55950819618897</c:v>
                </c:pt>
                <c:pt idx="338">
                  <c:v>272.00724331350904</c:v>
                </c:pt>
                <c:pt idx="339">
                  <c:v>272.43899121758039</c:v>
                </c:pt>
                <c:pt idx="340">
                  <c:v>272.85482964845369</c:v>
                </c:pt>
                <c:pt idx="341">
                  <c:v>273.25478055786994</c:v>
                </c:pt>
                <c:pt idx="342">
                  <c:v>273.63880743943923</c:v>
                </c:pt>
                <c:pt idx="343">
                  <c:v>274.00681302344333</c:v>
                </c:pt>
                <c:pt idx="344">
                  <c:v>274.35863779840855</c:v>
                </c:pt>
                <c:pt idx="345">
                  <c:v>274.69406015287007</c:v>
                </c:pt>
                <c:pt idx="346">
                  <c:v>275.01279946025653</c:v>
                </c:pt>
                <c:pt idx="347">
                  <c:v>275.31452449045133</c:v>
                </c:pt>
                <c:pt idx="348">
                  <c:v>275.59887119879022</c:v>
                </c:pt>
                <c:pt idx="349">
                  <c:v>275.86547723921336</c:v>
                </c:pt>
                <c:pt idx="350">
                  <c:v>276.11404667603404</c:v>
                </c:pt>
                <c:pt idx="351">
                  <c:v>276.34447062260585</c:v>
                </c:pt>
                <c:pt idx="352">
                  <c:v>276.5569781161779</c:v>
                </c:pt>
                <c:pt idx="353">
                  <c:v>276.75195690141186</c:v>
                </c:pt>
                <c:pt idx="354">
                  <c:v>276.92975890512457</c:v>
                </c:pt>
                <c:pt idx="355">
                  <c:v>277.0906914115746</c:v>
                </c:pt>
                <c:pt idx="356">
                  <c:v>277.23501857245776</c:v>
                </c:pt>
                <c:pt idx="357">
                  <c:v>277.36296267727693</c:v>
                </c:pt>
                <c:pt idx="358">
                  <c:v>277.4747051922634</c:v>
                </c:pt>
                <c:pt idx="359">
                  <c:v>277.570387596194</c:v>
                </c:pt>
                <c:pt idx="360">
                  <c:v>277.65011198788631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-42.66</c:v>
                </c:pt>
                <c:pt idx="1">
                  <c:v>-41.858812519794796</c:v>
                </c:pt>
                <c:pt idx="2">
                  <c:v>-41.057136680328789</c:v>
                </c:pt>
                <c:pt idx="3">
                  <c:v>-40.254482930908381</c:v>
                </c:pt>
                <c:pt idx="4">
                  <c:v>-39.450359331792853</c:v>
                </c:pt>
                <c:pt idx="5">
                  <c:v>-38.644270344160084</c:v>
                </c:pt>
                <c:pt idx="6">
                  <c:v>-37.835715601305473</c:v>
                </c:pt>
                <c:pt idx="7">
                  <c:v>-37.024188654556689</c:v>
                </c:pt>
                <c:pt idx="8">
                  <c:v>-36.209175687160261</c:v>
                </c:pt>
                <c:pt idx="9">
                  <c:v>-35.390154189103804</c:v>
                </c:pt>
                <c:pt idx="10">
                  <c:v>-34.566606356066345</c:v>
                </c:pt>
                <c:pt idx="11">
                  <c:v>-33.738278914687946</c:v>
                </c:pt>
                <c:pt idx="12">
                  <c:v>-32.905371798229638</c:v>
                </c:pt>
                <c:pt idx="13">
                  <c:v>-32.068285823065068</c:v>
                </c:pt>
                <c:pt idx="14">
                  <c:v>-31.227459217292395</c:v>
                </c:pt>
                <c:pt idx="15">
                  <c:v>-30.383296621334939</c:v>
                </c:pt>
                <c:pt idx="16">
                  <c:v>-29.536140940934647</c:v>
                </c:pt>
                <c:pt idx="17">
                  <c:v>-28.686265409087095</c:v>
                </c:pt>
                <c:pt idx="18">
                  <c:v>-27.833875115740863</c:v>
                </c:pt>
                <c:pt idx="19">
                  <c:v>-26.979112772330193</c:v>
                </c:pt>
                <c:pt idx="20">
                  <c:v>-26.122066134360413</c:v>
                </c:pt>
                <c:pt idx="21">
                  <c:v>-25.262775827175769</c:v>
                </c:pt>
                <c:pt idx="22">
                  <c:v>-24.401242993708074</c:v>
                </c:pt>
                <c:pt idx="23">
                  <c:v>-23.537436531532958</c:v>
                </c:pt>
                <c:pt idx="24">
                  <c:v>-22.671299867856536</c:v>
                </c:pt>
                <c:pt idx="25">
                  <c:v>-21.802757315909503</c:v>
                </c:pt>
                <c:pt idx="26">
                  <c:v>-20.931720105993627</c:v>
                </c:pt>
                <c:pt idx="27">
                  <c:v>-20.004977378933567</c:v>
                </c:pt>
                <c:pt idx="28">
                  <c:v>-18.925965398052121</c:v>
                </c:pt>
                <c:pt idx="29">
                  <c:v>-17.867484918989227</c:v>
                </c:pt>
                <c:pt idx="30">
                  <c:v>-16.828559457193919</c:v>
                </c:pt>
                <c:pt idx="31">
                  <c:v>-15.808287736275487</c:v>
                </c:pt>
                <c:pt idx="32">
                  <c:v>-14.805844823740191</c:v>
                </c:pt>
                <c:pt idx="33">
                  <c:v>-13.820483910541885</c:v>
                </c:pt>
                <c:pt idx="34">
                  <c:v>-12.851538915988201</c:v>
                </c:pt>
                <c:pt idx="35">
                  <c:v>-11.898428124033236</c:v>
                </c:pt>
                <c:pt idx="36">
                  <c:v>-10.960659090722094</c:v>
                </c:pt>
                <c:pt idx="37">
                  <c:v>-10.037835111782028</c:v>
                </c:pt>
                <c:pt idx="38">
                  <c:v>-9.1296636065237387</c:v>
                </c:pt>
                <c:pt idx="39">
                  <c:v>-8.2359668637982448</c:v>
                </c:pt>
                <c:pt idx="40">
                  <c:v>-7.3566957183046915</c:v>
                </c:pt>
                <c:pt idx="41">
                  <c:v>-6.4919468883783971</c:v>
                </c:pt>
                <c:pt idx="42">
                  <c:v>-5.6419849306433232</c:v>
                </c:pt>
                <c:pt idx="43">
                  <c:v>-4.8072700685576937</c:v>
                </c:pt>
                <c:pt idx="44">
                  <c:v>-3.9884935755285542</c:v>
                </c:pt>
                <c:pt idx="45">
                  <c:v>-3.1866229802716299</c:v>
                </c:pt>
                <c:pt idx="46">
                  <c:v>-2.4029602037283531</c:v>
                </c:pt>
                <c:pt idx="47">
                  <c:v>-1.639216946612126</c:v>
                </c:pt>
                <c:pt idx="48">
                  <c:v>-0.89705526670338465</c:v>
                </c:pt>
                <c:pt idx="49">
                  <c:v>3.6777124900147446E-3</c:v>
                </c:pt>
                <c:pt idx="50">
                  <c:v>0.90783104695919159</c:v>
                </c:pt>
                <c:pt idx="51">
                  <c:v>1.7784272838118187</c:v>
                </c:pt>
                <c:pt idx="52">
                  <c:v>2.6176878842456337</c:v>
                </c:pt>
                <c:pt idx="53">
                  <c:v>3.4276680553490655</c:v>
                </c:pt>
                <c:pt idx="54">
                  <c:v>4.210274756792181</c:v>
                </c:pt>
                <c:pt idx="55">
                  <c:v>4.9672829655103996</c:v>
                </c:pt>
                <c:pt idx="56">
                  <c:v>5.7286209807341821</c:v>
                </c:pt>
                <c:pt idx="57">
                  <c:v>6.5462260002557713</c:v>
                </c:pt>
                <c:pt idx="58">
                  <c:v>7.3345876391175224</c:v>
                </c:pt>
                <c:pt idx="59">
                  <c:v>8.0954190686056755</c:v>
                </c:pt>
                <c:pt idx="60">
                  <c:v>8.8303291770665684</c:v>
                </c:pt>
                <c:pt idx="61">
                  <c:v>9.5408359772693458</c:v>
                </c:pt>
                <c:pt idx="62">
                  <c:v>10.228379649146277</c:v>
                </c:pt>
                <c:pt idx="63">
                  <c:v>10.894335518977954</c:v>
                </c:pt>
                <c:pt idx="64">
                  <c:v>11.535307893557247</c:v>
                </c:pt>
                <c:pt idx="65">
                  <c:v>12.141627576572018</c:v>
                </c:pt>
                <c:pt idx="66">
                  <c:v>12.729886041852875</c:v>
                </c:pt>
                <c:pt idx="67">
                  <c:v>13.301671561246414</c:v>
                </c:pt>
                <c:pt idx="68">
                  <c:v>13.858627579900002</c:v>
                </c:pt>
                <c:pt idx="69">
                  <c:v>14.402487894380945</c:v>
                </c:pt>
                <c:pt idx="70">
                  <c:v>14.935120231130115</c:v>
                </c:pt>
                <c:pt idx="71">
                  <c:v>15.458581445949415</c:v>
                </c:pt>
                <c:pt idx="72">
                  <c:v>15.975188908938655</c:v>
                </c:pt>
                <c:pt idx="73">
                  <c:v>16.487614696394203</c:v>
                </c:pt>
                <c:pt idx="74">
                  <c:v>16.999012346482957</c:v>
                </c:pt>
                <c:pt idx="75">
                  <c:v>17.513190914542758</c:v>
                </c:pt>
                <c:pt idx="76">
                  <c:v>18.034859092609519</c:v>
                </c:pt>
                <c:pt idx="77">
                  <c:v>18.569975511962372</c:v>
                </c:pt>
                <c:pt idx="78">
                  <c:v>19.126264282565849</c:v>
                </c:pt>
                <c:pt idx="79">
                  <c:v>19.713978453347778</c:v>
                </c:pt>
                <c:pt idx="80">
                  <c:v>20.342814244519666</c:v>
                </c:pt>
                <c:pt idx="81">
                  <c:v>20.93913786199635</c:v>
                </c:pt>
                <c:pt idx="82">
                  <c:v>21.546128679339859</c:v>
                </c:pt>
                <c:pt idx="83">
                  <c:v>22.178965059425856</c:v>
                </c:pt>
                <c:pt idx="84">
                  <c:v>22.84403852885805</c:v>
                </c:pt>
                <c:pt idx="85">
                  <c:v>23.551109369899745</c:v>
                </c:pt>
                <c:pt idx="86">
                  <c:v>24.313955155378615</c:v>
                </c:pt>
                <c:pt idx="87">
                  <c:v>25.150548292591754</c:v>
                </c:pt>
                <c:pt idx="88">
                  <c:v>26.08181649328678</c:v>
                </c:pt>
                <c:pt idx="89">
                  <c:v>27.137495646990928</c:v>
                </c:pt>
                <c:pt idx="90">
                  <c:v>28.41121778131112</c:v>
                </c:pt>
                <c:pt idx="91">
                  <c:v>26.634897210602812</c:v>
                </c:pt>
                <c:pt idx="92">
                  <c:v>24.913681530497612</c:v>
                </c:pt>
                <c:pt idx="93">
                  <c:v>23.295858021062696</c:v>
                </c:pt>
                <c:pt idx="94">
                  <c:v>21.851768422645069</c:v>
                </c:pt>
                <c:pt idx="95">
                  <c:v>20.354044348008291</c:v>
                </c:pt>
                <c:pt idx="96">
                  <c:v>18.756587577467499</c:v>
                </c:pt>
                <c:pt idx="97">
                  <c:v>17.551798692522087</c:v>
                </c:pt>
                <c:pt idx="98">
                  <c:v>16.608373658973548</c:v>
                </c:pt>
                <c:pt idx="99">
                  <c:v>15.831019359880759</c:v>
                </c:pt>
                <c:pt idx="100">
                  <c:v>15.176218577255126</c:v>
                </c:pt>
                <c:pt idx="101">
                  <c:v>14.614708923731458</c:v>
                </c:pt>
                <c:pt idx="102">
                  <c:v>14.126020676366419</c:v>
                </c:pt>
                <c:pt idx="103">
                  <c:v>13.695366150286894</c:v>
                </c:pt>
                <c:pt idx="104">
                  <c:v>13.311772207596471</c:v>
                </c:pt>
                <c:pt idx="105">
                  <c:v>12.96690932827577</c:v>
                </c:pt>
                <c:pt idx="106">
                  <c:v>12.654330197417286</c:v>
                </c:pt>
                <c:pt idx="107">
                  <c:v>12.368959002252835</c:v>
                </c:pt>
                <c:pt idx="108">
                  <c:v>12.106739603562417</c:v>
                </c:pt>
                <c:pt idx="109">
                  <c:v>11.864387440753394</c:v>
                </c:pt>
                <c:pt idx="110">
                  <c:v>11.63921096299841</c:v>
                </c:pt>
                <c:pt idx="111">
                  <c:v>11.428980731428673</c:v>
                </c:pt>
                <c:pt idx="112">
                  <c:v>11.231831892366912</c:v>
                </c:pt>
                <c:pt idx="113">
                  <c:v>11.046190436789264</c:v>
                </c:pt>
                <c:pt idx="114">
                  <c:v>10.870716692197961</c:v>
                </c:pt>
                <c:pt idx="115">
                  <c:v>10.704261493377714</c:v>
                </c:pt>
                <c:pt idx="116">
                  <c:v>10.545831795775202</c:v>
                </c:pt>
                <c:pt idx="117">
                  <c:v>10.394563422538122</c:v>
                </c:pt>
                <c:pt idx="118">
                  <c:v>10.249699243631389</c:v>
                </c:pt>
                <c:pt idx="119">
                  <c:v>10.110571551533203</c:v>
                </c:pt>
                <c:pt idx="120">
                  <c:v>9.9765876924294457</c:v>
                </c:pt>
                <c:pt idx="121">
                  <c:v>9.8472182561412005</c:v>
                </c:pt>
                <c:pt idx="122">
                  <c:v>9.719326351568375</c:v>
                </c:pt>
                <c:pt idx="123">
                  <c:v>9.5949210830347287</c:v>
                </c:pt>
                <c:pt idx="124">
                  <c:v>9.4737535520392555</c:v>
                </c:pt>
                <c:pt idx="125">
                  <c:v>9.355462444967209</c:v>
                </c:pt>
                <c:pt idx="126">
                  <c:v>9.2397133376572658</c:v>
                </c:pt>
                <c:pt idx="127">
                  <c:v>9.1261943045565399</c:v>
                </c:pt>
                <c:pt idx="128">
                  <c:v>9.0146120596428752</c:v>
                </c:pt>
                <c:pt idx="129">
                  <c:v>8.9046885035137802</c:v>
                </c:pt>
                <c:pt idx="130">
                  <c:v>8.7961576002599724</c:v>
                </c:pt>
                <c:pt idx="131">
                  <c:v>8.6887624998193473</c:v>
                </c:pt>
                <c:pt idx="132">
                  <c:v>8.5822528332169075</c:v>
                </c:pt>
                <c:pt idx="133">
                  <c:v>8.4763821283643441</c:v>
                </c:pt>
                <c:pt idx="134">
                  <c:v>8.3709052814057987</c:v>
                </c:pt>
                <c:pt idx="135">
                  <c:v>8.265576028384082</c:v>
                </c:pt>
                <c:pt idx="136">
                  <c:v>8.1601443685817578</c:v>
                </c:pt>
                <c:pt idx="137">
                  <c:v>8.0543538725057573</c:v>
                </c:pt>
                <c:pt idx="138">
                  <c:v>7.947938820528762</c:v>
                </c:pt>
                <c:pt idx="139">
                  <c:v>7.8406210999978256</c:v>
                </c:pt>
                <c:pt idx="140">
                  <c:v>7.7321067842336637</c:v>
                </c:pt>
                <c:pt idx="141">
                  <c:v>7.6220823027399973</c:v>
                </c:pt>
                <c:pt idx="142">
                  <c:v>7.5102100949561681</c:v>
                </c:pt>
                <c:pt idx="143">
                  <c:v>7.3961236217453461</c:v>
                </c:pt>
                <c:pt idx="144">
                  <c:v>7.279421573590251</c:v>
                </c:pt>
                <c:pt idx="145">
                  <c:v>7.1596610853990388</c:v>
                </c:pt>
                <c:pt idx="146">
                  <c:v>7.0363497135141451</c:v>
                </c:pt>
                <c:pt idx="147">
                  <c:v>6.9089358812686497</c:v>
                </c:pt>
                <c:pt idx="148">
                  <c:v>6.776797397166475</c:v>
                </c:pt>
                <c:pt idx="149">
                  <c:v>6.639366394812698</c:v>
                </c:pt>
                <c:pt idx="150">
                  <c:v>6.4981544506616427</c:v>
                </c:pt>
                <c:pt idx="151">
                  <c:v>6.3496421093757629</c:v>
                </c:pt>
                <c:pt idx="152">
                  <c:v>6.1927416078182267</c:v>
                </c:pt>
                <c:pt idx="153">
                  <c:v>6.026183344145644</c:v>
                </c:pt>
                <c:pt idx="154">
                  <c:v>5.8484753460422612</c:v>
                </c:pt>
                <c:pt idx="155">
                  <c:v>5.6578519473969777</c:v>
                </c:pt>
                <c:pt idx="156">
                  <c:v>5.4522082244710575</c:v>
                </c:pt>
                <c:pt idx="157">
                  <c:v>5.2290154573367724</c:v>
                </c:pt>
                <c:pt idx="158">
                  <c:v>4.9852110149933084</c:v>
                </c:pt>
                <c:pt idx="159">
                  <c:v>4.7170533758760307</c:v>
                </c:pt>
                <c:pt idx="160">
                  <c:v>4.4199289808585176</c:v>
                </c:pt>
                <c:pt idx="161">
                  <c:v>4.0880916208553533</c:v>
                </c:pt>
                <c:pt idx="162">
                  <c:v>3.7143058450345756</c:v>
                </c:pt>
                <c:pt idx="163">
                  <c:v>3.2893515040393022</c:v>
                </c:pt>
                <c:pt idx="164">
                  <c:v>2.8013235812947701</c:v>
                </c:pt>
                <c:pt idx="165">
                  <c:v>2.2373236555492122</c:v>
                </c:pt>
                <c:pt idx="166">
                  <c:v>1.5969615132286923</c:v>
                </c:pt>
                <c:pt idx="167">
                  <c:v>0.88474368404924952</c:v>
                </c:pt>
                <c:pt idx="168">
                  <c:v>0.10492771062100836</c:v>
                </c:pt>
                <c:pt idx="169">
                  <c:v>-0.73826185976737979</c:v>
                </c:pt>
                <c:pt idx="170">
                  <c:v>-1.6404047886945823</c:v>
                </c:pt>
                <c:pt idx="171">
                  <c:v>-2.5966430493955825</c:v>
                </c:pt>
                <c:pt idx="172">
                  <c:v>-3.6014199804588913</c:v>
                </c:pt>
                <c:pt idx="173">
                  <c:v>-4.6482057050077747</c:v>
                </c:pt>
                <c:pt idx="174">
                  <c:v>-5.7292444182772586</c:v>
                </c:pt>
                <c:pt idx="175">
                  <c:v>-6.8354628071166745</c:v>
                </c:pt>
                <c:pt idx="176">
                  <c:v>-7.9570930869242007</c:v>
                </c:pt>
                <c:pt idx="177">
                  <c:v>-9.0871842820177289</c:v>
                </c:pt>
                <c:pt idx="178">
                  <c:v>-10.225141572336069</c:v>
                </c:pt>
                <c:pt idx="179">
                  <c:v>-11.443361720662311</c:v>
                </c:pt>
                <c:pt idx="180">
                  <c:v>-12.665248727883204</c:v>
                </c:pt>
                <c:pt idx="181">
                  <c:v>-13.20874480826498</c:v>
                </c:pt>
                <c:pt idx="182">
                  <c:v>-13.725344042087464</c:v>
                </c:pt>
                <c:pt idx="183">
                  <c:v>-14.313287377590118</c:v>
                </c:pt>
                <c:pt idx="184">
                  <c:v>-14.896237285311187</c:v>
                </c:pt>
                <c:pt idx="185">
                  <c:v>-15.475401039394313</c:v>
                </c:pt>
                <c:pt idx="186">
                  <c:v>-16.050904424623148</c:v>
                </c:pt>
                <c:pt idx="187">
                  <c:v>-16.621913620991094</c:v>
                </c:pt>
                <c:pt idx="188">
                  <c:v>-17.198004381830046</c:v>
                </c:pt>
                <c:pt idx="189">
                  <c:v>-17.771909080421725</c:v>
                </c:pt>
                <c:pt idx="190">
                  <c:v>-18.339691768723249</c:v>
                </c:pt>
                <c:pt idx="191">
                  <c:v>-18.901356935676628</c:v>
                </c:pt>
                <c:pt idx="192">
                  <c:v>-19.457011988370109</c:v>
                </c:pt>
                <c:pt idx="193">
                  <c:v>-20.006828679014937</c:v>
                </c:pt>
                <c:pt idx="194">
                  <c:v>-20.551016526607572</c:v>
                </c:pt>
                <c:pt idx="195">
                  <c:v>-21.089804488093069</c:v>
                </c:pt>
                <c:pt idx="196">
                  <c:v>-21.623428185022217</c:v>
                </c:pt>
                <c:pt idx="197">
                  <c:v>-22.152120856716635</c:v>
                </c:pt>
                <c:pt idx="198">
                  <c:v>-22.676106789741105</c:v>
                </c:pt>
                <c:pt idx="199">
                  <c:v>-23.195596378325785</c:v>
                </c:pt>
                <c:pt idx="200">
                  <c:v>-23.710782234077708</c:v>
                </c:pt>
                <c:pt idx="201">
                  <c:v>-24.221835921510579</c:v>
                </c:pt>
                <c:pt idx="202">
                  <c:v>-24.728905019663266</c:v>
                </c:pt>
                <c:pt idx="203">
                  <c:v>-25.232571370807989</c:v>
                </c:pt>
                <c:pt idx="204">
                  <c:v>-25.732706278941404</c:v>
                </c:pt>
                <c:pt idx="205">
                  <c:v>-26.229302464963052</c:v>
                </c:pt>
                <c:pt idx="206">
                  <c:v>-26.722414016954573</c:v>
                </c:pt>
                <c:pt idx="207">
                  <c:v>-27.212694297262164</c:v>
                </c:pt>
                <c:pt idx="208">
                  <c:v>-27.701435066537567</c:v>
                </c:pt>
                <c:pt idx="209">
                  <c:v>-28.189818840831325</c:v>
                </c:pt>
                <c:pt idx="210">
                  <c:v>-28.678906581526888</c:v>
                </c:pt>
                <c:pt idx="211">
                  <c:v>-29.169665136069938</c:v>
                </c:pt>
                <c:pt idx="212">
                  <c:v>-29.662989239837728</c:v>
                </c:pt>
                <c:pt idx="213">
                  <c:v>-30.159719402916735</c:v>
                </c:pt>
                <c:pt idx="214">
                  <c:v>-30.660656676576661</c:v>
                </c:pt>
                <c:pt idx="215">
                  <c:v>-31.166575043725757</c:v>
                </c:pt>
                <c:pt idx="216">
                  <c:v>-31.678232011512769</c:v>
                </c:pt>
                <c:pt idx="217">
                  <c:v>-32.196377850775868</c:v>
                </c:pt>
                <c:pt idx="218">
                  <c:v>-32.721763833150447</c:v>
                </c:pt>
                <c:pt idx="219">
                  <c:v>-33.255149747818677</c:v>
                </c:pt>
                <c:pt idx="220">
                  <c:v>-33.797310931560759</c:v>
                </c:pt>
                <c:pt idx="221">
                  <c:v>-34.349045004749712</c:v>
                </c:pt>
                <c:pt idx="222">
                  <c:v>-34.911178481960768</c:v>
                </c:pt>
                <c:pt idx="223">
                  <c:v>-35.484573410140605</c:v>
                </c:pt>
                <c:pt idx="224">
                  <c:v>-36.070134171993928</c:v>
                </c:pt>
                <c:pt idx="225">
                  <c:v>-36.668814594461949</c:v>
                </c:pt>
                <c:pt idx="226">
                  <c:v>-37.28162549347379</c:v>
                </c:pt>
                <c:pt idx="227">
                  <c:v>-37.909642801226418</c:v>
                </c:pt>
                <c:pt idx="228">
                  <c:v>-38.554016424810349</c:v>
                </c:pt>
                <c:pt idx="229">
                  <c:v>-39.215980005817912</c:v>
                </c:pt>
                <c:pt idx="230">
                  <c:v>-39.896861767322264</c:v>
                </c:pt>
                <c:pt idx="231">
                  <c:v>-40.598096666398284</c:v>
                </c:pt>
                <c:pt idx="232">
                  <c:v>-41.321240101371039</c:v>
                </c:pt>
                <c:pt idx="233">
                  <c:v>-42.067983471543599</c:v>
                </c:pt>
                <c:pt idx="234">
                  <c:v>-42.840171939069101</c:v>
                </c:pt>
                <c:pt idx="235">
                  <c:v>-43.63982481586838</c:v>
                </c:pt>
                <c:pt idx="236">
                  <c:v>-44.469159084580468</c:v>
                </c:pt>
                <c:pt idx="237">
                  <c:v>-45.330616673081799</c:v>
                </c:pt>
                <c:pt idx="238">
                  <c:v>-46.226896243508001</c:v>
                </c:pt>
                <c:pt idx="239">
                  <c:v>-47.160990433218295</c:v>
                </c:pt>
                <c:pt idx="240">
                  <c:v>-48.136229713724155</c:v>
                </c:pt>
                <c:pt idx="241">
                  <c:v>-49.156334325957154</c:v>
                </c:pt>
                <c:pt idx="242">
                  <c:v>-50.225476133038661</c:v>
                </c:pt>
                <c:pt idx="243">
                  <c:v>-51.348352726386153</c:v>
                </c:pt>
                <c:pt idx="244">
                  <c:v>-52.530276780905936</c:v>
                </c:pt>
                <c:pt idx="245">
                  <c:v>-53.800976947208028</c:v>
                </c:pt>
                <c:pt idx="246">
                  <c:v>-55.339968884749283</c:v>
                </c:pt>
                <c:pt idx="247">
                  <c:v>-56.985626881561508</c:v>
                </c:pt>
                <c:pt idx="248">
                  <c:v>-58.620568842183388</c:v>
                </c:pt>
                <c:pt idx="249">
                  <c:v>-60.370117498344413</c:v>
                </c:pt>
                <c:pt idx="250">
                  <c:v>-62.257167295912808</c:v>
                </c:pt>
                <c:pt idx="251">
                  <c:v>-64.301141202000935</c:v>
                </c:pt>
                <c:pt idx="252">
                  <c:v>-66.525381141575565</c:v>
                </c:pt>
                <c:pt idx="253">
                  <c:v>-68.880608990523612</c:v>
                </c:pt>
                <c:pt idx="254">
                  <c:v>-71.135890193910726</c:v>
                </c:pt>
                <c:pt idx="255">
                  <c:v>-73.62686999367493</c:v>
                </c:pt>
                <c:pt idx="256">
                  <c:v>-76.397920994258797</c:v>
                </c:pt>
                <c:pt idx="257">
                  <c:v>-79.504641375696409</c:v>
                </c:pt>
                <c:pt idx="258">
                  <c:v>-82.984344875217261</c:v>
                </c:pt>
                <c:pt idx="259">
                  <c:v>-86.845438563664473</c:v>
                </c:pt>
                <c:pt idx="260">
                  <c:v>-91.09990079543168</c:v>
                </c:pt>
                <c:pt idx="261">
                  <c:v>-95.418525378345564</c:v>
                </c:pt>
                <c:pt idx="262">
                  <c:v>-99.548202529233848</c:v>
                </c:pt>
                <c:pt idx="263">
                  <c:v>-103.88858712798874</c:v>
                </c:pt>
                <c:pt idx="264">
                  <c:v>-108.77492560193946</c:v>
                </c:pt>
                <c:pt idx="265">
                  <c:v>-114.32096092898935</c:v>
                </c:pt>
                <c:pt idx="266">
                  <c:v>-115.91289318314683</c:v>
                </c:pt>
                <c:pt idx="267">
                  <c:v>-116.49142804843667</c:v>
                </c:pt>
                <c:pt idx="268">
                  <c:v>-116.95338754824375</c:v>
                </c:pt>
                <c:pt idx="269">
                  <c:v>-117.28792256750572</c:v>
                </c:pt>
                <c:pt idx="270">
                  <c:v>-117.49505599355251</c:v>
                </c:pt>
                <c:pt idx="271">
                  <c:v>-117.28792256801674</c:v>
                </c:pt>
                <c:pt idx="272">
                  <c:v>-116.95338754823071</c:v>
                </c:pt>
                <c:pt idx="273">
                  <c:v>-116.49142804844396</c:v>
                </c:pt>
                <c:pt idx="274">
                  <c:v>-115.91289318306748</c:v>
                </c:pt>
                <c:pt idx="275">
                  <c:v>-115.24066553201149</c:v>
                </c:pt>
                <c:pt idx="276">
                  <c:v>-114.49455673613528</c:v>
                </c:pt>
                <c:pt idx="277">
                  <c:v>-113.68955701727464</c:v>
                </c:pt>
                <c:pt idx="278">
                  <c:v>-112.83727682061216</c:v>
                </c:pt>
                <c:pt idx="279">
                  <c:v>-111.94724373622516</c:v>
                </c:pt>
                <c:pt idx="280">
                  <c:v>-110.76812502075376</c:v>
                </c:pt>
                <c:pt idx="281">
                  <c:v>-108.39618225693877</c:v>
                </c:pt>
                <c:pt idx="282">
                  <c:v>-106.23627573064887</c:v>
                </c:pt>
                <c:pt idx="283">
                  <c:v>-104.26711730592994</c:v>
                </c:pt>
                <c:pt idx="284">
                  <c:v>-102.47399711329867</c:v>
                </c:pt>
                <c:pt idx="285">
                  <c:v>-100.84823798082901</c:v>
                </c:pt>
                <c:pt idx="286">
                  <c:v>-99.381041633985447</c:v>
                </c:pt>
                <c:pt idx="287">
                  <c:v>-98.050219448990248</c:v>
                </c:pt>
                <c:pt idx="288">
                  <c:v>-96.834901771763811</c:v>
                </c:pt>
                <c:pt idx="289">
                  <c:v>-95.718201614527246</c:v>
                </c:pt>
                <c:pt idx="290">
                  <c:v>-94.686289218756443</c:v>
                </c:pt>
                <c:pt idx="291">
                  <c:v>-93.727714495523969</c:v>
                </c:pt>
                <c:pt idx="292">
                  <c:v>-92.832902643874064</c:v>
                </c:pt>
                <c:pt idx="293">
                  <c:v>-91.993773023255017</c:v>
                </c:pt>
                <c:pt idx="294">
                  <c:v>-91.203447220385925</c:v>
                </c:pt>
                <c:pt idx="295">
                  <c:v>-90.456022639916768</c:v>
                </c:pt>
                <c:pt idx="296">
                  <c:v>-89.746394886112682</c:v>
                </c:pt>
                <c:pt idx="297">
                  <c:v>-89.070116926569881</c:v>
                </c:pt>
                <c:pt idx="298">
                  <c:v>-88.423286294451387</c:v>
                </c:pt>
                <c:pt idx="299">
                  <c:v>-87.802453880672999</c:v>
                </c:pt>
                <c:pt idx="300">
                  <c:v>-87.20454950146663</c:v>
                </c:pt>
                <c:pt idx="301">
                  <c:v>-86.626820605227906</c:v>
                </c:pt>
                <c:pt idx="302">
                  <c:v>-86.066781342910559</c:v>
                </c:pt>
                <c:pt idx="303">
                  <c:v>-85.522169859897133</c:v>
                </c:pt>
                <c:pt idx="304">
                  <c:v>-84.990912140402386</c:v>
                </c:pt>
                <c:pt idx="305">
                  <c:v>-84.471091088558623</c:v>
                </c:pt>
                <c:pt idx="306">
                  <c:v>-83.960919799337219</c:v>
                </c:pt>
                <c:pt idx="307">
                  <c:v>-83.458718175331526</c:v>
                </c:pt>
                <c:pt idx="308">
                  <c:v>-82.962892200579475</c:v>
                </c:pt>
                <c:pt idx="309">
                  <c:v>-82.47191530132524</c:v>
                </c:pt>
                <c:pt idx="310">
                  <c:v>-81.984311312741198</c:v>
                </c:pt>
                <c:pt idx="311">
                  <c:v>-81.498638637918745</c:v>
                </c:pt>
                <c:pt idx="312">
                  <c:v>-81.013475234800097</c:v>
                </c:pt>
                <c:pt idx="313">
                  <c:v>-80.527404102165235</c:v>
                </c:pt>
                <c:pt idx="314">
                  <c:v>-80.039296043165848</c:v>
                </c:pt>
                <c:pt idx="315">
                  <c:v>-79.550071448145957</c:v>
                </c:pt>
                <c:pt idx="316">
                  <c:v>-79.061257367658627</c:v>
                </c:pt>
                <c:pt idx="317">
                  <c:v>-78.574045706442803</c:v>
                </c:pt>
                <c:pt idx="318">
                  <c:v>-78.089361846795939</c:v>
                </c:pt>
                <c:pt idx="319">
                  <c:v>-77.607920914939868</c:v>
                </c:pt>
                <c:pt idx="320">
                  <c:v>-76.871472380042135</c:v>
                </c:pt>
                <c:pt idx="321">
                  <c:v>-75.964498906760085</c:v>
                </c:pt>
                <c:pt idx="322">
                  <c:v>-75.058690058743281</c:v>
                </c:pt>
                <c:pt idx="323">
                  <c:v>-74.154623924618946</c:v>
                </c:pt>
                <c:pt idx="324">
                  <c:v>-73.252736674048961</c:v>
                </c:pt>
                <c:pt idx="325">
                  <c:v>-72.353348010668867</c:v>
                </c:pt>
                <c:pt idx="326">
                  <c:v>-71.456682111265081</c:v>
                </c:pt>
                <c:pt idx="327">
                  <c:v>-70.562884984044047</c:v>
                </c:pt>
                <c:pt idx="328">
                  <c:v>-69.672038981394621</c:v>
                </c:pt>
                <c:pt idx="329">
                  <c:v>-68.784175048253857</c:v>
                </c:pt>
                <c:pt idx="330">
                  <c:v>-67.899283174032448</c:v>
                </c:pt>
                <c:pt idx="331">
                  <c:v>-67.017321429419468</c:v>
                </c:pt>
                <c:pt idx="332">
                  <c:v>-66.138223901150695</c:v>
                </c:pt>
                <c:pt idx="333">
                  <c:v>-65.261907789538398</c:v>
                </c:pt>
                <c:pt idx="334">
                  <c:v>-64.388279894008349</c:v>
                </c:pt>
                <c:pt idx="335">
                  <c:v>-63.51724268409248</c:v>
                </c:pt>
                <c:pt idx="336">
                  <c:v>-62.648700132145514</c:v>
                </c:pt>
                <c:pt idx="337">
                  <c:v>-61.782563468469064</c:v>
                </c:pt>
                <c:pt idx="338">
                  <c:v>-60.918757006293937</c:v>
                </c:pt>
                <c:pt idx="339">
                  <c:v>-60.057224172826253</c:v>
                </c:pt>
                <c:pt idx="340">
                  <c:v>-59.197933865641637</c:v>
                </c:pt>
                <c:pt idx="341">
                  <c:v>-58.340887227671878</c:v>
                </c:pt>
                <c:pt idx="342">
                  <c:v>-57.486124884261223</c:v>
                </c:pt>
                <c:pt idx="343">
                  <c:v>-56.633734590915019</c:v>
                </c:pt>
                <c:pt idx="344">
                  <c:v>-55.783859059067453</c:v>
                </c:pt>
                <c:pt idx="345">
                  <c:v>-54.936703378667218</c:v>
                </c:pt>
                <c:pt idx="346">
                  <c:v>-54.092540782709676</c:v>
                </c:pt>
                <c:pt idx="347">
                  <c:v>-53.251714176937028</c:v>
                </c:pt>
                <c:pt idx="348">
                  <c:v>-52.414628201772537</c:v>
                </c:pt>
                <c:pt idx="349">
                  <c:v>-51.581721085314186</c:v>
                </c:pt>
                <c:pt idx="350">
                  <c:v>-50.753393643935745</c:v>
                </c:pt>
                <c:pt idx="351">
                  <c:v>-49.929845810898293</c:v>
                </c:pt>
                <c:pt idx="352">
                  <c:v>-49.110824312841871</c:v>
                </c:pt>
                <c:pt idx="353">
                  <c:v>-48.295811345445429</c:v>
                </c:pt>
                <c:pt idx="354">
                  <c:v>-47.484284398696637</c:v>
                </c:pt>
                <c:pt idx="355">
                  <c:v>-46.675729655842005</c:v>
                </c:pt>
                <c:pt idx="356">
                  <c:v>-45.869640668209264</c:v>
                </c:pt>
                <c:pt idx="357">
                  <c:v>-45.065517069093694</c:v>
                </c:pt>
                <c:pt idx="358">
                  <c:v>-44.262863319673329</c:v>
                </c:pt>
                <c:pt idx="359">
                  <c:v>-43.461187480207343</c:v>
                </c:pt>
                <c:pt idx="360">
                  <c:v>-42.660000000002178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21.039511560126964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21.039511558619608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50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92.234293900396054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-30.744764633465351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L_Section_Capacity!$AS$4:$AS$5</c:f>
              <c:numCache>
                <c:formatCode>0.000</c:formatCode>
                <c:ptCount val="2"/>
                <c:pt idx="0">
                  <c:v>0</c:v>
                </c:pt>
                <c:pt idx="1">
                  <c:v>125</c:v>
                </c:pt>
              </c:numCache>
            </c:numRef>
          </c:xVal>
          <c:yVal>
            <c:numRef>
              <c:f>L_Section_Capacity!$AT$4:$AT$5</c:f>
              <c:numCache>
                <c:formatCode>0.000</c:formatCode>
                <c:ptCount val="2"/>
                <c:pt idx="0">
                  <c:v>0</c:v>
                </c:pt>
                <c:pt idx="1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5"/>
          <c:order val="5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L_Section_Capacity!$BJ$2:$BJ$362</c:f>
              <c:numCache>
                <c:formatCode>General</c:formatCode>
                <c:ptCount val="361"/>
                <c:pt idx="0">
                  <c:v>308.50012443016186</c:v>
                </c:pt>
                <c:pt idx="1">
                  <c:v>308.41154177355565</c:v>
                </c:pt>
                <c:pt idx="2">
                  <c:v>308.30522799141062</c:v>
                </c:pt>
                <c:pt idx="3">
                  <c:v>308.18106964142527</c:v>
                </c:pt>
                <c:pt idx="4">
                  <c:v>308.03890952495965</c:v>
                </c:pt>
                <c:pt idx="5">
                  <c:v>307.87854601286767</c:v>
                </c:pt>
                <c:pt idx="6">
                  <c:v>307.69973211681173</c:v>
                </c:pt>
                <c:pt idx="7">
                  <c:v>307.50217433490872</c:v>
                </c:pt>
                <c:pt idx="8">
                  <c:v>307.28553124020436</c:v>
                </c:pt>
                <c:pt idx="9">
                  <c:v>307.04941180290217</c:v>
                </c:pt>
                <c:pt idx="10">
                  <c:v>306.79338519559991</c:v>
                </c:pt>
                <c:pt idx="11">
                  <c:v>306.51719693246622</c:v>
                </c:pt>
                <c:pt idx="12">
                  <c:v>306.22096799866239</c:v>
                </c:pt>
                <c:pt idx="13">
                  <c:v>305.90502721161909</c:v>
                </c:pt>
                <c:pt idx="14">
                  <c:v>305.56977717806967</c:v>
                </c:pt>
                <c:pt idx="15">
                  <c:v>305.21562239208441</c:v>
                </c:pt>
                <c:pt idx="16">
                  <c:v>304.84293088712735</c:v>
                </c:pt>
                <c:pt idx="17">
                  <c:v>304.45201447049908</c:v>
                </c:pt>
                <c:pt idx="18">
                  <c:v>304.04311937716119</c:v>
                </c:pt>
                <c:pt idx="19">
                  <c:v>303.61642284208415</c:v>
                </c:pt>
                <c:pt idx="20">
                  <c:v>303.17203294273293</c:v>
                </c:pt>
                <c:pt idx="21">
                  <c:v>302.70999024176263</c:v>
                </c:pt>
                <c:pt idx="22">
                  <c:v>302.23027034834985</c:v>
                </c:pt>
                <c:pt idx="23">
                  <c:v>301.73278688466087</c:v>
                </c:pt>
                <c:pt idx="24">
                  <c:v>301.21739460301012</c:v>
                </c:pt>
                <c:pt idx="25">
                  <c:v>300.6838925075516</c:v>
                </c:pt>
                <c:pt idx="26">
                  <c:v>300.1320269166564</c:v>
                </c:pt>
                <c:pt idx="27">
                  <c:v>299.58010757765391</c:v>
                </c:pt>
                <c:pt idx="28">
                  <c:v>299.06627716613662</c:v>
                </c:pt>
                <c:pt idx="29">
                  <c:v>298.53214521641405</c:v>
                </c:pt>
                <c:pt idx="30">
                  <c:v>297.97726091601027</c:v>
                </c:pt>
                <c:pt idx="31">
                  <c:v>297.40113251975151</c:v>
                </c:pt>
                <c:pt idx="32">
                  <c:v>296.80323075199215</c:v>
                </c:pt>
                <c:pt idx="33">
                  <c:v>296.1829928556719</c:v>
                </c:pt>
                <c:pt idx="34">
                  <c:v>295.53982755076572</c:v>
                </c:pt>
                <c:pt idx="35">
                  <c:v>294.87312121098398</c:v>
                </c:pt>
                <c:pt idx="36">
                  <c:v>294.18224566243202</c:v>
                </c:pt>
                <c:pt idx="37">
                  <c:v>293.46656811289665</c:v>
                </c:pt>
                <c:pt idx="38">
                  <c:v>292.72546386139527</c:v>
                </c:pt>
                <c:pt idx="39">
                  <c:v>291.95833263935009</c:v>
                </c:pt>
                <c:pt idx="40">
                  <c:v>291.16461967829156</c:v>
                </c:pt>
                <c:pt idx="41">
                  <c:v>290.34384295664131</c:v>
                </c:pt>
                <c:pt idx="42">
                  <c:v>289.49562852151598</c:v>
                </c:pt>
                <c:pt idx="43">
                  <c:v>288.6197564513368</c:v>
                </c:pt>
                <c:pt idx="44">
                  <c:v>287.71622087533569</c:v>
                </c:pt>
                <c:pt idx="45">
                  <c:v>286.7853087337129</c:v>
                </c:pt>
                <c:pt idx="46">
                  <c:v>285.82770368275209</c:v>
                </c:pt>
                <c:pt idx="47">
                  <c:v>284.84462410280867</c:v>
                </c:pt>
                <c:pt idx="48">
                  <c:v>283.83743696506565</c:v>
                </c:pt>
                <c:pt idx="49">
                  <c:v>281.52059120905079</c:v>
                </c:pt>
                <c:pt idx="50">
                  <c:v>278.94188873489429</c:v>
                </c:pt>
                <c:pt idx="51">
                  <c:v>276.37268810162828</c:v>
                </c:pt>
                <c:pt idx="52">
                  <c:v>273.8095773364671</c:v>
                </c:pt>
                <c:pt idx="53">
                  <c:v>271.24913117679876</c:v>
                </c:pt>
                <c:pt idx="54">
                  <c:v>268.68788639563019</c:v>
                </c:pt>
                <c:pt idx="55">
                  <c:v>266.12231578937764</c:v>
                </c:pt>
                <c:pt idx="56">
                  <c:v>263.25722195852649</c:v>
                </c:pt>
                <c:pt idx="57">
                  <c:v>259.52544772174792</c:v>
                </c:pt>
                <c:pt idx="58">
                  <c:v>255.79648952537343</c:v>
                </c:pt>
                <c:pt idx="59">
                  <c:v>252.06601378485644</c:v>
                </c:pt>
                <c:pt idx="60">
                  <c:v>248.32959957419649</c:v>
                </c:pt>
                <c:pt idx="61">
                  <c:v>244.58270480627147</c:v>
                </c:pt>
                <c:pt idx="62">
                  <c:v>240.82062856911085</c:v>
                </c:pt>
                <c:pt idx="63">
                  <c:v>237.03846847783134</c:v>
                </c:pt>
                <c:pt idx="64">
                  <c:v>233.17304162348555</c:v>
                </c:pt>
                <c:pt idx="65">
                  <c:v>229.10092132093786</c:v>
                </c:pt>
                <c:pt idx="66">
                  <c:v>225.01313250773356</c:v>
                </c:pt>
                <c:pt idx="67">
                  <c:v>220.90463036393967</c:v>
                </c:pt>
                <c:pt idx="68">
                  <c:v>216.77002836032779</c:v>
                </c:pt>
                <c:pt idx="69">
                  <c:v>212.6035029714823</c:v>
                </c:pt>
                <c:pt idx="70">
                  <c:v>208.39867019695913</c:v>
                </c:pt>
                <c:pt idx="71">
                  <c:v>204.14842210688178</c:v>
                </c:pt>
                <c:pt idx="72">
                  <c:v>199.84470576921422</c:v>
                </c:pt>
                <c:pt idx="73">
                  <c:v>195.47821756475449</c:v>
                </c:pt>
                <c:pt idx="74">
                  <c:v>191.03797070645362</c:v>
                </c:pt>
                <c:pt idx="75">
                  <c:v>186.51066837969464</c:v>
                </c:pt>
                <c:pt idx="76">
                  <c:v>181.8797713276586</c:v>
                </c:pt>
                <c:pt idx="77">
                  <c:v>177.1240714845176</c:v>
                </c:pt>
                <c:pt idx="78">
                  <c:v>172.21544158231774</c:v>
                </c:pt>
                <c:pt idx="79">
                  <c:v>167.11524278268129</c:v>
                </c:pt>
                <c:pt idx="80">
                  <c:v>161.78943277266018</c:v>
                </c:pt>
                <c:pt idx="81">
                  <c:v>155.88059178534007</c:v>
                </c:pt>
                <c:pt idx="82">
                  <c:v>149.62671950278036</c:v>
                </c:pt>
                <c:pt idx="83">
                  <c:v>143.08583491202512</c:v>
                </c:pt>
                <c:pt idx="84">
                  <c:v>136.25805975960174</c:v>
                </c:pt>
                <c:pt idx="85">
                  <c:v>129.14472403562775</c:v>
                </c:pt>
                <c:pt idx="86">
                  <c:v>121.75177292973999</c:v>
                </c:pt>
                <c:pt idx="87">
                  <c:v>114.09684305077486</c:v>
                </c:pt>
                <c:pt idx="88">
                  <c:v>106.22525749824482</c:v>
                </c:pt>
                <c:pt idx="89">
                  <c:v>98.225496745739179</c:v>
                </c:pt>
                <c:pt idx="90">
                  <c:v>90.132875055669302</c:v>
                </c:pt>
                <c:pt idx="91">
                  <c:v>75.54042173643623</c:v>
                </c:pt>
                <c:pt idx="92">
                  <c:v>61.570123669804786</c:v>
                </c:pt>
                <c:pt idx="93">
                  <c:v>48.724359605813639</c:v>
                </c:pt>
                <c:pt idx="94">
                  <c:v>37.538212569998542</c:v>
                </c:pt>
                <c:pt idx="95">
                  <c:v>26.696137289714645</c:v>
                </c:pt>
                <c:pt idx="96">
                  <c:v>16.470281659269848</c:v>
                </c:pt>
                <c:pt idx="97">
                  <c:v>8.8544585394665241</c:v>
                </c:pt>
                <c:pt idx="98">
                  <c:v>3.5275661046083404</c:v>
                </c:pt>
                <c:pt idx="99">
                  <c:v>-0.36187560940254271</c:v>
                </c:pt>
                <c:pt idx="100">
                  <c:v>-3.301650791711257</c:v>
                </c:pt>
                <c:pt idx="101">
                  <c:v>-5.5872067643957175</c:v>
                </c:pt>
                <c:pt idx="102">
                  <c:v>-7.4065360013031807</c:v>
                </c:pt>
                <c:pt idx="103">
                  <c:v>-8.8841581936243355</c:v>
                </c:pt>
                <c:pt idx="104">
                  <c:v>-10.105351151734938</c:v>
                </c:pt>
                <c:pt idx="105">
                  <c:v>-11.130190631355365</c:v>
                </c:pt>
                <c:pt idx="106">
                  <c:v>-12.002036278995185</c:v>
                </c:pt>
                <c:pt idx="107">
                  <c:v>-12.75284846728373</c:v>
                </c:pt>
                <c:pt idx="108">
                  <c:v>-13.406624377930784</c:v>
                </c:pt>
                <c:pt idx="109">
                  <c:v>-13.981679417236451</c:v>
                </c:pt>
                <c:pt idx="110">
                  <c:v>-14.492198432367768</c:v>
                </c:pt>
                <c:pt idx="111">
                  <c:v>-14.949312886088453</c:v>
                </c:pt>
                <c:pt idx="112">
                  <c:v>-15.361863099391705</c:v>
                </c:pt>
                <c:pt idx="113">
                  <c:v>-15.736946857260651</c:v>
                </c:pt>
                <c:pt idx="114">
                  <c:v>-16.080320344964768</c:v>
                </c:pt>
                <c:pt idx="115">
                  <c:v>-16.396695304018579</c:v>
                </c:pt>
                <c:pt idx="116">
                  <c:v>-16.689962070262627</c:v>
                </c:pt>
                <c:pt idx="117">
                  <c:v>-16.963358991069327</c:v>
                </c:pt>
                <c:pt idx="118">
                  <c:v>-17.219602473738934</c:v>
                </c:pt>
                <c:pt idx="119">
                  <c:v>-17.460987861476085</c:v>
                </c:pt>
                <c:pt idx="120">
                  <c:v>-17.689468386009857</c:v>
                </c:pt>
                <c:pt idx="121">
                  <c:v>-17.906717530365011</c:v>
                </c:pt>
                <c:pt idx="122">
                  <c:v>-18.118149842238807</c:v>
                </c:pt>
                <c:pt idx="123">
                  <c:v>-18.321439817395898</c:v>
                </c:pt>
                <c:pt idx="124">
                  <c:v>-18.517461097747194</c:v>
                </c:pt>
                <c:pt idx="125">
                  <c:v>-18.707170899271166</c:v>
                </c:pt>
                <c:pt idx="126">
                  <c:v>-18.891417806677818</c:v>
                </c:pt>
                <c:pt idx="127">
                  <c:v>-19.070959417645472</c:v>
                </c:pt>
                <c:pt idx="128">
                  <c:v>-19.246477069259399</c:v>
                </c:pt>
                <c:pt idx="129">
                  <c:v>-19.418588158892529</c:v>
                </c:pt>
                <c:pt idx="130">
                  <c:v>-19.587856591084904</c:v>
                </c:pt>
                <c:pt idx="131">
                  <c:v>-19.754801693135441</c:v>
                </c:pt>
                <c:pt idx="132">
                  <c:v>-19.919905878403998</c:v>
                </c:pt>
                <c:pt idx="133">
                  <c:v>-20.083621341854336</c:v>
                </c:pt>
                <c:pt idx="134">
                  <c:v>-20.246375951993393</c:v>
                </c:pt>
                <c:pt idx="135">
                  <c:v>-20.408578504716807</c:v>
                </c:pt>
                <c:pt idx="136">
                  <c:v>-20.570623509280807</c:v>
                </c:pt>
                <c:pt idx="137">
                  <c:v>-20.732895582160737</c:v>
                </c:pt>
                <c:pt idx="138">
                  <c:v>-20.895773589387915</c:v>
                </c:pt>
                <c:pt idx="139">
                  <c:v>-21.059634614544436</c:v>
                </c:pt>
                <c:pt idx="140">
                  <c:v>-21.224857845956901</c:v>
                </c:pt>
                <c:pt idx="141">
                  <c:v>-21.391828466784013</c:v>
                </c:pt>
                <c:pt idx="142">
                  <c:v>-21.560941630237977</c:v>
                </c:pt>
                <c:pt idx="143">
                  <c:v>-21.732606622279015</c:v>
                </c:pt>
                <c:pt idx="144">
                  <c:v>-21.907251287594754</c:v>
                </c:pt>
                <c:pt idx="145">
                  <c:v>-22.085326839576332</c:v>
                </c:pt>
                <c:pt idx="146">
                  <c:v>-22.267313156409131</c:v>
                </c:pt>
                <c:pt idx="147">
                  <c:v>-22.453724743473774</c:v>
                </c:pt>
                <c:pt idx="148">
                  <c:v>-22.645117464489857</c:v>
                </c:pt>
                <c:pt idx="149">
                  <c:v>-22.841874239559331</c:v>
                </c:pt>
                <c:pt idx="150">
                  <c:v>-23.040904142648493</c:v>
                </c:pt>
                <c:pt idx="151">
                  <c:v>-23.247033155372613</c:v>
                </c:pt>
                <c:pt idx="152">
                  <c:v>-23.461075758825174</c:v>
                </c:pt>
                <c:pt idx="153">
                  <c:v>-23.683943726995313</c:v>
                </c:pt>
                <c:pt idx="154">
                  <c:v>-23.916664301469361</c:v>
                </c:pt>
                <c:pt idx="155">
                  <c:v>-24.160402298013995</c:v>
                </c:pt>
                <c:pt idx="156">
                  <c:v>-24.416487218597727</c:v>
                </c:pt>
                <c:pt idx="157">
                  <c:v>-24.68644682615566</c:v>
                </c:pt>
                <c:pt idx="158">
                  <c:v>-24.972049065107804</c:v>
                </c:pt>
                <c:pt idx="159">
                  <c:v>-25.275354971624061</c:v>
                </c:pt>
                <c:pt idx="160">
                  <c:v>-25.598786097216454</c:v>
                </c:pt>
                <c:pt idx="161">
                  <c:v>-25.945211447388193</c:v>
                </c:pt>
                <c:pt idx="162">
                  <c:v>-26.318060927822437</c:v>
                </c:pt>
                <c:pt idx="163">
                  <c:v>-26.721475387469923</c:v>
                </c:pt>
                <c:pt idx="164">
                  <c:v>-27.160507995577422</c:v>
                </c:pt>
                <c:pt idx="165">
                  <c:v>-27.640046812178912</c:v>
                </c:pt>
                <c:pt idx="166">
                  <c:v>-28.158108097583153</c:v>
                </c:pt>
                <c:pt idx="167">
                  <c:v>-28.710261451734787</c:v>
                </c:pt>
                <c:pt idx="168">
                  <c:v>-29.292286013075653</c:v>
                </c:pt>
                <c:pt idx="169">
                  <c:v>-29.899999987693128</c:v>
                </c:pt>
                <c:pt idx="170">
                  <c:v>-30.529092769475621</c:v>
                </c:pt>
                <c:pt idx="171">
                  <c:v>-31.174959963595075</c:v>
                </c:pt>
                <c:pt idx="172">
                  <c:v>-31.832542857503324</c:v>
                </c:pt>
                <c:pt idx="173">
                  <c:v>-32.496185555502777</c:v>
                </c:pt>
                <c:pt idx="174">
                  <c:v>-33.159551401326212</c:v>
                </c:pt>
                <c:pt idx="175">
                  <c:v>-33.815718217096062</c:v>
                </c:pt>
                <c:pt idx="176">
                  <c:v>-34.457822858720263</c:v>
                </c:pt>
                <c:pt idx="177">
                  <c:v>-35.081371844264694</c:v>
                </c:pt>
                <c:pt idx="178">
                  <c:v>-35.685922468076924</c:v>
                </c:pt>
                <c:pt idx="179">
                  <c:v>-36.210511761085414</c:v>
                </c:pt>
                <c:pt idx="180">
                  <c:v>-36.552370448930944</c:v>
                </c:pt>
                <c:pt idx="181">
                  <c:v>-36.232719596423252</c:v>
                </c:pt>
                <c:pt idx="182">
                  <c:v>-35.77074092873459</c:v>
                </c:pt>
                <c:pt idx="183">
                  <c:v>-35.270281576662043</c:v>
                </c:pt>
                <c:pt idx="184">
                  <c:v>-34.785105877567759</c:v>
                </c:pt>
                <c:pt idx="185">
                  <c:v>-34.310889462766141</c:v>
                </c:pt>
                <c:pt idx="186">
                  <c:v>-33.845321388059894</c:v>
                </c:pt>
                <c:pt idx="187">
                  <c:v>-33.388232180912141</c:v>
                </c:pt>
                <c:pt idx="188">
                  <c:v>-32.932268947780344</c:v>
                </c:pt>
                <c:pt idx="189">
                  <c:v>-32.483348185105406</c:v>
                </c:pt>
                <c:pt idx="190">
                  <c:v>-32.044327970251921</c:v>
                </c:pt>
                <c:pt idx="191">
                  <c:v>-31.614962720528869</c:v>
                </c:pt>
                <c:pt idx="192">
                  <c:v>-31.194866513853249</c:v>
                </c:pt>
                <c:pt idx="193">
                  <c:v>-30.783558071735644</c:v>
                </c:pt>
                <c:pt idx="194">
                  <c:v>-30.38049923930307</c:v>
                </c:pt>
                <c:pt idx="195">
                  <c:v>-29.985125370301194</c:v>
                </c:pt>
                <c:pt idx="196">
                  <c:v>-29.596868455408348</c:v>
                </c:pt>
                <c:pt idx="197">
                  <c:v>-29.215174381836494</c:v>
                </c:pt>
                <c:pt idx="198">
                  <c:v>-28.83951581180661</c:v>
                </c:pt>
                <c:pt idx="199">
                  <c:v>-28.469401903989347</c:v>
                </c:pt>
                <c:pt idx="200">
                  <c:v>-28.104385843794265</c:v>
                </c:pt>
                <c:pt idx="201">
                  <c:v>-27.744071036743442</c:v>
                </c:pt>
                <c:pt idx="202">
                  <c:v>-27.388116571447906</c:v>
                </c:pt>
                <c:pt idx="203">
                  <c:v>-27.033679922212684</c:v>
                </c:pt>
                <c:pt idx="204">
                  <c:v>-26.682508711246651</c:v>
                </c:pt>
                <c:pt idx="205">
                  <c:v>-26.334915622565511</c:v>
                </c:pt>
                <c:pt idx="206">
                  <c:v>-25.990784828772139</c:v>
                </c:pt>
                <c:pt idx="207">
                  <c:v>-25.649410057417999</c:v>
                </c:pt>
                <c:pt idx="208">
                  <c:v>-25.309387255597755</c:v>
                </c:pt>
                <c:pt idx="209">
                  <c:v>-24.969366706487598</c:v>
                </c:pt>
                <c:pt idx="210">
                  <c:v>-24.628077279513047</c:v>
                </c:pt>
                <c:pt idx="211">
                  <c:v>-24.284306524518634</c:v>
                </c:pt>
                <c:pt idx="212">
                  <c:v>-23.936883375841354</c:v>
                </c:pt>
                <c:pt idx="213">
                  <c:v>-23.584662847424188</c:v>
                </c:pt>
                <c:pt idx="214">
                  <c:v>-23.226512171514152</c:v>
                </c:pt>
                <c:pt idx="215">
                  <c:v>-22.861298011147017</c:v>
                </c:pt>
                <c:pt idx="216">
                  <c:v>-22.48787435679165</c:v>
                </c:pt>
                <c:pt idx="217">
                  <c:v>-22.105070812793929</c:v>
                </c:pt>
                <c:pt idx="218">
                  <c:v>-21.711681009620513</c:v>
                </c:pt>
                <c:pt idx="219">
                  <c:v>-21.306450894344426</c:v>
                </c:pt>
                <c:pt idx="220">
                  <c:v>-20.888066635566751</c:v>
                </c:pt>
                <c:pt idx="221">
                  <c:v>-20.45514192310582</c:v>
                </c:pt>
                <c:pt idx="222">
                  <c:v>-20.006204414875945</c:v>
                </c:pt>
                <c:pt idx="223">
                  <c:v>-19.53968104642134</c:v>
                </c:pt>
                <c:pt idx="224">
                  <c:v>-19.053881944983253</c:v>
                </c:pt>
                <c:pt idx="225">
                  <c:v>-18.546982577257396</c:v>
                </c:pt>
                <c:pt idx="226">
                  <c:v>-18.017003818475722</c:v>
                </c:pt>
                <c:pt idx="227">
                  <c:v>-17.461789461306459</c:v>
                </c:pt>
                <c:pt idx="228">
                  <c:v>-16.87898069825728</c:v>
                </c:pt>
                <c:pt idx="229">
                  <c:v>-16.265986955079079</c:v>
                </c:pt>
                <c:pt idx="230">
                  <c:v>-15.619952389264599</c:v>
                </c:pt>
                <c:pt idx="231">
                  <c:v>-14.937717170504914</c:v>
                </c:pt>
                <c:pt idx="232">
                  <c:v>-14.215772531407461</c:v>
                </c:pt>
                <c:pt idx="233">
                  <c:v>-13.450208295513093</c:v>
                </c:pt>
                <c:pt idx="234">
                  <c:v>-12.636651353102753</c:v>
                </c:pt>
                <c:pt idx="235">
                  <c:v>-11.770193147022667</c:v>
                </c:pt>
                <c:pt idx="236">
                  <c:v>-10.84530378900258</c:v>
                </c:pt>
                <c:pt idx="237">
                  <c:v>-9.855729833080364</c:v>
                </c:pt>
                <c:pt idx="238">
                  <c:v>-8.7943719414827548</c:v>
                </c:pt>
                <c:pt idx="239">
                  <c:v>-7.6531376987397399</c:v>
                </c:pt>
                <c:pt idx="240">
                  <c:v>-6.4227635060228403</c:v>
                </c:pt>
                <c:pt idx="241">
                  <c:v>-5.092597773452562</c:v>
                </c:pt>
                <c:pt idx="242">
                  <c:v>-3.6503352884455227</c:v>
                </c:pt>
                <c:pt idx="243">
                  <c:v>-2.0816896005271985</c:v>
                </c:pt>
                <c:pt idx="244">
                  <c:v>-0.36998602191114094</c:v>
                </c:pt>
                <c:pt idx="245">
                  <c:v>1.5085963168749381</c:v>
                </c:pt>
                <c:pt idx="246">
                  <c:v>3.6063924358921704</c:v>
                </c:pt>
                <c:pt idx="247">
                  <c:v>5.9186450247227684</c:v>
                </c:pt>
                <c:pt idx="248">
                  <c:v>8.4300467362900839</c:v>
                </c:pt>
                <c:pt idx="249">
                  <c:v>11.201870073235114</c:v>
                </c:pt>
                <c:pt idx="250">
                  <c:v>14.278544687741629</c:v>
                </c:pt>
                <c:pt idx="251">
                  <c:v>17.71186836611297</c:v>
                </c:pt>
                <c:pt idx="252">
                  <c:v>21.565725124512515</c:v>
                </c:pt>
                <c:pt idx="253">
                  <c:v>25.791894831054059</c:v>
                </c:pt>
                <c:pt idx="254">
                  <c:v>30.020067990187801</c:v>
                </c:pt>
                <c:pt idx="255">
                  <c:v>34.825659506550586</c:v>
                </c:pt>
                <c:pt idx="256">
                  <c:v>40.336441603655537</c:v>
                </c:pt>
                <c:pt idx="257">
                  <c:v>46.716251186142536</c:v>
                </c:pt>
                <c:pt idx="258">
                  <c:v>54.048371879925476</c:v>
                </c:pt>
                <c:pt idx="259">
                  <c:v>62.293375752433896</c:v>
                </c:pt>
                <c:pt idx="260">
                  <c:v>71.417409504700231</c:v>
                </c:pt>
                <c:pt idx="261">
                  <c:v>80.345587180195082</c:v>
                </c:pt>
                <c:pt idx="262">
                  <c:v>87.349140609199566</c:v>
                </c:pt>
                <c:pt idx="263">
                  <c:v>93.585011432936398</c:v>
                </c:pt>
                <c:pt idx="264">
                  <c:v>100.07620738155984</c:v>
                </c:pt>
                <c:pt idx="265">
                  <c:v>106.80546253406204</c:v>
                </c:pt>
                <c:pt idx="266">
                  <c:v>113.73938407061605</c:v>
                </c:pt>
                <c:pt idx="267">
                  <c:v>120.82070498008363</c:v>
                </c:pt>
                <c:pt idx="268">
                  <c:v>127.9523260473554</c:v>
                </c:pt>
                <c:pt idx="269">
                  <c:v>135.07833350927567</c:v>
                </c:pt>
                <c:pt idx="270">
                  <c:v>142.19999999998831</c:v>
                </c:pt>
                <c:pt idx="271">
                  <c:v>149.32166649070103</c:v>
                </c:pt>
                <c:pt idx="272">
                  <c:v>156.44767395262122</c:v>
                </c:pt>
                <c:pt idx="273">
                  <c:v>163.57929501989298</c:v>
                </c:pt>
                <c:pt idx="274">
                  <c:v>170.66061592936035</c:v>
                </c:pt>
                <c:pt idx="275">
                  <c:v>177.59390034918161</c:v>
                </c:pt>
                <c:pt idx="276">
                  <c:v>184.31546729616403</c:v>
                </c:pt>
                <c:pt idx="277">
                  <c:v>190.7902937135855</c:v>
                </c:pt>
                <c:pt idx="278">
                  <c:v>196.99909918081943</c:v>
                </c:pt>
                <c:pt idx="279">
                  <c:v>202.93036227283679</c:v>
                </c:pt>
                <c:pt idx="280">
                  <c:v>208.57739579973901</c:v>
                </c:pt>
                <c:pt idx="281">
                  <c:v>213.94138693539429</c:v>
                </c:pt>
                <c:pt idx="282">
                  <c:v>219.00633999088336</c:v>
                </c:pt>
                <c:pt idx="283">
                  <c:v>223.76035776710148</c:v>
                </c:pt>
                <c:pt idx="284">
                  <c:v>228.18761319950875</c:v>
                </c:pt>
                <c:pt idx="285">
                  <c:v>232.26702933568589</c:v>
                </c:pt>
                <c:pt idx="286">
                  <c:v>235.98956326712607</c:v>
                </c:pt>
                <c:pt idx="287">
                  <c:v>239.39747288711854</c:v>
                </c:pt>
                <c:pt idx="288">
                  <c:v>242.53490998649244</c:v>
                </c:pt>
                <c:pt idx="289">
                  <c:v>245.43788348574054</c:v>
                </c:pt>
                <c:pt idx="290">
                  <c:v>248.13609969206817</c:v>
                </c:pt>
                <c:pt idx="291">
                  <c:v>250.65431777910854</c:v>
                </c:pt>
                <c:pt idx="292">
                  <c:v>253.01336473292693</c:v>
                </c:pt>
                <c:pt idx="293">
                  <c:v>255.2309066028435</c:v>
                </c:pt>
                <c:pt idx="294">
                  <c:v>257.32204241368561</c:v>
                </c:pt>
                <c:pt idx="295">
                  <c:v>259.29976708178106</c:v>
                </c:pt>
                <c:pt idx="296">
                  <c:v>261.17533620688596</c:v>
                </c:pt>
                <c:pt idx="297">
                  <c:v>262.95855645923223</c:v>
                </c:pt>
                <c:pt idx="298">
                  <c:v>264.65801888365286</c:v>
                </c:pt>
                <c:pt idx="299">
                  <c:v>266.28128794686938</c:v>
                </c:pt>
                <c:pt idx="300">
                  <c:v>267.83505594607072</c:v>
                </c:pt>
                <c:pt idx="301">
                  <c:v>269.32527005188035</c:v>
                </c:pt>
                <c:pt idx="302">
                  <c:v>270.75723755148749</c:v>
                </c:pt>
                <c:pt idx="303">
                  <c:v>272.13571360373078</c:v>
                </c:pt>
                <c:pt idx="304">
                  <c:v>273.46497483756008</c:v>
                </c:pt>
                <c:pt idx="305">
                  <c:v>274.74888144456406</c:v>
                </c:pt>
                <c:pt idx="306">
                  <c:v>275.99092983542437</c:v>
                </c:pt>
                <c:pt idx="307">
                  <c:v>277.1942975261212</c:v>
                </c:pt>
                <c:pt idx="308">
                  <c:v>278.36188158815759</c:v>
                </c:pt>
                <c:pt idx="309">
                  <c:v>279.49633173541258</c:v>
                </c:pt>
                <c:pt idx="310">
                  <c:v>280.60007892685599</c:v>
                </c:pt>
                <c:pt idx="311">
                  <c:v>281.67536020240863</c:v>
                </c:pt>
                <c:pt idx="312">
                  <c:v>282.72424033993684</c:v>
                </c:pt>
                <c:pt idx="313">
                  <c:v>283.74863081059755</c:v>
                </c:pt>
                <c:pt idx="314">
                  <c:v>284.74996110510665</c:v>
                </c:pt>
                <c:pt idx="315">
                  <c:v>285.72724116924206</c:v>
                </c:pt>
                <c:pt idx="316">
                  <c:v>286.67898312910097</c:v>
                </c:pt>
                <c:pt idx="317">
                  <c:v>287.60428242281125</c:v>
                </c:pt>
                <c:pt idx="318">
                  <c:v>288.50267323677292</c:v>
                </c:pt>
                <c:pt idx="319">
                  <c:v>289.3740155983582</c:v>
                </c:pt>
                <c:pt idx="320">
                  <c:v>290.24081642842214</c:v>
                </c:pt>
                <c:pt idx="321">
                  <c:v>291.0968407647693</c:v>
                </c:pt>
                <c:pt idx="322">
                  <c:v>291.92781728627079</c:v>
                </c:pt>
                <c:pt idx="323">
                  <c:v>292.73417592674895</c:v>
                </c:pt>
                <c:pt idx="324">
                  <c:v>293.51641247144875</c:v>
                </c:pt>
                <c:pt idx="325">
                  <c:v>294.27506424292045</c:v>
                </c:pt>
                <c:pt idx="326">
                  <c:v>295.0106911113462</c:v>
                </c:pt>
                <c:pt idx="327">
                  <c:v>295.72386057399785</c:v>
                </c:pt>
                <c:pt idx="328">
                  <c:v>296.41513600074677</c:v>
                </c:pt>
                <c:pt idx="329">
                  <c:v>297.08506729131943</c:v>
                </c:pt>
                <c:pt idx="330">
                  <c:v>297.73418337599026</c:v>
                </c:pt>
                <c:pt idx="331">
                  <c:v>298.3629861384523</c:v>
                </c:pt>
                <c:pt idx="332">
                  <c:v>298.97194537058397</c:v>
                </c:pt>
                <c:pt idx="333">
                  <c:v>299.56149451002568</c:v>
                </c:pt>
                <c:pt idx="334">
                  <c:v>300.13202691665003</c:v>
                </c:pt>
                <c:pt idx="335">
                  <c:v>300.68389250754518</c:v>
                </c:pt>
                <c:pt idx="336">
                  <c:v>301.2173946030037</c:v>
                </c:pt>
                <c:pt idx="337">
                  <c:v>301.73278688465439</c:v>
                </c:pt>
                <c:pt idx="338">
                  <c:v>302.23027034834337</c:v>
                </c:pt>
                <c:pt idx="339">
                  <c:v>302.70999024175597</c:v>
                </c:pt>
                <c:pt idx="340">
                  <c:v>303.17203294272633</c:v>
                </c:pt>
                <c:pt idx="341">
                  <c:v>303.61642284207772</c:v>
                </c:pt>
                <c:pt idx="342">
                  <c:v>304.04311937715471</c:v>
                </c:pt>
                <c:pt idx="343">
                  <c:v>304.4520144704926</c:v>
                </c:pt>
                <c:pt idx="344">
                  <c:v>304.84293088712059</c:v>
                </c:pt>
                <c:pt idx="345">
                  <c:v>305.21562239207782</c:v>
                </c:pt>
                <c:pt idx="346">
                  <c:v>305.56977717806279</c:v>
                </c:pt>
                <c:pt idx="347">
                  <c:v>305.90502721161261</c:v>
                </c:pt>
                <c:pt idx="348">
                  <c:v>306.22096799865579</c:v>
                </c:pt>
                <c:pt idx="349">
                  <c:v>306.51719693245929</c:v>
                </c:pt>
                <c:pt idx="350">
                  <c:v>306.79338519559337</c:v>
                </c:pt>
                <c:pt idx="351">
                  <c:v>307.04941180289541</c:v>
                </c:pt>
                <c:pt idx="352">
                  <c:v>307.28553124019766</c:v>
                </c:pt>
                <c:pt idx="353">
                  <c:v>307.50217433490207</c:v>
                </c:pt>
                <c:pt idx="354">
                  <c:v>307.69973211680508</c:v>
                </c:pt>
                <c:pt idx="355">
                  <c:v>307.87854601286068</c:v>
                </c:pt>
                <c:pt idx="356">
                  <c:v>308.03890952495306</c:v>
                </c:pt>
                <c:pt idx="357">
                  <c:v>308.18106964141879</c:v>
                </c:pt>
                <c:pt idx="358">
                  <c:v>308.3052279914038</c:v>
                </c:pt>
                <c:pt idx="359">
                  <c:v>308.41154177354889</c:v>
                </c:pt>
                <c:pt idx="360">
                  <c:v>308.50012443098478</c:v>
                </c:pt>
              </c:numCache>
            </c:numRef>
          </c:xVal>
          <c:yVal>
            <c:numRef>
              <c:f>L_Section_Capacity!$BK$2:$BK$362</c:f>
              <c:numCache>
                <c:formatCode>General</c:formatCode>
                <c:ptCount val="361"/>
                <c:pt idx="0">
                  <c:v>-47.4</c:v>
                </c:pt>
                <c:pt idx="1">
                  <c:v>-46.509791688660883</c:v>
                </c:pt>
                <c:pt idx="2">
                  <c:v>-45.619040755920878</c:v>
                </c:pt>
                <c:pt idx="3">
                  <c:v>-44.72720325656487</c:v>
                </c:pt>
                <c:pt idx="4">
                  <c:v>-43.833732590880949</c:v>
                </c:pt>
                <c:pt idx="5">
                  <c:v>-42.938078160177874</c:v>
                </c:pt>
                <c:pt idx="6">
                  <c:v>-42.039684001450524</c:v>
                </c:pt>
                <c:pt idx="7">
                  <c:v>-41.137987393951875</c:v>
                </c:pt>
                <c:pt idx="8">
                  <c:v>-40.232417430178067</c:v>
                </c:pt>
                <c:pt idx="9">
                  <c:v>-39.322393543448669</c:v>
                </c:pt>
                <c:pt idx="10">
                  <c:v>-38.407340395629269</c:v>
                </c:pt>
                <c:pt idx="11">
                  <c:v>-37.486976571875495</c:v>
                </c:pt>
                <c:pt idx="12">
                  <c:v>-36.561524220255151</c:v>
                </c:pt>
                <c:pt idx="13">
                  <c:v>-35.63142869229452</c:v>
                </c:pt>
                <c:pt idx="14">
                  <c:v>-34.697176908102662</c:v>
                </c:pt>
                <c:pt idx="15">
                  <c:v>-33.759218468149932</c:v>
                </c:pt>
                <c:pt idx="16">
                  <c:v>-32.817934378816275</c:v>
                </c:pt>
                <c:pt idx="17">
                  <c:v>-31.873628232318993</c:v>
                </c:pt>
                <c:pt idx="18">
                  <c:v>-30.926527906378737</c:v>
                </c:pt>
                <c:pt idx="19">
                  <c:v>-29.976791969255771</c:v>
                </c:pt>
                <c:pt idx="20">
                  <c:v>-29.024517927067123</c:v>
                </c:pt>
                <c:pt idx="21">
                  <c:v>-28.069750919084186</c:v>
                </c:pt>
                <c:pt idx="22">
                  <c:v>-27.112492215231192</c:v>
                </c:pt>
                <c:pt idx="23">
                  <c:v>-26.152707257258839</c:v>
                </c:pt>
                <c:pt idx="24">
                  <c:v>-25.19033318650726</c:v>
                </c:pt>
                <c:pt idx="25">
                  <c:v>-24.225285906566114</c:v>
                </c:pt>
                <c:pt idx="26">
                  <c:v>-23.257466784437362</c:v>
                </c:pt>
                <c:pt idx="27">
                  <c:v>-22.286392189691885</c:v>
                </c:pt>
                <c:pt idx="28">
                  <c:v>-21.310914645984042</c:v>
                </c:pt>
                <c:pt idx="29">
                  <c:v>-20.331915566248409</c:v>
                </c:pt>
                <c:pt idx="30">
                  <c:v>-19.349258594493733</c:v>
                </c:pt>
                <c:pt idx="31">
                  <c:v>-18.362823020405052</c:v>
                </c:pt>
                <c:pt idx="32">
                  <c:v>-17.372511052106535</c:v>
                </c:pt>
                <c:pt idx="33">
                  <c:v>-16.378255932851836</c:v>
                </c:pt>
                <c:pt idx="34">
                  <c:v>-15.380031174981145</c:v>
                </c:pt>
                <c:pt idx="35">
                  <c:v>-14.377861235874642</c:v>
                </c:pt>
                <c:pt idx="36">
                  <c:v>-13.37183402743587</c:v>
                </c:pt>
                <c:pt idx="37">
                  <c:v>-12.362115739095731</c:v>
                </c:pt>
                <c:pt idx="38">
                  <c:v>-11.348968570647495</c:v>
                </c:pt>
                <c:pt idx="39">
                  <c:v>-10.332772123638089</c:v>
                </c:pt>
                <c:pt idx="40">
                  <c:v>-9.3140494032316106</c:v>
                </c:pt>
                <c:pt idx="41">
                  <c:v>-8.2934986516285107</c:v>
                </c:pt>
                <c:pt idx="42">
                  <c:v>-7.2720325989748362</c:v>
                </c:pt>
                <c:pt idx="43">
                  <c:v>-6.2508272087235728</c:v>
                </c:pt>
                <c:pt idx="44">
                  <c:v>-5.2313826749024388</c:v>
                </c:pt>
                <c:pt idx="45">
                  <c:v>-4.2156003697021447</c:v>
                </c:pt>
                <c:pt idx="46">
                  <c:v>-3.205880775890023</c:v>
                </c:pt>
                <c:pt idx="47">
                  <c:v>-2.205249349249641</c:v>
                </c:pt>
                <c:pt idx="48">
                  <c:v>-1.2167656412974754</c:v>
                </c:pt>
                <c:pt idx="49">
                  <c:v>5.0198605235702107E-3</c:v>
                </c:pt>
                <c:pt idx="50">
                  <c:v>1.2463536344783961</c:v>
                </c:pt>
                <c:pt idx="51">
                  <c:v>2.4556144292499198</c:v>
                </c:pt>
                <c:pt idx="52">
                  <c:v>3.6349344507155097</c:v>
                </c:pt>
                <c:pt idx="53">
                  <c:v>4.7863030333081911</c:v>
                </c:pt>
                <c:pt idx="54">
                  <c:v>5.911581040507599</c:v>
                </c:pt>
                <c:pt idx="55">
                  <c:v>7.0125138550163229</c:v>
                </c:pt>
                <c:pt idx="56">
                  <c:v>8.1278333101856024</c:v>
                </c:pt>
                <c:pt idx="57">
                  <c:v>9.3233370402228193</c:v>
                </c:pt>
                <c:pt idx="58">
                  <c:v>10.485216556593437</c:v>
                </c:pt>
                <c:pt idx="59">
                  <c:v>11.615209124646638</c:v>
                </c:pt>
                <c:pt idx="60">
                  <c:v>12.714929872826833</c:v>
                </c:pt>
                <c:pt idx="61">
                  <c:v>13.785881909847129</c:v>
                </c:pt>
                <c:pt idx="62">
                  <c:v>14.829465605389563</c:v>
                </c:pt>
                <c:pt idx="63">
                  <c:v>15.846987187560936</c:v>
                </c:pt>
                <c:pt idx="64">
                  <c:v>16.831010513188382</c:v>
                </c:pt>
                <c:pt idx="65">
                  <c:v>17.762297223445962</c:v>
                </c:pt>
                <c:pt idx="66">
                  <c:v>18.669875681702422</c:v>
                </c:pt>
                <c:pt idx="67">
                  <c:v>19.555395784893989</c:v>
                </c:pt>
                <c:pt idx="68">
                  <c:v>20.42054084176241</c:v>
                </c:pt>
                <c:pt idx="69">
                  <c:v>21.267060597730115</c:v>
                </c:pt>
                <c:pt idx="70">
                  <c:v>22.096812041172058</c:v>
                </c:pt>
                <c:pt idx="71">
                  <c:v>22.911810988615599</c:v>
                </c:pt>
                <c:pt idx="72">
                  <c:v>23.714298676828157</c:v>
                </c:pt>
                <c:pt idx="73">
                  <c:v>24.506829481682452</c:v>
                </c:pt>
                <c:pt idx="74">
                  <c:v>25.292388725051001</c:v>
                </c:pt>
                <c:pt idx="75">
                  <c:v>26.074554038781219</c:v>
                </c:pt>
                <c:pt idx="76">
                  <c:v>26.857720955343293</c:v>
                </c:pt>
                <c:pt idx="77">
                  <c:v>27.647425272892164</c:v>
                </c:pt>
                <c:pt idx="78">
                  <c:v>28.450814953705507</c:v>
                </c:pt>
                <c:pt idx="79">
                  <c:v>29.277338101085281</c:v>
                </c:pt>
                <c:pt idx="80">
                  <c:v>30.13446599312719</c:v>
                </c:pt>
                <c:pt idx="81">
                  <c:v>30.870303098796146</c:v>
                </c:pt>
                <c:pt idx="82">
                  <c:v>31.556476644022336</c:v>
                </c:pt>
                <c:pt idx="83">
                  <c:v>32.205970679382972</c:v>
                </c:pt>
                <c:pt idx="84">
                  <c:v>32.808729714535197</c:v>
                </c:pt>
                <c:pt idx="85">
                  <c:v>33.35313571741208</c:v>
                </c:pt>
                <c:pt idx="86">
                  <c:v>33.824423591682041</c:v>
                </c:pt>
                <c:pt idx="87">
                  <c:v>34.201699945927757</c:v>
                </c:pt>
                <c:pt idx="88">
                  <c:v>34.452565631154485</c:v>
                </c:pt>
                <c:pt idx="89">
                  <c:v>34.532106782971361</c:v>
                </c:pt>
                <c:pt idx="90">
                  <c:v>34.41111198845077</c:v>
                </c:pt>
                <c:pt idx="91">
                  <c:v>33.921144652348552</c:v>
                </c:pt>
                <c:pt idx="92">
                  <c:v>33.287896128967851</c:v>
                </c:pt>
                <c:pt idx="93">
                  <c:v>32.579529575358279</c:v>
                </c:pt>
                <c:pt idx="94">
                  <c:v>31.885732681151072</c:v>
                </c:pt>
                <c:pt idx="95">
                  <c:v>30.654811275586397</c:v>
                </c:pt>
                <c:pt idx="96">
                  <c:v>28.803503590121789</c:v>
                </c:pt>
                <c:pt idx="97">
                  <c:v>27.002767219264751</c:v>
                </c:pt>
                <c:pt idx="98">
                  <c:v>25.551344090728534</c:v>
                </c:pt>
                <c:pt idx="99">
                  <c:v>24.355414399816553</c:v>
                </c:pt>
                <c:pt idx="100">
                  <c:v>23.348028580392501</c:v>
                </c:pt>
                <c:pt idx="101">
                  <c:v>22.484167574971472</c:v>
                </c:pt>
                <c:pt idx="102">
                  <c:v>21.732339502102182</c:v>
                </c:pt>
                <c:pt idx="103">
                  <c:v>21.069794077364453</c:v>
                </c:pt>
                <c:pt idx="104">
                  <c:v>20.479649550148416</c:v>
                </c:pt>
                <c:pt idx="105">
                  <c:v>19.949091274270415</c:v>
                </c:pt>
                <c:pt idx="106">
                  <c:v>19.468200303718902</c:v>
                </c:pt>
                <c:pt idx="107">
                  <c:v>19.029167695773591</c:v>
                </c:pt>
                <c:pt idx="108">
                  <c:v>18.625753236249871</c:v>
                </c:pt>
                <c:pt idx="109">
                  <c:v>18.252903755005221</c:v>
                </c:pt>
                <c:pt idx="110">
                  <c:v>17.906478404612937</c:v>
                </c:pt>
                <c:pt idx="111">
                  <c:v>17.583047279121036</c:v>
                </c:pt>
                <c:pt idx="112">
                  <c:v>17.279741372872174</c:v>
                </c:pt>
                <c:pt idx="113">
                  <c:v>16.994139133521944</c:v>
                </c:pt>
                <c:pt idx="114">
                  <c:v>16.7241795264584</c:v>
                </c:pt>
                <c:pt idx="115">
                  <c:v>16.468094605196484</c:v>
                </c:pt>
                <c:pt idx="116">
                  <c:v>16.224356608884925</c:v>
                </c:pt>
                <c:pt idx="117">
                  <c:v>15.991636034674032</c:v>
                </c:pt>
                <c:pt idx="118">
                  <c:v>15.768768067125212</c:v>
                </c:pt>
                <c:pt idx="119">
                  <c:v>15.554725463897235</c:v>
                </c:pt>
                <c:pt idx="120">
                  <c:v>15.348596449891454</c:v>
                </c:pt>
                <c:pt idx="121">
                  <c:v>15.149566547909538</c:v>
                </c:pt>
                <c:pt idx="122">
                  <c:v>14.952809771643654</c:v>
                </c:pt>
                <c:pt idx="123">
                  <c:v>14.76141705082266</c:v>
                </c:pt>
                <c:pt idx="124">
                  <c:v>14.575005464675778</c:v>
                </c:pt>
                <c:pt idx="125">
                  <c:v>14.393019146103398</c:v>
                </c:pt>
                <c:pt idx="126">
                  <c:v>14.214943596395793</c:v>
                </c:pt>
                <c:pt idx="127">
                  <c:v>14.040298930086983</c:v>
                </c:pt>
                <c:pt idx="128">
                  <c:v>13.868633937912115</c:v>
                </c:pt>
                <c:pt idx="129">
                  <c:v>13.699520774636584</c:v>
                </c:pt>
                <c:pt idx="130">
                  <c:v>13.532550154246112</c:v>
                </c:pt>
                <c:pt idx="131">
                  <c:v>13.367326922798995</c:v>
                </c:pt>
                <c:pt idx="132">
                  <c:v>13.20346589725678</c:v>
                </c:pt>
                <c:pt idx="133">
                  <c:v>13.040587889791299</c:v>
                </c:pt>
                <c:pt idx="134">
                  <c:v>12.878315817547382</c:v>
                </c:pt>
                <c:pt idx="135">
                  <c:v>12.716270812898587</c:v>
                </c:pt>
                <c:pt idx="136">
                  <c:v>12.55406825935655</c:v>
                </c:pt>
                <c:pt idx="137">
                  <c:v>12.391313650008858</c:v>
                </c:pt>
                <c:pt idx="138">
                  <c:v>12.227598185428864</c:v>
                </c:pt>
                <c:pt idx="139">
                  <c:v>12.062493999996654</c:v>
                </c:pt>
                <c:pt idx="140">
                  <c:v>11.895548898821021</c:v>
                </c:pt>
                <c:pt idx="141">
                  <c:v>11.726280465753842</c:v>
                </c:pt>
                <c:pt idx="142">
                  <c:v>11.554169376855643</c:v>
                </c:pt>
                <c:pt idx="143">
                  <c:v>11.378651725762071</c:v>
                </c:pt>
                <c:pt idx="144">
                  <c:v>11.19911011321577</c:v>
                </c:pt>
                <c:pt idx="145">
                  <c:v>11.014863208306213</c:v>
                </c:pt>
                <c:pt idx="146">
                  <c:v>10.825153405406377</c:v>
                </c:pt>
                <c:pt idx="147">
                  <c:v>10.629132125028692</c:v>
                </c:pt>
                <c:pt idx="148">
                  <c:v>10.425842149486884</c:v>
                </c:pt>
                <c:pt idx="149">
                  <c:v>10.214409838173381</c:v>
                </c:pt>
                <c:pt idx="150">
                  <c:v>9.9971606933256041</c:v>
                </c:pt>
                <c:pt idx="151">
                  <c:v>9.7686801682704036</c:v>
                </c:pt>
                <c:pt idx="152">
                  <c:v>9.52729478125881</c:v>
                </c:pt>
                <c:pt idx="153">
                  <c:v>9.271051298685606</c:v>
                </c:pt>
                <c:pt idx="154">
                  <c:v>8.9976543785265548</c:v>
                </c:pt>
                <c:pt idx="155">
                  <c:v>8.7043876113799659</c:v>
                </c:pt>
                <c:pt idx="156">
                  <c:v>8.388012653032396</c:v>
                </c:pt>
                <c:pt idx="157">
                  <c:v>8.0446391651334963</c:v>
                </c:pt>
                <c:pt idx="158">
                  <c:v>7.6695554076820125</c:v>
                </c:pt>
                <c:pt idx="159">
                  <c:v>7.2570051936554316</c:v>
                </c:pt>
                <c:pt idx="160">
                  <c:v>6.7998907397823345</c:v>
                </c:pt>
                <c:pt idx="161">
                  <c:v>6.2893717243928506</c:v>
                </c:pt>
                <c:pt idx="162">
                  <c:v>5.714316684668578</c:v>
                </c:pt>
                <c:pt idx="163">
                  <c:v>5.0605407754450802</c:v>
                </c:pt>
                <c:pt idx="164">
                  <c:v>4.3097285866073385</c:v>
                </c:pt>
                <c:pt idx="165">
                  <c:v>3.4420363931526339</c:v>
                </c:pt>
                <c:pt idx="166">
                  <c:v>2.4568638665056803</c:v>
                </c:pt>
                <c:pt idx="167">
                  <c:v>1.3611441293065376</c:v>
                </c:pt>
                <c:pt idx="168">
                  <c:v>0.16142724710924364</c:v>
                </c:pt>
                <c:pt idx="169">
                  <c:v>-1.1357874765651996</c:v>
                </c:pt>
                <c:pt idx="170">
                  <c:v>-2.523699674914742</c:v>
                </c:pt>
                <c:pt idx="171">
                  <c:v>-3.9948354606085883</c:v>
                </c:pt>
                <c:pt idx="172">
                  <c:v>-5.5406461237829099</c:v>
                </c:pt>
                <c:pt idx="173">
                  <c:v>-7.1510857000119605</c:v>
                </c:pt>
                <c:pt idx="174">
                  <c:v>-8.8142221819650128</c:v>
                </c:pt>
                <c:pt idx="175">
                  <c:v>-10.516096626333345</c:v>
                </c:pt>
                <c:pt idx="176">
                  <c:v>-12.241681672191078</c:v>
                </c:pt>
                <c:pt idx="177">
                  <c:v>-13.980283510796506</c:v>
                </c:pt>
                <c:pt idx="178">
                  <c:v>-15.730987034363183</c:v>
                </c:pt>
                <c:pt idx="179">
                  <c:v>-17.511144247853991</c:v>
                </c:pt>
                <c:pt idx="180">
                  <c:v>-19.223161581369538</c:v>
                </c:pt>
                <c:pt idx="181">
                  <c:v>-20.216766715682112</c:v>
                </c:pt>
                <c:pt idx="182">
                  <c:v>-21.115913910903789</c:v>
                </c:pt>
                <c:pt idx="183">
                  <c:v>-22.020442119369413</c:v>
                </c:pt>
                <c:pt idx="184">
                  <c:v>-22.917288131247979</c:v>
                </c:pt>
                <c:pt idx="185">
                  <c:v>-23.808309291375867</c:v>
                </c:pt>
                <c:pt idx="186">
                  <c:v>-24.693699114804843</c:v>
                </c:pt>
                <c:pt idx="187">
                  <c:v>-25.57217480152476</c:v>
                </c:pt>
                <c:pt idx="188">
                  <c:v>-26.458468279738533</c:v>
                </c:pt>
                <c:pt idx="189">
                  <c:v>-27.341398585264191</c:v>
                </c:pt>
                <c:pt idx="190">
                  <c:v>-28.21491041342038</c:v>
                </c:pt>
                <c:pt idx="191">
                  <c:v>-29.079010670271735</c:v>
                </c:pt>
                <c:pt idx="192">
                  <c:v>-29.933864597492473</c:v>
                </c:pt>
                <c:pt idx="193">
                  <c:v>-30.779736429253749</c:v>
                </c:pt>
                <c:pt idx="194">
                  <c:v>-31.616948502473186</c:v>
                </c:pt>
                <c:pt idx="195">
                  <c:v>-32.445853058604719</c:v>
                </c:pt>
                <c:pt idx="196">
                  <c:v>-33.266812592341871</c:v>
                </c:pt>
                <c:pt idx="197">
                  <c:v>-34.080185933410206</c:v>
                </c:pt>
                <c:pt idx="198">
                  <c:v>-34.886318138063238</c:v>
                </c:pt>
                <c:pt idx="199">
                  <c:v>-35.685532889731974</c:v>
                </c:pt>
                <c:pt idx="200">
                  <c:v>-36.478126513965705</c:v>
                </c:pt>
                <c:pt idx="201">
                  <c:v>-37.264362956170118</c:v>
                </c:pt>
                <c:pt idx="202">
                  <c:v>-38.04446926102041</c:v>
                </c:pt>
                <c:pt idx="203">
                  <c:v>-38.819340570473827</c:v>
                </c:pt>
                <c:pt idx="204">
                  <c:v>-39.58877889067908</c:v>
                </c:pt>
                <c:pt idx="205">
                  <c:v>-40.352773023020077</c:v>
                </c:pt>
                <c:pt idx="206">
                  <c:v>-41.111406179930114</c:v>
                </c:pt>
                <c:pt idx="207">
                  <c:v>-41.865683534249484</c:v>
                </c:pt>
                <c:pt idx="208">
                  <c:v>-42.617592410057796</c:v>
                </c:pt>
                <c:pt idx="209">
                  <c:v>-43.368952062817421</c:v>
                </c:pt>
                <c:pt idx="210">
                  <c:v>-44.121394740810594</c:v>
                </c:pt>
                <c:pt idx="211">
                  <c:v>-44.876407901646054</c:v>
                </c:pt>
                <c:pt idx="212">
                  <c:v>-45.635368061288808</c:v>
                </c:pt>
                <c:pt idx="213">
                  <c:v>-46.399568312179589</c:v>
                </c:pt>
                <c:pt idx="214">
                  <c:v>-47.17024104088717</c:v>
                </c:pt>
                <c:pt idx="215">
                  <c:v>-47.94857699034732</c:v>
                </c:pt>
                <c:pt idx="216">
                  <c:v>-48.735741556173487</c:v>
                </c:pt>
                <c:pt idx="217">
                  <c:v>-49.532889001193638</c:v>
                </c:pt>
                <c:pt idx="218">
                  <c:v>-50.341175127923762</c:v>
                </c:pt>
                <c:pt idx="219">
                  <c:v>-51.161768842797962</c:v>
                </c:pt>
                <c:pt idx="220">
                  <c:v>-51.995862971631936</c:v>
                </c:pt>
                <c:pt idx="221">
                  <c:v>-52.844684622691865</c:v>
                </c:pt>
                <c:pt idx="222">
                  <c:v>-53.709505356862721</c:v>
                </c:pt>
                <c:pt idx="223">
                  <c:v>-54.591651400216314</c:v>
                </c:pt>
                <c:pt idx="224">
                  <c:v>-55.492514110759885</c:v>
                </c:pt>
                <c:pt idx="225">
                  <c:v>-56.41356091455684</c:v>
                </c:pt>
                <c:pt idx="226">
                  <c:v>-57.356346913036596</c:v>
                </c:pt>
                <c:pt idx="227">
                  <c:v>-58.32252738650218</c:v>
                </c:pt>
                <c:pt idx="228">
                  <c:v>-59.313871422785148</c:v>
                </c:pt>
                <c:pt idx="229">
                  <c:v>-60.332276932027554</c:v>
                </c:pt>
                <c:pt idx="230">
                  <c:v>-61.379787334341941</c:v>
                </c:pt>
                <c:pt idx="231">
                  <c:v>-62.458610255997357</c:v>
                </c:pt>
                <c:pt idx="232">
                  <c:v>-63.571138617493901</c:v>
                </c:pt>
                <c:pt idx="233">
                  <c:v>-64.719974571605533</c:v>
                </c:pt>
                <c:pt idx="234">
                  <c:v>-65.907956829337081</c:v>
                </c:pt>
                <c:pt idx="235">
                  <c:v>-67.138192024412888</c:v>
                </c:pt>
                <c:pt idx="236">
                  <c:v>-68.414090899354562</c:v>
                </c:pt>
                <c:pt idx="237">
                  <c:v>-69.739410266279691</c:v>
                </c:pt>
                <c:pt idx="238">
                  <c:v>-71.118301913089226</c:v>
                </c:pt>
                <c:pt idx="239">
                  <c:v>-72.555369897258913</c:v>
                </c:pt>
                <c:pt idx="240">
                  <c:v>-74.055738021114081</c:v>
                </c:pt>
                <c:pt idx="241">
                  <c:v>-75.625129732241774</c:v>
                </c:pt>
                <c:pt idx="242">
                  <c:v>-77.269963281597938</c:v>
                </c:pt>
                <c:pt idx="243">
                  <c:v>-78.997465732901773</c:v>
                </c:pt>
                <c:pt idx="244">
                  <c:v>-80.815810432162976</c:v>
                </c:pt>
                <c:pt idx="245">
                  <c:v>-82.734592042133698</c:v>
                </c:pt>
                <c:pt idx="246">
                  <c:v>-84.766378812101507</c:v>
                </c:pt>
                <c:pt idx="247">
                  <c:v>-86.920858186811472</c:v>
                </c:pt>
                <c:pt idx="248">
                  <c:v>-88.938179186307394</c:v>
                </c:pt>
                <c:pt idx="249">
                  <c:v>-91.067335415695311</c:v>
                </c:pt>
                <c:pt idx="250">
                  <c:v>-93.337694204621201</c:v>
                </c:pt>
                <c:pt idx="251">
                  <c:v>-95.767477583513269</c:v>
                </c:pt>
                <c:pt idx="252">
                  <c:v>-98.378289652145142</c:v>
                </c:pt>
                <c:pt idx="253">
                  <c:v>-101.03760766569208</c:v>
                </c:pt>
                <c:pt idx="254">
                  <c:v>-103.24289732968003</c:v>
                </c:pt>
                <c:pt idx="255">
                  <c:v>-105.63793905042469</c:v>
                </c:pt>
                <c:pt idx="256">
                  <c:v>-108.25498785374748</c:v>
                </c:pt>
                <c:pt idx="257">
                  <c:v>-111.13337927201417</c:v>
                </c:pt>
                <c:pt idx="258">
                  <c:v>-114.28837040919475</c:v>
                </c:pt>
                <c:pt idx="259">
                  <c:v>-117.70291495932675</c:v>
                </c:pt>
                <c:pt idx="260">
                  <c:v>-121.36232904137684</c:v>
                </c:pt>
                <c:pt idx="261">
                  <c:v>-124.35566411663478</c:v>
                </c:pt>
                <c:pt idx="262">
                  <c:v>-125.85649894521147</c:v>
                </c:pt>
                <c:pt idx="263">
                  <c:v>-126.66542090498356</c:v>
                </c:pt>
                <c:pt idx="264">
                  <c:v>-127.40925356237723</c:v>
                </c:pt>
                <c:pt idx="265">
                  <c:v>-128.07491137938382</c:v>
                </c:pt>
                <c:pt idx="266">
                  <c:v>-128.79210353682981</c:v>
                </c:pt>
                <c:pt idx="267">
                  <c:v>-129.43492005381853</c:v>
                </c:pt>
                <c:pt idx="268">
                  <c:v>-129.94820838693749</c:v>
                </c:pt>
                <c:pt idx="269">
                  <c:v>-130.31991396389523</c:v>
                </c:pt>
                <c:pt idx="270">
                  <c:v>-130.55006221505835</c:v>
                </c:pt>
                <c:pt idx="271">
                  <c:v>-130.31991396446304</c:v>
                </c:pt>
                <c:pt idx="272">
                  <c:v>-129.948208386923</c:v>
                </c:pt>
                <c:pt idx="273">
                  <c:v>-129.43492005382663</c:v>
                </c:pt>
                <c:pt idx="274">
                  <c:v>-128.79210353674165</c:v>
                </c:pt>
                <c:pt idx="275">
                  <c:v>-128.04518392445721</c:v>
                </c:pt>
                <c:pt idx="276">
                  <c:v>-127.21617415126141</c:v>
                </c:pt>
                <c:pt idx="277">
                  <c:v>-126.32173001919404</c:v>
                </c:pt>
                <c:pt idx="278">
                  <c:v>-125.3747520229024</c:v>
                </c:pt>
                <c:pt idx="279">
                  <c:v>-124.38582637358351</c:v>
                </c:pt>
                <c:pt idx="280">
                  <c:v>-123.37248109471685</c:v>
                </c:pt>
                <c:pt idx="281">
                  <c:v>-122.37270937831563</c:v>
                </c:pt>
                <c:pt idx="282">
                  <c:v>-121.35069674701145</c:v>
                </c:pt>
                <c:pt idx="283">
                  <c:v>-120.31598793244859</c:v>
                </c:pt>
                <c:pt idx="284">
                  <c:v>-119.27892818038404</c:v>
                </c:pt>
                <c:pt idx="285">
                  <c:v>-118.25116869676465</c:v>
                </c:pt>
                <c:pt idx="286">
                  <c:v>-117.24262433069937</c:v>
                </c:pt>
                <c:pt idx="287">
                  <c:v>-116.25306303289626</c:v>
                </c:pt>
                <c:pt idx="288">
                  <c:v>-115.28031552310532</c:v>
                </c:pt>
                <c:pt idx="289">
                  <c:v>-114.3224344678343</c:v>
                </c:pt>
                <c:pt idx="290">
                  <c:v>-113.37765522266143</c:v>
                </c:pt>
                <c:pt idx="291">
                  <c:v>-112.44436457200136</c:v>
                </c:pt>
                <c:pt idx="292">
                  <c:v>-111.52107545861477</c:v>
                </c:pt>
                <c:pt idx="293">
                  <c:v>-110.60640626237407</c:v>
                </c:pt>
                <c:pt idx="294">
                  <c:v>-109.69906357362134</c:v>
                </c:pt>
                <c:pt idx="295">
                  <c:v>-108.79782769131414</c:v>
                </c:pt>
                <c:pt idx="296">
                  <c:v>-107.90154024703159</c:v>
                </c:pt>
                <c:pt idx="297">
                  <c:v>-107.00909351308525</c:v>
                </c:pt>
                <c:pt idx="298">
                  <c:v>-106.11942104072401</c:v>
                </c:pt>
                <c:pt idx="299">
                  <c:v>-105.23148935147941</c:v>
                </c:pt>
                <c:pt idx="300">
                  <c:v>-104.34429046423679</c:v>
                </c:pt>
                <c:pt idx="301">
                  <c:v>-103.4568350752113</c:v>
                </c:pt>
                <c:pt idx="302">
                  <c:v>-102.56814624118216</c:v>
                </c:pt>
                <c:pt idx="303">
                  <c:v>-101.67725344466731</c:v>
                </c:pt>
                <c:pt idx="304">
                  <c:v>-100.78318692573382</c:v>
                </c:pt>
                <c:pt idx="305">
                  <c:v>-99.884972192151793</c:v>
                </c:pt>
                <c:pt idx="306">
                  <c:v>-98.981624616835092</c:v>
                </c:pt>
                <c:pt idx="307">
                  <c:v>-98.072144044365203</c:v>
                </c:pt>
                <c:pt idx="308">
                  <c:v>-97.155509330237038</c:v>
                </c:pt>
                <c:pt idx="309">
                  <c:v>-96.230672736439658</c:v>
                </c:pt>
                <c:pt idx="310">
                  <c:v>-95.296554108500359</c:v>
                </c:pt>
                <c:pt idx="311">
                  <c:v>-94.352034755451911</c:v>
                </c:pt>
                <c:pt idx="312">
                  <c:v>-93.395950948928487</c:v>
                </c:pt>
                <c:pt idx="313">
                  <c:v>-92.427086949486664</c:v>
                </c:pt>
                <c:pt idx="314">
                  <c:v>-91.444646744658087</c:v>
                </c:pt>
                <c:pt idx="315">
                  <c:v>-90.451078067495544</c:v>
                </c:pt>
                <c:pt idx="316">
                  <c:v>-89.449679240803533</c:v>
                </c:pt>
                <c:pt idx="317">
                  <c:v>-88.443081801798428</c:v>
                </c:pt>
                <c:pt idx="318">
                  <c:v>-87.433379458672931</c:v>
                </c:pt>
                <c:pt idx="319">
                  <c:v>-86.422233929237422</c:v>
                </c:pt>
                <c:pt idx="320">
                  <c:v>-85.412747088935703</c:v>
                </c:pt>
                <c:pt idx="321">
                  <c:v>-84.404998785288981</c:v>
                </c:pt>
                <c:pt idx="322">
                  <c:v>-83.398544509714753</c:v>
                </c:pt>
                <c:pt idx="323">
                  <c:v>-82.394026582909945</c:v>
                </c:pt>
                <c:pt idx="324">
                  <c:v>-81.391929637832177</c:v>
                </c:pt>
                <c:pt idx="325">
                  <c:v>-80.392608900743184</c:v>
                </c:pt>
                <c:pt idx="326">
                  <c:v>-79.396313456961195</c:v>
                </c:pt>
                <c:pt idx="327">
                  <c:v>-78.403205537826722</c:v>
                </c:pt>
                <c:pt idx="328">
                  <c:v>-77.41337664599402</c:v>
                </c:pt>
                <c:pt idx="329">
                  <c:v>-76.426861164726503</c:v>
                </c:pt>
                <c:pt idx="330">
                  <c:v>-75.443647971147158</c:v>
                </c:pt>
                <c:pt idx="331">
                  <c:v>-74.463690477132744</c:v>
                </c:pt>
                <c:pt idx="332">
                  <c:v>-73.486915445723</c:v>
                </c:pt>
                <c:pt idx="333">
                  <c:v>-72.513230877264888</c:v>
                </c:pt>
                <c:pt idx="334">
                  <c:v>-71.542533215564831</c:v>
                </c:pt>
                <c:pt idx="335">
                  <c:v>-70.574714093436086</c:v>
                </c:pt>
                <c:pt idx="336">
                  <c:v>-69.609666813495011</c:v>
                </c:pt>
                <c:pt idx="337">
                  <c:v>-68.647292742743403</c:v>
                </c:pt>
                <c:pt idx="338">
                  <c:v>-67.687507784771043</c:v>
                </c:pt>
                <c:pt idx="339">
                  <c:v>-66.730249080918057</c:v>
                </c:pt>
                <c:pt idx="340">
                  <c:v>-65.775482072935148</c:v>
                </c:pt>
                <c:pt idx="341">
                  <c:v>-64.823208030746528</c:v>
                </c:pt>
                <c:pt idx="342">
                  <c:v>-63.873472093623576</c:v>
                </c:pt>
                <c:pt idx="343">
                  <c:v>-62.926371767683349</c:v>
                </c:pt>
                <c:pt idx="344">
                  <c:v>-61.982065621186059</c:v>
                </c:pt>
                <c:pt idx="345">
                  <c:v>-61.04078153185246</c:v>
                </c:pt>
                <c:pt idx="346">
                  <c:v>-60.102823091899637</c:v>
                </c:pt>
                <c:pt idx="347">
                  <c:v>-59.168571307707808</c:v>
                </c:pt>
                <c:pt idx="348">
                  <c:v>-58.238475779747262</c:v>
                </c:pt>
                <c:pt idx="349">
                  <c:v>-57.313023428126868</c:v>
                </c:pt>
                <c:pt idx="350">
                  <c:v>-56.392659604373051</c:v>
                </c:pt>
                <c:pt idx="351">
                  <c:v>-55.477606456553659</c:v>
                </c:pt>
                <c:pt idx="352">
                  <c:v>-54.567582569824296</c:v>
                </c:pt>
                <c:pt idx="353">
                  <c:v>-53.662012606050475</c:v>
                </c:pt>
                <c:pt idx="354">
                  <c:v>-52.760315998551818</c:v>
                </c:pt>
                <c:pt idx="355">
                  <c:v>-51.861921839824447</c:v>
                </c:pt>
                <c:pt idx="356">
                  <c:v>-50.9662674091214</c:v>
                </c:pt>
                <c:pt idx="357">
                  <c:v>-50.072796743437436</c:v>
                </c:pt>
                <c:pt idx="358">
                  <c:v>-49.180959244081478</c:v>
                </c:pt>
                <c:pt idx="359">
                  <c:v>-48.290208311341488</c:v>
                </c:pt>
                <c:pt idx="360">
                  <c:v>-47.400000000002422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6.130730909370361</c:v>
                </c:pt>
                <c:pt idx="1">
                  <c:v>6.1335088351519245</c:v>
                </c:pt>
                <c:pt idx="2">
                  <c:v>6.1362840837544956</c:v>
                </c:pt>
                <c:pt idx="3">
                  <c:v>6.1390587535485146</c:v>
                </c:pt>
                <c:pt idx="4">
                  <c:v>6.1418349449687426</c:v>
                </c:pt>
                <c:pt idx="5">
                  <c:v>6.144614767370383</c:v>
                </c:pt>
                <c:pt idx="6">
                  <c:v>6.1474003459665685</c:v>
                </c:pt>
                <c:pt idx="7">
                  <c:v>6.1501938289156399</c:v>
                </c:pt>
                <c:pt idx="8">
                  <c:v>6.1529973946018801</c:v>
                </c:pt>
                <c:pt idx="9">
                  <c:v>6.1558132591679149</c:v>
                </c:pt>
                <c:pt idx="10">
                  <c:v>6.1586436364163752</c:v>
                </c:pt>
                <c:pt idx="11">
                  <c:v>6.161489897886419</c:v>
                </c:pt>
                <c:pt idx="12">
                  <c:v>6.1643519605047272</c:v>
                </c:pt>
                <c:pt idx="13">
                  <c:v>6.1672290985170948</c:v>
                </c:pt>
                <c:pt idx="14">
                  <c:v>6.1701204655531336</c:v>
                </c:pt>
                <c:pt idx="15">
                  <c:v>6.1730253191319857</c:v>
                </c:pt>
                <c:pt idx="16">
                  <c:v>6.1759431090181858</c:v>
                </c:pt>
                <c:pt idx="17">
                  <c:v>6.1788735022651764</c:v>
                </c:pt>
                <c:pt idx="18">
                  <c:v>6.1818163790684748</c:v>
                </c:pt>
                <c:pt idx="19">
                  <c:v>6.1847718158512404</c:v>
                </c:pt>
                <c:pt idx="20">
                  <c:v>6.1877400635176825</c:v>
                </c:pt>
                <c:pt idx="21">
                  <c:v>6.1907215246815364</c:v>
                </c:pt>
                <c:pt idx="22">
                  <c:v>6.1937167315696211</c:v>
                </c:pt>
                <c:pt idx="23">
                  <c:v>6.1967263252313707</c:v>
                </c:pt>
                <c:pt idx="24">
                  <c:v>6.1997510361468144</c:v>
                </c:pt>
                <c:pt idx="25">
                  <c:v>6.2027916660305529</c:v>
                </c:pt>
                <c:pt idx="26">
                  <c:v>6.2058490704773748</c:v>
                </c:pt>
                <c:pt idx="27">
                  <c:v>6.2089299902474471</c:v>
                </c:pt>
                <c:pt idx="28">
                  <c:v>6.2120473841314183</c:v>
                </c:pt>
                <c:pt idx="29">
                  <c:v>6.2151840323026883</c:v>
                </c:pt>
                <c:pt idx="30">
                  <c:v>6.2183409928681099</c:v>
                </c:pt>
                <c:pt idx="31">
                  <c:v>6.2215192977739511</c:v>
                </c:pt>
                <c:pt idx="32">
                  <c:v>6.2247199317987922</c:v>
                </c:pt>
                <c:pt idx="33">
                  <c:v>6.2279438083473799</c:v>
                </c:pt>
                <c:pt idx="34">
                  <c:v>6.2311917410353708</c:v>
                </c:pt>
                <c:pt idx="35">
                  <c:v>6.2344644098347501</c:v>
                </c:pt>
                <c:pt idx="36">
                  <c:v>6.2377623202710897</c:v>
                </c:pt>
                <c:pt idx="37">
                  <c:v>6.2410857537919258</c:v>
                </c:pt>
                <c:pt idx="38">
                  <c:v>6.2444347069377057</c:v>
                </c:pt>
                <c:pt idx="39">
                  <c:v>6.247808816308801</c:v>
                </c:pt>
                <c:pt idx="40">
                  <c:v>6.2512072654685449</c:v>
                </c:pt>
                <c:pt idx="41">
                  <c:v>6.2546286687948331</c:v>
                </c:pt>
                <c:pt idx="42">
                  <c:v>6.2580709257631248</c:v>
                </c:pt>
                <c:pt idx="43">
                  <c:v>6.2615310370932784</c:v>
                </c:pt>
                <c:pt idx="44">
                  <c:v>6.2650048713562612</c:v>
                </c:pt>
                <c:pt idx="45">
                  <c:v>6.2684868667375921</c:v>
                </c:pt>
                <c:pt idx="46">
                  <c:v>6.2719696471516153</c:v>
                </c:pt>
                <c:pt idx="47">
                  <c:v>6.2754435240981534</c:v>
                </c:pt>
                <c:pt idx="48">
                  <c:v>6.2788984935693355</c:v>
                </c:pt>
                <c:pt idx="49">
                  <c:v>1.7831237500174721E-5</c:v>
                </c:pt>
                <c:pt idx="50">
                  <c:v>4.4681182378829253E-3</c:v>
                </c:pt>
                <c:pt idx="51">
                  <c:v>8.8849221276842399E-3</c:v>
                </c:pt>
                <c:pt idx="52">
                  <c:v>1.3274630393097495E-2</c:v>
                </c:pt>
                <c:pt idx="53">
                  <c:v>1.7643582303522143E-2</c:v>
                </c:pt>
                <c:pt idx="54">
                  <c:v>2.1998116540543115E-2</c:v>
                </c:pt>
                <c:pt idx="55">
                  <c:v>2.634462066698591E-2</c:v>
                </c:pt>
                <c:pt idx="56">
                  <c:v>3.0864309106911143E-2</c:v>
                </c:pt>
                <c:pt idx="57">
                  <c:v>3.5909115682146796E-2</c:v>
                </c:pt>
                <c:pt idx="58">
                  <c:v>4.0967528544890067E-2</c:v>
                </c:pt>
                <c:pt idx="59">
                  <c:v>4.6047455122013747E-2</c:v>
                </c:pt>
                <c:pt idx="60">
                  <c:v>5.1157155934440694E-2</c:v>
                </c:pt>
                <c:pt idx="61">
                  <c:v>5.6305332072853584E-2</c:v>
                </c:pt>
                <c:pt idx="62">
                  <c:v>6.1501225965941264E-2</c:v>
                </c:pt>
                <c:pt idx="63">
                  <c:v>6.6754739025688445E-2</c:v>
                </c:pt>
                <c:pt idx="64">
                  <c:v>7.205751504190612E-2</c:v>
                </c:pt>
                <c:pt idx="65">
                  <c:v>7.7375662137379217E-2</c:v>
                </c:pt>
                <c:pt idx="66">
                  <c:v>8.2782759606611578E-2</c:v>
                </c:pt>
                <c:pt idx="67">
                  <c:v>8.8293995818176513E-2</c:v>
                </c:pt>
                <c:pt idx="68">
                  <c:v>9.3926519009282075E-2</c:v>
                </c:pt>
                <c:pt idx="69">
                  <c:v>9.9699902405228497E-2</c:v>
                </c:pt>
                <c:pt idx="70">
                  <c:v>0.10563674487561216</c:v>
                </c:pt>
                <c:pt idx="71">
                  <c:v>0.11176345882752872</c:v>
                </c:pt>
                <c:pt idx="72">
                  <c:v>0.11811132127507484</c:v>
                </c:pt>
                <c:pt idx="73">
                  <c:v>0.12471790233716205</c:v>
                </c:pt>
                <c:pt idx="74">
                  <c:v>0.1316290469059084</c:v>
                </c:pt>
                <c:pt idx="75">
                  <c:v>0.13890168759546395</c:v>
                </c:pt>
                <c:pt idx="76">
                  <c:v>0.14660794238473376</c:v>
                </c:pt>
                <c:pt idx="77">
                  <c:v>0.15484126200074566</c:v>
                </c:pt>
                <c:pt idx="78">
                  <c:v>0.16372596948988138</c:v>
                </c:pt>
                <c:pt idx="79">
                  <c:v>0.1734324456104126</c:v>
                </c:pt>
                <c:pt idx="80">
                  <c:v>0.18414720357183881</c:v>
                </c:pt>
                <c:pt idx="81">
                  <c:v>0.19550845021919905</c:v>
                </c:pt>
                <c:pt idx="82">
                  <c:v>0.20785531374191393</c:v>
                </c:pt>
                <c:pt idx="83">
                  <c:v>0.22139198944572219</c:v>
                </c:pt>
                <c:pt idx="84">
                  <c:v>0.23628593510933718</c:v>
                </c:pt>
                <c:pt idx="85">
                  <c:v>0.25273913698550504</c:v>
                </c:pt>
                <c:pt idx="86">
                  <c:v>0.27098106119714671</c:v>
                </c:pt>
                <c:pt idx="87">
                  <c:v>0.29123683990183175</c:v>
                </c:pt>
                <c:pt idx="88">
                  <c:v>0.31363028403857229</c:v>
                </c:pt>
                <c:pt idx="89">
                  <c:v>0.33806345518983177</c:v>
                </c:pt>
                <c:pt idx="90">
                  <c:v>0.36470326168507072</c:v>
                </c:pt>
                <c:pt idx="91">
                  <c:v>0.42206052087937657</c:v>
                </c:pt>
                <c:pt idx="92">
                  <c:v>0.49563648866432508</c:v>
                </c:pt>
                <c:pt idx="93">
                  <c:v>0.58937423275385326</c:v>
                </c:pt>
                <c:pt idx="94">
                  <c:v>0.70415762183241437</c:v>
                </c:pt>
                <c:pt idx="95">
                  <c:v>0.85431428334075188</c:v>
                </c:pt>
                <c:pt idx="96">
                  <c:v>1.0513587897254177</c:v>
                </c:pt>
                <c:pt idx="97">
                  <c:v>1.2539353183935782</c:v>
                </c:pt>
                <c:pt idx="98">
                  <c:v>1.4336056116761899</c:v>
                </c:pt>
                <c:pt idx="99">
                  <c:v>1.5856533510823236</c:v>
                </c:pt>
                <c:pt idx="100">
                  <c:v>1.7112751498538168</c:v>
                </c:pt>
                <c:pt idx="101">
                  <c:v>1.8143581669138624</c:v>
                </c:pt>
                <c:pt idx="102">
                  <c:v>1.8992581391926888</c:v>
                </c:pt>
                <c:pt idx="103">
                  <c:v>1.9698292802452146</c:v>
                </c:pt>
                <c:pt idx="104">
                  <c:v>2.0291771855369367</c:v>
                </c:pt>
                <c:pt idx="105">
                  <c:v>2.0797072118813711</c:v>
                </c:pt>
                <c:pt idx="106">
                  <c:v>2.1232558547490665</c:v>
                </c:pt>
                <c:pt idx="107">
                  <c:v>2.1612229751561602</c:v>
                </c:pt>
                <c:pt idx="108">
                  <c:v>2.1946808310867247</c:v>
                </c:pt>
                <c:pt idx="109">
                  <c:v>2.2244574931452683</c:v>
                </c:pt>
                <c:pt idx="110">
                  <c:v>2.2511987124647823</c:v>
                </c:pt>
                <c:pt idx="111">
                  <c:v>2.2754132930950757</c:v>
                </c:pt>
                <c:pt idx="112">
                  <c:v>2.2975063257401676</c:v>
                </c:pt>
                <c:pt idx="113">
                  <c:v>2.317803629135514</c:v>
                </c:pt>
                <c:pt idx="114">
                  <c:v>2.3365698494831326</c:v>
                </c:pt>
                <c:pt idx="115">
                  <c:v>2.3540219770241597</c:v>
                </c:pt>
                <c:pt idx="116">
                  <c:v>2.3703395318193601</c:v>
                </c:pt>
                <c:pt idx="117">
                  <c:v>2.385672312366717</c:v>
                </c:pt>
                <c:pt idx="118">
                  <c:v>2.4001463446958646</c:v>
                </c:pt>
                <c:pt idx="119">
                  <c:v>2.4138684927424965</c:v>
                </c:pt>
                <c:pt idx="120">
                  <c:v>2.4269300627503161</c:v>
                </c:pt>
                <c:pt idx="121">
                  <c:v>2.4394096462274382</c:v>
                </c:pt>
                <c:pt idx="122">
                  <c:v>2.451617390048765</c:v>
                </c:pt>
                <c:pt idx="123">
                  <c:v>2.4633912800248567</c:v>
                </c:pt>
                <c:pt idx="124">
                  <c:v>2.4747701503509152</c:v>
                </c:pt>
                <c:pt idx="125">
                  <c:v>2.4858000559297388</c:v>
                </c:pt>
                <c:pt idx="126">
                  <c:v>2.4965221342105615</c:v>
                </c:pt>
                <c:pt idx="127">
                  <c:v>2.5069734098870686</c:v>
                </c:pt>
                <c:pt idx="128">
                  <c:v>2.5171874684223905</c:v>
                </c:pt>
                <c:pt idx="129">
                  <c:v>2.5271950242475762</c:v>
                </c:pt>
                <c:pt idx="130">
                  <c:v>2.5370244058673466</c:v>
                </c:pt>
                <c:pt idx="131">
                  <c:v>2.5467019745105</c:v>
                </c:pt>
                <c:pt idx="132">
                  <c:v>2.556252489912894</c:v>
                </c:pt>
                <c:pt idx="133">
                  <c:v>2.5656994350880806</c:v>
                </c:pt>
                <c:pt idx="134">
                  <c:v>2.575065309121114</c:v>
                </c:pt>
                <c:pt idx="135">
                  <c:v>2.5843718960904654</c:v>
                </c:pt>
                <c:pt idx="136">
                  <c:v>2.5936405175046073</c:v>
                </c:pt>
                <c:pt idx="137">
                  <c:v>2.6028922741377976</c:v>
                </c:pt>
                <c:pt idx="138">
                  <c:v>2.6121482835752161</c:v>
                </c:pt>
                <c:pt idx="139">
                  <c:v>2.6214299190239734</c:v>
                </c:pt>
                <c:pt idx="140">
                  <c:v>2.6307590552404898</c:v>
                </c:pt>
                <c:pt idx="141">
                  <c:v>2.6401583276409131</c:v>
                </c:pt>
                <c:pt idx="142">
                  <c:v>2.6496514111906642</c:v>
                </c:pt>
                <c:pt idx="143">
                  <c:v>2.6592633266178267</c:v>
                </c:pt>
                <c:pt idx="144">
                  <c:v>2.6690207823785115</c:v>
                </c:pt>
                <c:pt idx="145">
                  <c:v>2.6789525626351458</c:v>
                </c:pt>
                <c:pt idx="146">
                  <c:v>2.6890899733174201</c:v>
                </c:pt>
                <c:pt idx="147">
                  <c:v>2.6994673614095266</c:v>
                </c:pt>
                <c:pt idx="148">
                  <c:v>2.71012272545503</c:v>
                </c:pt>
                <c:pt idx="149">
                  <c:v>2.72108702576329</c:v>
                </c:pt>
                <c:pt idx="150">
                  <c:v>2.7322183469442343</c:v>
                </c:pt>
                <c:pt idx="151">
                  <c:v>2.7437845426970457</c:v>
                </c:pt>
                <c:pt idx="152">
                  <c:v>2.7558478193024212</c:v>
                </c:pt>
                <c:pt idx="153">
                  <c:v>2.7684796690337432</c:v>
                </c:pt>
                <c:pt idx="154">
                  <c:v>2.7817628252557403</c:v>
                </c:pt>
                <c:pt idx="155">
                  <c:v>2.7957936939363437</c:v>
                </c:pt>
                <c:pt idx="156">
                  <c:v>2.8106853993579781</c:v>
                </c:pt>
                <c:pt idx="157">
                  <c:v>2.8265716267070964</c:v>
                </c:pt>
                <c:pt idx="158">
                  <c:v>2.8436115048635666</c:v>
                </c:pt>
                <c:pt idx="159">
                  <c:v>2.8619958553577884</c:v>
                </c:pt>
                <c:pt idx="160">
                  <c:v>2.8819552452122172</c:v>
                </c:pt>
                <c:pt idx="161">
                  <c:v>2.903770432231473</c:v>
                </c:pt>
                <c:pt idx="162">
                  <c:v>2.9277859914716582</c:v>
                </c:pt>
                <c:pt idx="163">
                  <c:v>2.9544281697525658</c:v>
                </c:pt>
                <c:pt idx="164">
                  <c:v>2.9842283281846504</c:v>
                </c:pt>
                <c:pt idx="165">
                  <c:v>3.0176996938918883</c:v>
                </c:pt>
                <c:pt idx="166">
                  <c:v>3.0545606168583195</c:v>
                </c:pt>
                <c:pt idx="167">
                  <c:v>3.0942184525394225</c:v>
                </c:pt>
                <c:pt idx="168">
                  <c:v>3.1360817961279936</c:v>
                </c:pt>
                <c:pt idx="169">
                  <c:v>3.1795606018856493</c:v>
                </c:pt>
                <c:pt idx="170">
                  <c:v>3.2240705223187858</c:v>
                </c:pt>
                <c:pt idx="171">
                  <c:v>3.2690405375849454</c:v>
                </c:pt>
                <c:pt idx="172">
                  <c:v>3.3139222562340453</c:v>
                </c:pt>
                <c:pt idx="173">
                  <c:v>3.3581994572544476</c:v>
                </c:pt>
                <c:pt idx="174">
                  <c:v>3.4013973871032173</c:v>
                </c:pt>
                <c:pt idx="175">
                  <c:v>3.4430944351774344</c:v>
                </c:pt>
                <c:pt idx="176">
                  <c:v>3.4829507732234983</c:v>
                </c:pt>
                <c:pt idx="177">
                  <c:v>3.5208140363668319</c:v>
                </c:pt>
                <c:pt idx="178">
                  <c:v>3.5567844100608821</c:v>
                </c:pt>
                <c:pt idx="179">
                  <c:v>3.5920285925069484</c:v>
                </c:pt>
                <c:pt idx="180">
                  <c:v>3.6257507158085298</c:v>
                </c:pt>
                <c:pt idx="181">
                  <c:v>3.6505341859385307</c:v>
                </c:pt>
                <c:pt idx="182">
                  <c:v>3.6748585067557786</c:v>
                </c:pt>
                <c:pt idx="183">
                  <c:v>3.6997130295146463</c:v>
                </c:pt>
                <c:pt idx="184">
                  <c:v>3.7241465598801486</c:v>
                </c:pt>
                <c:pt idx="185">
                  <c:v>3.7482125826383141</c:v>
                </c:pt>
                <c:pt idx="186">
                  <c:v>3.7719123607972813</c:v>
                </c:pt>
                <c:pt idx="187">
                  <c:v>3.795194756102755</c:v>
                </c:pt>
                <c:pt idx="188">
                  <c:v>3.8184159423993362</c:v>
                </c:pt>
                <c:pt idx="189">
                  <c:v>3.8412513235502379</c:v>
                </c:pt>
                <c:pt idx="190">
                  <c:v>3.8635271041522414</c:v>
                </c:pt>
                <c:pt idx="191">
                  <c:v>3.885232505418851</c:v>
                </c:pt>
                <c:pt idx="192">
                  <c:v>3.9063651133281789</c:v>
                </c:pt>
                <c:pt idx="193">
                  <c:v>3.9269287403471269</c:v>
                </c:pt>
                <c:pt idx="194">
                  <c:v>3.9469317245038185</c:v>
                </c:pt>
                <c:pt idx="195">
                  <c:v>3.9663855957361891</c:v>
                </c:pt>
                <c:pt idx="196">
                  <c:v>3.9853040327438043</c:v>
                </c:pt>
                <c:pt idx="197">
                  <c:v>4.0037020463506767</c:v>
                </c:pt>
                <c:pt idx="198">
                  <c:v>4.0215953364160111</c:v>
                </c:pt>
                <c:pt idx="199">
                  <c:v>4.0389997818212269</c:v>
                </c:pt>
                <c:pt idx="200">
                  <c:v>4.0559310324302054</c:v>
                </c:pt>
                <c:pt idx="201">
                  <c:v>4.0724041767844437</c:v>
                </c:pt>
                <c:pt idx="202">
                  <c:v>4.0884334660538668</c:v>
                </c:pt>
                <c:pt idx="203">
                  <c:v>4.1040851001586045</c:v>
                </c:pt>
                <c:pt idx="204">
                  <c:v>4.1193323240783171</c:v>
                </c:pt>
                <c:pt idx="205">
                  <c:v>4.1341760674610422</c:v>
                </c:pt>
                <c:pt idx="206">
                  <c:v>4.1486262094548643</c:v>
                </c:pt>
                <c:pt idx="207">
                  <c:v>4.1627129654204582</c:v>
                </c:pt>
                <c:pt idx="208">
                  <c:v>4.1764876780923519</c:v>
                </c:pt>
                <c:pt idx="209">
                  <c:v>4.1899965624970292</c:v>
                </c:pt>
                <c:pt idx="210">
                  <c:v>4.2032803756610866</c:v>
                </c:pt>
                <c:pt idx="211">
                  <c:v>4.2163754564739913</c:v>
                </c:pt>
                <c:pt idx="212">
                  <c:v>4.2293145565460195</c:v>
                </c:pt>
                <c:pt idx="213">
                  <c:v>4.2421275113598931</c:v>
                </c:pt>
                <c:pt idx="214">
                  <c:v>4.2548417893225681</c:v>
                </c:pt>
                <c:pt idx="215">
                  <c:v>4.2674829455781298</c:v>
                </c:pt>
                <c:pt idx="216">
                  <c:v>4.280075002419327</c:v>
                </c:pt>
                <c:pt idx="217">
                  <c:v>4.2926407723610946</c:v>
                </c:pt>
                <c:pt idx="218">
                  <c:v>4.3052021363807995</c:v>
                </c:pt>
                <c:pt idx="219">
                  <c:v>4.3177802872196178</c:v>
                </c:pt>
                <c:pt idx="220">
                  <c:v>4.3303959460906416</c:v>
                </c:pt>
                <c:pt idx="221">
                  <c:v>4.3430695588482324</c:v>
                </c:pt>
                <c:pt idx="222">
                  <c:v>4.3558214769090435</c:v>
                </c:pt>
                <c:pt idx="223">
                  <c:v>4.3686721277193286</c:v>
                </c:pt>
                <c:pt idx="224">
                  <c:v>4.3816421780399679</c:v>
                </c:pt>
                <c:pt idx="225">
                  <c:v>4.3947526942072406</c:v>
                </c:pt>
                <c:pt idx="226">
                  <c:v>4.4080253014273527</c:v>
                </c:pt>
                <c:pt idx="227">
                  <c:v>4.4214823458442396</c:v>
                </c:pt>
                <c:pt idx="228">
                  <c:v>4.4351470615000146</c:v>
                </c:pt>
                <c:pt idx="229">
                  <c:v>4.4490437453486233</c:v>
                </c:pt>
                <c:pt idx="230">
                  <c:v>4.4631979426684429</c:v>
                </c:pt>
                <c:pt idx="231">
                  <c:v>4.47763664619624</c:v>
                </c:pt>
                <c:pt idx="232">
                  <c:v>4.4923885116438571</c:v>
                </c:pt>
                <c:pt idx="233">
                  <c:v>4.5074840933704232</c:v>
                </c:pt>
                <c:pt idx="234">
                  <c:v>4.5229561035105723</c:v>
                </c:pt>
                <c:pt idx="235">
                  <c:v>4.5388396989514774</c:v>
                </c:pt>
                <c:pt idx="236">
                  <c:v>4.5551728006745789</c:v>
                </c:pt>
                <c:pt idx="237">
                  <c:v>4.5719964505271324</c:v>
                </c:pt>
                <c:pt idx="238">
                  <c:v>4.5893552114704512</c:v>
                </c:pt>
                <c:pt idx="239">
                  <c:v>4.6072976177950018</c:v>
                </c:pt>
                <c:pt idx="240">
                  <c:v>4.6258766828372089</c:v>
                </c:pt>
                <c:pt idx="241">
                  <c:v>4.6451504724480071</c:v>
                </c:pt>
                <c:pt idx="242">
                  <c:v>4.6651827539581818</c:v>
                </c:pt>
                <c:pt idx="243">
                  <c:v>4.6860437306396552</c:v>
                </c:pt>
                <c:pt idx="244">
                  <c:v>4.7078108732658555</c:v>
                </c:pt>
                <c:pt idx="245">
                  <c:v>4.7306211263089235</c:v>
                </c:pt>
                <c:pt idx="246">
                  <c:v>4.7549084189748516</c:v>
                </c:pt>
                <c:pt idx="247">
                  <c:v>4.7803763784926669</c:v>
                </c:pt>
                <c:pt idx="248">
                  <c:v>4.8068921066763561</c:v>
                </c:pt>
                <c:pt idx="249">
                  <c:v>4.8347806204053878</c:v>
                </c:pt>
                <c:pt idx="250">
                  <c:v>4.8641893940367886</c:v>
                </c:pt>
                <c:pt idx="251">
                  <c:v>4.8952691031289115</c:v>
                </c:pt>
                <c:pt idx="252">
                  <c:v>4.9281877675338581</c:v>
                </c:pt>
                <c:pt idx="253">
                  <c:v>4.9623216899201097</c:v>
                </c:pt>
                <c:pt idx="254">
                  <c:v>4.9953576901169692</c:v>
                </c:pt>
                <c:pt idx="255">
                  <c:v>5.0308389205712194</c:v>
                </c:pt>
                <c:pt idx="256">
                  <c:v>5.069059018159785</c:v>
                </c:pt>
                <c:pt idx="257">
                  <c:v>5.1103246628961649</c:v>
                </c:pt>
                <c:pt idx="258">
                  <c:v>5.1541325330315022</c:v>
                </c:pt>
                <c:pt idx="259">
                  <c:v>5.199155932303765</c:v>
                </c:pt>
                <c:pt idx="260">
                  <c:v>5.244283236470098</c:v>
                </c:pt>
                <c:pt idx="261">
                  <c:v>5.2860142153709022</c:v>
                </c:pt>
                <c:pt idx="262">
                  <c:v>5.3191021050759222</c:v>
                </c:pt>
                <c:pt idx="263">
                  <c:v>5.3487069553022195</c:v>
                </c:pt>
                <c:pt idx="264">
                  <c:v>5.3782074548535528</c:v>
                </c:pt>
                <c:pt idx="265">
                  <c:v>5.4074790619227642</c:v>
                </c:pt>
                <c:pt idx="266">
                  <c:v>5.4358016418470969</c:v>
                </c:pt>
                <c:pt idx="267">
                  <c:v>5.4633790648341893</c:v>
                </c:pt>
                <c:pt idx="268">
                  <c:v>5.4900483366489485</c:v>
                </c:pt>
                <c:pt idx="269">
                  <c:v>5.5157145785170911</c:v>
                </c:pt>
                <c:pt idx="270">
                  <c:v>5.5404740666073833</c:v>
                </c:pt>
                <c:pt idx="271">
                  <c:v>5.5656332342648085</c:v>
                </c:pt>
                <c:pt idx="272">
                  <c:v>5.5900518369423509</c:v>
                </c:pt>
                <c:pt idx="273">
                  <c:v>5.6137920127384282</c:v>
                </c:pt>
                <c:pt idx="274">
                  <c:v>5.636703374290855</c:v>
                </c:pt>
                <c:pt idx="275">
                  <c:v>5.6585040459839213</c:v>
                </c:pt>
                <c:pt idx="276">
                  <c:v>5.6790608277252943</c:v>
                </c:pt>
                <c:pt idx="277">
                  <c:v>5.6983528165352668</c:v>
                </c:pt>
                <c:pt idx="278">
                  <c:v>5.7164138583540671</c:v>
                </c:pt>
                <c:pt idx="279">
                  <c:v>5.7332993386513529</c:v>
                </c:pt>
                <c:pt idx="280">
                  <c:v>5.7490429744020961</c:v>
                </c:pt>
                <c:pt idx="281">
                  <c:v>5.7636147421690245</c:v>
                </c:pt>
                <c:pt idx="282">
                  <c:v>5.7772022563824805</c:v>
                </c:pt>
                <c:pt idx="283">
                  <c:v>5.7898343418796641</c:v>
                </c:pt>
                <c:pt idx="284">
                  <c:v>5.801524935690253</c:v>
                </c:pt>
                <c:pt idx="285">
                  <c:v>5.8122704695335381</c:v>
                </c:pt>
                <c:pt idx="286">
                  <c:v>5.8220907460510229</c:v>
                </c:pt>
                <c:pt idx="287">
                  <c:v>5.8311183415006962</c:v>
                </c:pt>
                <c:pt idx="288">
                  <c:v>5.8394805460794785</c:v>
                </c:pt>
                <c:pt idx="289">
                  <c:v>5.8472785384149306</c:v>
                </c:pt>
                <c:pt idx="290">
                  <c:v>5.8545939354601604</c:v>
                </c:pt>
                <c:pt idx="291">
                  <c:v>5.8614934500764395</c:v>
                </c:pt>
                <c:pt idx="292">
                  <c:v>5.8680322685176627</c:v>
                </c:pt>
                <c:pt idx="293">
                  <c:v>5.8742565429893112</c:v>
                </c:pt>
                <c:pt idx="294">
                  <c:v>5.8802052604773074</c:v>
                </c:pt>
                <c:pt idx="295">
                  <c:v>5.8859116641877378</c:v>
                </c:pt>
                <c:pt idx="296">
                  <c:v>5.891404348995481</c:v>
                </c:pt>
                <c:pt idx="297">
                  <c:v>5.896708115916419</c:v>
                </c:pt>
                <c:pt idx="298">
                  <c:v>5.9018446461220329</c:v>
                </c:pt>
                <c:pt idx="299">
                  <c:v>5.9068330382012135</c:v>
                </c:pt>
                <c:pt idx="300">
                  <c:v>5.9116902406626943</c:v>
                </c:pt>
                <c:pt idx="301">
                  <c:v>5.9164314033987466</c:v>
                </c:pt>
                <c:pt idx="302">
                  <c:v>5.9210701658995974</c:v>
                </c:pt>
                <c:pt idx="303">
                  <c:v>5.9256188957106266</c:v>
                </c:pt>
                <c:pt idx="304">
                  <c:v>5.9300888874717144</c:v>
                </c:pt>
                <c:pt idx="305">
                  <c:v>5.9344905305442834</c:v>
                </c:pt>
                <c:pt idx="306">
                  <c:v>5.9388334514840704</c:v>
                </c:pt>
                <c:pt idx="307">
                  <c:v>5.9431266363019146</c:v>
                </c:pt>
                <c:pt idx="308">
                  <c:v>5.9473785364554717</c:v>
                </c:pt>
                <c:pt idx="309">
                  <c:v>5.9515971617489267</c:v>
                </c:pt>
                <c:pt idx="310">
                  <c:v>5.9557901627340666</c:v>
                </c:pt>
                <c:pt idx="311">
                  <c:v>5.9599649047558056</c:v>
                </c:pt>
                <c:pt idx="312">
                  <c:v>5.9641285354390474</c:v>
                </c:pt>
                <c:pt idx="313">
                  <c:v>5.96828804714524</c:v>
                </c:pt>
                <c:pt idx="314">
                  <c:v>5.9724484568664362</c:v>
                </c:pt>
                <c:pt idx="315">
                  <c:v>5.9766019195515296</c:v>
                </c:pt>
                <c:pt idx="316">
                  <c:v>5.9807374667446762</c:v>
                </c:pt>
                <c:pt idx="317">
                  <c:v>5.9848469243318769</c:v>
                </c:pt>
                <c:pt idx="318">
                  <c:v>5.9889243070679132</c:v>
                </c:pt>
                <c:pt idx="319">
                  <c:v>5.9929653338347251</c:v>
                </c:pt>
                <c:pt idx="320">
                  <c:v>5.9969822902947447</c:v>
                </c:pt>
                <c:pt idx="321">
                  <c:v>6.0009693494012453</c:v>
                </c:pt>
                <c:pt idx="322">
                  <c:v>6.0049154284072115</c:v>
                </c:pt>
                <c:pt idx="323">
                  <c:v>6.0088198879727317</c:v>
                </c:pt>
                <c:pt idx="324">
                  <c:v>6.0126826071785056</c:v>
                </c:pt>
                <c:pt idx="325">
                  <c:v>6.0165038682378409</c:v>
                </c:pt>
                <c:pt idx="326">
                  <c:v>6.0202842641698417</c:v>
                </c:pt>
                <c:pt idx="327">
                  <c:v>6.024024624387331</c:v>
                </c:pt>
                <c:pt idx="328">
                  <c:v>6.0277259543314345</c:v>
                </c:pt>
                <c:pt idx="329">
                  <c:v>6.0313893860884757</c:v>
                </c:pt>
                <c:pt idx="330">
                  <c:v>6.0350161375839386</c:v>
                </c:pt>
                <c:pt idx="331">
                  <c:v>6.0386074784526311</c:v>
                </c:pt>
                <c:pt idx="332">
                  <c:v>6.0421647010099422</c:v>
                </c:pt>
                <c:pt idx="333">
                  <c:v>6.0456890950798137</c:v>
                </c:pt>
                <c:pt idx="334">
                  <c:v>6.0491819256129418</c:v>
                </c:pt>
                <c:pt idx="335">
                  <c:v>6.0526444122046703</c:v>
                </c:pt>
                <c:pt idx="336">
                  <c:v>6.0560777097428469</c:v>
                </c:pt>
                <c:pt idx="337">
                  <c:v>6.0594828895228749</c:v>
                </c:pt>
                <c:pt idx="338">
                  <c:v>6.0628609202117172</c:v>
                </c:pt>
                <c:pt idx="339">
                  <c:v>6.0662126481680012</c:v>
                </c:pt>
                <c:pt idx="340">
                  <c:v>6.0695387766619211</c:v>
                </c:pt>
                <c:pt idx="341">
                  <c:v>6.0728398437049034</c:v>
                </c:pt>
                <c:pt idx="342">
                  <c:v>6.0761161984198475</c:v>
                </c:pt>
                <c:pt idx="343">
                  <c:v>6.0793679762697286</c:v>
                </c:pt>
                <c:pt idx="344">
                  <c:v>6.0825950742380606</c:v>
                </c:pt>
                <c:pt idx="345">
                  <c:v>6.0857971284609258</c:v>
                </c:pt>
                <c:pt idx="346">
                  <c:v>6.08897349946026</c:v>
                </c:pt>
                <c:pt idx="347">
                  <c:v>6.0921232753614731</c:v>
                </c:pt>
                <c:pt idx="348">
                  <c:v>6.0952453136994134</c:v>
                </c:pt>
                <c:pt idx="349">
                  <c:v>6.0983383635685184</c:v>
                </c:pt>
                <c:pt idx="350">
                  <c:v>6.1014013550131256</c:v>
                </c:pt>
                <c:pt idx="351">
                  <c:v>6.1044340439966254</c:v>
                </c:pt>
                <c:pt idx="352">
                  <c:v>6.1074379811754795</c:v>
                </c:pt>
                <c:pt idx="353">
                  <c:v>6.1104157253315616</c:v>
                </c:pt>
                <c:pt idx="354">
                  <c:v>6.1133698092086064</c:v>
                </c:pt>
                <c:pt idx="355">
                  <c:v>6.1163026904448907</c:v>
                </c:pt>
                <c:pt idx="356">
                  <c:v>6.1192167605330647</c:v>
                </c:pt>
                <c:pt idx="357">
                  <c:v>6.1221143533163458</c:v>
                </c:pt>
                <c:pt idx="358">
                  <c:v>6.1249977530870989</c:v>
                </c:pt>
                <c:pt idx="359">
                  <c:v>6.1278692023615209</c:v>
                </c:pt>
                <c:pt idx="360">
                  <c:v>6.1307309093707536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1.6510509359548604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0.78539816336162627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3.0774186572629358</c:v>
                </c:pt>
                <c:pt idx="1">
                  <c:v>3.0816973889999364</c:v>
                </c:pt>
                <c:pt idx="2">
                  <c:v>3.0859798503700979</c:v>
                </c:pt>
                <c:pt idx="3">
                  <c:v>3.0902696079127288</c:v>
                </c:pt>
                <c:pt idx="4">
                  <c:v>3.0945702571234288</c:v>
                </c:pt>
                <c:pt idx="5">
                  <c:v>3.0988854355561553</c:v>
                </c:pt>
                <c:pt idx="6">
                  <c:v>3.1032188362739213</c:v>
                </c:pt>
                <c:pt idx="7">
                  <c:v>3.1075742217685152</c:v>
                </c:pt>
                <c:pt idx="8">
                  <c:v>3.1119554384618238</c:v>
                </c:pt>
                <c:pt idx="9">
                  <c:v>3.116366431916521</c:v>
                </c:pt>
                <c:pt idx="10">
                  <c:v>3.1208111837969694</c:v>
                </c:pt>
                <c:pt idx="11">
                  <c:v>3.1252923221552424</c:v>
                </c:pt>
                <c:pt idx="12">
                  <c:v>3.1298100769841422</c:v>
                </c:pt>
                <c:pt idx="13">
                  <c:v>3.134363592703131</c:v>
                </c:pt>
                <c:pt idx="14">
                  <c:v>3.1389517880229341</c:v>
                </c:pt>
                <c:pt idx="15">
                  <c:v>-3.1396115727922442</c:v>
                </c:pt>
                <c:pt idx="16">
                  <c:v>-3.1349564954322346</c:v>
                </c:pt>
                <c:pt idx="17">
                  <c:v>-3.1302685478187318</c:v>
                </c:pt>
                <c:pt idx="18">
                  <c:v>-3.1255476298976146</c:v>
                </c:pt>
                <c:pt idx="19">
                  <c:v>-3.1207933015848113</c:v>
                </c:pt>
                <c:pt idx="20">
                  <c:v>-3.1160048124782387</c:v>
                </c:pt>
                <c:pt idx="21">
                  <c:v>-3.111181134030887</c:v>
                </c:pt>
                <c:pt idx="22">
                  <c:v>-3.1063209911700005</c:v>
                </c:pt>
                <c:pt idx="23">
                  <c:v>-3.1014228921415494</c:v>
                </c:pt>
                <c:pt idx="24">
                  <c:v>-3.0964851563047642</c:v>
                </c:pt>
                <c:pt idx="25">
                  <c:v>-3.0915059400995646</c:v>
                </c:pt>
                <c:pt idx="26">
                  <c:v>-3.0864832616820146</c:v>
                </c:pt>
                <c:pt idx="27">
                  <c:v>-3.0808801404449619</c:v>
                </c:pt>
                <c:pt idx="28">
                  <c:v>-3.0735242043562381</c:v>
                </c:pt>
                <c:pt idx="29">
                  <c:v>-3.0660382652557359</c:v>
                </c:pt>
                <c:pt idx="30">
                  <c:v>-3.0584166723885859</c:v>
                </c:pt>
                <c:pt idx="31">
                  <c:v>-3.0506535619074229</c:v>
                </c:pt>
                <c:pt idx="32">
                  <c:v>-3.0427428858681176</c:v>
                </c:pt>
                <c:pt idx="33">
                  <c:v>-3.034678448988628</c:v>
                </c:pt>
                <c:pt idx="34">
                  <c:v>-3.0264539557893597</c:v>
                </c:pt>
                <c:pt idx="35">
                  <c:v>-3.0180630714177163</c:v>
                </c:pt>
                <c:pt idx="36">
                  <c:v>-3.0094995003400893</c:v>
                </c:pt>
                <c:pt idx="37">
                  <c:v>-3.0007570882504457</c:v>
                </c:pt>
                <c:pt idx="38">
                  <c:v>-2.9918299540805458</c:v>
                </c:pt>
                <c:pt idx="39">
                  <c:v>-2.9827126610245189</c:v>
                </c:pt>
                <c:pt idx="40">
                  <c:v>-2.97340043820261</c:v>
                </c:pt>
                <c:pt idx="41">
                  <c:v>-2.9638894682107075</c:v>
                </c:pt>
                <c:pt idx="42">
                  <c:v>-2.9541772607124606</c:v>
                </c:pt>
                <c:pt idx="43">
                  <c:v>-2.9442631388876053</c:v>
                </c:pt>
                <c:pt idx="44">
                  <c:v>-2.9341488747355071</c:v>
                </c:pt>
                <c:pt idx="45">
                  <c:v>-2.9238395219527722</c:v>
                </c:pt>
                <c:pt idx="46">
                  <c:v>-2.9133445130178908</c:v>
                </c:pt>
                <c:pt idx="47">
                  <c:v>-2.9026791125852349</c:v>
                </c:pt>
                <c:pt idx="48">
                  <c:v>-2.8918600726228023</c:v>
                </c:pt>
                <c:pt idx="49">
                  <c:v>-2.878175928342984</c:v>
                </c:pt>
                <c:pt idx="50">
                  <c:v>-2.8636739785118221</c:v>
                </c:pt>
                <c:pt idx="51">
                  <c:v>-2.848892298679754</c:v>
                </c:pt>
                <c:pt idx="52">
                  <c:v>-2.8338027722536241</c:v>
                </c:pt>
                <c:pt idx="53">
                  <c:v>-2.8183755644579143</c:v>
                </c:pt>
                <c:pt idx="54">
                  <c:v>-2.8025788879971976</c:v>
                </c:pt>
                <c:pt idx="55">
                  <c:v>-2.7863787438867238</c:v>
                </c:pt>
                <c:pt idx="56">
                  <c:v>-2.7689819263739621</c:v>
                </c:pt>
                <c:pt idx="57">
                  <c:v>-2.7487315789038682</c:v>
                </c:pt>
                <c:pt idx="58">
                  <c:v>-2.7277480954270161</c:v>
                </c:pt>
                <c:pt idx="59">
                  <c:v>-2.7059692300281362</c:v>
                </c:pt>
                <c:pt idx="60">
                  <c:v>-2.6833278244656644</c:v>
                </c:pt>
                <c:pt idx="61">
                  <c:v>-2.6597513903481458</c:v>
                </c:pt>
                <c:pt idx="62">
                  <c:v>-2.6351616879453941</c:v>
                </c:pt>
                <c:pt idx="63">
                  <c:v>-2.6094743136247804</c:v>
                </c:pt>
                <c:pt idx="64">
                  <c:v>-2.5824956984248391</c:v>
                </c:pt>
                <c:pt idx="65">
                  <c:v>-2.5538823026455981</c:v>
                </c:pt>
                <c:pt idx="66">
                  <c:v>-2.5238549229025633</c:v>
                </c:pt>
                <c:pt idx="67">
                  <c:v>-2.4923055305657815</c:v>
                </c:pt>
                <c:pt idx="68">
                  <c:v>-2.4591211100465906</c:v>
                </c:pt>
                <c:pt idx="69">
                  <c:v>-2.4241845460429876</c:v>
                </c:pt>
                <c:pt idx="70">
                  <c:v>-2.3873759093816749</c:v>
                </c:pt>
                <c:pt idx="71">
                  <c:v>-2.3485741889734371</c:v>
                </c:pt>
                <c:pt idx="72">
                  <c:v>-2.3076594731212392</c:v>
                </c:pt>
                <c:pt idx="73">
                  <c:v>-2.2645154913692842</c:v>
                </c:pt>
                <c:pt idx="74">
                  <c:v>-2.2190322573965409</c:v>
                </c:pt>
                <c:pt idx="75">
                  <c:v>-2.171108249976021</c:v>
                </c:pt>
                <c:pt idx="76">
                  <c:v>-2.1206510448804714</c:v>
                </c:pt>
                <c:pt idx="77">
                  <c:v>-2.0675744075199893</c:v>
                </c:pt>
                <c:pt idx="78">
                  <c:v>-2.0117882742703035</c:v>
                </c:pt>
                <c:pt idx="79">
                  <c:v>-1.9531760013078567</c:v>
                </c:pt>
                <c:pt idx="80">
                  <c:v>-1.8917607002393371</c:v>
                </c:pt>
                <c:pt idx="81">
                  <c:v>-1.826264946210465</c:v>
                </c:pt>
                <c:pt idx="82">
                  <c:v>-1.7584208782944057</c:v>
                </c:pt>
                <c:pt idx="83">
                  <c:v>-1.6893376868298509</c:v>
                </c:pt>
                <c:pt idx="84">
                  <c:v>-1.6200088093262976</c:v>
                </c:pt>
                <c:pt idx="85">
                  <c:v>-1.5515813534413667</c:v>
                </c:pt>
                <c:pt idx="86">
                  <c:v>-1.4853568966165378</c:v>
                </c:pt>
                <c:pt idx="87">
                  <c:v>-1.4228200452286113</c:v>
                </c:pt>
                <c:pt idx="88">
                  <c:v>-1.3657529766791316</c:v>
                </c:pt>
                <c:pt idx="89">
                  <c:v>-1.3165391317459716</c:v>
                </c:pt>
                <c:pt idx="90">
                  <c:v>-1.2782524069524266</c:v>
                </c:pt>
                <c:pt idx="91">
                  <c:v>-1.0499237066351212</c:v>
                </c:pt>
                <c:pt idx="92">
                  <c:v>-0.87848806022195713</c:v>
                </c:pt>
                <c:pt idx="93">
                  <c:v>-0.75531323068691747</c:v>
                </c:pt>
                <c:pt idx="94">
                  <c:v>-0.6691186915670525</c:v>
                </c:pt>
                <c:pt idx="95">
                  <c:v>-0.60113875463117294</c:v>
                </c:pt>
                <c:pt idx="96">
                  <c:v>-0.54577830379911585</c:v>
                </c:pt>
                <c:pt idx="97">
                  <c:v>-0.50932894447430455</c:v>
                </c:pt>
                <c:pt idx="98">
                  <c:v>-0.48461349806863341</c:v>
                </c:pt>
                <c:pt idx="99">
                  <c:v>-0.46659365364781291</c:v>
                </c:pt>
                <c:pt idx="100">
                  <c:v>-0.45283167693590343</c:v>
                </c:pt>
                <c:pt idx="101">
                  <c:v>-0.44194196220248622</c:v>
                </c:pt>
                <c:pt idx="102">
                  <c:v>-0.43307991927675371</c:v>
                </c:pt>
                <c:pt idx="103">
                  <c:v>-0.42570190286313209</c:v>
                </c:pt>
                <c:pt idx="104">
                  <c:v>-0.41944235106863126</c:v>
                </c:pt>
                <c:pt idx="105">
                  <c:v>-0.4140464792577046</c:v>
                </c:pt>
                <c:pt idx="106">
                  <c:v>-0.40933130969196729</c:v>
                </c:pt>
                <c:pt idx="107">
                  <c:v>-0.40516204729882904</c:v>
                </c:pt>
                <c:pt idx="108">
                  <c:v>-0.40143719292694835</c:v>
                </c:pt>
                <c:pt idx="109">
                  <c:v>-0.39807884666214177</c:v>
                </c:pt>
                <c:pt idx="110">
                  <c:v>-0.39502620816668599</c:v>
                </c:pt>
                <c:pt idx="111">
                  <c:v>-0.39223110948364637</c:v>
                </c:pt>
                <c:pt idx="112">
                  <c:v>-0.38965487615492406</c:v>
                </c:pt>
                <c:pt idx="113">
                  <c:v>-0.38726607792283191</c:v>
                </c:pt>
                <c:pt idx="114">
                  <c:v>-0.3850388882861504</c:v>
                </c:pt>
                <c:pt idx="115">
                  <c:v>-0.38295186895295774</c:v>
                </c:pt>
                <c:pt idx="116">
                  <c:v>-0.38098705606978406</c:v>
                </c:pt>
                <c:pt idx="117">
                  <c:v>-0.37912926419067622</c:v>
                </c:pt>
                <c:pt idx="118">
                  <c:v>-0.37736554964968683</c:v>
                </c:pt>
                <c:pt idx="119">
                  <c:v>-0.37568479214837819</c:v>
                </c:pt>
                <c:pt idx="120">
                  <c:v>-0.37407736508536693</c:v>
                </c:pt>
                <c:pt idx="121">
                  <c:v>-0.37253487321871309</c:v>
                </c:pt>
                <c:pt idx="122">
                  <c:v>-0.37101933579326857</c:v>
                </c:pt>
                <c:pt idx="123">
                  <c:v>-0.36955224252046065</c:v>
                </c:pt>
                <c:pt idx="124">
                  <c:v>-0.36812944696069694</c:v>
                </c:pt>
                <c:pt idx="125">
                  <c:v>-0.36674573083257123</c:v>
                </c:pt>
                <c:pt idx="126">
                  <c:v>-0.36539636711524243</c:v>
                </c:pt>
                <c:pt idx="127">
                  <c:v>-0.36407703968711025</c:v>
                </c:pt>
                <c:pt idx="128">
                  <c:v>-0.36278377499296249</c:v>
                </c:pt>
                <c:pt idx="129">
                  <c:v>-0.36151288329156839</c:v>
                </c:pt>
                <c:pt idx="130">
                  <c:v>-0.36026090749004003</c:v>
                </c:pt>
                <c:pt idx="131">
                  <c:v>-0.35902457795987941</c:v>
                </c:pt>
                <c:pt idx="132">
                  <c:v>-0.35780077200494986</c:v>
                </c:pt>
                <c:pt idx="133">
                  <c:v>-0.3565864768469873</c:v>
                </c:pt>
                <c:pt idx="134">
                  <c:v>-0.35537875516330653</c:v>
                </c:pt>
                <c:pt idx="135">
                  <c:v>-0.35417471231198838</c:v>
                </c:pt>
                <c:pt idx="136">
                  <c:v>-0.35297146444449967</c:v>
                </c:pt>
                <c:pt idx="137">
                  <c:v>-0.35176610675795777</c:v>
                </c:pt>
                <c:pt idx="138">
                  <c:v>-0.35055568113032237</c:v>
                </c:pt>
                <c:pt idx="139">
                  <c:v>-0.34933714236913682</c:v>
                </c:pt>
                <c:pt idx="140">
                  <c:v>-0.34810732224546048</c:v>
                </c:pt>
                <c:pt idx="141">
                  <c:v>-0.34686289039708729</c:v>
                </c:pt>
                <c:pt idx="142">
                  <c:v>-0.34560031105687194</c:v>
                </c:pt>
                <c:pt idx="143">
                  <c:v>-0.34431579438278831</c:v>
                </c:pt>
                <c:pt idx="144">
                  <c:v>-0.34300524093750856</c:v>
                </c:pt>
                <c:pt idx="145">
                  <c:v>-0.34166417754977557</c:v>
                </c:pt>
                <c:pt idx="146">
                  <c:v>-0.34028768239110274</c:v>
                </c:pt>
                <c:pt idx="147">
                  <c:v>-0.33887029656169104</c:v>
                </c:pt>
                <c:pt idx="148">
                  <c:v>-0.33740591880391874</c:v>
                </c:pt>
                <c:pt idx="149">
                  <c:v>-0.33588925408603171</c:v>
                </c:pt>
                <c:pt idx="150">
                  <c:v>-0.33433886485596076</c:v>
                </c:pt>
                <c:pt idx="151">
                  <c:v>-0.33271652171289462</c:v>
                </c:pt>
                <c:pt idx="152">
                  <c:v>-0.33101190050445478</c:v>
                </c:pt>
                <c:pt idx="153">
                  <c:v>-0.3292130336675384</c:v>
                </c:pt>
                <c:pt idx="154">
                  <c:v>-0.32730595010444313</c:v>
                </c:pt>
                <c:pt idx="155">
                  <c:v>-0.32527422089535324</c:v>
                </c:pt>
                <c:pt idx="156">
                  <c:v>-0.32309838104551236</c:v>
                </c:pt>
                <c:pt idx="157">
                  <c:v>-0.32075518637048095</c:v>
                </c:pt>
                <c:pt idx="158">
                  <c:v>-0.31821664872559358</c:v>
                </c:pt>
                <c:pt idx="159">
                  <c:v>-0.31544876962898155</c:v>
                </c:pt>
                <c:pt idx="160">
                  <c:v>-0.31240985814909844</c:v>
                </c:pt>
                <c:pt idx="161">
                  <c:v>-0.30904826754358128</c:v>
                </c:pt>
                <c:pt idx="162">
                  <c:v>-0.30529930654997683</c:v>
                </c:pt>
                <c:pt idx="163">
                  <c:v>-0.30108095854569977</c:v>
                </c:pt>
                <c:pt idx="164">
                  <c:v>-0.29628784606910924</c:v>
                </c:pt>
                <c:pt idx="165">
                  <c:v>-0.29080723345987003</c:v>
                </c:pt>
                <c:pt idx="166">
                  <c:v>-0.28464222971481029</c:v>
                </c:pt>
                <c:pt idx="167">
                  <c:v>-0.27784062944346449</c:v>
                </c:pt>
                <c:pt idx="168">
                  <c:v>-0.2704476179996575</c:v>
                </c:pt>
                <c:pt idx="169">
                  <c:v>-0.26250781639615162</c:v>
                </c:pt>
                <c:pt idx="170">
                  <c:v>-0.25406739287783703</c:v>
                </c:pt>
                <c:pt idx="171">
                  <c:v>-0.24517623793793847</c:v>
                </c:pt>
                <c:pt idx="172">
                  <c:v>-0.23589023759856192</c:v>
                </c:pt>
                <c:pt idx="173">
                  <c:v>-0.2262735806123066</c:v>
                </c:pt>
                <c:pt idx="174">
                  <c:v>-0.21640075278163604</c:v>
                </c:pt>
                <c:pt idx="175">
                  <c:v>-0.20635693507326761</c:v>
                </c:pt>
                <c:pt idx="176">
                  <c:v>-0.19623183113449022</c:v>
                </c:pt>
                <c:pt idx="177">
                  <c:v>-0.18608774452548543</c:v>
                </c:pt>
                <c:pt idx="178">
                  <c:v>-0.17592878097355519</c:v>
                </c:pt>
                <c:pt idx="179">
                  <c:v>-0.16502401832713331</c:v>
                </c:pt>
                <c:pt idx="180">
                  <c:v>-0.15419930517689223</c:v>
                </c:pt>
                <c:pt idx="181">
                  <c:v>-0.15015491564640476</c:v>
                </c:pt>
                <c:pt idx="182">
                  <c:v>-0.14631984661179534</c:v>
                </c:pt>
                <c:pt idx="183">
                  <c:v>-0.14172729482129368</c:v>
                </c:pt>
                <c:pt idx="184">
                  <c:v>-0.13713360205708727</c:v>
                </c:pt>
                <c:pt idx="185">
                  <c:v>-0.13253306582000948</c:v>
                </c:pt>
                <c:pt idx="186">
                  <c:v>-0.12792730100813524</c:v>
                </c:pt>
                <c:pt idx="187">
                  <c:v>-0.12332450634137297</c:v>
                </c:pt>
                <c:pt idx="188">
                  <c:v>-0.1186474981053495</c:v>
                </c:pt>
                <c:pt idx="189">
                  <c:v>-0.11395524404905576</c:v>
                </c:pt>
                <c:pt idx="190">
                  <c:v>-0.10928101970728608</c:v>
                </c:pt>
                <c:pt idx="191">
                  <c:v>-0.10462617842209562</c:v>
                </c:pt>
                <c:pt idx="192">
                  <c:v>-9.9991223915873645E-2</c:v>
                </c:pt>
                <c:pt idx="193">
                  <c:v>-9.5376092640904325E-2</c:v>
                </c:pt>
                <c:pt idx="194">
                  <c:v>-9.0780347576421533E-2</c:v>
                </c:pt>
                <c:pt idx="195">
                  <c:v>-8.6203313575848345E-2</c:v>
                </c:pt>
                <c:pt idx="196">
                  <c:v>-8.1644174553260354E-2</c:v>
                </c:pt>
                <c:pt idx="197">
                  <c:v>-7.7102045703342767E-2</c:v>
                </c:pt>
                <c:pt idx="198">
                  <c:v>-7.2576029473057052E-2</c:v>
                </c:pt>
                <c:pt idx="199">
                  <c:v>-6.8065261085899054E-2</c:v>
                </c:pt>
                <c:pt idx="200">
                  <c:v>-6.3568947595683933E-2</c:v>
                </c:pt>
                <c:pt idx="201">
                  <c:v>-5.9086403391303333E-2</c:v>
                </c:pt>
                <c:pt idx="202">
                  <c:v>-5.461708430312702E-2</c:v>
                </c:pt>
                <c:pt idx="203">
                  <c:v>-5.0157193077812398E-2</c:v>
                </c:pt>
                <c:pt idx="204">
                  <c:v>-4.5707814631620283E-2</c:v>
                </c:pt>
                <c:pt idx="205">
                  <c:v>-4.1269467384555662E-2</c:v>
                </c:pt>
                <c:pt idx="206">
                  <c:v>-3.6842234234018521E-2</c:v>
                </c:pt>
                <c:pt idx="207">
                  <c:v>-3.2420797875873937E-2</c:v>
                </c:pt>
                <c:pt idx="208">
                  <c:v>-2.7993959333711176E-2</c:v>
                </c:pt>
                <c:pt idx="209">
                  <c:v>-2.3551264892383832E-2</c:v>
                </c:pt>
                <c:pt idx="210">
                  <c:v>-1.9083136770141767E-2</c:v>
                </c:pt>
                <c:pt idx="211">
                  <c:v>-1.4580643389052709E-2</c:v>
                </c:pt>
                <c:pt idx="212">
                  <c:v>-1.0035312020966037E-2</c:v>
                </c:pt>
                <c:pt idx="213">
                  <c:v>-5.438973031913103E-3</c:v>
                </c:pt>
                <c:pt idx="214">
                  <c:v>-7.8362753396761639E-4</c:v>
                </c:pt>
                <c:pt idx="215">
                  <c:v>3.9386677785042123E-3</c:v>
                </c:pt>
                <c:pt idx="216">
                  <c:v>8.7359035529478799E-3</c:v>
                </c:pt>
                <c:pt idx="217">
                  <c:v>1.3616212391045754E-2</c:v>
                </c:pt>
                <c:pt idx="218">
                  <c:v>1.8587958387870213E-2</c:v>
                </c:pt>
                <c:pt idx="219">
                  <c:v>2.3659824361522974E-2</c:v>
                </c:pt>
                <c:pt idx="220">
                  <c:v>2.8840899251258451E-2</c:v>
                </c:pt>
                <c:pt idx="221">
                  <c:v>3.4140767939702214E-2</c:v>
                </c:pt>
                <c:pt idx="222">
                  <c:v>3.9569605706623469E-2</c:v>
                </c:pt>
                <c:pt idx="223">
                  <c:v>4.51382795782777E-2</c:v>
                </c:pt>
                <c:pt idx="224">
                  <c:v>5.0858458912006466E-2</c:v>
                </c:pt>
                <c:pt idx="225">
                  <c:v>5.6742737869837981E-2</c:v>
                </c:pt>
                <c:pt idx="226">
                  <c:v>6.2804772657978514E-2</c:v>
                </c:pt>
                <c:pt idx="227">
                  <c:v>6.9059436992089787E-2</c:v>
                </c:pt>
                <c:pt idx="228">
                  <c:v>7.5522999756733045E-2</c:v>
                </c:pt>
                <c:pt idx="229">
                  <c:v>8.2213329688078179E-2</c:v>
                </c:pt>
                <c:pt idx="230">
                  <c:v>8.9150132861139944E-2</c:v>
                </c:pt>
                <c:pt idx="231">
                  <c:v>9.6355230128236477E-2</c:v>
                </c:pt>
                <c:pt idx="232">
                  <c:v>0.10385288326350856</c:v>
                </c:pt>
                <c:pt idx="233">
                  <c:v>0.11167018079461784</c:v>
                </c:pt>
                <c:pt idx="234">
                  <c:v>0.11983749723476164</c:v>
                </c:pt>
                <c:pt idx="235">
                  <c:v>0.12838904313421562</c:v>
                </c:pt>
                <c:pt idx="236">
                  <c:v>0.13736352813229208</c:v>
                </c:pt>
                <c:pt idx="237">
                  <c:v>0.1468049655243252</c:v>
                </c:pt>
                <c:pt idx="238">
                  <c:v>0.15676365534656855</c:v>
                </c:pt>
                <c:pt idx="239">
                  <c:v>0.167297394331483</c:v>
                </c:pt>
                <c:pt idx="240">
                  <c:v>0.17847297656452205</c:v>
                </c:pt>
                <c:pt idx="241">
                  <c:v>0.19036806985572832</c:v>
                </c:pt>
                <c:pt idx="242">
                  <c:v>0.20307358230694234</c:v>
                </c:pt>
                <c:pt idx="243">
                  <c:v>0.21669667467937626</c:v>
                </c:pt>
                <c:pt idx="244">
                  <c:v>0.23136463270219268</c:v>
                </c:pt>
                <c:pt idx="245">
                  <c:v>0.24748226036994678</c:v>
                </c:pt>
                <c:pt idx="246">
                  <c:v>0.26710637947466959</c:v>
                </c:pt>
                <c:pt idx="247">
                  <c:v>0.28869933776741419</c:v>
                </c:pt>
                <c:pt idx="248">
                  <c:v>0.3111555977927622</c:v>
                </c:pt>
                <c:pt idx="249">
                  <c:v>0.33606984238863263</c:v>
                </c:pt>
                <c:pt idx="250">
                  <c:v>0.3640179463823669</c:v>
                </c:pt>
                <c:pt idx="251">
                  <c:v>0.39564494495091362</c:v>
                </c:pt>
                <c:pt idx="252">
                  <c:v>0.43178801215506235</c:v>
                </c:pt>
                <c:pt idx="253">
                  <c:v>0.47229326008846939</c:v>
                </c:pt>
                <c:pt idx="254">
                  <c:v>0.5139195183691776</c:v>
                </c:pt>
                <c:pt idx="255">
                  <c:v>0.56288395675490144</c:v>
                </c:pt>
                <c:pt idx="256">
                  <c:v>0.62133478157728883</c:v>
                </c:pt>
                <c:pt idx="257">
                  <c:v>0.69221004017493226</c:v>
                </c:pt>
                <c:pt idx="258">
                  <c:v>0.77826721449343417</c:v>
                </c:pt>
                <c:pt idx="259">
                  <c:v>0.88111351675401028</c:v>
                </c:pt>
                <c:pt idx="260">
                  <c:v>1.0015071288711326</c:v>
                </c:pt>
                <c:pt idx="261">
                  <c:v>1.1290548443370663</c:v>
                </c:pt>
                <c:pt idx="262">
                  <c:v>1.2463062914158503</c:v>
                </c:pt>
                <c:pt idx="263">
                  <c:v>1.3622669549982886</c:v>
                </c:pt>
                <c:pt idx="264">
                  <c:v>1.4839362696055609</c:v>
                </c:pt>
                <c:pt idx="265">
                  <c:v>1.6078872655878846</c:v>
                </c:pt>
                <c:pt idx="266">
                  <c:v>1.6891946942769573</c:v>
                </c:pt>
                <c:pt idx="267">
                  <c:v>1.7609487793866341</c:v>
                </c:pt>
                <c:pt idx="268">
                  <c:v>1.8306820203666985</c:v>
                </c:pt>
                <c:pt idx="269">
                  <c:v>1.8976182387183438</c:v>
                </c:pt>
                <c:pt idx="270">
                  <c:v>1.9616497301149236</c:v>
                </c:pt>
                <c:pt idx="271">
                  <c:v>2.0240710953015384</c:v>
                </c:pt>
                <c:pt idx="272">
                  <c:v>2.0838575327707782</c:v>
                </c:pt>
                <c:pt idx="273">
                  <c:v>2.1410125148919281</c:v>
                </c:pt>
                <c:pt idx="274">
                  <c:v>2.1951225002358656</c:v>
                </c:pt>
                <c:pt idx="275">
                  <c:v>2.2455624948379436</c:v>
                </c:pt>
                <c:pt idx="276">
                  <c:v>2.2921133351190504</c:v>
                </c:pt>
                <c:pt idx="277">
                  <c:v>2.3348470113426458</c:v>
                </c:pt>
                <c:pt idx="278">
                  <c:v>2.3739745574448117</c:v>
                </c:pt>
                <c:pt idx="279">
                  <c:v>2.4097577611095367</c:v>
                </c:pt>
                <c:pt idx="280">
                  <c:v>2.4417311031464193</c:v>
                </c:pt>
                <c:pt idx="281">
                  <c:v>2.4678955727071736</c:v>
                </c:pt>
                <c:pt idx="282">
                  <c:v>2.4925144548700651</c:v>
                </c:pt>
                <c:pt idx="283">
                  <c:v>2.5155413082803095</c:v>
                </c:pt>
                <c:pt idx="284">
                  <c:v>2.5369304100170815</c:v>
                </c:pt>
                <c:pt idx="285">
                  <c:v>2.5566264559580003</c:v>
                </c:pt>
                <c:pt idx="286">
                  <c:v>2.5746362447380666</c:v>
                </c:pt>
                <c:pt idx="287">
                  <c:v>2.5911883550798307</c:v>
                </c:pt>
                <c:pt idx="288">
                  <c:v>2.6065067526403243</c:v>
                </c:pt>
                <c:pt idx="289">
                  <c:v>2.6207701456900931</c:v>
                </c:pt>
                <c:pt idx="290">
                  <c:v>2.6341232307146303</c:v>
                </c:pt>
                <c:pt idx="291">
                  <c:v>2.6466847068565582</c:v>
                </c:pt>
                <c:pt idx="292">
                  <c:v>2.6585530990477362</c:v>
                </c:pt>
                <c:pt idx="293">
                  <c:v>2.6698110632391066</c:v>
                </c:pt>
                <c:pt idx="294">
                  <c:v>2.6805286199299467</c:v>
                </c:pt>
                <c:pt idx="295">
                  <c:v>2.6907656178095585</c:v>
                </c:pt>
                <c:pt idx="296">
                  <c:v>2.700573635598948</c:v>
                </c:pt>
                <c:pt idx="297">
                  <c:v>2.7099974679856493</c:v>
                </c:pt>
                <c:pt idx="298">
                  <c:v>2.7190762996112938</c:v>
                </c:pt>
                <c:pt idx="299">
                  <c:v>2.7278446422505755</c:v>
                </c:pt>
                <c:pt idx="300">
                  <c:v>2.7363330902252825</c:v>
                </c:pt>
                <c:pt idx="301">
                  <c:v>2.7445689348902818</c:v>
                </c:pt>
                <c:pt idx="302">
                  <c:v>2.7525766688332101</c:v>
                </c:pt>
                <c:pt idx="303">
                  <c:v>2.7603784030363694</c:v>
                </c:pt>
                <c:pt idx="304">
                  <c:v>2.7679942148205874</c:v>
                </c:pt>
                <c:pt idx="305">
                  <c:v>2.7754424403661599</c:v>
                </c:pt>
                <c:pt idx="306">
                  <c:v>2.7827399225888909</c:v>
                </c:pt>
                <c:pt idx="307">
                  <c:v>2.7899022228721124</c:v>
                </c:pt>
                <c:pt idx="308">
                  <c:v>2.7969438034213523</c:v>
                </c:pt>
                <c:pt idx="309">
                  <c:v>2.8038781856743511</c:v>
                </c:pt>
                <c:pt idx="310">
                  <c:v>2.810718089176135</c:v>
                </c:pt>
                <c:pt idx="311">
                  <c:v>2.8174755545335701</c:v>
                </c:pt>
                <c:pt idx="312">
                  <c:v>2.8241620534448137</c:v>
                </c:pt>
                <c:pt idx="313">
                  <c:v>2.8307885883112718</c:v>
                </c:pt>
                <c:pt idx="314">
                  <c:v>2.8373628169533198</c:v>
                </c:pt>
                <c:pt idx="315">
                  <c:v>2.8438720793929759</c:v>
                </c:pt>
                <c:pt idx="316">
                  <c:v>2.8502992484291405</c:v>
                </c:pt>
                <c:pt idx="317">
                  <c:v>2.8566320342114064</c:v>
                </c:pt>
                <c:pt idx="318">
                  <c:v>2.8628618883922017</c:v>
                </c:pt>
                <c:pt idx="319">
                  <c:v>2.8689831344142522</c:v>
                </c:pt>
                <c:pt idx="320">
                  <c:v>2.8751170587441499</c:v>
                </c:pt>
                <c:pt idx="321">
                  <c:v>2.8812525984561743</c:v>
                </c:pt>
                <c:pt idx="322">
                  <c:v>2.8873139654048736</c:v>
                </c:pt>
                <c:pt idx="323">
                  <c:v>2.8933009164129126</c:v>
                </c:pt>
                <c:pt idx="324">
                  <c:v>2.8992139729232478</c:v>
                </c:pt>
                <c:pt idx="325">
                  <c:v>2.9050542410574103</c:v>
                </c:pt>
                <c:pt idx="326">
                  <c:v>2.910823268738064</c:v>
                </c:pt>
                <c:pt idx="327">
                  <c:v>2.9165229316209498</c:v>
                </c:pt>
                <c:pt idx="328">
                  <c:v>2.9221553415204236</c:v>
                </c:pt>
                <c:pt idx="329">
                  <c:v>2.9277227723582158</c:v>
                </c:pt>
                <c:pt idx="330">
                  <c:v>2.9332275997506176</c:v>
                </c:pt>
                <c:pt idx="331">
                  <c:v>2.9386722511754737</c:v>
                </c:pt>
                <c:pt idx="332">
                  <c:v>2.9440591642145426</c:v>
                </c:pt>
                <c:pt idx="333">
                  <c:v>2.9493907508941501</c:v>
                </c:pt>
                <c:pt idx="334">
                  <c:v>2.9546693664537509</c:v>
                </c:pt>
                <c:pt idx="335">
                  <c:v>2.9598972811571866</c:v>
                </c:pt>
                <c:pt idx="336">
                  <c:v>2.965076653961364</c:v>
                </c:pt>
                <c:pt idx="337">
                  <c:v>2.9702095070266439</c:v>
                </c:pt>
                <c:pt idx="338">
                  <c:v>2.9752977001393348</c:v>
                </c:pt>
                <c:pt idx="339">
                  <c:v>2.9803429042925957</c:v>
                </c:pt>
                <c:pt idx="340">
                  <c:v>2.9853465737422233</c:v>
                </c:pt>
                <c:pt idx="341">
                  <c:v>2.9903099160837909</c:v>
                </c:pt>
                <c:pt idx="342">
                  <c:v>2.9952338602099924</c:v>
                </c:pt>
                <c:pt idx="343">
                  <c:v>3.0001190225595873</c:v>
                </c:pt>
                <c:pt idx="344">
                  <c:v>3.0049656731613803</c:v>
                </c:pt>
                <c:pt idx="345">
                  <c:v>3.0097737049794651</c:v>
                </c:pt>
                <c:pt idx="346">
                  <c:v>3.0145426138725524</c:v>
                </c:pt>
                <c:pt idx="347">
                  <c:v>3.0192715039975213</c:v>
                </c:pt>
                <c:pt idx="348">
                  <c:v>3.0239591483166977</c:v>
                </c:pt>
                <c:pt idx="349">
                  <c:v>3.0286041646450474</c:v>
                </c:pt>
                <c:pt idx="350">
                  <c:v>3.0332054337375887</c:v>
                </c:pt>
                <c:pt idx="351">
                  <c:v>3.03776303507026</c:v>
                </c:pt>
                <c:pt idx="352">
                  <c:v>3.0422796574794901</c:v>
                </c:pt>
                <c:pt idx="353">
                  <c:v>3.0467594506347413</c:v>
                </c:pt>
                <c:pt idx="354">
                  <c:v>3.0512065168336147</c:v>
                </c:pt>
                <c:pt idx="355">
                  <c:v>3.0556248421315715</c:v>
                </c:pt>
                <c:pt idx="356">
                  <c:v>3.0600183121246824</c:v>
                </c:pt>
                <c:pt idx="357">
                  <c:v>3.0643907269460655</c:v>
                </c:pt>
                <c:pt idx="358">
                  <c:v>3.0687458156042684</c:v>
                </c:pt>
                <c:pt idx="359">
                  <c:v>3.0730872497917594</c:v>
                </c:pt>
                <c:pt idx="360">
                  <c:v>3.0774186572631796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0.93785256120667371</c:v>
                </c:pt>
                <c:pt idx="1">
                  <c:v>0.93507463542511027</c:v>
                </c:pt>
                <c:pt idx="2">
                  <c:v>0.9322993868225391</c:v>
                </c:pt>
                <c:pt idx="3">
                  <c:v>0.92952471702852013</c:v>
                </c:pt>
                <c:pt idx="4">
                  <c:v>0.92674852560829213</c:v>
                </c:pt>
                <c:pt idx="5">
                  <c:v>0.9239687032066517</c:v>
                </c:pt>
                <c:pt idx="6">
                  <c:v>0.92118312461046636</c:v>
                </c:pt>
                <c:pt idx="7">
                  <c:v>0.91838964166139492</c:v>
                </c:pt>
                <c:pt idx="8">
                  <c:v>0.91558607597515462</c:v>
                </c:pt>
                <c:pt idx="9">
                  <c:v>0.91277021140911985</c:v>
                </c:pt>
                <c:pt idx="10">
                  <c:v>0.90993983416065949</c:v>
                </c:pt>
                <c:pt idx="11">
                  <c:v>0.90709357269061575</c:v>
                </c:pt>
                <c:pt idx="12">
                  <c:v>0.90423151007230751</c:v>
                </c:pt>
                <c:pt idx="13">
                  <c:v>0.90135437205993996</c:v>
                </c:pt>
                <c:pt idx="14">
                  <c:v>0.89846300502390097</c:v>
                </c:pt>
                <c:pt idx="15">
                  <c:v>0.89555815144504902</c:v>
                </c:pt>
                <c:pt idx="16">
                  <c:v>0.89264036155884896</c:v>
                </c:pt>
                <c:pt idx="17">
                  <c:v>0.88970996831185845</c:v>
                </c:pt>
                <c:pt idx="18">
                  <c:v>0.88676709150855992</c:v>
                </c:pt>
                <c:pt idx="19">
                  <c:v>0.88381165472579437</c:v>
                </c:pt>
                <c:pt idx="20">
                  <c:v>0.88084340705935227</c:v>
                </c:pt>
                <c:pt idx="21">
                  <c:v>0.87786194589549849</c:v>
                </c:pt>
                <c:pt idx="22">
                  <c:v>0.87486673900741374</c:v>
                </c:pt>
                <c:pt idx="23">
                  <c:v>0.87185714534566405</c:v>
                </c:pt>
                <c:pt idx="24">
                  <c:v>0.8688324344302204</c:v>
                </c:pt>
                <c:pt idx="25">
                  <c:v>0.86579180454648186</c:v>
                </c:pt>
                <c:pt idx="26">
                  <c:v>0.86273440009965996</c:v>
                </c:pt>
                <c:pt idx="27">
                  <c:v>0.85965348032958777</c:v>
                </c:pt>
                <c:pt idx="28">
                  <c:v>0.85653608644561652</c:v>
                </c:pt>
                <c:pt idx="29">
                  <c:v>0.85339943827434639</c:v>
                </c:pt>
                <c:pt idx="30">
                  <c:v>0.8502424777089248</c:v>
                </c:pt>
                <c:pt idx="31">
                  <c:v>0.84706417280308377</c:v>
                </c:pt>
                <c:pt idx="32">
                  <c:v>0.84386353877824249</c:v>
                </c:pt>
                <c:pt idx="33">
                  <c:v>0.84063966222965492</c:v>
                </c:pt>
                <c:pt idx="34">
                  <c:v>0.83739172954166397</c:v>
                </c:pt>
                <c:pt idx="35">
                  <c:v>0.8341190607422847</c:v>
                </c:pt>
                <c:pt idx="36">
                  <c:v>0.83082115030594517</c:v>
                </c:pt>
                <c:pt idx="37">
                  <c:v>0.82749771678510908</c:v>
                </c:pt>
                <c:pt idx="38">
                  <c:v>0.82414876363932899</c:v>
                </c:pt>
                <c:pt idx="39">
                  <c:v>0.82077465426823371</c:v>
                </c:pt>
                <c:pt idx="40">
                  <c:v>0.81737620510848996</c:v>
                </c:pt>
                <c:pt idx="41">
                  <c:v>0.81395480178220159</c:v>
                </c:pt>
                <c:pt idx="42">
                  <c:v>0.81051254481390989</c:v>
                </c:pt>
                <c:pt idx="43">
                  <c:v>0.80705243348375633</c:v>
                </c:pt>
                <c:pt idx="44">
                  <c:v>0.80357859922077357</c:v>
                </c:pt>
                <c:pt idx="45">
                  <c:v>0.80009660383944259</c:v>
                </c:pt>
                <c:pt idx="46">
                  <c:v>0.79661382342541942</c:v>
                </c:pt>
                <c:pt idx="47">
                  <c:v>0.79313994647888131</c:v>
                </c:pt>
                <c:pt idx="48">
                  <c:v>0.78968497700769924</c:v>
                </c:pt>
                <c:pt idx="49">
                  <c:v>0.78538033215994807</c:v>
                </c:pt>
                <c:pt idx="50">
                  <c:v>0.78093004515956532</c:v>
                </c:pt>
                <c:pt idx="51">
                  <c:v>0.77651324126976407</c:v>
                </c:pt>
                <c:pt idx="52">
                  <c:v>0.77212353300435077</c:v>
                </c:pt>
                <c:pt idx="53">
                  <c:v>0.76775458109392603</c:v>
                </c:pt>
                <c:pt idx="54">
                  <c:v>0.76340004685690521</c:v>
                </c:pt>
                <c:pt idx="55">
                  <c:v>0.75905354273046233</c:v>
                </c:pt>
                <c:pt idx="56">
                  <c:v>0.7545338542905371</c:v>
                </c:pt>
                <c:pt idx="57">
                  <c:v>0.74948904771530145</c:v>
                </c:pt>
                <c:pt idx="58">
                  <c:v>0.74443063485255823</c:v>
                </c:pt>
                <c:pt idx="59">
                  <c:v>0.73935070827543437</c:v>
                </c:pt>
                <c:pt idx="60">
                  <c:v>0.73424100746300758</c:v>
                </c:pt>
                <c:pt idx="61">
                  <c:v>0.72909283132459468</c:v>
                </c:pt>
                <c:pt idx="62">
                  <c:v>0.72389693743150696</c:v>
                </c:pt>
                <c:pt idx="63">
                  <c:v>0.71864342437175988</c:v>
                </c:pt>
                <c:pt idx="64">
                  <c:v>0.71334064835554201</c:v>
                </c:pt>
                <c:pt idx="65">
                  <c:v>0.70802250126006905</c:v>
                </c:pt>
                <c:pt idx="66">
                  <c:v>0.70261540379083665</c:v>
                </c:pt>
                <c:pt idx="67">
                  <c:v>0.69710416757927174</c:v>
                </c:pt>
                <c:pt idx="68">
                  <c:v>0.69147164438816622</c:v>
                </c:pt>
                <c:pt idx="69">
                  <c:v>0.68569826099221975</c:v>
                </c:pt>
                <c:pt idx="70">
                  <c:v>0.67976141852183614</c:v>
                </c:pt>
                <c:pt idx="71">
                  <c:v>0.67363470456991958</c:v>
                </c:pt>
                <c:pt idx="72">
                  <c:v>0.66728684212237344</c:v>
                </c:pt>
                <c:pt idx="73">
                  <c:v>0.66068026106028632</c:v>
                </c:pt>
                <c:pt idx="74">
                  <c:v>0.6537691164915399</c:v>
                </c:pt>
                <c:pt idx="75">
                  <c:v>0.64649647580198433</c:v>
                </c:pt>
                <c:pt idx="76">
                  <c:v>0.63879022101271454</c:v>
                </c:pt>
                <c:pt idx="77">
                  <c:v>0.63055690139670262</c:v>
                </c:pt>
                <c:pt idx="78">
                  <c:v>0.62167219390756689</c:v>
                </c:pt>
                <c:pt idx="79">
                  <c:v>0.61196571778703568</c:v>
                </c:pt>
                <c:pt idx="80">
                  <c:v>0.6012509598256095</c:v>
                </c:pt>
                <c:pt idx="81">
                  <c:v>0.58988971317824923</c:v>
                </c:pt>
                <c:pt idx="82">
                  <c:v>0.57754284965553437</c:v>
                </c:pt>
                <c:pt idx="83">
                  <c:v>0.56400617395172614</c:v>
                </c:pt>
                <c:pt idx="84">
                  <c:v>0.54911222828811113</c:v>
                </c:pt>
                <c:pt idx="85">
                  <c:v>0.53265902641194329</c:v>
                </c:pt>
                <c:pt idx="86">
                  <c:v>0.51441710220030157</c:v>
                </c:pt>
                <c:pt idx="87">
                  <c:v>0.49416132349561648</c:v>
                </c:pt>
                <c:pt idx="88">
                  <c:v>0.47176787935887604</c:v>
                </c:pt>
                <c:pt idx="89">
                  <c:v>0.44733470820761645</c:v>
                </c:pt>
                <c:pt idx="90">
                  <c:v>0.42069490171237756</c:v>
                </c:pt>
                <c:pt idx="91">
                  <c:v>0.36333764251807171</c:v>
                </c:pt>
                <c:pt idx="92">
                  <c:v>0.2897616747331232</c:v>
                </c:pt>
                <c:pt idx="93">
                  <c:v>0.19602393064359502</c:v>
                </c:pt>
                <c:pt idx="94">
                  <c:v>8.1240541565033908E-2</c:v>
                </c:pt>
                <c:pt idx="95">
                  <c:v>-6.89161199433036E-2</c:v>
                </c:pt>
                <c:pt idx="96">
                  <c:v>-0.26596062632796946</c:v>
                </c:pt>
                <c:pt idx="97">
                  <c:v>-0.46853715499612997</c:v>
                </c:pt>
                <c:pt idx="98">
                  <c:v>-0.64820744827874155</c:v>
                </c:pt>
                <c:pt idx="99">
                  <c:v>-0.80025518768487536</c:v>
                </c:pt>
                <c:pt idx="100">
                  <c:v>-0.92587698645636851</c:v>
                </c:pt>
                <c:pt idx="101">
                  <c:v>-1.0289600035164141</c:v>
                </c:pt>
                <c:pt idx="102">
                  <c:v>-1.1138599757952405</c:v>
                </c:pt>
                <c:pt idx="103">
                  <c:v>-1.1844311168477664</c:v>
                </c:pt>
                <c:pt idx="104">
                  <c:v>-1.2437790221394884</c:v>
                </c:pt>
                <c:pt idx="105">
                  <c:v>-1.2943090484839228</c:v>
                </c:pt>
                <c:pt idx="106">
                  <c:v>-1.3378576913516183</c:v>
                </c:pt>
                <c:pt idx="107">
                  <c:v>-1.375824811758712</c:v>
                </c:pt>
                <c:pt idx="108">
                  <c:v>-1.4092826676892765</c:v>
                </c:pt>
                <c:pt idx="109">
                  <c:v>-1.43905932974782</c:v>
                </c:pt>
                <c:pt idx="110">
                  <c:v>-1.465800549067334</c:v>
                </c:pt>
                <c:pt idx="111">
                  <c:v>-1.4900151296976274</c:v>
                </c:pt>
                <c:pt idx="112">
                  <c:v>-1.5121081623427193</c:v>
                </c:pt>
                <c:pt idx="113">
                  <c:v>-1.5324054657380657</c:v>
                </c:pt>
                <c:pt idx="114">
                  <c:v>-1.5511716860856843</c:v>
                </c:pt>
                <c:pt idx="115">
                  <c:v>-1.5686238136267114</c:v>
                </c:pt>
                <c:pt idx="116">
                  <c:v>-1.5849413684219116</c:v>
                </c:pt>
                <c:pt idx="117">
                  <c:v>-1.6002741489692685</c:v>
                </c:pt>
                <c:pt idx="118">
                  <c:v>-1.6147481812984161</c:v>
                </c:pt>
                <c:pt idx="119">
                  <c:v>-1.628470329345048</c:v>
                </c:pt>
                <c:pt idx="120">
                  <c:v>-1.6415318993528676</c:v>
                </c:pt>
                <c:pt idx="121">
                  <c:v>-1.6540114828299897</c:v>
                </c:pt>
                <c:pt idx="122">
                  <c:v>-1.6662192266513165</c:v>
                </c:pt>
                <c:pt idx="123">
                  <c:v>-1.6779931166274082</c:v>
                </c:pt>
                <c:pt idx="124">
                  <c:v>-1.6893719869534669</c:v>
                </c:pt>
                <c:pt idx="125">
                  <c:v>-1.7004018925322903</c:v>
                </c:pt>
                <c:pt idx="126">
                  <c:v>-1.711123970813113</c:v>
                </c:pt>
                <c:pt idx="127">
                  <c:v>-1.7215752464896201</c:v>
                </c:pt>
                <c:pt idx="128">
                  <c:v>-1.7317893050249422</c:v>
                </c:pt>
                <c:pt idx="129">
                  <c:v>-1.7417968608501277</c:v>
                </c:pt>
                <c:pt idx="130">
                  <c:v>-1.7516262424698981</c:v>
                </c:pt>
                <c:pt idx="131">
                  <c:v>-1.7613038111130515</c:v>
                </c:pt>
                <c:pt idx="132">
                  <c:v>-1.7708543265154457</c:v>
                </c:pt>
                <c:pt idx="133">
                  <c:v>-1.7803012716906323</c:v>
                </c:pt>
                <c:pt idx="134">
                  <c:v>-1.7896671457236655</c:v>
                </c:pt>
                <c:pt idx="135">
                  <c:v>-1.7989737326930169</c:v>
                </c:pt>
                <c:pt idx="136">
                  <c:v>-1.8082423541071588</c:v>
                </c:pt>
                <c:pt idx="137">
                  <c:v>-1.8174941107403493</c:v>
                </c:pt>
                <c:pt idx="138">
                  <c:v>-1.8267501201777676</c:v>
                </c:pt>
                <c:pt idx="139">
                  <c:v>-1.8360317556265249</c:v>
                </c:pt>
                <c:pt idx="140">
                  <c:v>-1.8453608918430413</c:v>
                </c:pt>
                <c:pt idx="141">
                  <c:v>-1.8547601642434646</c:v>
                </c:pt>
                <c:pt idx="142">
                  <c:v>-1.8642532477932157</c:v>
                </c:pt>
                <c:pt idx="143">
                  <c:v>-1.8738651632203784</c:v>
                </c:pt>
                <c:pt idx="144">
                  <c:v>-1.8836226189810632</c:v>
                </c:pt>
                <c:pt idx="145">
                  <c:v>-1.8935543992376973</c:v>
                </c:pt>
                <c:pt idx="146">
                  <c:v>-1.9036918099199716</c:v>
                </c:pt>
                <c:pt idx="147">
                  <c:v>-1.9140691980120783</c:v>
                </c:pt>
                <c:pt idx="148">
                  <c:v>-1.9247245620575815</c:v>
                </c:pt>
                <c:pt idx="149">
                  <c:v>-1.9356888623658415</c:v>
                </c:pt>
                <c:pt idx="150">
                  <c:v>-1.9468201835467858</c:v>
                </c:pt>
                <c:pt idx="151">
                  <c:v>-1.9583863792995972</c:v>
                </c:pt>
                <c:pt idx="152">
                  <c:v>-1.9704496559049727</c:v>
                </c:pt>
                <c:pt idx="153">
                  <c:v>-1.9830815056362949</c:v>
                </c:pt>
                <c:pt idx="154">
                  <c:v>-1.9963646618582918</c:v>
                </c:pt>
                <c:pt idx="155">
                  <c:v>-2.0103955305388954</c:v>
                </c:pt>
                <c:pt idx="156">
                  <c:v>-2.0252872359605298</c:v>
                </c:pt>
                <c:pt idx="157">
                  <c:v>-2.0411734633096481</c:v>
                </c:pt>
                <c:pt idx="158">
                  <c:v>-2.0582133414661179</c:v>
                </c:pt>
                <c:pt idx="159">
                  <c:v>-2.0765976919603402</c:v>
                </c:pt>
                <c:pt idx="160">
                  <c:v>-2.096557081814769</c:v>
                </c:pt>
                <c:pt idx="161">
                  <c:v>-2.1183722688340243</c:v>
                </c:pt>
                <c:pt idx="162">
                  <c:v>-2.1423878280742099</c:v>
                </c:pt>
                <c:pt idx="163">
                  <c:v>-2.1690300063551176</c:v>
                </c:pt>
                <c:pt idx="164">
                  <c:v>-2.1988301647872017</c:v>
                </c:pt>
                <c:pt idx="165">
                  <c:v>-2.23230153049444</c:v>
                </c:pt>
                <c:pt idx="166">
                  <c:v>-2.2691624534608712</c:v>
                </c:pt>
                <c:pt idx="167">
                  <c:v>-2.3088202891419742</c:v>
                </c:pt>
                <c:pt idx="168">
                  <c:v>-2.3506836327305454</c:v>
                </c:pt>
                <c:pt idx="169">
                  <c:v>-2.394162438488201</c:v>
                </c:pt>
                <c:pt idx="170">
                  <c:v>-2.4386723589213375</c:v>
                </c:pt>
                <c:pt idx="171">
                  <c:v>-2.4836423741874971</c:v>
                </c:pt>
                <c:pt idx="172">
                  <c:v>-2.5285240928365971</c:v>
                </c:pt>
                <c:pt idx="173">
                  <c:v>-2.5728012938569993</c:v>
                </c:pt>
                <c:pt idx="174">
                  <c:v>-2.615999223705769</c:v>
                </c:pt>
                <c:pt idx="175">
                  <c:v>-2.6576962717799861</c:v>
                </c:pt>
                <c:pt idx="176">
                  <c:v>-2.6975526098260501</c:v>
                </c:pt>
                <c:pt idx="177">
                  <c:v>-2.7354158729693836</c:v>
                </c:pt>
                <c:pt idx="178">
                  <c:v>-2.7713862466634338</c:v>
                </c:pt>
                <c:pt idx="179">
                  <c:v>-2.8066304291095001</c:v>
                </c:pt>
                <c:pt idx="180">
                  <c:v>-2.8403525524110815</c:v>
                </c:pt>
                <c:pt idx="181">
                  <c:v>-2.8651360225410825</c:v>
                </c:pt>
                <c:pt idx="182">
                  <c:v>-2.8894603433583304</c:v>
                </c:pt>
                <c:pt idx="183">
                  <c:v>-2.914314866117198</c:v>
                </c:pt>
                <c:pt idx="184">
                  <c:v>-2.9387483964827004</c:v>
                </c:pt>
                <c:pt idx="185">
                  <c:v>-2.9628144192408659</c:v>
                </c:pt>
                <c:pt idx="186">
                  <c:v>-2.986514197399833</c:v>
                </c:pt>
                <c:pt idx="187">
                  <c:v>-3.0097965927053068</c:v>
                </c:pt>
                <c:pt idx="188">
                  <c:v>-3.033017779001888</c:v>
                </c:pt>
                <c:pt idx="189">
                  <c:v>-3.0558531601527896</c:v>
                </c:pt>
                <c:pt idx="190">
                  <c:v>-3.0781289407547932</c:v>
                </c:pt>
                <c:pt idx="191">
                  <c:v>-3.0998343420214027</c:v>
                </c:pt>
                <c:pt idx="192">
                  <c:v>-3.1209669499307306</c:v>
                </c:pt>
                <c:pt idx="193">
                  <c:v>-3.1415305769496786</c:v>
                </c:pt>
                <c:pt idx="194">
                  <c:v>3.121651746073216</c:v>
                </c:pt>
                <c:pt idx="195">
                  <c:v>3.1021978748408454</c:v>
                </c:pt>
                <c:pt idx="196">
                  <c:v>3.0832794378332302</c:v>
                </c:pt>
                <c:pt idx="197">
                  <c:v>3.0648814242263578</c:v>
                </c:pt>
                <c:pt idx="198">
                  <c:v>3.0469881341610234</c:v>
                </c:pt>
                <c:pt idx="199">
                  <c:v>3.0295836887558076</c:v>
                </c:pt>
                <c:pt idx="200">
                  <c:v>3.0126524381468291</c:v>
                </c:pt>
                <c:pt idx="201">
                  <c:v>2.9961792937925908</c:v>
                </c:pt>
                <c:pt idx="202">
                  <c:v>2.9801500045231677</c:v>
                </c:pt>
                <c:pt idx="203">
                  <c:v>2.96449837041843</c:v>
                </c:pt>
                <c:pt idx="204">
                  <c:v>2.9492511464987174</c:v>
                </c:pt>
                <c:pt idx="205">
                  <c:v>2.9344074031159924</c:v>
                </c:pt>
                <c:pt idx="206">
                  <c:v>2.9199572611221702</c:v>
                </c:pt>
                <c:pt idx="207">
                  <c:v>2.9058705051565763</c:v>
                </c:pt>
                <c:pt idx="208">
                  <c:v>2.8920957924846826</c:v>
                </c:pt>
                <c:pt idx="209">
                  <c:v>2.8785869080800053</c:v>
                </c:pt>
                <c:pt idx="210">
                  <c:v>2.8653030949159479</c:v>
                </c:pt>
                <c:pt idx="211">
                  <c:v>2.8522080141030433</c:v>
                </c:pt>
                <c:pt idx="212">
                  <c:v>2.839268914031015</c:v>
                </c:pt>
                <c:pt idx="213">
                  <c:v>2.8264559592171414</c:v>
                </c:pt>
                <c:pt idx="214">
                  <c:v>2.8137416812544664</c:v>
                </c:pt>
                <c:pt idx="215">
                  <c:v>2.8011005249989047</c:v>
                </c:pt>
                <c:pt idx="216">
                  <c:v>2.7885084681577075</c:v>
                </c:pt>
                <c:pt idx="217">
                  <c:v>2.7759426982159399</c:v>
                </c:pt>
                <c:pt idx="218">
                  <c:v>2.763381334196235</c:v>
                </c:pt>
                <c:pt idx="219">
                  <c:v>2.7508031833574167</c:v>
                </c:pt>
                <c:pt idx="220">
                  <c:v>2.7381875244863929</c:v>
                </c:pt>
                <c:pt idx="221">
                  <c:v>2.7255139117288021</c:v>
                </c:pt>
                <c:pt idx="222">
                  <c:v>2.712761993667991</c:v>
                </c:pt>
                <c:pt idx="223">
                  <c:v>2.699911342857706</c:v>
                </c:pt>
                <c:pt idx="224">
                  <c:v>2.6869412925370666</c:v>
                </c:pt>
                <c:pt idx="225">
                  <c:v>2.6738307763697939</c:v>
                </c:pt>
                <c:pt idx="226">
                  <c:v>2.6605581691496818</c:v>
                </c:pt>
                <c:pt idx="227">
                  <c:v>2.6471011247327949</c:v>
                </c:pt>
                <c:pt idx="228">
                  <c:v>2.6334364090770199</c:v>
                </c:pt>
                <c:pt idx="229">
                  <c:v>2.6195397252284112</c:v>
                </c:pt>
                <c:pt idx="230">
                  <c:v>2.6053855279085916</c:v>
                </c:pt>
                <c:pt idx="231">
                  <c:v>2.5909468243807945</c:v>
                </c:pt>
                <c:pt idx="232">
                  <c:v>2.5761949589331774</c:v>
                </c:pt>
                <c:pt idx="233">
                  <c:v>2.5610993772066113</c:v>
                </c:pt>
                <c:pt idx="234">
                  <c:v>2.5456273670664622</c:v>
                </c:pt>
                <c:pt idx="235">
                  <c:v>2.5297437716255571</c:v>
                </c:pt>
                <c:pt idx="236">
                  <c:v>2.5134106699024557</c:v>
                </c:pt>
                <c:pt idx="237">
                  <c:v>2.4965870200499021</c:v>
                </c:pt>
                <c:pt idx="238">
                  <c:v>2.4792282591065833</c:v>
                </c:pt>
                <c:pt idx="239">
                  <c:v>2.4612858527820327</c:v>
                </c:pt>
                <c:pt idx="240">
                  <c:v>2.4427067877398256</c:v>
                </c:pt>
                <c:pt idx="241">
                  <c:v>2.4234329981290275</c:v>
                </c:pt>
                <c:pt idx="242">
                  <c:v>2.4034007166188527</c:v>
                </c:pt>
                <c:pt idx="243">
                  <c:v>2.3825397399373793</c:v>
                </c:pt>
                <c:pt idx="244">
                  <c:v>2.3607725973111791</c:v>
                </c:pt>
                <c:pt idx="245">
                  <c:v>2.337962344268111</c:v>
                </c:pt>
                <c:pt idx="246">
                  <c:v>2.3136750516021829</c:v>
                </c:pt>
                <c:pt idx="247">
                  <c:v>2.2882070920843676</c:v>
                </c:pt>
                <c:pt idx="248">
                  <c:v>2.2616913639006784</c:v>
                </c:pt>
                <c:pt idx="249">
                  <c:v>2.2338028501716467</c:v>
                </c:pt>
                <c:pt idx="250">
                  <c:v>2.2043940765402459</c:v>
                </c:pt>
                <c:pt idx="251">
                  <c:v>2.173314367448123</c:v>
                </c:pt>
                <c:pt idx="252">
                  <c:v>2.1403957030431764</c:v>
                </c:pt>
                <c:pt idx="253">
                  <c:v>2.1062617806569248</c:v>
                </c:pt>
                <c:pt idx="254">
                  <c:v>2.0732257804600653</c:v>
                </c:pt>
                <c:pt idx="255">
                  <c:v>2.0377445500058151</c:v>
                </c:pt>
                <c:pt idx="256">
                  <c:v>1.9995244524172497</c:v>
                </c:pt>
                <c:pt idx="257">
                  <c:v>1.9582588076808698</c:v>
                </c:pt>
                <c:pt idx="258">
                  <c:v>1.9144509375455325</c:v>
                </c:pt>
                <c:pt idx="259">
                  <c:v>1.8694275382732697</c:v>
                </c:pt>
                <c:pt idx="260">
                  <c:v>1.8243002341069368</c:v>
                </c:pt>
                <c:pt idx="261">
                  <c:v>1.7825692552061325</c:v>
                </c:pt>
                <c:pt idx="262">
                  <c:v>1.7494813655011126</c:v>
                </c:pt>
                <c:pt idx="263">
                  <c:v>1.7198765152748152</c:v>
                </c:pt>
                <c:pt idx="264">
                  <c:v>1.690376015723482</c:v>
                </c:pt>
                <c:pt idx="265">
                  <c:v>1.6611044086542706</c:v>
                </c:pt>
                <c:pt idx="266">
                  <c:v>1.6327818287299378</c:v>
                </c:pt>
                <c:pt idx="267">
                  <c:v>1.6052044057428454</c:v>
                </c:pt>
                <c:pt idx="268">
                  <c:v>1.5785351339280862</c:v>
                </c:pt>
                <c:pt idx="269">
                  <c:v>1.5528688920599436</c:v>
                </c:pt>
                <c:pt idx="270">
                  <c:v>1.5281094039696514</c:v>
                </c:pt>
                <c:pt idx="271">
                  <c:v>1.5029502363122262</c:v>
                </c:pt>
                <c:pt idx="272">
                  <c:v>1.4785316336346839</c:v>
                </c:pt>
                <c:pt idx="273">
                  <c:v>1.4547914578386065</c:v>
                </c:pt>
                <c:pt idx="274">
                  <c:v>1.4318800962861797</c:v>
                </c:pt>
                <c:pt idx="275">
                  <c:v>1.4100794245931134</c:v>
                </c:pt>
                <c:pt idx="276">
                  <c:v>1.3895226428517404</c:v>
                </c:pt>
                <c:pt idx="277">
                  <c:v>1.3702306540417679</c:v>
                </c:pt>
                <c:pt idx="278">
                  <c:v>1.3521696122229676</c:v>
                </c:pt>
                <c:pt idx="279">
                  <c:v>1.3352841319256818</c:v>
                </c:pt>
                <c:pt idx="280">
                  <c:v>1.3195404961749386</c:v>
                </c:pt>
                <c:pt idx="281">
                  <c:v>1.3049687284080103</c:v>
                </c:pt>
                <c:pt idx="282">
                  <c:v>1.2913812141945542</c:v>
                </c:pt>
                <c:pt idx="283">
                  <c:v>1.2787491286973707</c:v>
                </c:pt>
                <c:pt idx="284">
                  <c:v>1.2670585348867818</c:v>
                </c:pt>
                <c:pt idx="285">
                  <c:v>1.2563130010434966</c:v>
                </c:pt>
                <c:pt idx="286">
                  <c:v>1.2464927245260118</c:v>
                </c:pt>
                <c:pt idx="287">
                  <c:v>1.2374651290763385</c:v>
                </c:pt>
                <c:pt idx="288">
                  <c:v>1.2291029244975562</c:v>
                </c:pt>
                <c:pt idx="289">
                  <c:v>1.2213049321621041</c:v>
                </c:pt>
                <c:pt idx="290">
                  <c:v>1.2139895351168744</c:v>
                </c:pt>
                <c:pt idx="291">
                  <c:v>1.2070900205005952</c:v>
                </c:pt>
                <c:pt idx="292">
                  <c:v>1.200551202059372</c:v>
                </c:pt>
                <c:pt idx="293">
                  <c:v>1.1943269275877235</c:v>
                </c:pt>
                <c:pt idx="294">
                  <c:v>1.1883782100997273</c:v>
                </c:pt>
                <c:pt idx="295">
                  <c:v>1.1826718063892969</c:v>
                </c:pt>
                <c:pt idx="296">
                  <c:v>1.1771791215815537</c:v>
                </c:pt>
                <c:pt idx="297">
                  <c:v>1.1718753546606158</c:v>
                </c:pt>
                <c:pt idx="298">
                  <c:v>1.1667388244550019</c:v>
                </c:pt>
                <c:pt idx="299">
                  <c:v>1.1617504323758212</c:v>
                </c:pt>
                <c:pt idx="300">
                  <c:v>1.1568932299143404</c:v>
                </c:pt>
                <c:pt idx="301">
                  <c:v>1.1521520671782881</c:v>
                </c:pt>
                <c:pt idx="302">
                  <c:v>1.1475133046774373</c:v>
                </c:pt>
                <c:pt idx="303">
                  <c:v>1.1429645748664081</c:v>
                </c:pt>
                <c:pt idx="304">
                  <c:v>1.1384945831053204</c:v>
                </c:pt>
                <c:pt idx="305">
                  <c:v>1.1340929400327513</c:v>
                </c:pt>
                <c:pt idx="306">
                  <c:v>1.1297500190929644</c:v>
                </c:pt>
                <c:pt idx="307">
                  <c:v>1.1254568342751201</c:v>
                </c:pt>
                <c:pt idx="308">
                  <c:v>1.1212049341215631</c:v>
                </c:pt>
                <c:pt idx="309">
                  <c:v>1.116986308828108</c:v>
                </c:pt>
                <c:pt idx="310">
                  <c:v>1.1127933078429681</c:v>
                </c:pt>
                <c:pt idx="311">
                  <c:v>1.1086185658212291</c:v>
                </c:pt>
                <c:pt idx="312">
                  <c:v>1.1044549351379873</c:v>
                </c:pt>
                <c:pt idx="313">
                  <c:v>1.1002954234317948</c:v>
                </c:pt>
                <c:pt idx="314">
                  <c:v>1.0961350137105985</c:v>
                </c:pt>
                <c:pt idx="315">
                  <c:v>1.0919815510255051</c:v>
                </c:pt>
                <c:pt idx="316">
                  <c:v>1.0878460038323585</c:v>
                </c:pt>
                <c:pt idx="317">
                  <c:v>1.0837365462451578</c:v>
                </c:pt>
                <c:pt idx="318">
                  <c:v>1.0796591635091215</c:v>
                </c:pt>
                <c:pt idx="319">
                  <c:v>1.0756181367423097</c:v>
                </c:pt>
                <c:pt idx="320">
                  <c:v>1.07160118028229</c:v>
                </c:pt>
                <c:pt idx="321">
                  <c:v>1.0676141211757895</c:v>
                </c:pt>
                <c:pt idx="322">
                  <c:v>1.0636680421698232</c:v>
                </c:pt>
                <c:pt idx="323">
                  <c:v>1.059763582604303</c:v>
                </c:pt>
                <c:pt idx="324">
                  <c:v>1.0559008633985292</c:v>
                </c:pt>
                <c:pt idx="325">
                  <c:v>1.0520796023391938</c:v>
                </c:pt>
                <c:pt idx="326">
                  <c:v>1.048299206407193</c:v>
                </c:pt>
                <c:pt idx="327">
                  <c:v>1.0445588461897037</c:v>
                </c:pt>
                <c:pt idx="328">
                  <c:v>1.0408575162456002</c:v>
                </c:pt>
                <c:pt idx="329">
                  <c:v>1.037194084488559</c:v>
                </c:pt>
                <c:pt idx="330">
                  <c:v>1.0335673329930961</c:v>
                </c:pt>
                <c:pt idx="331">
                  <c:v>1.0299759921244036</c:v>
                </c:pt>
                <c:pt idx="332">
                  <c:v>1.0264187695670925</c:v>
                </c:pt>
                <c:pt idx="333">
                  <c:v>1.0228943754972211</c:v>
                </c:pt>
                <c:pt idx="334">
                  <c:v>1.019401544964093</c:v>
                </c:pt>
                <c:pt idx="335">
                  <c:v>1.0159390583723644</c:v>
                </c:pt>
                <c:pt idx="336">
                  <c:v>1.0125057608341879</c:v>
                </c:pt>
                <c:pt idx="337">
                  <c:v>1.0091005810541598</c:v>
                </c:pt>
                <c:pt idx="338">
                  <c:v>1.0057225503653175</c:v>
                </c:pt>
                <c:pt idx="339">
                  <c:v>1.0023708224090335</c:v>
                </c:pt>
                <c:pt idx="340">
                  <c:v>0.99904469391511375</c:v>
                </c:pt>
                <c:pt idx="341">
                  <c:v>0.99574362687213147</c:v>
                </c:pt>
                <c:pt idx="342">
                  <c:v>0.99246727215718722</c:v>
                </c:pt>
                <c:pt idx="343">
                  <c:v>0.98921549430730615</c:v>
                </c:pt>
                <c:pt idx="344">
                  <c:v>0.98598839633897428</c:v>
                </c:pt>
                <c:pt idx="345">
                  <c:v>0.98278634211610905</c:v>
                </c:pt>
                <c:pt idx="346">
                  <c:v>0.97960997111677472</c:v>
                </c:pt>
                <c:pt idx="347">
                  <c:v>0.9764601952155616</c:v>
                </c:pt>
                <c:pt idx="348">
                  <c:v>0.97333815687762137</c:v>
                </c:pt>
                <c:pt idx="349">
                  <c:v>0.97024510700851629</c:v>
                </c:pt>
                <c:pt idx="350">
                  <c:v>0.9671821155639091</c:v>
                </c:pt>
                <c:pt idx="351">
                  <c:v>0.96414942658040947</c:v>
                </c:pt>
                <c:pt idx="352">
                  <c:v>0.96114548940155531</c:v>
                </c:pt>
                <c:pt idx="353">
                  <c:v>0.95816774524547321</c:v>
                </c:pt>
                <c:pt idx="354">
                  <c:v>0.95521366136842834</c:v>
                </c:pt>
                <c:pt idx="355">
                  <c:v>0.95228078013214401</c:v>
                </c:pt>
                <c:pt idx="356">
                  <c:v>0.94936671004397</c:v>
                </c:pt>
                <c:pt idx="357">
                  <c:v>0.94646911726068894</c:v>
                </c:pt>
                <c:pt idx="358">
                  <c:v>0.9435857174899358</c:v>
                </c:pt>
                <c:pt idx="359">
                  <c:v>0.94071426821551385</c:v>
                </c:pt>
                <c:pt idx="360">
                  <c:v>0.93785256120628124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1.6510509359548604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3.5822012023345451E-11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0.78539816339744828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1.8325957145940459</c:v>
                </c:pt>
                <c:pt idx="1">
                  <c:v>-0.26179938779914935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L_Section_Capacity!$CJ$15:$CJ$375</c:f>
              <c:numCache>
                <c:formatCode>General</c:formatCode>
                <c:ptCount val="361"/>
                <c:pt idx="0">
                  <c:v>1.1719485542229788</c:v>
                </c:pt>
                <c:pt idx="1">
                  <c:v>1.1690472231574227</c:v>
                </c:pt>
                <c:pt idx="2">
                  <c:v>1.166159391680091</c:v>
                </c:pt>
                <c:pt idx="3">
                  <c:v>1.1632829353716956</c:v>
                </c:pt>
                <c:pt idx="4">
                  <c:v>1.1604157558061781</c:v>
                </c:pt>
                <c:pt idx="5">
                  <c:v>1.1575557739776328</c:v>
                </c:pt>
                <c:pt idx="6">
                  <c:v>1.1547009238252826</c:v>
                </c:pt>
                <c:pt idx="7">
                  <c:v>1.1518491457608491</c:v>
                </c:pt>
                <c:pt idx="8">
                  <c:v>1.148998380181145</c:v>
                </c:pt>
                <c:pt idx="9">
                  <c:v>1.1461465609138224</c:v>
                </c:pt>
                <c:pt idx="10">
                  <c:v>1.1432916504912043</c:v>
                </c:pt>
                <c:pt idx="11">
                  <c:v>1.1404323679082249</c:v>
                </c:pt>
                <c:pt idx="12">
                  <c:v>1.1375686896988795</c:v>
                </c:pt>
                <c:pt idx="13">
                  <c:v>1.1347011185412303</c:v>
                </c:pt>
                <c:pt idx="14">
                  <c:v>1.131830232665002</c:v>
                </c:pt>
                <c:pt idx="15">
                  <c:v>1.128956502832938</c:v>
                </c:pt>
                <c:pt idx="16">
                  <c:v>1.1260802277499509</c:v>
                </c:pt>
                <c:pt idx="17">
                  <c:v>1.1232015222765395</c:v>
                </c:pt>
                <c:pt idx="18">
                  <c:v>1.1203203286286225</c:v>
                </c:pt>
                <c:pt idx="19">
                  <c:v>1.1174364366593852</c:v>
                </c:pt>
                <c:pt idx="20">
                  <c:v>1.1145495068836115</c:v>
                </c:pt>
                <c:pt idx="21">
                  <c:v>1.1116590933515471</c:v>
                </c:pt>
                <c:pt idx="22">
                  <c:v>1.1087646652591077</c:v>
                </c:pt>
                <c:pt idx="23">
                  <c:v>1.1058656270297555</c:v>
                </c:pt>
                <c:pt idx="24">
                  <c:v>1.1029613369704201</c:v>
                </c:pt>
                <c:pt idx="25">
                  <c:v>1.1000511248394504</c:v>
                </c:pt>
                <c:pt idx="26">
                  <c:v>1.0971343087669547</c:v>
                </c:pt>
                <c:pt idx="27">
                  <c:v>1.0949060192098092</c:v>
                </c:pt>
                <c:pt idx="28">
                  <c:v>1.0948270959703594</c:v>
                </c:pt>
                <c:pt idx="29">
                  <c:v>1.0947440294319626</c:v>
                </c:pt>
                <c:pt idx="30">
                  <c:v>1.09465774851825</c:v>
                </c:pt>
                <c:pt idx="31">
                  <c:v>1.0945692687969042</c:v>
                </c:pt>
                <c:pt idx="32">
                  <c:v>1.0944797102756734</c:v>
                </c:pt>
                <c:pt idx="33">
                  <c:v>1.0943903176947383</c:v>
                </c:pt>
                <c:pt idx="34">
                  <c:v>1.0943024838782298</c:v>
                </c:pt>
                <c:pt idx="35">
                  <c:v>1.0942177768185262</c:v>
                </c:pt>
                <c:pt idx="36">
                  <c:v>1.0941379712961725</c:v>
                </c:pt>
                <c:pt idx="37">
                  <c:v>1.0940650860105907</c:v>
                </c:pt>
                <c:pt idx="38">
                  <c:v>1.0940014274158534</c:v>
                </c:pt>
                <c:pt idx="39">
                  <c:v>1.0939496417278149</c:v>
                </c:pt>
                <c:pt idx="40">
                  <c:v>1.0939127769291823</c:v>
                </c:pt>
                <c:pt idx="41">
                  <c:v>1.0938943570476956</c:v>
                </c:pt>
                <c:pt idx="42">
                  <c:v>1.0938984715858096</c:v>
                </c:pt>
                <c:pt idx="43">
                  <c:v>1.0939298837329654</c:v>
                </c:pt>
                <c:pt idx="44">
                  <c:v>1.093994162025574</c:v>
                </c:pt>
                <c:pt idx="45">
                  <c:v>1.0940978414516249</c:v>
                </c:pt>
                <c:pt idx="46">
                  <c:v>1.0942486218388667</c:v>
                </c:pt>
                <c:pt idx="47">
                  <c:v>1.0944556138351005</c:v>
                </c:pt>
                <c:pt idx="48">
                  <c:v>1.0947280724135879</c:v>
                </c:pt>
                <c:pt idx="49">
                  <c:v>1.0950776986983906</c:v>
                </c:pt>
                <c:pt idx="50">
                  <c:v>1.0955457150778525</c:v>
                </c:pt>
                <c:pt idx="51">
                  <c:v>1.0961355549073257</c:v>
                </c:pt>
                <c:pt idx="52">
                  <c:v>1.0968485366685767</c:v>
                </c:pt>
                <c:pt idx="53">
                  <c:v>1.097686546122127</c:v>
                </c:pt>
                <c:pt idx="54">
                  <c:v>1.0986520573064054</c:v>
                </c:pt>
                <c:pt idx="55">
                  <c:v>1.0997481609577244</c:v>
                </c:pt>
                <c:pt idx="56">
                  <c:v>1.1010865090171964</c:v>
                </c:pt>
                <c:pt idx="57">
                  <c:v>1.1029222563868573</c:v>
                </c:pt>
                <c:pt idx="58">
                  <c:v>1.1049651659707087</c:v>
                </c:pt>
                <c:pt idx="59">
                  <c:v>1.107225133666059</c:v>
                </c:pt>
                <c:pt idx="60">
                  <c:v>1.1097133934203836</c:v>
                </c:pt>
                <c:pt idx="61">
                  <c:v>1.112442657051929</c:v>
                </c:pt>
                <c:pt idx="62">
                  <c:v>1.1154272782758468</c:v>
                </c:pt>
                <c:pt idx="63">
                  <c:v>1.1186834452980043</c:v>
                </c:pt>
                <c:pt idx="64">
                  <c:v>1.1223329313911989</c:v>
                </c:pt>
                <c:pt idx="65">
                  <c:v>1.1266347137813608</c:v>
                </c:pt>
                <c:pt idx="66">
                  <c:v>1.1312770250288477</c:v>
                </c:pt>
                <c:pt idx="67">
                  <c:v>1.1362818766115328</c:v>
                </c:pt>
                <c:pt idx="68">
                  <c:v>1.1416734949349345</c:v>
                </c:pt>
                <c:pt idx="69">
                  <c:v>1.1474785092798987</c:v>
                </c:pt>
                <c:pt idx="70">
                  <c:v>1.1537261556245819</c:v>
                </c:pt>
                <c:pt idx="71">
                  <c:v>1.1604485012439829</c:v>
                </c:pt>
                <c:pt idx="72">
                  <c:v>1.1676807018804238</c:v>
                </c:pt>
                <c:pt idx="73">
                  <c:v>1.1754613180419593</c:v>
                </c:pt>
                <c:pt idx="74">
                  <c:v>1.1838327483120243</c:v>
                </c:pt>
                <c:pt idx="75">
                  <c:v>1.1928419029721264</c:v>
                </c:pt>
                <c:pt idx="76">
                  <c:v>1.2025413788136305</c:v>
                </c:pt>
                <c:pt idx="77">
                  <c:v>1.2129916889788244</c:v>
                </c:pt>
                <c:pt idx="78">
                  <c:v>1.2242657397843957</c:v>
                </c:pt>
                <c:pt idx="79">
                  <c:v>1.2364581464273325</c:v>
                </c:pt>
                <c:pt idx="80">
                  <c:v>1.2496906271066819</c:v>
                </c:pt>
                <c:pt idx="81">
                  <c:v>1.2660435675112267</c:v>
                </c:pt>
                <c:pt idx="82">
                  <c:v>1.2847715669050304</c:v>
                </c:pt>
                <c:pt idx="83">
                  <c:v>1.3058684356812629</c:v>
                </c:pt>
                <c:pt idx="84">
                  <c:v>1.3296066616848397</c:v>
                </c:pt>
                <c:pt idx="85">
                  <c:v>1.3562037050684006</c:v>
                </c:pt>
                <c:pt idx="86">
                  <c:v>1.385727986238745</c:v>
                </c:pt>
                <c:pt idx="87">
                  <c:v>1.4179135623614849</c:v>
                </c:pt>
                <c:pt idx="88">
                  <c:v>1.4517670458266432</c:v>
                </c:pt>
                <c:pt idx="89">
                  <c:v>1.4845198485359834</c:v>
                </c:pt>
                <c:pt idx="90">
                  <c:v>1.5093906359509333</c:v>
                </c:pt>
                <c:pt idx="91">
                  <c:v>1.9768571357767739</c:v>
                </c:pt>
                <c:pt idx="92">
                  <c:v>2.5111638159942928</c:v>
                </c:pt>
                <c:pt idx="93">
                  <c:v>2.8725226747876418</c:v>
                </c:pt>
                <c:pt idx="94">
                  <c:v>3.0678326473672968</c:v>
                </c:pt>
                <c:pt idx="95">
                  <c:v>-3.0991690471983291</c:v>
                </c:pt>
                <c:pt idx="96">
                  <c:v>-3.0281915869725737</c:v>
                </c:pt>
                <c:pt idx="97">
                  <c:v>-2.9889750694560941</c:v>
                </c:pt>
                <c:pt idx="98">
                  <c:v>-2.9668735915514555</c:v>
                </c:pt>
                <c:pt idx="99">
                  <c:v>-2.9534940774429241</c:v>
                </c:pt>
                <c:pt idx="100">
                  <c:v>-2.9449897052875578</c:v>
                </c:pt>
                <c:pt idx="101">
                  <c:v>-2.9394165524804743</c:v>
                </c:pt>
                <c:pt idx="102">
                  <c:v>-2.9357017951245434</c:v>
                </c:pt>
                <c:pt idx="103">
                  <c:v>-2.933213219147417</c:v>
                </c:pt>
                <c:pt idx="104">
                  <c:v>-2.9315589266475115</c:v>
                </c:pt>
                <c:pt idx="105">
                  <c:v>-2.9304860472404366</c:v>
                </c:pt>
                <c:pt idx="106">
                  <c:v>-2.9298260349749068</c:v>
                </c:pt>
                <c:pt idx="107">
                  <c:v>-2.9294635099538064</c:v>
                </c:pt>
                <c:pt idx="108">
                  <c:v>-2.9293177137669462</c:v>
                </c:pt>
                <c:pt idx="109">
                  <c:v>-2.9293310576741933</c:v>
                </c:pt>
                <c:pt idx="110">
                  <c:v>-2.9294618251662605</c:v>
                </c:pt>
                <c:pt idx="111">
                  <c:v>-2.9296793947086082</c:v>
                </c:pt>
                <c:pt idx="112">
                  <c:v>-2.9299610379044942</c:v>
                </c:pt>
                <c:pt idx="113">
                  <c:v>-2.930289728960382</c:v>
                </c:pt>
                <c:pt idx="114">
                  <c:v>-2.930652618689594</c:v>
                </c:pt>
                <c:pt idx="115">
                  <c:v>-2.9310399540427041</c:v>
                </c:pt>
                <c:pt idx="116">
                  <c:v>-2.9314443022669692</c:v>
                </c:pt>
                <c:pt idx="117">
                  <c:v>-2.9318599863777179</c:v>
                </c:pt>
                <c:pt idx="118">
                  <c:v>-2.9322826699627242</c:v>
                </c:pt>
                <c:pt idx="119">
                  <c:v>-2.9327090484044445</c:v>
                </c:pt>
                <c:pt idx="120">
                  <c:v>-2.9331366173919378</c:v>
                </c:pt>
                <c:pt idx="121">
                  <c:v>-2.9335634978340384</c:v>
                </c:pt>
                <c:pt idx="122">
                  <c:v>-2.9339994100529485</c:v>
                </c:pt>
                <c:pt idx="123">
                  <c:v>-2.934432773458505</c:v>
                </c:pt>
                <c:pt idx="124">
                  <c:v>-2.9348623383537986</c:v>
                </c:pt>
                <c:pt idx="125">
                  <c:v>-2.9352877174882304</c:v>
                </c:pt>
                <c:pt idx="126">
                  <c:v>-2.9357087261996822</c:v>
                </c:pt>
                <c:pt idx="127">
                  <c:v>-2.9361253474723785</c:v>
                </c:pt>
                <c:pt idx="128">
                  <c:v>-2.9365377051274617</c:v>
                </c:pt>
                <c:pt idx="129">
                  <c:v>-2.9369460439964779</c:v>
                </c:pt>
                <c:pt idx="130">
                  <c:v>-2.9373507153164575</c:v>
                </c:pt>
                <c:pt idx="131">
                  <c:v>-2.9377521666001938</c:v>
                </c:pt>
                <c:pt idx="132">
                  <c:v>-2.9381509354195527</c:v>
                </c:pt>
                <c:pt idx="133">
                  <c:v>-2.9385476462960241</c:v>
                </c:pt>
                <c:pt idx="134">
                  <c:v>-2.9389430106100507</c:v>
                </c:pt>
                <c:pt idx="135">
                  <c:v>-2.9393378293236987</c:v>
                </c:pt>
                <c:pt idx="136">
                  <c:v>-2.939732998214331</c:v>
                </c:pt>
                <c:pt idx="137">
                  <c:v>-2.9401295159611638</c:v>
                </c:pt>
                <c:pt idx="138">
                  <c:v>-2.9405284949670158</c:v>
                </c:pt>
                <c:pt idx="139">
                  <c:v>-2.9409311752865976</c:v>
                </c:pt>
                <c:pt idx="140">
                  <c:v>-2.9413389419877669</c:v>
                </c:pt>
                <c:pt idx="141">
                  <c:v>-2.9417533464534698</c:v>
                </c:pt>
                <c:pt idx="142">
                  <c:v>-2.9421761322988838</c:v>
                </c:pt>
                <c:pt idx="143">
                  <c:v>-2.9426092666492112</c:v>
                </c:pt>
                <c:pt idx="144">
                  <c:v>-2.9430549779883446</c:v>
                </c:pt>
                <c:pt idx="145">
                  <c:v>-2.9435158018376981</c:v>
                </c:pt>
                <c:pt idx="146">
                  <c:v>-2.9439946361261953</c:v>
                </c:pt>
                <c:pt idx="147">
                  <c:v>-2.9444948081831197</c:v>
                </c:pt>
                <c:pt idx="148">
                  <c:v>-2.9450201566194161</c:v>
                </c:pt>
                <c:pt idx="149">
                  <c:v>-2.9455746804346239</c:v>
                </c:pt>
                <c:pt idx="150">
                  <c:v>-2.946156281440619</c:v>
                </c:pt>
                <c:pt idx="151">
                  <c:v>-2.9467797023454412</c:v>
                </c:pt>
                <c:pt idx="152">
                  <c:v>-2.9474521814968275</c:v>
                </c:pt>
                <c:pt idx="153">
                  <c:v>-2.9481822831015787</c:v>
                </c:pt>
                <c:pt idx="154">
                  <c:v>-2.9489801967476437</c:v>
                </c:pt>
                <c:pt idx="155">
                  <c:v>-2.9498581168817961</c:v>
                </c:pt>
                <c:pt idx="156">
                  <c:v>-2.9508307273007777</c:v>
                </c:pt>
                <c:pt idx="157">
                  <c:v>-2.9519158245621719</c:v>
                </c:pt>
                <c:pt idx="158">
                  <c:v>-2.9531351274708513</c:v>
                </c:pt>
                <c:pt idx="159">
                  <c:v>-2.9545153376911659</c:v>
                </c:pt>
                <c:pt idx="160">
                  <c:v>-2.9560895438919772</c:v>
                </c:pt>
                <c:pt idx="161">
                  <c:v>-2.9578991007289308</c:v>
                </c:pt>
                <c:pt idx="162">
                  <c:v>-2.9599961733159676</c:v>
                </c:pt>
                <c:pt idx="163">
                  <c:v>-2.9624472271865301</c:v>
                </c:pt>
                <c:pt idx="164">
                  <c:v>-2.9653378823334622</c:v>
                </c:pt>
                <c:pt idx="165">
                  <c:v>-2.9687592614013534</c:v>
                </c:pt>
                <c:pt idx="166">
                  <c:v>-2.9727049954053104</c:v>
                </c:pt>
                <c:pt idx="167">
                  <c:v>-2.9771303421130555</c:v>
                </c:pt>
                <c:pt idx="168">
                  <c:v>-2.9819922608097849</c:v>
                </c:pt>
                <c:pt idx="169">
                  <c:v>-2.9872485317073409</c:v>
                </c:pt>
                <c:pt idx="170">
                  <c:v>-2.9928568079504863</c:v>
                </c:pt>
                <c:pt idx="171">
                  <c:v>-2.9987736338770299</c:v>
                </c:pt>
                <c:pt idx="172">
                  <c:v>-3.0049534067560266</c:v>
                </c:pt>
                <c:pt idx="173">
                  <c:v>-3.0113472943736643</c:v>
                </c:pt>
                <c:pt idx="174">
                  <c:v>-3.0179022453545561</c:v>
                </c:pt>
                <c:pt idx="175">
                  <c:v>-3.0245607237663186</c:v>
                </c:pt>
                <c:pt idx="176">
                  <c:v>-3.0312640289802388</c:v>
                </c:pt>
                <c:pt idx="177">
                  <c:v>-3.0379716480466925</c:v>
                </c:pt>
                <c:pt idx="178">
                  <c:v>-3.0446807965827607</c:v>
                </c:pt>
                <c:pt idx="179">
                  <c:v>-3.0513920474821585</c:v>
                </c:pt>
                <c:pt idx="180">
                  <c:v>-3.0582934532399246</c:v>
                </c:pt>
                <c:pt idx="181">
                  <c:v>-3.0652945656213388</c:v>
                </c:pt>
                <c:pt idx="182">
                  <c:v>-3.0721622158013515</c:v>
                </c:pt>
                <c:pt idx="183">
                  <c:v>-3.0789201007039591</c:v>
                </c:pt>
                <c:pt idx="184">
                  <c:v>-3.0855516584194755</c:v>
                </c:pt>
                <c:pt idx="185">
                  <c:v>-3.0920845719310126</c:v>
                </c:pt>
                <c:pt idx="186">
                  <c:v>-3.0985295509742916</c:v>
                </c:pt>
                <c:pt idx="187">
                  <c:v>-3.1048806949781955</c:v>
                </c:pt>
                <c:pt idx="188">
                  <c:v>-3.1112423106106819</c:v>
                </c:pt>
                <c:pt idx="189">
                  <c:v>-3.1175324875295014</c:v>
                </c:pt>
                <c:pt idx="190">
                  <c:v>-3.1237088943088329</c:v>
                </c:pt>
                <c:pt idx="191">
                  <c:v>-3.1297727950704224</c:v>
                </c:pt>
                <c:pt idx="192">
                  <c:v>-3.1357269104627754</c:v>
                </c:pt>
                <c:pt idx="193">
                  <c:v>-3.1415749122951988</c:v>
                </c:pt>
                <c:pt idx="194">
                  <c:v>3.1358642663242504</c:v>
                </c:pt>
                <c:pt idx="195">
                  <c:v>3.1302154844488648</c:v>
                </c:pt>
                <c:pt idx="196">
                  <c:v>3.1246594425680136</c:v>
                </c:pt>
                <c:pt idx="197">
                  <c:v>3.1191916043132277</c:v>
                </c:pt>
                <c:pt idx="198">
                  <c:v>3.1138076145014515</c:v>
                </c:pt>
                <c:pt idx="199">
                  <c:v>3.108503382377747</c:v>
                </c:pt>
                <c:pt idx="200">
                  <c:v>3.1032751460110539</c:v>
                </c:pt>
                <c:pt idx="201">
                  <c:v>3.098119524924646</c:v>
                </c:pt>
                <c:pt idx="202">
                  <c:v>3.0930335659723101</c:v>
                </c:pt>
                <c:pt idx="203">
                  <c:v>3.0879994854667254</c:v>
                </c:pt>
                <c:pt idx="204">
                  <c:v>3.0830261429366912</c:v>
                </c:pt>
                <c:pt idx="205">
                  <c:v>3.0781147577308881</c:v>
                </c:pt>
                <c:pt idx="206">
                  <c:v>3.0732640931112933</c:v>
                </c:pt>
                <c:pt idx="207">
                  <c:v>3.0684662234532838</c:v>
                </c:pt>
                <c:pt idx="208">
                  <c:v>3.0637058892224212</c:v>
                </c:pt>
                <c:pt idx="209">
                  <c:v>3.0589689816187624</c:v>
                </c:pt>
                <c:pt idx="210">
                  <c:v>3.0542427154744844</c:v>
                </c:pt>
                <c:pt idx="211">
                  <c:v>3.0495153389005227</c:v>
                </c:pt>
                <c:pt idx="212">
                  <c:v>3.0447758964787166</c:v>
                </c:pt>
                <c:pt idx="213">
                  <c:v>3.0400140331326506</c:v>
                </c:pt>
                <c:pt idx="214">
                  <c:v>3.03521982868874</c:v>
                </c:pt>
                <c:pt idx="215">
                  <c:v>3.0303836559042585</c:v>
                </c:pt>
                <c:pt idx="216">
                  <c:v>3.0254960559249029</c:v>
                </c:pt>
                <c:pt idx="217">
                  <c:v>3.0205476266116507</c:v>
                </c:pt>
                <c:pt idx="218">
                  <c:v>3.0155289200489461</c:v>
                </c:pt>
                <c:pt idx="219">
                  <c:v>3.010430346165677</c:v>
                </c:pt>
                <c:pt idx="220">
                  <c:v>3.0052420797138222</c:v>
                </c:pt>
                <c:pt idx="221">
                  <c:v>2.999953968400511</c:v>
                </c:pt>
                <c:pt idx="222">
                  <c:v>2.9945554400576957</c:v>
                </c:pt>
                <c:pt idx="223">
                  <c:v>2.9890354067254097</c:v>
                </c:pt>
                <c:pt idx="224">
                  <c:v>2.9833821638265938</c:v>
                </c:pt>
                <c:pt idx="225">
                  <c:v>2.977583282132751</c:v>
                </c:pt>
                <c:pt idx="226">
                  <c:v>2.9716254906571735</c:v>
                </c:pt>
                <c:pt idx="227">
                  <c:v>2.9654945478065797</c:v>
                </c:pt>
                <c:pt idx="228">
                  <c:v>2.9591750983176093</c:v>
                </c:pt>
                <c:pt idx="229">
                  <c:v>2.952650512778352</c:v>
                </c:pt>
                <c:pt idx="230">
                  <c:v>2.9459027063273702</c:v>
                </c:pt>
                <c:pt idx="231">
                  <c:v>2.9389119322167425</c:v>
                </c:pt>
                <c:pt idx="232">
                  <c:v>2.9316565454280292</c:v>
                </c:pt>
                <c:pt idx="233">
                  <c:v>2.9241127302616676</c:v>
                </c:pt>
                <c:pt idx="234">
                  <c:v>2.9162541848667329</c:v>
                </c:pt>
                <c:pt idx="235">
                  <c:v>2.9080517539026163</c:v>
                </c:pt>
                <c:pt idx="236">
                  <c:v>2.8994729987113681</c:v>
                </c:pt>
                <c:pt idx="237">
                  <c:v>2.8904816919475249</c:v>
                </c:pt>
                <c:pt idx="238">
                  <c:v>2.8810372204002195</c:v>
                </c:pt>
                <c:pt idx="239">
                  <c:v>2.8710938759151121</c:v>
                </c:pt>
                <c:pt idx="240">
                  <c:v>2.8606000092162454</c:v>
                </c:pt>
                <c:pt idx="241">
                  <c:v>2.8494970150441272</c:v>
                </c:pt>
                <c:pt idx="242">
                  <c:v>2.8377181084862118</c:v>
                </c:pt>
                <c:pt idx="243">
                  <c:v>2.8251868418578705</c:v>
                </c:pt>
                <c:pt idx="244">
                  <c:v>2.8118152971692094</c:v>
                </c:pt>
                <c:pt idx="245">
                  <c:v>2.7973885909228793</c:v>
                </c:pt>
                <c:pt idx="246">
                  <c:v>2.7809617256806987</c:v>
                </c:pt>
                <c:pt idx="247">
                  <c:v>2.7632064273508066</c:v>
                </c:pt>
                <c:pt idx="248">
                  <c:v>2.7445757848503605</c:v>
                </c:pt>
                <c:pt idx="249">
                  <c:v>2.7243469888207188</c:v>
                </c:pt>
                <c:pt idx="250">
                  <c:v>2.7022506592960438</c:v>
                </c:pt>
                <c:pt idx="251">
                  <c:v>2.6780028604699009</c:v>
                </c:pt>
                <c:pt idx="252">
                  <c:v>2.6512628016070048</c:v>
                </c:pt>
                <c:pt idx="253">
                  <c:v>2.6224061845199289</c:v>
                </c:pt>
                <c:pt idx="254">
                  <c:v>2.5936362489051579</c:v>
                </c:pt>
                <c:pt idx="255">
                  <c:v>2.5613714984794678</c:v>
                </c:pt>
                <c:pt idx="256">
                  <c:v>2.5249386511223877</c:v>
                </c:pt>
                <c:pt idx="257">
                  <c:v>2.4835225523581412</c:v>
                </c:pt>
                <c:pt idx="258">
                  <c:v>2.436898159869064</c:v>
                </c:pt>
                <c:pt idx="259">
                  <c:v>2.3856915543074004</c:v>
                </c:pt>
                <c:pt idx="260">
                  <c:v>2.3306221033940231</c:v>
                </c:pt>
                <c:pt idx="261">
                  <c:v>2.2762554433265905</c:v>
                </c:pt>
                <c:pt idx="262">
                  <c:v>2.2292287131227981</c:v>
                </c:pt>
                <c:pt idx="263">
                  <c:v>2.1840451334551165</c:v>
                </c:pt>
                <c:pt idx="264">
                  <c:v>2.1365883964787349</c:v>
                </c:pt>
                <c:pt idx="265">
                  <c:v>2.0869946745381078</c:v>
                </c:pt>
                <c:pt idx="266">
                  <c:v>2.0504696316792836</c:v>
                </c:pt>
                <c:pt idx="267">
                  <c:v>2.0170249698084186</c:v>
                </c:pt>
                <c:pt idx="268">
                  <c:v>1.9841030701040583</c:v>
                </c:pt>
                <c:pt idx="269">
                  <c:v>1.9519307255202936</c:v>
                </c:pt>
                <c:pt idx="270">
                  <c:v>1.9204715595274506</c:v>
                </c:pt>
                <c:pt idx="271">
                  <c:v>1.8889879452609801</c:v>
                </c:pt>
                <c:pt idx="272">
                  <c:v>1.8580606967607962</c:v>
                </c:pt>
                <c:pt idx="273">
                  <c:v>1.8276659017622701</c:v>
                </c:pt>
                <c:pt idx="274">
                  <c:v>1.7980330666376405</c:v>
                </c:pt>
                <c:pt idx="275">
                  <c:v>1.7695586909361314</c:v>
                </c:pt>
                <c:pt idx="276">
                  <c:v>1.7424649073943823</c:v>
                </c:pt>
                <c:pt idx="277">
                  <c:v>1.7168345938519876</c:v>
                </c:pt>
                <c:pt idx="278">
                  <c:v>1.6926767053980944</c:v>
                </c:pt>
                <c:pt idx="279">
                  <c:v>1.6699657137202857</c:v>
                </c:pt>
                <c:pt idx="280">
                  <c:v>1.6494831734211071</c:v>
                </c:pt>
                <c:pt idx="281">
                  <c:v>1.6341202854344823</c:v>
                </c:pt>
                <c:pt idx="282">
                  <c:v>1.6194465791979595</c:v>
                </c:pt>
                <c:pt idx="283">
                  <c:v>1.6055063689314011</c:v>
                </c:pt>
                <c:pt idx="284">
                  <c:v>1.5923505457512805</c:v>
                </c:pt>
                <c:pt idx="285">
                  <c:v>1.5800414989943745</c:v>
                </c:pt>
                <c:pt idx="286">
                  <c:v>1.5686048201564624</c:v>
                </c:pt>
                <c:pt idx="287">
                  <c:v>1.557920372636495</c:v>
                </c:pt>
                <c:pt idx="288">
                  <c:v>1.5478659314119101</c:v>
                </c:pt>
                <c:pt idx="289">
                  <c:v>1.5383444822340646</c:v>
                </c:pt>
                <c:pt idx="290">
                  <c:v>1.5292778368336239</c:v>
                </c:pt>
                <c:pt idx="291">
                  <c:v>1.5206020989352587</c:v>
                </c:pt>
                <c:pt idx="292">
                  <c:v>1.5122643828023927</c:v>
                </c:pt>
                <c:pt idx="293">
                  <c:v>1.5042203972487949</c:v>
                </c:pt>
                <c:pt idx="294">
                  <c:v>1.4964326389526825</c:v>
                </c:pt>
                <c:pt idx="295">
                  <c:v>1.4888690220581282</c:v>
                </c:pt>
                <c:pt idx="296">
                  <c:v>1.4815018249718657</c:v>
                </c:pt>
                <c:pt idx="297">
                  <c:v>1.4743068710301892</c:v>
                </c:pt>
                <c:pt idx="298">
                  <c:v>1.4672628837867205</c:v>
                </c:pt>
                <c:pt idx="299">
                  <c:v>1.4603509742022138</c:v>
                </c:pt>
                <c:pt idx="300">
                  <c:v>1.4535542285240206</c:v>
                </c:pt>
                <c:pt idx="301">
                  <c:v>1.4468573737580106</c:v>
                </c:pt>
                <c:pt idx="302">
                  <c:v>1.4402465034487597</c:v>
                </c:pt>
                <c:pt idx="303">
                  <c:v>1.4337088506879951</c:v>
                </c:pt>
                <c:pt idx="304">
                  <c:v>1.4272325983451568</c:v>
                </c:pt>
                <c:pt idx="305">
                  <c:v>1.420806718789478</c:v>
                </c:pt>
                <c:pt idx="306">
                  <c:v>1.4144208370662197</c:v>
                </c:pt>
                <c:pt idx="307">
                  <c:v>1.408065112764139</c:v>
                </c:pt>
                <c:pt idx="308">
                  <c:v>1.4017301367735637</c:v>
                </c:pt>
                <c:pt idx="309">
                  <c:v>1.3954068398688282</c:v>
                </c:pt>
                <c:pt idx="310">
                  <c:v>1.3890864106051697</c:v>
                </c:pt>
                <c:pt idx="311">
                  <c:v>1.3827602204455847</c:v>
                </c:pt>
                <c:pt idx="312">
                  <c:v>1.3764197543569567</c:v>
                </c:pt>
                <c:pt idx="313">
                  <c:v>1.370056545362849</c:v>
                </c:pt>
                <c:pt idx="314">
                  <c:v>1.3636647275165963</c:v>
                </c:pt>
                <c:pt idx="315">
                  <c:v>1.357256215985013</c:v>
                </c:pt>
                <c:pt idx="316">
                  <c:v>1.3508471771057056</c:v>
                </c:pt>
                <c:pt idx="317">
                  <c:v>1.3444497989349329</c:v>
                </c:pt>
                <c:pt idx="318">
                  <c:v>1.3380731379343425</c:v>
                </c:pt>
                <c:pt idx="319">
                  <c:v>1.3317237971148739</c:v>
                </c:pt>
                <c:pt idx="320">
                  <c:v>1.3263098738900403</c:v>
                </c:pt>
                <c:pt idx="321">
                  <c:v>1.3215480759551552</c:v>
                </c:pt>
                <c:pt idx="322">
                  <c:v>1.316844317852933</c:v>
                </c:pt>
                <c:pt idx="323">
                  <c:v>1.312198839226365</c:v>
                </c:pt>
                <c:pt idx="324">
                  <c:v>1.3076113201181503</c:v>
                </c:pt>
                <c:pt idx="325">
                  <c:v>1.303081013020662</c:v>
                </c:pt>
                <c:pt idx="326">
                  <c:v>1.2986068482393986</c:v>
                </c:pt>
                <c:pt idx="327">
                  <c:v>1.2941875185396534</c:v>
                </c:pt>
                <c:pt idx="328">
                  <c:v>1.2898215475923287</c:v>
                </c:pt>
                <c:pt idx="329">
                  <c:v>1.2855073458348314</c:v>
                </c:pt>
                <c:pt idx="330">
                  <c:v>1.2812432565634087</c:v>
                </c:pt>
                <c:pt idx="331">
                  <c:v>1.2770275944586715</c:v>
                </c:pt>
                <c:pt idx="332">
                  <c:v>1.2728586784126894</c:v>
                </c:pt>
                <c:pt idx="333">
                  <c:v>1.2687348600815662</c:v>
                </c:pt>
                <c:pt idx="334">
                  <c:v>1.2646545494192669</c:v>
                </c:pt>
                <c:pt idx="335">
                  <c:v>1.2606162382259347</c:v>
                </c:pt>
                <c:pt idx="336">
                  <c:v>1.2566185226034816</c:v>
                </c:pt>
                <c:pt idx="337">
                  <c:v>1.2526601250691325</c:v>
                </c:pt>
                <c:pt idx="338">
                  <c:v>1.2487399170587592</c:v>
                </c:pt>
                <c:pt idx="339">
                  <c:v>1.2448569423357074</c:v>
                </c:pt>
                <c:pt idx="340">
                  <c:v>1.2410104418222787</c:v>
                </c:pt>
                <c:pt idx="341">
                  <c:v>1.2371998801104249</c:v>
                </c:pt>
                <c:pt idx="342">
                  <c:v>1.2334249736126286</c:v>
                </c:pt>
                <c:pt idx="343">
                  <c:v>1.2296857198198743</c:v>
                </c:pt>
                <c:pt idx="344">
                  <c:v>1.225982426096496</c:v>
                </c:pt>
                <c:pt idx="345">
                  <c:v>1.2223157346409816</c:v>
                </c:pt>
                <c:pt idx="346">
                  <c:v>1.2186866369281406</c:v>
                </c:pt>
                <c:pt idx="347">
                  <c:v>1.2150964643742448</c:v>
                </c:pt>
                <c:pt idx="348">
                  <c:v>1.211546829497161</c:v>
                </c:pt>
                <c:pt idx="349">
                  <c:v>1.2080394661567657</c:v>
                </c:pt>
                <c:pt idx="350">
                  <c:v>1.2045758634677941</c:v>
                </c:pt>
                <c:pt idx="351">
                  <c:v>1.2011564680134397</c:v>
                </c:pt>
                <c:pt idx="352">
                  <c:v>1.1977795086987812</c:v>
                </c:pt>
                <c:pt idx="353">
                  <c:v>1.1944419880985389</c:v>
                </c:pt>
                <c:pt idx="354">
                  <c:v>1.191140958049113</c:v>
                </c:pt>
                <c:pt idx="355">
                  <c:v>1.1878735802851734</c:v>
                </c:pt>
                <c:pt idx="356">
                  <c:v>1.1846371159057953</c:v>
                </c:pt>
                <c:pt idx="357">
                  <c:v>1.1814289154946911</c:v>
                </c:pt>
                <c:pt idx="358">
                  <c:v>1.1782464098207623</c:v>
                </c:pt>
                <c:pt idx="359">
                  <c:v>1.1750871010169839</c:v>
                </c:pt>
                <c:pt idx="360">
                  <c:v>1.1719485542218511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5556</xdr:colOff>
      <xdr:row>21</xdr:row>
      <xdr:rowOff>162718</xdr:rowOff>
    </xdr:from>
    <xdr:to>
      <xdr:col>31</xdr:col>
      <xdr:colOff>484982</xdr:colOff>
      <xdr:row>37</xdr:row>
      <xdr:rowOff>3174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D378"/>
  <sheetViews>
    <sheetView tabSelected="1" zoomScale="80" zoomScaleNormal="80" workbookViewId="0">
      <selection activeCell="AB12" sqref="AB12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6" max="26" width="11.42578125" bestFit="1" customWidth="1"/>
    <col min="27" max="28" width="11" bestFit="1" customWidth="1"/>
    <col min="29" max="29" width="11.42578125" bestFit="1" customWidth="1"/>
    <col min="30" max="30" width="14" bestFit="1" customWidth="1"/>
    <col min="31" max="31" width="11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1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34" x14ac:dyDescent="0.25">
      <c r="A1" s="8" t="s">
        <v>196</v>
      </c>
      <c r="B1" s="20" t="s">
        <v>222</v>
      </c>
      <c r="K1" s="8" t="s">
        <v>71</v>
      </c>
      <c r="L1" s="56">
        <v>1.0000000000000001E-9</v>
      </c>
      <c r="P1" s="8" t="s">
        <v>144</v>
      </c>
      <c r="Q1" s="4">
        <v>1</v>
      </c>
      <c r="T1" t="s">
        <v>157</v>
      </c>
      <c r="U1" s="4">
        <v>0</v>
      </c>
      <c r="W1" t="s">
        <v>197</v>
      </c>
      <c r="X1" s="4">
        <v>1</v>
      </c>
      <c r="Z1" s="1" t="s">
        <v>226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145</v>
      </c>
      <c r="BH1" s="6" t="s">
        <v>146</v>
      </c>
      <c r="BI1" s="6" t="s">
        <v>147</v>
      </c>
      <c r="BJ1" s="6" t="s">
        <v>224</v>
      </c>
      <c r="BK1" s="6" t="s">
        <v>225</v>
      </c>
      <c r="BW1" s="45" t="s">
        <v>148</v>
      </c>
      <c r="CU1" t="s">
        <v>113</v>
      </c>
      <c r="DC1" t="s">
        <v>136</v>
      </c>
      <c r="DI1" t="s">
        <v>143</v>
      </c>
      <c r="DO1" t="s">
        <v>208</v>
      </c>
    </row>
    <row r="2" spans="1:134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460</v>
      </c>
      <c r="N2">
        <v>10</v>
      </c>
      <c r="O2">
        <v>1</v>
      </c>
      <c r="AD2" s="8" t="s">
        <v>158</v>
      </c>
      <c r="AE2" s="20">
        <v>360</v>
      </c>
      <c r="AS2" s="6" t="s">
        <v>202</v>
      </c>
      <c r="AT2" s="7">
        <v>2.5</v>
      </c>
      <c r="BC2">
        <v>0</v>
      </c>
      <c r="BD2">
        <v>277.65011198714569</v>
      </c>
      <c r="BE2">
        <v>-42.66</v>
      </c>
      <c r="BF2" s="6">
        <f t="shared" ref="BF2:BF33" si="0">IF(BC2&lt;&gt;"",IF(AND(BD2=0,BE2=0),0,MOD(ATAN2(BD2,BE2),2*PI())),NA())</f>
        <v>6.130730909370361</v>
      </c>
      <c r="BG2" s="6">
        <f t="shared" ref="BG2:BG33" si="1">ABS(BC2-BF2)</f>
        <v>6.130730909370361</v>
      </c>
      <c r="BH2" s="6">
        <f>ATAN2(COS($U$13-BF2),SIN($U$13-BF2))</f>
        <v>0.93785256120667371</v>
      </c>
      <c r="BI2" s="6">
        <f>ABS(BH2)</f>
        <v>0.93785256120667371</v>
      </c>
      <c r="BJ2">
        <v>308.50012443016186</v>
      </c>
      <c r="BK2">
        <v>-47.4</v>
      </c>
      <c r="BT2">
        <v>0.78539816339744828</v>
      </c>
      <c r="BV2" s="38"/>
      <c r="CJ2">
        <v>3.1415926535897931</v>
      </c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3.1415926535897931</v>
      </c>
    </row>
    <row r="3" spans="1:134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0.67040554940275732</v>
      </c>
      <c r="V3" s="15"/>
      <c r="W3" s="29" t="s">
        <v>95</v>
      </c>
      <c r="X3" t="s">
        <v>79</v>
      </c>
      <c r="AA3" t="s">
        <v>110</v>
      </c>
      <c r="AS3" s="6" t="s">
        <v>8</v>
      </c>
      <c r="AT3" s="6" t="s">
        <v>9</v>
      </c>
      <c r="BC3">
        <v>1.7453292519943295E-2</v>
      </c>
      <c r="BD3">
        <v>277.57038759620008</v>
      </c>
      <c r="BE3">
        <v>-41.858812519794796</v>
      </c>
      <c r="BF3" s="6">
        <f t="shared" si="0"/>
        <v>6.1335088351519245</v>
      </c>
      <c r="BG3" s="6">
        <f t="shared" si="1"/>
        <v>6.1160555426319814</v>
      </c>
      <c r="BH3" s="6">
        <f t="shared" ref="BH3:BH66" si="2">ATAN2(COS($U$13-BF3),SIN($U$13-BF3))</f>
        <v>0.93507463542511027</v>
      </c>
      <c r="BI3" s="6">
        <f t="shared" ref="BI3:BI66" si="3">ABS(BH3)</f>
        <v>0.93507463542511027</v>
      </c>
      <c r="BJ3">
        <v>308.41154177355565</v>
      </c>
      <c r="BK3">
        <v>-46.509791688660883</v>
      </c>
      <c r="BV3" s="38"/>
      <c r="BW3" t="s">
        <v>149</v>
      </c>
      <c r="CU3">
        <v>1.8325957145940459</v>
      </c>
      <c r="CV3">
        <v>-0.26179938779914935</v>
      </c>
      <c r="CW3">
        <v>0.78539816339744828</v>
      </c>
      <c r="CX3">
        <v>-0.90624582597011827</v>
      </c>
      <c r="CY3">
        <v>0.96970559721724692</v>
      </c>
      <c r="CZ3">
        <v>0.79163377415168168</v>
      </c>
      <c r="DC3" t="s">
        <v>138</v>
      </c>
      <c r="DD3" t="s">
        <v>139</v>
      </c>
      <c r="DE3" t="s">
        <v>141</v>
      </c>
      <c r="DF3" t="s">
        <v>142</v>
      </c>
      <c r="DG3" t="s">
        <v>140</v>
      </c>
      <c r="DO3" s="9"/>
      <c r="DP3" s="9" t="str">
        <f t="shared" ref="DP3:DR3" si="4">Z14</f>
        <v>P</v>
      </c>
      <c r="DQ3" s="9" t="str">
        <f t="shared" si="4"/>
        <v>Mx</v>
      </c>
      <c r="DR3" s="9" t="str">
        <f t="shared" si="4"/>
        <v>My</v>
      </c>
    </row>
    <row r="4" spans="1:134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9.9999999996268478</v>
      </c>
      <c r="V4" s="16" t="s">
        <v>68</v>
      </c>
      <c r="W4" s="30">
        <f ca="1">U4-U10</f>
        <v>-3.7315217582545301E-10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0</v>
      </c>
      <c r="AT4" s="6">
        <v>0</v>
      </c>
      <c r="BC4">
        <v>3.4906585039886591E-2</v>
      </c>
      <c r="BD4">
        <v>277.47470519226954</v>
      </c>
      <c r="BE4">
        <v>-41.057136680328789</v>
      </c>
      <c r="BF4" s="6">
        <f t="shared" si="0"/>
        <v>6.1362840837544956</v>
      </c>
      <c r="BG4" s="6">
        <f t="shared" si="1"/>
        <v>6.1013774987146094</v>
      </c>
      <c r="BH4" s="6">
        <f t="shared" si="2"/>
        <v>0.9322993868225391</v>
      </c>
      <c r="BI4" s="6">
        <f t="shared" si="3"/>
        <v>0.9322993868225391</v>
      </c>
      <c r="BJ4">
        <v>308.30522799141062</v>
      </c>
      <c r="BK4">
        <v>-45.619040755920878</v>
      </c>
      <c r="BV4" s="38"/>
      <c r="BW4" s="1" t="s">
        <v>100</v>
      </c>
      <c r="BX4" s="1" t="s">
        <v>101</v>
      </c>
      <c r="CU4">
        <v>1.8325957145940459</v>
      </c>
      <c r="CV4">
        <v>0.78539816339744828</v>
      </c>
      <c r="CW4">
        <v>1.308996938995747</v>
      </c>
      <c r="CX4">
        <v>-0.90624582597011827</v>
      </c>
      <c r="CY4">
        <v>0.79163377415168168</v>
      </c>
      <c r="CZ4">
        <v>0.62720272373661701</v>
      </c>
      <c r="DO4" s="9" t="str">
        <f t="shared" ref="DO4:DO5" si="5">Y15</f>
        <v>Max</v>
      </c>
      <c r="DP4" s="9">
        <f t="shared" ref="DP4:DP5" ca="1" si="6">Z15</f>
        <v>910.1105</v>
      </c>
      <c r="DQ4" s="9">
        <f t="shared" ref="DQ4:DQ5" ca="1" si="7">AA15</f>
        <v>-85.882875000000013</v>
      </c>
      <c r="DR4" s="9">
        <f t="shared" ref="DR4:DR5" ca="1" si="8">AB15</f>
        <v>28.627624999999998</v>
      </c>
      <c r="DS4" s="9"/>
      <c r="DT4" t="s">
        <v>216</v>
      </c>
      <c r="DU4" s="9">
        <f>U10</f>
        <v>10</v>
      </c>
      <c r="DV4" s="9">
        <f>U11</f>
        <v>50</v>
      </c>
      <c r="DW4" s="9">
        <f>U12</f>
        <v>50</v>
      </c>
      <c r="DY4">
        <f>ATAN2(DV4,DW4)</f>
        <v>0.78539816339744828</v>
      </c>
      <c r="DZ4" s="9">
        <f>SQRT(POWER(DU4,2)+POWER(DV4,2)+POWER(DW4,2))</f>
        <v>71.414284285428494</v>
      </c>
      <c r="EA4">
        <f>DU4/DZ4</f>
        <v>0.140028008402801</v>
      </c>
      <c r="EB4">
        <f>DV4/DZ4</f>
        <v>0.70014004201400493</v>
      </c>
      <c r="EC4">
        <f>DW4/DZ4</f>
        <v>0.70014004201400493</v>
      </c>
      <c r="ED4">
        <v>0</v>
      </c>
    </row>
    <row r="5" spans="1:134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9">((E4*F5)-(E5*F4))*0.5</f>
        <v>96</v>
      </c>
      <c r="T5" s="26" t="s">
        <v>77</v>
      </c>
      <c r="U5" s="10">
        <f ca="1">U3*IF(B1="PCA_Parabolic",B204*(1/12),B79*(1/12))</f>
        <v>21.039511560126964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AS5" s="6">
        <f>AS4+(AT2*(U11-AS4))</f>
        <v>125</v>
      </c>
      <c r="AT5" s="6">
        <f>AT4+(AT2*(U12-AT4))</f>
        <v>125</v>
      </c>
      <c r="BC5">
        <v>5.235987755982989E-2</v>
      </c>
      <c r="BD5">
        <v>277.36296267728272</v>
      </c>
      <c r="BE5">
        <v>-40.254482930908381</v>
      </c>
      <c r="BF5" s="6">
        <f t="shared" si="0"/>
        <v>6.1390587535485146</v>
      </c>
      <c r="BG5" s="6">
        <f t="shared" si="1"/>
        <v>6.0866988759886844</v>
      </c>
      <c r="BH5" s="6">
        <f t="shared" si="2"/>
        <v>0.92952471702852013</v>
      </c>
      <c r="BI5" s="6">
        <f t="shared" si="3"/>
        <v>0.92952471702852013</v>
      </c>
      <c r="BJ5">
        <v>308.18106964142527</v>
      </c>
      <c r="BK5">
        <v>-44.72720325656487</v>
      </c>
      <c r="BV5" s="38"/>
      <c r="BW5">
        <f ca="1">B132</f>
        <v>92.234293900396054</v>
      </c>
      <c r="BX5">
        <f ca="1">B133</f>
        <v>-30.744764633465351</v>
      </c>
      <c r="CU5">
        <v>1.8325957145940459</v>
      </c>
      <c r="CV5">
        <v>1.308996938995747</v>
      </c>
      <c r="CW5">
        <v>1.5707963267948966</v>
      </c>
      <c r="CX5">
        <v>-0.90624582597011827</v>
      </c>
      <c r="CY5">
        <v>0.62720272373661701</v>
      </c>
      <c r="CZ5">
        <v>0.41329241643901077</v>
      </c>
      <c r="DO5" s="9" t="str">
        <f t="shared" si="5"/>
        <v>Min</v>
      </c>
      <c r="DP5" s="9">
        <f t="shared" ca="1" si="6"/>
        <v>-170.64000000000001</v>
      </c>
      <c r="DQ5" s="9">
        <f t="shared" ca="1" si="7"/>
        <v>127.98</v>
      </c>
      <c r="DR5" s="9">
        <f t="shared" ca="1" si="8"/>
        <v>-42.660000000000004</v>
      </c>
      <c r="DS5" s="9"/>
      <c r="DT5" t="s">
        <v>217</v>
      </c>
      <c r="DU5" s="9">
        <f ca="1">U4</f>
        <v>9.9999999996268478</v>
      </c>
      <c r="DV5" s="9">
        <f ca="1">U5</f>
        <v>21.039511560126964</v>
      </c>
      <c r="DW5" s="9">
        <f ca="1">U6</f>
        <v>21.039511558619608</v>
      </c>
      <c r="DY5">
        <f ca="1">ATAN2(DV5,DW5)</f>
        <v>0.78539816336162627</v>
      </c>
      <c r="DZ5" s="9">
        <f t="shared" ref="DZ5:DZ6" ca="1" si="10">SQRT(POWER(DU5,2)+POWER(DV5,2)+POWER(DW5,2))</f>
        <v>31.389840606580677</v>
      </c>
      <c r="EA5">
        <f t="shared" ref="EA5:EA6" ca="1" si="11">DU5/DZ5</f>
        <v>0.31857441154162514</v>
      </c>
      <c r="EB5">
        <f t="shared" ref="EB5:EB6" ca="1" si="12">DV5/DZ5</f>
        <v>0.67026500146407775</v>
      </c>
      <c r="EC5">
        <f t="shared" ref="EC5:EC6" ca="1" si="13">DW5/DZ5</f>
        <v>0.67026500141605727</v>
      </c>
      <c r="ED5">
        <v>0</v>
      </c>
    </row>
    <row r="6" spans="1:134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9"/>
        <v>0</v>
      </c>
      <c r="T6" s="26" t="s">
        <v>76</v>
      </c>
      <c r="U6" s="10">
        <f ca="1">U3*IF(B1="PCA_Parabolic",B205*(1/12),B80*(1/12))</f>
        <v>21.039511558619608</v>
      </c>
      <c r="V6" s="16" t="s">
        <v>70</v>
      </c>
      <c r="W6" s="30">
        <f t="shared" ref="W6" ca="1" si="14">U6</f>
        <v>21.039511558619608</v>
      </c>
      <c r="X6">
        <f>IF(B6=0,0,-1*X5)</f>
        <v>0</v>
      </c>
      <c r="Y6">
        <f>IF(B6=0,0,Y5)</f>
        <v>0</v>
      </c>
      <c r="AA6">
        <f>U14</f>
        <v>70.710678118654755</v>
      </c>
      <c r="AB6">
        <f>U10</f>
        <v>10</v>
      </c>
      <c r="BC6">
        <v>6.9813170079773182E-2</v>
      </c>
      <c r="BD6">
        <v>277.23501857246367</v>
      </c>
      <c r="BE6">
        <v>-39.450359331792853</v>
      </c>
      <c r="BF6" s="6">
        <f t="shared" si="0"/>
        <v>6.1418349449687426</v>
      </c>
      <c r="BG6" s="6">
        <f t="shared" si="1"/>
        <v>6.0720217748889693</v>
      </c>
      <c r="BH6" s="6">
        <f t="shared" si="2"/>
        <v>0.92674852560829213</v>
      </c>
      <c r="BI6" s="6">
        <f t="shared" si="3"/>
        <v>0.92674852560829213</v>
      </c>
      <c r="BJ6">
        <v>308.03890952495965</v>
      </c>
      <c r="BK6">
        <v>-43.833732590880949</v>
      </c>
      <c r="BV6" s="38"/>
      <c r="CU6">
        <v>1.8325957145940459</v>
      </c>
      <c r="CV6">
        <v>1.5707963267948966</v>
      </c>
      <c r="CW6">
        <v>1.7016960206944711</v>
      </c>
      <c r="CX6">
        <v>-0.90624582597011827</v>
      </c>
      <c r="CY6">
        <v>0.41329241643901077</v>
      </c>
      <c r="CZ6">
        <v>-0.27297005310718481</v>
      </c>
      <c r="DS6" s="9"/>
      <c r="DT6" t="s">
        <v>220</v>
      </c>
      <c r="DU6" s="9">
        <f ca="1">DU5</f>
        <v>9.9999999996268478</v>
      </c>
      <c r="DV6" s="9">
        <f>DV4+5</f>
        <v>55</v>
      </c>
      <c r="DW6" s="9">
        <f>DW4+5</f>
        <v>55</v>
      </c>
      <c r="DY6">
        <f>ATAN2(DV6,DW6)</f>
        <v>0.78539816339744828</v>
      </c>
      <c r="DZ6" s="9">
        <f t="shared" ca="1" si="10"/>
        <v>78.421935706743028</v>
      </c>
      <c r="EA6">
        <f t="shared" ca="1" si="11"/>
        <v>0.12751534260798678</v>
      </c>
      <c r="EB6">
        <f t="shared" ca="1" si="12"/>
        <v>0.70133438437009765</v>
      </c>
      <c r="EC6">
        <f t="shared" ca="1" si="13"/>
        <v>0.70133438437009765</v>
      </c>
      <c r="ED6">
        <v>0</v>
      </c>
    </row>
    <row r="7" spans="1:134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9"/>
        <v>48</v>
      </c>
      <c r="T7" s="27" t="s">
        <v>96</v>
      </c>
      <c r="U7" s="28">
        <f ca="1">IF(AND(U5=0,U6=0),0,MOD(ATAN2(U5,U6),2*PI()))</f>
        <v>0.78539816336162627</v>
      </c>
      <c r="V7" s="17" t="s">
        <v>97</v>
      </c>
      <c r="W7" s="32">
        <f ca="1">IF((U13-U7)=0,0,ATAN2(COS(U13-U7),SIN(U13-U7)))</f>
        <v>3.5822012023345451E-11</v>
      </c>
      <c r="X7" s="38">
        <f ca="1">U7+2*PI()</f>
        <v>7.0685834705412125</v>
      </c>
      <c r="AA7">
        <f ca="1">U8</f>
        <v>29.754362592971209</v>
      </c>
      <c r="AB7" s="9">
        <f ca="1">U4</f>
        <v>9.9999999996268478</v>
      </c>
      <c r="BC7">
        <v>8.7266462599716474E-2</v>
      </c>
      <c r="BD7">
        <v>277.09069141158091</v>
      </c>
      <c r="BE7">
        <v>-38.644270344160084</v>
      </c>
      <c r="BF7" s="6">
        <f t="shared" si="0"/>
        <v>6.144614767370383</v>
      </c>
      <c r="BG7" s="6">
        <f t="shared" si="1"/>
        <v>6.0573483047706667</v>
      </c>
      <c r="BH7" s="6">
        <f t="shared" si="2"/>
        <v>0.9239687032066517</v>
      </c>
      <c r="BI7" s="6">
        <f t="shared" si="3"/>
        <v>0.9239687032066517</v>
      </c>
      <c r="BJ7">
        <v>307.87854601286767</v>
      </c>
      <c r="BK7">
        <v>-42.938078160177874</v>
      </c>
      <c r="BV7" s="38"/>
      <c r="BW7" t="s">
        <v>207</v>
      </c>
      <c r="CU7">
        <v>1.7016960206944711</v>
      </c>
      <c r="CV7">
        <v>1.5707963267948966</v>
      </c>
      <c r="CW7">
        <v>1.6362461737446838</v>
      </c>
      <c r="CX7">
        <v>-0.27297005310718481</v>
      </c>
      <c r="CY7">
        <v>0.41329241643901077</v>
      </c>
      <c r="CZ7">
        <v>0.18019365413543195</v>
      </c>
      <c r="DO7" t="s">
        <v>209</v>
      </c>
    </row>
    <row r="8" spans="1:134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9"/>
        <v>144</v>
      </c>
      <c r="T8" s="36" t="s">
        <v>109</v>
      </c>
      <c r="U8" s="6">
        <f ca="1">SQRT(POWER(U5,2)+POWER(U6,2))</f>
        <v>29.754362592971209</v>
      </c>
      <c r="V8" s="40" t="s">
        <v>70</v>
      </c>
      <c r="X8">
        <f ca="1">DEGREES(U7)</f>
        <v>44.999999997947548</v>
      </c>
      <c r="BC8">
        <v>0.10471975511965977</v>
      </c>
      <c r="BD8">
        <v>276.92975890513054</v>
      </c>
      <c r="BE8">
        <v>-37.835715601305473</v>
      </c>
      <c r="BF8" s="6">
        <f t="shared" si="0"/>
        <v>6.1474003459665685</v>
      </c>
      <c r="BG8" s="6">
        <f t="shared" si="1"/>
        <v>6.042680590846909</v>
      </c>
      <c r="BH8" s="6">
        <f t="shared" si="2"/>
        <v>0.92118312461046636</v>
      </c>
      <c r="BI8" s="6">
        <f t="shared" si="3"/>
        <v>0.92118312461046636</v>
      </c>
      <c r="BJ8">
        <v>307.69973211681173</v>
      </c>
      <c r="BK8">
        <v>-42.039684001450524</v>
      </c>
      <c r="BV8" s="38"/>
      <c r="BW8" s="1" t="s">
        <v>205</v>
      </c>
      <c r="BX8" s="1" t="s">
        <v>206</v>
      </c>
      <c r="BY8" s="1"/>
      <c r="BZ8" s="1"/>
      <c r="CA8" s="1"/>
      <c r="CB8" s="1" t="s">
        <v>203</v>
      </c>
      <c r="CC8" s="1" t="s">
        <v>204</v>
      </c>
      <c r="CD8" s="1"/>
      <c r="CE8" s="1"/>
      <c r="CG8" s="1"/>
      <c r="CN8" s="1"/>
      <c r="CO8" s="1"/>
      <c r="CP8" s="1"/>
      <c r="CQ8" s="1"/>
      <c r="CU8">
        <v>1.7016960206944711</v>
      </c>
      <c r="CV8">
        <v>1.6362461737446838</v>
      </c>
      <c r="CW8">
        <v>1.6689710972195775</v>
      </c>
      <c r="CX8">
        <v>-0.27297005310718481</v>
      </c>
      <c r="CY8">
        <v>0.18019365413543195</v>
      </c>
      <c r="CZ8">
        <v>-2.4067209108239673E-2</v>
      </c>
      <c r="DP8" s="9">
        <f ca="1">DP5</f>
        <v>-170.64000000000001</v>
      </c>
      <c r="DQ8" s="9">
        <f ca="1">DQ5</f>
        <v>127.98</v>
      </c>
      <c r="DR8" s="9">
        <f ca="1">DR5</f>
        <v>-42.660000000000004</v>
      </c>
    </row>
    <row r="9" spans="1:134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9"/>
        <v>0</v>
      </c>
      <c r="T9" s="34" t="s">
        <v>98</v>
      </c>
      <c r="U9" s="35"/>
      <c r="V9" s="15"/>
      <c r="AA9" s="9">
        <f ca="1">U5-U11</f>
        <v>-28.960488439873036</v>
      </c>
      <c r="AB9" s="9">
        <f ca="1">U6-U12</f>
        <v>-28.960488441380392</v>
      </c>
      <c r="AC9" s="9">
        <f ca="1">AA9+AB9</f>
        <v>-57.920976881253424</v>
      </c>
      <c r="BC9">
        <v>0.12217304763960306</v>
      </c>
      <c r="BD9">
        <v>276.75195690141783</v>
      </c>
      <c r="BE9">
        <v>-37.024188654556689</v>
      </c>
      <c r="BF9" s="6">
        <f t="shared" si="0"/>
        <v>6.1501938289156399</v>
      </c>
      <c r="BG9" s="6">
        <f t="shared" si="1"/>
        <v>6.0280207812760365</v>
      </c>
      <c r="BH9" s="6">
        <f t="shared" si="2"/>
        <v>0.91838964166139492</v>
      </c>
      <c r="BI9" s="6">
        <f t="shared" si="3"/>
        <v>0.91838964166139492</v>
      </c>
      <c r="BJ9">
        <v>307.50217433490872</v>
      </c>
      <c r="BK9">
        <v>-41.137987393951875</v>
      </c>
      <c r="BV9" s="38" t="s">
        <v>200</v>
      </c>
      <c r="BW9" s="6">
        <f ca="1">(BW5-U11)</f>
        <v>42.234293900396054</v>
      </c>
      <c r="BX9" s="6">
        <f ca="1">(BX5-U12)</f>
        <v>-80.744764633465351</v>
      </c>
      <c r="BY9" s="1"/>
      <c r="BZ9" s="1"/>
      <c r="CA9" s="1"/>
      <c r="CB9" s="6">
        <f ca="1">BW5-U5</f>
        <v>71.194782340269086</v>
      </c>
      <c r="CC9" s="6">
        <f ca="1">BX5-U6</f>
        <v>-51.78427619208496</v>
      </c>
      <c r="CD9" s="1"/>
      <c r="CE9" s="6"/>
      <c r="CF9" s="9"/>
      <c r="CI9" s="6">
        <f ca="1">BW9-CB9</f>
        <v>-28.960488439873032</v>
      </c>
      <c r="CJ9" s="6">
        <f ca="1">BX9-CC9</f>
        <v>-28.960488441380392</v>
      </c>
      <c r="CK9" s="1"/>
      <c r="CL9" s="1"/>
      <c r="CM9" s="9"/>
      <c r="CR9" s="38"/>
      <c r="CU9">
        <v>1.6689710972195775</v>
      </c>
      <c r="CV9">
        <v>1.6362461737446838</v>
      </c>
      <c r="CW9">
        <v>1.6526086354821308</v>
      </c>
      <c r="CX9">
        <v>-2.4067209108239673E-2</v>
      </c>
      <c r="CY9">
        <v>0.18019365413543195</v>
      </c>
      <c r="CZ9">
        <v>8.9292287120596781E-2</v>
      </c>
      <c r="DP9" s="9" t="s">
        <v>213</v>
      </c>
      <c r="DQ9" s="9" t="s">
        <v>8</v>
      </c>
      <c r="DR9" s="9" t="s">
        <v>9</v>
      </c>
      <c r="DS9" s="9" t="s">
        <v>215</v>
      </c>
    </row>
    <row r="10" spans="1:134" x14ac:dyDescent="0.25">
      <c r="E10">
        <v>0</v>
      </c>
      <c r="F10">
        <f>F9</f>
        <v>16</v>
      </c>
      <c r="G10">
        <f t="shared" si="9"/>
        <v>0</v>
      </c>
      <c r="T10" s="36" t="s">
        <v>99</v>
      </c>
      <c r="U10" s="47">
        <v>10</v>
      </c>
      <c r="V10" s="16" t="s">
        <v>68</v>
      </c>
      <c r="W10" t="str">
        <f>"+ Compression"</f>
        <v>+ Compression</v>
      </c>
      <c r="BC10">
        <v>0.13962634015954636</v>
      </c>
      <c r="BD10">
        <v>276.55697811618393</v>
      </c>
      <c r="BE10">
        <v>-36.209175687160261</v>
      </c>
      <c r="BF10" s="6">
        <f t="shared" si="0"/>
        <v>6.1529973946018801</v>
      </c>
      <c r="BG10" s="6">
        <f t="shared" si="1"/>
        <v>6.0133710544423336</v>
      </c>
      <c r="BH10" s="6">
        <f t="shared" si="2"/>
        <v>0.91558607597515462</v>
      </c>
      <c r="BI10" s="6">
        <f t="shared" si="3"/>
        <v>0.91558607597515462</v>
      </c>
      <c r="BJ10">
        <v>307.28553124020436</v>
      </c>
      <c r="BK10">
        <v>-40.232417430178067</v>
      </c>
      <c r="BV10" s="38" t="s">
        <v>201</v>
      </c>
      <c r="BW10" s="1">
        <f ca="1">SQRT(POWER(BW9,2)+POWER(BX9,2))</f>
        <v>91.123282408936234</v>
      </c>
      <c r="BX10" s="1"/>
      <c r="BY10" s="1"/>
      <c r="BZ10" s="1" t="s">
        <v>155</v>
      </c>
      <c r="CA10" s="39" t="s">
        <v>201</v>
      </c>
      <c r="CB10" s="1">
        <f ca="1">SQRT(POWER(CB9,2)+POWER(CC9,2))</f>
        <v>88.035835278688808</v>
      </c>
      <c r="CC10" s="1"/>
      <c r="CD10" s="1"/>
      <c r="CE10" s="1" t="s">
        <v>155</v>
      </c>
      <c r="CH10" s="39" t="s">
        <v>201</v>
      </c>
      <c r="CI10" s="1">
        <f ca="1">SQRT(POWER(CI9,2)+POWER(CJ9,2))</f>
        <v>40.956315525683543</v>
      </c>
      <c r="CJ10" s="1"/>
      <c r="CK10" s="1"/>
      <c r="CL10" s="1" t="s">
        <v>155</v>
      </c>
      <c r="CU10">
        <v>1.6689710972195775</v>
      </c>
      <c r="CV10">
        <v>1.6526086354821308</v>
      </c>
      <c r="CW10">
        <v>1.660789866350854</v>
      </c>
      <c r="CX10">
        <v>-2.4067209108239673E-2</v>
      </c>
      <c r="CY10">
        <v>8.9292287120596781E-2</v>
      </c>
      <c r="CZ10">
        <v>3.7116011737430725E-2</v>
      </c>
      <c r="DO10" t="s">
        <v>198</v>
      </c>
      <c r="DP10" s="9">
        <f ca="1">DP4-$DP$8</f>
        <v>1080.7505000000001</v>
      </c>
      <c r="DQ10" s="9">
        <f ca="1">DQ4-$DQ$8</f>
        <v>-213.86287500000003</v>
      </c>
      <c r="DR10" s="9">
        <f ca="1">DR4-$DR$8</f>
        <v>71.287625000000006</v>
      </c>
      <c r="DS10" s="9">
        <v>0</v>
      </c>
      <c r="DU10" s="9">
        <f ca="1">DU4-$DP$8</f>
        <v>180.64000000000001</v>
      </c>
      <c r="DV10" s="9">
        <f ca="1">DV4-$DQ$8</f>
        <v>-77.98</v>
      </c>
      <c r="DW10" s="9">
        <f ca="1">DW4-$DR$8</f>
        <v>92.66</v>
      </c>
      <c r="DX10" s="9">
        <v>0</v>
      </c>
      <c r="DY10">
        <f ca="1">ATAN2(DV10,DW10)</f>
        <v>2.2703767193783571</v>
      </c>
      <c r="DZ10" s="9">
        <f ca="1">SQRT(POWER(DU10,2)+POWER(DV10,2)+POWER(DW10,2))</f>
        <v>217.48003494573933</v>
      </c>
      <c r="EA10">
        <f ca="1">DU10/DZ10</f>
        <v>0.83060497964822011</v>
      </c>
      <c r="EB10">
        <f ca="1">DV10/DZ10</f>
        <v>-0.35856164920819422</v>
      </c>
      <c r="EC10">
        <f ca="1">DW10/DZ10</f>
        <v>0.42606209817429175</v>
      </c>
      <c r="ED10">
        <v>0</v>
      </c>
    </row>
    <row r="11" spans="1:134" x14ac:dyDescent="0.25">
      <c r="A11" t="s">
        <v>10</v>
      </c>
      <c r="E11">
        <v>0</v>
      </c>
      <c r="F11">
        <v>0</v>
      </c>
      <c r="G11">
        <f t="shared" si="9"/>
        <v>0</v>
      </c>
      <c r="T11" s="36" t="s">
        <v>100</v>
      </c>
      <c r="U11" s="47">
        <v>50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276.34447062261194</v>
      </c>
      <c r="BE11">
        <v>-35.390154189103804</v>
      </c>
      <c r="BF11" s="6">
        <f t="shared" si="0"/>
        <v>6.1558132591679149</v>
      </c>
      <c r="BG11" s="6">
        <f t="shared" si="1"/>
        <v>5.9987336264884252</v>
      </c>
      <c r="BH11" s="6">
        <f t="shared" si="2"/>
        <v>0.91277021140911985</v>
      </c>
      <c r="BI11" s="6">
        <f t="shared" si="3"/>
        <v>0.91277021140911985</v>
      </c>
      <c r="BJ11">
        <v>307.04941180290217</v>
      </c>
      <c r="BK11">
        <v>-39.322393543448669</v>
      </c>
      <c r="BV11" s="38" t="s">
        <v>150</v>
      </c>
      <c r="BW11" s="1">
        <f ca="1">BW9/BW10</f>
        <v>0.4634852123835943</v>
      </c>
      <c r="BX11" s="1">
        <f ca="1">BX9/BW10</f>
        <v>-0.88610465403457539</v>
      </c>
      <c r="BY11" s="1"/>
      <c r="BZ11" s="1">
        <f ca="1">ATAN2(BW11,BX11)</f>
        <v>-1.0888719720232347</v>
      </c>
      <c r="CA11" s="39" t="s">
        <v>150</v>
      </c>
      <c r="CB11" s="1">
        <f ca="1">CB9/CB10</f>
        <v>0.80870229850029596</v>
      </c>
      <c r="CC11" s="1">
        <f ca="1">CC9/CB10</f>
        <v>-0.58821815034928837</v>
      </c>
      <c r="CD11" s="1"/>
      <c r="CE11" s="1">
        <f ca="1">ATAN2(CB11,CC11)</f>
        <v>-0.62885372622238112</v>
      </c>
      <c r="CF11" s="9"/>
      <c r="CG11">
        <f ca="1">ATAN2(COS(CE11-BZ11),SIN(CE11-BZ11))</f>
        <v>0.4600182458008536</v>
      </c>
      <c r="CH11" s="39" t="s">
        <v>150</v>
      </c>
      <c r="CI11" s="1">
        <f ca="1">CI9/CI10</f>
        <v>-0.70710678116814552</v>
      </c>
      <c r="CJ11" s="1">
        <f ca="1">CJ9/CI10</f>
        <v>-0.70710678120494952</v>
      </c>
      <c r="CK11" s="1"/>
      <c r="CL11" s="1">
        <f ca="1">ATAN2(CI11,CJ11)</f>
        <v>-2.3561944901663203</v>
      </c>
      <c r="CM11" s="38">
        <f ca="1">ATAN2(COS(U13-CL11),SIN(U13-CL11))</f>
        <v>3.1415926535637686</v>
      </c>
      <c r="CU11">
        <v>1.6689710972195775</v>
      </c>
      <c r="CV11">
        <v>1.660789866350854</v>
      </c>
      <c r="CW11">
        <v>1.6648804817852159</v>
      </c>
      <c r="CX11">
        <v>-2.4067209108239673E-2</v>
      </c>
      <c r="CY11">
        <v>3.7116011737430725E-2</v>
      </c>
      <c r="CZ11">
        <v>7.0216241528723291E-3</v>
      </c>
      <c r="DO11" t="s">
        <v>199</v>
      </c>
      <c r="DP11" s="9">
        <f ca="1">DP5-$DP$8</f>
        <v>0</v>
      </c>
      <c r="DQ11" s="9">
        <f ca="1">DQ5-$DQ$8</f>
        <v>0</v>
      </c>
      <c r="DR11" s="9">
        <f ca="1">DR5-$DR$8</f>
        <v>0</v>
      </c>
      <c r="DS11" s="9">
        <v>0</v>
      </c>
      <c r="DU11" s="9">
        <f ca="1">DU5-$DP$8</f>
        <v>180.63999999962687</v>
      </c>
      <c r="DV11" s="9">
        <f ca="1">DV5-$DQ$8</f>
        <v>-106.94048843987304</v>
      </c>
      <c r="DW11" s="9">
        <f ca="1">DW5-$DR$8</f>
        <v>63.699511558619612</v>
      </c>
      <c r="DX11" s="9">
        <v>0</v>
      </c>
      <c r="DY11">
        <f ca="1">ATAN2(DV11,DW11)</f>
        <v>2.604374994676764</v>
      </c>
      <c r="DZ11" s="9">
        <f t="shared" ref="DZ11:DZ12" ca="1" si="15">SQRT(POWER(DU11,2)+POWER(DV11,2)+POWER(DW11,2))</f>
        <v>219.37343832020898</v>
      </c>
      <c r="EA11">
        <f t="shared" ref="EA11:EA12" ca="1" si="16">DU11/DZ11</f>
        <v>0.8234360612790107</v>
      </c>
      <c r="EB11">
        <f t="shared" ref="EB11:EB12" ca="1" si="17">DV11/DZ11</f>
        <v>-0.48748148025002502</v>
      </c>
      <c r="EC11">
        <f t="shared" ref="EC11:EC12" ca="1" si="18">DW11/DZ11</f>
        <v>0.29037021093520204</v>
      </c>
      <c r="ED11">
        <v>0</v>
      </c>
    </row>
    <row r="12" spans="1:134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50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276.11404667603995</v>
      </c>
      <c r="BE12">
        <v>-34.566606356066345</v>
      </c>
      <c r="BF12" s="6">
        <f t="shared" si="0"/>
        <v>6.1586436364163752</v>
      </c>
      <c r="BG12" s="6">
        <f t="shared" si="1"/>
        <v>5.9841107112169425</v>
      </c>
      <c r="BH12" s="6">
        <f t="shared" si="2"/>
        <v>0.90993983416065949</v>
      </c>
      <c r="BI12" s="6">
        <f t="shared" si="3"/>
        <v>0.90993983416065949</v>
      </c>
      <c r="BJ12">
        <v>306.79338519559991</v>
      </c>
      <c r="BK12">
        <v>-38.407340395629269</v>
      </c>
      <c r="BV12" s="38"/>
      <c r="CN12" s="1"/>
      <c r="CO12" s="1"/>
      <c r="CP12" s="1"/>
      <c r="CQ12" s="1"/>
      <c r="CU12">
        <v>1.6689710972195775</v>
      </c>
      <c r="CV12">
        <v>1.6648804817852159</v>
      </c>
      <c r="CW12">
        <v>1.6669257895023968</v>
      </c>
      <c r="CX12">
        <v>-2.4067209108239673E-2</v>
      </c>
      <c r="CY12">
        <v>7.0216241528723291E-3</v>
      </c>
      <c r="CZ12">
        <v>-8.4139254808776043E-3</v>
      </c>
      <c r="DU12" s="9">
        <f ca="1">DU6-$DP$8</f>
        <v>180.63999999962687</v>
      </c>
      <c r="DV12" s="9">
        <f ca="1">DV6-$DQ$8</f>
        <v>-72.98</v>
      </c>
      <c r="DW12" s="9">
        <f ca="1">DW6-$DR$8</f>
        <v>97.66</v>
      </c>
      <c r="DX12" s="9">
        <v>0</v>
      </c>
      <c r="DY12">
        <f ca="1">ATAN2(DV12,DW12)</f>
        <v>2.2125585351459103</v>
      </c>
      <c r="DZ12" s="9">
        <f t="shared" ca="1" si="15"/>
        <v>217.93202059326939</v>
      </c>
      <c r="EA12">
        <f t="shared" ca="1" si="16"/>
        <v>0.82888232535942341</v>
      </c>
      <c r="EB12">
        <f t="shared" ca="1" si="17"/>
        <v>-0.33487506701093706</v>
      </c>
      <c r="EC12">
        <f t="shared" ca="1" si="18"/>
        <v>0.44812139002861212</v>
      </c>
      <c r="ED12">
        <v>0</v>
      </c>
    </row>
    <row r="13" spans="1:134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0.78539816339744828</v>
      </c>
      <c r="V13" s="17" t="s">
        <v>97</v>
      </c>
      <c r="X13" s="38"/>
      <c r="Y13" s="9"/>
      <c r="AA13" s="48"/>
      <c r="BC13">
        <v>0.19198621771937624</v>
      </c>
      <c r="BD13">
        <v>275.86547723921962</v>
      </c>
      <c r="BE13">
        <v>-33.738278914687946</v>
      </c>
      <c r="BF13" s="6">
        <f t="shared" si="0"/>
        <v>6.161489897886419</v>
      </c>
      <c r="BG13" s="6">
        <f t="shared" si="1"/>
        <v>5.9695036801670431</v>
      </c>
      <c r="BH13" s="6">
        <f t="shared" si="2"/>
        <v>0.90709357269061575</v>
      </c>
      <c r="BI13" s="6">
        <f t="shared" si="3"/>
        <v>0.90709357269061575</v>
      </c>
      <c r="BJ13">
        <v>306.51719693246622</v>
      </c>
      <c r="BK13">
        <v>-37.486976571875495</v>
      </c>
      <c r="BV13" s="38"/>
      <c r="BW13" t="s">
        <v>151</v>
      </c>
      <c r="CI13" s="9"/>
      <c r="CJ13" s="9"/>
      <c r="CU13">
        <v>1.6669257895023968</v>
      </c>
      <c r="CV13">
        <v>1.6648804817852159</v>
      </c>
      <c r="CW13">
        <v>1.6659031356438063</v>
      </c>
      <c r="CX13">
        <v>-8.4139254808776043E-3</v>
      </c>
      <c r="CY13">
        <v>7.0216241528723291E-3</v>
      </c>
      <c r="CZ13">
        <v>-6.6680130270002625E-4</v>
      </c>
      <c r="DO13" t="s">
        <v>221</v>
      </c>
    </row>
    <row r="14" spans="1:134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70.710678118654755</v>
      </c>
      <c r="V14" s="43" t="s">
        <v>70</v>
      </c>
      <c r="Y14" s="57"/>
      <c r="Z14" s="58" t="s">
        <v>99</v>
      </c>
      <c r="AA14" s="59" t="s">
        <v>100</v>
      </c>
      <c r="AB14" s="60" t="s">
        <v>101</v>
      </c>
      <c r="AC14" s="63" t="s">
        <v>223</v>
      </c>
      <c r="AD14" s="58" t="s">
        <v>224</v>
      </c>
      <c r="AE14" s="60" t="s">
        <v>225</v>
      </c>
      <c r="BC14">
        <v>0.20943951023931953</v>
      </c>
      <c r="BD14">
        <v>275.59887119879613</v>
      </c>
      <c r="BE14">
        <v>-32.905371798229638</v>
      </c>
      <c r="BF14" s="6">
        <f t="shared" si="0"/>
        <v>6.1643519605047272</v>
      </c>
      <c r="BG14" s="6">
        <f t="shared" si="1"/>
        <v>5.9549124502654074</v>
      </c>
      <c r="BH14" s="6">
        <f t="shared" si="2"/>
        <v>0.90423151007230751</v>
      </c>
      <c r="BI14" s="6">
        <f t="shared" si="3"/>
        <v>0.90423151007230751</v>
      </c>
      <c r="BJ14">
        <v>306.22096799866239</v>
      </c>
      <c r="BK14">
        <v>-36.561524220255151</v>
      </c>
      <c r="BV14" s="38"/>
      <c r="BW14" t="s">
        <v>111</v>
      </c>
      <c r="BX14" s="1" t="s">
        <v>100</v>
      </c>
      <c r="BY14" s="1" t="s">
        <v>101</v>
      </c>
      <c r="BZ14" s="1" t="s">
        <v>152</v>
      </c>
      <c r="CA14" s="1" t="s">
        <v>153</v>
      </c>
      <c r="CB14" s="1" t="s">
        <v>154</v>
      </c>
      <c r="CC14" s="1" t="s">
        <v>155</v>
      </c>
      <c r="CD14" s="1"/>
      <c r="CE14" s="1"/>
      <c r="CF14" s="1" t="s">
        <v>152</v>
      </c>
      <c r="CG14" s="1" t="s">
        <v>153</v>
      </c>
      <c r="CH14" s="1" t="s">
        <v>154</v>
      </c>
      <c r="CI14" s="1" t="s">
        <v>155</v>
      </c>
      <c r="CJ14" s="1" t="s">
        <v>156</v>
      </c>
      <c r="CL14" s="1"/>
      <c r="CM14" s="1"/>
      <c r="CN14" s="1"/>
      <c r="CO14" s="1"/>
      <c r="CP14" s="1"/>
      <c r="CU14">
        <v>1.6659031356438063</v>
      </c>
      <c r="CV14">
        <v>1.6648804817852159</v>
      </c>
      <c r="CW14">
        <v>1.665391808714511</v>
      </c>
      <c r="CX14">
        <v>-6.6680130270002625E-4</v>
      </c>
      <c r="CY14">
        <v>7.0216241528723291E-3</v>
      </c>
      <c r="CZ14">
        <v>3.184997116841171E-3</v>
      </c>
      <c r="DO14" t="s">
        <v>210</v>
      </c>
      <c r="DP14">
        <f ca="1">ATAN2(-1*DQ10,-1*DR10)</f>
        <v>-0.32175055439664219</v>
      </c>
      <c r="DQ14" t="s">
        <v>97</v>
      </c>
    </row>
    <row r="15" spans="1:134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19">IF($B15=0,NA(),D15)</f>
        <v>2</v>
      </c>
      <c r="L15" s="1">
        <f t="shared" ref="L15:L24" si="20">IF($B15=0,NA(),E15)</f>
        <v>2</v>
      </c>
      <c r="T15" s="37" t="s">
        <v>103</v>
      </c>
      <c r="U15" s="6">
        <f>SQRT(POWER(U12,2)+POWER(U11,2)+POWER(U10,2))</f>
        <v>71.414284285428494</v>
      </c>
      <c r="Y15" s="61" t="s">
        <v>198</v>
      </c>
      <c r="Z15" s="65">
        <f ca="1">B115</f>
        <v>910.1105</v>
      </c>
      <c r="AA15" s="65">
        <f ca="1">C116</f>
        <v>-85.882875000000013</v>
      </c>
      <c r="AB15" s="66">
        <f ca="1">C117</f>
        <v>28.627624999999998</v>
      </c>
      <c r="AC15" s="67">
        <f ca="1">Z15/0.65</f>
        <v>1400.1699999999998</v>
      </c>
      <c r="AD15" s="65">
        <f t="shared" ref="AD15:AE15" ca="1" si="21">AA15/0.65</f>
        <v>-132.12750000000003</v>
      </c>
      <c r="AE15" s="66">
        <f t="shared" ca="1" si="21"/>
        <v>44.042499999999997</v>
      </c>
      <c r="BC15">
        <v>0.22689280275926282</v>
      </c>
      <c r="BD15">
        <v>275.31452449045719</v>
      </c>
      <c r="BE15">
        <v>-32.068285823065068</v>
      </c>
      <c r="BF15" s="6">
        <f t="shared" si="0"/>
        <v>6.1672290985170948</v>
      </c>
      <c r="BG15" s="6">
        <f t="shared" si="1"/>
        <v>5.9403362957578318</v>
      </c>
      <c r="BH15" s="6">
        <f t="shared" si="2"/>
        <v>0.90135437205993996</v>
      </c>
      <c r="BI15" s="6">
        <f t="shared" si="3"/>
        <v>0.90135437205993996</v>
      </c>
      <c r="BJ15">
        <v>305.90502721161909</v>
      </c>
      <c r="BK15">
        <v>-35.63142869229452</v>
      </c>
      <c r="BV15" s="38"/>
      <c r="BW15" s="6">
        <f t="shared" ref="BW15:BW78" si="22">BC2</f>
        <v>0</v>
      </c>
      <c r="BX15" s="9">
        <f ca="1">$BW$5-BD2</f>
        <v>-185.41581808674965</v>
      </c>
      <c r="BY15" s="9">
        <f ca="1">$BX$5-BE2</f>
        <v>11.915235366534645</v>
      </c>
      <c r="BZ15">
        <f ca="1">SQRT(POWER(BX15,2)+POWER(BY15,2))</f>
        <v>185.79827348664614</v>
      </c>
      <c r="CA15" s="6">
        <f t="shared" ref="CA15" ca="1" si="23">BX15/BZ15</f>
        <v>-0.99794155568445597</v>
      </c>
      <c r="CB15" s="6">
        <f t="shared" ref="CB15" ca="1" si="24">BY15/BZ15</f>
        <v>6.4129957415298741E-2</v>
      </c>
      <c r="CC15" s="6">
        <f t="shared" ref="CC15" ca="1" si="25">ATAN2(CA15,CB15)</f>
        <v>3.0774186572629358</v>
      </c>
      <c r="CD15" s="6">
        <f ca="1">$BW$9-BX15</f>
        <v>227.65011198714569</v>
      </c>
      <c r="CE15" s="9">
        <f ca="1">$BX$9-BY15</f>
        <v>-92.66</v>
      </c>
      <c r="CF15">
        <f ca="1">SQRT(POWER(CD15,2)+POWER(CE15,2))</f>
        <v>245.78537199711454</v>
      </c>
      <c r="CG15" s="6">
        <f t="shared" ref="CG15" ca="1" si="26">CD15/CF15</f>
        <v>0.92621505558849226</v>
      </c>
      <c r="CH15" s="6">
        <f t="shared" ref="CH15" ca="1" si="27">CE15/CF15</f>
        <v>-0.37699558459112775</v>
      </c>
      <c r="CI15" s="6">
        <f t="shared" ref="CI15" ca="1" si="28">ATAN2(CG15,CH15)</f>
        <v>-0.38655039082553061</v>
      </c>
      <c r="CJ15" s="1">
        <f ca="1">ATAN2(COS($U$13-CI15),SIN($U$13-CI15))</f>
        <v>1.1719485542229788</v>
      </c>
      <c r="CK15" s="38"/>
      <c r="CL15" s="9"/>
      <c r="CM15" s="9"/>
      <c r="CN15" s="1"/>
      <c r="CO15" s="1"/>
      <c r="CP15" s="1"/>
      <c r="CQ15" s="1"/>
      <c r="CU15">
        <v>1.6659031356438063</v>
      </c>
      <c r="CV15">
        <v>1.665391808714511</v>
      </c>
      <c r="CW15">
        <v>1.6656474721791588</v>
      </c>
      <c r="CX15">
        <v>-6.6680130270002625E-4</v>
      </c>
      <c r="CY15">
        <v>3.184997116841171E-3</v>
      </c>
      <c r="CZ15">
        <v>1.2609633902839201E-3</v>
      </c>
      <c r="DO15" t="s">
        <v>211</v>
      </c>
      <c r="DP15">
        <v>1</v>
      </c>
      <c r="DQ15">
        <v>0</v>
      </c>
      <c r="DR15">
        <v>0</v>
      </c>
    </row>
    <row r="16" spans="1:134" ht="15.75" thickBot="1" x14ac:dyDescent="0.3">
      <c r="A16">
        <v>2</v>
      </c>
      <c r="B16" s="19">
        <v>8</v>
      </c>
      <c r="C16" s="6">
        <f t="shared" ref="C16:C24" ca="1" si="29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19"/>
        <v>2</v>
      </c>
      <c r="L16" s="1">
        <f t="shared" si="20"/>
        <v>4</v>
      </c>
      <c r="T16" s="37" t="s">
        <v>104</v>
      </c>
      <c r="U16" s="39">
        <f>U10/U15</f>
        <v>0.140028008402801</v>
      </c>
      <c r="V16" s="39">
        <f>U11/U15</f>
        <v>0.70014004201400493</v>
      </c>
      <c r="W16" s="39">
        <f>U12/U15</f>
        <v>0.70014004201400493</v>
      </c>
      <c r="X16" s="38"/>
      <c r="Y16" s="62" t="s">
        <v>199</v>
      </c>
      <c r="Z16" s="68">
        <f ca="1">J115</f>
        <v>-170.64000000000001</v>
      </c>
      <c r="AA16" s="68">
        <f ca="1">K116</f>
        <v>127.98</v>
      </c>
      <c r="AB16" s="69">
        <f ca="1">K117</f>
        <v>-42.660000000000004</v>
      </c>
      <c r="AC16" s="70">
        <f ca="1">Z16/0.9</f>
        <v>-189.60000000000002</v>
      </c>
      <c r="AD16" s="68">
        <f t="shared" ref="AD16:AE16" ca="1" si="30">AA16/0.9</f>
        <v>142.19999999999999</v>
      </c>
      <c r="AE16" s="69">
        <f t="shared" ca="1" si="30"/>
        <v>-47.400000000000006</v>
      </c>
      <c r="BC16">
        <v>0.24434609527920612</v>
      </c>
      <c r="BD16">
        <v>275.01279946026273</v>
      </c>
      <c r="BE16">
        <v>-31.227459217292395</v>
      </c>
      <c r="BF16" s="6">
        <f t="shared" si="0"/>
        <v>6.1701204655531336</v>
      </c>
      <c r="BG16" s="6">
        <f t="shared" si="1"/>
        <v>5.9257743702739276</v>
      </c>
      <c r="BH16" s="6">
        <f t="shared" si="2"/>
        <v>0.89846300502390097</v>
      </c>
      <c r="BI16" s="6">
        <f t="shared" si="3"/>
        <v>0.89846300502390097</v>
      </c>
      <c r="BJ16">
        <v>305.56977717806967</v>
      </c>
      <c r="BK16">
        <v>-34.697176908102662</v>
      </c>
      <c r="BV16" s="38"/>
      <c r="BW16" s="6">
        <f t="shared" si="22"/>
        <v>1.7453292519943295E-2</v>
      </c>
      <c r="BX16" s="9">
        <f t="shared" ref="BX16:BX79" ca="1" si="31">$BW$5-BD3</f>
        <v>-185.33609369580404</v>
      </c>
      <c r="BY16" s="9">
        <f t="shared" ref="BY16:BY79" ca="1" si="32">$BX$5-BE3</f>
        <v>11.114047886329445</v>
      </c>
      <c r="BZ16">
        <f t="shared" ref="BZ16:BZ79" ca="1" si="33">SQRT(POWER(BX16,2)+POWER(BY16,2))</f>
        <v>185.66903265445069</v>
      </c>
      <c r="CA16" s="6">
        <f t="shared" ref="CA16:CA79" ca="1" si="34">BX16/BZ16</f>
        <v>-0.99820681481512163</v>
      </c>
      <c r="CB16" s="6">
        <f t="shared" ref="CB16:CB79" ca="1" si="35">BY16/BZ16</f>
        <v>5.9859459207792821E-2</v>
      </c>
      <c r="CC16" s="6">
        <f t="shared" ref="CC16:CC79" ca="1" si="36">ATAN2(CA16,CB16)</f>
        <v>3.0816973889999364</v>
      </c>
      <c r="CD16" s="6">
        <f t="shared" ref="CD16:CD79" ca="1" si="37">$BW$9-BX16</f>
        <v>227.57038759620008</v>
      </c>
      <c r="CE16" s="9">
        <f t="shared" ref="CE16:CE79" ca="1" si="38">$BX$9-BY16</f>
        <v>-91.858812519794796</v>
      </c>
      <c r="CF16">
        <f t="shared" ref="CF16:CF79" ca="1" si="39">SQRT(POWER(CD16,2)+POWER(CE16,2))</f>
        <v>245.41051882148724</v>
      </c>
      <c r="CG16" s="6">
        <f t="shared" ref="CG16:CG79" ca="1" si="40">CD16/CF16</f>
        <v>0.92730494474744107</v>
      </c>
      <c r="CH16" s="6">
        <f t="shared" ref="CH16:CH79" ca="1" si="41">CE16/CF16</f>
        <v>-0.37430674512616685</v>
      </c>
      <c r="CI16" s="6">
        <f t="shared" ref="CI16:CI79" ca="1" si="42">ATAN2(CG16,CH16)</f>
        <v>-0.38364905975997449</v>
      </c>
      <c r="CJ16" s="1">
        <f t="shared" ref="CJ16:CJ79" ca="1" si="43">ATAN2(COS($U$13-CI16),SIN($U$13-CI16))</f>
        <v>1.1690472231574227</v>
      </c>
      <c r="CK16" s="38"/>
      <c r="CU16">
        <v>1.6659031356438063</v>
      </c>
      <c r="CV16">
        <v>1.6656474721791588</v>
      </c>
      <c r="CW16">
        <v>1.6657753039114827</v>
      </c>
      <c r="CX16">
        <v>-6.6680130270002625E-4</v>
      </c>
      <c r="CY16">
        <v>1.2609633902839201E-3</v>
      </c>
      <c r="CZ16">
        <v>2.9754436046824928E-4</v>
      </c>
      <c r="DO16" t="s">
        <v>212</v>
      </c>
      <c r="DP16">
        <f ca="1">(DP15*DP15*(1-COS(DP14)))+COS(DP14)</f>
        <v>1</v>
      </c>
      <c r="DQ16">
        <f ca="1">(DQ15*DP15*(1-COS(DP14)))-(DR15*SIN(DP14))</f>
        <v>0</v>
      </c>
      <c r="DR16">
        <f ca="1">(DR15*DP15*(1-COS(DP14)))+(DQ15*SIN(DP14))</f>
        <v>0</v>
      </c>
      <c r="DS16">
        <v>0</v>
      </c>
    </row>
    <row r="17" spans="1:129" x14ac:dyDescent="0.25">
      <c r="A17">
        <v>3</v>
      </c>
      <c r="B17" s="19">
        <v>8</v>
      </c>
      <c r="C17" s="6">
        <f t="shared" ca="1" si="29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19"/>
        <v>4</v>
      </c>
      <c r="L17" s="1">
        <f t="shared" si="20"/>
        <v>2</v>
      </c>
      <c r="Y17" s="63" t="s">
        <v>216</v>
      </c>
      <c r="Z17" s="71">
        <f>U10</f>
        <v>10</v>
      </c>
      <c r="AA17" s="71">
        <f>U11</f>
        <v>50</v>
      </c>
      <c r="AB17" s="72">
        <f>U12</f>
        <v>50</v>
      </c>
      <c r="AC17" s="73">
        <f ca="1">Z17/$U$3</f>
        <v>14.916344306679258</v>
      </c>
      <c r="AD17" s="71">
        <f t="shared" ref="AD17:AE17" ca="1" si="44">AA17/$U$3</f>
        <v>74.581721533396291</v>
      </c>
      <c r="AE17" s="72">
        <f t="shared" ca="1" si="44"/>
        <v>74.581721533396291</v>
      </c>
      <c r="BC17">
        <v>0.26179938779914941</v>
      </c>
      <c r="BD17">
        <v>274.69406015287598</v>
      </c>
      <c r="BE17">
        <v>-30.383296621334939</v>
      </c>
      <c r="BF17" s="6">
        <f t="shared" si="0"/>
        <v>6.1730253191319857</v>
      </c>
      <c r="BG17" s="6">
        <f t="shared" si="1"/>
        <v>5.9112259313328366</v>
      </c>
      <c r="BH17" s="6">
        <f t="shared" si="2"/>
        <v>0.89555815144504902</v>
      </c>
      <c r="BI17" s="6">
        <f t="shared" si="3"/>
        <v>0.89555815144504902</v>
      </c>
      <c r="BJ17">
        <v>305.21562239208441</v>
      </c>
      <c r="BK17">
        <v>-33.759218468149932</v>
      </c>
      <c r="BV17" s="38"/>
      <c r="BW17" s="6">
        <f t="shared" si="22"/>
        <v>3.4906585039886591E-2</v>
      </c>
      <c r="BX17" s="9">
        <f t="shared" ca="1" si="31"/>
        <v>-185.2404112918735</v>
      </c>
      <c r="BY17" s="9">
        <f t="shared" ca="1" si="32"/>
        <v>10.312372046863437</v>
      </c>
      <c r="BZ17">
        <f t="shared" ca="1" si="33"/>
        <v>185.52723517806055</v>
      </c>
      <c r="CA17" s="6">
        <f t="shared" ca="1" si="34"/>
        <v>-0.99845400657261041</v>
      </c>
      <c r="CB17" s="6">
        <f t="shared" ca="1" si="35"/>
        <v>5.5584141255412417E-2</v>
      </c>
      <c r="CC17" s="6">
        <f t="shared" ca="1" si="36"/>
        <v>3.0859798503700979</v>
      </c>
      <c r="CD17" s="6">
        <f t="shared" ca="1" si="37"/>
        <v>227.47470519226954</v>
      </c>
      <c r="CE17" s="9">
        <f t="shared" ca="1" si="38"/>
        <v>-91.057136680328796</v>
      </c>
      <c r="CF17">
        <f t="shared" ca="1" si="39"/>
        <v>245.02274107259927</v>
      </c>
      <c r="CG17" s="6">
        <f t="shared" ca="1" si="40"/>
        <v>0.92838201138591325</v>
      </c>
      <c r="CH17" s="6">
        <f t="shared" ca="1" si="41"/>
        <v>-0.37162728766204162</v>
      </c>
      <c r="CI17" s="6">
        <f t="shared" ca="1" si="42"/>
        <v>-0.38076122828264281</v>
      </c>
      <c r="CJ17" s="1">
        <f t="shared" ca="1" si="43"/>
        <v>1.166159391680091</v>
      </c>
      <c r="CK17" s="38"/>
      <c r="CU17">
        <v>1.6659031356438063</v>
      </c>
      <c r="CV17">
        <v>1.6657753039114827</v>
      </c>
      <c r="CW17">
        <v>1.6658392197776446</v>
      </c>
      <c r="CX17">
        <v>-6.6680130270002625E-4</v>
      </c>
      <c r="CY17">
        <v>2.9754436046824928E-4</v>
      </c>
      <c r="CZ17">
        <v>-1.8451326768098575E-4</v>
      </c>
      <c r="DP17">
        <f ca="1">(DP15*DQ15*(1-COS(DP14)))+(DR15*SIN(DP14))</f>
        <v>0</v>
      </c>
      <c r="DQ17">
        <f ca="1">(DQ15*DQ15*(1-COS(DP14)))+COS(DP14)</f>
        <v>0.94868329805051377</v>
      </c>
      <c r="DR17">
        <f ca="1">(DR15*DQ15*(1-COS(DP14)))-(DP15*SIN(DP14))</f>
        <v>0.31622776601683794</v>
      </c>
      <c r="DS17">
        <v>0</v>
      </c>
    </row>
    <row r="18" spans="1:129" ht="15.75" thickBot="1" x14ac:dyDescent="0.3">
      <c r="A18">
        <v>4</v>
      </c>
      <c r="B18" s="19">
        <v>8</v>
      </c>
      <c r="C18" s="6">
        <f t="shared" ca="1" si="29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19"/>
        <v>4</v>
      </c>
      <c r="L18" s="1">
        <f t="shared" si="20"/>
        <v>4</v>
      </c>
      <c r="T18" s="8" t="s">
        <v>105</v>
      </c>
      <c r="U18" s="6">
        <f ca="1">SQRT(POWER(U6,2)+POWER(U5,2)+POWER(U4,2))</f>
        <v>31.389840606580677</v>
      </c>
      <c r="Y18" s="64" t="s">
        <v>217</v>
      </c>
      <c r="Z18" s="68">
        <f ca="1">U4</f>
        <v>9.9999999996268478</v>
      </c>
      <c r="AA18" s="68">
        <f ca="1">U5</f>
        <v>21.039511560126964</v>
      </c>
      <c r="AB18" s="69">
        <f ca="1">U6</f>
        <v>21.039511558619608</v>
      </c>
      <c r="AC18" s="70">
        <f ca="1">Z18/$U$3</f>
        <v>14.916344306122653</v>
      </c>
      <c r="AD18" s="68">
        <f t="shared" ref="AD18" ca="1" si="45">AA18/$U$3</f>
        <v>31.383259847521231</v>
      </c>
      <c r="AE18" s="69">
        <f t="shared" ref="AE18" ca="1" si="46">AB18/$U$3</f>
        <v>31.383259845272807</v>
      </c>
      <c r="BC18">
        <v>0.27925268031909273</v>
      </c>
      <c r="BD18">
        <v>274.35863779841463</v>
      </c>
      <c r="BE18">
        <v>-29.536140940934647</v>
      </c>
      <c r="BF18" s="6">
        <f t="shared" si="0"/>
        <v>6.1759431090181858</v>
      </c>
      <c r="BG18" s="6">
        <f t="shared" si="1"/>
        <v>5.8966904286990927</v>
      </c>
      <c r="BH18" s="6">
        <f t="shared" si="2"/>
        <v>0.89264036155884896</v>
      </c>
      <c r="BI18" s="6">
        <f t="shared" si="3"/>
        <v>0.89264036155884896</v>
      </c>
      <c r="BJ18">
        <v>304.84293088712735</v>
      </c>
      <c r="BK18">
        <v>-32.817934378816275</v>
      </c>
      <c r="BV18" s="38"/>
      <c r="BW18" s="6">
        <f t="shared" si="22"/>
        <v>5.235987755982989E-2</v>
      </c>
      <c r="BX18" s="9">
        <f t="shared" ca="1" si="31"/>
        <v>-185.12866877688668</v>
      </c>
      <c r="BY18" s="9">
        <f t="shared" ca="1" si="32"/>
        <v>9.5097182974430297</v>
      </c>
      <c r="BZ18">
        <f t="shared" ca="1" si="33"/>
        <v>185.37275621082765</v>
      </c>
      <c r="CA18" s="6">
        <f t="shared" ca="1" si="34"/>
        <v>-0.99868326155940979</v>
      </c>
      <c r="CB18" s="6">
        <f t="shared" ca="1" si="35"/>
        <v>5.1300517356646855E-2</v>
      </c>
      <c r="CC18" s="6">
        <f t="shared" ca="1" si="36"/>
        <v>3.0902696079127288</v>
      </c>
      <c r="CD18" s="6">
        <f t="shared" ca="1" si="37"/>
        <v>227.36296267728272</v>
      </c>
      <c r="CE18" s="9">
        <f t="shared" ca="1" si="38"/>
        <v>-90.254482930908381</v>
      </c>
      <c r="CF18">
        <f t="shared" ca="1" si="39"/>
        <v>244.62172529543875</v>
      </c>
      <c r="CG18" s="6">
        <f t="shared" ca="1" si="40"/>
        <v>0.92944713885362396</v>
      </c>
      <c r="CH18" s="6">
        <f t="shared" ca="1" si="41"/>
        <v>-0.36895530363014439</v>
      </c>
      <c r="CI18" s="6">
        <f t="shared" ca="1" si="42"/>
        <v>-0.3778847719742473</v>
      </c>
      <c r="CJ18" s="1">
        <f t="shared" ca="1" si="43"/>
        <v>1.1632829353716956</v>
      </c>
      <c r="CK18" s="38"/>
      <c r="CU18">
        <v>1.6658392197776446</v>
      </c>
      <c r="CV18">
        <v>1.6657753039114827</v>
      </c>
      <c r="CW18">
        <v>1.6658072618445636</v>
      </c>
      <c r="CX18">
        <v>-1.8451326768098575E-4</v>
      </c>
      <c r="CY18">
        <v>2.9754436046824928E-4</v>
      </c>
      <c r="CZ18">
        <v>5.6544225465082747E-5</v>
      </c>
      <c r="DP18">
        <f ca="1">(DP15*DR15*(1-COS(DP14)))-(DQ15*SIN(DP14))</f>
        <v>0</v>
      </c>
      <c r="DQ18">
        <f ca="1">(DQ15*DR15*(1-COS(DP14)))+(DP15*SIN(DP14))</f>
        <v>-0.31622776601683794</v>
      </c>
      <c r="DR18">
        <f ca="1">(DR15*DR15*(1-COS(DP14)))+COS(DP14)</f>
        <v>0.94868329805051377</v>
      </c>
      <c r="DS18">
        <v>0</v>
      </c>
    </row>
    <row r="19" spans="1:129" x14ac:dyDescent="0.25">
      <c r="A19">
        <v>5</v>
      </c>
      <c r="B19" s="19">
        <v>0</v>
      </c>
      <c r="C19" s="6">
        <f t="shared" ca="1" si="29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9"/>
        <v>#N/A</v>
      </c>
      <c r="L19" s="1" t="e">
        <f t="shared" si="20"/>
        <v>#N/A</v>
      </c>
      <c r="T19" s="8" t="s">
        <v>106</v>
      </c>
      <c r="U19" s="39">
        <f ca="1">U4/U18</f>
        <v>0.31857441154162514</v>
      </c>
      <c r="V19" s="39">
        <f ca="1">U5/U18</f>
        <v>0.67026500146407775</v>
      </c>
      <c r="W19" s="39">
        <f ca="1">U6/U18</f>
        <v>0.67026500141605727</v>
      </c>
      <c r="X19" s="38"/>
      <c r="BC19">
        <v>0.29670597283903605</v>
      </c>
      <c r="BD19">
        <v>274.00681302344918</v>
      </c>
      <c r="BE19">
        <v>-28.686265409087095</v>
      </c>
      <c r="BF19" s="6">
        <f t="shared" si="0"/>
        <v>6.1788735022651764</v>
      </c>
      <c r="BG19" s="6">
        <f t="shared" si="1"/>
        <v>5.8821675294261402</v>
      </c>
      <c r="BH19" s="6">
        <f t="shared" si="2"/>
        <v>0.88970996831185845</v>
      </c>
      <c r="BI19" s="6">
        <f t="shared" si="3"/>
        <v>0.88970996831185845</v>
      </c>
      <c r="BJ19">
        <v>304.45201447049908</v>
      </c>
      <c r="BK19">
        <v>-31.873628232318993</v>
      </c>
      <c r="BV19" s="38"/>
      <c r="BW19" s="6">
        <f t="shared" si="22"/>
        <v>6.9813170079773182E-2</v>
      </c>
      <c r="BX19" s="9">
        <f t="shared" ca="1" si="31"/>
        <v>-185.00072467206763</v>
      </c>
      <c r="BY19" s="9">
        <f t="shared" ca="1" si="32"/>
        <v>8.7055946983275021</v>
      </c>
      <c r="BZ19">
        <f t="shared" ca="1" si="33"/>
        <v>185.20544135700152</v>
      </c>
      <c r="CA19" s="6">
        <f t="shared" ca="1" si="34"/>
        <v>-0.99889465080813</v>
      </c>
      <c r="CB19" s="6">
        <f t="shared" ca="1" si="35"/>
        <v>4.700506980000993E-2</v>
      </c>
      <c r="CC19" s="6">
        <f t="shared" ca="1" si="36"/>
        <v>3.0945702571234288</v>
      </c>
      <c r="CD19" s="6">
        <f t="shared" ca="1" si="37"/>
        <v>227.23501857246367</v>
      </c>
      <c r="CE19" s="9">
        <f t="shared" ca="1" si="38"/>
        <v>-89.450359331792853</v>
      </c>
      <c r="CF19">
        <f t="shared" ca="1" si="39"/>
        <v>244.20712612496544</v>
      </c>
      <c r="CG19" s="6">
        <f t="shared" ca="1" si="40"/>
        <v>0.93050117815228361</v>
      </c>
      <c r="CH19" s="6">
        <f t="shared" ca="1" si="41"/>
        <v>-0.36628889889977823</v>
      </c>
      <c r="CI19" s="6">
        <f t="shared" ca="1" si="42"/>
        <v>-0.37501759240872984</v>
      </c>
      <c r="CJ19" s="1">
        <f t="shared" ca="1" si="43"/>
        <v>1.1604157558061781</v>
      </c>
      <c r="CK19" s="38"/>
      <c r="CU19">
        <v>1.6658392197776446</v>
      </c>
      <c r="CV19">
        <v>1.6658072618445636</v>
      </c>
      <c r="CW19">
        <v>1.665823240811104</v>
      </c>
      <c r="CX19">
        <v>-1.8451326768098575E-4</v>
      </c>
      <c r="CY19">
        <v>5.6544225465082747E-5</v>
      </c>
      <c r="CZ19">
        <v>-6.3977676583615306E-5</v>
      </c>
      <c r="DP19">
        <v>0</v>
      </c>
      <c r="DQ19">
        <v>0</v>
      </c>
      <c r="DR19">
        <v>0</v>
      </c>
      <c r="DS19">
        <v>1</v>
      </c>
    </row>
    <row r="20" spans="1:129" x14ac:dyDescent="0.25">
      <c r="A20">
        <v>6</v>
      </c>
      <c r="B20" s="19">
        <v>0</v>
      </c>
      <c r="C20" s="6">
        <f t="shared" ca="1" si="29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19"/>
        <v>#N/A</v>
      </c>
      <c r="L20" s="1" t="e">
        <f t="shared" si="20"/>
        <v>#N/A</v>
      </c>
      <c r="BC20">
        <v>0.31415926535897937</v>
      </c>
      <c r="BD20">
        <v>273.63880743944509</v>
      </c>
      <c r="BE20">
        <v>-27.833875115740863</v>
      </c>
      <c r="BF20" s="6">
        <f t="shared" si="0"/>
        <v>6.1818163790684748</v>
      </c>
      <c r="BG20" s="6">
        <f t="shared" si="1"/>
        <v>5.8676571137094955</v>
      </c>
      <c r="BH20" s="6">
        <f t="shared" si="2"/>
        <v>0.88676709150855992</v>
      </c>
      <c r="BI20" s="6">
        <f t="shared" si="3"/>
        <v>0.88676709150855992</v>
      </c>
      <c r="BJ20">
        <v>304.04311937716119</v>
      </c>
      <c r="BK20">
        <v>-30.926527906378737</v>
      </c>
      <c r="BV20" s="38"/>
      <c r="BW20" s="6">
        <f t="shared" si="22"/>
        <v>8.7266462599716474E-2</v>
      </c>
      <c r="BX20" s="9">
        <f t="shared" ca="1" si="31"/>
        <v>-184.85639751118487</v>
      </c>
      <c r="BY20" s="9">
        <f t="shared" ca="1" si="32"/>
        <v>7.8995057106947328</v>
      </c>
      <c r="BZ20">
        <f t="shared" ca="1" si="33"/>
        <v>185.02510611072893</v>
      </c>
      <c r="CA20" s="6">
        <f t="shared" ca="1" si="34"/>
        <v>-0.99908818536527089</v>
      </c>
      <c r="CB20" s="6">
        <f t="shared" ca="1" si="35"/>
        <v>4.2694236888950875E-2</v>
      </c>
      <c r="CC20" s="6">
        <f t="shared" ca="1" si="36"/>
        <v>3.0988854355561553</v>
      </c>
      <c r="CD20" s="6">
        <f t="shared" ca="1" si="37"/>
        <v>227.09069141158091</v>
      </c>
      <c r="CE20" s="9">
        <f t="shared" ca="1" si="38"/>
        <v>-88.644270344160077</v>
      </c>
      <c r="CF20">
        <f t="shared" ca="1" si="39"/>
        <v>243.77856507625606</v>
      </c>
      <c r="CG20" s="6">
        <f t="shared" ca="1" si="40"/>
        <v>0.9315449508062571</v>
      </c>
      <c r="CH20" s="6">
        <f t="shared" ca="1" si="41"/>
        <v>-0.36362618803844127</v>
      </c>
      <c r="CI20" s="6">
        <f t="shared" ca="1" si="42"/>
        <v>-0.37215761058018454</v>
      </c>
      <c r="CJ20" s="1">
        <f t="shared" ca="1" si="43"/>
        <v>1.1575557739776328</v>
      </c>
      <c r="CK20" s="38"/>
      <c r="CU20">
        <v>1.665823240811104</v>
      </c>
      <c r="CV20">
        <v>1.6658072618445636</v>
      </c>
      <c r="CW20">
        <v>1.6658152513278339</v>
      </c>
      <c r="CX20">
        <v>-6.3977676583615306E-5</v>
      </c>
      <c r="CY20">
        <v>5.6544225465082747E-5</v>
      </c>
      <c r="CZ20">
        <v>-3.7146934033227552E-6</v>
      </c>
      <c r="DO20" t="s">
        <v>198</v>
      </c>
      <c r="DP20">
        <f t="array" aca="1" ref="DP20:DS20" ca="1">MMULT(DP10:DS10,DP16:DS19)</f>
        <v>1080.7505000000001</v>
      </c>
      <c r="DQ20">
        <f ca="1"/>
        <v>-225.43126398396089</v>
      </c>
      <c r="DR20">
        <f ca="1"/>
        <v>0</v>
      </c>
      <c r="DS20" s="9">
        <f ca="1"/>
        <v>0</v>
      </c>
      <c r="DU20">
        <f t="array" aca="1" ref="DU20:DX20" ca="1">MMULT(DU10:DX10,DP16:DS19)</f>
        <v>180.64000000000001</v>
      </c>
      <c r="DV20">
        <f ca="1"/>
        <v>-103.27998838109927</v>
      </c>
      <c r="DW20">
        <f ca="1"/>
        <v>63.245553203367571</v>
      </c>
      <c r="DX20" s="9">
        <f ca="1"/>
        <v>0</v>
      </c>
    </row>
    <row r="21" spans="1:129" x14ac:dyDescent="0.25">
      <c r="A21">
        <v>7</v>
      </c>
      <c r="B21" s="19">
        <v>0</v>
      </c>
      <c r="C21" s="6">
        <f t="shared" ca="1" si="29"/>
        <v>0</v>
      </c>
      <c r="D21" s="2">
        <v>2</v>
      </c>
      <c r="E21" s="2">
        <v>15.33</v>
      </c>
      <c r="G21" s="1">
        <v>9</v>
      </c>
      <c r="H21" s="6">
        <v>1.1279999999999999</v>
      </c>
      <c r="I21" s="6">
        <v>1</v>
      </c>
      <c r="K21" s="1" t="e">
        <f t="shared" si="19"/>
        <v>#N/A</v>
      </c>
      <c r="L21" s="1" t="e">
        <f t="shared" si="20"/>
        <v>#N/A</v>
      </c>
      <c r="T21" s="8" t="s">
        <v>107</v>
      </c>
      <c r="U21" s="39">
        <f ca="1">U16-U19</f>
        <v>-0.17854640313882414</v>
      </c>
      <c r="V21" s="39">
        <f t="shared" ref="V21:W21" ca="1" si="47">V16-V19</f>
        <v>2.9875040549927179E-2</v>
      </c>
      <c r="W21" s="39">
        <f t="shared" ca="1" si="47"/>
        <v>2.9875040597947655E-2</v>
      </c>
      <c r="BC21">
        <v>0.33161255787892269</v>
      </c>
      <c r="BD21">
        <v>273.25478055787573</v>
      </c>
      <c r="BE21">
        <v>-26.979112772330193</v>
      </c>
      <c r="BF21" s="6">
        <f t="shared" si="0"/>
        <v>6.1847718158512404</v>
      </c>
      <c r="BG21" s="6">
        <f t="shared" si="1"/>
        <v>5.853159257972318</v>
      </c>
      <c r="BH21" s="6">
        <f t="shared" si="2"/>
        <v>0.88381165472579437</v>
      </c>
      <c r="BI21" s="6">
        <f t="shared" si="3"/>
        <v>0.88381165472579437</v>
      </c>
      <c r="BJ21">
        <v>303.61642284208415</v>
      </c>
      <c r="BK21">
        <v>-29.976791969255771</v>
      </c>
      <c r="BV21" s="38"/>
      <c r="BW21" s="6">
        <f t="shared" si="22"/>
        <v>0.10471975511965977</v>
      </c>
      <c r="BX21" s="9">
        <f t="shared" ca="1" si="31"/>
        <v>-184.6954650047345</v>
      </c>
      <c r="BY21" s="9">
        <f t="shared" ca="1" si="32"/>
        <v>7.0909509678401221</v>
      </c>
      <c r="BZ21">
        <f t="shared" ca="1" si="33"/>
        <v>184.83153513116591</v>
      </c>
      <c r="CA21" s="6">
        <f t="shared" ca="1" si="34"/>
        <v>-0.99926381541799758</v>
      </c>
      <c r="CB21" s="6">
        <f t="shared" ca="1" si="35"/>
        <v>3.836440011607338E-2</v>
      </c>
      <c r="CC21" s="6">
        <f t="shared" ca="1" si="36"/>
        <v>3.1032188362739213</v>
      </c>
      <c r="CD21" s="6">
        <f t="shared" ca="1" si="37"/>
        <v>226.92975890513054</v>
      </c>
      <c r="CE21" s="9">
        <f t="shared" ca="1" si="38"/>
        <v>-87.835715601305481</v>
      </c>
      <c r="CF21">
        <f t="shared" ca="1" si="39"/>
        <v>243.3356291461119</v>
      </c>
      <c r="CG21" s="6">
        <f t="shared" ca="1" si="40"/>
        <v>0.93257925155247046</v>
      </c>
      <c r="CH21" s="6">
        <f t="shared" ca="1" si="41"/>
        <v>-0.36096528859965737</v>
      </c>
      <c r="CI21" s="6">
        <f t="shared" ca="1" si="42"/>
        <v>-0.36930276042783416</v>
      </c>
      <c r="CJ21" s="1">
        <f t="shared" ca="1" si="43"/>
        <v>1.1547009238252826</v>
      </c>
      <c r="CK21" s="38"/>
      <c r="CU21">
        <v>1.6658152513278339</v>
      </c>
      <c r="CV21">
        <v>1.6658072618445636</v>
      </c>
      <c r="CW21">
        <v>1.6658112565861987</v>
      </c>
      <c r="CX21">
        <v>-3.7146934033227552E-6</v>
      </c>
      <c r="CY21">
        <v>5.6544225465082747E-5</v>
      </c>
      <c r="CZ21">
        <v>2.64151940323476E-5</v>
      </c>
      <c r="DO21" t="s">
        <v>199</v>
      </c>
      <c r="DP21">
        <f t="array" aca="1" ref="DP21:DS21" ca="1">MMULT(DP11:DS11,DP16:DS19)</f>
        <v>0</v>
      </c>
      <c r="DQ21">
        <f ca="1"/>
        <v>0</v>
      </c>
      <c r="DR21">
        <f ca="1"/>
        <v>0</v>
      </c>
      <c r="DS21" s="9">
        <f ca="1"/>
        <v>0</v>
      </c>
      <c r="DU21">
        <f t="array" aca="1" ref="DU21:DX21" ca="1">MMULT(DU11:DX11,DP16:DS19)</f>
        <v>180.63999999962687</v>
      </c>
      <c r="DV21">
        <f ca="1"/>
        <v>-121.59620950481762</v>
      </c>
      <c r="DW21">
        <f ca="1"/>
        <v>26.613110953547547</v>
      </c>
      <c r="DX21" s="9">
        <f ca="1"/>
        <v>0</v>
      </c>
    </row>
    <row r="22" spans="1:129" x14ac:dyDescent="0.25">
      <c r="A22">
        <v>8</v>
      </c>
      <c r="B22" s="19">
        <v>0</v>
      </c>
      <c r="C22" s="6">
        <f t="shared" ca="1" si="29"/>
        <v>0</v>
      </c>
      <c r="D22" s="2">
        <v>10</v>
      </c>
      <c r="E22" s="2">
        <v>15.33</v>
      </c>
      <c r="G22" s="1">
        <v>10</v>
      </c>
      <c r="H22" s="6">
        <v>1.27</v>
      </c>
      <c r="I22" s="6">
        <v>1.27</v>
      </c>
      <c r="K22" s="1" t="e">
        <f t="shared" si="19"/>
        <v>#N/A</v>
      </c>
      <c r="L22" s="1" t="e">
        <f t="shared" si="20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272.85482964845966</v>
      </c>
      <c r="BE22">
        <v>-26.122066134360413</v>
      </c>
      <c r="BF22" s="6">
        <f t="shared" si="0"/>
        <v>6.1877400635176825</v>
      </c>
      <c r="BG22" s="6">
        <f t="shared" si="1"/>
        <v>5.8386742131188161</v>
      </c>
      <c r="BH22" s="6">
        <f t="shared" si="2"/>
        <v>0.88084340705935227</v>
      </c>
      <c r="BI22" s="6">
        <f t="shared" si="3"/>
        <v>0.88084340705935227</v>
      </c>
      <c r="BJ22">
        <v>303.17203294273293</v>
      </c>
      <c r="BK22">
        <v>-29.024517927067123</v>
      </c>
      <c r="BV22" s="38"/>
      <c r="BW22" s="6">
        <f t="shared" si="22"/>
        <v>0.12217304763960306</v>
      </c>
      <c r="BX22" s="9">
        <f t="shared" ca="1" si="31"/>
        <v>-184.51766300102179</v>
      </c>
      <c r="BY22" s="9">
        <f t="shared" ca="1" si="32"/>
        <v>6.2794240210913372</v>
      </c>
      <c r="BZ22">
        <f t="shared" ca="1" si="33"/>
        <v>184.62448138152021</v>
      </c>
      <c r="CA22" s="6">
        <f t="shared" ca="1" si="34"/>
        <v>-0.99942142894756358</v>
      </c>
      <c r="CB22" s="6">
        <f t="shared" ca="1" si="35"/>
        <v>3.4011870874887502E-2</v>
      </c>
      <c r="CC22" s="6">
        <f t="shared" ca="1" si="36"/>
        <v>3.1075742217685152</v>
      </c>
      <c r="CD22" s="6">
        <f t="shared" ca="1" si="37"/>
        <v>226.75195690141783</v>
      </c>
      <c r="CE22" s="9">
        <f t="shared" ca="1" si="38"/>
        <v>-87.024188654556696</v>
      </c>
      <c r="CF22">
        <f t="shared" ca="1" si="39"/>
        <v>242.87786924626607</v>
      </c>
      <c r="CG22" s="6">
        <f t="shared" ca="1" si="40"/>
        <v>0.93360485088702183</v>
      </c>
      <c r="CH22" s="6">
        <f t="shared" ca="1" si="41"/>
        <v>-0.35830431535249718</v>
      </c>
      <c r="CI22" s="6">
        <f t="shared" ca="1" si="42"/>
        <v>-0.36645098236340085</v>
      </c>
      <c r="CJ22" s="1">
        <f t="shared" ca="1" si="43"/>
        <v>1.1518491457608491</v>
      </c>
      <c r="CK22" s="38"/>
      <c r="CU22">
        <v>1.6658152513278339</v>
      </c>
      <c r="CV22">
        <v>1.6658112565861987</v>
      </c>
      <c r="CW22">
        <v>1.6658132539570163</v>
      </c>
      <c r="CX22">
        <v>-3.7146934033227552E-6</v>
      </c>
      <c r="CY22">
        <v>2.64151940323476E-5</v>
      </c>
      <c r="CZ22">
        <v>1.1349876728572461E-5</v>
      </c>
      <c r="DU22">
        <f t="array" aca="1" ref="DU22:DX22" ca="1">MMULT(DU12:DX12,DP16:DS19)</f>
        <v>180.63999999962687</v>
      </c>
      <c r="DV22">
        <f ca="1"/>
        <v>-100.11771072093089</v>
      </c>
      <c r="DW22">
        <f ca="1"/>
        <v>69.570108523704334</v>
      </c>
      <c r="DX22">
        <f ca="1"/>
        <v>0</v>
      </c>
    </row>
    <row r="23" spans="1:129" x14ac:dyDescent="0.25">
      <c r="A23">
        <v>9</v>
      </c>
      <c r="B23" s="19">
        <v>0</v>
      </c>
      <c r="C23" s="6">
        <f t="shared" ca="1" si="29"/>
        <v>0</v>
      </c>
      <c r="D23" s="2">
        <v>8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19"/>
        <v>#N/A</v>
      </c>
      <c r="L23" s="1" t="e">
        <f t="shared" si="20"/>
        <v>#N/A</v>
      </c>
      <c r="T23" s="8" t="s">
        <v>108</v>
      </c>
      <c r="U23" s="39">
        <f ca="1">SQRT(POWER(U21,2)+POWER(V21,2)+POWER(W21,2))</f>
        <v>0.18347712165935109</v>
      </c>
      <c r="V23" t="str">
        <f ca="1">IF(ABS(U23)&lt;=L1,"","NG")</f>
        <v>NG</v>
      </c>
      <c r="BC23">
        <v>0.36651914291880933</v>
      </c>
      <c r="BD23">
        <v>272.43899121758636</v>
      </c>
      <c r="BE23">
        <v>-25.262775827175769</v>
      </c>
      <c r="BF23" s="6">
        <f t="shared" si="0"/>
        <v>6.1907215246815364</v>
      </c>
      <c r="BG23" s="6">
        <f t="shared" si="1"/>
        <v>5.8242023817627269</v>
      </c>
      <c r="BH23" s="6">
        <f t="shared" si="2"/>
        <v>0.87786194589549849</v>
      </c>
      <c r="BI23" s="6">
        <f t="shared" si="3"/>
        <v>0.87786194589549849</v>
      </c>
      <c r="BJ23">
        <v>302.70999024176263</v>
      </c>
      <c r="BK23">
        <v>-28.069750919084186</v>
      </c>
      <c r="BV23" s="38"/>
      <c r="BW23" s="6">
        <f t="shared" si="22"/>
        <v>0.13962634015954636</v>
      </c>
      <c r="BX23" s="9">
        <f t="shared" ca="1" si="31"/>
        <v>-184.32268421578789</v>
      </c>
      <c r="BY23" s="9">
        <f t="shared" ca="1" si="32"/>
        <v>5.46441105369491</v>
      </c>
      <c r="BZ23">
        <f t="shared" ca="1" si="33"/>
        <v>184.40366510640942</v>
      </c>
      <c r="CA23" s="6">
        <f t="shared" ca="1" si="34"/>
        <v>-0.9995608498856311</v>
      </c>
      <c r="CB23" s="6">
        <f t="shared" ca="1" si="35"/>
        <v>2.9632876605471439E-2</v>
      </c>
      <c r="CC23" s="6">
        <f t="shared" ca="1" si="36"/>
        <v>3.1119554384618238</v>
      </c>
      <c r="CD23" s="6">
        <f t="shared" ca="1" si="37"/>
        <v>226.55697811618393</v>
      </c>
      <c r="CE23" s="9">
        <f t="shared" ca="1" si="38"/>
        <v>-86.209175687160268</v>
      </c>
      <c r="CF23">
        <f t="shared" ca="1" si="39"/>
        <v>242.40479843806042</v>
      </c>
      <c r="CG23" s="6">
        <f t="shared" ca="1" si="40"/>
        <v>0.93462249747532966</v>
      </c>
      <c r="CH23" s="6">
        <f t="shared" ca="1" si="41"/>
        <v>-0.35564137443916377</v>
      </c>
      <c r="CI23" s="6">
        <f t="shared" ca="1" si="42"/>
        <v>-0.36360021678369675</v>
      </c>
      <c r="CJ23" s="1">
        <f t="shared" ca="1" si="43"/>
        <v>1.148998380181145</v>
      </c>
      <c r="CK23" s="38"/>
      <c r="CU23">
        <v>1.6658152513278339</v>
      </c>
      <c r="CV23">
        <v>1.6658132539570163</v>
      </c>
      <c r="CW23">
        <v>1.6658142526424251</v>
      </c>
      <c r="CX23">
        <v>-3.7146934033227552E-6</v>
      </c>
      <c r="CY23">
        <v>1.1349876728572461E-5</v>
      </c>
      <c r="CZ23">
        <v>3.8170176663854249E-6</v>
      </c>
      <c r="DO23" t="s">
        <v>214</v>
      </c>
    </row>
    <row r="24" spans="1:129" ht="15.75" thickBot="1" x14ac:dyDescent="0.3">
      <c r="A24">
        <v>10</v>
      </c>
      <c r="B24" s="19">
        <v>0</v>
      </c>
      <c r="C24" s="11">
        <f t="shared" ca="1" si="29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19"/>
        <v>#N/A</v>
      </c>
      <c r="L24" s="1" t="e">
        <f t="shared" si="20"/>
        <v>#N/A</v>
      </c>
      <c r="BC24">
        <v>0.38397243543875265</v>
      </c>
      <c r="BD24">
        <v>272.00724331351489</v>
      </c>
      <c r="BE24">
        <v>-24.401242993708074</v>
      </c>
      <c r="BF24" s="6">
        <f t="shared" si="0"/>
        <v>6.1937167315696211</v>
      </c>
      <c r="BG24" s="6">
        <f t="shared" si="1"/>
        <v>5.8097442961308685</v>
      </c>
      <c r="BH24" s="6">
        <f t="shared" si="2"/>
        <v>0.87486673900741374</v>
      </c>
      <c r="BI24" s="6">
        <f t="shared" si="3"/>
        <v>0.87486673900741374</v>
      </c>
      <c r="BJ24">
        <v>302.23027034834985</v>
      </c>
      <c r="BK24">
        <v>-27.112492215231192</v>
      </c>
      <c r="BV24" s="38"/>
      <c r="BW24" s="6">
        <f t="shared" si="22"/>
        <v>0.15707963267948966</v>
      </c>
      <c r="BX24" s="9">
        <f t="shared" ca="1" si="31"/>
        <v>-184.1101767222159</v>
      </c>
      <c r="BY24" s="9">
        <f t="shared" ca="1" si="32"/>
        <v>4.6453895556384524</v>
      </c>
      <c r="BZ24">
        <f t="shared" ca="1" si="33"/>
        <v>184.16877264294621</v>
      </c>
      <c r="CA24" s="6">
        <f t="shared" ca="1" si="34"/>
        <v>-0.99968183574289271</v>
      </c>
      <c r="CB24" s="6">
        <f t="shared" ca="1" si="35"/>
        <v>2.5223546255828153E-2</v>
      </c>
      <c r="CC24" s="6">
        <f t="shared" ca="1" si="36"/>
        <v>3.116366431916521</v>
      </c>
      <c r="CD24" s="6">
        <f t="shared" ca="1" si="37"/>
        <v>226.34447062261194</v>
      </c>
      <c r="CE24" s="9">
        <f t="shared" ca="1" si="38"/>
        <v>-85.390154189103811</v>
      </c>
      <c r="CF24">
        <f t="shared" ca="1" si="39"/>
        <v>241.91588995737624</v>
      </c>
      <c r="CG24" s="6">
        <f t="shared" ca="1" si="40"/>
        <v>0.93563292044392843</v>
      </c>
      <c r="CH24" s="6">
        <f t="shared" ca="1" si="41"/>
        <v>-0.35297455741393802</v>
      </c>
      <c r="CI24" s="6">
        <f t="shared" ca="1" si="42"/>
        <v>-0.36074839751637405</v>
      </c>
      <c r="CJ24" s="1">
        <f t="shared" ca="1" si="43"/>
        <v>1.1461465609138224</v>
      </c>
      <c r="CK24" s="38"/>
      <c r="CU24">
        <v>1.6658152513278339</v>
      </c>
      <c r="CV24">
        <v>1.6658142526424251</v>
      </c>
      <c r="CW24">
        <v>1.6658147519851294</v>
      </c>
      <c r="CX24">
        <v>-3.7146934033227552E-6</v>
      </c>
      <c r="CY24">
        <v>3.8170176663854249E-6</v>
      </c>
      <c r="CZ24">
        <v>5.1178823845532406E-8</v>
      </c>
      <c r="DO24" t="s">
        <v>210</v>
      </c>
      <c r="DP24">
        <f ca="1">ATAN2(DP20,DQ20)</f>
        <v>-0.20563916507936747</v>
      </c>
    </row>
    <row r="25" spans="1:129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271.55950819619477</v>
      </c>
      <c r="BE25">
        <v>-23.537436531532958</v>
      </c>
      <c r="BF25" s="6">
        <f t="shared" si="0"/>
        <v>6.1967263252313707</v>
      </c>
      <c r="BG25" s="6">
        <f t="shared" si="1"/>
        <v>5.795300597272675</v>
      </c>
      <c r="BH25" s="6">
        <f t="shared" si="2"/>
        <v>0.87185714534566405</v>
      </c>
      <c r="BI25" s="6">
        <f t="shared" si="3"/>
        <v>0.87185714534566405</v>
      </c>
      <c r="BJ25">
        <v>301.73278688466087</v>
      </c>
      <c r="BK25">
        <v>-26.152707257258839</v>
      </c>
      <c r="BV25" s="38"/>
      <c r="BW25" s="6">
        <f t="shared" si="22"/>
        <v>0.17453292519943295</v>
      </c>
      <c r="BX25" s="9">
        <f t="shared" ca="1" si="31"/>
        <v>-183.87975277564391</v>
      </c>
      <c r="BY25" s="9">
        <f t="shared" ca="1" si="32"/>
        <v>3.8218417226009933</v>
      </c>
      <c r="BZ25">
        <f t="shared" ca="1" si="33"/>
        <v>183.91946594905212</v>
      </c>
      <c r="CA25" s="6">
        <f t="shared" ca="1" si="34"/>
        <v>-0.99978407302781525</v>
      </c>
      <c r="CB25" s="6">
        <f t="shared" ca="1" si="35"/>
        <v>2.0779974011340858E-2</v>
      </c>
      <c r="CC25" s="6">
        <f t="shared" ca="1" si="36"/>
        <v>3.1208111837969694</v>
      </c>
      <c r="CD25" s="6">
        <f t="shared" ca="1" si="37"/>
        <v>226.11404667603995</v>
      </c>
      <c r="CE25" s="9">
        <f t="shared" ca="1" si="38"/>
        <v>-84.566606356066345</v>
      </c>
      <c r="CF25">
        <f t="shared" ca="1" si="39"/>
        <v>241.41059010490045</v>
      </c>
      <c r="CG25" s="6">
        <f t="shared" ca="1" si="40"/>
        <v>0.93663681687612099</v>
      </c>
      <c r="CH25" s="6">
        <f t="shared" ca="1" si="41"/>
        <v>-0.35030197440518046</v>
      </c>
      <c r="CI25" s="6">
        <f t="shared" ca="1" si="42"/>
        <v>-0.35789348709375607</v>
      </c>
      <c r="CJ25" s="1">
        <f t="shared" ca="1" si="43"/>
        <v>1.1432916504912043</v>
      </c>
      <c r="CK25" s="38"/>
      <c r="CU25">
        <v>1.6658152513278339</v>
      </c>
      <c r="CV25">
        <v>1.6658147519851294</v>
      </c>
      <c r="CW25">
        <v>1.6658150016564817</v>
      </c>
      <c r="CX25">
        <v>-3.7146934033227552E-6</v>
      </c>
      <c r="CY25">
        <v>5.1178823845532406E-8</v>
      </c>
      <c r="CZ25">
        <v>-1.8323939068309871E-6</v>
      </c>
      <c r="DO25" t="s">
        <v>211</v>
      </c>
      <c r="DP25">
        <v>0</v>
      </c>
      <c r="DQ25">
        <v>0</v>
      </c>
      <c r="DR25">
        <v>1</v>
      </c>
    </row>
    <row r="26" spans="1:129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271.09565514270912</v>
      </c>
      <c r="BE26">
        <v>-22.671299867856536</v>
      </c>
      <c r="BF26" s="6">
        <f t="shared" si="0"/>
        <v>6.1997510361468144</v>
      </c>
      <c r="BG26" s="6">
        <f t="shared" si="1"/>
        <v>5.7808720156681748</v>
      </c>
      <c r="BH26" s="6">
        <f t="shared" si="2"/>
        <v>0.8688324344302204</v>
      </c>
      <c r="BI26" s="6">
        <f t="shared" si="3"/>
        <v>0.8688324344302204</v>
      </c>
      <c r="BJ26">
        <v>301.21739460301012</v>
      </c>
      <c r="BK26">
        <v>-25.19033318650726</v>
      </c>
      <c r="BV26" s="38"/>
      <c r="BW26" s="6">
        <f t="shared" si="22"/>
        <v>0.19198621771937624</v>
      </c>
      <c r="BX26" s="9">
        <f t="shared" ca="1" si="31"/>
        <v>-183.63118333882358</v>
      </c>
      <c r="BY26" s="9">
        <f t="shared" ca="1" si="32"/>
        <v>2.9935142812225948</v>
      </c>
      <c r="BZ26">
        <f t="shared" ca="1" si="33"/>
        <v>183.65558151651291</v>
      </c>
      <c r="CA26" s="6">
        <f t="shared" ca="1" si="34"/>
        <v>-0.9998671525390741</v>
      </c>
      <c r="CB26" s="6">
        <f t="shared" ca="1" si="35"/>
        <v>1.6299609608943146E-2</v>
      </c>
      <c r="CC26" s="6">
        <f t="shared" ca="1" si="36"/>
        <v>3.1252923221552424</v>
      </c>
      <c r="CD26" s="6">
        <f t="shared" ca="1" si="37"/>
        <v>225.86547723921962</v>
      </c>
      <c r="CE26" s="9">
        <f t="shared" ca="1" si="38"/>
        <v>-83.738278914687953</v>
      </c>
      <c r="CF26">
        <f t="shared" ca="1" si="39"/>
        <v>240.88859077194692</v>
      </c>
      <c r="CG26" s="6">
        <f t="shared" ca="1" si="40"/>
        <v>0.93763459911245883</v>
      </c>
      <c r="CH26" s="6">
        <f t="shared" ca="1" si="41"/>
        <v>-0.34762243677187815</v>
      </c>
      <c r="CI26" s="6">
        <f t="shared" ca="1" si="42"/>
        <v>-0.35503420451077672</v>
      </c>
      <c r="CJ26" s="1">
        <f t="shared" ca="1" si="43"/>
        <v>1.1404323679082249</v>
      </c>
      <c r="CK26" s="38"/>
      <c r="CU26">
        <v>1.6658150016564817</v>
      </c>
      <c r="CV26">
        <v>1.6658147519851294</v>
      </c>
      <c r="CW26">
        <v>1.6658148768208054</v>
      </c>
      <c r="CX26">
        <v>-1.8323939068309871E-6</v>
      </c>
      <c r="CY26">
        <v>5.1178823845532406E-8</v>
      </c>
      <c r="CZ26">
        <v>-8.8996570390964536E-7</v>
      </c>
      <c r="DP26">
        <f ca="1">(DP25*DP25*(1-COS(DP24)))+COS(DP24)</f>
        <v>0.97893067151958357</v>
      </c>
      <c r="DQ26">
        <f ca="1">(DQ25*DP25*(1-COS(DP24)))-(DR25*SIN(DP24))</f>
        <v>0.20419289987219741</v>
      </c>
      <c r="DR26">
        <f ca="1">(DR25*DP25*(1-COS(DP24)))+(DQ25*SIN(DP24))</f>
        <v>0</v>
      </c>
      <c r="DS26">
        <v>0</v>
      </c>
    </row>
    <row r="27" spans="1:129" x14ac:dyDescent="0.25">
      <c r="A27" s="8" t="s">
        <v>15</v>
      </c>
      <c r="B27" s="33">
        <v>1.6510509359548604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270.61550325679644</v>
      </c>
      <c r="BE27">
        <v>-21.802757315909503</v>
      </c>
      <c r="BF27" s="6">
        <f t="shared" si="0"/>
        <v>6.2027916660305529</v>
      </c>
      <c r="BG27" s="6">
        <f t="shared" si="1"/>
        <v>5.7664593530319701</v>
      </c>
      <c r="BH27" s="6">
        <f t="shared" si="2"/>
        <v>0.86579180454648186</v>
      </c>
      <c r="BI27" s="6">
        <f t="shared" si="3"/>
        <v>0.86579180454648186</v>
      </c>
      <c r="BJ27">
        <v>300.6838925075516</v>
      </c>
      <c r="BK27">
        <v>-24.225285906566114</v>
      </c>
      <c r="BV27" s="38"/>
      <c r="BW27" s="6">
        <f t="shared" si="22"/>
        <v>0.20943951023931953</v>
      </c>
      <c r="BX27" s="9">
        <f t="shared" ca="1" si="31"/>
        <v>-183.36457729840009</v>
      </c>
      <c r="BY27" s="9">
        <f t="shared" ca="1" si="32"/>
        <v>2.1606071647642864</v>
      </c>
      <c r="BZ27">
        <f t="shared" ca="1" si="33"/>
        <v>183.37730620537911</v>
      </c>
      <c r="CA27" s="6">
        <f t="shared" ca="1" si="34"/>
        <v>-0.99993058624732567</v>
      </c>
      <c r="CB27" s="6">
        <f t="shared" ca="1" si="35"/>
        <v>1.1782303980103444E-2</v>
      </c>
      <c r="CC27" s="6">
        <f t="shared" ca="1" si="36"/>
        <v>3.1298100769841422</v>
      </c>
      <c r="CD27" s="6">
        <f t="shared" ca="1" si="37"/>
        <v>225.59887119879613</v>
      </c>
      <c r="CE27" s="9">
        <f t="shared" ca="1" si="38"/>
        <v>-82.905371798229638</v>
      </c>
      <c r="CF27">
        <f t="shared" ca="1" si="39"/>
        <v>240.35006003571894</v>
      </c>
      <c r="CG27" s="6">
        <f t="shared" ca="1" si="40"/>
        <v>0.93862623194381312</v>
      </c>
      <c r="CH27" s="6">
        <f t="shared" ca="1" si="41"/>
        <v>-0.34493593130748079</v>
      </c>
      <c r="CI27" s="6">
        <f t="shared" ca="1" si="42"/>
        <v>-0.35217052630143114</v>
      </c>
      <c r="CJ27" s="1">
        <f t="shared" ca="1" si="43"/>
        <v>1.1375686896988795</v>
      </c>
      <c r="CK27" s="38"/>
      <c r="CU27">
        <v>1.6658148768208054</v>
      </c>
      <c r="CV27">
        <v>1.6658147519851294</v>
      </c>
      <c r="CW27">
        <v>1.6658148144029674</v>
      </c>
      <c r="CX27">
        <v>-8.8996570390964536E-7</v>
      </c>
      <c r="CY27">
        <v>5.1178823845532406E-8</v>
      </c>
      <c r="CZ27">
        <v>-4.1939317874106768E-7</v>
      </c>
      <c r="DP27">
        <f ca="1">(DP25*DQ25*(1-COS(DP24)))+(DR25*SIN(DP24))</f>
        <v>-0.20419289987219741</v>
      </c>
      <c r="DQ27">
        <f ca="1">(DQ25*DQ25*(1-COS(DP24)))+COS(DP24)</f>
        <v>0.97893067151958357</v>
      </c>
      <c r="DR27">
        <f ca="1">(DR25*DQ25*(1-COS(DP24)))-(DP25*SIN(DP24))</f>
        <v>0</v>
      </c>
      <c r="DS27">
        <v>0</v>
      </c>
    </row>
    <row r="28" spans="1:129" x14ac:dyDescent="0.25">
      <c r="A28" s="8" t="s">
        <v>17</v>
      </c>
      <c r="B28" s="33">
        <v>2.4640088607935819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270.11882422499076</v>
      </c>
      <c r="BE28">
        <v>-20.931720105993627</v>
      </c>
      <c r="BF28" s="6">
        <f t="shared" si="0"/>
        <v>6.2058490704773748</v>
      </c>
      <c r="BG28" s="6">
        <f t="shared" si="1"/>
        <v>5.7520634649588489</v>
      </c>
      <c r="BH28" s="6">
        <f t="shared" si="2"/>
        <v>0.86273440009965996</v>
      </c>
      <c r="BI28" s="6">
        <f t="shared" si="3"/>
        <v>0.86273440009965996</v>
      </c>
      <c r="BJ28">
        <v>300.1320269166564</v>
      </c>
      <c r="BK28">
        <v>-23.257466784437362</v>
      </c>
      <c r="BV28" s="38"/>
      <c r="BW28" s="6">
        <f t="shared" si="22"/>
        <v>0.22689280275926282</v>
      </c>
      <c r="BX28" s="9">
        <f t="shared" ca="1" si="31"/>
        <v>-183.08023059006115</v>
      </c>
      <c r="BY28" s="9">
        <f t="shared" ca="1" si="32"/>
        <v>1.3235211895997168</v>
      </c>
      <c r="BZ28">
        <f t="shared" ca="1" si="33"/>
        <v>183.08501451852709</v>
      </c>
      <c r="CA28" s="6">
        <f t="shared" ca="1" si="34"/>
        <v>-0.99997387045314157</v>
      </c>
      <c r="CB28" s="6">
        <f t="shared" ca="1" si="35"/>
        <v>7.2289979225240442E-3</v>
      </c>
      <c r="CC28" s="6">
        <f t="shared" ca="1" si="36"/>
        <v>3.134363592703131</v>
      </c>
      <c r="CD28" s="6">
        <f t="shared" ca="1" si="37"/>
        <v>225.31452449045719</v>
      </c>
      <c r="CE28" s="9">
        <f t="shared" ca="1" si="38"/>
        <v>-82.068285823065068</v>
      </c>
      <c r="CF28">
        <f t="shared" ca="1" si="39"/>
        <v>239.79540963975339</v>
      </c>
      <c r="CG28" s="6">
        <f t="shared" ca="1" si="40"/>
        <v>0.93961149977369895</v>
      </c>
      <c r="CH28" s="6">
        <f t="shared" ca="1" si="41"/>
        <v>-0.34224293928877508</v>
      </c>
      <c r="CI28" s="6">
        <f t="shared" ca="1" si="42"/>
        <v>-0.34930295514378207</v>
      </c>
      <c r="CJ28" s="1">
        <f t="shared" ca="1" si="43"/>
        <v>1.1347011185412303</v>
      </c>
      <c r="CK28" s="38"/>
      <c r="CU28">
        <v>1.6658148144029674</v>
      </c>
      <c r="CV28">
        <v>1.6658147519851294</v>
      </c>
      <c r="CW28">
        <v>1.6658147831940484</v>
      </c>
      <c r="CX28">
        <v>-4.1939317874106768E-7</v>
      </c>
      <c r="CY28">
        <v>5.1178823845532406E-8</v>
      </c>
      <c r="CZ28">
        <v>-1.8410710855842893E-7</v>
      </c>
      <c r="DP28">
        <f ca="1">(DP25*DR25*(1-COS(DP24)))-(DQ25*SIN(DP24))</f>
        <v>0</v>
      </c>
      <c r="DQ28">
        <f ca="1">(DQ25*DR25*(1-COS(DP24)))+(DP25*SIN(DP24))</f>
        <v>0</v>
      </c>
      <c r="DR28">
        <f ca="1">(DR25*DR25*(1-COS(DP24)))+COS(DP24)</f>
        <v>1</v>
      </c>
      <c r="DS28">
        <v>0</v>
      </c>
    </row>
    <row r="29" spans="1:129" x14ac:dyDescent="0.25">
      <c r="A29" s="8" t="s">
        <v>18</v>
      </c>
      <c r="B29" s="6">
        <f>B28*B4</f>
        <v>1.9712070886348654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268.91267210317841</v>
      </c>
      <c r="BE29">
        <v>-20.004977378933567</v>
      </c>
      <c r="BF29" s="6">
        <f t="shared" si="0"/>
        <v>6.2089299902474471</v>
      </c>
      <c r="BG29" s="6">
        <f t="shared" si="1"/>
        <v>5.7376910922089781</v>
      </c>
      <c r="BH29" s="6">
        <f t="shared" si="2"/>
        <v>0.85965348032958777</v>
      </c>
      <c r="BI29" s="6">
        <f t="shared" si="3"/>
        <v>0.85965348032958777</v>
      </c>
      <c r="BJ29">
        <v>299.58010757765391</v>
      </c>
      <c r="BK29">
        <v>-22.286392189691885</v>
      </c>
      <c r="BV29" s="38"/>
      <c r="BW29" s="6">
        <f t="shared" si="22"/>
        <v>0.24434609527920612</v>
      </c>
      <c r="BX29" s="9">
        <f t="shared" ca="1" si="31"/>
        <v>-182.77850555986669</v>
      </c>
      <c r="BY29" s="9">
        <f t="shared" ca="1" si="32"/>
        <v>0.482694583827044</v>
      </c>
      <c r="BZ29">
        <f t="shared" ca="1" si="33"/>
        <v>182.77914292598996</v>
      </c>
      <c r="CA29" s="6">
        <f t="shared" ca="1" si="34"/>
        <v>-0.99999651291655567</v>
      </c>
      <c r="CB29" s="6">
        <f t="shared" ca="1" si="35"/>
        <v>2.640862497218812E-3</v>
      </c>
      <c r="CC29" s="6">
        <f t="shared" ca="1" si="36"/>
        <v>3.1389517880229341</v>
      </c>
      <c r="CD29" s="6">
        <f t="shared" ca="1" si="37"/>
        <v>225.01279946026273</v>
      </c>
      <c r="CE29" s="9">
        <f t="shared" ca="1" si="38"/>
        <v>-81.227459217292392</v>
      </c>
      <c r="CF29">
        <f t="shared" ca="1" si="39"/>
        <v>239.22512420697228</v>
      </c>
      <c r="CG29" s="6">
        <f t="shared" ca="1" si="40"/>
        <v>0.94059016671504214</v>
      </c>
      <c r="CH29" s="6">
        <f t="shared" ca="1" si="41"/>
        <v>-0.33954401523067534</v>
      </c>
      <c r="CI29" s="6">
        <f t="shared" ca="1" si="42"/>
        <v>-0.34643206926755382</v>
      </c>
      <c r="CJ29" s="1">
        <f t="shared" ca="1" si="43"/>
        <v>1.131830232665002</v>
      </c>
      <c r="CK29" s="38"/>
      <c r="CU29">
        <v>1.6658147831940484</v>
      </c>
      <c r="CV29">
        <v>1.6658147519851294</v>
      </c>
      <c r="CW29">
        <v>1.6658147675895889</v>
      </c>
      <c r="CX29">
        <v>-1.8410710855842893E-7</v>
      </c>
      <c r="CY29">
        <v>5.1178823845532406E-8</v>
      </c>
      <c r="CZ29">
        <v>-6.6143731936030292E-8</v>
      </c>
      <c r="DP29">
        <v>0</v>
      </c>
      <c r="DQ29">
        <v>0</v>
      </c>
      <c r="DR29">
        <v>0</v>
      </c>
      <c r="DS29">
        <v>1</v>
      </c>
      <c r="DY29" t="s">
        <v>218</v>
      </c>
    </row>
    <row r="30" spans="1:129" x14ac:dyDescent="0.25">
      <c r="A30" s="8" t="s">
        <v>102</v>
      </c>
      <c r="B30" s="1">
        <v>3.0000000000000001E-3</v>
      </c>
      <c r="BC30">
        <v>0.48869219055841256</v>
      </c>
      <c r="BD30">
        <v>265.5971415303469</v>
      </c>
      <c r="BE30">
        <v>-18.925965398052121</v>
      </c>
      <c r="BF30" s="6">
        <f t="shared" si="0"/>
        <v>6.2120473841314183</v>
      </c>
      <c r="BG30" s="6">
        <f t="shared" si="1"/>
        <v>5.7233551935730054</v>
      </c>
      <c r="BH30" s="6">
        <f t="shared" si="2"/>
        <v>0.85653608644561652</v>
      </c>
      <c r="BI30" s="6">
        <f t="shared" si="3"/>
        <v>0.85653608644561652</v>
      </c>
      <c r="BJ30">
        <v>299.06627716613662</v>
      </c>
      <c r="BK30">
        <v>-21.310914645984042</v>
      </c>
      <c r="BV30" s="38"/>
      <c r="BW30" s="6">
        <f t="shared" si="22"/>
        <v>0.26179938779914941</v>
      </c>
      <c r="BX30" s="9">
        <f t="shared" ca="1" si="31"/>
        <v>-182.45976625247994</v>
      </c>
      <c r="BY30" s="9">
        <f t="shared" ca="1" si="32"/>
        <v>-0.36146801213041257</v>
      </c>
      <c r="BZ30">
        <f t="shared" ca="1" si="33"/>
        <v>182.46012430126592</v>
      </c>
      <c r="CA30" s="6">
        <f t="shared" ca="1" si="34"/>
        <v>-0.99999803766007855</v>
      </c>
      <c r="CB30" s="6">
        <f t="shared" ca="1" si="35"/>
        <v>-1.9810795016974823E-3</v>
      </c>
      <c r="CC30" s="6">
        <f t="shared" ca="1" si="36"/>
        <v>-3.1396115727922442</v>
      </c>
      <c r="CD30" s="6">
        <f t="shared" ca="1" si="37"/>
        <v>224.69406015287598</v>
      </c>
      <c r="CE30" s="9">
        <f t="shared" ca="1" si="38"/>
        <v>-80.383296621334935</v>
      </c>
      <c r="CF30">
        <f t="shared" ca="1" si="39"/>
        <v>238.63967617246249</v>
      </c>
      <c r="CG30" s="6">
        <f t="shared" ca="1" si="40"/>
        <v>0.94156203929178917</v>
      </c>
      <c r="CH30" s="6">
        <f t="shared" ca="1" si="41"/>
        <v>-0.33683961489808062</v>
      </c>
      <c r="CI30" s="6">
        <f t="shared" ca="1" si="42"/>
        <v>-0.34355833943548975</v>
      </c>
      <c r="CJ30" s="1">
        <f t="shared" ca="1" si="43"/>
        <v>1.128956502832938</v>
      </c>
      <c r="CK30" s="38"/>
      <c r="CU30">
        <v>1.6658147675895889</v>
      </c>
      <c r="CV30">
        <v>1.6658147519851294</v>
      </c>
      <c r="CW30">
        <v>1.6658147597873592</v>
      </c>
      <c r="CX30">
        <v>-6.6143731936030292E-8</v>
      </c>
      <c r="CY30">
        <v>5.1178823845532406E-8</v>
      </c>
      <c r="CZ30">
        <v>-8.1232363058347801E-9</v>
      </c>
      <c r="DO30" t="s">
        <v>198</v>
      </c>
      <c r="DP30">
        <f t="array" aca="1" ref="DP30:DS30" ca="1">MMULT(DP20:DS20,DP26:DS29)</f>
        <v>1104.0112762248657</v>
      </c>
      <c r="DQ30">
        <f ca="1"/>
        <v>-2.8421709430404007E-14</v>
      </c>
      <c r="DR30">
        <f ca="1"/>
        <v>0</v>
      </c>
      <c r="DS30" s="9">
        <f ca="1"/>
        <v>0</v>
      </c>
      <c r="DU30">
        <f t="array" aca="1" ref="DU30:DX30" ca="1">MMULT(DU20:DX20,DP26:DS29)</f>
        <v>197.92307682960111</v>
      </c>
      <c r="DV30">
        <f ca="1"/>
        <v>-64.218542947530551</v>
      </c>
      <c r="DW30">
        <f ca="1"/>
        <v>63.245553203367571</v>
      </c>
      <c r="DX30" s="9">
        <f ca="1"/>
        <v>0</v>
      </c>
      <c r="DY30">
        <f ca="1">ATAN2(DV30,DW30)</f>
        <v>2.3638277836113164</v>
      </c>
    </row>
    <row r="31" spans="1:129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262.3470762067501</v>
      </c>
      <c r="BE31">
        <v>-17.867484918989227</v>
      </c>
      <c r="BF31" s="6">
        <f t="shared" si="0"/>
        <v>6.2151840323026883</v>
      </c>
      <c r="BG31" s="6">
        <f t="shared" si="1"/>
        <v>5.7090385492243323</v>
      </c>
      <c r="BH31" s="6">
        <f t="shared" si="2"/>
        <v>0.85339943827434639</v>
      </c>
      <c r="BI31" s="6">
        <f t="shared" si="3"/>
        <v>0.85339943827434639</v>
      </c>
      <c r="BJ31">
        <v>298.53214521641405</v>
      </c>
      <c r="BK31">
        <v>-20.331915566248409</v>
      </c>
      <c r="BV31" s="38"/>
      <c r="BW31" s="6">
        <f t="shared" si="22"/>
        <v>0.27925268031909273</v>
      </c>
      <c r="BX31" s="9">
        <f t="shared" ca="1" si="31"/>
        <v>-182.12434389801859</v>
      </c>
      <c r="BY31" s="9">
        <f t="shared" ca="1" si="32"/>
        <v>-1.2086236925307041</v>
      </c>
      <c r="BZ31">
        <f t="shared" ca="1" si="33"/>
        <v>182.12835422172432</v>
      </c>
      <c r="CA31" s="6">
        <f t="shared" ca="1" si="34"/>
        <v>-0.99997798078326205</v>
      </c>
      <c r="CB31" s="6">
        <f t="shared" ca="1" si="35"/>
        <v>-6.6361094498186548E-3</v>
      </c>
      <c r="CC31" s="6">
        <f t="shared" ca="1" si="36"/>
        <v>-3.1349564954322346</v>
      </c>
      <c r="CD31" s="6">
        <f t="shared" ca="1" si="37"/>
        <v>224.35863779841463</v>
      </c>
      <c r="CE31" s="9">
        <f t="shared" ca="1" si="38"/>
        <v>-79.536140940934644</v>
      </c>
      <c r="CF31">
        <f t="shared" ca="1" si="39"/>
        <v>238.03948426791808</v>
      </c>
      <c r="CG31" s="6">
        <f t="shared" ca="1" si="40"/>
        <v>0.9425269865981335</v>
      </c>
      <c r="CH31" s="6">
        <f t="shared" ca="1" si="41"/>
        <v>-0.33413003387041101</v>
      </c>
      <c r="CI31" s="6">
        <f t="shared" ca="1" si="42"/>
        <v>-0.34068206435250248</v>
      </c>
      <c r="CJ31" s="1">
        <f t="shared" ca="1" si="43"/>
        <v>1.1260802277499509</v>
      </c>
      <c r="CK31" s="38"/>
      <c r="CU31">
        <v>1.6658147597873592</v>
      </c>
      <c r="CV31">
        <v>1.6658147519851294</v>
      </c>
      <c r="CW31">
        <v>1.6658147558862444</v>
      </c>
      <c r="CX31">
        <v>-8.1232363058347801E-9</v>
      </c>
      <c r="CY31">
        <v>5.1178823845532406E-8</v>
      </c>
      <c r="CZ31">
        <v>2.1527803095722217E-8</v>
      </c>
      <c r="DO31" t="s">
        <v>199</v>
      </c>
      <c r="DP31">
        <f t="array" aca="1" ref="DP31:DR31" ca="1">MMULT(DP21:DR21,DP26:DR28)</f>
        <v>0</v>
      </c>
      <c r="DQ31">
        <f ca="1"/>
        <v>0</v>
      </c>
      <c r="DR31">
        <f ca="1"/>
        <v>0</v>
      </c>
      <c r="DS31" s="9">
        <f ca="1">SQRT(POWER(DP31,2)+POWER(DQ31,2)+POWER(DR31,2))</f>
        <v>0</v>
      </c>
      <c r="DU31">
        <f t="array" aca="1" ref="DU31:DX31" ca="1">MMULT(DU21:DX21,DP26:DS29)</f>
        <v>201.66311913518825</v>
      </c>
      <c r="DV31">
        <f ca="1"/>
        <v>-82.148853591949546</v>
      </c>
      <c r="DW31">
        <f ca="1"/>
        <v>26.613110953547547</v>
      </c>
      <c r="DX31" s="9">
        <f ca="1"/>
        <v>0</v>
      </c>
      <c r="DY31">
        <f ca="1">ATAN2(DV31,DW31)</f>
        <v>2.8282998316999368</v>
      </c>
    </row>
    <row r="32" spans="1:129" x14ac:dyDescent="0.25">
      <c r="J32" t="s">
        <v>88</v>
      </c>
      <c r="N32" t="s">
        <v>89</v>
      </c>
      <c r="BC32">
        <v>0.52359877559829915</v>
      </c>
      <c r="BD32">
        <v>259.1586663503407</v>
      </c>
      <c r="BE32">
        <v>-16.828559457193919</v>
      </c>
      <c r="BF32" s="6">
        <f t="shared" si="0"/>
        <v>6.2183409928681099</v>
      </c>
      <c r="BG32" s="6">
        <f t="shared" si="1"/>
        <v>5.6947422172698108</v>
      </c>
      <c r="BH32" s="6">
        <f t="shared" si="2"/>
        <v>0.8502424777089248</v>
      </c>
      <c r="BI32" s="6">
        <f t="shared" si="3"/>
        <v>0.8502424777089248</v>
      </c>
      <c r="BJ32">
        <v>297.97726091601027</v>
      </c>
      <c r="BK32">
        <v>-19.349258594493733</v>
      </c>
      <c r="BV32" s="38"/>
      <c r="BW32" s="6">
        <f t="shared" si="22"/>
        <v>0.29670597283903605</v>
      </c>
      <c r="BX32" s="9">
        <f t="shared" ca="1" si="31"/>
        <v>-181.77251912305314</v>
      </c>
      <c r="BY32" s="9">
        <f t="shared" ca="1" si="32"/>
        <v>-2.0584992243782558</v>
      </c>
      <c r="BZ32">
        <f t="shared" ca="1" si="33"/>
        <v>181.78417457908012</v>
      </c>
      <c r="CA32" s="6">
        <f t="shared" ca="1" si="34"/>
        <v>-0.99993588299941971</v>
      </c>
      <c r="CB32" s="6">
        <f t="shared" ca="1" si="35"/>
        <v>-1.132386374746149E-2</v>
      </c>
      <c r="CC32" s="6">
        <f t="shared" ca="1" si="36"/>
        <v>-3.1302685478187318</v>
      </c>
      <c r="CD32" s="6">
        <f t="shared" ca="1" si="37"/>
        <v>224.00681302344918</v>
      </c>
      <c r="CE32" s="9">
        <f t="shared" ca="1" si="38"/>
        <v>-78.686265409087099</v>
      </c>
      <c r="CF32">
        <f t="shared" ca="1" si="39"/>
        <v>237.42489474558437</v>
      </c>
      <c r="CG32" s="6">
        <f t="shared" ca="1" si="40"/>
        <v>0.94348494189493692</v>
      </c>
      <c r="CH32" s="6">
        <f t="shared" ca="1" si="41"/>
        <v>-0.33141539556500321</v>
      </c>
      <c r="CI32" s="6">
        <f t="shared" ca="1" si="42"/>
        <v>-0.33780335887909124</v>
      </c>
      <c r="CJ32" s="1">
        <f t="shared" ca="1" si="43"/>
        <v>1.1232015222765395</v>
      </c>
      <c r="CK32" s="38"/>
      <c r="CU32">
        <v>1.6658147597873592</v>
      </c>
      <c r="CV32">
        <v>1.6658147558862444</v>
      </c>
      <c r="CW32">
        <v>1.6658147578368019</v>
      </c>
      <c r="CX32">
        <v>-8.1232363058347801E-9</v>
      </c>
      <c r="CY32">
        <v>2.1527803095722217E-8</v>
      </c>
      <c r="CZ32">
        <v>7.3430675984198501E-9</v>
      </c>
      <c r="DU32">
        <f t="array" aca="1" ref="DU32:DX32" ca="1">MMULT(DU22:DX22,DP26:DS29)</f>
        <v>197.27736218360496</v>
      </c>
      <c r="DV32">
        <f ca="1"/>
        <v>-61.122892354206734</v>
      </c>
      <c r="DW32">
        <f ca="1"/>
        <v>69.570108523704334</v>
      </c>
      <c r="DX32" s="9">
        <f ca="1"/>
        <v>0</v>
      </c>
      <c r="DY32">
        <f ca="1">ATAN2(COS(DY30-DY31),SIN(DY30-DY31))</f>
        <v>-0.46447204808862036</v>
      </c>
    </row>
    <row r="33" spans="1:132" x14ac:dyDescent="0.25">
      <c r="A33" t="s">
        <v>19</v>
      </c>
      <c r="J33">
        <f>(J38*COS(-1*$B$27))+(K38*SIN(-1*$B$27))+$I$2</f>
        <v>2.6133703423708647</v>
      </c>
      <c r="K33">
        <f>(-1*J38*SIN(-1*$B$27))+(K38*COS(-1*$B$27))+$I$3</f>
        <v>-1.758170867506589</v>
      </c>
      <c r="N33" t="e">
        <f>IF(B1="PCA_Parabolic",NA(),(N38*COS(-1*$B$27))+(O38*SIN(-1*$B$27))+$I$2)</f>
        <v>#N/A</v>
      </c>
      <c r="O33">
        <f>(-1*N38*SIN(-1*$B$27))+(O38*COS(-1*$B$27))+$I$3</f>
        <v>-1.797678039587705</v>
      </c>
      <c r="BC33">
        <v>0.54105206811824247</v>
      </c>
      <c r="BD33">
        <v>256.02831714612495</v>
      </c>
      <c r="BE33">
        <v>-15.808287736275487</v>
      </c>
      <c r="BF33" s="6">
        <f t="shared" si="0"/>
        <v>6.2215192977739511</v>
      </c>
      <c r="BG33" s="6">
        <f t="shared" si="1"/>
        <v>5.6804672296557088</v>
      </c>
      <c r="BH33" s="6">
        <f t="shared" si="2"/>
        <v>0.84706417280308377</v>
      </c>
      <c r="BI33" s="6">
        <f t="shared" si="3"/>
        <v>0.84706417280308377</v>
      </c>
      <c r="BJ33">
        <v>297.40113251975151</v>
      </c>
      <c r="BK33">
        <v>-18.362823020405052</v>
      </c>
      <c r="BV33" s="38"/>
      <c r="BW33" s="6">
        <f t="shared" si="22"/>
        <v>0.31415926535897937</v>
      </c>
      <c r="BX33" s="9">
        <f t="shared" ca="1" si="31"/>
        <v>-181.40451353904905</v>
      </c>
      <c r="BY33" s="9">
        <f t="shared" ca="1" si="32"/>
        <v>-2.9108895177244882</v>
      </c>
      <c r="BZ33">
        <f t="shared" ca="1" si="33"/>
        <v>181.42786668569806</v>
      </c>
      <c r="CA33" s="6">
        <f t="shared" ca="1" si="34"/>
        <v>-0.99987128136886783</v>
      </c>
      <c r="CB33" s="6">
        <f t="shared" ca="1" si="35"/>
        <v>-1.6044335255108597E-2</v>
      </c>
      <c r="CC33" s="6">
        <f t="shared" ca="1" si="36"/>
        <v>-3.1255476298976146</v>
      </c>
      <c r="CD33" s="6">
        <f t="shared" ca="1" si="37"/>
        <v>223.63880743944509</v>
      </c>
      <c r="CE33" s="9">
        <f t="shared" ca="1" si="38"/>
        <v>-77.833875115740867</v>
      </c>
      <c r="CF33">
        <f t="shared" ca="1" si="39"/>
        <v>236.79617460691787</v>
      </c>
      <c r="CG33" s="6">
        <f t="shared" ca="1" si="40"/>
        <v>0.94443589644421388</v>
      </c>
      <c r="CH33" s="6">
        <f t="shared" ca="1" si="41"/>
        <v>-0.32869566091996738</v>
      </c>
      <c r="CI33" s="6">
        <f t="shared" ca="1" si="42"/>
        <v>-0.33492216523117435</v>
      </c>
      <c r="CJ33" s="1">
        <f t="shared" ca="1" si="43"/>
        <v>1.1203203286286225</v>
      </c>
      <c r="CK33" s="38"/>
      <c r="CU33">
        <v>1.6658147597873592</v>
      </c>
      <c r="CV33">
        <v>1.6658147578368019</v>
      </c>
      <c r="CW33">
        <v>1.6658147588120804</v>
      </c>
      <c r="CX33">
        <v>-8.1232363058347801E-9</v>
      </c>
      <c r="CY33">
        <v>7.3430675984198501E-9</v>
      </c>
      <c r="CZ33">
        <v>-3.9009140362367134E-10</v>
      </c>
    </row>
    <row r="34" spans="1:132" x14ac:dyDescent="0.25">
      <c r="J34">
        <f>(J39*COS(-1*$B$27))+(K39*SIN(-1*$B$27))+$I$2</f>
        <v>0.45805873386891083</v>
      </c>
      <c r="K34">
        <f>(-1*J39*SIN(-1*$B$27))+(K39*COS(-1*$B$27))+$I$3</f>
        <v>25.040069518993892</v>
      </c>
      <c r="N34" t="e">
        <f>IF(B1="PCA_Parabolic",NA(),(N39*COS(-1*$B$27))+(O39*SIN(-1*$B$27))+$I$2)</f>
        <v>#N/A</v>
      </c>
      <c r="O34">
        <f>(-1*N39*SIN(-1*$B$27))+(O39*COS(-1*$B$27))+$I$3</f>
        <v>25.000562346912776</v>
      </c>
      <c r="BC34">
        <v>0.55850536063818579</v>
      </c>
      <c r="BD34">
        <v>252.9526425119698</v>
      </c>
      <c r="BE34">
        <v>-14.805844823740191</v>
      </c>
      <c r="BF34" s="6">
        <f t="shared" ref="BF34:BF65" si="48">IF(BC34&lt;&gt;"",IF(AND(BD34=0,BE34=0),0,MOD(ATAN2(BD34,BE34),2*PI())),NA())</f>
        <v>6.2247199317987922</v>
      </c>
      <c r="BG34" s="6">
        <f t="shared" ref="BG34:BG65" si="49">ABS(BC34-BF34)</f>
        <v>5.6662145711606069</v>
      </c>
      <c r="BH34" s="6">
        <f t="shared" si="2"/>
        <v>0.84386353877824249</v>
      </c>
      <c r="BI34" s="6">
        <f t="shared" si="3"/>
        <v>0.84386353877824249</v>
      </c>
      <c r="BJ34">
        <v>296.80323075199215</v>
      </c>
      <c r="BK34">
        <v>-17.372511052106535</v>
      </c>
      <c r="BV34" s="38"/>
      <c r="BW34" s="6">
        <f t="shared" si="22"/>
        <v>0.33161255787892269</v>
      </c>
      <c r="BX34" s="9">
        <f t="shared" ca="1" si="31"/>
        <v>-181.02048665747969</v>
      </c>
      <c r="BY34" s="9">
        <f t="shared" ca="1" si="32"/>
        <v>-3.7656518611351579</v>
      </c>
      <c r="BZ34">
        <f t="shared" ca="1" si="33"/>
        <v>181.05964962865153</v>
      </c>
      <c r="CA34" s="6">
        <f t="shared" ca="1" si="34"/>
        <v>-0.99978370127605931</v>
      </c>
      <c r="CB34" s="6">
        <f t="shared" ca="1" si="35"/>
        <v>-2.079785235892375E-2</v>
      </c>
      <c r="CC34" s="6">
        <f t="shared" ca="1" si="36"/>
        <v>-3.1207933015848113</v>
      </c>
      <c r="CD34" s="6">
        <f t="shared" ca="1" si="37"/>
        <v>223.25478055787573</v>
      </c>
      <c r="CE34" s="9">
        <f t="shared" ca="1" si="38"/>
        <v>-76.979112772330197</v>
      </c>
      <c r="CF34">
        <f t="shared" ca="1" si="39"/>
        <v>236.15351118533127</v>
      </c>
      <c r="CG34" s="6">
        <f t="shared" ca="1" si="40"/>
        <v>0.94537989055207095</v>
      </c>
      <c r="CH34" s="6">
        <f t="shared" ca="1" si="41"/>
        <v>-0.32597064674561471</v>
      </c>
      <c r="CI34" s="6">
        <f t="shared" ca="1" si="42"/>
        <v>-0.3320382732619368</v>
      </c>
      <c r="CJ34" s="1">
        <f t="shared" ca="1" si="43"/>
        <v>1.1174364366593852</v>
      </c>
      <c r="CK34" s="38"/>
      <c r="DU34" t="s">
        <v>219</v>
      </c>
    </row>
    <row r="35" spans="1:132" x14ac:dyDescent="0.25">
      <c r="A35" s="8" t="s">
        <v>20</v>
      </c>
      <c r="AD35" t="s">
        <v>135</v>
      </c>
      <c r="BC35">
        <v>0.57595865315812911</v>
      </c>
      <c r="BD35">
        <v>249.92846027807801</v>
      </c>
      <c r="BE35">
        <v>-13.820483910541885</v>
      </c>
      <c r="BF35" s="6">
        <f t="shared" si="48"/>
        <v>6.2279438083473799</v>
      </c>
      <c r="BG35" s="6">
        <f t="shared" si="49"/>
        <v>5.6519851551892506</v>
      </c>
      <c r="BH35" s="6">
        <f t="shared" si="2"/>
        <v>0.84063966222965492</v>
      </c>
      <c r="BI35" s="6">
        <f t="shared" si="3"/>
        <v>0.84063966222965492</v>
      </c>
      <c r="BJ35">
        <v>296.1829928556719</v>
      </c>
      <c r="BK35">
        <v>-16.378255932851836</v>
      </c>
      <c r="BV35" s="38"/>
      <c r="BW35" s="6">
        <f t="shared" si="22"/>
        <v>0.34906585039886601</v>
      </c>
      <c r="BX35" s="9">
        <f t="shared" ca="1" si="31"/>
        <v>-180.62053574806362</v>
      </c>
      <c r="BY35" s="9">
        <f t="shared" ca="1" si="32"/>
        <v>-4.6226984991049385</v>
      </c>
      <c r="BZ35">
        <f t="shared" ca="1" si="33"/>
        <v>180.67968141252396</v>
      </c>
      <c r="CA35" s="6">
        <f t="shared" ca="1" si="34"/>
        <v>-0.99967264905495767</v>
      </c>
      <c r="CB35" s="6">
        <f t="shared" ca="1" si="35"/>
        <v>-2.5585048982627399E-2</v>
      </c>
      <c r="CC35" s="6">
        <f t="shared" ca="1" si="36"/>
        <v>-3.1160048124782387</v>
      </c>
      <c r="CD35" s="6">
        <f t="shared" ca="1" si="37"/>
        <v>222.85482964845966</v>
      </c>
      <c r="CE35" s="9">
        <f t="shared" ca="1" si="38"/>
        <v>-76.122066134360409</v>
      </c>
      <c r="CF35">
        <f t="shared" ca="1" si="39"/>
        <v>235.49701494967599</v>
      </c>
      <c r="CG35" s="6">
        <f t="shared" ca="1" si="40"/>
        <v>0.94631700404390318</v>
      </c>
      <c r="CH35" s="6">
        <f t="shared" ca="1" si="41"/>
        <v>-0.3232400468032563</v>
      </c>
      <c r="CI35" s="6">
        <f t="shared" ca="1" si="42"/>
        <v>-0.32915134348616326</v>
      </c>
      <c r="CJ35" s="1">
        <f t="shared" ca="1" si="43"/>
        <v>1.1145495068836115</v>
      </c>
      <c r="CK35" s="38"/>
      <c r="DX35" s="9"/>
    </row>
    <row r="36" spans="1:132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36.078565415969585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246.95278909262444</v>
      </c>
      <c r="BE36">
        <v>-12.851538915988201</v>
      </c>
      <c r="BF36" s="6">
        <f t="shared" si="48"/>
        <v>6.2311917410353708</v>
      </c>
      <c r="BG36" s="6">
        <f t="shared" si="49"/>
        <v>5.6377797953572983</v>
      </c>
      <c r="BH36" s="6">
        <f t="shared" si="2"/>
        <v>0.83739172954166397</v>
      </c>
      <c r="BI36" s="6">
        <f t="shared" si="3"/>
        <v>0.83739172954166397</v>
      </c>
      <c r="BJ36">
        <v>295.53982755076572</v>
      </c>
      <c r="BK36">
        <v>-15.380031174981145</v>
      </c>
      <c r="BV36" s="38"/>
      <c r="BW36" s="6">
        <f t="shared" si="22"/>
        <v>0.36651914291880933</v>
      </c>
      <c r="BX36" s="9">
        <f t="shared" ca="1" si="31"/>
        <v>-180.20469731719032</v>
      </c>
      <c r="BY36" s="9">
        <f t="shared" ca="1" si="32"/>
        <v>-5.4819888062895821</v>
      </c>
      <c r="BZ36">
        <f t="shared" ca="1" si="33"/>
        <v>180.28806154721522</v>
      </c>
      <c r="CA36" s="6">
        <f t="shared" ca="1" si="34"/>
        <v>-0.99953760537825143</v>
      </c>
      <c r="CB36" s="6">
        <f t="shared" ca="1" si="35"/>
        <v>-3.0406832040034536E-2</v>
      </c>
      <c r="CC36" s="6">
        <f t="shared" ca="1" si="36"/>
        <v>-3.111181134030887</v>
      </c>
      <c r="CD36" s="6">
        <f t="shared" ca="1" si="37"/>
        <v>222.43899121758636</v>
      </c>
      <c r="CE36" s="9">
        <f t="shared" ca="1" si="38"/>
        <v>-75.262775827175773</v>
      </c>
      <c r="CF36">
        <f t="shared" ca="1" si="39"/>
        <v>234.82672386061427</v>
      </c>
      <c r="CG36" s="6">
        <f t="shared" ca="1" si="40"/>
        <v>0.94724734715295489</v>
      </c>
      <c r="CH36" s="6">
        <f t="shared" ca="1" si="41"/>
        <v>-0.32050345288575155</v>
      </c>
      <c r="CI36" s="6">
        <f t="shared" ca="1" si="42"/>
        <v>-0.32626092995409878</v>
      </c>
      <c r="CJ36" s="1">
        <f t="shared" ca="1" si="43"/>
        <v>1.1116590933515471</v>
      </c>
      <c r="CK36" s="38"/>
      <c r="DU36">
        <f ca="1">(DU32-DU30)</f>
        <v>-0.64571464599615069</v>
      </c>
      <c r="DV36">
        <f t="shared" ref="DV36:DW36" ca="1" si="50">(DV32-DV30)</f>
        <v>3.0956505933238176</v>
      </c>
      <c r="DW36">
        <f t="shared" ca="1" si="50"/>
        <v>6.3245553203367635</v>
      </c>
      <c r="DX36" s="9">
        <f ca="1">SQRT(POWER(DU36,2)+POWER(DV36,2)+POWER(DW36,2))</f>
        <v>7.0710678118654826</v>
      </c>
      <c r="DY36">
        <f ca="1">DU36/DX36</f>
        <v>-9.1317840979069725E-2</v>
      </c>
      <c r="DZ36">
        <f ca="1">DV36/DX36</f>
        <v>0.43779110534468568</v>
      </c>
      <c r="EA36">
        <f ca="1">DW36/DX36</f>
        <v>0.89442719099991563</v>
      </c>
    </row>
    <row r="37" spans="1:132" x14ac:dyDescent="0.25">
      <c r="A37" s="3">
        <f t="shared" ref="A37:A45" si="51">E3-$I$2</f>
        <v>-6</v>
      </c>
      <c r="B37" s="6">
        <f t="shared" ref="B37:B45" si="52">F3-$I$3</f>
        <v>-12</v>
      </c>
      <c r="C37" s="6">
        <f t="shared" ref="C37:C45" si="53">A37*COS($B$27)+B37*SIN($B$27)</f>
        <v>-11.480365006438387</v>
      </c>
      <c r="D37" s="6">
        <f t="shared" ref="D37:D45" si="54">-1*A37*SIN($B$27)+B37*COS($B$27)</f>
        <v>6.9427097965380158</v>
      </c>
      <c r="F37" s="8" t="s">
        <v>23</v>
      </c>
      <c r="G37" s="1">
        <f>MAX(D37:D41)-MIN(D37:D41)</f>
        <v>13.885419593076032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244.02284740959951</v>
      </c>
      <c r="BE37">
        <v>-11.898428124033236</v>
      </c>
      <c r="BF37" s="6">
        <f t="shared" si="48"/>
        <v>6.2344644098347501</v>
      </c>
      <c r="BG37" s="6">
        <f t="shared" si="49"/>
        <v>5.6235991716367346</v>
      </c>
      <c r="BH37" s="6">
        <f t="shared" si="2"/>
        <v>0.8341190607422847</v>
      </c>
      <c r="BI37" s="6">
        <f t="shared" si="3"/>
        <v>0.8341190607422847</v>
      </c>
      <c r="BJ37">
        <v>294.87312121098398</v>
      </c>
      <c r="BK37">
        <v>-14.377861235874642</v>
      </c>
      <c r="BV37" s="38"/>
      <c r="BW37" s="6">
        <f t="shared" si="22"/>
        <v>0.38397243543875265</v>
      </c>
      <c r="BX37" s="9">
        <f t="shared" ca="1" si="31"/>
        <v>-179.77294941311885</v>
      </c>
      <c r="BY37" s="9">
        <f t="shared" ca="1" si="32"/>
        <v>-6.3435216397572773</v>
      </c>
      <c r="BZ37">
        <f t="shared" ca="1" si="33"/>
        <v>179.88483428984742</v>
      </c>
      <c r="CA37" s="6">
        <f t="shared" ca="1" si="34"/>
        <v>-0.99937801940241233</v>
      </c>
      <c r="CB37" s="6">
        <f t="shared" ca="1" si="35"/>
        <v>-3.5264349353297884E-2</v>
      </c>
      <c r="CC37" s="6">
        <f t="shared" ca="1" si="36"/>
        <v>-3.1063209911700005</v>
      </c>
      <c r="CD37" s="6">
        <f t="shared" ca="1" si="37"/>
        <v>222.00724331351489</v>
      </c>
      <c r="CE37" s="9">
        <f t="shared" ca="1" si="38"/>
        <v>-74.401242993708081</v>
      </c>
      <c r="CF37">
        <f t="shared" ca="1" si="39"/>
        <v>234.14260834516003</v>
      </c>
      <c r="CG37" s="6">
        <f t="shared" ca="1" si="40"/>
        <v>0.94817105217451125</v>
      </c>
      <c r="CH37" s="6">
        <f t="shared" ca="1" si="41"/>
        <v>-0.31776037483972119</v>
      </c>
      <c r="CI37" s="6">
        <f t="shared" ca="1" si="42"/>
        <v>-0.32336650186165949</v>
      </c>
      <c r="CJ37" s="1">
        <f t="shared" ca="1" si="43"/>
        <v>1.1087646652591077</v>
      </c>
      <c r="CK37" s="38"/>
      <c r="DU37">
        <f ca="1">DU31-DU30</f>
        <v>3.7400423055871386</v>
      </c>
      <c r="DV37">
        <f t="shared" ref="DV37:DW37" ca="1" si="55">DV31-DV30</f>
        <v>-17.930310644418995</v>
      </c>
      <c r="DW37">
        <f t="shared" ca="1" si="55"/>
        <v>-36.632442249820024</v>
      </c>
      <c r="DX37" s="9">
        <f ca="1">SQRT(POWER(DU37,2)+POWER(DV37,2)+POWER(DW37,2))</f>
        <v>40.956315525683529</v>
      </c>
      <c r="DY37">
        <f ca="1">DU37/DX37</f>
        <v>9.1317840913735862E-2</v>
      </c>
      <c r="DZ37">
        <f ca="1">DV37/DX37</f>
        <v>-0.43779110533453564</v>
      </c>
      <c r="EA37">
        <f ca="1">DW37/DX37</f>
        <v>-0.89442719101155421</v>
      </c>
    </row>
    <row r="38" spans="1:132" x14ac:dyDescent="0.25">
      <c r="A38" s="3">
        <f t="shared" si="51"/>
        <v>6</v>
      </c>
      <c r="B38" s="6">
        <f t="shared" si="52"/>
        <v>-12</v>
      </c>
      <c r="C38" s="6">
        <f t="shared" si="53"/>
        <v>-12.442386841093445</v>
      </c>
      <c r="D38" s="6">
        <f t="shared" si="54"/>
        <v>-5.0186661272278998</v>
      </c>
      <c r="F38" s="8" t="s">
        <v>24</v>
      </c>
      <c r="G38" s="6">
        <f>MAX(D37:D43)</f>
        <v>6.9427097965380158</v>
      </c>
      <c r="H38" t="s">
        <v>4</v>
      </c>
      <c r="J38" s="9">
        <f>MIN(C37:C43,A37:A43)-1</f>
        <v>-13.442386841093445</v>
      </c>
      <c r="K38" s="9">
        <f>G40</f>
        <v>4.4787009357444338</v>
      </c>
      <c r="N38" s="9">
        <f>J38</f>
        <v>-13.442386841093445</v>
      </c>
      <c r="O38" s="9">
        <f>G41</f>
        <v>4.9715027079031504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241.1360549819268</v>
      </c>
      <c r="BE38">
        <v>-10.960659090722094</v>
      </c>
      <c r="BF38" s="6">
        <f t="shared" si="48"/>
        <v>6.2377623202710897</v>
      </c>
      <c r="BG38" s="6">
        <f t="shared" si="49"/>
        <v>5.6094437895531311</v>
      </c>
      <c r="BH38" s="6">
        <f t="shared" si="2"/>
        <v>0.83082115030594517</v>
      </c>
      <c r="BI38" s="6">
        <f t="shared" si="3"/>
        <v>0.83082115030594517</v>
      </c>
      <c r="BJ38">
        <v>294.18224566243202</v>
      </c>
      <c r="BK38">
        <v>-13.37183402743587</v>
      </c>
      <c r="BV38" s="38"/>
      <c r="BW38" s="6">
        <f t="shared" si="22"/>
        <v>0.40142572795869597</v>
      </c>
      <c r="BX38" s="9">
        <f t="shared" ca="1" si="31"/>
        <v>-179.32521429579873</v>
      </c>
      <c r="BY38" s="9">
        <f t="shared" ca="1" si="32"/>
        <v>-7.2073281019323936</v>
      </c>
      <c r="BZ38">
        <f t="shared" ca="1" si="33"/>
        <v>179.46999208949401</v>
      </c>
      <c r="CA38" s="6">
        <f t="shared" ca="1" si="34"/>
        <v>-0.99919330361577607</v>
      </c>
      <c r="CB38" s="6">
        <f t="shared" ca="1" si="35"/>
        <v>-4.015895926678599E-2</v>
      </c>
      <c r="CC38" s="6">
        <f t="shared" ca="1" si="36"/>
        <v>-3.1014228921415494</v>
      </c>
      <c r="CD38" s="6">
        <f t="shared" ca="1" si="37"/>
        <v>221.55950819619477</v>
      </c>
      <c r="CE38" s="9">
        <f t="shared" ca="1" si="38"/>
        <v>-73.537436531532961</v>
      </c>
      <c r="CF38">
        <f t="shared" ca="1" si="39"/>
        <v>233.44457638542158</v>
      </c>
      <c r="CG38" s="6">
        <f t="shared" ca="1" si="40"/>
        <v>0.94908826594624185</v>
      </c>
      <c r="CH38" s="6">
        <f t="shared" ca="1" si="41"/>
        <v>-0.31501025926651305</v>
      </c>
      <c r="CI38" s="6">
        <f t="shared" ca="1" si="42"/>
        <v>-0.32046746363230721</v>
      </c>
      <c r="CJ38" s="1">
        <f t="shared" ca="1" si="43"/>
        <v>1.1058656270297555</v>
      </c>
      <c r="CK38" s="38"/>
      <c r="DY38">
        <f ca="1">DY36-DY37</f>
        <v>-0.1826356818928056</v>
      </c>
      <c r="DZ38">
        <f ca="1">DZ36-DZ37</f>
        <v>0.87558221067922126</v>
      </c>
      <c r="EA38">
        <f ca="1">EA36-EA37</f>
        <v>1.7888543820114697</v>
      </c>
      <c r="EB38" s="9"/>
    </row>
    <row r="39" spans="1:132" x14ac:dyDescent="0.25">
      <c r="A39" s="3">
        <f t="shared" si="51"/>
        <v>6</v>
      </c>
      <c r="B39" s="6">
        <f t="shared" si="52"/>
        <v>4</v>
      </c>
      <c r="C39" s="6">
        <f t="shared" si="53"/>
        <v>3.5061143905944427</v>
      </c>
      <c r="D39" s="6">
        <f t="shared" si="54"/>
        <v>-6.3013619067679771</v>
      </c>
      <c r="J39" s="9">
        <f>MAX(C37:C43,A37:A43)+1</f>
        <v>13.442386841093445</v>
      </c>
      <c r="K39" s="9">
        <f>K38</f>
        <v>4.4787009357444338</v>
      </c>
      <c r="N39" s="9">
        <f>J39</f>
        <v>13.442386841093445</v>
      </c>
      <c r="O39" s="9">
        <f>G41</f>
        <v>4.9715027079031504</v>
      </c>
      <c r="AD39">
        <f>AD38</f>
        <v>6.2831853071795862</v>
      </c>
      <c r="AE39">
        <v>0</v>
      </c>
      <c r="BC39">
        <v>0.64577182323790239</v>
      </c>
      <c r="BD39">
        <v>238.29003737779959</v>
      </c>
      <c r="BE39">
        <v>-10.037835111782028</v>
      </c>
      <c r="BF39" s="6">
        <f t="shared" si="48"/>
        <v>6.2410857537919258</v>
      </c>
      <c r="BG39" s="6">
        <f t="shared" si="49"/>
        <v>5.5953139305540232</v>
      </c>
      <c r="BH39" s="6">
        <f t="shared" si="2"/>
        <v>0.82749771678510908</v>
      </c>
      <c r="BI39" s="6">
        <f t="shared" si="3"/>
        <v>0.82749771678510908</v>
      </c>
      <c r="BJ39">
        <v>293.46656811289665</v>
      </c>
      <c r="BK39">
        <v>-12.362115739095731</v>
      </c>
      <c r="BV39" s="38"/>
      <c r="BW39" s="6">
        <f t="shared" si="22"/>
        <v>0.41887902047863929</v>
      </c>
      <c r="BX39" s="9">
        <f t="shared" ca="1" si="31"/>
        <v>-178.86136124231308</v>
      </c>
      <c r="BY39" s="9">
        <f t="shared" ca="1" si="32"/>
        <v>-8.073464765608815</v>
      </c>
      <c r="BZ39">
        <f t="shared" ca="1" si="33"/>
        <v>179.04347901773676</v>
      </c>
      <c r="CA39" s="6">
        <f t="shared" ca="1" si="34"/>
        <v>-0.9989828293304911</v>
      </c>
      <c r="CB39" s="6">
        <f t="shared" ca="1" si="35"/>
        <v>-4.5092202239932044E-2</v>
      </c>
      <c r="CC39" s="6">
        <f t="shared" ca="1" si="36"/>
        <v>-3.0964851563047642</v>
      </c>
      <c r="CD39" s="6">
        <f t="shared" ca="1" si="37"/>
        <v>221.09565514270912</v>
      </c>
      <c r="CE39" s="9">
        <f t="shared" ca="1" si="38"/>
        <v>-72.671299867856533</v>
      </c>
      <c r="CF39">
        <f t="shared" ca="1" si="39"/>
        <v>232.73247849723873</v>
      </c>
      <c r="CG39" s="6">
        <f t="shared" ca="1" si="40"/>
        <v>0.94999914309481448</v>
      </c>
      <c r="CH39" s="6">
        <f t="shared" ca="1" si="41"/>
        <v>-0.31225250698612206</v>
      </c>
      <c r="CI39" s="6">
        <f t="shared" ca="1" si="42"/>
        <v>-0.31756317357297181</v>
      </c>
      <c r="CJ39" s="1">
        <f t="shared" ca="1" si="43"/>
        <v>1.1029613369704201</v>
      </c>
      <c r="CK39" s="38"/>
    </row>
    <row r="40" spans="1:132" x14ac:dyDescent="0.25">
      <c r="A40" s="3">
        <f t="shared" si="51"/>
        <v>6</v>
      </c>
      <c r="B40" s="6">
        <f t="shared" si="52"/>
        <v>4</v>
      </c>
      <c r="C40" s="6">
        <f t="shared" si="53"/>
        <v>3.5061143905944427</v>
      </c>
      <c r="D40" s="6">
        <f t="shared" si="54"/>
        <v>-6.3013619067679771</v>
      </c>
      <c r="F40" s="8" t="s">
        <v>50</v>
      </c>
      <c r="G40" s="9">
        <f>G38-B28</f>
        <v>4.4787009357444338</v>
      </c>
      <c r="AD40">
        <f>AE39</f>
        <v>0</v>
      </c>
      <c r="AE40">
        <f>AE39</f>
        <v>0</v>
      </c>
      <c r="BC40">
        <v>0.66322511575784571</v>
      </c>
      <c r="BD40">
        <v>235.48263416907909</v>
      </c>
      <c r="BE40">
        <v>-9.1296636065237387</v>
      </c>
      <c r="BF40" s="6">
        <f t="shared" si="48"/>
        <v>6.2444347069377057</v>
      </c>
      <c r="BG40" s="6">
        <f t="shared" si="49"/>
        <v>5.58120959117986</v>
      </c>
      <c r="BH40" s="6">
        <f t="shared" si="2"/>
        <v>0.82414876363932899</v>
      </c>
      <c r="BI40" s="6">
        <f t="shared" si="3"/>
        <v>0.82414876363932899</v>
      </c>
      <c r="BJ40">
        <v>292.72546386139527</v>
      </c>
      <c r="BK40">
        <v>-11.348968570647495</v>
      </c>
      <c r="BV40" s="38"/>
      <c r="BW40" s="6">
        <f t="shared" si="22"/>
        <v>0.43633231299858261</v>
      </c>
      <c r="BX40" s="9">
        <f t="shared" ca="1" si="31"/>
        <v>-178.3812093564004</v>
      </c>
      <c r="BY40" s="9">
        <f t="shared" ca="1" si="32"/>
        <v>-8.9420073175558485</v>
      </c>
      <c r="BZ40">
        <f t="shared" ca="1" si="33"/>
        <v>178.60519406310436</v>
      </c>
      <c r="CA40" s="6">
        <f t="shared" ca="1" si="34"/>
        <v>-0.99874592277184937</v>
      </c>
      <c r="CB40" s="6">
        <f t="shared" ca="1" si="35"/>
        <v>-5.0065774203612912E-2</v>
      </c>
      <c r="CC40" s="6">
        <f t="shared" ca="1" si="36"/>
        <v>-3.0915059400995646</v>
      </c>
      <c r="CD40" s="6">
        <f t="shared" ca="1" si="37"/>
        <v>220.61550325679644</v>
      </c>
      <c r="CE40" s="9">
        <f t="shared" ca="1" si="38"/>
        <v>-71.802757315909503</v>
      </c>
      <c r="CF40">
        <f t="shared" ca="1" si="39"/>
        <v>232.0061124958068</v>
      </c>
      <c r="CG40" s="6">
        <f t="shared" ca="1" si="40"/>
        <v>0.95090383991837191</v>
      </c>
      <c r="CH40" s="6">
        <f t="shared" ca="1" si="41"/>
        <v>-0.3094864895734471</v>
      </c>
      <c r="CI40" s="6">
        <f t="shared" ca="1" si="42"/>
        <v>-0.31465296144200211</v>
      </c>
      <c r="CJ40" s="1">
        <f t="shared" ca="1" si="43"/>
        <v>1.1000511248394504</v>
      </c>
      <c r="CK40" s="38"/>
      <c r="DP40">
        <f t="array" aca="1" ref="DP40:DS43" ca="1">MMULT(DP16:DS19,DP26:DS29)</f>
        <v>0.97893067151958357</v>
      </c>
      <c r="DQ40">
        <f ca="1"/>
        <v>0.20419289987219741</v>
      </c>
      <c r="DR40">
        <f ca="1"/>
        <v>0</v>
      </c>
      <c r="DS40">
        <f ca="1"/>
        <v>0</v>
      </c>
    </row>
    <row r="41" spans="1:132" x14ac:dyDescent="0.25">
      <c r="A41" s="3">
        <f t="shared" si="51"/>
        <v>6</v>
      </c>
      <c r="B41" s="6">
        <f t="shared" si="52"/>
        <v>12</v>
      </c>
      <c r="C41" s="6">
        <f t="shared" si="53"/>
        <v>11.480365006438387</v>
      </c>
      <c r="D41" s="6">
        <f t="shared" si="54"/>
        <v>-6.9427097965380158</v>
      </c>
      <c r="F41" s="8" t="s">
        <v>51</v>
      </c>
      <c r="G41" s="9">
        <f>G38-B29</f>
        <v>4.9715027079031504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232.71191162017482</v>
      </c>
      <c r="BE41">
        <v>-8.2359668637982448</v>
      </c>
      <c r="BF41" s="6">
        <f t="shared" si="48"/>
        <v>6.247808816308801</v>
      </c>
      <c r="BG41" s="6">
        <f t="shared" si="49"/>
        <v>5.5671304080310122</v>
      </c>
      <c r="BH41" s="6">
        <f t="shared" si="2"/>
        <v>0.82077465426823371</v>
      </c>
      <c r="BI41" s="6">
        <f t="shared" si="3"/>
        <v>0.82077465426823371</v>
      </c>
      <c r="BJ41">
        <v>291.95833263935009</v>
      </c>
      <c r="BK41">
        <v>-10.332772123638089</v>
      </c>
      <c r="BV41" s="38"/>
      <c r="BW41" s="6">
        <f t="shared" si="22"/>
        <v>0.45378560551852593</v>
      </c>
      <c r="BX41" s="9">
        <f t="shared" ca="1" si="31"/>
        <v>-177.88453032459472</v>
      </c>
      <c r="BY41" s="9">
        <f t="shared" ca="1" si="32"/>
        <v>-9.8130445274717246</v>
      </c>
      <c r="BZ41">
        <f t="shared" ca="1" si="33"/>
        <v>178.15499423732078</v>
      </c>
      <c r="CA41" s="6">
        <f t="shared" ca="1" si="34"/>
        <v>-0.99848186174132303</v>
      </c>
      <c r="CB41" s="6">
        <f t="shared" ca="1" si="35"/>
        <v>-5.5081501192157094E-2</v>
      </c>
      <c r="CC41" s="6">
        <f t="shared" ca="1" si="36"/>
        <v>-3.0864832616820146</v>
      </c>
      <c r="CD41" s="6">
        <f t="shared" ca="1" si="37"/>
        <v>220.11882422499076</v>
      </c>
      <c r="CE41" s="9">
        <f t="shared" ca="1" si="38"/>
        <v>-70.931720105993634</v>
      </c>
      <c r="CF41">
        <f t="shared" ca="1" si="39"/>
        <v>231.26522802917736</v>
      </c>
      <c r="CG41" s="6">
        <f t="shared" ca="1" si="40"/>
        <v>0.95180250875077366</v>
      </c>
      <c r="CH41" s="6">
        <f t="shared" ca="1" si="41"/>
        <v>-0.30671156537654937</v>
      </c>
      <c r="CI41" s="6">
        <f t="shared" ca="1" si="42"/>
        <v>-0.31173614536950656</v>
      </c>
      <c r="CJ41" s="1">
        <f t="shared" ca="1" si="43"/>
        <v>1.0971343087669547</v>
      </c>
      <c r="CK41" s="38"/>
      <c r="DP41">
        <f ca="1"/>
        <v>-0.19371439368925458</v>
      </c>
      <c r="DQ41">
        <f ca="1"/>
        <v>0.92869517802000268</v>
      </c>
      <c r="DR41">
        <f ca="1"/>
        <v>0.31622776601683794</v>
      </c>
      <c r="DS41">
        <f ca="1"/>
        <v>0</v>
      </c>
    </row>
    <row r="42" spans="1:132" x14ac:dyDescent="0.25">
      <c r="A42" s="3">
        <f t="shared" si="51"/>
        <v>-6</v>
      </c>
      <c r="B42" s="6">
        <f t="shared" si="52"/>
        <v>12</v>
      </c>
      <c r="C42" s="6">
        <f t="shared" si="53"/>
        <v>12.442386841093445</v>
      </c>
      <c r="D42" s="6">
        <f t="shared" si="54"/>
        <v>5.0186661272278998</v>
      </c>
      <c r="J42" s="9"/>
      <c r="K42" s="9"/>
      <c r="N42" s="9"/>
      <c r="O42" s="9"/>
      <c r="BC42">
        <v>0.69813170079773235</v>
      </c>
      <c r="BD42">
        <v>229.9761809472374</v>
      </c>
      <c r="BE42">
        <v>-7.3566957183046915</v>
      </c>
      <c r="BF42" s="6">
        <f t="shared" si="48"/>
        <v>6.2512072654685449</v>
      </c>
      <c r="BG42" s="6">
        <f t="shared" si="49"/>
        <v>5.553075564670813</v>
      </c>
      <c r="BH42" s="6">
        <f t="shared" si="2"/>
        <v>0.81737620510848996</v>
      </c>
      <c r="BI42" s="6">
        <f t="shared" si="3"/>
        <v>0.81737620510848996</v>
      </c>
      <c r="BJ42">
        <v>291.16461967829156</v>
      </c>
      <c r="BK42">
        <v>-9.3140494032316106</v>
      </c>
      <c r="BV42" s="38"/>
      <c r="BW42" s="6">
        <f t="shared" si="22"/>
        <v>0.47123889803846924</v>
      </c>
      <c r="BX42" s="9">
        <f t="shared" ca="1" si="31"/>
        <v>-176.67837820278237</v>
      </c>
      <c r="BY42" s="9">
        <f t="shared" ca="1" si="32"/>
        <v>-10.739787254531784</v>
      </c>
      <c r="BZ42">
        <f t="shared" ca="1" si="33"/>
        <v>177.00449811978794</v>
      </c>
      <c r="CA42" s="6">
        <f t="shared" ca="1" si="34"/>
        <v>-0.99815756141527623</v>
      </c>
      <c r="CB42" s="6">
        <f t="shared" ca="1" si="35"/>
        <v>-6.0675222204034748E-2</v>
      </c>
      <c r="CC42" s="6">
        <f t="shared" ca="1" si="36"/>
        <v>-3.0808801404449619</v>
      </c>
      <c r="CD42" s="6">
        <f t="shared" ca="1" si="37"/>
        <v>218.91267210317841</v>
      </c>
      <c r="CE42" s="9">
        <f t="shared" ca="1" si="38"/>
        <v>-70.004977378933575</v>
      </c>
      <c r="CF42">
        <f t="shared" ca="1" si="39"/>
        <v>229.83353729423106</v>
      </c>
      <c r="CG42" s="6">
        <f t="shared" ca="1" si="40"/>
        <v>0.95248358738406458</v>
      </c>
      <c r="CH42" s="6">
        <f t="shared" ca="1" si="41"/>
        <v>-0.30458991408775021</v>
      </c>
      <c r="CI42" s="6">
        <f t="shared" ca="1" si="42"/>
        <v>-0.30950785581236101</v>
      </c>
      <c r="CJ42" s="1">
        <f t="shared" ca="1" si="43"/>
        <v>1.0949060192098092</v>
      </c>
      <c r="CK42" s="38"/>
      <c r="DP42">
        <f ca="1"/>
        <v>6.4571464563084865E-2</v>
      </c>
      <c r="DQ42">
        <f ca="1"/>
        <v>-0.30956505934000089</v>
      </c>
      <c r="DR42">
        <f ca="1"/>
        <v>0.94868329805051377</v>
      </c>
      <c r="DS42">
        <f ca="1"/>
        <v>0</v>
      </c>
    </row>
    <row r="43" spans="1:132" x14ac:dyDescent="0.25">
      <c r="A43" s="3">
        <f t="shared" si="51"/>
        <v>-6</v>
      </c>
      <c r="B43" s="6">
        <f t="shared" si="52"/>
        <v>4</v>
      </c>
      <c r="C43" s="6">
        <f t="shared" si="53"/>
        <v>4.4681362252495012</v>
      </c>
      <c r="D43" s="6">
        <f t="shared" si="54"/>
        <v>5.6600140169979385</v>
      </c>
      <c r="AD43" t="s">
        <v>134</v>
      </c>
      <c r="BC43">
        <v>0.71558499331767567</v>
      </c>
      <c r="BD43">
        <v>227.27402354759838</v>
      </c>
      <c r="BE43">
        <v>-6.4919468883783971</v>
      </c>
      <c r="BF43" s="6">
        <f t="shared" si="48"/>
        <v>6.2546286687948331</v>
      </c>
      <c r="BG43" s="6">
        <f t="shared" si="49"/>
        <v>5.5390436754771573</v>
      </c>
      <c r="BH43" s="6">
        <f t="shared" si="2"/>
        <v>0.81395480178220159</v>
      </c>
      <c r="BI43" s="6">
        <f t="shared" si="3"/>
        <v>0.81395480178220159</v>
      </c>
      <c r="BJ43">
        <v>290.34384295664131</v>
      </c>
      <c r="BK43">
        <v>-8.2934986516285107</v>
      </c>
      <c r="BV43" s="38"/>
      <c r="BW43" s="6">
        <f t="shared" si="22"/>
        <v>0.48869219055841256</v>
      </c>
      <c r="BX43" s="9">
        <f t="shared" ca="1" si="31"/>
        <v>-173.36284762995086</v>
      </c>
      <c r="BY43" s="9">
        <f t="shared" ca="1" si="32"/>
        <v>-11.818799235413231</v>
      </c>
      <c r="BZ43">
        <f t="shared" ca="1" si="33"/>
        <v>173.76524667991745</v>
      </c>
      <c r="CA43" s="6">
        <f t="shared" ca="1" si="34"/>
        <v>-0.99768423745452495</v>
      </c>
      <c r="CB43" s="6">
        <f t="shared" ca="1" si="35"/>
        <v>-6.8015897662113828E-2</v>
      </c>
      <c r="CC43" s="6">
        <f t="shared" ca="1" si="36"/>
        <v>-3.0735242043562381</v>
      </c>
      <c r="CD43" s="6">
        <f t="shared" ca="1" si="37"/>
        <v>215.5971415303469</v>
      </c>
      <c r="CE43" s="9">
        <f t="shared" ca="1" si="38"/>
        <v>-68.925965398052114</v>
      </c>
      <c r="CF43">
        <f t="shared" ca="1" si="39"/>
        <v>226.3468933785262</v>
      </c>
      <c r="CG43" s="6">
        <f t="shared" ca="1" si="40"/>
        <v>0.95250762364031127</v>
      </c>
      <c r="CH43" s="6">
        <f t="shared" ca="1" si="41"/>
        <v>-0.3045147400489624</v>
      </c>
      <c r="CI43" s="6">
        <f t="shared" ca="1" si="42"/>
        <v>-0.30942893257291115</v>
      </c>
      <c r="CJ43" s="1">
        <f t="shared" ca="1" si="43"/>
        <v>1.0948270959703594</v>
      </c>
      <c r="CK43" s="38"/>
      <c r="DO43" s="5"/>
      <c r="DP43">
        <f ca="1"/>
        <v>0</v>
      </c>
      <c r="DQ43">
        <f ca="1"/>
        <v>0</v>
      </c>
      <c r="DR43">
        <f ca="1"/>
        <v>0</v>
      </c>
      <c r="DS43">
        <f ca="1"/>
        <v>1</v>
      </c>
    </row>
    <row r="44" spans="1:132" x14ac:dyDescent="0.25">
      <c r="A44" s="3">
        <f t="shared" si="51"/>
        <v>-6</v>
      </c>
      <c r="B44" s="6">
        <f t="shared" si="52"/>
        <v>4</v>
      </c>
      <c r="C44" s="6">
        <f t="shared" si="53"/>
        <v>4.4681362252495012</v>
      </c>
      <c r="D44" s="6">
        <f t="shared" si="54"/>
        <v>5.6600140169979385</v>
      </c>
      <c r="AD44" t="s">
        <v>8</v>
      </c>
      <c r="AE44" t="s">
        <v>9</v>
      </c>
      <c r="BC44">
        <v>0.73303828583761899</v>
      </c>
      <c r="BD44">
        <v>224.60432504603551</v>
      </c>
      <c r="BE44">
        <v>-5.6419849306433232</v>
      </c>
      <c r="BF44" s="6">
        <f t="shared" si="48"/>
        <v>6.2580709257631248</v>
      </c>
      <c r="BG44" s="6">
        <f t="shared" si="49"/>
        <v>5.5250326399255059</v>
      </c>
      <c r="BH44" s="6">
        <f t="shared" si="2"/>
        <v>0.81051254481390989</v>
      </c>
      <c r="BI44" s="6">
        <f t="shared" si="3"/>
        <v>0.81051254481390989</v>
      </c>
      <c r="BJ44">
        <v>289.49562852151598</v>
      </c>
      <c r="BK44">
        <v>-7.2720325989748362</v>
      </c>
      <c r="BV44" s="38"/>
      <c r="BW44" s="6">
        <f t="shared" si="22"/>
        <v>0.50614548307835583</v>
      </c>
      <c r="BX44" s="9">
        <f t="shared" ca="1" si="31"/>
        <v>-170.11278230635406</v>
      </c>
      <c r="BY44" s="9">
        <f t="shared" ca="1" si="32"/>
        <v>-12.877279714476124</v>
      </c>
      <c r="BZ44">
        <f t="shared" ca="1" si="33"/>
        <v>170.59948134989705</v>
      </c>
      <c r="CA44" s="6">
        <f t="shared" ca="1" si="34"/>
        <v>-0.99714712471754374</v>
      </c>
      <c r="CB44" s="6">
        <f t="shared" ca="1" si="35"/>
        <v>-7.5482525577349274E-2</v>
      </c>
      <c r="CC44" s="6">
        <f t="shared" ca="1" si="36"/>
        <v>-3.0660382652557359</v>
      </c>
      <c r="CD44" s="6">
        <f t="shared" ca="1" si="37"/>
        <v>212.3470762067501</v>
      </c>
      <c r="CE44" s="9">
        <f t="shared" ca="1" si="38"/>
        <v>-67.86748491898922</v>
      </c>
      <c r="CF44">
        <f t="shared" ca="1" si="39"/>
        <v>222.92885924165262</v>
      </c>
      <c r="CG44" s="6">
        <f t="shared" ca="1" si="40"/>
        <v>0.95253291533945383</v>
      </c>
      <c r="CH44" s="6">
        <f t="shared" ca="1" si="41"/>
        <v>-0.30443561748737769</v>
      </c>
      <c r="CI44" s="6">
        <f t="shared" ca="1" si="42"/>
        <v>-0.30934586603451442</v>
      </c>
      <c r="CJ44" s="1">
        <f t="shared" ca="1" si="43"/>
        <v>1.0947440294319626</v>
      </c>
      <c r="CK44" s="38"/>
      <c r="DO44" s="5"/>
      <c r="DP44">
        <f t="array" aca="1" ref="DP44:DS44" ca="1">MMULT(DP10:DS10,DP40:DS43)</f>
        <v>1104.0112762248655</v>
      </c>
      <c r="DQ44">
        <f ca="1"/>
        <v>-1.7763568394002505E-14</v>
      </c>
      <c r="DR44">
        <f ca="1"/>
        <v>0</v>
      </c>
      <c r="DS44">
        <f ca="1"/>
        <v>0</v>
      </c>
    </row>
    <row r="45" spans="1:132" x14ac:dyDescent="0.25">
      <c r="A45" s="3">
        <f t="shared" si="51"/>
        <v>-6</v>
      </c>
      <c r="B45" s="6">
        <f t="shared" si="52"/>
        <v>-12</v>
      </c>
      <c r="C45" s="6">
        <f t="shared" si="53"/>
        <v>-11.480365006438387</v>
      </c>
      <c r="D45" s="6">
        <f t="shared" si="54"/>
        <v>6.9427097965380158</v>
      </c>
      <c r="AD45" s="38">
        <f>U13+PI()/3</f>
        <v>1.8325957145940459</v>
      </c>
      <c r="AE45">
        <v>0</v>
      </c>
      <c r="BC45">
        <v>0.75049157835756231</v>
      </c>
      <c r="BD45">
        <v>221.96632062498597</v>
      </c>
      <c r="BE45">
        <v>-4.8072700685576937</v>
      </c>
      <c r="BF45" s="6">
        <f t="shared" si="48"/>
        <v>6.2615310370932784</v>
      </c>
      <c r="BG45" s="6">
        <f t="shared" si="49"/>
        <v>5.5110394587357163</v>
      </c>
      <c r="BH45" s="6">
        <f t="shared" si="2"/>
        <v>0.80705243348375633</v>
      </c>
      <c r="BI45" s="6">
        <f t="shared" si="3"/>
        <v>0.80705243348375633</v>
      </c>
      <c r="BJ45">
        <v>288.6197564513368</v>
      </c>
      <c r="BK45">
        <v>-6.2508272087235728</v>
      </c>
      <c r="BV45" s="38"/>
      <c r="BW45" s="6">
        <f t="shared" si="22"/>
        <v>0.52359877559829915</v>
      </c>
      <c r="BX45" s="9">
        <f t="shared" ca="1" si="31"/>
        <v>-166.92437244994466</v>
      </c>
      <c r="BY45" s="9">
        <f t="shared" ca="1" si="32"/>
        <v>-13.916205176271433</v>
      </c>
      <c r="BZ45">
        <f t="shared" ca="1" si="33"/>
        <v>167.50345335041879</v>
      </c>
      <c r="CA45" s="6">
        <f t="shared" ca="1" si="34"/>
        <v>-0.99654287186985513</v>
      </c>
      <c r="CB45" s="6">
        <f t="shared" ca="1" si="35"/>
        <v>-8.308010908383244E-2</v>
      </c>
      <c r="CC45" s="6">
        <f t="shared" ca="1" si="36"/>
        <v>-3.0584166723885859</v>
      </c>
      <c r="CD45" s="6">
        <f t="shared" ca="1" si="37"/>
        <v>209.1586663503407</v>
      </c>
      <c r="CE45" s="9">
        <f t="shared" ca="1" si="38"/>
        <v>-66.828559457193919</v>
      </c>
      <c r="CF45">
        <f t="shared" ca="1" si="39"/>
        <v>219.57550880864844</v>
      </c>
      <c r="CG45" s="6">
        <f t="shared" ca="1" si="40"/>
        <v>0.95255917877714857</v>
      </c>
      <c r="CH45" s="6">
        <f t="shared" ca="1" si="41"/>
        <v>-0.30435343094403311</v>
      </c>
      <c r="CI45" s="6">
        <f t="shared" ca="1" si="42"/>
        <v>-0.30925958512080176</v>
      </c>
      <c r="CJ45" s="1">
        <f t="shared" ca="1" si="43"/>
        <v>1.09465774851825</v>
      </c>
      <c r="CK45" s="38"/>
      <c r="DO45" s="5"/>
    </row>
    <row r="46" spans="1:132" x14ac:dyDescent="0.25">
      <c r="AD46" s="38">
        <f>U13-PI()/3</f>
        <v>-0.26179938779914935</v>
      </c>
      <c r="AE46">
        <f>AE45</f>
        <v>0</v>
      </c>
      <c r="BC46">
        <v>0.76794487087750563</v>
      </c>
      <c r="BD46">
        <v>219.35965496120622</v>
      </c>
      <c r="BE46">
        <v>-3.9884935755285542</v>
      </c>
      <c r="BF46" s="6">
        <f t="shared" si="48"/>
        <v>6.2650048713562612</v>
      </c>
      <c r="BG46" s="6">
        <f t="shared" si="49"/>
        <v>5.497060000478756</v>
      </c>
      <c r="BH46" s="6">
        <f t="shared" si="2"/>
        <v>0.80357859922077357</v>
      </c>
      <c r="BI46" s="6">
        <f t="shared" si="3"/>
        <v>0.80357859922077357</v>
      </c>
      <c r="BJ46">
        <v>287.71622087533569</v>
      </c>
      <c r="BK46">
        <v>-5.2313826749024388</v>
      </c>
      <c r="BV46" s="38"/>
      <c r="BW46" s="6">
        <f t="shared" si="22"/>
        <v>0.54105206811824247</v>
      </c>
      <c r="BX46" s="9">
        <f t="shared" ca="1" si="31"/>
        <v>-163.79402324572891</v>
      </c>
      <c r="BY46" s="9">
        <f t="shared" ca="1" si="32"/>
        <v>-14.936476897189864</v>
      </c>
      <c r="BZ46">
        <f t="shared" ca="1" si="33"/>
        <v>164.47364650035175</v>
      </c>
      <c r="CA46" s="6">
        <f t="shared" ca="1" si="34"/>
        <v>-0.99586788966449169</v>
      </c>
      <c r="CB46" s="6">
        <f t="shared" ca="1" si="35"/>
        <v>-9.0813800356508309E-2</v>
      </c>
      <c r="CC46" s="6">
        <f t="shared" ca="1" si="36"/>
        <v>-3.0506535619074229</v>
      </c>
      <c r="CD46" s="6">
        <f t="shared" ca="1" si="37"/>
        <v>206.02831714612495</v>
      </c>
      <c r="CE46" s="9">
        <f t="shared" ca="1" si="38"/>
        <v>-65.808287736275489</v>
      </c>
      <c r="CF46">
        <f t="shared" ca="1" si="39"/>
        <v>216.283143589242</v>
      </c>
      <c r="CG46" s="6">
        <f t="shared" ca="1" si="40"/>
        <v>0.95258610415524247</v>
      </c>
      <c r="CH46" s="6">
        <f t="shared" ca="1" si="41"/>
        <v>-0.3042691475820995</v>
      </c>
      <c r="CI46" s="6">
        <f t="shared" ca="1" si="42"/>
        <v>-0.30917110539945591</v>
      </c>
      <c r="CJ46" s="1">
        <f t="shared" ca="1" si="43"/>
        <v>1.0945692687969042</v>
      </c>
      <c r="CK46" s="38"/>
      <c r="DO46" s="5"/>
    </row>
    <row r="47" spans="1:132" x14ac:dyDescent="0.25">
      <c r="A47" t="s">
        <v>27</v>
      </c>
      <c r="BC47">
        <v>0.78539816339744895</v>
      </c>
      <c r="BD47">
        <v>216.78446130312727</v>
      </c>
      <c r="BE47">
        <v>-3.1866229802716299</v>
      </c>
      <c r="BF47" s="6">
        <f t="shared" si="48"/>
        <v>6.2684868667375921</v>
      </c>
      <c r="BG47" s="6">
        <f t="shared" si="49"/>
        <v>5.483088703340143</v>
      </c>
      <c r="BH47" s="6">
        <f t="shared" si="2"/>
        <v>0.80009660383944259</v>
      </c>
      <c r="BI47" s="6">
        <f t="shared" si="3"/>
        <v>0.80009660383944259</v>
      </c>
      <c r="BJ47">
        <v>286.7853087337129</v>
      </c>
      <c r="BK47">
        <v>-4.2156003697021447</v>
      </c>
      <c r="BV47" s="38"/>
      <c r="BW47" s="6">
        <f t="shared" si="22"/>
        <v>0.55850536063818579</v>
      </c>
      <c r="BX47" s="9">
        <f t="shared" ca="1" si="31"/>
        <v>-160.71834861157373</v>
      </c>
      <c r="BY47" s="9">
        <f t="shared" ca="1" si="32"/>
        <v>-15.93891980972516</v>
      </c>
      <c r="BZ47">
        <f t="shared" ca="1" si="33"/>
        <v>161.50676996687227</v>
      </c>
      <c r="CA47" s="6">
        <f t="shared" ca="1" si="34"/>
        <v>-0.99511833865874322</v>
      </c>
      <c r="CB47" s="6">
        <f t="shared" ca="1" si="35"/>
        <v>-9.8688864949713864E-2</v>
      </c>
      <c r="CC47" s="6">
        <f t="shared" ca="1" si="36"/>
        <v>-3.0427428858681176</v>
      </c>
      <c r="CD47" s="6">
        <f t="shared" ca="1" si="37"/>
        <v>202.95264251196977</v>
      </c>
      <c r="CE47" s="9">
        <f t="shared" ca="1" si="38"/>
        <v>-64.805844823740188</v>
      </c>
      <c r="CF47">
        <f t="shared" ca="1" si="39"/>
        <v>213.04828707574742</v>
      </c>
      <c r="CG47" s="6">
        <f t="shared" ca="1" si="40"/>
        <v>0.95261335022990246</v>
      </c>
      <c r="CH47" s="6">
        <f t="shared" ca="1" si="41"/>
        <v>-0.30418383415915023</v>
      </c>
      <c r="CI47" s="6">
        <f t="shared" ca="1" si="42"/>
        <v>-0.30908154687822503</v>
      </c>
      <c r="CJ47" s="1">
        <f t="shared" ca="1" si="43"/>
        <v>1.0944797102756734</v>
      </c>
      <c r="CK47" s="38"/>
      <c r="DO47" s="5"/>
    </row>
    <row r="48" spans="1:132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214.24146594535583</v>
      </c>
      <c r="BE48">
        <v>-2.4029602037283531</v>
      </c>
      <c r="BF48" s="6">
        <f t="shared" si="48"/>
        <v>6.2719696471516153</v>
      </c>
      <c r="BG48" s="6">
        <f t="shared" si="49"/>
        <v>5.469118191234223</v>
      </c>
      <c r="BH48" s="6">
        <f t="shared" si="2"/>
        <v>0.79661382342541942</v>
      </c>
      <c r="BI48" s="6">
        <f t="shared" si="3"/>
        <v>0.79661382342541942</v>
      </c>
      <c r="BJ48">
        <v>285.82770368275209</v>
      </c>
      <c r="BK48">
        <v>-3.205880775890023</v>
      </c>
      <c r="BV48" s="38"/>
      <c r="BW48" s="6">
        <f t="shared" si="22"/>
        <v>0.57595865315812911</v>
      </c>
      <c r="BX48" s="9">
        <f t="shared" ca="1" si="31"/>
        <v>-157.69416637768194</v>
      </c>
      <c r="BY48" s="9">
        <f t="shared" ca="1" si="32"/>
        <v>-16.924280722923466</v>
      </c>
      <c r="BZ48">
        <f t="shared" ca="1" si="33"/>
        <v>158.59975216733585</v>
      </c>
      <c r="CA48" s="6">
        <f t="shared" ca="1" si="34"/>
        <v>-0.9942901185072569</v>
      </c>
      <c r="CB48" s="6">
        <f t="shared" ca="1" si="35"/>
        <v>-0.10671063788969198</v>
      </c>
      <c r="CC48" s="6">
        <f t="shared" ca="1" si="36"/>
        <v>-3.034678448988628</v>
      </c>
      <c r="CD48" s="6">
        <f t="shared" ca="1" si="37"/>
        <v>199.92846027807798</v>
      </c>
      <c r="CE48" s="9">
        <f t="shared" ca="1" si="38"/>
        <v>-63.820483910541881</v>
      </c>
      <c r="CF48">
        <f t="shared" ca="1" si="39"/>
        <v>209.86768068413664</v>
      </c>
      <c r="CG48" s="6">
        <f t="shared" ca="1" si="40"/>
        <v>0.9526405382016977</v>
      </c>
      <c r="CH48" s="6">
        <f t="shared" ca="1" si="41"/>
        <v>-0.30409867637788168</v>
      </c>
      <c r="CI48" s="6">
        <f t="shared" ca="1" si="42"/>
        <v>-0.30899215429728988</v>
      </c>
      <c r="CJ48" s="1">
        <f t="shared" ca="1" si="43"/>
        <v>1.0943903176947383</v>
      </c>
      <c r="CK48" s="38"/>
      <c r="DO48" s="5"/>
    </row>
    <row r="49" spans="1:89" x14ac:dyDescent="0.25">
      <c r="A49" t="s">
        <v>43</v>
      </c>
      <c r="B49" s="6">
        <f>C37</f>
        <v>-11.480365006438387</v>
      </c>
      <c r="C49" s="6">
        <f>D37</f>
        <v>6.9427097965380158</v>
      </c>
      <c r="D49" s="6">
        <f t="shared" ref="D49:E56" si="56">C38</f>
        <v>-12.442386841093445</v>
      </c>
      <c r="E49" s="6">
        <f t="shared" si="56"/>
        <v>-5.0186661272278998</v>
      </c>
      <c r="F49" s="6">
        <f t="shared" ref="F49:F56" si="57">IF(B49=D49,"V",(C49-E49)/(B49-D49))</f>
        <v>12.433580499817637</v>
      </c>
      <c r="G49" s="6">
        <f t="shared" ref="G49:G56" si="58">IF(F49="V",0,(-1*B49*F49)+C49)</f>
        <v>149.68475227137912</v>
      </c>
      <c r="H49" s="6">
        <f t="shared" ref="H49:H56" si="59">IF(AND(C49&lt;$G$41,E49&lt;$G$41),0,IF(AND(C49&lt;$G$41,E49&gt;$G$41),IF(F49="V",B49,($G$41-G49)/F49),B49))</f>
        <v>-11.480365006438387</v>
      </c>
      <c r="I49" s="6">
        <f t="shared" ref="I49:I56" si="60">IF(AND(C49&lt;$G$41,E49&lt;$G$41),0,IF(AND(C49&lt;$G$41,E49&gt;$G$41),$G$41,C49))</f>
        <v>6.9427097965380158</v>
      </c>
      <c r="J49" s="6">
        <f t="shared" ref="J49:J56" si="61">IF(AND(C49&lt;$G$41,E49&lt;$G$41),0,IF(E49&gt;=$G$41,D49,IF(F49="V",D49,($G$41-G49)/F49)))</f>
        <v>-11.638903979879206</v>
      </c>
      <c r="K49" s="6">
        <f t="shared" ref="K49:K56" si="62">IF(AND(C49&lt;$G$41,E49&lt;$G$41),0,IF(E49&gt;=$G$41,E49,$G$41))</f>
        <v>4.9715027079031504</v>
      </c>
      <c r="L49" s="6">
        <f t="shared" ref="L49:L56" si="63">IF(AND(I49=0,K49=0,H49=0,J49=0),0,$B$31)</f>
        <v>4.25</v>
      </c>
      <c r="M49" s="6">
        <f t="shared" ref="M49:M56" si="64">IF(AND(I49=0,K49=0,H49=0,J49=0),0,$B$31)</f>
        <v>4.25</v>
      </c>
      <c r="N49" s="10">
        <f t="shared" ref="N49:N56" si="65">(1/6)*(K49-I49)*((L49*((2*H49)+J49))+(M49*(H49+(2*J49))))</f>
        <v>96.842342183506545</v>
      </c>
      <c r="O49" s="10">
        <f t="shared" ref="O49:O56" si="66">((1/12)*(K49-I49)*(L49*H49*((3*I49)+K49)+L49*J49*(I49+K49)+M49*H49*(I49+K49)+M49*J49*(I49+(3*K49))))</f>
        <v>576.68194547055634</v>
      </c>
      <c r="P49" s="10">
        <f t="shared" ref="P49:P56" si="67">((-1/24)*(K49-I49)*(H49*H49*((3*L49)+M49)+2*H49*J49*(L49+M49)+J49*J49*(L49+(3*M49))))</f>
        <v>559.73981323609485</v>
      </c>
      <c r="S49">
        <f t="shared" ref="S49:S56" si="68">IF(AND(I49=0,K49=0,H49=0,J49=0),NA(),H49)</f>
        <v>-11.480365006438387</v>
      </c>
      <c r="T49">
        <f t="shared" ref="T49:T56" si="69">IF(AND(I49=0,K49=0,H49=0,J49=0),NA(),I49)</f>
        <v>6.9427097965380158</v>
      </c>
      <c r="V49">
        <f t="shared" ref="V49:V56" si="70">IF(AND(I49=0,K49=0,H49=0,J49=0),NA(),J49)</f>
        <v>-11.638903979879206</v>
      </c>
      <c r="W49">
        <f t="shared" ref="W49:W56" si="71">IF(AND(I49=0,K49=0,H49=0,J49=0),NA(),K49)</f>
        <v>4.9715027079031504</v>
      </c>
      <c r="AC49">
        <v>0</v>
      </c>
      <c r="AD49">
        <f>-PI()</f>
        <v>-3.1415926535897931</v>
      </c>
      <c r="BC49">
        <v>0.82030474843733558</v>
      </c>
      <c r="BD49">
        <v>211.73212686336805</v>
      </c>
      <c r="BE49">
        <v>-1.639216946612126</v>
      </c>
      <c r="BF49" s="6">
        <f t="shared" si="48"/>
        <v>6.2754435240981534</v>
      </c>
      <c r="BG49" s="6">
        <f t="shared" si="49"/>
        <v>5.4551387756608181</v>
      </c>
      <c r="BH49" s="6">
        <f t="shared" si="2"/>
        <v>0.79313994647888131</v>
      </c>
      <c r="BI49" s="6">
        <f t="shared" si="3"/>
        <v>0.79313994647888131</v>
      </c>
      <c r="BJ49">
        <v>284.84462410280867</v>
      </c>
      <c r="BK49">
        <v>-2.205249349249641</v>
      </c>
      <c r="BV49" s="38"/>
      <c r="BW49" s="6">
        <f t="shared" si="22"/>
        <v>0.59341194567807243</v>
      </c>
      <c r="BX49" s="9">
        <f t="shared" ca="1" si="31"/>
        <v>-154.71849519222837</v>
      </c>
      <c r="BY49" s="9">
        <f t="shared" ca="1" si="32"/>
        <v>-17.893225717477151</v>
      </c>
      <c r="BZ49">
        <f t="shared" ca="1" si="33"/>
        <v>155.74973605474963</v>
      </c>
      <c r="CA49" s="6">
        <f t="shared" ca="1" si="34"/>
        <v>-0.99337885964597239</v>
      </c>
      <c r="CB49" s="6">
        <f t="shared" ca="1" si="35"/>
        <v>-0.11488446896107271</v>
      </c>
      <c r="CC49" s="6">
        <f t="shared" ca="1" si="36"/>
        <v>-3.0264539557893597</v>
      </c>
      <c r="CD49" s="6">
        <f t="shared" ca="1" si="37"/>
        <v>196.95278909262441</v>
      </c>
      <c r="CE49" s="9">
        <f t="shared" ca="1" si="38"/>
        <v>-62.851538915988201</v>
      </c>
      <c r="CF49">
        <f t="shared" ca="1" si="39"/>
        <v>206.73828159165822</v>
      </c>
      <c r="CG49" s="6">
        <f t="shared" ca="1" si="40"/>
        <v>0.95266724467429909</v>
      </c>
      <c r="CH49" s="6">
        <f t="shared" ca="1" si="41"/>
        <v>-0.30401500115073138</v>
      </c>
      <c r="CI49" s="6">
        <f t="shared" ca="1" si="42"/>
        <v>-0.30890432048078159</v>
      </c>
      <c r="CJ49" s="1">
        <f t="shared" ca="1" si="43"/>
        <v>1.0943024838782298</v>
      </c>
      <c r="CK49" s="38"/>
    </row>
    <row r="50" spans="1:89" x14ac:dyDescent="0.25">
      <c r="A50" t="s">
        <v>44</v>
      </c>
      <c r="B50" s="6">
        <f t="shared" ref="B50:C56" si="72">D49</f>
        <v>-12.442386841093445</v>
      </c>
      <c r="C50" s="6">
        <f t="shared" si="72"/>
        <v>-5.0186661272278998</v>
      </c>
      <c r="D50" s="6">
        <f t="shared" si="56"/>
        <v>3.5061143905944427</v>
      </c>
      <c r="E50" s="6">
        <f t="shared" si="56"/>
        <v>-6.3013619067679771</v>
      </c>
      <c r="F50" s="6">
        <f t="shared" si="57"/>
        <v>-8.0427355580692708E-2</v>
      </c>
      <c r="G50" s="6">
        <f t="shared" si="58"/>
        <v>-6.0193743979690542</v>
      </c>
      <c r="H50" s="6">
        <f t="shared" si="59"/>
        <v>0</v>
      </c>
      <c r="I50" s="6">
        <f t="shared" si="60"/>
        <v>0</v>
      </c>
      <c r="J50" s="6">
        <f t="shared" si="61"/>
        <v>0</v>
      </c>
      <c r="K50" s="6">
        <f t="shared" si="62"/>
        <v>0</v>
      </c>
      <c r="L50" s="6">
        <f t="shared" si="63"/>
        <v>0</v>
      </c>
      <c r="M50" s="6">
        <f t="shared" si="64"/>
        <v>0</v>
      </c>
      <c r="N50" s="10">
        <f t="shared" si="65"/>
        <v>0</v>
      </c>
      <c r="O50" s="10">
        <f t="shared" si="66"/>
        <v>0</v>
      </c>
      <c r="P50" s="10">
        <f t="shared" si="67"/>
        <v>0</v>
      </c>
      <c r="S50" t="e">
        <f t="shared" si="68"/>
        <v>#N/A</v>
      </c>
      <c r="T50" t="e">
        <f t="shared" si="69"/>
        <v>#N/A</v>
      </c>
      <c r="V50" t="e">
        <f t="shared" si="70"/>
        <v>#N/A</v>
      </c>
      <c r="W50" t="e">
        <f t="shared" si="71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209.25793684114475</v>
      </c>
      <c r="BE50">
        <v>-0.89705526670338465</v>
      </c>
      <c r="BF50" s="6">
        <f t="shared" si="48"/>
        <v>6.2788984935693355</v>
      </c>
      <c r="BG50" s="6">
        <f t="shared" si="49"/>
        <v>5.441140452612057</v>
      </c>
      <c r="BH50" s="6">
        <f t="shared" si="2"/>
        <v>0.78968497700769924</v>
      </c>
      <c r="BI50" s="6">
        <f t="shared" si="3"/>
        <v>0.78968497700769924</v>
      </c>
      <c r="BJ50">
        <v>283.83743696506565</v>
      </c>
      <c r="BK50">
        <v>-1.2167656412974754</v>
      </c>
      <c r="BV50" s="38"/>
      <c r="BW50" s="6">
        <f t="shared" si="22"/>
        <v>0.61086523819801575</v>
      </c>
      <c r="BX50" s="9">
        <f t="shared" ca="1" si="31"/>
        <v>-151.78855350920344</v>
      </c>
      <c r="BY50" s="9">
        <f t="shared" ca="1" si="32"/>
        <v>-18.846336509432113</v>
      </c>
      <c r="BZ50">
        <f t="shared" ca="1" si="33"/>
        <v>152.95407603670805</v>
      </c>
      <c r="CA50" s="6">
        <f t="shared" ca="1" si="34"/>
        <v>-0.99237991848465101</v>
      </c>
      <c r="CB50" s="6">
        <f t="shared" ca="1" si="35"/>
        <v>-0.12321565399086917</v>
      </c>
      <c r="CC50" s="6">
        <f t="shared" ca="1" si="36"/>
        <v>-3.0180630714177163</v>
      </c>
      <c r="CD50" s="6">
        <f t="shared" ca="1" si="37"/>
        <v>194.02284740959948</v>
      </c>
      <c r="CE50" s="9">
        <f t="shared" ca="1" si="38"/>
        <v>-61.898428124033238</v>
      </c>
      <c r="CF50">
        <f t="shared" ca="1" si="39"/>
        <v>203.65726287357106</v>
      </c>
      <c r="CG50" s="6">
        <f t="shared" ca="1" si="40"/>
        <v>0.95269299347329173</v>
      </c>
      <c r="CH50" s="6">
        <f t="shared" ca="1" si="41"/>
        <v>-0.3039343024189583</v>
      </c>
      <c r="CI50" s="6">
        <f t="shared" ca="1" si="42"/>
        <v>-0.30881961342107794</v>
      </c>
      <c r="CJ50" s="1">
        <f t="shared" ca="1" si="43"/>
        <v>1.0942177768185262</v>
      </c>
      <c r="CK50" s="38"/>
    </row>
    <row r="51" spans="1:89" x14ac:dyDescent="0.25">
      <c r="A51" t="s">
        <v>45</v>
      </c>
      <c r="B51" s="6">
        <f t="shared" si="72"/>
        <v>3.5061143905944427</v>
      </c>
      <c r="C51" s="6">
        <f t="shared" si="72"/>
        <v>-6.3013619067679771</v>
      </c>
      <c r="D51" s="6">
        <f t="shared" si="56"/>
        <v>3.5061143905944427</v>
      </c>
      <c r="E51" s="6">
        <f t="shared" si="56"/>
        <v>-6.3013619067679771</v>
      </c>
      <c r="F51" s="6" t="str">
        <f t="shared" si="57"/>
        <v>V</v>
      </c>
      <c r="G51" s="6">
        <f t="shared" si="58"/>
        <v>0</v>
      </c>
      <c r="H51" s="6">
        <f t="shared" si="59"/>
        <v>0</v>
      </c>
      <c r="I51" s="6">
        <f t="shared" si="60"/>
        <v>0</v>
      </c>
      <c r="J51" s="6">
        <f t="shared" si="61"/>
        <v>0</v>
      </c>
      <c r="K51" s="6">
        <f t="shared" si="62"/>
        <v>0</v>
      </c>
      <c r="L51" s="6">
        <f t="shared" si="63"/>
        <v>0</v>
      </c>
      <c r="M51" s="6">
        <f t="shared" si="64"/>
        <v>0</v>
      </c>
      <c r="N51" s="10">
        <f t="shared" si="65"/>
        <v>0</v>
      </c>
      <c r="O51" s="10">
        <f t="shared" si="66"/>
        <v>0</v>
      </c>
      <c r="P51" s="10">
        <f t="shared" si="67"/>
        <v>0</v>
      </c>
      <c r="S51" t="e">
        <f t="shared" si="68"/>
        <v>#N/A</v>
      </c>
      <c r="T51" t="e">
        <f t="shared" si="69"/>
        <v>#N/A</v>
      </c>
      <c r="V51" t="e">
        <f t="shared" si="70"/>
        <v>#N/A</v>
      </c>
      <c r="W51" t="e">
        <f t="shared" si="71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206.25110789920936</v>
      </c>
      <c r="BE51">
        <v>3.6777124900147446E-3</v>
      </c>
      <c r="BF51" s="6">
        <f t="shared" si="48"/>
        <v>1.7831237500174721E-5</v>
      </c>
      <c r="BG51" s="6">
        <f t="shared" si="49"/>
        <v>0.85519350223972201</v>
      </c>
      <c r="BH51" s="6">
        <f t="shared" si="2"/>
        <v>0.78538033215994807</v>
      </c>
      <c r="BI51" s="6">
        <f t="shared" si="3"/>
        <v>0.78538033215994807</v>
      </c>
      <c r="BJ51">
        <v>281.52059120905079</v>
      </c>
      <c r="BK51">
        <v>5.0198605235702107E-3</v>
      </c>
      <c r="BV51" s="38"/>
      <c r="BW51" s="6">
        <f t="shared" si="22"/>
        <v>0.62831853071795907</v>
      </c>
      <c r="BX51" s="9">
        <f t="shared" ca="1" si="31"/>
        <v>-148.90176108153076</v>
      </c>
      <c r="BY51" s="9">
        <f t="shared" ca="1" si="32"/>
        <v>-19.784105542743255</v>
      </c>
      <c r="BZ51">
        <f t="shared" ca="1" si="33"/>
        <v>150.21033681244336</v>
      </c>
      <c r="CA51" s="6">
        <f t="shared" ca="1" si="34"/>
        <v>-0.99128837762645783</v>
      </c>
      <c r="CB51" s="6">
        <f t="shared" ca="1" si="35"/>
        <v>-0.1317093481219353</v>
      </c>
      <c r="CC51" s="6">
        <f t="shared" ca="1" si="36"/>
        <v>-3.0094995003400893</v>
      </c>
      <c r="CD51" s="6">
        <f t="shared" ca="1" si="37"/>
        <v>191.1360549819268</v>
      </c>
      <c r="CE51" s="9">
        <f t="shared" ca="1" si="38"/>
        <v>-60.960659090722096</v>
      </c>
      <c r="CF51">
        <f t="shared" ca="1" si="39"/>
        <v>200.62201641601897</v>
      </c>
      <c r="CG51" s="6">
        <f t="shared" ca="1" si="40"/>
        <v>0.95271724607521824</v>
      </c>
      <c r="CH51" s="6">
        <f t="shared" ca="1" si="41"/>
        <v>-0.30385827128918541</v>
      </c>
      <c r="CI51" s="6">
        <f t="shared" ca="1" si="42"/>
        <v>-0.30873980789872429</v>
      </c>
      <c r="CJ51" s="1">
        <f t="shared" ca="1" si="43"/>
        <v>1.0941379712961725</v>
      </c>
      <c r="CK51" s="38"/>
    </row>
    <row r="52" spans="1:89" x14ac:dyDescent="0.25">
      <c r="A52" t="s">
        <v>46</v>
      </c>
      <c r="B52" s="6">
        <f t="shared" si="72"/>
        <v>3.5061143905944427</v>
      </c>
      <c r="C52" s="6">
        <f t="shared" si="72"/>
        <v>-6.3013619067679771</v>
      </c>
      <c r="D52" s="6">
        <f t="shared" si="56"/>
        <v>11.480365006438387</v>
      </c>
      <c r="E52" s="6">
        <f t="shared" si="56"/>
        <v>-6.9427097965380158</v>
      </c>
      <c r="F52" s="6">
        <f t="shared" si="57"/>
        <v>-8.0427355580692694E-2</v>
      </c>
      <c r="G52" s="6">
        <f t="shared" si="58"/>
        <v>-6.0193743979690542</v>
      </c>
      <c r="H52" s="6">
        <f t="shared" si="59"/>
        <v>0</v>
      </c>
      <c r="I52" s="6">
        <f t="shared" si="60"/>
        <v>0</v>
      </c>
      <c r="J52" s="6">
        <f t="shared" si="61"/>
        <v>0</v>
      </c>
      <c r="K52" s="6">
        <f t="shared" si="62"/>
        <v>0</v>
      </c>
      <c r="L52" s="6">
        <f t="shared" si="63"/>
        <v>0</v>
      </c>
      <c r="M52" s="6">
        <f t="shared" si="64"/>
        <v>0</v>
      </c>
      <c r="N52" s="10">
        <f t="shared" si="65"/>
        <v>0</v>
      </c>
      <c r="O52" s="10">
        <f t="shared" si="66"/>
        <v>0</v>
      </c>
      <c r="P52" s="10">
        <f t="shared" si="67"/>
        <v>0</v>
      </c>
      <c r="S52" t="e">
        <f t="shared" si="68"/>
        <v>#N/A</v>
      </c>
      <c r="T52" t="e">
        <f t="shared" si="69"/>
        <v>#N/A</v>
      </c>
      <c r="V52" t="e">
        <f t="shared" si="70"/>
        <v>#N/A</v>
      </c>
      <c r="W52" t="e">
        <f t="shared" si="71"/>
        <v>#N/A</v>
      </c>
      <c r="AC52">
        <f>0</f>
        <v>0</v>
      </c>
      <c r="AD52">
        <f>AD51</f>
        <v>3.1415926535897931</v>
      </c>
      <c r="BC52">
        <v>0.87266462599716554</v>
      </c>
      <c r="BD52">
        <v>203.17837561163131</v>
      </c>
      <c r="BE52">
        <v>0.90783104695919159</v>
      </c>
      <c r="BF52" s="6">
        <f t="shared" si="48"/>
        <v>4.4681182378829253E-3</v>
      </c>
      <c r="BG52" s="6">
        <f t="shared" si="49"/>
        <v>0.86819650775928259</v>
      </c>
      <c r="BH52" s="6">
        <f t="shared" si="2"/>
        <v>0.78093004515956532</v>
      </c>
      <c r="BI52" s="6">
        <f t="shared" si="3"/>
        <v>0.78093004515956532</v>
      </c>
      <c r="BJ52">
        <v>278.94188873489429</v>
      </c>
      <c r="BK52">
        <v>1.2463536344783961</v>
      </c>
      <c r="BV52" s="38"/>
      <c r="BW52" s="6">
        <f t="shared" si="22"/>
        <v>0.64577182323790239</v>
      </c>
      <c r="BX52" s="9">
        <f t="shared" ca="1" si="31"/>
        <v>-146.05574347740355</v>
      </c>
      <c r="BY52" s="9">
        <f t="shared" ca="1" si="32"/>
        <v>-20.706929521683321</v>
      </c>
      <c r="BZ52">
        <f t="shared" ca="1" si="33"/>
        <v>147.51629446591002</v>
      </c>
      <c r="CA52" s="6">
        <f t="shared" ca="1" si="34"/>
        <v>-0.99009905316701141</v>
      </c>
      <c r="CB52" s="6">
        <f t="shared" ca="1" si="35"/>
        <v>-0.14037045600049658</v>
      </c>
      <c r="CC52" s="6">
        <f t="shared" ca="1" si="36"/>
        <v>-3.0007570882504457</v>
      </c>
      <c r="CD52" s="6">
        <f t="shared" ca="1" si="37"/>
        <v>188.29003737779959</v>
      </c>
      <c r="CE52" s="9">
        <f t="shared" ca="1" si="38"/>
        <v>-60.03783511178203</v>
      </c>
      <c r="CF52">
        <f t="shared" ca="1" si="39"/>
        <v>197.63015918792024</v>
      </c>
      <c r="CG52" s="6">
        <f t="shared" ca="1" si="40"/>
        <v>0.95273939034153476</v>
      </c>
      <c r="CH52" s="6">
        <f t="shared" ca="1" si="41"/>
        <v>-0.30378883141359997</v>
      </c>
      <c r="CI52" s="6">
        <f t="shared" ca="1" si="42"/>
        <v>-0.30866692261314232</v>
      </c>
      <c r="CJ52" s="1">
        <f t="shared" ca="1" si="43"/>
        <v>1.0940650860105907</v>
      </c>
      <c r="CK52" s="38"/>
    </row>
    <row r="53" spans="1:89" x14ac:dyDescent="0.25">
      <c r="A53" t="s">
        <v>47</v>
      </c>
      <c r="B53" s="6">
        <f t="shared" si="72"/>
        <v>11.480365006438387</v>
      </c>
      <c r="C53" s="6">
        <f t="shared" si="72"/>
        <v>-6.9427097965380158</v>
      </c>
      <c r="D53" s="6">
        <f t="shared" si="56"/>
        <v>12.442386841093445</v>
      </c>
      <c r="E53" s="6">
        <f t="shared" si="56"/>
        <v>5.0186661272278998</v>
      </c>
      <c r="F53" s="6">
        <f t="shared" si="57"/>
        <v>12.433580499817637</v>
      </c>
      <c r="G53" s="6">
        <f t="shared" si="58"/>
        <v>-149.68475227137912</v>
      </c>
      <c r="H53" s="6">
        <f t="shared" si="59"/>
        <v>12.43859361199701</v>
      </c>
      <c r="I53" s="6">
        <f t="shared" si="60"/>
        <v>4.9715027079031504</v>
      </c>
      <c r="J53" s="6">
        <f t="shared" si="61"/>
        <v>12.442386841093445</v>
      </c>
      <c r="K53" s="6">
        <f t="shared" si="62"/>
        <v>5.0186661272278998</v>
      </c>
      <c r="L53" s="6">
        <f t="shared" si="63"/>
        <v>4.25</v>
      </c>
      <c r="M53" s="6">
        <f t="shared" si="64"/>
        <v>4.25</v>
      </c>
      <c r="N53" s="10">
        <f t="shared" si="65"/>
        <v>2.4936282429299981</v>
      </c>
      <c r="O53" s="10">
        <f t="shared" si="66"/>
        <v>12.455886567782471</v>
      </c>
      <c r="P53" s="10">
        <f t="shared" si="67"/>
        <v>-15.510979012575294</v>
      </c>
      <c r="S53">
        <f t="shared" si="68"/>
        <v>12.43859361199701</v>
      </c>
      <c r="T53">
        <f t="shared" si="69"/>
        <v>4.9715027079031504</v>
      </c>
      <c r="V53">
        <f t="shared" si="70"/>
        <v>12.442386841093445</v>
      </c>
      <c r="W53">
        <f t="shared" si="71"/>
        <v>5.0186661272278998</v>
      </c>
      <c r="AC53">
        <f>AC49</f>
        <v>0</v>
      </c>
      <c r="AD53">
        <f>AD49</f>
        <v>-3.1415926535897931</v>
      </c>
      <c r="BC53">
        <v>0.89011791851710886</v>
      </c>
      <c r="BD53">
        <v>200.15712693563364</v>
      </c>
      <c r="BE53">
        <v>1.7784272838118187</v>
      </c>
      <c r="BF53" s="6">
        <f t="shared" si="48"/>
        <v>8.8849221276842399E-3</v>
      </c>
      <c r="BG53" s="6">
        <f t="shared" si="49"/>
        <v>0.88123299638942465</v>
      </c>
      <c r="BH53" s="6">
        <f t="shared" si="2"/>
        <v>0.77651324126976407</v>
      </c>
      <c r="BI53" s="6">
        <f t="shared" si="3"/>
        <v>0.77651324126976407</v>
      </c>
      <c r="BJ53">
        <v>276.37268810162828</v>
      </c>
      <c r="BK53">
        <v>2.4556144292499198</v>
      </c>
      <c r="BV53" s="38"/>
      <c r="BW53" s="6">
        <f t="shared" si="22"/>
        <v>0.66322511575784571</v>
      </c>
      <c r="BX53" s="9">
        <f t="shared" ca="1" si="31"/>
        <v>-143.24834026868302</v>
      </c>
      <c r="BY53" s="9">
        <f t="shared" ca="1" si="32"/>
        <v>-21.615101026941613</v>
      </c>
      <c r="BZ53">
        <f t="shared" ca="1" si="33"/>
        <v>144.86994022963248</v>
      </c>
      <c r="CA53" s="6">
        <f t="shared" ca="1" si="34"/>
        <v>-0.98880651183828017</v>
      </c>
      <c r="CB53" s="6">
        <f t="shared" ca="1" si="35"/>
        <v>-0.14920349240622069</v>
      </c>
      <c r="CC53" s="6">
        <f t="shared" ca="1" si="36"/>
        <v>-2.9918299540805458</v>
      </c>
      <c r="CD53" s="6">
        <f t="shared" ca="1" si="37"/>
        <v>185.48263416907906</v>
      </c>
      <c r="CE53" s="9">
        <f t="shared" ca="1" si="38"/>
        <v>-59.129663606523735</v>
      </c>
      <c r="CF53">
        <f t="shared" ca="1" si="39"/>
        <v>194.67954360055674</v>
      </c>
      <c r="CG53" s="6">
        <f t="shared" ca="1" si="40"/>
        <v>0.95275872718117782</v>
      </c>
      <c r="CH53" s="6">
        <f t="shared" ca="1" si="41"/>
        <v>-0.30372818074736146</v>
      </c>
      <c r="CI53" s="6">
        <f t="shared" ca="1" si="42"/>
        <v>-0.30860326401840504</v>
      </c>
      <c r="CJ53" s="1">
        <f t="shared" ca="1" si="43"/>
        <v>1.0940014274158534</v>
      </c>
      <c r="CK53" s="38"/>
    </row>
    <row r="54" spans="1:89" x14ac:dyDescent="0.25">
      <c r="A54" t="s">
        <v>48</v>
      </c>
      <c r="B54" s="6">
        <f t="shared" si="72"/>
        <v>12.442386841093445</v>
      </c>
      <c r="C54" s="6">
        <f t="shared" si="72"/>
        <v>5.0186661272278998</v>
      </c>
      <c r="D54" s="6">
        <f t="shared" si="56"/>
        <v>4.4681362252495012</v>
      </c>
      <c r="E54" s="6">
        <f t="shared" si="56"/>
        <v>5.6600140169979385</v>
      </c>
      <c r="F54" s="6">
        <f t="shared" si="57"/>
        <v>-8.0427355580692708E-2</v>
      </c>
      <c r="G54" s="6">
        <f t="shared" si="58"/>
        <v>6.0193743979690542</v>
      </c>
      <c r="H54" s="6">
        <f t="shared" si="59"/>
        <v>12.442386841093445</v>
      </c>
      <c r="I54" s="6">
        <f t="shared" si="60"/>
        <v>5.0186661272278998</v>
      </c>
      <c r="J54" s="6">
        <f t="shared" si="61"/>
        <v>4.4681362252495012</v>
      </c>
      <c r="K54" s="6">
        <f t="shared" si="62"/>
        <v>5.6600140169979385</v>
      </c>
      <c r="L54" s="6">
        <f t="shared" si="63"/>
        <v>4.25</v>
      </c>
      <c r="M54" s="6">
        <f t="shared" si="64"/>
        <v>4.25</v>
      </c>
      <c r="N54" s="10">
        <f t="shared" si="65"/>
        <v>23.04674760245155</v>
      </c>
      <c r="O54" s="10">
        <f t="shared" si="66"/>
        <v>121.89274730567688</v>
      </c>
      <c r="P54" s="10">
        <f t="shared" si="67"/>
        <v>-104.65503339895875</v>
      </c>
      <c r="S54">
        <f t="shared" si="68"/>
        <v>12.442386841093445</v>
      </c>
      <c r="T54">
        <f t="shared" si="69"/>
        <v>5.0186661272278998</v>
      </c>
      <c r="V54">
        <f t="shared" si="70"/>
        <v>4.4681362252495012</v>
      </c>
      <c r="W54">
        <f t="shared" si="71"/>
        <v>5.6600140169979385</v>
      </c>
      <c r="BC54">
        <v>0.90757121103705218</v>
      </c>
      <c r="BD54">
        <v>197.18320176117655</v>
      </c>
      <c r="BE54">
        <v>2.6176878842456337</v>
      </c>
      <c r="BF54" s="6">
        <f t="shared" si="48"/>
        <v>1.3274630393097495E-2</v>
      </c>
      <c r="BG54" s="6">
        <f t="shared" si="49"/>
        <v>0.89429658064395467</v>
      </c>
      <c r="BH54" s="6">
        <f t="shared" si="2"/>
        <v>0.77212353300435077</v>
      </c>
      <c r="BI54" s="6">
        <f t="shared" si="3"/>
        <v>0.77212353300435077</v>
      </c>
      <c r="BJ54">
        <v>273.8095773364671</v>
      </c>
      <c r="BK54">
        <v>3.6349344507155097</v>
      </c>
      <c r="BV54" s="38"/>
      <c r="BW54" s="6">
        <f t="shared" si="22"/>
        <v>0.68067840827778903</v>
      </c>
      <c r="BX54" s="9">
        <f t="shared" ca="1" si="31"/>
        <v>-140.47761771977878</v>
      </c>
      <c r="BY54" s="9">
        <f t="shared" ca="1" si="32"/>
        <v>-22.508797769667105</v>
      </c>
      <c r="BZ54">
        <f t="shared" ca="1" si="33"/>
        <v>142.269487442881</v>
      </c>
      <c r="CA54" s="6">
        <f t="shared" ca="1" si="34"/>
        <v>-0.98740510171710827</v>
      </c>
      <c r="CB54" s="6">
        <f t="shared" ca="1" si="35"/>
        <v>-0.15821240502257408</v>
      </c>
      <c r="CC54" s="6">
        <f t="shared" ca="1" si="36"/>
        <v>-2.9827126610245189</v>
      </c>
      <c r="CD54" s="6">
        <f t="shared" ca="1" si="37"/>
        <v>182.71191162017482</v>
      </c>
      <c r="CE54" s="9">
        <f t="shared" ca="1" si="38"/>
        <v>-58.235966863798247</v>
      </c>
      <c r="CF54">
        <f t="shared" ca="1" si="39"/>
        <v>191.7682728828207</v>
      </c>
      <c r="CG54" s="6">
        <f t="shared" ca="1" si="40"/>
        <v>0.9527744546764535</v>
      </c>
      <c r="CH54" s="6">
        <f t="shared" ca="1" si="41"/>
        <v>-0.30367884107389925</v>
      </c>
      <c r="CI54" s="6">
        <f t="shared" ca="1" si="42"/>
        <v>-0.30855147833036667</v>
      </c>
      <c r="CJ54" s="1">
        <f t="shared" ca="1" si="43"/>
        <v>1.0939496417278149</v>
      </c>
      <c r="CK54" s="38"/>
    </row>
    <row r="55" spans="1:89" x14ac:dyDescent="0.25">
      <c r="A55" t="s">
        <v>93</v>
      </c>
      <c r="B55" s="6">
        <f t="shared" si="72"/>
        <v>4.4681362252495012</v>
      </c>
      <c r="C55" s="6">
        <f t="shared" si="72"/>
        <v>5.6600140169979385</v>
      </c>
      <c r="D55" s="6">
        <f t="shared" si="56"/>
        <v>4.4681362252495012</v>
      </c>
      <c r="E55" s="6">
        <f t="shared" si="56"/>
        <v>5.6600140169979385</v>
      </c>
      <c r="F55" s="6" t="str">
        <f t="shared" si="57"/>
        <v>V</v>
      </c>
      <c r="G55" s="6">
        <f t="shared" si="58"/>
        <v>0</v>
      </c>
      <c r="H55" s="6">
        <f t="shared" si="59"/>
        <v>4.4681362252495012</v>
      </c>
      <c r="I55" s="6">
        <f t="shared" si="60"/>
        <v>5.6600140169979385</v>
      </c>
      <c r="J55" s="6">
        <f t="shared" si="61"/>
        <v>4.4681362252495012</v>
      </c>
      <c r="K55" s="6">
        <f t="shared" si="62"/>
        <v>5.6600140169979385</v>
      </c>
      <c r="L55" s="6">
        <f t="shared" si="63"/>
        <v>4.25</v>
      </c>
      <c r="M55" s="6">
        <f t="shared" si="64"/>
        <v>4.25</v>
      </c>
      <c r="N55" s="10">
        <f t="shared" si="65"/>
        <v>0</v>
      </c>
      <c r="O55" s="10">
        <f t="shared" si="66"/>
        <v>0</v>
      </c>
      <c r="P55" s="10">
        <f t="shared" si="67"/>
        <v>0</v>
      </c>
      <c r="S55">
        <f t="shared" si="68"/>
        <v>4.4681362252495012</v>
      </c>
      <c r="T55">
        <f t="shared" si="69"/>
        <v>5.6600140169979385</v>
      </c>
      <c r="V55">
        <f t="shared" si="70"/>
        <v>4.4681362252495012</v>
      </c>
      <c r="W55">
        <f t="shared" si="71"/>
        <v>5.6600140169979385</v>
      </c>
      <c r="BC55">
        <v>0.9250245035569955</v>
      </c>
      <c r="BD55">
        <v>194.25263622167202</v>
      </c>
      <c r="BE55">
        <v>3.4276680553490655</v>
      </c>
      <c r="BF55" s="6">
        <f t="shared" si="48"/>
        <v>1.7643582303522143E-2</v>
      </c>
      <c r="BG55" s="6">
        <f t="shared" si="49"/>
        <v>0.90738092125347336</v>
      </c>
      <c r="BH55" s="6">
        <f t="shared" si="2"/>
        <v>0.76775458109392603</v>
      </c>
      <c r="BI55" s="6">
        <f t="shared" si="3"/>
        <v>0.76775458109392603</v>
      </c>
      <c r="BJ55">
        <v>271.24913117679876</v>
      </c>
      <c r="BK55">
        <v>4.7863030333081911</v>
      </c>
      <c r="BV55" s="38"/>
      <c r="BW55" s="6">
        <f t="shared" si="22"/>
        <v>0.69813170079773235</v>
      </c>
      <c r="BX55" s="9">
        <f t="shared" ca="1" si="31"/>
        <v>-137.74188704684133</v>
      </c>
      <c r="BY55" s="9">
        <f t="shared" ca="1" si="32"/>
        <v>-23.388068915160659</v>
      </c>
      <c r="BZ55">
        <f t="shared" ca="1" si="33"/>
        <v>139.71338237550867</v>
      </c>
      <c r="CA55" s="6">
        <f t="shared" ca="1" si="34"/>
        <v>-0.98588900150331671</v>
      </c>
      <c r="CB55" s="6">
        <f t="shared" ca="1" si="35"/>
        <v>-0.16740034861013081</v>
      </c>
      <c r="CC55" s="6">
        <f t="shared" ca="1" si="36"/>
        <v>-2.97340043820261</v>
      </c>
      <c r="CD55" s="6">
        <f t="shared" ca="1" si="37"/>
        <v>179.97618094723737</v>
      </c>
      <c r="CE55" s="9">
        <f t="shared" ca="1" si="38"/>
        <v>-57.356695718304692</v>
      </c>
      <c r="CF55">
        <f t="shared" ca="1" si="39"/>
        <v>188.8947226686731</v>
      </c>
      <c r="CG55" s="6">
        <f t="shared" ca="1" si="40"/>
        <v>0.95278564908835961</v>
      </c>
      <c r="CH55" s="6">
        <f t="shared" ca="1" si="41"/>
        <v>-0.30364371702914128</v>
      </c>
      <c r="CI55" s="6">
        <f t="shared" ca="1" si="42"/>
        <v>-0.30851461353173393</v>
      </c>
      <c r="CJ55" s="1">
        <f t="shared" ca="1" si="43"/>
        <v>1.0939127769291823</v>
      </c>
      <c r="CK55" s="38"/>
    </row>
    <row r="56" spans="1:89" ht="15.75" thickBot="1" x14ac:dyDescent="0.3">
      <c r="A56" t="s">
        <v>94</v>
      </c>
      <c r="B56" s="6">
        <f t="shared" si="72"/>
        <v>4.4681362252495012</v>
      </c>
      <c r="C56" s="6">
        <f t="shared" si="72"/>
        <v>5.6600140169979385</v>
      </c>
      <c r="D56" s="6">
        <f t="shared" si="56"/>
        <v>-11.480365006438387</v>
      </c>
      <c r="E56" s="6">
        <f t="shared" si="56"/>
        <v>6.9427097965380158</v>
      </c>
      <c r="F56" s="6">
        <f t="shared" si="57"/>
        <v>-8.0427355580692694E-2</v>
      </c>
      <c r="G56" s="6">
        <f t="shared" si="58"/>
        <v>6.0193743979690542</v>
      </c>
      <c r="H56" s="6">
        <f t="shared" si="59"/>
        <v>4.4681362252495012</v>
      </c>
      <c r="I56" s="6">
        <f t="shared" si="60"/>
        <v>5.6600140169979385</v>
      </c>
      <c r="J56" s="6">
        <f t="shared" si="61"/>
        <v>-11.480365006438387</v>
      </c>
      <c r="K56" s="6">
        <f t="shared" si="62"/>
        <v>6.9427097965380158</v>
      </c>
      <c r="L56" s="6">
        <f t="shared" si="63"/>
        <v>4.25</v>
      </c>
      <c r="M56" s="6">
        <f t="shared" si="64"/>
        <v>4.25</v>
      </c>
      <c r="N56" s="11">
        <f t="shared" si="65"/>
        <v>-19.11343205845094</v>
      </c>
      <c r="O56" s="11">
        <f t="shared" si="66"/>
        <v>-129.73405828044071</v>
      </c>
      <c r="P56" s="11">
        <f t="shared" si="67"/>
        <v>-91.282092917680046</v>
      </c>
      <c r="S56">
        <f t="shared" si="68"/>
        <v>4.4681362252495012</v>
      </c>
      <c r="T56">
        <f t="shared" si="69"/>
        <v>5.6600140169979385</v>
      </c>
      <c r="V56">
        <f t="shared" si="70"/>
        <v>-11.480365006438387</v>
      </c>
      <c r="W56">
        <f t="shared" si="71"/>
        <v>6.9427097965380158</v>
      </c>
      <c r="BC56">
        <v>0.94247779607693882</v>
      </c>
      <c r="BD56">
        <v>191.36163706388638</v>
      </c>
      <c r="BE56">
        <v>4.210274756792181</v>
      </c>
      <c r="BF56" s="6">
        <f t="shared" si="48"/>
        <v>2.1998116540543115E-2</v>
      </c>
      <c r="BG56" s="6">
        <f t="shared" si="49"/>
        <v>0.92047967953639576</v>
      </c>
      <c r="BH56" s="6">
        <f t="shared" si="2"/>
        <v>0.76340004685690521</v>
      </c>
      <c r="BI56" s="6">
        <f t="shared" si="3"/>
        <v>0.76340004685690521</v>
      </c>
      <c r="BJ56">
        <v>268.68788639563019</v>
      </c>
      <c r="BK56">
        <v>5.911581040507599</v>
      </c>
      <c r="BV56" s="38"/>
      <c r="BW56" s="6">
        <f t="shared" si="22"/>
        <v>0.71558499331767567</v>
      </c>
      <c r="BX56" s="9">
        <f t="shared" ca="1" si="31"/>
        <v>-135.03972964720231</v>
      </c>
      <c r="BY56" s="9">
        <f t="shared" ca="1" si="32"/>
        <v>-24.252817745086954</v>
      </c>
      <c r="BZ56">
        <f t="shared" ca="1" si="33"/>
        <v>137.20031979469252</v>
      </c>
      <c r="CA56" s="6">
        <f t="shared" ca="1" si="34"/>
        <v>-0.98425229510599299</v>
      </c>
      <c r="CB56" s="6">
        <f t="shared" ca="1" si="35"/>
        <v>-0.17676939661204166</v>
      </c>
      <c r="CC56" s="6">
        <f t="shared" ca="1" si="36"/>
        <v>-2.9638894682107075</v>
      </c>
      <c r="CD56" s="6">
        <f t="shared" ca="1" si="37"/>
        <v>177.27402354759835</v>
      </c>
      <c r="CE56" s="9">
        <f t="shared" ca="1" si="38"/>
        <v>-56.491946888378394</v>
      </c>
      <c r="CF56">
        <f t="shared" ca="1" si="39"/>
        <v>186.05757035926763</v>
      </c>
      <c r="CG56" s="6">
        <f t="shared" ca="1" si="40"/>
        <v>0.9527912420080048</v>
      </c>
      <c r="CH56" s="6">
        <f t="shared" ca="1" si="41"/>
        <v>-0.30362616677889182</v>
      </c>
      <c r="CI56" s="6">
        <f t="shared" ca="1" si="42"/>
        <v>-0.30849619365024716</v>
      </c>
      <c r="CJ56" s="1">
        <f t="shared" ca="1" si="43"/>
        <v>1.0938943570476956</v>
      </c>
      <c r="CK56" s="38"/>
    </row>
    <row r="57" spans="1:89" ht="15.75" thickTop="1" x14ac:dyDescent="0.25">
      <c r="N57" s="6">
        <f>SUM(N49:N56)</f>
        <v>103.26928597043715</v>
      </c>
      <c r="O57" s="6">
        <f>SUM(O49:O56)</f>
        <v>581.29652106357503</v>
      </c>
      <c r="P57" s="6">
        <f>SUM(P49:P56)</f>
        <v>348.29170790688079</v>
      </c>
      <c r="BC57">
        <v>0.95993108859688214</v>
      </c>
      <c r="BD57">
        <v>188.50655746186439</v>
      </c>
      <c r="BE57">
        <v>4.9672829655103996</v>
      </c>
      <c r="BF57" s="6">
        <f t="shared" si="48"/>
        <v>2.634462066698591E-2</v>
      </c>
      <c r="BG57" s="6">
        <f t="shared" si="49"/>
        <v>0.93358646792989619</v>
      </c>
      <c r="BH57" s="6">
        <f t="shared" si="2"/>
        <v>0.75905354273046233</v>
      </c>
      <c r="BI57" s="6">
        <f t="shared" si="3"/>
        <v>0.75905354273046233</v>
      </c>
      <c r="BJ57">
        <v>266.12231578937764</v>
      </c>
      <c r="BK57">
        <v>7.0125138550163229</v>
      </c>
      <c r="BV57" s="38"/>
      <c r="BW57" s="6">
        <f t="shared" si="22"/>
        <v>0.73303828583761899</v>
      </c>
      <c r="BX57" s="9">
        <f t="shared" ca="1" si="31"/>
        <v>-132.37003114563947</v>
      </c>
      <c r="BY57" s="9">
        <f t="shared" ca="1" si="32"/>
        <v>-25.102779702822026</v>
      </c>
      <c r="BZ57">
        <f t="shared" ca="1" si="33"/>
        <v>134.72926443169644</v>
      </c>
      <c r="CA57" s="6">
        <f t="shared" ca="1" si="34"/>
        <v>-0.98248908063137963</v>
      </c>
      <c r="CB57" s="6">
        <f t="shared" ca="1" si="35"/>
        <v>-0.18632017185507874</v>
      </c>
      <c r="CC57" s="6">
        <f t="shared" ca="1" si="36"/>
        <v>-2.9541772607124606</v>
      </c>
      <c r="CD57" s="6">
        <f t="shared" ca="1" si="37"/>
        <v>174.60432504603551</v>
      </c>
      <c r="CE57" s="9">
        <f t="shared" ca="1" si="38"/>
        <v>-55.641984930643325</v>
      </c>
      <c r="CF57">
        <f t="shared" ca="1" si="39"/>
        <v>183.25583431859289</v>
      </c>
      <c r="CG57" s="6">
        <f t="shared" ca="1" si="40"/>
        <v>0.95278999271850406</v>
      </c>
      <c r="CH57" s="6">
        <f t="shared" ca="1" si="41"/>
        <v>-0.30363008707220168</v>
      </c>
      <c r="CI57" s="6">
        <f t="shared" ca="1" si="42"/>
        <v>-0.30850030818836122</v>
      </c>
      <c r="CJ57" s="1">
        <f t="shared" ca="1" si="43"/>
        <v>1.0938984715858096</v>
      </c>
      <c r="CK57" s="38"/>
    </row>
    <row r="58" spans="1:89" x14ac:dyDescent="0.25">
      <c r="O58" s="6">
        <f>O57/N57</f>
        <v>5.6289390945337079</v>
      </c>
      <c r="P58" s="6">
        <f>-1*P57/N57</f>
        <v>-3.3726553314853565</v>
      </c>
      <c r="S58">
        <f>(P58*COS(-1*$B$27))+(O58*SIN(-1*$B$27))+$I$2</f>
        <v>0.65955929232954169</v>
      </c>
      <c r="T58">
        <f>(-1*P58*SIN(-1*$B$27))+(O58*COS(-1*$B$27))+$I$3</f>
        <v>8.1869366169937834</v>
      </c>
      <c r="BC58">
        <v>0.97738438111682546</v>
      </c>
      <c r="BD58">
        <v>185.54770840975479</v>
      </c>
      <c r="BE58">
        <v>5.7286209807341821</v>
      </c>
      <c r="BF58" s="6">
        <f t="shared" si="48"/>
        <v>3.0864309106911143E-2</v>
      </c>
      <c r="BG58" s="6">
        <f t="shared" si="49"/>
        <v>0.94652007200991428</v>
      </c>
      <c r="BH58" s="6">
        <f t="shared" si="2"/>
        <v>0.7545338542905371</v>
      </c>
      <c r="BI58" s="6">
        <f t="shared" si="3"/>
        <v>0.7545338542905371</v>
      </c>
      <c r="BJ58">
        <v>263.25722195852649</v>
      </c>
      <c r="BK58">
        <v>8.1278333101856024</v>
      </c>
      <c r="BV58" s="38"/>
      <c r="BW58" s="6">
        <f t="shared" si="22"/>
        <v>0.75049157835756231</v>
      </c>
      <c r="BX58" s="9">
        <f t="shared" ca="1" si="31"/>
        <v>-129.7320267245899</v>
      </c>
      <c r="BY58" s="9">
        <f t="shared" ca="1" si="32"/>
        <v>-25.937494564907659</v>
      </c>
      <c r="BZ58">
        <f t="shared" ca="1" si="33"/>
        <v>132.29947990213086</v>
      </c>
      <c r="CA58" s="6">
        <f t="shared" ca="1" si="34"/>
        <v>-0.98059362607139322</v>
      </c>
      <c r="CB58" s="6">
        <f t="shared" ca="1" si="35"/>
        <v>-0.19605137211495494</v>
      </c>
      <c r="CC58" s="6">
        <f t="shared" ca="1" si="36"/>
        <v>-2.9442631388876053</v>
      </c>
      <c r="CD58" s="6">
        <f t="shared" ca="1" si="37"/>
        <v>171.96632062498594</v>
      </c>
      <c r="CE58" s="9">
        <f t="shared" ca="1" si="38"/>
        <v>-54.807270068557692</v>
      </c>
      <c r="CF58">
        <f t="shared" ca="1" si="39"/>
        <v>180.48892564826045</v>
      </c>
      <c r="CG58" s="6">
        <f t="shared" ca="1" si="40"/>
        <v>0.95278045457545968</v>
      </c>
      <c r="CH58" s="6">
        <f t="shared" ca="1" si="41"/>
        <v>-0.30366001610185728</v>
      </c>
      <c r="CI58" s="6">
        <f t="shared" ca="1" si="42"/>
        <v>-0.30853172033551707</v>
      </c>
      <c r="CJ58" s="1">
        <f t="shared" ca="1" si="43"/>
        <v>1.0939298837329654</v>
      </c>
      <c r="CK58" s="38"/>
    </row>
    <row r="59" spans="1:89" x14ac:dyDescent="0.25">
      <c r="A59" t="s">
        <v>54</v>
      </c>
      <c r="O59">
        <f>O57/12</f>
        <v>48.441376755297917</v>
      </c>
      <c r="P59">
        <f>P57/12</f>
        <v>29.024308992240066</v>
      </c>
      <c r="BC59">
        <v>0.99483767363676878</v>
      </c>
      <c r="BD59">
        <v>182.22147566634828</v>
      </c>
      <c r="BE59">
        <v>6.5462260002557713</v>
      </c>
      <c r="BF59" s="6">
        <f t="shared" si="48"/>
        <v>3.5909115682146796E-2</v>
      </c>
      <c r="BG59" s="6">
        <f t="shared" si="49"/>
        <v>0.95892855795462195</v>
      </c>
      <c r="BH59" s="6">
        <f t="shared" si="2"/>
        <v>0.74948904771530145</v>
      </c>
      <c r="BI59" s="6">
        <f t="shared" si="3"/>
        <v>0.74948904771530145</v>
      </c>
      <c r="BJ59">
        <v>259.52544772174792</v>
      </c>
      <c r="BK59">
        <v>9.3233370402228193</v>
      </c>
      <c r="BV59" s="38"/>
      <c r="BW59" s="6">
        <f t="shared" si="22"/>
        <v>0.76794487087750563</v>
      </c>
      <c r="BX59" s="9">
        <f t="shared" ca="1" si="31"/>
        <v>-127.12536106081016</v>
      </c>
      <c r="BY59" s="9">
        <f t="shared" ca="1" si="32"/>
        <v>-26.756271057936797</v>
      </c>
      <c r="BZ59">
        <f t="shared" ca="1" si="33"/>
        <v>129.9105671828398</v>
      </c>
      <c r="CA59" s="6">
        <f t="shared" ca="1" si="34"/>
        <v>-0.97856058839224636</v>
      </c>
      <c r="CB59" s="6">
        <f t="shared" ca="1" si="35"/>
        <v>-0.20595915819749494</v>
      </c>
      <c r="CC59" s="6">
        <f t="shared" ca="1" si="36"/>
        <v>-2.9341488747355071</v>
      </c>
      <c r="CD59" s="6">
        <f t="shared" ca="1" si="37"/>
        <v>169.35965496120622</v>
      </c>
      <c r="CE59" s="9">
        <f t="shared" ca="1" si="38"/>
        <v>-53.988493575528551</v>
      </c>
      <c r="CF59">
        <f t="shared" ca="1" si="39"/>
        <v>177.75671623635972</v>
      </c>
      <c r="CG59" s="6">
        <f t="shared" ca="1" si="40"/>
        <v>0.95276093385980365</v>
      </c>
      <c r="CH59" s="6">
        <f t="shared" ca="1" si="41"/>
        <v>-0.30372125857535015</v>
      </c>
      <c r="CI59" s="6">
        <f t="shared" ca="1" si="42"/>
        <v>-0.30859599862812565</v>
      </c>
      <c r="CJ59" s="1">
        <f t="shared" ca="1" si="43"/>
        <v>1.093994162025574</v>
      </c>
      <c r="CK59" s="38"/>
    </row>
    <row r="60" spans="1:89" x14ac:dyDescent="0.25">
      <c r="BC60">
        <v>1.0122909661567121</v>
      </c>
      <c r="BD60">
        <v>178.93400294366535</v>
      </c>
      <c r="BE60">
        <v>7.3345876391175224</v>
      </c>
      <c r="BF60" s="6">
        <f t="shared" si="48"/>
        <v>4.0967528544890067E-2</v>
      </c>
      <c r="BG60" s="6">
        <f t="shared" si="49"/>
        <v>0.97132343761182205</v>
      </c>
      <c r="BH60" s="6">
        <f t="shared" si="2"/>
        <v>0.74443063485255823</v>
      </c>
      <c r="BI60" s="6">
        <f t="shared" si="3"/>
        <v>0.74443063485255823</v>
      </c>
      <c r="BJ60">
        <v>255.79648952537343</v>
      </c>
      <c r="BK60">
        <v>10.485216556593437</v>
      </c>
      <c r="BV60" s="38"/>
      <c r="BW60" s="6">
        <f t="shared" si="22"/>
        <v>0.78539816339744895</v>
      </c>
      <c r="BX60" s="9">
        <f t="shared" ca="1" si="31"/>
        <v>-124.55016740273122</v>
      </c>
      <c r="BY60" s="9">
        <f t="shared" ca="1" si="32"/>
        <v>-27.558141653193722</v>
      </c>
      <c r="BZ60">
        <f t="shared" ca="1" si="33"/>
        <v>127.56251554208964</v>
      </c>
      <c r="CA60" s="6">
        <f t="shared" ca="1" si="34"/>
        <v>-0.97638531878618773</v>
      </c>
      <c r="CB60" s="6">
        <f t="shared" ca="1" si="35"/>
        <v>-0.21603636096452511</v>
      </c>
      <c r="CC60" s="6">
        <f t="shared" ca="1" si="36"/>
        <v>-2.9238395219527722</v>
      </c>
      <c r="CD60" s="6">
        <f t="shared" ca="1" si="37"/>
        <v>166.78446130312727</v>
      </c>
      <c r="CE60" s="9">
        <f t="shared" ca="1" si="38"/>
        <v>-53.186622980271629</v>
      </c>
      <c r="CF60">
        <f t="shared" ca="1" si="39"/>
        <v>175.05962811630761</v>
      </c>
      <c r="CG60" s="6">
        <f t="shared" ca="1" si="40"/>
        <v>0.95272943909327623</v>
      </c>
      <c r="CH60" s="6">
        <f t="shared" ca="1" si="41"/>
        <v>-0.30382003864954543</v>
      </c>
      <c r="CI60" s="6">
        <f t="shared" ca="1" si="42"/>
        <v>-0.3086996780541767</v>
      </c>
      <c r="CJ60" s="1">
        <f t="shared" ca="1" si="43"/>
        <v>1.0940978414516249</v>
      </c>
      <c r="CK60" s="38"/>
    </row>
    <row r="61" spans="1:89" x14ac:dyDescent="0.25">
      <c r="A61">
        <f t="shared" ref="A61:E71" si="73">A14</f>
        <v>0</v>
      </c>
      <c r="B61" s="1" t="str">
        <f t="shared" si="73"/>
        <v>Bar #</v>
      </c>
      <c r="C61" s="1" t="str">
        <f t="shared" si="73"/>
        <v>As (in^2)</v>
      </c>
      <c r="D61" s="1" t="str">
        <f t="shared" si="73"/>
        <v>x</v>
      </c>
      <c r="E61" s="1" t="str">
        <f t="shared" si="73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175.6817283824347</v>
      </c>
      <c r="BE61">
        <v>8.0954190686056755</v>
      </c>
      <c r="BF61" s="6">
        <f t="shared" si="48"/>
        <v>4.6047455122013747E-2</v>
      </c>
      <c r="BG61" s="6">
        <f t="shared" si="49"/>
        <v>0.98369680355464162</v>
      </c>
      <c r="BH61" s="6">
        <f t="shared" si="2"/>
        <v>0.73935070827543437</v>
      </c>
      <c r="BI61" s="6">
        <f t="shared" si="3"/>
        <v>0.73935070827543437</v>
      </c>
      <c r="BJ61">
        <v>252.06601378485644</v>
      </c>
      <c r="BK61">
        <v>11.615209124646638</v>
      </c>
      <c r="BV61" s="38"/>
      <c r="BW61" s="6">
        <f t="shared" si="22"/>
        <v>0.80285145591739226</v>
      </c>
      <c r="BX61" s="9">
        <f t="shared" ca="1" si="31"/>
        <v>-122.00717204495977</v>
      </c>
      <c r="BY61" s="9">
        <f t="shared" ca="1" si="32"/>
        <v>-28.341804429737</v>
      </c>
      <c r="BZ61">
        <f t="shared" ca="1" si="33"/>
        <v>125.25576996187391</v>
      </c>
      <c r="CA61" s="6">
        <f t="shared" ca="1" si="34"/>
        <v>-0.97406428527881017</v>
      </c>
      <c r="CB61" s="6">
        <f t="shared" ca="1" si="35"/>
        <v>-0.22627144792103265</v>
      </c>
      <c r="CC61" s="6">
        <f t="shared" ca="1" si="36"/>
        <v>-2.9133445130178908</v>
      </c>
      <c r="CD61" s="6">
        <f t="shared" ca="1" si="37"/>
        <v>164.24146594535583</v>
      </c>
      <c r="CE61" s="9">
        <f t="shared" ca="1" si="38"/>
        <v>-52.402960203728355</v>
      </c>
      <c r="CF61">
        <f t="shared" ca="1" si="39"/>
        <v>172.39875108014274</v>
      </c>
      <c r="CG61" s="6">
        <f t="shared" ca="1" si="40"/>
        <v>0.95268361816034941</v>
      </c>
      <c r="CH61" s="6">
        <f t="shared" ca="1" si="41"/>
        <v>-0.30396368810913177</v>
      </c>
      <c r="CI61" s="6">
        <f t="shared" ca="1" si="42"/>
        <v>-0.30885045844141851</v>
      </c>
      <c r="CJ61" s="1">
        <f t="shared" ca="1" si="43"/>
        <v>1.0942486218388667</v>
      </c>
      <c r="CK61" s="38"/>
    </row>
    <row r="62" spans="1:89" x14ac:dyDescent="0.25">
      <c r="A62">
        <f t="shared" si="73"/>
        <v>1</v>
      </c>
      <c r="B62" s="1">
        <f t="shared" si="73"/>
        <v>8</v>
      </c>
      <c r="C62" s="1">
        <f t="shared" ca="1" si="73"/>
        <v>0.79</v>
      </c>
      <c r="D62" s="1">
        <f t="shared" si="73"/>
        <v>2</v>
      </c>
      <c r="E62" s="1">
        <f t="shared" si="73"/>
        <v>2</v>
      </c>
      <c r="F62" s="1">
        <f t="shared" ref="F62:F71" si="74">D62-$I$2</f>
        <v>-4</v>
      </c>
      <c r="G62" s="1">
        <f t="shared" ref="G62:G71" si="75">E62-$I$3</f>
        <v>-10</v>
      </c>
      <c r="H62" s="6">
        <f t="shared" ref="H62:H71" si="76">F62*COS($B$27)+G62*SIN($B$27)</f>
        <v>-9.6471393249199107</v>
      </c>
      <c r="I62" s="6">
        <f t="shared" ref="I62:I71" si="77">-1*F62*SIN($B$27)+G62*COS($B$27)</f>
        <v>4.7888101701345205</v>
      </c>
      <c r="J62" s="6">
        <f t="shared" ref="J62:J71" si="78">$G$38-I62</f>
        <v>2.1538996264034953</v>
      </c>
      <c r="K62">
        <f t="shared" ref="K62:K71" ca="1" si="79">IF($B$28=0,-1,IF(C62=0,0,(($B$28-J62)/$B$28)*$B$30)*IF($B$28&lt;0,-1,1))</f>
        <v>3.7756670358345622E-4</v>
      </c>
      <c r="L62">
        <f t="shared" ref="L62:L71" ca="1" si="80">IF(AND(K62&gt;0,J62&lt;=$B$29),MIN((K62*B$13),B$12)-$B$31,MAX(K62*B$13,-1*B$12))</f>
        <v>10.949434403920231</v>
      </c>
      <c r="M62" s="6">
        <f t="shared" ref="M62:M71" ca="1" si="81">L62*C62</f>
        <v>8.6500531790969823</v>
      </c>
      <c r="N62" s="6">
        <f t="shared" ref="N62:N71" ca="1" si="82">M62*I62</f>
        <v>41.42346263626407</v>
      </c>
      <c r="O62" s="6">
        <f t="shared" ref="O62:O71" ca="1" si="83">M62*H62*-1</f>
        <v>83.448268186714984</v>
      </c>
      <c r="Q62">
        <f t="shared" ref="Q62:Q71" si="84">IF($B62=0,NA(),H62)</f>
        <v>-9.6471393249199107</v>
      </c>
      <c r="R62">
        <f t="shared" ref="R62:R71" si="85">IF($B62=0,NA(),I62)</f>
        <v>4.7888101701345205</v>
      </c>
      <c r="BC62">
        <v>1.0471975511965987</v>
      </c>
      <c r="BD62">
        <v>172.46120352858588</v>
      </c>
      <c r="BE62">
        <v>8.8303291770665684</v>
      </c>
      <c r="BF62" s="6">
        <f t="shared" si="48"/>
        <v>5.1157155934440694E-2</v>
      </c>
      <c r="BG62" s="6">
        <f t="shared" si="49"/>
        <v>0.99604039526215804</v>
      </c>
      <c r="BH62" s="6">
        <f t="shared" si="2"/>
        <v>0.73424100746300758</v>
      </c>
      <c r="BI62" s="6">
        <f t="shared" si="3"/>
        <v>0.73424100746300758</v>
      </c>
      <c r="BJ62">
        <v>248.32959957419649</v>
      </c>
      <c r="BK62">
        <v>12.714929872826833</v>
      </c>
      <c r="BV62" s="38"/>
      <c r="BW62" s="6">
        <f t="shared" si="22"/>
        <v>0.82030474843733558</v>
      </c>
      <c r="BX62" s="9">
        <f t="shared" ca="1" si="31"/>
        <v>-119.497832962972</v>
      </c>
      <c r="BY62" s="9">
        <f t="shared" ca="1" si="32"/>
        <v>-29.105547686853225</v>
      </c>
      <c r="BZ62">
        <f t="shared" ca="1" si="33"/>
        <v>122.99132078727361</v>
      </c>
      <c r="CA62" s="6">
        <f t="shared" ca="1" si="34"/>
        <v>-0.97159565567765582</v>
      </c>
      <c r="CB62" s="6">
        <f t="shared" ca="1" si="35"/>
        <v>-0.23664716746309541</v>
      </c>
      <c r="CC62" s="6">
        <f t="shared" ca="1" si="36"/>
        <v>-2.9026791125852349</v>
      </c>
      <c r="CD62" s="6">
        <f t="shared" ca="1" si="37"/>
        <v>161.73212686336805</v>
      </c>
      <c r="CE62" s="9">
        <f t="shared" ca="1" si="38"/>
        <v>-51.639216946612123</v>
      </c>
      <c r="CF62">
        <f t="shared" ca="1" si="39"/>
        <v>169.77599826420652</v>
      </c>
      <c r="CG62" s="6">
        <f t="shared" ca="1" si="40"/>
        <v>0.9526206797010226</v>
      </c>
      <c r="CH62" s="6">
        <f t="shared" ca="1" si="41"/>
        <v>-0.30416087947985931</v>
      </c>
      <c r="CI62" s="6">
        <f t="shared" ca="1" si="42"/>
        <v>-0.3090574504376522</v>
      </c>
      <c r="CJ62" s="1">
        <f t="shared" ca="1" si="43"/>
        <v>1.0944556138351005</v>
      </c>
      <c r="CK62" s="38"/>
    </row>
    <row r="63" spans="1:89" x14ac:dyDescent="0.25">
      <c r="A63">
        <f t="shared" si="73"/>
        <v>2</v>
      </c>
      <c r="B63" s="1">
        <f t="shared" si="73"/>
        <v>8</v>
      </c>
      <c r="C63" s="1">
        <f t="shared" ca="1" si="73"/>
        <v>0.79</v>
      </c>
      <c r="D63" s="1">
        <f t="shared" si="73"/>
        <v>2</v>
      </c>
      <c r="E63" s="1">
        <f t="shared" si="73"/>
        <v>4</v>
      </c>
      <c r="F63" s="1">
        <f t="shared" si="74"/>
        <v>-4</v>
      </c>
      <c r="G63" s="1">
        <f t="shared" si="75"/>
        <v>-8</v>
      </c>
      <c r="H63" s="6">
        <f t="shared" si="76"/>
        <v>-7.6535766709589241</v>
      </c>
      <c r="I63" s="6">
        <f t="shared" si="77"/>
        <v>4.6284731976920108</v>
      </c>
      <c r="J63" s="6">
        <f t="shared" si="78"/>
        <v>2.314236598846005</v>
      </c>
      <c r="K63">
        <f t="shared" ca="1" si="79"/>
        <v>1.823519359009203E-4</v>
      </c>
      <c r="L63">
        <f t="shared" ca="1" si="80"/>
        <v>5.2882061411266887</v>
      </c>
      <c r="M63" s="6">
        <f t="shared" ca="1" si="81"/>
        <v>4.1776828514900846</v>
      </c>
      <c r="N63" s="6">
        <f t="shared" ca="1" si="82"/>
        <v>19.33629310657939</v>
      </c>
      <c r="O63" s="6">
        <f t="shared" ca="1" si="83"/>
        <v>31.974216010829668</v>
      </c>
      <c r="Q63">
        <f t="shared" si="84"/>
        <v>-7.6535766709589241</v>
      </c>
      <c r="R63">
        <f t="shared" si="85"/>
        <v>4.6284731976920108</v>
      </c>
      <c r="BC63">
        <v>1.0646508437165421</v>
      </c>
      <c r="BD63">
        <v>169.26907431048778</v>
      </c>
      <c r="BE63">
        <v>9.5408359772693458</v>
      </c>
      <c r="BF63" s="6">
        <f t="shared" si="48"/>
        <v>5.6305332072853584E-2</v>
      </c>
      <c r="BG63" s="6">
        <f t="shared" si="49"/>
        <v>1.0083455116436886</v>
      </c>
      <c r="BH63" s="6">
        <f t="shared" si="2"/>
        <v>0.72909283132459468</v>
      </c>
      <c r="BI63" s="6">
        <f t="shared" si="3"/>
        <v>0.72909283132459468</v>
      </c>
      <c r="BJ63">
        <v>244.58270480627147</v>
      </c>
      <c r="BK63">
        <v>13.785881909847129</v>
      </c>
      <c r="BV63" s="38"/>
      <c r="BW63" s="6">
        <f t="shared" si="22"/>
        <v>0.8377580409572789</v>
      </c>
      <c r="BX63" s="9">
        <f t="shared" ca="1" si="31"/>
        <v>-117.0236429407487</v>
      </c>
      <c r="BY63" s="9">
        <f t="shared" ca="1" si="32"/>
        <v>-29.847709366761968</v>
      </c>
      <c r="BZ63">
        <f t="shared" ca="1" si="33"/>
        <v>120.77010706945049</v>
      </c>
      <c r="CA63" s="6">
        <f t="shared" ca="1" si="34"/>
        <v>-0.96897854759251534</v>
      </c>
      <c r="CB63" s="6">
        <f t="shared" ca="1" si="35"/>
        <v>-0.2471448447884346</v>
      </c>
      <c r="CC63" s="6">
        <f t="shared" ca="1" si="36"/>
        <v>-2.8918600726228023</v>
      </c>
      <c r="CD63" s="6">
        <f t="shared" ca="1" si="37"/>
        <v>159.25793684114475</v>
      </c>
      <c r="CE63" s="9">
        <f t="shared" ca="1" si="38"/>
        <v>-50.897055266703383</v>
      </c>
      <c r="CF63">
        <f t="shared" ca="1" si="39"/>
        <v>167.19330333993616</v>
      </c>
      <c r="CG63" s="6">
        <f t="shared" ca="1" si="40"/>
        <v>0.95253777310292576</v>
      </c>
      <c r="CH63" s="6">
        <f t="shared" ca="1" si="41"/>
        <v>-0.30442041786338697</v>
      </c>
      <c r="CI63" s="6">
        <f t="shared" ca="1" si="42"/>
        <v>-0.3093299090161396</v>
      </c>
      <c r="CJ63" s="1">
        <f t="shared" ca="1" si="43"/>
        <v>1.0947280724135879</v>
      </c>
      <c r="CK63" s="38"/>
    </row>
    <row r="64" spans="1:89" x14ac:dyDescent="0.25">
      <c r="A64">
        <f t="shared" si="73"/>
        <v>3</v>
      </c>
      <c r="B64" s="1">
        <f t="shared" si="73"/>
        <v>8</v>
      </c>
      <c r="C64" s="1">
        <f t="shared" ca="1" si="73"/>
        <v>0.79</v>
      </c>
      <c r="D64" s="1">
        <f t="shared" si="73"/>
        <v>4</v>
      </c>
      <c r="E64" s="1">
        <f t="shared" si="73"/>
        <v>2</v>
      </c>
      <c r="F64" s="1">
        <f t="shared" si="74"/>
        <v>-2</v>
      </c>
      <c r="G64" s="1">
        <f t="shared" si="75"/>
        <v>-10</v>
      </c>
      <c r="H64" s="6">
        <f t="shared" si="76"/>
        <v>-9.8074762973624203</v>
      </c>
      <c r="I64" s="6">
        <f t="shared" si="77"/>
        <v>2.7952475161735344</v>
      </c>
      <c r="J64" s="6">
        <f t="shared" si="78"/>
        <v>4.1474622803644809</v>
      </c>
      <c r="K64">
        <f t="shared" ca="1" si="79"/>
        <v>-2.0496518251505516E-3</v>
      </c>
      <c r="L64">
        <f t="shared" ca="1" si="80"/>
        <v>-59.439902929365999</v>
      </c>
      <c r="M64" s="6">
        <f t="shared" ca="1" si="81"/>
        <v>-46.957523314199143</v>
      </c>
      <c r="N64" s="6">
        <f t="shared" ca="1" si="82"/>
        <v>-131.25790040967598</v>
      </c>
      <c r="O64" s="6">
        <f t="shared" ca="1" si="83"/>
        <v>-460.53479688685132</v>
      </c>
      <c r="Q64">
        <f t="shared" si="84"/>
        <v>-9.8074762973624203</v>
      </c>
      <c r="R64">
        <f t="shared" si="85"/>
        <v>2.7952475161735344</v>
      </c>
      <c r="BC64">
        <v>1.0821041362364854</v>
      </c>
      <c r="BD64">
        <v>166.10206206322704</v>
      </c>
      <c r="BE64">
        <v>10.228379649146277</v>
      </c>
      <c r="BF64" s="6">
        <f t="shared" si="48"/>
        <v>6.1501225965941264E-2</v>
      </c>
      <c r="BG64" s="6">
        <f t="shared" si="49"/>
        <v>1.0206029102705441</v>
      </c>
      <c r="BH64" s="6">
        <f t="shared" si="2"/>
        <v>0.72389693743150696</v>
      </c>
      <c r="BI64" s="6">
        <f t="shared" si="3"/>
        <v>0.72389693743150696</v>
      </c>
      <c r="BJ64">
        <v>240.82062856911085</v>
      </c>
      <c r="BK64">
        <v>14.829465605389563</v>
      </c>
      <c r="BV64" s="38"/>
      <c r="BW64" s="6">
        <f t="shared" si="22"/>
        <v>0.85521133347722222</v>
      </c>
      <c r="BX64" s="9">
        <f t="shared" ca="1" si="31"/>
        <v>-114.0168139988133</v>
      </c>
      <c r="BY64" s="9">
        <f t="shared" ca="1" si="32"/>
        <v>-30.748442345955365</v>
      </c>
      <c r="BZ64">
        <f t="shared" ca="1" si="33"/>
        <v>118.09022220803266</v>
      </c>
      <c r="CA64" s="6">
        <f t="shared" ca="1" si="34"/>
        <v>-0.96550596541309353</v>
      </c>
      <c r="CB64" s="6">
        <f t="shared" ca="1" si="35"/>
        <v>-0.26038093392514433</v>
      </c>
      <c r="CC64" s="6">
        <f t="shared" ca="1" si="36"/>
        <v>-2.878175928342984</v>
      </c>
      <c r="CD64" s="6">
        <f t="shared" ca="1" si="37"/>
        <v>156.25110789920936</v>
      </c>
      <c r="CE64" s="9">
        <f t="shared" ca="1" si="38"/>
        <v>-49.996322287509983</v>
      </c>
      <c r="CF64">
        <f t="shared" ca="1" si="39"/>
        <v>164.05499371249547</v>
      </c>
      <c r="CG64" s="6">
        <f t="shared" ca="1" si="40"/>
        <v>0.95243128150696632</v>
      </c>
      <c r="CH64" s="6">
        <f t="shared" ca="1" si="41"/>
        <v>-0.30475343149339285</v>
      </c>
      <c r="CI64" s="6">
        <f t="shared" ca="1" si="42"/>
        <v>-0.30967953530094222</v>
      </c>
      <c r="CJ64" s="1">
        <f t="shared" ca="1" si="43"/>
        <v>1.0950776986983906</v>
      </c>
      <c r="CK64" s="38"/>
    </row>
    <row r="65" spans="1:89" x14ac:dyDescent="0.25">
      <c r="A65">
        <f t="shared" si="73"/>
        <v>4</v>
      </c>
      <c r="B65" s="1">
        <f t="shared" si="73"/>
        <v>8</v>
      </c>
      <c r="C65" s="1">
        <f t="shared" ca="1" si="73"/>
        <v>0.79</v>
      </c>
      <c r="D65" s="1">
        <f t="shared" si="73"/>
        <v>4</v>
      </c>
      <c r="E65" s="1">
        <f t="shared" si="73"/>
        <v>4</v>
      </c>
      <c r="F65" s="1">
        <f t="shared" si="74"/>
        <v>-2</v>
      </c>
      <c r="G65" s="1">
        <f t="shared" si="75"/>
        <v>-8</v>
      </c>
      <c r="H65" s="6">
        <f t="shared" si="76"/>
        <v>-7.8139136434014338</v>
      </c>
      <c r="I65" s="6">
        <f t="shared" si="77"/>
        <v>2.6349105437310247</v>
      </c>
      <c r="J65" s="6">
        <f t="shared" si="78"/>
        <v>4.3077992528069906</v>
      </c>
      <c r="K65">
        <f t="shared" ca="1" si="79"/>
        <v>-2.2448665928330876E-3</v>
      </c>
      <c r="L65">
        <f t="shared" ca="1" si="80"/>
        <v>-60</v>
      </c>
      <c r="M65" s="6">
        <f t="shared" ca="1" si="81"/>
        <v>-47.400000000000006</v>
      </c>
      <c r="N65" s="6">
        <f t="shared" ca="1" si="82"/>
        <v>-124.89475977285059</v>
      </c>
      <c r="O65" s="6">
        <f t="shared" ca="1" si="83"/>
        <v>-370.37950669722801</v>
      </c>
      <c r="Q65">
        <f t="shared" si="84"/>
        <v>-7.8139136434014338</v>
      </c>
      <c r="R65">
        <f t="shared" si="85"/>
        <v>2.6349105437310247</v>
      </c>
      <c r="BC65">
        <v>1.0995574287564287</v>
      </c>
      <c r="BD65">
        <v>162.95694417732639</v>
      </c>
      <c r="BE65">
        <v>10.894335518977954</v>
      </c>
      <c r="BF65" s="6">
        <f t="shared" si="48"/>
        <v>6.6754739025688445E-2</v>
      </c>
      <c r="BG65" s="6">
        <f t="shared" si="49"/>
        <v>1.0328026897307403</v>
      </c>
      <c r="BH65" s="6">
        <f t="shared" si="2"/>
        <v>0.71864342437175988</v>
      </c>
      <c r="BI65" s="6">
        <f t="shared" si="3"/>
        <v>0.71864342437175988</v>
      </c>
      <c r="BJ65">
        <v>237.03846847783134</v>
      </c>
      <c r="BK65">
        <v>15.846987187560936</v>
      </c>
      <c r="BV65" s="38"/>
      <c r="BW65" s="6">
        <f t="shared" si="22"/>
        <v>0.87266462599716554</v>
      </c>
      <c r="BX65" s="9">
        <f t="shared" ca="1" si="31"/>
        <v>-110.94408171123526</v>
      </c>
      <c r="BY65" s="9">
        <f t="shared" ca="1" si="32"/>
        <v>-31.652595680424543</v>
      </c>
      <c r="BZ65">
        <f t="shared" ca="1" si="33"/>
        <v>115.37103657355981</v>
      </c>
      <c r="CA65" s="6">
        <f t="shared" ca="1" si="34"/>
        <v>-0.96162854219046601</v>
      </c>
      <c r="CB65" s="6">
        <f t="shared" ca="1" si="35"/>
        <v>-0.27435478279891384</v>
      </c>
      <c r="CC65" s="6">
        <f t="shared" ca="1" si="36"/>
        <v>-2.8636739785118221</v>
      </c>
      <c r="CD65" s="6">
        <f t="shared" ca="1" si="37"/>
        <v>153.17837561163131</v>
      </c>
      <c r="CE65" s="9">
        <f t="shared" ca="1" si="38"/>
        <v>-49.092168953040812</v>
      </c>
      <c r="CF65">
        <f t="shared" ca="1" si="39"/>
        <v>160.85290114738967</v>
      </c>
      <c r="CG65" s="6">
        <f t="shared" ca="1" si="40"/>
        <v>0.95228854760458326</v>
      </c>
      <c r="CH65" s="6">
        <f t="shared" ca="1" si="41"/>
        <v>-0.30519915154068378</v>
      </c>
      <c r="CI65" s="6">
        <f t="shared" ca="1" si="42"/>
        <v>-0.3101475516804042</v>
      </c>
      <c r="CJ65" s="1">
        <f t="shared" ca="1" si="43"/>
        <v>1.0955457150778525</v>
      </c>
      <c r="CK65" s="38"/>
    </row>
    <row r="66" spans="1:89" x14ac:dyDescent="0.25">
      <c r="A66">
        <f t="shared" si="73"/>
        <v>5</v>
      </c>
      <c r="B66" s="1">
        <f t="shared" si="73"/>
        <v>0</v>
      </c>
      <c r="C66" s="1">
        <f t="shared" ca="1" si="73"/>
        <v>0</v>
      </c>
      <c r="D66" s="1">
        <f t="shared" si="73"/>
        <v>6</v>
      </c>
      <c r="E66" s="1">
        <f t="shared" si="73"/>
        <v>2</v>
      </c>
      <c r="F66" s="1">
        <f t="shared" si="74"/>
        <v>0</v>
      </c>
      <c r="G66" s="1">
        <f t="shared" si="75"/>
        <v>-10</v>
      </c>
      <c r="H66" s="6">
        <f t="shared" si="76"/>
        <v>-9.96781326980493</v>
      </c>
      <c r="I66" s="6">
        <f t="shared" si="77"/>
        <v>0.80168486221254842</v>
      </c>
      <c r="J66" s="6">
        <f t="shared" si="78"/>
        <v>6.1410249343254675</v>
      </c>
      <c r="K66">
        <f t="shared" ca="1" si="79"/>
        <v>0</v>
      </c>
      <c r="L66">
        <f t="shared" ca="1" si="80"/>
        <v>0</v>
      </c>
      <c r="M66" s="6">
        <f t="shared" ca="1" si="81"/>
        <v>0</v>
      </c>
      <c r="N66" s="6">
        <f t="shared" ca="1" si="82"/>
        <v>0</v>
      </c>
      <c r="O66" s="6">
        <f t="shared" ca="1" si="83"/>
        <v>0</v>
      </c>
      <c r="Q66" t="e">
        <f t="shared" si="84"/>
        <v>#N/A</v>
      </c>
      <c r="R66" t="e">
        <f t="shared" si="85"/>
        <v>#N/A</v>
      </c>
      <c r="BC66">
        <v>1.117010721276372</v>
      </c>
      <c r="BD66">
        <v>159.80756624782228</v>
      </c>
      <c r="BE66">
        <v>11.535307893557247</v>
      </c>
      <c r="BF66" s="6">
        <f t="shared" ref="BF66:BF97" si="86">IF(BC66&lt;&gt;"",IF(AND(BD66=0,BE66=0),0,MOD(ATAN2(BD66,BE66),2*PI())),NA())</f>
        <v>7.205751504190612E-2</v>
      </c>
      <c r="BG66" s="6">
        <f t="shared" ref="BG66:BG97" si="87">ABS(BC66-BF66)</f>
        <v>1.044953206234466</v>
      </c>
      <c r="BH66" s="6">
        <f t="shared" si="2"/>
        <v>0.71334064835554201</v>
      </c>
      <c r="BI66" s="6">
        <f t="shared" si="3"/>
        <v>0.71334064835554201</v>
      </c>
      <c r="BJ66">
        <v>233.17304162348555</v>
      </c>
      <c r="BK66">
        <v>16.831010513188382</v>
      </c>
      <c r="BV66" s="38"/>
      <c r="BW66" s="6">
        <f t="shared" si="22"/>
        <v>0.89011791851710886</v>
      </c>
      <c r="BX66" s="9">
        <f t="shared" ca="1" si="31"/>
        <v>-107.92283303523759</v>
      </c>
      <c r="BY66" s="9">
        <f t="shared" ca="1" si="32"/>
        <v>-32.523191917277167</v>
      </c>
      <c r="BZ66">
        <f t="shared" ca="1" si="33"/>
        <v>112.71688384106355</v>
      </c>
      <c r="CA66" s="6">
        <f t="shared" ca="1" si="34"/>
        <v>-0.9574682102409271</v>
      </c>
      <c r="CB66" s="6">
        <f t="shared" ca="1" si="35"/>
        <v>-0.28853877794507249</v>
      </c>
      <c r="CC66" s="6">
        <f t="shared" ca="1" si="36"/>
        <v>-2.848892298679754</v>
      </c>
      <c r="CD66" s="6">
        <f t="shared" ca="1" si="37"/>
        <v>150.15712693563364</v>
      </c>
      <c r="CE66" s="9">
        <f t="shared" ca="1" si="38"/>
        <v>-48.221572716188184</v>
      </c>
      <c r="CF66">
        <f t="shared" ca="1" si="39"/>
        <v>157.71012283549405</v>
      </c>
      <c r="CG66" s="6">
        <f t="shared" ca="1" si="40"/>
        <v>0.95210836334368421</v>
      </c>
      <c r="CH66" s="6">
        <f t="shared" ca="1" si="41"/>
        <v>-0.30576079613156892</v>
      </c>
      <c r="CI66" s="6">
        <f t="shared" ca="1" si="42"/>
        <v>-0.31073739150987756</v>
      </c>
      <c r="CJ66" s="1">
        <f t="shared" ca="1" si="43"/>
        <v>1.0961355549073257</v>
      </c>
      <c r="CK66" s="38"/>
    </row>
    <row r="67" spans="1:89" x14ac:dyDescent="0.25">
      <c r="A67">
        <f t="shared" si="73"/>
        <v>6</v>
      </c>
      <c r="B67" s="1">
        <f t="shared" si="73"/>
        <v>0</v>
      </c>
      <c r="C67" s="1">
        <f t="shared" ca="1" si="73"/>
        <v>0</v>
      </c>
      <c r="D67" s="1">
        <f t="shared" si="73"/>
        <v>0</v>
      </c>
      <c r="E67" s="1">
        <f t="shared" si="73"/>
        <v>8.66</v>
      </c>
      <c r="F67" s="1">
        <f t="shared" si="74"/>
        <v>-6</v>
      </c>
      <c r="G67" s="1">
        <f t="shared" si="75"/>
        <v>-3.34</v>
      </c>
      <c r="H67" s="6">
        <f t="shared" si="76"/>
        <v>-2.8482387147873172</v>
      </c>
      <c r="I67" s="6">
        <f t="shared" si="77"/>
        <v>6.2484507058619494</v>
      </c>
      <c r="J67" s="6">
        <f t="shared" si="78"/>
        <v>0.69425909067606639</v>
      </c>
      <c r="K67">
        <f t="shared" ca="1" si="79"/>
        <v>0</v>
      </c>
      <c r="L67">
        <f t="shared" ca="1" si="80"/>
        <v>0</v>
      </c>
      <c r="M67" s="6">
        <f t="shared" ca="1" si="81"/>
        <v>0</v>
      </c>
      <c r="N67" s="6">
        <f t="shared" ca="1" si="82"/>
        <v>0</v>
      </c>
      <c r="O67" s="6">
        <f t="shared" ca="1" si="83"/>
        <v>0</v>
      </c>
      <c r="Q67" t="e">
        <f t="shared" si="84"/>
        <v>#N/A</v>
      </c>
      <c r="R67" t="e">
        <f t="shared" si="85"/>
        <v>#N/A</v>
      </c>
      <c r="BC67">
        <v>1.1344640137963153</v>
      </c>
      <c r="BD67">
        <v>156.60463447580469</v>
      </c>
      <c r="BE67">
        <v>12.141627576572018</v>
      </c>
      <c r="BF67" s="6">
        <f t="shared" si="86"/>
        <v>7.7375662137379217E-2</v>
      </c>
      <c r="BG67" s="6">
        <f t="shared" si="87"/>
        <v>1.0570883516589362</v>
      </c>
      <c r="BH67" s="6">
        <f t="shared" ref="BH67:BH130" si="88">ATAN2(COS($U$13-BF67),SIN($U$13-BF67))</f>
        <v>0.70802250126006905</v>
      </c>
      <c r="BI67" s="6">
        <f t="shared" ref="BI67:BI130" si="89">ABS(BH67)</f>
        <v>0.70802250126006905</v>
      </c>
      <c r="BJ67">
        <v>229.10092132093786</v>
      </c>
      <c r="BK67">
        <v>17.762297223445962</v>
      </c>
      <c r="BV67" s="38"/>
      <c r="BW67" s="6">
        <f t="shared" si="22"/>
        <v>0.90757121103705218</v>
      </c>
      <c r="BX67" s="9">
        <f t="shared" ca="1" si="31"/>
        <v>-104.94890786078049</v>
      </c>
      <c r="BY67" s="9">
        <f t="shared" ca="1" si="32"/>
        <v>-33.362452517710985</v>
      </c>
      <c r="BZ67">
        <f t="shared" ca="1" si="33"/>
        <v>110.12414130955625</v>
      </c>
      <c r="CA67" s="6">
        <f t="shared" ca="1" si="34"/>
        <v>-0.95300545922779722</v>
      </c>
      <c r="CB67" s="6">
        <f t="shared" ca="1" si="35"/>
        <v>-0.30295312291180504</v>
      </c>
      <c r="CC67" s="6">
        <f t="shared" ca="1" si="36"/>
        <v>-2.8338027722536241</v>
      </c>
      <c r="CD67" s="6">
        <f t="shared" ca="1" si="37"/>
        <v>147.18320176117655</v>
      </c>
      <c r="CE67" s="9">
        <f t="shared" ca="1" si="38"/>
        <v>-47.382312115754367</v>
      </c>
      <c r="CF67">
        <f t="shared" ca="1" si="39"/>
        <v>154.62205011610075</v>
      </c>
      <c r="CG67" s="6">
        <f t="shared" ca="1" si="40"/>
        <v>0.95189011949240998</v>
      </c>
      <c r="CH67" s="6">
        <f t="shared" ca="1" si="41"/>
        <v>-0.30643955425617825</v>
      </c>
      <c r="CI67" s="6">
        <f t="shared" ca="1" si="42"/>
        <v>-0.31145037327112851</v>
      </c>
      <c r="CJ67" s="1">
        <f t="shared" ca="1" si="43"/>
        <v>1.0968485366685767</v>
      </c>
      <c r="CK67" s="38"/>
    </row>
    <row r="68" spans="1:89" x14ac:dyDescent="0.25">
      <c r="A68">
        <f t="shared" si="73"/>
        <v>7</v>
      </c>
      <c r="B68" s="1">
        <f t="shared" si="73"/>
        <v>0</v>
      </c>
      <c r="C68" s="1">
        <f t="shared" ca="1" si="73"/>
        <v>0</v>
      </c>
      <c r="D68" s="1">
        <f t="shared" si="73"/>
        <v>2</v>
      </c>
      <c r="E68" s="1">
        <f t="shared" si="73"/>
        <v>15.33</v>
      </c>
      <c r="F68" s="1">
        <f t="shared" si="74"/>
        <v>-4</v>
      </c>
      <c r="G68" s="1">
        <f t="shared" si="75"/>
        <v>3.33</v>
      </c>
      <c r="H68" s="6">
        <f t="shared" si="76"/>
        <v>3.639955763730061</v>
      </c>
      <c r="I68" s="6">
        <f t="shared" si="77"/>
        <v>3.7201642488051929</v>
      </c>
      <c r="J68" s="6">
        <f t="shared" si="78"/>
        <v>3.2225455477328229</v>
      </c>
      <c r="K68">
        <f t="shared" ca="1" si="79"/>
        <v>0</v>
      </c>
      <c r="L68">
        <f t="shared" ca="1" si="80"/>
        <v>0</v>
      </c>
      <c r="M68" s="6">
        <f t="shared" ca="1" si="81"/>
        <v>0</v>
      </c>
      <c r="N68" s="6">
        <f t="shared" ca="1" si="82"/>
        <v>0</v>
      </c>
      <c r="O68" s="6">
        <f t="shared" ca="1" si="83"/>
        <v>0</v>
      </c>
      <c r="Q68" t="e">
        <f t="shared" si="84"/>
        <v>#N/A</v>
      </c>
      <c r="R68" t="e">
        <f t="shared" si="85"/>
        <v>#N/A</v>
      </c>
      <c r="BC68">
        <v>1.1519173063162587</v>
      </c>
      <c r="BD68">
        <v>153.42317129358614</v>
      </c>
      <c r="BE68">
        <v>12.729886041852875</v>
      </c>
      <c r="BF68" s="6">
        <f t="shared" si="86"/>
        <v>8.2782759606611578E-2</v>
      </c>
      <c r="BG68" s="6">
        <f t="shared" si="87"/>
        <v>1.0691345467096471</v>
      </c>
      <c r="BH68" s="6">
        <f t="shared" si="88"/>
        <v>0.70261540379083665</v>
      </c>
      <c r="BI68" s="6">
        <f t="shared" si="89"/>
        <v>0.70261540379083665</v>
      </c>
      <c r="BJ68">
        <v>225.01313250773356</v>
      </c>
      <c r="BK68">
        <v>18.669875681702422</v>
      </c>
      <c r="BV68" s="38"/>
      <c r="BW68" s="6">
        <f t="shared" si="22"/>
        <v>0.9250245035569955</v>
      </c>
      <c r="BX68" s="9">
        <f t="shared" ca="1" si="31"/>
        <v>-102.01834232127597</v>
      </c>
      <c r="BY68" s="9">
        <f t="shared" ca="1" si="32"/>
        <v>-34.172432688814418</v>
      </c>
      <c r="BZ68">
        <f t="shared" ca="1" si="33"/>
        <v>107.58948520116917</v>
      </c>
      <c r="CA68" s="6">
        <f t="shared" ca="1" si="34"/>
        <v>-0.94821851903579268</v>
      </c>
      <c r="CB68" s="6">
        <f t="shared" ca="1" si="35"/>
        <v>-0.31761870246817642</v>
      </c>
      <c r="CC68" s="6">
        <f t="shared" ca="1" si="36"/>
        <v>-2.8183755644579143</v>
      </c>
      <c r="CD68" s="6">
        <f t="shared" ca="1" si="37"/>
        <v>144.25263622167202</v>
      </c>
      <c r="CE68" s="9">
        <f t="shared" ca="1" si="38"/>
        <v>-46.572331944650934</v>
      </c>
      <c r="CF68">
        <f t="shared" ca="1" si="39"/>
        <v>151.58431699771845</v>
      </c>
      <c r="CG68" s="6">
        <f t="shared" ca="1" si="40"/>
        <v>0.95163298604197444</v>
      </c>
      <c r="CH68" s="6">
        <f t="shared" ca="1" si="41"/>
        <v>-0.30723713948159898</v>
      </c>
      <c r="CI68" s="6">
        <f t="shared" ca="1" si="42"/>
        <v>-0.31228838272467885</v>
      </c>
      <c r="CJ68" s="1">
        <f t="shared" ca="1" si="43"/>
        <v>1.097686546122127</v>
      </c>
      <c r="CK68" s="38"/>
    </row>
    <row r="69" spans="1:89" x14ac:dyDescent="0.25">
      <c r="A69">
        <f t="shared" si="73"/>
        <v>8</v>
      </c>
      <c r="B69" s="1">
        <f t="shared" si="73"/>
        <v>0</v>
      </c>
      <c r="C69" s="1">
        <f t="shared" ca="1" si="73"/>
        <v>0</v>
      </c>
      <c r="D69" s="1">
        <f t="shared" si="73"/>
        <v>10</v>
      </c>
      <c r="E69" s="1">
        <f t="shared" si="73"/>
        <v>15.33</v>
      </c>
      <c r="F69" s="1">
        <f t="shared" si="74"/>
        <v>4</v>
      </c>
      <c r="G69" s="1">
        <f t="shared" si="75"/>
        <v>3.33</v>
      </c>
      <c r="H69" s="6">
        <f t="shared" si="76"/>
        <v>2.9986078739600224</v>
      </c>
      <c r="I69" s="6">
        <f t="shared" si="77"/>
        <v>-4.2540863670387505</v>
      </c>
      <c r="J69" s="6">
        <f t="shared" si="78"/>
        <v>11.196796163576767</v>
      </c>
      <c r="K69">
        <f t="shared" ca="1" si="79"/>
        <v>0</v>
      </c>
      <c r="L69">
        <f t="shared" ca="1" si="80"/>
        <v>0</v>
      </c>
      <c r="M69" s="6">
        <f t="shared" ca="1" si="81"/>
        <v>0</v>
      </c>
      <c r="N69" s="6">
        <f t="shared" ca="1" si="82"/>
        <v>0</v>
      </c>
      <c r="O69" s="6">
        <f t="shared" ca="1" si="83"/>
        <v>0</v>
      </c>
      <c r="Q69" t="e">
        <f t="shared" si="84"/>
        <v>#N/A</v>
      </c>
      <c r="R69" t="e">
        <f t="shared" si="85"/>
        <v>#N/A</v>
      </c>
      <c r="BC69">
        <v>1.169370598836202</v>
      </c>
      <c r="BD69">
        <v>150.26036147677982</v>
      </c>
      <c r="BE69">
        <v>13.301671561246414</v>
      </c>
      <c r="BF69" s="6">
        <f t="shared" si="86"/>
        <v>8.8293995818176513E-2</v>
      </c>
      <c r="BG69" s="6">
        <f t="shared" si="87"/>
        <v>1.0810766030180254</v>
      </c>
      <c r="BH69" s="6">
        <f t="shared" si="88"/>
        <v>0.69710416757927174</v>
      </c>
      <c r="BI69" s="6">
        <f t="shared" si="89"/>
        <v>0.69710416757927174</v>
      </c>
      <c r="BJ69">
        <v>220.90463036393967</v>
      </c>
      <c r="BK69">
        <v>19.555395784893989</v>
      </c>
      <c r="BV69" s="38"/>
      <c r="BW69" s="6">
        <f t="shared" si="22"/>
        <v>0.94247779607693882</v>
      </c>
      <c r="BX69" s="9">
        <f t="shared" ca="1" si="31"/>
        <v>-99.127343163490323</v>
      </c>
      <c r="BY69" s="9">
        <f t="shared" ca="1" si="32"/>
        <v>-34.955039390257532</v>
      </c>
      <c r="BZ69">
        <f t="shared" ca="1" si="33"/>
        <v>105.10987080872485</v>
      </c>
      <c r="CA69" s="6">
        <f t="shared" ca="1" si="34"/>
        <v>-0.94308310343068236</v>
      </c>
      <c r="CB69" s="6">
        <f t="shared" ca="1" si="35"/>
        <v>-0.33255715301817323</v>
      </c>
      <c r="CC69" s="6">
        <f t="shared" ca="1" si="36"/>
        <v>-2.8025788879971976</v>
      </c>
      <c r="CD69" s="6">
        <f t="shared" ca="1" si="37"/>
        <v>141.36163706388638</v>
      </c>
      <c r="CE69" s="9">
        <f t="shared" ca="1" si="38"/>
        <v>-45.789725243207819</v>
      </c>
      <c r="CF69">
        <f t="shared" ca="1" si="39"/>
        <v>148.59277025222457</v>
      </c>
      <c r="CG69" s="6">
        <f t="shared" ca="1" si="40"/>
        <v>0.9513359016319306</v>
      </c>
      <c r="CH69" s="6">
        <f t="shared" ca="1" si="41"/>
        <v>-0.30815580842515655</v>
      </c>
      <c r="CI69" s="6">
        <f t="shared" ca="1" si="42"/>
        <v>-0.31325389390895719</v>
      </c>
      <c r="CJ69" s="1">
        <f t="shared" ca="1" si="43"/>
        <v>1.0986520573064054</v>
      </c>
      <c r="CK69" s="38"/>
    </row>
    <row r="70" spans="1:89" x14ac:dyDescent="0.25">
      <c r="A70">
        <f t="shared" si="73"/>
        <v>9</v>
      </c>
      <c r="B70" s="1">
        <f t="shared" si="73"/>
        <v>0</v>
      </c>
      <c r="C70" s="1">
        <f t="shared" ca="1" si="73"/>
        <v>0</v>
      </c>
      <c r="D70" s="1">
        <f t="shared" si="73"/>
        <v>8</v>
      </c>
      <c r="E70" s="1">
        <f t="shared" si="73"/>
        <v>2</v>
      </c>
      <c r="F70" s="1">
        <f t="shared" si="74"/>
        <v>2</v>
      </c>
      <c r="G70" s="1">
        <f t="shared" si="75"/>
        <v>-10</v>
      </c>
      <c r="H70" s="6">
        <f t="shared" si="76"/>
        <v>-10.12815024224744</v>
      </c>
      <c r="I70" s="6">
        <f t="shared" si="77"/>
        <v>-1.1918777917484373</v>
      </c>
      <c r="J70" s="6">
        <f t="shared" si="78"/>
        <v>8.134587588286454</v>
      </c>
      <c r="K70">
        <f t="shared" ca="1" si="79"/>
        <v>0</v>
      </c>
      <c r="L70">
        <f t="shared" ca="1" si="80"/>
        <v>0</v>
      </c>
      <c r="M70" s="6">
        <f t="shared" ca="1" si="81"/>
        <v>0</v>
      </c>
      <c r="N70" s="6">
        <f t="shared" ca="1" si="82"/>
        <v>0</v>
      </c>
      <c r="O70" s="6">
        <f t="shared" ca="1" si="83"/>
        <v>0</v>
      </c>
      <c r="Q70" t="e">
        <f t="shared" si="84"/>
        <v>#N/A</v>
      </c>
      <c r="R70" t="e">
        <f t="shared" si="85"/>
        <v>#N/A</v>
      </c>
      <c r="BC70">
        <v>1.1868238913561453</v>
      </c>
      <c r="BD70">
        <v>147.1133951254775</v>
      </c>
      <c r="BE70">
        <v>13.858627579900002</v>
      </c>
      <c r="BF70" s="6">
        <f t="shared" si="86"/>
        <v>9.3926519009282075E-2</v>
      </c>
      <c r="BG70" s="6">
        <f t="shared" si="87"/>
        <v>1.0928973723468631</v>
      </c>
      <c r="BH70" s="6">
        <f t="shared" si="88"/>
        <v>0.69147164438816622</v>
      </c>
      <c r="BI70" s="6">
        <f t="shared" si="89"/>
        <v>0.69147164438816622</v>
      </c>
      <c r="BJ70">
        <v>216.77002836032779</v>
      </c>
      <c r="BK70">
        <v>20.42054084176241</v>
      </c>
      <c r="BV70" s="38"/>
      <c r="BW70" s="6">
        <f t="shared" si="22"/>
        <v>0.95993108859688214</v>
      </c>
      <c r="BX70" s="9">
        <f t="shared" ca="1" si="31"/>
        <v>-96.272263561468336</v>
      </c>
      <c r="BY70" s="9">
        <f t="shared" ca="1" si="32"/>
        <v>-35.712047598975751</v>
      </c>
      <c r="BZ70">
        <f t="shared" ca="1" si="33"/>
        <v>102.68251591658792</v>
      </c>
      <c r="CA70" s="6">
        <f t="shared" ca="1" si="34"/>
        <v>-0.93757211441598465</v>
      </c>
      <c r="CB70" s="6">
        <f t="shared" ca="1" si="35"/>
        <v>-0.34779092896385316</v>
      </c>
      <c r="CC70" s="6">
        <f t="shared" ca="1" si="36"/>
        <v>-2.7863787438867238</v>
      </c>
      <c r="CD70" s="6">
        <f t="shared" ca="1" si="37"/>
        <v>138.50655746186439</v>
      </c>
      <c r="CE70" s="9">
        <f t="shared" ca="1" si="38"/>
        <v>-45.0327170344896</v>
      </c>
      <c r="CF70">
        <f t="shared" ca="1" si="39"/>
        <v>145.64344153941553</v>
      </c>
      <c r="CG70" s="6">
        <f t="shared" ca="1" si="40"/>
        <v>0.95099755950480136</v>
      </c>
      <c r="CH70" s="6">
        <f t="shared" ca="1" si="41"/>
        <v>-0.30919838585592874</v>
      </c>
      <c r="CI70" s="6">
        <f t="shared" ca="1" si="42"/>
        <v>-0.3143499975602761</v>
      </c>
      <c r="CJ70" s="1">
        <f t="shared" ca="1" si="43"/>
        <v>1.0997481609577244</v>
      </c>
      <c r="CK70" s="38"/>
    </row>
    <row r="71" spans="1:89" ht="15.75" thickBot="1" x14ac:dyDescent="0.3">
      <c r="A71">
        <f t="shared" si="73"/>
        <v>10</v>
      </c>
      <c r="B71" s="1">
        <f t="shared" si="73"/>
        <v>0</v>
      </c>
      <c r="C71" s="1">
        <f t="shared" ca="1" si="73"/>
        <v>0</v>
      </c>
      <c r="D71" s="1">
        <f t="shared" si="73"/>
        <v>10</v>
      </c>
      <c r="E71" s="1">
        <f t="shared" si="73"/>
        <v>2</v>
      </c>
      <c r="F71" s="1">
        <f t="shared" si="74"/>
        <v>4</v>
      </c>
      <c r="G71" s="1">
        <f t="shared" si="75"/>
        <v>-10</v>
      </c>
      <c r="H71" s="6">
        <f t="shared" si="76"/>
        <v>-10.288487214689949</v>
      </c>
      <c r="I71" s="6">
        <f t="shared" si="77"/>
        <v>-3.1854404457094234</v>
      </c>
      <c r="J71" s="6">
        <f t="shared" si="78"/>
        <v>10.12815024224744</v>
      </c>
      <c r="K71" s="12">
        <f t="shared" ca="1" si="79"/>
        <v>0</v>
      </c>
      <c r="L71">
        <f t="shared" ca="1" si="80"/>
        <v>0</v>
      </c>
      <c r="M71" s="11">
        <f t="shared" ca="1" si="81"/>
        <v>0</v>
      </c>
      <c r="N71" s="11">
        <f t="shared" ca="1" si="82"/>
        <v>0</v>
      </c>
      <c r="O71" s="11">
        <f t="shared" ca="1" si="83"/>
        <v>0</v>
      </c>
      <c r="Q71" t="e">
        <f t="shared" si="84"/>
        <v>#N/A</v>
      </c>
      <c r="R71" t="e">
        <f t="shared" si="85"/>
        <v>#N/A</v>
      </c>
      <c r="BC71">
        <v>1.2042771838760886</v>
      </c>
      <c r="BD71">
        <v>143.97943541744428</v>
      </c>
      <c r="BE71">
        <v>14.402487894380945</v>
      </c>
      <c r="BF71" s="6">
        <f t="shared" si="86"/>
        <v>9.9699902405228497E-2</v>
      </c>
      <c r="BG71" s="6">
        <f t="shared" si="87"/>
        <v>1.1045772814708601</v>
      </c>
      <c r="BH71" s="6">
        <f t="shared" si="88"/>
        <v>0.68569826099221975</v>
      </c>
      <c r="BI71" s="6">
        <f t="shared" si="89"/>
        <v>0.68569826099221975</v>
      </c>
      <c r="BJ71">
        <v>212.6035029714823</v>
      </c>
      <c r="BK71">
        <v>21.267060597730115</v>
      </c>
      <c r="BV71" s="38"/>
      <c r="BW71" s="6">
        <f t="shared" si="22"/>
        <v>0.97738438111682546</v>
      </c>
      <c r="BX71" s="9">
        <f t="shared" ca="1" si="31"/>
        <v>-93.313414509358736</v>
      </c>
      <c r="BY71" s="9">
        <f t="shared" ca="1" si="32"/>
        <v>-36.473385614199536</v>
      </c>
      <c r="BZ71">
        <f t="shared" ca="1" si="33"/>
        <v>100.18832858949938</v>
      </c>
      <c r="CA71" s="6">
        <f t="shared" ca="1" si="34"/>
        <v>-0.93138009010701084</v>
      </c>
      <c r="CB71" s="6">
        <f t="shared" ca="1" si="35"/>
        <v>-0.36404824920916257</v>
      </c>
      <c r="CC71" s="6">
        <f t="shared" ca="1" si="36"/>
        <v>-2.7689819263739621</v>
      </c>
      <c r="CD71" s="6">
        <f t="shared" ca="1" si="37"/>
        <v>135.54770840975479</v>
      </c>
      <c r="CE71" s="9">
        <f t="shared" ca="1" si="38"/>
        <v>-44.271379019265815</v>
      </c>
      <c r="CF71">
        <f t="shared" ca="1" si="39"/>
        <v>142.59430653221537</v>
      </c>
      <c r="CG71" s="6">
        <f t="shared" ca="1" si="40"/>
        <v>0.95058289286698416</v>
      </c>
      <c r="CH71" s="6">
        <f t="shared" ca="1" si="41"/>
        <v>-0.31047087430004705</v>
      </c>
      <c r="CI71" s="6">
        <f t="shared" ca="1" si="42"/>
        <v>-0.31568834561974807</v>
      </c>
      <c r="CJ71" s="1">
        <f t="shared" ca="1" si="43"/>
        <v>1.1010865090171964</v>
      </c>
      <c r="CK71" s="38"/>
    </row>
    <row r="72" spans="1:89" ht="15.75" thickTop="1" x14ac:dyDescent="0.25">
      <c r="K72" s="13">
        <f ca="1">MIN(K62:K71)</f>
        <v>-2.2448665928330876E-3</v>
      </c>
      <c r="M72" s="9">
        <f ca="1">SUM(M62:M71)</f>
        <v>-81.52978728361208</v>
      </c>
      <c r="N72" s="9">
        <f ca="1">SUM(N62:N71)</f>
        <v>-195.39290443968312</v>
      </c>
      <c r="O72" s="9">
        <f ca="1">SUM(O62:O71)</f>
        <v>-715.49181938653464</v>
      </c>
      <c r="BC72">
        <v>1.2217304763960319</v>
      </c>
      <c r="BD72">
        <v>140.85557634286354</v>
      </c>
      <c r="BE72">
        <v>14.935120231130115</v>
      </c>
      <c r="BF72" s="6">
        <f t="shared" si="86"/>
        <v>0.10563674487561216</v>
      </c>
      <c r="BG72" s="6">
        <f t="shared" si="87"/>
        <v>1.1160937315204198</v>
      </c>
      <c r="BH72" s="6">
        <f t="shared" si="88"/>
        <v>0.67976141852183614</v>
      </c>
      <c r="BI72" s="6">
        <f t="shared" si="89"/>
        <v>0.67976141852183614</v>
      </c>
      <c r="BJ72">
        <v>208.39867019695913</v>
      </c>
      <c r="BK72">
        <v>22.096812041172058</v>
      </c>
      <c r="BV72" s="38"/>
      <c r="BW72" s="6">
        <f t="shared" si="22"/>
        <v>0.99483767363676878</v>
      </c>
      <c r="BX72" s="9">
        <f t="shared" ca="1" si="31"/>
        <v>-89.987181765952229</v>
      </c>
      <c r="BY72" s="9">
        <f t="shared" ca="1" si="32"/>
        <v>-37.290990633721123</v>
      </c>
      <c r="BZ72">
        <f t="shared" ca="1" si="33"/>
        <v>97.40796099201954</v>
      </c>
      <c r="CA72" s="6">
        <f t="shared" ca="1" si="34"/>
        <v>-0.92381752835709929</v>
      </c>
      <c r="CB72" s="6">
        <f t="shared" ca="1" si="35"/>
        <v>-0.38283308934858318</v>
      </c>
      <c r="CC72" s="6">
        <f t="shared" ca="1" si="36"/>
        <v>-2.7487315789038682</v>
      </c>
      <c r="CD72" s="6">
        <f t="shared" ca="1" si="37"/>
        <v>132.22147566634828</v>
      </c>
      <c r="CE72" s="9">
        <f t="shared" ca="1" si="38"/>
        <v>-43.453773999744229</v>
      </c>
      <c r="CF72">
        <f t="shared" ca="1" si="39"/>
        <v>139.17883855747459</v>
      </c>
      <c r="CG72" s="6">
        <f t="shared" ca="1" si="40"/>
        <v>0.95001134537954035</v>
      </c>
      <c r="CH72" s="6">
        <f t="shared" ca="1" si="41"/>
        <v>-0.3122153802267848</v>
      </c>
      <c r="CI72" s="6">
        <f t="shared" ca="1" si="42"/>
        <v>-0.31752409298940898</v>
      </c>
      <c r="CJ72" s="1">
        <f t="shared" ca="1" si="43"/>
        <v>1.1029222563868573</v>
      </c>
      <c r="CK72" s="38"/>
    </row>
    <row r="73" spans="1:89" x14ac:dyDescent="0.25">
      <c r="N73" s="46">
        <f ca="1">N72/12</f>
        <v>-16.282742036640261</v>
      </c>
      <c r="O73" s="46">
        <f ca="1">O72/12</f>
        <v>-59.62431828221122</v>
      </c>
      <c r="BC73">
        <v>1.2391837689159753</v>
      </c>
      <c r="BD73">
        <v>137.73878510822937</v>
      </c>
      <c r="BE73">
        <v>15.458581445949415</v>
      </c>
      <c r="BF73" s="6">
        <f t="shared" si="86"/>
        <v>0.11176345882752872</v>
      </c>
      <c r="BG73" s="6">
        <f t="shared" si="87"/>
        <v>1.1274203100884466</v>
      </c>
      <c r="BH73" s="6">
        <f t="shared" si="88"/>
        <v>0.67363470456991958</v>
      </c>
      <c r="BI73" s="6">
        <f t="shared" si="89"/>
        <v>0.67363470456991958</v>
      </c>
      <c r="BJ73">
        <v>204.14842210688178</v>
      </c>
      <c r="BK73">
        <v>22.911810988615599</v>
      </c>
      <c r="BV73" s="38"/>
      <c r="BW73" s="6">
        <f t="shared" si="22"/>
        <v>1.0122909661567121</v>
      </c>
      <c r="BX73" s="9">
        <f t="shared" ca="1" si="31"/>
        <v>-86.699709043269294</v>
      </c>
      <c r="BY73" s="9">
        <f t="shared" ca="1" si="32"/>
        <v>-38.079352272582874</v>
      </c>
      <c r="BZ73">
        <f t="shared" ca="1" si="33"/>
        <v>94.693593329681036</v>
      </c>
      <c r="CA73" s="6">
        <f t="shared" ca="1" si="34"/>
        <v>-0.91558157204383839</v>
      </c>
      <c r="CB73" s="6">
        <f t="shared" ca="1" si="35"/>
        <v>-0.40213229779978338</v>
      </c>
      <c r="CC73" s="6">
        <f t="shared" ca="1" si="36"/>
        <v>-2.7277480954270161</v>
      </c>
      <c r="CD73" s="6">
        <f t="shared" ca="1" si="37"/>
        <v>128.93400294366535</v>
      </c>
      <c r="CE73" s="9">
        <f t="shared" ca="1" si="38"/>
        <v>-42.665412360882478</v>
      </c>
      <c r="CF73">
        <f t="shared" ca="1" si="39"/>
        <v>135.8098469441787</v>
      </c>
      <c r="CG73" s="6">
        <f t="shared" ca="1" si="40"/>
        <v>0.94937153560492926</v>
      </c>
      <c r="CH73" s="6">
        <f t="shared" ca="1" si="41"/>
        <v>-0.31415551464702735</v>
      </c>
      <c r="CI73" s="6">
        <f t="shared" ca="1" si="42"/>
        <v>-0.31956700257326037</v>
      </c>
      <c r="CJ73" s="1">
        <f t="shared" ca="1" si="43"/>
        <v>1.1049651659707087</v>
      </c>
      <c r="CK73" s="38"/>
    </row>
    <row r="74" spans="1:89" x14ac:dyDescent="0.25">
      <c r="BC74">
        <v>1.2566370614359186</v>
      </c>
      <c r="BD74">
        <v>134.62582092861925</v>
      </c>
      <c r="BE74">
        <v>15.975188908938655</v>
      </c>
      <c r="BF74" s="6">
        <f t="shared" si="86"/>
        <v>0.11811132127507484</v>
      </c>
      <c r="BG74" s="6">
        <f t="shared" si="87"/>
        <v>1.1385257401608437</v>
      </c>
      <c r="BH74" s="6">
        <f t="shared" si="88"/>
        <v>0.66728684212237344</v>
      </c>
      <c r="BI74" s="6">
        <f t="shared" si="89"/>
        <v>0.66728684212237344</v>
      </c>
      <c r="BJ74">
        <v>199.84470576921422</v>
      </c>
      <c r="BK74">
        <v>23.714298676828157</v>
      </c>
      <c r="BV74" s="38"/>
      <c r="BW74" s="6">
        <f t="shared" si="22"/>
        <v>1.0297442586766554</v>
      </c>
      <c r="BX74" s="9">
        <f t="shared" ca="1" si="31"/>
        <v>-83.447434482038645</v>
      </c>
      <c r="BY74" s="9">
        <f t="shared" ca="1" si="32"/>
        <v>-38.84018370207103</v>
      </c>
      <c r="BZ74">
        <f t="shared" ca="1" si="33"/>
        <v>92.043653728243299</v>
      </c>
      <c r="CA74" s="6">
        <f t="shared" ca="1" si="34"/>
        <v>-0.90660714891235428</v>
      </c>
      <c r="CB74" s="6">
        <f t="shared" ca="1" si="35"/>
        <v>-0.42197568358972093</v>
      </c>
      <c r="CC74" s="6">
        <f t="shared" ca="1" si="36"/>
        <v>-2.7059692300281362</v>
      </c>
      <c r="CD74" s="6">
        <f t="shared" ca="1" si="37"/>
        <v>125.6817283824347</v>
      </c>
      <c r="CE74" s="9">
        <f t="shared" ca="1" si="38"/>
        <v>-41.904580931394321</v>
      </c>
      <c r="CF74">
        <f t="shared" ca="1" si="39"/>
        <v>132.4835489871549</v>
      </c>
      <c r="CG74" s="6">
        <f t="shared" ca="1" si="40"/>
        <v>0.94865913046019257</v>
      </c>
      <c r="CH74" s="6">
        <f t="shared" ca="1" si="41"/>
        <v>-0.31630025955492203</v>
      </c>
      <c r="CI74" s="6">
        <f t="shared" ca="1" si="42"/>
        <v>-0.32182697026861079</v>
      </c>
      <c r="CJ74" s="1">
        <f t="shared" ca="1" si="43"/>
        <v>1.107225133666059</v>
      </c>
      <c r="CK74" s="38"/>
    </row>
    <row r="75" spans="1:89" x14ac:dyDescent="0.25">
      <c r="A75" s="8" t="s">
        <v>63</v>
      </c>
      <c r="B75" s="9">
        <f ca="1">N57+M72</f>
        <v>21.739498686825073</v>
      </c>
      <c r="C75" t="s">
        <v>68</v>
      </c>
      <c r="E75">
        <f>((O59*COS(-1*B27))+(P59*SIN(-1*B27)))</f>
        <v>-32.814361076922623</v>
      </c>
      <c r="F75">
        <f>(-1*(O59)*SIN(-1*B27))+((P59)*COS(-1*B27))</f>
        <v>45.958624887382022</v>
      </c>
      <c r="BC75">
        <v>1.2740903539558619</v>
      </c>
      <c r="BD75">
        <v>131.51311699273819</v>
      </c>
      <c r="BE75">
        <v>16.487614696394203</v>
      </c>
      <c r="BF75" s="6">
        <f t="shared" si="86"/>
        <v>0.12471790233716205</v>
      </c>
      <c r="BG75" s="6">
        <f t="shared" si="87"/>
        <v>1.1493724516186998</v>
      </c>
      <c r="BH75" s="6">
        <f t="shared" si="88"/>
        <v>0.66068026106028632</v>
      </c>
      <c r="BI75" s="6">
        <f t="shared" si="89"/>
        <v>0.66068026106028632</v>
      </c>
      <c r="BJ75">
        <v>195.47821756475449</v>
      </c>
      <c r="BK75">
        <v>24.506829481682452</v>
      </c>
      <c r="BV75" s="38"/>
      <c r="BW75" s="6">
        <f t="shared" si="22"/>
        <v>1.0471975511965987</v>
      </c>
      <c r="BX75" s="9">
        <f t="shared" ca="1" si="31"/>
        <v>-80.22690962818983</v>
      </c>
      <c r="BY75" s="9">
        <f t="shared" ca="1" si="32"/>
        <v>-39.575093810531918</v>
      </c>
      <c r="BZ75">
        <f t="shared" ca="1" si="33"/>
        <v>89.456945390518115</v>
      </c>
      <c r="CA75" s="6">
        <f t="shared" ca="1" si="34"/>
        <v>-0.89682147403943646</v>
      </c>
      <c r="CB75" s="6">
        <f t="shared" ca="1" si="35"/>
        <v>-0.44239263522546607</v>
      </c>
      <c r="CC75" s="6">
        <f t="shared" ca="1" si="36"/>
        <v>-2.6833278244656644</v>
      </c>
      <c r="CD75" s="6">
        <f t="shared" ca="1" si="37"/>
        <v>122.46120352858588</v>
      </c>
      <c r="CE75" s="9">
        <f t="shared" ca="1" si="38"/>
        <v>-41.169670822933433</v>
      </c>
      <c r="CF75">
        <f t="shared" ca="1" si="39"/>
        <v>129.19631637681638</v>
      </c>
      <c r="CG75" s="6">
        <f t="shared" ca="1" si="40"/>
        <v>0.94786915728629029</v>
      </c>
      <c r="CH75" s="6">
        <f t="shared" ca="1" si="41"/>
        <v>-0.31865978827799707</v>
      </c>
      <c r="CI75" s="6">
        <f t="shared" ca="1" si="42"/>
        <v>-0.32431523002293539</v>
      </c>
      <c r="CJ75" s="1">
        <f t="shared" ca="1" si="43"/>
        <v>1.1097133934203836</v>
      </c>
      <c r="CK75" s="38"/>
    </row>
    <row r="76" spans="1:89" x14ac:dyDescent="0.25">
      <c r="A76" s="8" t="s">
        <v>66</v>
      </c>
      <c r="B76" s="9">
        <f ca="1">O57+N72</f>
        <v>385.90361662389193</v>
      </c>
      <c r="C76" t="s">
        <v>69</v>
      </c>
      <c r="E76">
        <f ca="1">((N73*COS(-1*B27))+(O73*SIN(-1*B27)))</f>
        <v>60.737769878258405</v>
      </c>
      <c r="F76">
        <f ca="1">(-1*(N73)*SIN(-1*B27))+((O73)*COS(-1*B27))</f>
        <v>-11.45034187550417</v>
      </c>
      <c r="BC76">
        <v>1.2915436464758052</v>
      </c>
      <c r="BD76">
        <v>128.39660413211945</v>
      </c>
      <c r="BE76">
        <v>16.999012346482957</v>
      </c>
      <c r="BF76" s="6">
        <f t="shared" si="86"/>
        <v>0.1316290469059084</v>
      </c>
      <c r="BG76" s="6">
        <f t="shared" si="87"/>
        <v>1.1599145995698967</v>
      </c>
      <c r="BH76" s="6">
        <f t="shared" si="88"/>
        <v>0.6537691164915399</v>
      </c>
      <c r="BI76" s="6">
        <f t="shared" si="89"/>
        <v>0.6537691164915399</v>
      </c>
      <c r="BJ76">
        <v>191.03797070645362</v>
      </c>
      <c r="BK76">
        <v>25.292388725051001</v>
      </c>
      <c r="BV76" s="38"/>
      <c r="BW76" s="6">
        <f t="shared" si="22"/>
        <v>1.0646508437165421</v>
      </c>
      <c r="BX76" s="9">
        <f t="shared" ca="1" si="31"/>
        <v>-77.034780410091727</v>
      </c>
      <c r="BY76" s="9">
        <f t="shared" ca="1" si="32"/>
        <v>-40.285600610734697</v>
      </c>
      <c r="BZ76">
        <f t="shared" ca="1" si="33"/>
        <v>86.932657899081178</v>
      </c>
      <c r="CA76" s="6">
        <f t="shared" ca="1" si="34"/>
        <v>-0.8861431626710442</v>
      </c>
      <c r="CB76" s="6">
        <f t="shared" ca="1" si="35"/>
        <v>-0.46341158299222424</v>
      </c>
      <c r="CC76" s="6">
        <f t="shared" ca="1" si="36"/>
        <v>-2.6597513903481458</v>
      </c>
      <c r="CD76" s="6">
        <f t="shared" ca="1" si="37"/>
        <v>119.26907431048778</v>
      </c>
      <c r="CE76" s="9">
        <f t="shared" ca="1" si="38"/>
        <v>-40.459164022730654</v>
      </c>
      <c r="CF76">
        <f t="shared" ca="1" si="39"/>
        <v>125.9446546714027</v>
      </c>
      <c r="CG76" s="6">
        <f t="shared" ca="1" si="40"/>
        <v>0.94699592151543133</v>
      </c>
      <c r="CH76" s="6">
        <f t="shared" ca="1" si="41"/>
        <v>-0.3212455830562328</v>
      </c>
      <c r="CI76" s="6">
        <f t="shared" ca="1" si="42"/>
        <v>-0.32704449365448063</v>
      </c>
      <c r="CJ76" s="1">
        <f t="shared" ca="1" si="43"/>
        <v>1.112442657051929</v>
      </c>
      <c r="CK76" s="38"/>
    </row>
    <row r="77" spans="1:89" x14ac:dyDescent="0.25">
      <c r="A77" s="8" t="s">
        <v>67</v>
      </c>
      <c r="B77" s="9">
        <f ca="1">P57+O72</f>
        <v>-367.20011147965386</v>
      </c>
      <c r="C77" t="s">
        <v>69</v>
      </c>
      <c r="BC77">
        <v>1.3089969389957485</v>
      </c>
      <c r="BD77">
        <v>125.27144042710707</v>
      </c>
      <c r="BE77">
        <v>17.513190914542758</v>
      </c>
      <c r="BF77" s="6">
        <f t="shared" si="86"/>
        <v>0.13890168759546395</v>
      </c>
      <c r="BG77" s="6">
        <f t="shared" si="87"/>
        <v>1.1700952514002845</v>
      </c>
      <c r="BH77" s="6">
        <f t="shared" si="88"/>
        <v>0.64649647580198433</v>
      </c>
      <c r="BI77" s="6">
        <f t="shared" si="89"/>
        <v>0.64649647580198433</v>
      </c>
      <c r="BJ77">
        <v>186.51066837969464</v>
      </c>
      <c r="BK77">
        <v>26.074554038781219</v>
      </c>
      <c r="BV77" s="38"/>
      <c r="BW77" s="6">
        <f t="shared" si="22"/>
        <v>1.0821041362364854</v>
      </c>
      <c r="BX77" s="9">
        <f t="shared" ca="1" si="31"/>
        <v>-73.867768162830984</v>
      </c>
      <c r="BY77" s="9">
        <f t="shared" ca="1" si="32"/>
        <v>-40.973144282611628</v>
      </c>
      <c r="BZ77">
        <f t="shared" ca="1" si="33"/>
        <v>84.470383719747929</v>
      </c>
      <c r="CA77" s="6">
        <f t="shared" ca="1" si="34"/>
        <v>-0.87448126680596328</v>
      </c>
      <c r="CB77" s="6">
        <f t="shared" ca="1" si="35"/>
        <v>-0.48505928916518831</v>
      </c>
      <c r="CC77" s="6">
        <f t="shared" ca="1" si="36"/>
        <v>-2.6351616879453941</v>
      </c>
      <c r="CD77" s="6">
        <f t="shared" ca="1" si="37"/>
        <v>116.10206206322704</v>
      </c>
      <c r="CE77" s="9">
        <f t="shared" ca="1" si="38"/>
        <v>-39.771620350853723</v>
      </c>
      <c r="CF77">
        <f t="shared" ca="1" si="39"/>
        <v>122.72518323745075</v>
      </c>
      <c r="CG77" s="6">
        <f t="shared" ca="1" si="40"/>
        <v>0.94603290865405198</v>
      </c>
      <c r="CH77" s="6">
        <f t="shared" ca="1" si="41"/>
        <v>-0.32407057216531443</v>
      </c>
      <c r="CI77" s="6">
        <f t="shared" ca="1" si="42"/>
        <v>-0.33002911487839859</v>
      </c>
      <c r="CJ77" s="1">
        <f t="shared" ca="1" si="43"/>
        <v>1.1154272782758468</v>
      </c>
      <c r="CK77" s="38"/>
    </row>
    <row r="78" spans="1:89" x14ac:dyDescent="0.25">
      <c r="BC78">
        <v>1.3264502315156919</v>
      </c>
      <c r="BD78">
        <v>122.13158566746442</v>
      </c>
      <c r="BE78">
        <v>18.034859092609519</v>
      </c>
      <c r="BF78" s="6">
        <f t="shared" si="86"/>
        <v>0.14660794238473376</v>
      </c>
      <c r="BG78" s="6">
        <f t="shared" si="87"/>
        <v>1.1798422891309581</v>
      </c>
      <c r="BH78" s="6">
        <f t="shared" si="88"/>
        <v>0.63879022101271454</v>
      </c>
      <c r="BI78" s="6">
        <f t="shared" si="89"/>
        <v>0.63879022101271454</v>
      </c>
      <c r="BJ78">
        <v>181.8797713276586</v>
      </c>
      <c r="BK78">
        <v>26.857720955343293</v>
      </c>
      <c r="BV78" s="38"/>
      <c r="BW78" s="6">
        <f t="shared" si="22"/>
        <v>1.0995574287564287</v>
      </c>
      <c r="BX78" s="9">
        <f t="shared" ca="1" si="31"/>
        <v>-70.722650276930338</v>
      </c>
      <c r="BY78" s="9">
        <f t="shared" ca="1" si="32"/>
        <v>-41.639100152443305</v>
      </c>
      <c r="BZ78">
        <f t="shared" ca="1" si="33"/>
        <v>82.070140268542232</v>
      </c>
      <c r="CA78" s="6">
        <f t="shared" ca="1" si="34"/>
        <v>-0.86173424397129461</v>
      </c>
      <c r="CB78" s="6">
        <f t="shared" ca="1" si="35"/>
        <v>-0.507359924281788</v>
      </c>
      <c r="CC78" s="6">
        <f t="shared" ca="1" si="36"/>
        <v>-2.6094743136247804</v>
      </c>
      <c r="CD78" s="6">
        <f t="shared" ca="1" si="37"/>
        <v>112.95694417732639</v>
      </c>
      <c r="CE78" s="9">
        <f t="shared" ca="1" si="38"/>
        <v>-39.105664481022046</v>
      </c>
      <c r="CF78">
        <f t="shared" ca="1" si="39"/>
        <v>119.53461520572985</v>
      </c>
      <c r="CG78" s="6">
        <f t="shared" ca="1" si="40"/>
        <v>0.94497266739778518</v>
      </c>
      <c r="CH78" s="6">
        <f t="shared" ca="1" si="41"/>
        <v>-0.32714928988324993</v>
      </c>
      <c r="CI78" s="6">
        <f t="shared" ca="1" si="42"/>
        <v>-0.33328528190055606</v>
      </c>
      <c r="CJ78" s="1">
        <f t="shared" ca="1" si="43"/>
        <v>1.1186834452980043</v>
      </c>
      <c r="CK78" s="38"/>
    </row>
    <row r="79" spans="1:89" x14ac:dyDescent="0.25">
      <c r="A79" s="8" t="s">
        <v>64</v>
      </c>
      <c r="B79">
        <f ca="1">((B76*COS(-1*B27))+(B77*SIN(-1*B27)))</f>
        <v>335.08090561602938</v>
      </c>
      <c r="C79" t="s">
        <v>69</v>
      </c>
      <c r="BC79">
        <v>1.3439035240356352</v>
      </c>
      <c r="BD79">
        <v>118.969113310944</v>
      </c>
      <c r="BE79">
        <v>18.569975511962372</v>
      </c>
      <c r="BF79" s="6">
        <f t="shared" si="86"/>
        <v>0.15484126200074566</v>
      </c>
      <c r="BG79" s="6">
        <f t="shared" si="87"/>
        <v>1.1890622620348896</v>
      </c>
      <c r="BH79" s="6">
        <f t="shared" si="88"/>
        <v>0.63055690139670262</v>
      </c>
      <c r="BI79" s="6">
        <f t="shared" si="89"/>
        <v>0.63055690139670262</v>
      </c>
      <c r="BJ79">
        <v>177.1240714845176</v>
      </c>
      <c r="BK79">
        <v>27.647425272892164</v>
      </c>
      <c r="BV79" s="38"/>
      <c r="BW79" s="6">
        <f t="shared" ref="BW79:BW142" si="90">BC66</f>
        <v>1.117010721276372</v>
      </c>
      <c r="BX79" s="9">
        <f t="shared" ca="1" si="31"/>
        <v>-67.573272347426226</v>
      </c>
      <c r="BY79" s="9">
        <f t="shared" ca="1" si="32"/>
        <v>-42.280072527022597</v>
      </c>
      <c r="BZ79">
        <f t="shared" ca="1" si="33"/>
        <v>79.710423839230259</v>
      </c>
      <c r="CA79" s="6">
        <f t="shared" ca="1" si="34"/>
        <v>-0.84773445043669915</v>
      </c>
      <c r="CB79" s="6">
        <f t="shared" ca="1" si="35"/>
        <v>-0.53042087208441169</v>
      </c>
      <c r="CC79" s="6">
        <f t="shared" ca="1" si="36"/>
        <v>-2.5824956984248391</v>
      </c>
      <c r="CD79" s="6">
        <f t="shared" ca="1" si="37"/>
        <v>109.80756624782228</v>
      </c>
      <c r="CE79" s="9">
        <f t="shared" ca="1" si="38"/>
        <v>-38.464692106442754</v>
      </c>
      <c r="CF79">
        <f t="shared" ca="1" si="39"/>
        <v>116.34962030068391</v>
      </c>
      <c r="CG79" s="6">
        <f t="shared" ca="1" si="40"/>
        <v>0.94377245034444535</v>
      </c>
      <c r="CH79" s="6">
        <f t="shared" ca="1" si="41"/>
        <v>-0.33059576822887715</v>
      </c>
      <c r="CI79" s="6">
        <f t="shared" ca="1" si="42"/>
        <v>-0.33693476799375066</v>
      </c>
      <c r="CJ79" s="1">
        <f t="shared" ca="1" si="43"/>
        <v>1.1223329313911989</v>
      </c>
      <c r="CK79" s="38"/>
    </row>
    <row r="80" spans="1:89" x14ac:dyDescent="0.25">
      <c r="A80" s="8" t="s">
        <v>65</v>
      </c>
      <c r="B80">
        <f ca="1">(-1*(B76)*SIN(-1*B27))+((B77)*COS(-1*B27))</f>
        <v>414.09939614253426</v>
      </c>
      <c r="C80" t="s">
        <v>69</v>
      </c>
      <c r="BC80">
        <v>1.3613568165555785</v>
      </c>
      <c r="BD80">
        <v>115.77306501068053</v>
      </c>
      <c r="BE80">
        <v>19.126264282565849</v>
      </c>
      <c r="BF80" s="6">
        <f t="shared" si="86"/>
        <v>0.16372596948988138</v>
      </c>
      <c r="BG80" s="6">
        <f t="shared" si="87"/>
        <v>1.1976308470656971</v>
      </c>
      <c r="BH80" s="6">
        <f t="shared" si="88"/>
        <v>0.62167219390756689</v>
      </c>
      <c r="BI80" s="6">
        <f t="shared" si="89"/>
        <v>0.62167219390756689</v>
      </c>
      <c r="BJ80">
        <v>172.21544158231774</v>
      </c>
      <c r="BK80">
        <v>28.450814953705507</v>
      </c>
      <c r="BV80" s="38"/>
      <c r="BW80" s="6">
        <f t="shared" si="90"/>
        <v>1.1344640137963153</v>
      </c>
      <c r="BX80" s="9">
        <f t="shared" ref="BX80:BX143" ca="1" si="91">$BW$5-BD67</f>
        <v>-64.370340575408633</v>
      </c>
      <c r="BY80" s="9">
        <f t="shared" ref="BY80:BY143" ca="1" si="92">$BX$5-BE67</f>
        <v>-42.886392210037371</v>
      </c>
      <c r="BZ80">
        <f t="shared" ref="BZ80:BZ143" ca="1" si="93">SQRT(POWER(BX80,2)+POWER(BY80,2))</f>
        <v>77.348454299922849</v>
      </c>
      <c r="CA80" s="6">
        <f t="shared" ref="CA80:CA143" ca="1" si="94">BX80/BZ80</f>
        <v>-0.83221237137860737</v>
      </c>
      <c r="CB80" s="6">
        <f t="shared" ref="CB80:CB143" ca="1" si="95">BY80/BZ80</f>
        <v>-0.55445700367512252</v>
      </c>
      <c r="CC80" s="6">
        <f t="shared" ref="CC80:CC143" ca="1" si="96">ATAN2(CA80,CB80)</f>
        <v>-2.5538823026455981</v>
      </c>
      <c r="CD80" s="6">
        <f t="shared" ref="CD80:CD143" ca="1" si="97">$BW$9-BX80</f>
        <v>106.60463447580469</v>
      </c>
      <c r="CE80" s="9">
        <f t="shared" ref="CE80:CE143" ca="1" si="98">$BX$9-BY80</f>
        <v>-37.85837242342798</v>
      </c>
      <c r="CF80">
        <f t="shared" ref="CF80:CF143" ca="1" si="99">SQRT(POWER(CD80,2)+POWER(CE80,2))</f>
        <v>113.12738154076978</v>
      </c>
      <c r="CG80" s="6">
        <f t="shared" ref="CG80:CG143" ca="1" si="100">CD80/CF80</f>
        <v>0.94234157127897133</v>
      </c>
      <c r="CH80" s="6">
        <f t="shared" ref="CH80:CH143" ca="1" si="101">CE80/CF80</f>
        <v>-0.33465260052699325</v>
      </c>
      <c r="CI80" s="6">
        <f t="shared" ref="CI80:CI143" ca="1" si="102">ATAN2(CG80,CH80)</f>
        <v>-0.3412365503839126</v>
      </c>
      <c r="CJ80" s="1">
        <f t="shared" ref="CJ80:CJ143" ca="1" si="103">ATAN2(COS($U$13-CI80),SIN($U$13-CI80))</f>
        <v>1.1266347137813608</v>
      </c>
      <c r="CK80" s="38"/>
    </row>
    <row r="81" spans="1:89" x14ac:dyDescent="0.25">
      <c r="BC81">
        <v>1.3788101090755218</v>
      </c>
      <c r="BD81">
        <v>112.52752159601688</v>
      </c>
      <c r="BE81">
        <v>19.713978453347778</v>
      </c>
      <c r="BF81" s="6">
        <f t="shared" si="86"/>
        <v>0.1734324456104126</v>
      </c>
      <c r="BG81" s="6">
        <f t="shared" si="87"/>
        <v>1.2053776634651092</v>
      </c>
      <c r="BH81" s="6">
        <f t="shared" si="88"/>
        <v>0.61196571778703568</v>
      </c>
      <c r="BI81" s="6">
        <f t="shared" si="89"/>
        <v>0.61196571778703568</v>
      </c>
      <c r="BJ81">
        <v>167.11524278268129</v>
      </c>
      <c r="BK81">
        <v>29.277338101085281</v>
      </c>
      <c r="BV81" s="38"/>
      <c r="BW81" s="6">
        <f t="shared" si="90"/>
        <v>1.1519173063162587</v>
      </c>
      <c r="BX81" s="9">
        <f t="shared" ca="1" si="91"/>
        <v>-61.188877393190083</v>
      </c>
      <c r="BY81" s="9">
        <f t="shared" ca="1" si="92"/>
        <v>-43.47465067531823</v>
      </c>
      <c r="BZ81">
        <f t="shared" ca="1" si="93"/>
        <v>75.060801807466703</v>
      </c>
      <c r="CA81" s="6">
        <f t="shared" ca="1" si="94"/>
        <v>-0.81519083089655053</v>
      </c>
      <c r="CB81" s="6">
        <f t="shared" ca="1" si="95"/>
        <v>-0.57919246302260485</v>
      </c>
      <c r="CC81" s="6">
        <f t="shared" ca="1" si="96"/>
        <v>-2.5238549229025633</v>
      </c>
      <c r="CD81" s="6">
        <f t="shared" ca="1" si="97"/>
        <v>103.42317129358614</v>
      </c>
      <c r="CE81" s="9">
        <f t="shared" ca="1" si="98"/>
        <v>-37.270113958147121</v>
      </c>
      <c r="CF81">
        <f t="shared" ca="1" si="99"/>
        <v>109.9336788926657</v>
      </c>
      <c r="CG81" s="6">
        <f t="shared" ca="1" si="100"/>
        <v>0.94077786111901041</v>
      </c>
      <c r="CH81" s="6">
        <f t="shared" ca="1" si="101"/>
        <v>-0.33902362163769656</v>
      </c>
      <c r="CI81" s="6">
        <f t="shared" ca="1" si="102"/>
        <v>-0.34587886163139958</v>
      </c>
      <c r="CJ81" s="1">
        <f t="shared" ca="1" si="103"/>
        <v>1.1312770250288477</v>
      </c>
      <c r="CK81" s="38"/>
    </row>
    <row r="82" spans="1:89" x14ac:dyDescent="0.25">
      <c r="B82">
        <f>ATAN2(1,0)</f>
        <v>0</v>
      </c>
      <c r="BC82">
        <v>1.3962634015954651</v>
      </c>
      <c r="BD82">
        <v>109.2188717852531</v>
      </c>
      <c r="BE82">
        <v>20.342814244519666</v>
      </c>
      <c r="BF82" s="6">
        <f t="shared" si="86"/>
        <v>0.18414720357183881</v>
      </c>
      <c r="BG82" s="6">
        <f t="shared" si="87"/>
        <v>1.2121161980236264</v>
      </c>
      <c r="BH82" s="6">
        <f t="shared" si="88"/>
        <v>0.6012509598256095</v>
      </c>
      <c r="BI82" s="6">
        <f t="shared" si="89"/>
        <v>0.6012509598256095</v>
      </c>
      <c r="BJ82">
        <v>161.78943277266018</v>
      </c>
      <c r="BK82">
        <v>30.13446599312719</v>
      </c>
      <c r="BV82" s="38"/>
      <c r="BW82" s="6">
        <f t="shared" si="90"/>
        <v>1.169370598836202</v>
      </c>
      <c r="BX82" s="9">
        <f t="shared" ca="1" si="91"/>
        <v>-58.026067576383767</v>
      </c>
      <c r="BY82" s="9">
        <f t="shared" ca="1" si="92"/>
        <v>-44.046436194711767</v>
      </c>
      <c r="BZ82">
        <f t="shared" ca="1" si="93"/>
        <v>72.849935208165206</v>
      </c>
      <c r="CA82" s="6">
        <f t="shared" ca="1" si="94"/>
        <v>-0.79651501968501481</v>
      </c>
      <c r="CB82" s="6">
        <f t="shared" ca="1" si="95"/>
        <v>-0.60461874219724676</v>
      </c>
      <c r="CC82" s="6">
        <f t="shared" ca="1" si="96"/>
        <v>-2.4923055305657815</v>
      </c>
      <c r="CD82" s="6">
        <f t="shared" ca="1" si="97"/>
        <v>100.26036147677982</v>
      </c>
      <c r="CE82" s="9">
        <f t="shared" ca="1" si="98"/>
        <v>-36.698328438753585</v>
      </c>
      <c r="CF82">
        <f t="shared" ca="1" si="99"/>
        <v>106.76566579969979</v>
      </c>
      <c r="CG82" s="6">
        <f t="shared" ca="1" si="100"/>
        <v>0.93906932276220334</v>
      </c>
      <c r="CH82" s="6">
        <f t="shared" ca="1" si="101"/>
        <v>-0.34372780953384713</v>
      </c>
      <c r="CI82" s="6">
        <f t="shared" ca="1" si="102"/>
        <v>-0.35088371321408451</v>
      </c>
      <c r="CJ82" s="1">
        <f t="shared" ca="1" si="103"/>
        <v>1.1362818766115328</v>
      </c>
      <c r="CK82" s="38"/>
    </row>
    <row r="83" spans="1:89" x14ac:dyDescent="0.25">
      <c r="A83" t="s">
        <v>74</v>
      </c>
      <c r="B83">
        <f ca="1">ATAN2(B79,B80)</f>
        <v>0.89048289953544713</v>
      </c>
      <c r="BC83">
        <v>1.4137166941154085</v>
      </c>
      <c r="BD83">
        <v>105.73285241018895</v>
      </c>
      <c r="BE83">
        <v>20.93913786199635</v>
      </c>
      <c r="BF83" s="6">
        <f t="shared" si="86"/>
        <v>0.19550845021919905</v>
      </c>
      <c r="BG83" s="6">
        <f t="shared" si="87"/>
        <v>1.2182082438962094</v>
      </c>
      <c r="BH83" s="6">
        <f t="shared" si="88"/>
        <v>0.58988971317824923</v>
      </c>
      <c r="BI83" s="6">
        <f t="shared" si="89"/>
        <v>0.58988971317824923</v>
      </c>
      <c r="BJ83">
        <v>155.88059178534007</v>
      </c>
      <c r="BK83">
        <v>30.870303098796146</v>
      </c>
      <c r="BV83" s="38"/>
      <c r="BW83" s="6">
        <f t="shared" si="90"/>
        <v>1.1868238913561453</v>
      </c>
      <c r="BX83" s="9">
        <f t="shared" ca="1" si="91"/>
        <v>-54.879101225081442</v>
      </c>
      <c r="BY83" s="9">
        <f t="shared" ca="1" si="92"/>
        <v>-44.603392213365353</v>
      </c>
      <c r="BZ83">
        <f t="shared" ca="1" si="93"/>
        <v>70.719009807915413</v>
      </c>
      <c r="CA83" s="6">
        <f t="shared" ca="1" si="94"/>
        <v>-0.77601625608364999</v>
      </c>
      <c r="CB83" s="6">
        <f t="shared" ca="1" si="95"/>
        <v>-0.63071290639554456</v>
      </c>
      <c r="CC83" s="6">
        <f t="shared" ca="1" si="96"/>
        <v>-2.4591211100465906</v>
      </c>
      <c r="CD83" s="6">
        <f t="shared" ca="1" si="97"/>
        <v>97.113395125477496</v>
      </c>
      <c r="CE83" s="9">
        <f t="shared" ca="1" si="98"/>
        <v>-36.141372420099998</v>
      </c>
      <c r="CF83">
        <f t="shared" ca="1" si="99"/>
        <v>103.62051106419753</v>
      </c>
      <c r="CG83" s="6">
        <f t="shared" ca="1" si="100"/>
        <v>0.93720243345751708</v>
      </c>
      <c r="CH83" s="6">
        <f t="shared" ca="1" si="101"/>
        <v>-0.34878589237712604</v>
      </c>
      <c r="CI83" s="6">
        <f t="shared" ca="1" si="102"/>
        <v>-0.35627533153748631</v>
      </c>
      <c r="CJ83" s="1">
        <f t="shared" ca="1" si="103"/>
        <v>1.1416734949349345</v>
      </c>
      <c r="CK83" s="38"/>
    </row>
    <row r="84" spans="1:89" x14ac:dyDescent="0.25">
      <c r="BC84">
        <v>1.4311699866353518</v>
      </c>
      <c r="BD84">
        <v>102.16211995533689</v>
      </c>
      <c r="BE84">
        <v>21.546128679339859</v>
      </c>
      <c r="BF84" s="6">
        <f t="shared" si="86"/>
        <v>0.20785531374191393</v>
      </c>
      <c r="BG84" s="6">
        <f t="shared" si="87"/>
        <v>1.2233146728934379</v>
      </c>
      <c r="BH84" s="6">
        <f t="shared" si="88"/>
        <v>0.57754284965553437</v>
      </c>
      <c r="BI84" s="6">
        <f t="shared" si="89"/>
        <v>0.57754284965553437</v>
      </c>
      <c r="BJ84">
        <v>149.62671950278036</v>
      </c>
      <c r="BK84">
        <v>31.556476644022336</v>
      </c>
      <c r="BV84" s="38"/>
      <c r="BW84" s="6">
        <f t="shared" si="90"/>
        <v>1.2042771838760886</v>
      </c>
      <c r="BX84" s="9">
        <f t="shared" ca="1" si="91"/>
        <v>-51.745141517048225</v>
      </c>
      <c r="BY84" s="9">
        <f t="shared" ca="1" si="92"/>
        <v>-45.147252527846298</v>
      </c>
      <c r="BZ84">
        <f t="shared" ca="1" si="93"/>
        <v>68.671930811886099</v>
      </c>
      <c r="CA84" s="6">
        <f t="shared" ca="1" si="94"/>
        <v>-0.75351225610350692</v>
      </c>
      <c r="CB84" s="6">
        <f t="shared" ca="1" si="95"/>
        <v>-0.6574338597165521</v>
      </c>
      <c r="CC84" s="6">
        <f t="shared" ca="1" si="96"/>
        <v>-2.4241845460429876</v>
      </c>
      <c r="CD84" s="6">
        <f t="shared" ca="1" si="97"/>
        <v>93.979435417444279</v>
      </c>
      <c r="CE84" s="9">
        <f t="shared" ca="1" si="98"/>
        <v>-35.597512105619053</v>
      </c>
      <c r="CF84">
        <f t="shared" ca="1" si="99"/>
        <v>100.49535884552716</v>
      </c>
      <c r="CG84" s="6">
        <f t="shared" ca="1" si="100"/>
        <v>0.93516194675120667</v>
      </c>
      <c r="CH84" s="6">
        <f t="shared" ca="1" si="101"/>
        <v>-0.35422045868144508</v>
      </c>
      <c r="CI84" s="6">
        <f t="shared" ca="1" si="102"/>
        <v>-0.36208034588245042</v>
      </c>
      <c r="CJ84" s="1">
        <f t="shared" ca="1" si="103"/>
        <v>1.1474785092798987</v>
      </c>
      <c r="CK84" s="38"/>
    </row>
    <row r="85" spans="1:89" x14ac:dyDescent="0.25">
      <c r="BC85">
        <v>1.4486232791552951</v>
      </c>
      <c r="BD85">
        <v>98.537496807824269</v>
      </c>
      <c r="BE85">
        <v>22.178965059425856</v>
      </c>
      <c r="BF85" s="6">
        <f t="shared" si="86"/>
        <v>0.22139198944572219</v>
      </c>
      <c r="BG85" s="6">
        <f t="shared" si="87"/>
        <v>1.227231289709573</v>
      </c>
      <c r="BH85" s="6">
        <f t="shared" si="88"/>
        <v>0.56400617395172614</v>
      </c>
      <c r="BI85" s="6">
        <f t="shared" si="89"/>
        <v>0.56400617395172614</v>
      </c>
      <c r="BJ85">
        <v>143.08583491202512</v>
      </c>
      <c r="BK85">
        <v>32.205970679382972</v>
      </c>
      <c r="BV85" s="38"/>
      <c r="BW85" s="6">
        <f t="shared" si="90"/>
        <v>1.2217304763960319</v>
      </c>
      <c r="BX85" s="9">
        <f t="shared" ca="1" si="91"/>
        <v>-48.621282442467489</v>
      </c>
      <c r="BY85" s="9">
        <f t="shared" ca="1" si="92"/>
        <v>-45.679884864595465</v>
      </c>
      <c r="BZ85">
        <f t="shared" ca="1" si="93"/>
        <v>66.713424343177707</v>
      </c>
      <c r="CA85" s="6">
        <f t="shared" ca="1" si="94"/>
        <v>-0.72880807605313147</v>
      </c>
      <c r="CB85" s="6">
        <f t="shared" ca="1" si="95"/>
        <v>-0.6847180356027821</v>
      </c>
      <c r="CC85" s="6">
        <f t="shared" ca="1" si="96"/>
        <v>-2.3873759093816749</v>
      </c>
      <c r="CD85" s="6">
        <f t="shared" ca="1" si="97"/>
        <v>90.855576342863543</v>
      </c>
      <c r="CE85" s="9">
        <f t="shared" ca="1" si="98"/>
        <v>-35.064879768869886</v>
      </c>
      <c r="CF85">
        <f t="shared" ca="1" si="99"/>
        <v>97.387276098057114</v>
      </c>
      <c r="CG85" s="6">
        <f t="shared" ca="1" si="100"/>
        <v>0.93293066592583462</v>
      </c>
      <c r="CH85" s="6">
        <f t="shared" ca="1" si="101"/>
        <v>-0.36005606865483974</v>
      </c>
      <c r="CI85" s="6">
        <f t="shared" ca="1" si="102"/>
        <v>-0.36832799222713369</v>
      </c>
      <c r="CJ85" s="1">
        <f t="shared" ca="1" si="103"/>
        <v>1.1537261556245819</v>
      </c>
      <c r="CK85" s="38"/>
    </row>
    <row r="86" spans="1:89" x14ac:dyDescent="0.25">
      <c r="BC86">
        <v>1.4660765716752384</v>
      </c>
      <c r="BD86">
        <v>94.873663018924432</v>
      </c>
      <c r="BE86">
        <v>22.84403852885805</v>
      </c>
      <c r="BF86" s="6">
        <f t="shared" si="86"/>
        <v>0.23628593510933718</v>
      </c>
      <c r="BG86" s="6">
        <f t="shared" si="87"/>
        <v>1.2297906365659013</v>
      </c>
      <c r="BH86" s="6">
        <f t="shared" si="88"/>
        <v>0.54911222828811113</v>
      </c>
      <c r="BI86" s="6">
        <f t="shared" si="89"/>
        <v>0.54911222828811113</v>
      </c>
      <c r="BJ86">
        <v>136.25805975960174</v>
      </c>
      <c r="BK86">
        <v>32.808729714535197</v>
      </c>
      <c r="BV86" s="38"/>
      <c r="BW86" s="6">
        <f t="shared" si="90"/>
        <v>1.2391837689159753</v>
      </c>
      <c r="BX86" s="9">
        <f t="shared" ca="1" si="91"/>
        <v>-45.504491207833311</v>
      </c>
      <c r="BY86" s="9">
        <f t="shared" ca="1" si="92"/>
        <v>-46.203346079414764</v>
      </c>
      <c r="BZ86">
        <f t="shared" ca="1" si="93"/>
        <v>64.849116486024315</v>
      </c>
      <c r="CA86" s="6">
        <f t="shared" ca="1" si="94"/>
        <v>-0.70169793628013455</v>
      </c>
      <c r="CB86" s="6">
        <f t="shared" ca="1" si="95"/>
        <v>-0.71247456531458042</v>
      </c>
      <c r="CC86" s="6">
        <f t="shared" ca="1" si="96"/>
        <v>-2.3485741889734371</v>
      </c>
      <c r="CD86" s="6">
        <f t="shared" ca="1" si="97"/>
        <v>87.738785108229365</v>
      </c>
      <c r="CE86" s="9">
        <f t="shared" ca="1" si="98"/>
        <v>-34.541418554050587</v>
      </c>
      <c r="CF86">
        <f t="shared" ca="1" si="99"/>
        <v>94.293181132010616</v>
      </c>
      <c r="CG86" s="6">
        <f t="shared" ca="1" si="100"/>
        <v>0.93048918336305697</v>
      </c>
      <c r="CH86" s="6">
        <f t="shared" ca="1" si="101"/>
        <v>-0.36631936837185014</v>
      </c>
      <c r="CI86" s="6">
        <f t="shared" ca="1" si="102"/>
        <v>-0.37505033784653463</v>
      </c>
      <c r="CJ86" s="1">
        <f t="shared" ca="1" si="103"/>
        <v>1.1604485012439829</v>
      </c>
      <c r="CK86" s="38"/>
    </row>
    <row r="87" spans="1:89" x14ac:dyDescent="0.25">
      <c r="A87" t="s">
        <v>119</v>
      </c>
      <c r="BC87">
        <v>1.4835298641951817</v>
      </c>
      <c r="BD87">
        <v>91.190871709275797</v>
      </c>
      <c r="BE87">
        <v>23.551109369899745</v>
      </c>
      <c r="BF87" s="6">
        <f t="shared" si="86"/>
        <v>0.25273913698550504</v>
      </c>
      <c r="BG87" s="6">
        <f t="shared" si="87"/>
        <v>1.2307907272096767</v>
      </c>
      <c r="BH87" s="6">
        <f t="shared" si="88"/>
        <v>0.53265902641194329</v>
      </c>
      <c r="BI87" s="6">
        <f t="shared" si="89"/>
        <v>0.53265902641194329</v>
      </c>
      <c r="BJ87">
        <v>129.14472403562775</v>
      </c>
      <c r="BK87">
        <v>33.35313571741208</v>
      </c>
      <c r="BV87" s="38"/>
      <c r="BW87" s="6">
        <f t="shared" si="90"/>
        <v>1.2566370614359186</v>
      </c>
      <c r="BX87" s="9">
        <f t="shared" ca="1" si="91"/>
        <v>-42.391527028223194</v>
      </c>
      <c r="BY87" s="9">
        <f t="shared" ca="1" si="92"/>
        <v>-46.719953542404006</v>
      </c>
      <c r="BZ87">
        <f t="shared" ca="1" si="93"/>
        <v>63.085621363262852</v>
      </c>
      <c r="CA87" s="6">
        <f t="shared" ca="1" si="94"/>
        <v>-0.67196813017220092</v>
      </c>
      <c r="CB87" s="6">
        <f t="shared" ca="1" si="95"/>
        <v>-0.74058006456619929</v>
      </c>
      <c r="CC87" s="6">
        <f t="shared" ca="1" si="96"/>
        <v>-2.3076594731212392</v>
      </c>
      <c r="CD87" s="6">
        <f t="shared" ca="1" si="97"/>
        <v>84.625820928619248</v>
      </c>
      <c r="CE87" s="9">
        <f t="shared" ca="1" si="98"/>
        <v>-34.024811091061345</v>
      </c>
      <c r="CF87">
        <f t="shared" ca="1" si="99"/>
        <v>91.209743655078555</v>
      </c>
      <c r="CG87" s="6">
        <f t="shared" ca="1" si="100"/>
        <v>0.92781557690418182</v>
      </c>
      <c r="CH87" s="6">
        <f t="shared" ca="1" si="101"/>
        <v>-0.37303921409680274</v>
      </c>
      <c r="CI87" s="6">
        <f t="shared" ca="1" si="102"/>
        <v>-0.3822825384829755</v>
      </c>
      <c r="CJ87" s="1">
        <f t="shared" ca="1" si="103"/>
        <v>1.1676807018804238</v>
      </c>
      <c r="CK87" s="38"/>
    </row>
    <row r="88" spans="1:89" x14ac:dyDescent="0.25">
      <c r="A88" t="s">
        <v>120</v>
      </c>
      <c r="BC88">
        <v>1.5009831567151251</v>
      </c>
      <c r="BD88">
        <v>87.518628043361957</v>
      </c>
      <c r="BE88">
        <v>24.313955155378615</v>
      </c>
      <c r="BF88" s="6">
        <f t="shared" si="86"/>
        <v>0.27098106119714671</v>
      </c>
      <c r="BG88" s="6">
        <f t="shared" si="87"/>
        <v>1.2300020955179782</v>
      </c>
      <c r="BH88" s="6">
        <f t="shared" si="88"/>
        <v>0.51441710220030157</v>
      </c>
      <c r="BI88" s="6">
        <f t="shared" si="89"/>
        <v>0.51441710220030157</v>
      </c>
      <c r="BJ88">
        <v>121.75177292973999</v>
      </c>
      <c r="BK88">
        <v>33.824423591682041</v>
      </c>
      <c r="BV88" s="38"/>
      <c r="BW88" s="6">
        <f t="shared" si="90"/>
        <v>1.2740903539558619</v>
      </c>
      <c r="BX88" s="9">
        <f t="shared" ca="1" si="91"/>
        <v>-39.278823092342137</v>
      </c>
      <c r="BY88" s="9">
        <f t="shared" ca="1" si="92"/>
        <v>-47.232379329859555</v>
      </c>
      <c r="BZ88">
        <f t="shared" ca="1" si="93"/>
        <v>61.43064056868733</v>
      </c>
      <c r="CA88" s="6">
        <f t="shared" ca="1" si="94"/>
        <v>-0.63940116412140258</v>
      </c>
      <c r="CB88" s="6">
        <f t="shared" ca="1" si="95"/>
        <v>-0.76887329991370834</v>
      </c>
      <c r="CC88" s="6">
        <f t="shared" ca="1" si="96"/>
        <v>-2.2645154913692842</v>
      </c>
      <c r="CD88" s="6">
        <f t="shared" ca="1" si="97"/>
        <v>81.51311699273819</v>
      </c>
      <c r="CE88" s="9">
        <f t="shared" ca="1" si="98"/>
        <v>-33.512385303605797</v>
      </c>
      <c r="CF88">
        <f t="shared" ca="1" si="99"/>
        <v>88.133241235127372</v>
      </c>
      <c r="CG88" s="6">
        <f t="shared" ca="1" si="100"/>
        <v>0.92488504734862076</v>
      </c>
      <c r="CH88" s="6">
        <f t="shared" ca="1" si="101"/>
        <v>-0.3802468266678104</v>
      </c>
      <c r="CI88" s="6">
        <f t="shared" ca="1" si="102"/>
        <v>-0.39006315464451091</v>
      </c>
      <c r="CJ88" s="1">
        <f t="shared" ca="1" si="103"/>
        <v>1.1754613180419593</v>
      </c>
      <c r="CK88" s="38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83.902208536931084</v>
      </c>
      <c r="BE89">
        <v>25.150548292591754</v>
      </c>
      <c r="BF89" s="6">
        <f t="shared" si="86"/>
        <v>0.29123683990183175</v>
      </c>
      <c r="BG89" s="6">
        <f t="shared" si="87"/>
        <v>1.2271996093332367</v>
      </c>
      <c r="BH89" s="6">
        <f t="shared" si="88"/>
        <v>0.49416132349561648</v>
      </c>
      <c r="BI89" s="6">
        <f t="shared" si="89"/>
        <v>0.49416132349561648</v>
      </c>
      <c r="BJ89">
        <v>114.09684305077486</v>
      </c>
      <c r="BK89">
        <v>34.201699945927757</v>
      </c>
      <c r="BV89" s="38"/>
      <c r="BW89" s="6">
        <f t="shared" si="90"/>
        <v>1.2915436464758052</v>
      </c>
      <c r="BX89" s="9">
        <f t="shared" ca="1" si="91"/>
        <v>-36.162310231723396</v>
      </c>
      <c r="BY89" s="9">
        <f t="shared" ca="1" si="92"/>
        <v>-47.743776979948308</v>
      </c>
      <c r="BZ89">
        <f t="shared" ca="1" si="93"/>
        <v>59.893079079359815</v>
      </c>
      <c r="CA89" s="6">
        <f t="shared" ca="1" si="94"/>
        <v>-0.60378111774496412</v>
      </c>
      <c r="CB89" s="6">
        <f t="shared" ca="1" si="95"/>
        <v>-0.79715015013148049</v>
      </c>
      <c r="CC89" s="6">
        <f t="shared" ca="1" si="96"/>
        <v>-2.2190322573965409</v>
      </c>
      <c r="CD89" s="6">
        <f t="shared" ca="1" si="97"/>
        <v>78.39660413211945</v>
      </c>
      <c r="CE89" s="9">
        <f t="shared" ca="1" si="98"/>
        <v>-33.000987653517043</v>
      </c>
      <c r="CF89">
        <f t="shared" ca="1" si="99"/>
        <v>85.059348254943927</v>
      </c>
      <c r="CG89" s="6">
        <f t="shared" ca="1" si="100"/>
        <v>0.9216694665605174</v>
      </c>
      <c r="CH89" s="6">
        <f t="shared" ca="1" si="101"/>
        <v>-0.3879760229834458</v>
      </c>
      <c r="CI89" s="6">
        <f t="shared" ca="1" si="102"/>
        <v>-0.39843458491457601</v>
      </c>
      <c r="CJ89" s="1">
        <f t="shared" ca="1" si="103"/>
        <v>1.1838327483120243</v>
      </c>
      <c r="CK89" s="38"/>
    </row>
    <row r="90" spans="1:89" x14ac:dyDescent="0.25">
      <c r="A90" s="6">
        <f t="shared" ref="A90:A98" si="104">E3-$I$2</f>
        <v>-6</v>
      </c>
      <c r="B90" s="1">
        <f t="shared" ref="B90:B98" si="105">F3-$I$3</f>
        <v>-12</v>
      </c>
      <c r="C90" s="1"/>
      <c r="BC90">
        <v>1.5358897417550117</v>
      </c>
      <c r="BD90">
        <v>80.416294759657276</v>
      </c>
      <c r="BE90">
        <v>26.08181649328678</v>
      </c>
      <c r="BF90" s="6">
        <f t="shared" si="86"/>
        <v>0.31363028403857229</v>
      </c>
      <c r="BG90" s="6">
        <f t="shared" si="87"/>
        <v>1.2222594577164394</v>
      </c>
      <c r="BH90" s="6">
        <f t="shared" si="88"/>
        <v>0.47176787935887604</v>
      </c>
      <c r="BI90" s="6">
        <f t="shared" si="89"/>
        <v>0.47176787935887604</v>
      </c>
      <c r="BJ90">
        <v>106.22525749824482</v>
      </c>
      <c r="BK90">
        <v>34.452565631154485</v>
      </c>
      <c r="BV90" s="38"/>
      <c r="BW90" s="6">
        <f t="shared" si="90"/>
        <v>1.3089969389957485</v>
      </c>
      <c r="BX90" s="9">
        <f t="shared" ca="1" si="91"/>
        <v>-33.037146526711012</v>
      </c>
      <c r="BY90" s="9">
        <f t="shared" ca="1" si="92"/>
        <v>-48.257955548008113</v>
      </c>
      <c r="BZ90">
        <f t="shared" ca="1" si="93"/>
        <v>58.483188390347706</v>
      </c>
      <c r="CA90" s="6">
        <f t="shared" ca="1" si="94"/>
        <v>-0.56489988723261186</v>
      </c>
      <c r="CB90" s="6">
        <f t="shared" ca="1" si="95"/>
        <v>-0.82515944968507893</v>
      </c>
      <c r="CC90" s="6">
        <f t="shared" ca="1" si="96"/>
        <v>-2.171108249976021</v>
      </c>
      <c r="CD90" s="6">
        <f t="shared" ca="1" si="97"/>
        <v>75.271440427107066</v>
      </c>
      <c r="CE90" s="9">
        <f t="shared" ca="1" si="98"/>
        <v>-32.486809085457239</v>
      </c>
      <c r="CF90">
        <f t="shared" ca="1" si="99"/>
        <v>81.982818373891462</v>
      </c>
      <c r="CG90" s="6">
        <f t="shared" ca="1" si="100"/>
        <v>0.9181367745107708</v>
      </c>
      <c r="CH90" s="6">
        <f t="shared" ca="1" si="101"/>
        <v>-0.39626362852393843</v>
      </c>
      <c r="CI90" s="6">
        <f t="shared" ca="1" si="102"/>
        <v>-0.40744373957467817</v>
      </c>
      <c r="CJ90" s="1">
        <f t="shared" ca="1" si="103"/>
        <v>1.1928419029721264</v>
      </c>
      <c r="CK90" s="38"/>
    </row>
    <row r="91" spans="1:89" x14ac:dyDescent="0.25">
      <c r="A91" s="6">
        <f t="shared" si="104"/>
        <v>6</v>
      </c>
      <c r="B91" s="1">
        <f t="shared" si="105"/>
        <v>-12</v>
      </c>
      <c r="C91" s="1">
        <f t="shared" ref="C91:C98" si="106">((A90*B91)-(A91*B90))*0.5</f>
        <v>72</v>
      </c>
      <c r="D91" s="6">
        <f t="shared" ref="D91:D98" si="107">(A91+A90)*((A90*B91)-(A91*B90))*(1/6)</f>
        <v>0</v>
      </c>
      <c r="E91" s="6">
        <f t="shared" ref="E91:E98" si="108">(B91+B90)*((A90*B91)-(A91*B90))*(1/6)</f>
        <v>-576</v>
      </c>
      <c r="BC91">
        <v>1.553343034274955</v>
      </c>
      <c r="BD91">
        <v>77.191756851495924</v>
      </c>
      <c r="BE91">
        <v>27.137495646990928</v>
      </c>
      <c r="BF91" s="6">
        <f t="shared" si="86"/>
        <v>0.33806345518983177</v>
      </c>
      <c r="BG91" s="6">
        <f t="shared" si="87"/>
        <v>1.2152795790851232</v>
      </c>
      <c r="BH91" s="6">
        <f t="shared" si="88"/>
        <v>0.44733470820761645</v>
      </c>
      <c r="BI91" s="6">
        <f t="shared" si="89"/>
        <v>0.44733470820761645</v>
      </c>
      <c r="BJ91">
        <v>98.225496745739179</v>
      </c>
      <c r="BK91">
        <v>34.532106782971361</v>
      </c>
      <c r="BV91" s="38"/>
      <c r="BW91" s="6">
        <f t="shared" si="90"/>
        <v>1.3264502315156919</v>
      </c>
      <c r="BX91" s="9">
        <f t="shared" ca="1" si="91"/>
        <v>-29.897291767068367</v>
      </c>
      <c r="BY91" s="9">
        <f t="shared" ca="1" si="92"/>
        <v>-48.779623726074874</v>
      </c>
      <c r="BZ91">
        <f t="shared" ca="1" si="93"/>
        <v>57.212758593365002</v>
      </c>
      <c r="CA91" s="6">
        <f t="shared" ca="1" si="94"/>
        <v>-0.52256336702029915</v>
      </c>
      <c r="CB91" s="6">
        <f t="shared" ca="1" si="95"/>
        <v>-0.85260045006345619</v>
      </c>
      <c r="CC91" s="6">
        <f t="shared" ca="1" si="96"/>
        <v>-2.1206510448804714</v>
      </c>
      <c r="CD91" s="6">
        <f t="shared" ca="1" si="97"/>
        <v>72.131585667464421</v>
      </c>
      <c r="CE91" s="9">
        <f t="shared" ca="1" si="98"/>
        <v>-31.965140907390477</v>
      </c>
      <c r="CF91">
        <f t="shared" ca="1" si="99"/>
        <v>78.896995406238929</v>
      </c>
      <c r="CG91" s="6">
        <f t="shared" ca="1" si="100"/>
        <v>0.91425009654753564</v>
      </c>
      <c r="CH91" s="6">
        <f t="shared" ca="1" si="101"/>
        <v>-0.40515029428944227</v>
      </c>
      <c r="CI91" s="6">
        <f t="shared" ca="1" si="102"/>
        <v>-0.41714321541618232</v>
      </c>
      <c r="CJ91" s="1">
        <f t="shared" ca="1" si="103"/>
        <v>1.2025413788136305</v>
      </c>
      <c r="CK91" s="38"/>
    </row>
    <row r="92" spans="1:89" x14ac:dyDescent="0.25">
      <c r="A92" s="6">
        <f t="shared" si="104"/>
        <v>6</v>
      </c>
      <c r="B92" s="1">
        <f t="shared" si="105"/>
        <v>4</v>
      </c>
      <c r="C92" s="1">
        <f t="shared" si="106"/>
        <v>48</v>
      </c>
      <c r="D92" s="6">
        <f t="shared" si="107"/>
        <v>192</v>
      </c>
      <c r="E92" s="6">
        <f t="shared" si="108"/>
        <v>-128</v>
      </c>
      <c r="BC92">
        <v>1.5707963267948983</v>
      </c>
      <c r="BD92">
        <v>74.41737841316457</v>
      </c>
      <c r="BE92">
        <v>28.41121778131112</v>
      </c>
      <c r="BF92" s="6">
        <f t="shared" si="86"/>
        <v>0.36470326168507072</v>
      </c>
      <c r="BG92" s="6">
        <f t="shared" si="87"/>
        <v>1.2060930651098276</v>
      </c>
      <c r="BH92" s="6">
        <f t="shared" si="88"/>
        <v>0.42069490171237756</v>
      </c>
      <c r="BI92" s="6">
        <f t="shared" si="89"/>
        <v>0.42069490171237756</v>
      </c>
      <c r="BJ92">
        <v>90.132875055669302</v>
      </c>
      <c r="BK92">
        <v>34.41111198845077</v>
      </c>
      <c r="BV92" s="38"/>
      <c r="BW92" s="6">
        <f t="shared" si="90"/>
        <v>1.3439035240356352</v>
      </c>
      <c r="BX92" s="9">
        <f t="shared" ca="1" si="91"/>
        <v>-26.734819410547942</v>
      </c>
      <c r="BY92" s="9">
        <f t="shared" ca="1" si="92"/>
        <v>-49.31474014542772</v>
      </c>
      <c r="BZ92">
        <f t="shared" ca="1" si="93"/>
        <v>56.095402347480061</v>
      </c>
      <c r="CA92" s="6">
        <f t="shared" ca="1" si="94"/>
        <v>-0.47659555492516997</v>
      </c>
      <c r="CB92" s="6">
        <f t="shared" ca="1" si="95"/>
        <v>-0.87912267461689853</v>
      </c>
      <c r="CC92" s="6">
        <f t="shared" ca="1" si="96"/>
        <v>-2.0675744075199893</v>
      </c>
      <c r="CD92" s="6">
        <f t="shared" ca="1" si="97"/>
        <v>68.969113310943996</v>
      </c>
      <c r="CE92" s="9">
        <f t="shared" ca="1" si="98"/>
        <v>-31.430024488037631</v>
      </c>
      <c r="CF92">
        <f t="shared" ca="1" si="99"/>
        <v>75.793040776950477</v>
      </c>
      <c r="CG92" s="6">
        <f t="shared" ca="1" si="100"/>
        <v>0.90996630566533865</v>
      </c>
      <c r="CH92" s="6">
        <f t="shared" ca="1" si="101"/>
        <v>-0.41468219464280759</v>
      </c>
      <c r="CI92" s="6">
        <f t="shared" ca="1" si="102"/>
        <v>-0.42759352558137603</v>
      </c>
      <c r="CJ92" s="1">
        <f t="shared" ca="1" si="103"/>
        <v>1.2129916889788244</v>
      </c>
      <c r="CK92" s="38"/>
    </row>
    <row r="93" spans="1:89" x14ac:dyDescent="0.25">
      <c r="A93" s="6">
        <f t="shared" si="104"/>
        <v>6</v>
      </c>
      <c r="B93" s="1">
        <f t="shared" si="105"/>
        <v>4</v>
      </c>
      <c r="C93" s="1">
        <f t="shared" si="106"/>
        <v>0</v>
      </c>
      <c r="D93" s="6">
        <f t="shared" si="107"/>
        <v>0</v>
      </c>
      <c r="E93" s="6">
        <f t="shared" si="108"/>
        <v>0</v>
      </c>
      <c r="BC93">
        <v>1.5882496193148417</v>
      </c>
      <c r="BD93">
        <v>59.31437128128465</v>
      </c>
      <c r="BE93">
        <v>26.634897210602812</v>
      </c>
      <c r="BF93" s="6">
        <f t="shared" si="86"/>
        <v>0.42206052087937657</v>
      </c>
      <c r="BG93" s="6">
        <f t="shared" si="87"/>
        <v>1.166189098435465</v>
      </c>
      <c r="BH93" s="6">
        <f t="shared" si="88"/>
        <v>0.36333764251807171</v>
      </c>
      <c r="BI93" s="6">
        <f t="shared" si="89"/>
        <v>0.36333764251807171</v>
      </c>
      <c r="BJ93">
        <v>75.54042173643623</v>
      </c>
      <c r="BK93">
        <v>33.921144652348552</v>
      </c>
      <c r="BV93" s="38"/>
      <c r="BW93" s="6">
        <f t="shared" si="90"/>
        <v>1.3613568165555785</v>
      </c>
      <c r="BX93" s="9">
        <f t="shared" ca="1" si="91"/>
        <v>-23.538771110284472</v>
      </c>
      <c r="BY93" s="9">
        <f t="shared" ca="1" si="92"/>
        <v>-49.8710289160312</v>
      </c>
      <c r="BZ93">
        <f t="shared" ca="1" si="93"/>
        <v>55.14701506451626</v>
      </c>
      <c r="CA93" s="6">
        <f t="shared" ca="1" si="94"/>
        <v>-0.4268367214933857</v>
      </c>
      <c r="CB93" s="6">
        <f t="shared" ca="1" si="95"/>
        <v>-0.90432870859261005</v>
      </c>
      <c r="CC93" s="6">
        <f t="shared" ca="1" si="96"/>
        <v>-2.0117882742703035</v>
      </c>
      <c r="CD93" s="6">
        <f t="shared" ca="1" si="97"/>
        <v>65.773065010680526</v>
      </c>
      <c r="CE93" s="9">
        <f t="shared" ca="1" si="98"/>
        <v>-30.873735717434151</v>
      </c>
      <c r="CF93">
        <f t="shared" ca="1" si="99"/>
        <v>72.658679027692045</v>
      </c>
      <c r="CG93" s="6">
        <f t="shared" ca="1" si="100"/>
        <v>0.90523342690572117</v>
      </c>
      <c r="CH93" s="6">
        <f t="shared" ca="1" si="101"/>
        <v>-0.42491463002881452</v>
      </c>
      <c r="CI93" s="6">
        <f t="shared" ca="1" si="102"/>
        <v>-0.43886757638694734</v>
      </c>
      <c r="CJ93" s="1">
        <f t="shared" ca="1" si="103"/>
        <v>1.2242657397843957</v>
      </c>
      <c r="CK93" s="38"/>
    </row>
    <row r="94" spans="1:89" x14ac:dyDescent="0.25">
      <c r="A94" s="6">
        <f t="shared" si="104"/>
        <v>6</v>
      </c>
      <c r="B94" s="1">
        <f t="shared" si="105"/>
        <v>12</v>
      </c>
      <c r="C94" s="1">
        <f t="shared" si="106"/>
        <v>24</v>
      </c>
      <c r="D94" s="6">
        <f t="shared" si="107"/>
        <v>96</v>
      </c>
      <c r="E94" s="6">
        <f t="shared" si="108"/>
        <v>128</v>
      </c>
      <c r="BC94">
        <v>1.605702911834785</v>
      </c>
      <c r="BD94">
        <v>46.080967296938987</v>
      </c>
      <c r="BE94">
        <v>24.913681530497612</v>
      </c>
      <c r="BF94" s="6">
        <f t="shared" si="86"/>
        <v>0.49563648866432508</v>
      </c>
      <c r="BG94" s="6">
        <f t="shared" si="87"/>
        <v>1.1100664231704598</v>
      </c>
      <c r="BH94" s="6">
        <f t="shared" si="88"/>
        <v>0.2897616747331232</v>
      </c>
      <c r="BI94" s="6">
        <f t="shared" si="89"/>
        <v>0.2897616747331232</v>
      </c>
      <c r="BJ94">
        <v>61.570123669804786</v>
      </c>
      <c r="BK94">
        <v>33.287896128967851</v>
      </c>
      <c r="BV94" s="38"/>
      <c r="BW94" s="6">
        <f t="shared" si="90"/>
        <v>1.3788101090755218</v>
      </c>
      <c r="BX94" s="9">
        <f t="shared" ca="1" si="91"/>
        <v>-20.293227695620828</v>
      </c>
      <c r="BY94" s="9">
        <f t="shared" ca="1" si="92"/>
        <v>-50.458743086813129</v>
      </c>
      <c r="BZ94">
        <f t="shared" ca="1" si="93"/>
        <v>54.386577794593073</v>
      </c>
      <c r="CA94" s="6">
        <f t="shared" ca="1" si="94"/>
        <v>-0.37312933665847076</v>
      </c>
      <c r="CB94" s="6">
        <f t="shared" ca="1" si="95"/>
        <v>-0.92777933697879345</v>
      </c>
      <c r="CC94" s="6">
        <f t="shared" ca="1" si="96"/>
        <v>-1.9531760013078567</v>
      </c>
      <c r="CD94" s="6">
        <f t="shared" ca="1" si="97"/>
        <v>62.527521596016882</v>
      </c>
      <c r="CE94" s="9">
        <f t="shared" ca="1" si="98"/>
        <v>-30.286021546652222</v>
      </c>
      <c r="CF94">
        <f t="shared" ca="1" si="99"/>
        <v>69.476140207013799</v>
      </c>
      <c r="CG94" s="6">
        <f t="shared" ca="1" si="100"/>
        <v>0.89998554049933488</v>
      </c>
      <c r="CH94" s="6">
        <f t="shared" ca="1" si="101"/>
        <v>-0.43591974822451013</v>
      </c>
      <c r="CI94" s="6">
        <f t="shared" ca="1" si="102"/>
        <v>-0.45105998302988431</v>
      </c>
      <c r="CJ94" s="1">
        <f t="shared" ca="1" si="103"/>
        <v>1.2364581464273325</v>
      </c>
      <c r="CK94" s="38"/>
    </row>
    <row r="95" spans="1:89" x14ac:dyDescent="0.25">
      <c r="A95" s="6">
        <f t="shared" si="104"/>
        <v>-6</v>
      </c>
      <c r="B95" s="1">
        <f t="shared" si="105"/>
        <v>12</v>
      </c>
      <c r="C95" s="1">
        <f t="shared" si="106"/>
        <v>72</v>
      </c>
      <c r="D95" s="6">
        <f t="shared" si="107"/>
        <v>0</v>
      </c>
      <c r="E95" s="6">
        <f t="shared" si="108"/>
        <v>576</v>
      </c>
      <c r="BC95">
        <v>1.6231562043547283</v>
      </c>
      <c r="BD95">
        <v>34.840152032236773</v>
      </c>
      <c r="BE95">
        <v>23.295858021062696</v>
      </c>
      <c r="BF95" s="6">
        <f t="shared" si="86"/>
        <v>0.58937423275385326</v>
      </c>
      <c r="BG95" s="6">
        <f t="shared" si="87"/>
        <v>1.0337819716008751</v>
      </c>
      <c r="BH95" s="6">
        <f t="shared" si="88"/>
        <v>0.19602393064359502</v>
      </c>
      <c r="BI95" s="6">
        <f t="shared" si="89"/>
        <v>0.19602393064359502</v>
      </c>
      <c r="BJ95">
        <v>48.724359605813639</v>
      </c>
      <c r="BK95">
        <v>32.579529575358279</v>
      </c>
      <c r="BV95" s="38"/>
      <c r="BW95" s="6">
        <f t="shared" si="90"/>
        <v>1.3962634015954651</v>
      </c>
      <c r="BX95" s="9">
        <f t="shared" ca="1" si="91"/>
        <v>-16.984577884857046</v>
      </c>
      <c r="BY95" s="9">
        <f t="shared" ca="1" si="92"/>
        <v>-51.087578877985017</v>
      </c>
      <c r="BZ95">
        <f t="shared" ca="1" si="93"/>
        <v>53.836944578431599</v>
      </c>
      <c r="CA95" s="6">
        <f t="shared" ca="1" si="94"/>
        <v>-0.31548183162796883</v>
      </c>
      <c r="CB95" s="6">
        <f t="shared" ca="1" si="95"/>
        <v>-0.94893161708979956</v>
      </c>
      <c r="CC95" s="6">
        <f t="shared" ca="1" si="96"/>
        <v>-1.8917607002393371</v>
      </c>
      <c r="CD95" s="6">
        <f t="shared" ca="1" si="97"/>
        <v>59.2188717852531</v>
      </c>
      <c r="CE95" s="9">
        <f t="shared" ca="1" si="98"/>
        <v>-29.657185755480334</v>
      </c>
      <c r="CF95">
        <f t="shared" ca="1" si="99"/>
        <v>66.230079589664626</v>
      </c>
      <c r="CG95" s="6">
        <f t="shared" ca="1" si="100"/>
        <v>0.89413861725895249</v>
      </c>
      <c r="CH95" s="6">
        <f t="shared" ca="1" si="101"/>
        <v>-0.44779027806133598</v>
      </c>
      <c r="CI95" s="6">
        <f t="shared" ca="1" si="102"/>
        <v>-0.46429246370923366</v>
      </c>
      <c r="CJ95" s="1">
        <f t="shared" ca="1" si="103"/>
        <v>1.2496906271066819</v>
      </c>
      <c r="CK95" s="38"/>
    </row>
    <row r="96" spans="1:89" x14ac:dyDescent="0.25">
      <c r="A96" s="6">
        <f t="shared" si="104"/>
        <v>-6</v>
      </c>
      <c r="B96" s="1">
        <f t="shared" si="105"/>
        <v>4</v>
      </c>
      <c r="C96" s="1">
        <f t="shared" si="106"/>
        <v>24</v>
      </c>
      <c r="D96" s="6">
        <f t="shared" si="107"/>
        <v>-96</v>
      </c>
      <c r="E96" s="6">
        <f t="shared" si="108"/>
        <v>128</v>
      </c>
      <c r="BC96">
        <v>1.6406094968746716</v>
      </c>
      <c r="BD96">
        <v>25.725497239852682</v>
      </c>
      <c r="BE96">
        <v>21.851768422645069</v>
      </c>
      <c r="BF96" s="6">
        <f t="shared" si="86"/>
        <v>0.70415762183241437</v>
      </c>
      <c r="BG96" s="6">
        <f t="shared" si="87"/>
        <v>0.93645187504225724</v>
      </c>
      <c r="BH96" s="6">
        <f t="shared" si="88"/>
        <v>8.1240541565033908E-2</v>
      </c>
      <c r="BI96" s="6">
        <f t="shared" si="89"/>
        <v>8.1240541565033908E-2</v>
      </c>
      <c r="BJ96">
        <v>37.538212569998542</v>
      </c>
      <c r="BK96">
        <v>31.885732681151072</v>
      </c>
      <c r="BV96" s="38"/>
      <c r="BW96" s="6">
        <f t="shared" si="90"/>
        <v>1.4137166941154085</v>
      </c>
      <c r="BX96" s="9">
        <f t="shared" ca="1" si="91"/>
        <v>-13.4985585097929</v>
      </c>
      <c r="BY96" s="9">
        <f t="shared" ca="1" si="92"/>
        <v>-51.683902495461702</v>
      </c>
      <c r="BZ96">
        <f t="shared" ca="1" si="93"/>
        <v>53.417570695443409</v>
      </c>
      <c r="CA96" s="6">
        <f t="shared" ca="1" si="94"/>
        <v>-0.25269884672880388</v>
      </c>
      <c r="CB96" s="6">
        <f t="shared" ca="1" si="95"/>
        <v>-0.96754498234548891</v>
      </c>
      <c r="CC96" s="6">
        <f t="shared" ca="1" si="96"/>
        <v>-1.826264946210465</v>
      </c>
      <c r="CD96" s="6">
        <f t="shared" ca="1" si="97"/>
        <v>55.732852410188954</v>
      </c>
      <c r="CE96" s="9">
        <f t="shared" ca="1" si="98"/>
        <v>-29.06086213800365</v>
      </c>
      <c r="CF96">
        <f t="shared" ca="1" si="99"/>
        <v>62.854471169360409</v>
      </c>
      <c r="CG96" s="6">
        <f t="shared" ca="1" si="100"/>
        <v>0.88669670388312771</v>
      </c>
      <c r="CH96" s="6">
        <f t="shared" ca="1" si="101"/>
        <v>-0.46235154949756241</v>
      </c>
      <c r="CI96" s="6">
        <f t="shared" ca="1" si="102"/>
        <v>-0.48064540411377848</v>
      </c>
      <c r="CJ96" s="1">
        <f t="shared" ca="1" si="103"/>
        <v>1.2660435675112267</v>
      </c>
      <c r="CK96" s="38"/>
    </row>
    <row r="97" spans="1:89" x14ac:dyDescent="0.25">
      <c r="A97" s="6">
        <f t="shared" si="104"/>
        <v>-6</v>
      </c>
      <c r="B97" s="1">
        <f t="shared" si="105"/>
        <v>4</v>
      </c>
      <c r="C97" s="1">
        <f t="shared" si="106"/>
        <v>0</v>
      </c>
      <c r="D97" s="6">
        <f t="shared" si="107"/>
        <v>0</v>
      </c>
      <c r="E97" s="6">
        <f t="shared" si="108"/>
        <v>0</v>
      </c>
      <c r="BC97">
        <v>1.6580627893946149</v>
      </c>
      <c r="BD97">
        <v>17.725581718003106</v>
      </c>
      <c r="BE97">
        <v>20.354044348008291</v>
      </c>
      <c r="BF97" s="6">
        <f t="shared" si="86"/>
        <v>0.85431428334075188</v>
      </c>
      <c r="BG97" s="6">
        <f t="shared" si="87"/>
        <v>0.80374850605386305</v>
      </c>
      <c r="BH97" s="6">
        <f t="shared" si="88"/>
        <v>-6.89161199433036E-2</v>
      </c>
      <c r="BI97" s="6">
        <f t="shared" si="89"/>
        <v>6.89161199433036E-2</v>
      </c>
      <c r="BJ97">
        <v>26.696137289714645</v>
      </c>
      <c r="BK97">
        <v>30.654811275586397</v>
      </c>
      <c r="BV97" s="38"/>
      <c r="BW97" s="6">
        <f t="shared" si="90"/>
        <v>1.4311699866353518</v>
      </c>
      <c r="BX97" s="9">
        <f t="shared" ca="1" si="91"/>
        <v>-9.9278260549408373</v>
      </c>
      <c r="BY97" s="9">
        <f t="shared" ca="1" si="92"/>
        <v>-52.29089331280521</v>
      </c>
      <c r="BZ97">
        <f t="shared" ca="1" si="93"/>
        <v>53.224987117220977</v>
      </c>
      <c r="CA97" s="6">
        <f t="shared" ca="1" si="94"/>
        <v>-0.18652566384048375</v>
      </c>
      <c r="CB97" s="6">
        <f t="shared" ca="1" si="95"/>
        <v>-0.98245008867059846</v>
      </c>
      <c r="CC97" s="6">
        <f t="shared" ca="1" si="96"/>
        <v>-1.7584208782944057</v>
      </c>
      <c r="CD97" s="6">
        <f t="shared" ca="1" si="97"/>
        <v>52.162119955336891</v>
      </c>
      <c r="CE97" s="9">
        <f t="shared" ca="1" si="98"/>
        <v>-28.453871320660141</v>
      </c>
      <c r="CF97">
        <f t="shared" ca="1" si="99"/>
        <v>59.41809111177875</v>
      </c>
      <c r="CG97" s="6">
        <f t="shared" ca="1" si="100"/>
        <v>0.87788279595196439</v>
      </c>
      <c r="CH97" s="6">
        <f t="shared" ca="1" si="101"/>
        <v>-0.47887555436831569</v>
      </c>
      <c r="CI97" s="6">
        <f t="shared" ca="1" si="102"/>
        <v>-0.49937340350758208</v>
      </c>
      <c r="CJ97" s="1">
        <f t="shared" ca="1" si="103"/>
        <v>1.2847715669050304</v>
      </c>
      <c r="CK97" s="38"/>
    </row>
    <row r="98" spans="1:89" x14ac:dyDescent="0.25">
      <c r="A98" s="6">
        <f t="shared" si="104"/>
        <v>-6</v>
      </c>
      <c r="B98" s="1">
        <f t="shared" si="105"/>
        <v>-12</v>
      </c>
      <c r="C98" s="1">
        <f t="shared" si="106"/>
        <v>48</v>
      </c>
      <c r="D98" s="6">
        <f t="shared" si="107"/>
        <v>-192</v>
      </c>
      <c r="E98" s="6">
        <f t="shared" si="108"/>
        <v>-128</v>
      </c>
      <c r="BC98">
        <v>1.6755160819145583</v>
      </c>
      <c r="BD98">
        <v>10.725302198083931</v>
      </c>
      <c r="BE98">
        <v>18.756587577467499</v>
      </c>
      <c r="BF98" s="6">
        <f t="shared" ref="BF98:BF129" si="109">IF(BC98&lt;&gt;"",IF(AND(BD98=0,BE98=0),0,MOD(ATAN2(BD98,BE98),2*PI())),NA())</f>
        <v>1.0513587897254177</v>
      </c>
      <c r="BG98" s="6">
        <f t="shared" ref="BG98:BG129" si="110">ABS(BC98-BF98)</f>
        <v>0.62415729218914051</v>
      </c>
      <c r="BH98" s="6">
        <f t="shared" si="88"/>
        <v>-0.26596062632796946</v>
      </c>
      <c r="BI98" s="6">
        <f t="shared" si="89"/>
        <v>0.26596062632796946</v>
      </c>
      <c r="BJ98">
        <v>16.470281659269848</v>
      </c>
      <c r="BK98">
        <v>28.803503590121789</v>
      </c>
      <c r="BV98" s="38"/>
      <c r="BW98" s="6">
        <f t="shared" si="90"/>
        <v>1.4486232791552951</v>
      </c>
      <c r="BX98" s="9">
        <f t="shared" ca="1" si="91"/>
        <v>-6.303202907428215</v>
      </c>
      <c r="BY98" s="9">
        <f t="shared" ca="1" si="92"/>
        <v>-52.923729692891207</v>
      </c>
      <c r="BZ98">
        <f t="shared" ca="1" si="93"/>
        <v>53.297762912700435</v>
      </c>
      <c r="CA98" s="6">
        <f t="shared" ca="1" si="94"/>
        <v>-0.11826393009688989</v>
      </c>
      <c r="CB98" s="6">
        <f t="shared" ca="1" si="95"/>
        <v>-0.99298219663699805</v>
      </c>
      <c r="CC98" s="6">
        <f t="shared" ca="1" si="96"/>
        <v>-1.6893376868298509</v>
      </c>
      <c r="CD98" s="6">
        <f t="shared" ca="1" si="97"/>
        <v>48.537496807824269</v>
      </c>
      <c r="CE98" s="9">
        <f t="shared" ca="1" si="98"/>
        <v>-27.821034940574144</v>
      </c>
      <c r="CF98">
        <f t="shared" ca="1" si="99"/>
        <v>55.94549652594209</v>
      </c>
      <c r="CG98" s="6">
        <f t="shared" ca="1" si="100"/>
        <v>0.86758541476734041</v>
      </c>
      <c r="CH98" s="6">
        <f t="shared" ca="1" si="101"/>
        <v>-0.49728819419224296</v>
      </c>
      <c r="CI98" s="6">
        <f t="shared" ca="1" si="102"/>
        <v>-0.52047027228381448</v>
      </c>
      <c r="CJ98" s="1">
        <f t="shared" ca="1" si="103"/>
        <v>1.3058684356812629</v>
      </c>
      <c r="CK98" s="38"/>
    </row>
    <row r="99" spans="1:89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5.7553980506532412</v>
      </c>
      <c r="BE99">
        <v>17.551798692522087</v>
      </c>
      <c r="BF99" s="6">
        <f t="shared" si="109"/>
        <v>1.2539353183935782</v>
      </c>
      <c r="BG99" s="6">
        <f t="shared" si="110"/>
        <v>0.43903405604092338</v>
      </c>
      <c r="BH99" s="6">
        <f t="shared" si="88"/>
        <v>-0.46853715499612997</v>
      </c>
      <c r="BI99" s="6">
        <f t="shared" si="89"/>
        <v>0.46853715499612997</v>
      </c>
      <c r="BJ99">
        <v>8.8544585394665241</v>
      </c>
      <c r="BK99">
        <v>27.002767219264751</v>
      </c>
      <c r="BV99" s="38"/>
      <c r="BW99" s="6">
        <f t="shared" si="90"/>
        <v>1.4660765716752384</v>
      </c>
      <c r="BX99" s="9">
        <f t="shared" ca="1" si="91"/>
        <v>-2.6393691185283785</v>
      </c>
      <c r="BY99" s="9">
        <f t="shared" ca="1" si="92"/>
        <v>-53.588803162323401</v>
      </c>
      <c r="BZ99">
        <f t="shared" ca="1" si="93"/>
        <v>53.653761226162736</v>
      </c>
      <c r="CA99" s="6">
        <f t="shared" ca="1" si="94"/>
        <v>-4.9192620577014921E-2</v>
      </c>
      <c r="CB99" s="6">
        <f t="shared" ca="1" si="95"/>
        <v>-0.99878931015543304</v>
      </c>
      <c r="CC99" s="6">
        <f t="shared" ca="1" si="96"/>
        <v>-1.6200088093262976</v>
      </c>
      <c r="CD99" s="6">
        <f t="shared" ca="1" si="97"/>
        <v>44.873663018924432</v>
      </c>
      <c r="CE99" s="9">
        <f t="shared" ca="1" si="98"/>
        <v>-27.15596147114195</v>
      </c>
      <c r="CF99">
        <f t="shared" ca="1" si="99"/>
        <v>52.450852006026864</v>
      </c>
      <c r="CG99" s="6">
        <f t="shared" ca="1" si="100"/>
        <v>0.85553735168626477</v>
      </c>
      <c r="CH99" s="6">
        <f t="shared" ca="1" si="101"/>
        <v>-0.51774109347206776</v>
      </c>
      <c r="CI99" s="6">
        <f t="shared" ca="1" si="102"/>
        <v>-0.54420849828739137</v>
      </c>
      <c r="CJ99" s="1">
        <f t="shared" ca="1" si="103"/>
        <v>1.3296066616848397</v>
      </c>
      <c r="CK99" s="38"/>
    </row>
    <row r="100" spans="1:89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2.2929179679954212</v>
      </c>
      <c r="BE100">
        <v>16.608373658973548</v>
      </c>
      <c r="BF100" s="6">
        <f t="shared" si="109"/>
        <v>1.4336056116761899</v>
      </c>
      <c r="BG100" s="6">
        <f t="shared" si="110"/>
        <v>0.27681705527825495</v>
      </c>
      <c r="BH100" s="6">
        <f t="shared" si="88"/>
        <v>-0.64820744827874155</v>
      </c>
      <c r="BI100" s="6">
        <f t="shared" si="89"/>
        <v>0.64820744827874155</v>
      </c>
      <c r="BJ100">
        <v>3.5275661046083404</v>
      </c>
      <c r="BK100">
        <v>25.551344090728534</v>
      </c>
      <c r="BV100" s="38"/>
      <c r="BW100" s="6">
        <f t="shared" si="90"/>
        <v>1.4835298641951817</v>
      </c>
      <c r="BX100" s="9">
        <f t="shared" ca="1" si="91"/>
        <v>1.043422191120257</v>
      </c>
      <c r="BY100" s="9">
        <f t="shared" ca="1" si="92"/>
        <v>-54.2958740033651</v>
      </c>
      <c r="BZ100">
        <f t="shared" ca="1" si="93"/>
        <v>54.305898976614138</v>
      </c>
      <c r="CA100" s="6">
        <f t="shared" ca="1" si="94"/>
        <v>1.9213790965316457E-2</v>
      </c>
      <c r="CB100" s="6">
        <f t="shared" ca="1" si="95"/>
        <v>-0.99981539807943598</v>
      </c>
      <c r="CC100" s="6">
        <f t="shared" ca="1" si="96"/>
        <v>-1.5515813534413667</v>
      </c>
      <c r="CD100" s="6">
        <f t="shared" ca="1" si="97"/>
        <v>41.190871709275797</v>
      </c>
      <c r="CE100" s="9">
        <f t="shared" ca="1" si="98"/>
        <v>-26.448890630100252</v>
      </c>
      <c r="CF100">
        <f t="shared" ca="1" si="99"/>
        <v>48.951319979475755</v>
      </c>
      <c r="CG100" s="6">
        <f t="shared" ca="1" si="100"/>
        <v>0.84146600595338905</v>
      </c>
      <c r="CH100" s="6">
        <f t="shared" ca="1" si="101"/>
        <v>-0.54031005989602954</v>
      </c>
      <c r="CI100" s="6">
        <f t="shared" ca="1" si="102"/>
        <v>-0.57080554167095232</v>
      </c>
      <c r="CJ100" s="1">
        <f t="shared" ca="1" si="103"/>
        <v>1.3562037050684006</v>
      </c>
      <c r="CK100" s="38"/>
    </row>
    <row r="101" spans="1:89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-0.23521914611165276</v>
      </c>
      <c r="BE101">
        <v>15.831019359880759</v>
      </c>
      <c r="BF101" s="6">
        <f t="shared" si="109"/>
        <v>1.5856533510823236</v>
      </c>
      <c r="BG101" s="6">
        <f t="shared" si="110"/>
        <v>0.14222260839206458</v>
      </c>
      <c r="BH101" s="6">
        <f t="shared" si="88"/>
        <v>-0.80025518768487536</v>
      </c>
      <c r="BI101" s="6">
        <f t="shared" si="89"/>
        <v>0.80025518768487536</v>
      </c>
      <c r="BJ101">
        <v>-0.36187560940254271</v>
      </c>
      <c r="BK101">
        <v>24.355414399816553</v>
      </c>
      <c r="BV101" s="38"/>
      <c r="BW101" s="6">
        <f t="shared" si="90"/>
        <v>1.5009831567151251</v>
      </c>
      <c r="BX101" s="9">
        <f t="shared" ca="1" si="91"/>
        <v>4.7156658570340966</v>
      </c>
      <c r="BY101" s="9">
        <f t="shared" ca="1" si="92"/>
        <v>-55.058719788843966</v>
      </c>
      <c r="BZ101">
        <f t="shared" ca="1" si="93"/>
        <v>55.260294328402153</v>
      </c>
      <c r="CA101" s="6">
        <f t="shared" ca="1" si="94"/>
        <v>8.5335518283882611E-2</v>
      </c>
      <c r="CB101" s="6">
        <f t="shared" ca="1" si="95"/>
        <v>-0.99635227169873064</v>
      </c>
      <c r="CC101" s="6">
        <f t="shared" ca="1" si="96"/>
        <v>-1.4853568966165378</v>
      </c>
      <c r="CD101" s="6">
        <f t="shared" ca="1" si="97"/>
        <v>37.518628043361957</v>
      </c>
      <c r="CE101" s="9">
        <f t="shared" ca="1" si="98"/>
        <v>-25.686044844621385</v>
      </c>
      <c r="CF101">
        <f t="shared" ca="1" si="99"/>
        <v>45.468894312662229</v>
      </c>
      <c r="CG101" s="6">
        <f t="shared" ca="1" si="100"/>
        <v>0.82514933803687696</v>
      </c>
      <c r="CH101" s="6">
        <f t="shared" ca="1" si="101"/>
        <v>-0.56491465721585199</v>
      </c>
      <c r="CI101" s="6">
        <f t="shared" ca="1" si="102"/>
        <v>-0.60032982284129688</v>
      </c>
      <c r="CJ101" s="1">
        <f t="shared" ca="1" si="103"/>
        <v>1.385727986238745</v>
      </c>
      <c r="CK101" s="38"/>
    </row>
    <row r="102" spans="1:89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-2.146073014612317</v>
      </c>
      <c r="BE102">
        <v>15.176218577255126</v>
      </c>
      <c r="BF102" s="6">
        <f t="shared" si="109"/>
        <v>1.7112751498538168</v>
      </c>
      <c r="BG102" s="6">
        <f t="shared" si="110"/>
        <v>3.4054102140514741E-2</v>
      </c>
      <c r="BH102" s="6">
        <f t="shared" si="88"/>
        <v>-0.92587698645636851</v>
      </c>
      <c r="BI102" s="6">
        <f t="shared" si="89"/>
        <v>0.92587698645636851</v>
      </c>
      <c r="BJ102">
        <v>-3.301650791711257</v>
      </c>
      <c r="BK102">
        <v>23.348028580392501</v>
      </c>
      <c r="BV102" s="38"/>
      <c r="BW102" s="6">
        <f t="shared" si="90"/>
        <v>1.5184364492350684</v>
      </c>
      <c r="BX102" s="9">
        <f t="shared" ca="1" si="91"/>
        <v>8.3320853634649694</v>
      </c>
      <c r="BY102" s="9">
        <f t="shared" ca="1" si="92"/>
        <v>-55.895312926057102</v>
      </c>
      <c r="BZ102">
        <f t="shared" ca="1" si="93"/>
        <v>56.512915812280589</v>
      </c>
      <c r="CA102" s="6">
        <f t="shared" ca="1" si="94"/>
        <v>0.14743683357520829</v>
      </c>
      <c r="CB102" s="6">
        <f t="shared" ca="1" si="95"/>
        <v>-0.989071473709214</v>
      </c>
      <c r="CC102" s="6">
        <f t="shared" ca="1" si="96"/>
        <v>-1.4228200452286113</v>
      </c>
      <c r="CD102" s="6">
        <f t="shared" ca="1" si="97"/>
        <v>33.902208536931084</v>
      </c>
      <c r="CE102" s="9">
        <f t="shared" ca="1" si="98"/>
        <v>-24.849451707408249</v>
      </c>
      <c r="CF102">
        <f t="shared" ca="1" si="99"/>
        <v>42.033974280816913</v>
      </c>
      <c r="CG102" s="6">
        <f t="shared" ca="1" si="100"/>
        <v>0.80654301947372764</v>
      </c>
      <c r="CH102" s="6">
        <f t="shared" ca="1" si="101"/>
        <v>-0.59117540352944498</v>
      </c>
      <c r="CI102" s="6">
        <f t="shared" ca="1" si="102"/>
        <v>-0.63251539896403652</v>
      </c>
      <c r="CJ102" s="1">
        <f t="shared" ca="1" si="103"/>
        <v>1.4179135623614849</v>
      </c>
      <c r="CK102" s="38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-3.6316843968572163</v>
      </c>
      <c r="BE103">
        <v>14.614708923731458</v>
      </c>
      <c r="BF103" s="6">
        <f t="shared" si="109"/>
        <v>1.8143581669138624</v>
      </c>
      <c r="BG103" s="6">
        <f t="shared" si="110"/>
        <v>5.1575622399587573E-2</v>
      </c>
      <c r="BH103" s="6">
        <f t="shared" si="88"/>
        <v>-1.0289600035164141</v>
      </c>
      <c r="BI103" s="6">
        <f t="shared" si="89"/>
        <v>1.0289600035164141</v>
      </c>
      <c r="BJ103">
        <v>-5.5872067643957175</v>
      </c>
      <c r="BK103">
        <v>22.484167574971472</v>
      </c>
      <c r="BV103" s="38"/>
      <c r="BW103" s="6">
        <f t="shared" si="90"/>
        <v>1.5358897417550117</v>
      </c>
      <c r="BX103" s="9">
        <f t="shared" ca="1" si="91"/>
        <v>11.817999140738777</v>
      </c>
      <c r="BY103" s="9">
        <f t="shared" ca="1" si="92"/>
        <v>-56.826581126752131</v>
      </c>
      <c r="BZ103">
        <f t="shared" ca="1" si="93"/>
        <v>58.042445040210389</v>
      </c>
      <c r="CA103" s="6">
        <f t="shared" ca="1" si="94"/>
        <v>0.20360960212050949</v>
      </c>
      <c r="CB103" s="6">
        <f t="shared" ca="1" si="95"/>
        <v>-0.9790521589396185</v>
      </c>
      <c r="CC103" s="6">
        <f t="shared" ca="1" si="96"/>
        <v>-1.3657529766791316</v>
      </c>
      <c r="CD103" s="6">
        <f t="shared" ca="1" si="97"/>
        <v>30.416294759657276</v>
      </c>
      <c r="CE103" s="9">
        <f t="shared" ca="1" si="98"/>
        <v>-23.91818350671322</v>
      </c>
      <c r="CF103">
        <f t="shared" ca="1" si="99"/>
        <v>38.694062712090115</v>
      </c>
      <c r="CG103" s="6">
        <f t="shared" ca="1" si="100"/>
        <v>0.78607136671005562</v>
      </c>
      <c r="CH103" s="6">
        <f t="shared" ca="1" si="101"/>
        <v>-0.61813575081739569</v>
      </c>
      <c r="CI103" s="6">
        <f t="shared" ca="1" si="102"/>
        <v>-0.66636888242919479</v>
      </c>
      <c r="CJ103" s="1">
        <f t="shared" ca="1" si="103"/>
        <v>1.4517670458266432</v>
      </c>
      <c r="CK103" s="38"/>
    </row>
    <row r="104" spans="1:89" x14ac:dyDescent="0.25">
      <c r="A104">
        <f t="shared" ref="A104:C113" si="111">A15</f>
        <v>1</v>
      </c>
      <c r="B104">
        <f t="shared" si="111"/>
        <v>8</v>
      </c>
      <c r="C104">
        <f t="shared" ca="1" si="111"/>
        <v>0.79</v>
      </c>
      <c r="D104" s="9">
        <f t="shared" ref="D104:D113" si="112">D15-$I$2</f>
        <v>-4</v>
      </c>
      <c r="E104" s="5">
        <f t="shared" ref="E104:E113" si="113">E15-$I$3</f>
        <v>-10</v>
      </c>
      <c r="F104" s="5">
        <f t="shared" ref="F104:F113" ca="1" si="114">($B$12-$B$31)*C104*0.65</f>
        <v>28.627625000000002</v>
      </c>
      <c r="G104">
        <f t="shared" ref="G104:G113" ca="1" si="115">E104*F104</f>
        <v>-286.27625</v>
      </c>
      <c r="H104">
        <f t="shared" ref="H104:H113" ca="1" si="116">D104*F104*-1</f>
        <v>114.51050000000001</v>
      </c>
      <c r="J104">
        <f t="shared" ref="J104:J113" ca="1" si="117">-1*C104*$B$12*0.9</f>
        <v>-42.660000000000004</v>
      </c>
      <c r="K104">
        <f t="shared" ref="K104:K113" ca="1" si="118">E104*J104</f>
        <v>426.6</v>
      </c>
      <c r="L104">
        <f t="shared" ref="L104:L113" ca="1" si="119">D104*J104*-1</f>
        <v>-170.64000000000001</v>
      </c>
      <c r="BC104">
        <v>1.7802358370342182</v>
      </c>
      <c r="BD104">
        <v>-4.8142484008470676</v>
      </c>
      <c r="BE104">
        <v>14.126020676366419</v>
      </c>
      <c r="BF104" s="6">
        <f t="shared" si="109"/>
        <v>1.8992581391926888</v>
      </c>
      <c r="BG104" s="6">
        <f t="shared" si="110"/>
        <v>0.11902230215847065</v>
      </c>
      <c r="BH104" s="6">
        <f t="shared" si="88"/>
        <v>-1.1138599757952405</v>
      </c>
      <c r="BI104" s="6">
        <f t="shared" si="89"/>
        <v>1.1138599757952405</v>
      </c>
      <c r="BJ104">
        <v>-7.4065360013031807</v>
      </c>
      <c r="BK104">
        <v>21.732339502102182</v>
      </c>
      <c r="BV104" s="38"/>
      <c r="BW104" s="6">
        <f t="shared" si="90"/>
        <v>1.553343034274955</v>
      </c>
      <c r="BX104" s="9">
        <f t="shared" ca="1" si="91"/>
        <v>15.04253704890013</v>
      </c>
      <c r="BY104" s="9">
        <f t="shared" ca="1" si="92"/>
        <v>-57.882260280456279</v>
      </c>
      <c r="BZ104">
        <f t="shared" ca="1" si="93"/>
        <v>59.80496614865708</v>
      </c>
      <c r="CA104" s="6">
        <f t="shared" ca="1" si="94"/>
        <v>0.25152655402410773</v>
      </c>
      <c r="CB104" s="6">
        <f t="shared" ca="1" si="95"/>
        <v>-0.96785039785121629</v>
      </c>
      <c r="CC104" s="6">
        <f t="shared" ca="1" si="96"/>
        <v>-1.3165391317459716</v>
      </c>
      <c r="CD104" s="6">
        <f t="shared" ca="1" si="97"/>
        <v>27.191756851495924</v>
      </c>
      <c r="CE104" s="9">
        <f t="shared" ca="1" si="98"/>
        <v>-22.862504353009072</v>
      </c>
      <c r="CF104">
        <f t="shared" ca="1" si="99"/>
        <v>35.525846168138408</v>
      </c>
      <c r="CG104" s="6">
        <f t="shared" ca="1" si="100"/>
        <v>0.76540771816669728</v>
      </c>
      <c r="CH104" s="6">
        <f t="shared" ca="1" si="101"/>
        <v>-0.64354566657763279</v>
      </c>
      <c r="CI104" s="6">
        <f t="shared" ca="1" si="102"/>
        <v>-0.69912168513853512</v>
      </c>
      <c r="CJ104" s="1">
        <f t="shared" ca="1" si="103"/>
        <v>1.4845198485359834</v>
      </c>
      <c r="CK104" s="38"/>
    </row>
    <row r="105" spans="1:89" x14ac:dyDescent="0.25">
      <c r="A105">
        <f t="shared" si="111"/>
        <v>2</v>
      </c>
      <c r="B105">
        <f t="shared" si="111"/>
        <v>8</v>
      </c>
      <c r="C105">
        <f t="shared" ca="1" si="111"/>
        <v>0.79</v>
      </c>
      <c r="D105" s="9">
        <f t="shared" si="112"/>
        <v>-4</v>
      </c>
      <c r="E105" s="5">
        <f t="shared" si="113"/>
        <v>-8</v>
      </c>
      <c r="F105" s="5">
        <f t="shared" ca="1" si="114"/>
        <v>28.627625000000002</v>
      </c>
      <c r="G105">
        <f t="shared" ca="1" si="115"/>
        <v>-229.02100000000002</v>
      </c>
      <c r="H105">
        <f t="shared" ca="1" si="116"/>
        <v>114.51050000000001</v>
      </c>
      <c r="J105">
        <f t="shared" ca="1" si="117"/>
        <v>-42.660000000000004</v>
      </c>
      <c r="K105">
        <f t="shared" ca="1" si="118"/>
        <v>341.28000000000003</v>
      </c>
      <c r="L105">
        <f t="shared" ca="1" si="119"/>
        <v>-170.64000000000001</v>
      </c>
      <c r="BC105">
        <v>1.7976891295541615</v>
      </c>
      <c r="BD105">
        <v>-5.774702825855818</v>
      </c>
      <c r="BE105">
        <v>13.695366150286894</v>
      </c>
      <c r="BF105" s="6">
        <f t="shared" si="109"/>
        <v>1.9698292802452146</v>
      </c>
      <c r="BG105" s="6">
        <f t="shared" si="110"/>
        <v>0.17214015069105315</v>
      </c>
      <c r="BH105" s="6">
        <f t="shared" si="88"/>
        <v>-1.1844311168477664</v>
      </c>
      <c r="BI105" s="6">
        <f t="shared" si="89"/>
        <v>1.1844311168477664</v>
      </c>
      <c r="BJ105">
        <v>-8.8841581936243355</v>
      </c>
      <c r="BK105">
        <v>21.069794077364453</v>
      </c>
      <c r="BV105" s="38"/>
      <c r="BW105" s="6">
        <f t="shared" si="90"/>
        <v>1.5707963267948983</v>
      </c>
      <c r="BX105" s="9">
        <f t="shared" ca="1" si="91"/>
        <v>17.816915487231483</v>
      </c>
      <c r="BY105" s="9">
        <f t="shared" ca="1" si="92"/>
        <v>-59.155982414776474</v>
      </c>
      <c r="BZ105">
        <f t="shared" ca="1" si="93"/>
        <v>61.780844385104452</v>
      </c>
      <c r="CA105" s="6">
        <f t="shared" ca="1" si="94"/>
        <v>0.28838899281096902</v>
      </c>
      <c r="CB105" s="6">
        <f t="shared" ca="1" si="95"/>
        <v>-0.95751333610841938</v>
      </c>
      <c r="CC105" s="6">
        <f t="shared" ca="1" si="96"/>
        <v>-1.2782524069524266</v>
      </c>
      <c r="CD105" s="6">
        <f t="shared" ca="1" si="97"/>
        <v>24.41737841316457</v>
      </c>
      <c r="CE105" s="9">
        <f t="shared" ca="1" si="98"/>
        <v>-21.588782218688877</v>
      </c>
      <c r="CF105">
        <f t="shared" ca="1" si="99"/>
        <v>32.592696823945886</v>
      </c>
      <c r="CG105" s="6">
        <f t="shared" ca="1" si="100"/>
        <v>0.74916716910719394</v>
      </c>
      <c r="CH105" s="6">
        <f t="shared" ca="1" si="101"/>
        <v>-0.66238097250140948</v>
      </c>
      <c r="CI105" s="6">
        <f t="shared" ca="1" si="102"/>
        <v>-0.72399247255348498</v>
      </c>
      <c r="CJ105" s="1">
        <f t="shared" ca="1" si="103"/>
        <v>1.5093906359509333</v>
      </c>
      <c r="CK105" s="38"/>
    </row>
    <row r="106" spans="1:89" x14ac:dyDescent="0.25">
      <c r="A106">
        <f t="shared" si="111"/>
        <v>3</v>
      </c>
      <c r="B106">
        <f t="shared" si="111"/>
        <v>8</v>
      </c>
      <c r="C106">
        <f t="shared" ca="1" si="111"/>
        <v>0.79</v>
      </c>
      <c r="D106" s="9">
        <f t="shared" si="112"/>
        <v>-2</v>
      </c>
      <c r="E106" s="5">
        <f t="shared" si="113"/>
        <v>-10</v>
      </c>
      <c r="F106" s="5">
        <f t="shared" ca="1" si="114"/>
        <v>28.627625000000002</v>
      </c>
      <c r="G106">
        <f t="shared" ca="1" si="115"/>
        <v>-286.27625</v>
      </c>
      <c r="H106">
        <f t="shared" ca="1" si="116"/>
        <v>57.255250000000004</v>
      </c>
      <c r="J106">
        <f t="shared" ca="1" si="117"/>
        <v>-42.660000000000004</v>
      </c>
      <c r="K106">
        <f t="shared" ca="1" si="118"/>
        <v>426.6</v>
      </c>
      <c r="L106">
        <f t="shared" ca="1" si="119"/>
        <v>-85.320000000000007</v>
      </c>
      <c r="BC106">
        <v>1.8151424220741048</v>
      </c>
      <c r="BD106">
        <v>-6.5684782486277102</v>
      </c>
      <c r="BE106">
        <v>13.311772207596471</v>
      </c>
      <c r="BF106" s="6">
        <f t="shared" si="109"/>
        <v>2.0291771855369367</v>
      </c>
      <c r="BG106" s="6">
        <f t="shared" si="110"/>
        <v>0.2140347634628319</v>
      </c>
      <c r="BH106" s="6">
        <f t="shared" si="88"/>
        <v>-1.2437790221394884</v>
      </c>
      <c r="BI106" s="6">
        <f t="shared" si="89"/>
        <v>1.2437790221394884</v>
      </c>
      <c r="BJ106">
        <v>-10.105351151734938</v>
      </c>
      <c r="BK106">
        <v>20.479649550148416</v>
      </c>
      <c r="BV106" s="38"/>
      <c r="BW106" s="6">
        <f t="shared" si="90"/>
        <v>1.5882496193148417</v>
      </c>
      <c r="BX106" s="9">
        <f t="shared" ca="1" si="91"/>
        <v>32.919922619111404</v>
      </c>
      <c r="BY106" s="9">
        <f t="shared" ca="1" si="92"/>
        <v>-57.379661844068167</v>
      </c>
      <c r="BZ106">
        <f t="shared" ca="1" si="93"/>
        <v>66.152451946907419</v>
      </c>
      <c r="CA106" s="6">
        <f t="shared" ca="1" si="94"/>
        <v>0.49763722508021696</v>
      </c>
      <c r="CB106" s="6">
        <f t="shared" ca="1" si="95"/>
        <v>-0.86738526170004837</v>
      </c>
      <c r="CC106" s="6">
        <f t="shared" ca="1" si="96"/>
        <v>-1.0499237066351212</v>
      </c>
      <c r="CD106" s="6">
        <f t="shared" ca="1" si="97"/>
        <v>9.3143712812846502</v>
      </c>
      <c r="CE106" s="9">
        <f t="shared" ca="1" si="98"/>
        <v>-23.365102789397184</v>
      </c>
      <c r="CF106">
        <f t="shared" ca="1" si="99"/>
        <v>25.15324115744761</v>
      </c>
      <c r="CG106" s="6">
        <f t="shared" ca="1" si="100"/>
        <v>0.37030501250240522</v>
      </c>
      <c r="CH106" s="6">
        <f t="shared" ca="1" si="101"/>
        <v>-0.92891022048182537</v>
      </c>
      <c r="CI106" s="6">
        <f t="shared" ca="1" si="102"/>
        <v>-1.1914589723793259</v>
      </c>
      <c r="CJ106" s="1">
        <f t="shared" ca="1" si="103"/>
        <v>1.9768571357767739</v>
      </c>
      <c r="CK106" s="38"/>
    </row>
    <row r="107" spans="1:89" x14ac:dyDescent="0.25">
      <c r="A107">
        <f t="shared" si="111"/>
        <v>4</v>
      </c>
      <c r="B107">
        <f t="shared" si="111"/>
        <v>8</v>
      </c>
      <c r="C107">
        <f t="shared" ca="1" si="111"/>
        <v>0.79</v>
      </c>
      <c r="D107" s="9">
        <f t="shared" si="112"/>
        <v>-2</v>
      </c>
      <c r="E107" s="5">
        <f t="shared" si="113"/>
        <v>-8</v>
      </c>
      <c r="F107" s="5">
        <f t="shared" ca="1" si="114"/>
        <v>28.627625000000002</v>
      </c>
      <c r="G107">
        <f t="shared" ca="1" si="115"/>
        <v>-229.02100000000002</v>
      </c>
      <c r="H107">
        <f t="shared" ca="1" si="116"/>
        <v>57.255250000000004</v>
      </c>
      <c r="J107">
        <f t="shared" ca="1" si="117"/>
        <v>-42.660000000000004</v>
      </c>
      <c r="K107">
        <f t="shared" ca="1" si="118"/>
        <v>341.28000000000003</v>
      </c>
      <c r="L107">
        <f t="shared" ca="1" si="119"/>
        <v>-85.320000000000007</v>
      </c>
      <c r="BC107">
        <v>1.8325957145940481</v>
      </c>
      <c r="BD107">
        <v>-7.2346239103809875</v>
      </c>
      <c r="BE107">
        <v>12.96690932827577</v>
      </c>
      <c r="BF107" s="6">
        <f t="shared" si="109"/>
        <v>2.0797072118813711</v>
      </c>
      <c r="BG107" s="6">
        <f t="shared" si="110"/>
        <v>0.24711149728732296</v>
      </c>
      <c r="BH107" s="6">
        <f t="shared" si="88"/>
        <v>-1.2943090484839228</v>
      </c>
      <c r="BI107" s="6">
        <f t="shared" si="89"/>
        <v>1.2943090484839228</v>
      </c>
      <c r="BJ107">
        <v>-11.130190631355365</v>
      </c>
      <c r="BK107">
        <v>19.949091274270415</v>
      </c>
      <c r="BV107" s="38"/>
      <c r="BW107" s="6">
        <f t="shared" si="90"/>
        <v>1.605702911834785</v>
      </c>
      <c r="BX107" s="9">
        <f t="shared" ca="1" si="91"/>
        <v>46.153326603457067</v>
      </c>
      <c r="BY107" s="9">
        <f t="shared" ca="1" si="92"/>
        <v>-55.658446163962964</v>
      </c>
      <c r="BZ107">
        <f t="shared" ca="1" si="93"/>
        <v>72.304855894691755</v>
      </c>
      <c r="CA107" s="6">
        <f t="shared" ca="1" si="94"/>
        <v>0.63831572627261679</v>
      </c>
      <c r="CB107" s="6">
        <f t="shared" ca="1" si="95"/>
        <v>-0.76977466416676887</v>
      </c>
      <c r="CC107" s="6">
        <f t="shared" ca="1" si="96"/>
        <v>-0.87848806022195713</v>
      </c>
      <c r="CD107" s="6">
        <f t="shared" ca="1" si="97"/>
        <v>-3.9190327030610135</v>
      </c>
      <c r="CE107" s="9">
        <f t="shared" ca="1" si="98"/>
        <v>-25.086318469502388</v>
      </c>
      <c r="CF107">
        <f t="shared" ca="1" si="99"/>
        <v>25.390592582312024</v>
      </c>
      <c r="CG107" s="6">
        <f t="shared" ca="1" si="100"/>
        <v>-0.15434979275714694</v>
      </c>
      <c r="CH107" s="6">
        <f t="shared" ca="1" si="101"/>
        <v>-0.98801626579516677</v>
      </c>
      <c r="CI107" s="6">
        <f t="shared" ca="1" si="102"/>
        <v>-1.7257656525968446</v>
      </c>
      <c r="CJ107" s="1">
        <f t="shared" ca="1" si="103"/>
        <v>2.5111638159942928</v>
      </c>
      <c r="CK107" s="38"/>
    </row>
    <row r="108" spans="1:89" x14ac:dyDescent="0.25">
      <c r="A108">
        <f t="shared" si="111"/>
        <v>5</v>
      </c>
      <c r="B108">
        <f t="shared" si="111"/>
        <v>0</v>
      </c>
      <c r="C108">
        <f t="shared" ca="1" si="111"/>
        <v>0</v>
      </c>
      <c r="D108" s="9">
        <f t="shared" si="112"/>
        <v>0</v>
      </c>
      <c r="E108" s="5">
        <f t="shared" si="113"/>
        <v>-10</v>
      </c>
      <c r="F108" s="5">
        <f t="shared" ca="1" si="114"/>
        <v>0</v>
      </c>
      <c r="G108">
        <f t="shared" ca="1" si="115"/>
        <v>0</v>
      </c>
      <c r="H108">
        <f t="shared" ca="1" si="116"/>
        <v>0</v>
      </c>
      <c r="J108">
        <f t="shared" ca="1" si="117"/>
        <v>0</v>
      </c>
      <c r="K108">
        <f t="shared" ca="1" si="118"/>
        <v>0</v>
      </c>
      <c r="L108">
        <f t="shared" ca="1" si="119"/>
        <v>0</v>
      </c>
      <c r="BC108">
        <v>1.8500490071139915</v>
      </c>
      <c r="BD108">
        <v>-7.8013235813468702</v>
      </c>
      <c r="BE108">
        <v>12.654330197417286</v>
      </c>
      <c r="BF108" s="6">
        <f t="shared" si="109"/>
        <v>2.1232558547490665</v>
      </c>
      <c r="BG108" s="6">
        <f t="shared" si="110"/>
        <v>0.27320684763507508</v>
      </c>
      <c r="BH108" s="6">
        <f t="shared" si="88"/>
        <v>-1.3378576913516183</v>
      </c>
      <c r="BI108" s="6">
        <f t="shared" si="89"/>
        <v>1.3378576913516183</v>
      </c>
      <c r="BJ108">
        <v>-12.002036278995185</v>
      </c>
      <c r="BK108">
        <v>19.468200303718902</v>
      </c>
      <c r="BV108" s="38"/>
      <c r="BW108" s="6">
        <f t="shared" si="90"/>
        <v>1.6231562043547283</v>
      </c>
      <c r="BX108" s="9">
        <f t="shared" ca="1" si="91"/>
        <v>57.394141868159281</v>
      </c>
      <c r="BY108" s="9">
        <f t="shared" ca="1" si="92"/>
        <v>-54.04062265452805</v>
      </c>
      <c r="BZ108">
        <f t="shared" ca="1" si="93"/>
        <v>78.831950487549676</v>
      </c>
      <c r="CA108" s="6">
        <f t="shared" ca="1" si="94"/>
        <v>0.72805685401915587</v>
      </c>
      <c r="CB108" s="6">
        <f t="shared" ca="1" si="95"/>
        <v>-0.68551675203143625</v>
      </c>
      <c r="CC108" s="6">
        <f t="shared" ca="1" si="96"/>
        <v>-0.75531323068691747</v>
      </c>
      <c r="CD108" s="6">
        <f t="shared" ca="1" si="97"/>
        <v>-15.159847967763227</v>
      </c>
      <c r="CE108" s="9">
        <f t="shared" ca="1" si="98"/>
        <v>-26.704141978937301</v>
      </c>
      <c r="CF108">
        <f t="shared" ca="1" si="99"/>
        <v>30.707200934584321</v>
      </c>
      <c r="CG108" s="6">
        <f t="shared" ca="1" si="100"/>
        <v>-0.49369032364943699</v>
      </c>
      <c r="CH108" s="6">
        <f t="shared" ca="1" si="101"/>
        <v>-0.86963777766085704</v>
      </c>
      <c r="CI108" s="6">
        <f t="shared" ca="1" si="102"/>
        <v>-2.0871245113901935</v>
      </c>
      <c r="CJ108" s="1">
        <f t="shared" ca="1" si="103"/>
        <v>2.8725226747876418</v>
      </c>
      <c r="CK108" s="38"/>
    </row>
    <row r="109" spans="1:89" x14ac:dyDescent="0.25">
      <c r="A109">
        <f t="shared" si="111"/>
        <v>6</v>
      </c>
      <c r="B109">
        <f t="shared" si="111"/>
        <v>0</v>
      </c>
      <c r="C109">
        <f t="shared" ca="1" si="111"/>
        <v>0</v>
      </c>
      <c r="D109" s="9">
        <f t="shared" si="112"/>
        <v>-6</v>
      </c>
      <c r="E109" s="5">
        <f t="shared" si="113"/>
        <v>-3.34</v>
      </c>
      <c r="F109" s="5">
        <f t="shared" ca="1" si="114"/>
        <v>0</v>
      </c>
      <c r="G109">
        <f t="shared" ca="1" si="115"/>
        <v>0</v>
      </c>
      <c r="H109">
        <f t="shared" ca="1" si="116"/>
        <v>0</v>
      </c>
      <c r="J109">
        <f t="shared" ca="1" si="117"/>
        <v>0</v>
      </c>
      <c r="K109">
        <f t="shared" ca="1" si="118"/>
        <v>0</v>
      </c>
      <c r="L109">
        <f t="shared" ca="1" si="119"/>
        <v>0</v>
      </c>
      <c r="BC109">
        <v>1.8675022996339348</v>
      </c>
      <c r="BD109">
        <v>-8.2893515037344248</v>
      </c>
      <c r="BE109">
        <v>12.368959002252835</v>
      </c>
      <c r="BF109" s="6">
        <f t="shared" si="109"/>
        <v>2.1612229751561602</v>
      </c>
      <c r="BG109" s="6">
        <f t="shared" si="110"/>
        <v>0.29372067552222547</v>
      </c>
      <c r="BH109" s="6">
        <f t="shared" si="88"/>
        <v>-1.375824811758712</v>
      </c>
      <c r="BI109" s="6">
        <f t="shared" si="89"/>
        <v>1.375824811758712</v>
      </c>
      <c r="BJ109">
        <v>-12.75284846728373</v>
      </c>
      <c r="BK109">
        <v>19.029167695773591</v>
      </c>
      <c r="BV109" s="38"/>
      <c r="BW109" s="6">
        <f t="shared" si="90"/>
        <v>1.6406094968746716</v>
      </c>
      <c r="BX109" s="9">
        <f t="shared" ca="1" si="91"/>
        <v>66.508796660543368</v>
      </c>
      <c r="BY109" s="9">
        <f t="shared" ca="1" si="92"/>
        <v>-52.596533056110417</v>
      </c>
      <c r="BZ109">
        <f t="shared" ca="1" si="93"/>
        <v>84.792778718214095</v>
      </c>
      <c r="CA109" s="6">
        <f t="shared" ca="1" si="94"/>
        <v>0.78436864159821196</v>
      </c>
      <c r="CB109" s="6">
        <f t="shared" ca="1" si="95"/>
        <v>-0.62029495732060858</v>
      </c>
      <c r="CC109" s="6">
        <f t="shared" ca="1" si="96"/>
        <v>-0.6691186915670525</v>
      </c>
      <c r="CD109" s="6">
        <f t="shared" ca="1" si="97"/>
        <v>-24.274502760147314</v>
      </c>
      <c r="CE109" s="9">
        <f t="shared" ca="1" si="98"/>
        <v>-28.148231577354935</v>
      </c>
      <c r="CF109">
        <f t="shared" ca="1" si="99"/>
        <v>37.16953625194698</v>
      </c>
      <c r="CG109" s="6">
        <f t="shared" ca="1" si="100"/>
        <v>-0.65307521179728978</v>
      </c>
      <c r="CH109" s="6">
        <f t="shared" ca="1" si="101"/>
        <v>-0.75729305274505543</v>
      </c>
      <c r="CI109" s="6">
        <f t="shared" ca="1" si="102"/>
        <v>-2.2824344839698485</v>
      </c>
      <c r="CJ109" s="1">
        <f t="shared" ca="1" si="103"/>
        <v>3.0678326473672968</v>
      </c>
      <c r="CK109" s="38"/>
    </row>
    <row r="110" spans="1:89" x14ac:dyDescent="0.25">
      <c r="A110">
        <f t="shared" si="111"/>
        <v>7</v>
      </c>
      <c r="B110">
        <f t="shared" si="111"/>
        <v>0</v>
      </c>
      <c r="C110">
        <f t="shared" ca="1" si="111"/>
        <v>0</v>
      </c>
      <c r="D110" s="9">
        <f t="shared" si="112"/>
        <v>-4</v>
      </c>
      <c r="E110" s="5">
        <f t="shared" si="113"/>
        <v>3.33</v>
      </c>
      <c r="F110" s="5">
        <f t="shared" ca="1" si="114"/>
        <v>0</v>
      </c>
      <c r="G110">
        <f t="shared" ca="1" si="115"/>
        <v>0</v>
      </c>
      <c r="H110">
        <f t="shared" ca="1" si="116"/>
        <v>0</v>
      </c>
      <c r="J110">
        <f t="shared" ca="1" si="117"/>
        <v>0</v>
      </c>
      <c r="K110">
        <f t="shared" ca="1" si="118"/>
        <v>0</v>
      </c>
      <c r="L110">
        <f t="shared" ca="1" si="119"/>
        <v>0</v>
      </c>
      <c r="BC110">
        <v>1.8849555921538781</v>
      </c>
      <c r="BD110">
        <v>-8.7143058456550104</v>
      </c>
      <c r="BE110">
        <v>12.106739603562417</v>
      </c>
      <c r="BF110" s="6">
        <f t="shared" si="109"/>
        <v>2.1946808310867247</v>
      </c>
      <c r="BG110" s="6">
        <f t="shared" si="110"/>
        <v>0.30972523893284665</v>
      </c>
      <c r="BH110" s="6">
        <f t="shared" si="88"/>
        <v>-1.4092826676892765</v>
      </c>
      <c r="BI110" s="6">
        <f t="shared" si="89"/>
        <v>1.4092826676892765</v>
      </c>
      <c r="BJ110">
        <v>-13.406624377930784</v>
      </c>
      <c r="BK110">
        <v>18.625753236249871</v>
      </c>
      <c r="BV110" s="38"/>
      <c r="BW110" s="6">
        <f t="shared" si="90"/>
        <v>1.6580627893946149</v>
      </c>
      <c r="BX110" s="9">
        <f t="shared" ca="1" si="91"/>
        <v>74.508712182392941</v>
      </c>
      <c r="BY110" s="9">
        <f t="shared" ca="1" si="92"/>
        <v>-51.098808981473638</v>
      </c>
      <c r="BZ110">
        <f t="shared" ca="1" si="93"/>
        <v>90.347310255501242</v>
      </c>
      <c r="CA110" s="6">
        <f t="shared" ca="1" si="94"/>
        <v>0.82469209068519123</v>
      </c>
      <c r="CB110" s="6">
        <f t="shared" ca="1" si="95"/>
        <v>-0.56558196184221476</v>
      </c>
      <c r="CC110" s="6">
        <f t="shared" ca="1" si="96"/>
        <v>-0.60113875463117294</v>
      </c>
      <c r="CD110" s="6">
        <f t="shared" ca="1" si="97"/>
        <v>-32.274418281996887</v>
      </c>
      <c r="CE110" s="9">
        <f t="shared" ca="1" si="98"/>
        <v>-29.645955651991713</v>
      </c>
      <c r="CF110">
        <f t="shared" ca="1" si="99"/>
        <v>43.823746553223337</v>
      </c>
      <c r="CG110" s="6">
        <f t="shared" ca="1" si="100"/>
        <v>-0.73645958687717517</v>
      </c>
      <c r="CH110" s="6">
        <f t="shared" ca="1" si="101"/>
        <v>-0.67648154216999923</v>
      </c>
      <c r="CI110" s="6">
        <f t="shared" ca="1" si="102"/>
        <v>-2.3986180965838089</v>
      </c>
      <c r="CJ110" s="1">
        <f t="shared" ca="1" si="103"/>
        <v>-3.0991690471983291</v>
      </c>
      <c r="CK110" s="38"/>
    </row>
    <row r="111" spans="1:89" x14ac:dyDescent="0.25">
      <c r="A111">
        <f t="shared" si="111"/>
        <v>8</v>
      </c>
      <c r="B111">
        <f t="shared" si="111"/>
        <v>0</v>
      </c>
      <c r="C111">
        <f t="shared" ca="1" si="111"/>
        <v>0</v>
      </c>
      <c r="D111" s="9">
        <f t="shared" si="112"/>
        <v>4</v>
      </c>
      <c r="E111" s="5">
        <f t="shared" si="113"/>
        <v>3.33</v>
      </c>
      <c r="F111" s="5">
        <f t="shared" ca="1" si="114"/>
        <v>0</v>
      </c>
      <c r="G111">
        <f t="shared" ca="1" si="115"/>
        <v>0</v>
      </c>
      <c r="H111">
        <f t="shared" ca="1" si="116"/>
        <v>0</v>
      </c>
      <c r="J111">
        <f t="shared" ca="1" si="117"/>
        <v>0</v>
      </c>
      <c r="K111">
        <f t="shared" ca="1" si="118"/>
        <v>0</v>
      </c>
      <c r="L111">
        <f t="shared" ca="1" si="119"/>
        <v>0</v>
      </c>
      <c r="BC111">
        <v>1.9024088846738214</v>
      </c>
      <c r="BD111">
        <v>-9.0880916212036933</v>
      </c>
      <c r="BE111">
        <v>11.864387440753394</v>
      </c>
      <c r="BF111" s="6">
        <f t="shared" si="109"/>
        <v>2.2244574931452683</v>
      </c>
      <c r="BG111" s="6">
        <f t="shared" si="110"/>
        <v>0.3220486084714469</v>
      </c>
      <c r="BH111" s="6">
        <f t="shared" si="88"/>
        <v>-1.43905932974782</v>
      </c>
      <c r="BI111" s="6">
        <f t="shared" si="89"/>
        <v>1.43905932974782</v>
      </c>
      <c r="BJ111">
        <v>-13.981679417236451</v>
      </c>
      <c r="BK111">
        <v>18.252903755005221</v>
      </c>
      <c r="BV111" s="38"/>
      <c r="BW111" s="6">
        <f t="shared" si="90"/>
        <v>1.6755160819145583</v>
      </c>
      <c r="BX111" s="9">
        <f t="shared" ca="1" si="91"/>
        <v>81.50899170231213</v>
      </c>
      <c r="BY111" s="9">
        <f t="shared" ca="1" si="92"/>
        <v>-49.501352210932851</v>
      </c>
      <c r="BZ111">
        <f t="shared" ca="1" si="93"/>
        <v>95.362988622622424</v>
      </c>
      <c r="CA111" s="6">
        <f t="shared" ca="1" si="94"/>
        <v>0.8547235450523224</v>
      </c>
      <c r="CB111" s="6">
        <f t="shared" ca="1" si="95"/>
        <v>-0.51908348223883083</v>
      </c>
      <c r="CC111" s="6">
        <f t="shared" ca="1" si="96"/>
        <v>-0.54577830379911585</v>
      </c>
      <c r="CD111" s="6">
        <f t="shared" ca="1" si="97"/>
        <v>-39.274697801916076</v>
      </c>
      <c r="CE111" s="9">
        <f t="shared" ca="1" si="98"/>
        <v>-31.243412422532501</v>
      </c>
      <c r="CF111">
        <f t="shared" ca="1" si="99"/>
        <v>50.186180440797543</v>
      </c>
      <c r="CG111" s="6">
        <f t="shared" ca="1" si="100"/>
        <v>-0.78257993449504948</v>
      </c>
      <c r="CH111" s="6">
        <f t="shared" ca="1" si="101"/>
        <v>-0.62255011535275129</v>
      </c>
      <c r="CI111" s="6">
        <f t="shared" ca="1" si="102"/>
        <v>-2.4695955568095642</v>
      </c>
      <c r="CJ111" s="1">
        <f t="shared" ca="1" si="103"/>
        <v>-3.0281915869725737</v>
      </c>
      <c r="CK111" s="38"/>
    </row>
    <row r="112" spans="1:89" x14ac:dyDescent="0.25">
      <c r="A112">
        <f t="shared" si="111"/>
        <v>9</v>
      </c>
      <c r="B112">
        <f t="shared" si="111"/>
        <v>0</v>
      </c>
      <c r="C112">
        <f t="shared" ca="1" si="111"/>
        <v>0</v>
      </c>
      <c r="D112" s="9">
        <f t="shared" si="112"/>
        <v>2</v>
      </c>
      <c r="E112" s="5">
        <f t="shared" si="113"/>
        <v>-10</v>
      </c>
      <c r="F112" s="5">
        <f t="shared" ca="1" si="114"/>
        <v>0</v>
      </c>
      <c r="G112">
        <f t="shared" ca="1" si="115"/>
        <v>0</v>
      </c>
      <c r="H112">
        <f t="shared" ca="1" si="116"/>
        <v>0</v>
      </c>
      <c r="J112">
        <f t="shared" ca="1" si="117"/>
        <v>0</v>
      </c>
      <c r="K112">
        <f t="shared" ca="1" si="118"/>
        <v>0</v>
      </c>
      <c r="L112">
        <f t="shared" ca="1" si="119"/>
        <v>0</v>
      </c>
      <c r="BC112">
        <v>1.9198621771937647</v>
      </c>
      <c r="BD112">
        <v>-9.4199289810390496</v>
      </c>
      <c r="BE112">
        <v>11.63921096299841</v>
      </c>
      <c r="BF112" s="6">
        <f t="shared" si="109"/>
        <v>2.2511987124647823</v>
      </c>
      <c r="BG112" s="6">
        <f t="shared" si="110"/>
        <v>0.33133653527101758</v>
      </c>
      <c r="BH112" s="6">
        <f t="shared" si="88"/>
        <v>-1.465800549067334</v>
      </c>
      <c r="BI112" s="6">
        <f t="shared" si="89"/>
        <v>1.465800549067334</v>
      </c>
      <c r="BJ112">
        <v>-14.492198432367768</v>
      </c>
      <c r="BK112">
        <v>17.906478404612937</v>
      </c>
      <c r="BV112" s="38"/>
      <c r="BW112" s="6">
        <f t="shared" si="90"/>
        <v>1.6929693744345016</v>
      </c>
      <c r="BX112" s="9">
        <f t="shared" ca="1" si="91"/>
        <v>86.478895849742813</v>
      </c>
      <c r="BY112" s="9">
        <f t="shared" ca="1" si="92"/>
        <v>-48.296563325987435</v>
      </c>
      <c r="BZ112">
        <f t="shared" ca="1" si="93"/>
        <v>99.05128700068353</v>
      </c>
      <c r="CA112" s="6">
        <f t="shared" ca="1" si="94"/>
        <v>0.87307190515501365</v>
      </c>
      <c r="CB112" s="6">
        <f t="shared" ca="1" si="95"/>
        <v>-0.48759147698559585</v>
      </c>
      <c r="CC112" s="6">
        <f t="shared" ca="1" si="96"/>
        <v>-0.50932894447430455</v>
      </c>
      <c r="CD112" s="6">
        <f t="shared" ca="1" si="97"/>
        <v>-44.244601949346759</v>
      </c>
      <c r="CE112" s="9">
        <f t="shared" ca="1" si="98"/>
        <v>-32.448201307477916</v>
      </c>
      <c r="CF112">
        <f t="shared" ca="1" si="99"/>
        <v>54.867755282558726</v>
      </c>
      <c r="CG112" s="6">
        <f t="shared" ca="1" si="100"/>
        <v>-0.80638622304658347</v>
      </c>
      <c r="CH112" s="6">
        <f t="shared" ca="1" si="101"/>
        <v>-0.59138926206067155</v>
      </c>
      <c r="CI112" s="6">
        <f t="shared" ca="1" si="102"/>
        <v>-2.5088120743260438</v>
      </c>
      <c r="CJ112" s="1">
        <f t="shared" ca="1" si="103"/>
        <v>-2.9889750694560941</v>
      </c>
      <c r="CK112" s="38"/>
    </row>
    <row r="113" spans="1:89" x14ac:dyDescent="0.25">
      <c r="A113">
        <f t="shared" si="111"/>
        <v>10</v>
      </c>
      <c r="B113">
        <f t="shared" si="111"/>
        <v>0</v>
      </c>
      <c r="C113">
        <f t="shared" ca="1" si="111"/>
        <v>0</v>
      </c>
      <c r="D113" s="9">
        <f t="shared" si="112"/>
        <v>4</v>
      </c>
      <c r="E113" s="5">
        <f t="shared" si="113"/>
        <v>-10</v>
      </c>
      <c r="F113" s="5">
        <f t="shared" ca="1" si="114"/>
        <v>0</v>
      </c>
      <c r="G113">
        <f t="shared" ca="1" si="115"/>
        <v>0</v>
      </c>
      <c r="H113">
        <f t="shared" ca="1" si="116"/>
        <v>0</v>
      </c>
      <c r="J113">
        <f t="shared" ca="1" si="117"/>
        <v>0</v>
      </c>
      <c r="K113">
        <f t="shared" ca="1" si="118"/>
        <v>0</v>
      </c>
      <c r="L113">
        <f t="shared" ca="1" si="119"/>
        <v>0</v>
      </c>
      <c r="BC113">
        <v>1.937315469713708</v>
      </c>
      <c r="BD113">
        <v>-9.7170533759574944</v>
      </c>
      <c r="BE113">
        <v>11.428980731428673</v>
      </c>
      <c r="BF113" s="6">
        <f t="shared" si="109"/>
        <v>2.2754132930950757</v>
      </c>
      <c r="BG113" s="6">
        <f t="shared" si="110"/>
        <v>0.33809782338136762</v>
      </c>
      <c r="BH113" s="6">
        <f t="shared" si="88"/>
        <v>-1.4900151296976274</v>
      </c>
      <c r="BI113" s="6">
        <f t="shared" si="89"/>
        <v>1.4900151296976274</v>
      </c>
      <c r="BJ113">
        <v>-14.949312886088453</v>
      </c>
      <c r="BK113">
        <v>17.583047279121036</v>
      </c>
      <c r="BV113" s="38"/>
      <c r="BW113" s="6">
        <f t="shared" si="90"/>
        <v>1.7104226669544449</v>
      </c>
      <c r="BX113" s="9">
        <f t="shared" ca="1" si="91"/>
        <v>89.941375932400632</v>
      </c>
      <c r="BY113" s="9">
        <f t="shared" ca="1" si="92"/>
        <v>-47.353138292438899</v>
      </c>
      <c r="BZ113">
        <f t="shared" ca="1" si="93"/>
        <v>101.64531868589059</v>
      </c>
      <c r="CA113" s="6">
        <f t="shared" ca="1" si="94"/>
        <v>0.88485507345736147</v>
      </c>
      <c r="CB113" s="6">
        <f t="shared" ca="1" si="95"/>
        <v>-0.46586639605874935</v>
      </c>
      <c r="CC113" s="6">
        <f t="shared" ca="1" si="96"/>
        <v>-0.48461349806863341</v>
      </c>
      <c r="CD113" s="6">
        <f t="shared" ca="1" si="97"/>
        <v>-47.707082032004578</v>
      </c>
      <c r="CE113" s="9">
        <f t="shared" ca="1" si="98"/>
        <v>-33.391626341026452</v>
      </c>
      <c r="CF113">
        <f t="shared" ca="1" si="99"/>
        <v>58.232004823010733</v>
      </c>
      <c r="CG113" s="6">
        <f t="shared" ca="1" si="100"/>
        <v>-0.81925879380255917</v>
      </c>
      <c r="CH113" s="6">
        <f t="shared" ca="1" si="101"/>
        <v>-0.57342395204349117</v>
      </c>
      <c r="CI113" s="6">
        <f t="shared" ca="1" si="102"/>
        <v>-2.5309135522306825</v>
      </c>
      <c r="CJ113" s="1">
        <f t="shared" ca="1" si="103"/>
        <v>-2.9668735915514555</v>
      </c>
      <c r="CK113" s="38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-9.9852110146046087</v>
      </c>
      <c r="BE114">
        <v>11.231831892366912</v>
      </c>
      <c r="BF114" s="6">
        <f t="shared" si="109"/>
        <v>2.2975063257401676</v>
      </c>
      <c r="BG114" s="6">
        <f t="shared" si="110"/>
        <v>0.34273756350651619</v>
      </c>
      <c r="BH114" s="6">
        <f t="shared" si="88"/>
        <v>-1.5121081623427193</v>
      </c>
      <c r="BI114" s="6">
        <f t="shared" si="89"/>
        <v>1.5121081623427193</v>
      </c>
      <c r="BJ114">
        <v>-15.361863099391705</v>
      </c>
      <c r="BK114">
        <v>17.279741372872174</v>
      </c>
      <c r="BV114" s="38"/>
      <c r="BW114" s="6">
        <f t="shared" si="90"/>
        <v>1.7278759594743882</v>
      </c>
      <c r="BX114" s="9">
        <f t="shared" ca="1" si="91"/>
        <v>92.4695130465077</v>
      </c>
      <c r="BY114" s="9">
        <f t="shared" ca="1" si="92"/>
        <v>-46.575783993346107</v>
      </c>
      <c r="BZ114">
        <f t="shared" ca="1" si="93"/>
        <v>103.53701993805448</v>
      </c>
      <c r="CA114" s="6">
        <f t="shared" ca="1" si="94"/>
        <v>0.89310580024257602</v>
      </c>
      <c r="CB114" s="6">
        <f t="shared" ca="1" si="95"/>
        <v>-0.4498466734044701</v>
      </c>
      <c r="CC114" s="6">
        <f t="shared" ca="1" si="96"/>
        <v>-0.46659365364781291</v>
      </c>
      <c r="CD114" s="6">
        <f t="shared" ca="1" si="97"/>
        <v>-50.235219146111646</v>
      </c>
      <c r="CE114" s="9">
        <f t="shared" ca="1" si="98"/>
        <v>-34.168980640119244</v>
      </c>
      <c r="CF114">
        <f t="shared" ca="1" si="99"/>
        <v>60.754394743448032</v>
      </c>
      <c r="CG114" s="6">
        <f t="shared" ca="1" si="100"/>
        <v>-0.8268573715242088</v>
      </c>
      <c r="CH114" s="6">
        <f t="shared" ca="1" si="101"/>
        <v>-0.56241167053687335</v>
      </c>
      <c r="CI114" s="6">
        <f t="shared" ca="1" si="102"/>
        <v>-2.5442930663392138</v>
      </c>
      <c r="CJ114" s="1">
        <f t="shared" ca="1" si="103"/>
        <v>-2.9534940774429241</v>
      </c>
      <c r="CK114" s="38"/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-10.229015457219424</v>
      </c>
      <c r="BE115">
        <v>11.046190436789264</v>
      </c>
      <c r="BF115" s="6">
        <f t="shared" si="109"/>
        <v>2.317803629135514</v>
      </c>
      <c r="BG115" s="6">
        <f t="shared" si="110"/>
        <v>0.34558157438191928</v>
      </c>
      <c r="BH115" s="6">
        <f t="shared" si="88"/>
        <v>-1.5324054657380657</v>
      </c>
      <c r="BI115" s="6">
        <f t="shared" si="89"/>
        <v>1.5324054657380657</v>
      </c>
      <c r="BJ115">
        <v>-15.736946857260651</v>
      </c>
      <c r="BK115">
        <v>16.994139133521944</v>
      </c>
      <c r="BV115" s="38"/>
      <c r="BW115" s="6">
        <f t="shared" si="90"/>
        <v>1.7453292519943315</v>
      </c>
      <c r="BX115" s="9">
        <f t="shared" ca="1" si="91"/>
        <v>94.380366915008366</v>
      </c>
      <c r="BY115" s="9">
        <f t="shared" ca="1" si="92"/>
        <v>-45.920983210720479</v>
      </c>
      <c r="BZ115">
        <f t="shared" ca="1" si="93"/>
        <v>104.95899369778122</v>
      </c>
      <c r="CA115" s="6">
        <f t="shared" ca="1" si="94"/>
        <v>0.89921181206030865</v>
      </c>
      <c r="CB115" s="6">
        <f t="shared" ca="1" si="95"/>
        <v>-0.43751356213403964</v>
      </c>
      <c r="CC115" s="6">
        <f t="shared" ca="1" si="96"/>
        <v>-0.45283167693590343</v>
      </c>
      <c r="CD115" s="6">
        <f t="shared" ca="1" si="97"/>
        <v>-52.146073014612313</v>
      </c>
      <c r="CE115" s="9">
        <f t="shared" ca="1" si="98"/>
        <v>-34.823781422744872</v>
      </c>
      <c r="CF115">
        <f t="shared" ca="1" si="99"/>
        <v>62.704933485527192</v>
      </c>
      <c r="CG115" s="6">
        <f t="shared" ca="1" si="100"/>
        <v>-0.83161037124212966</v>
      </c>
      <c r="CH115" s="6">
        <f t="shared" ca="1" si="101"/>
        <v>-0.55535951458719723</v>
      </c>
      <c r="CI115" s="6">
        <f t="shared" ca="1" si="102"/>
        <v>-2.5527974384945802</v>
      </c>
      <c r="CJ115" s="1">
        <f t="shared" ca="1" si="103"/>
        <v>-2.9449897052875578</v>
      </c>
      <c r="CK115" s="38"/>
    </row>
    <row r="116" spans="1:89" x14ac:dyDescent="0.25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-10.4522082242271</v>
      </c>
      <c r="BE116">
        <v>10.870716692197961</v>
      </c>
      <c r="BF116" s="6">
        <f t="shared" si="109"/>
        <v>2.3365698494831326</v>
      </c>
      <c r="BG116" s="6">
        <f t="shared" si="110"/>
        <v>0.34689450220959461</v>
      </c>
      <c r="BH116" s="6">
        <f t="shared" si="88"/>
        <v>-1.5511716860856843</v>
      </c>
      <c r="BI116" s="6">
        <f t="shared" si="89"/>
        <v>1.5511716860856843</v>
      </c>
      <c r="BJ116">
        <v>-16.080320344964768</v>
      </c>
      <c r="BK116">
        <v>16.7241795264584</v>
      </c>
      <c r="BV116" s="38"/>
      <c r="BW116" s="6">
        <f t="shared" si="90"/>
        <v>1.7627825445142749</v>
      </c>
      <c r="BX116" s="9">
        <f t="shared" ca="1" si="91"/>
        <v>95.865978297253264</v>
      </c>
      <c r="BY116" s="9">
        <f t="shared" ca="1" si="92"/>
        <v>-45.359473557196807</v>
      </c>
      <c r="BZ116">
        <f t="shared" ca="1" si="93"/>
        <v>106.05549319236354</v>
      </c>
      <c r="CA116" s="6">
        <f t="shared" ca="1" si="94"/>
        <v>0.90392279939117792</v>
      </c>
      <c r="CB116" s="6">
        <f t="shared" ca="1" si="95"/>
        <v>-0.42769565433941037</v>
      </c>
      <c r="CC116" s="6">
        <f t="shared" ca="1" si="96"/>
        <v>-0.44194196220248622</v>
      </c>
      <c r="CD116" s="6">
        <f t="shared" ca="1" si="97"/>
        <v>-53.63168439685721</v>
      </c>
      <c r="CE116" s="9">
        <f t="shared" ca="1" si="98"/>
        <v>-35.385291076268544</v>
      </c>
      <c r="CF116">
        <f t="shared" ca="1" si="99"/>
        <v>64.253220898226942</v>
      </c>
      <c r="CG116" s="6">
        <f t="shared" ca="1" si="100"/>
        <v>-0.83469254376845048</v>
      </c>
      <c r="CH116" s="6">
        <f t="shared" ca="1" si="101"/>
        <v>-0.55071622218466865</v>
      </c>
      <c r="CI116" s="6">
        <f t="shared" ca="1" si="102"/>
        <v>-2.5583705913016637</v>
      </c>
      <c r="CJ116" s="1">
        <f t="shared" ca="1" si="103"/>
        <v>-2.9394165524804743</v>
      </c>
      <c r="CK116" s="38"/>
    </row>
    <row r="117" spans="1:89" x14ac:dyDescent="0.25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-10.657851947612077</v>
      </c>
      <c r="BE117">
        <v>10.704261493377714</v>
      </c>
      <c r="BF117" s="6">
        <f t="shared" si="109"/>
        <v>2.3540219770241597</v>
      </c>
      <c r="BG117" s="6">
        <f t="shared" si="110"/>
        <v>0.34689333723067861</v>
      </c>
      <c r="BH117" s="6">
        <f t="shared" si="88"/>
        <v>-1.5686238136267114</v>
      </c>
      <c r="BI117" s="6">
        <f t="shared" si="89"/>
        <v>1.5686238136267114</v>
      </c>
      <c r="BJ117">
        <v>-16.396695304018579</v>
      </c>
      <c r="BK117">
        <v>16.468094605196484</v>
      </c>
      <c r="BV117" s="38"/>
      <c r="BW117" s="6">
        <f t="shared" si="90"/>
        <v>1.7802358370342182</v>
      </c>
      <c r="BX117" s="9">
        <f t="shared" ca="1" si="91"/>
        <v>97.048542301243117</v>
      </c>
      <c r="BY117" s="9">
        <f t="shared" ca="1" si="92"/>
        <v>-44.870785309831774</v>
      </c>
      <c r="BZ117">
        <f t="shared" ca="1" si="93"/>
        <v>106.9196283996404</v>
      </c>
      <c r="CA117" s="6">
        <f t="shared" ca="1" si="94"/>
        <v>0.9076775121074917</v>
      </c>
      <c r="CB117" s="6">
        <f t="shared" ca="1" si="95"/>
        <v>-0.41966836194113338</v>
      </c>
      <c r="CC117" s="6">
        <f t="shared" ca="1" si="96"/>
        <v>-0.43307991927675371</v>
      </c>
      <c r="CD117" s="6">
        <f t="shared" ca="1" si="97"/>
        <v>-54.814248400847063</v>
      </c>
      <c r="CE117" s="9">
        <f t="shared" ca="1" si="98"/>
        <v>-35.873979323633577</v>
      </c>
      <c r="CF117">
        <f t="shared" ca="1" si="99"/>
        <v>65.509878799019731</v>
      </c>
      <c r="CG117" s="6">
        <f t="shared" ca="1" si="100"/>
        <v>-0.83673255706996186</v>
      </c>
      <c r="CH117" s="6">
        <f t="shared" ca="1" si="101"/>
        <v>-0.54761174927056011</v>
      </c>
      <c r="CI117" s="6">
        <f t="shared" ca="1" si="102"/>
        <v>-2.5620853486575945</v>
      </c>
      <c r="CJ117" s="1">
        <f t="shared" ca="1" si="103"/>
        <v>-2.9357017951245434</v>
      </c>
      <c r="CK117" s="38"/>
    </row>
    <row r="118" spans="1:89" x14ac:dyDescent="0.25">
      <c r="BC118">
        <v>2.0245819323134242</v>
      </c>
      <c r="BD118">
        <v>-10.848475345670709</v>
      </c>
      <c r="BE118">
        <v>10.545831795775202</v>
      </c>
      <c r="BF118" s="6">
        <f t="shared" si="109"/>
        <v>2.3703395318193601</v>
      </c>
      <c r="BG118" s="6">
        <f t="shared" si="110"/>
        <v>0.34575759950593588</v>
      </c>
      <c r="BH118" s="6">
        <f t="shared" si="88"/>
        <v>-1.5849413684219116</v>
      </c>
      <c r="BI118" s="6">
        <f t="shared" si="89"/>
        <v>1.5849413684219116</v>
      </c>
      <c r="BJ118">
        <v>-16.689962070262627</v>
      </c>
      <c r="BK118">
        <v>16.224356608884925</v>
      </c>
      <c r="BV118" s="38"/>
      <c r="BW118" s="6">
        <f t="shared" si="90"/>
        <v>1.7976891295541615</v>
      </c>
      <c r="BX118" s="9">
        <f t="shared" ca="1" si="91"/>
        <v>98.008996726251866</v>
      </c>
      <c r="BY118" s="9">
        <f t="shared" ca="1" si="92"/>
        <v>-44.440130783752245</v>
      </c>
      <c r="BZ118">
        <f t="shared" ca="1" si="93"/>
        <v>107.61360816998682</v>
      </c>
      <c r="CA118" s="6">
        <f t="shared" ca="1" si="94"/>
        <v>0.91074909942092563</v>
      </c>
      <c r="CB118" s="6">
        <f t="shared" ca="1" si="95"/>
        <v>-0.41296014081745558</v>
      </c>
      <c r="CC118" s="6">
        <f t="shared" ca="1" si="96"/>
        <v>-0.42570190286313209</v>
      </c>
      <c r="CD118" s="6">
        <f t="shared" ca="1" si="97"/>
        <v>-55.774702825855812</v>
      </c>
      <c r="CE118" s="9">
        <f t="shared" ca="1" si="98"/>
        <v>-36.304633849713106</v>
      </c>
      <c r="CF118">
        <f t="shared" ca="1" si="99"/>
        <v>66.549559835315691</v>
      </c>
      <c r="CG118" s="6">
        <f t="shared" ca="1" si="100"/>
        <v>-0.83809273816200336</v>
      </c>
      <c r="CH118" s="6">
        <f t="shared" ca="1" si="101"/>
        <v>-0.54552778319725892</v>
      </c>
      <c r="CI118" s="6">
        <f t="shared" ca="1" si="102"/>
        <v>-2.564573924634721</v>
      </c>
      <c r="CJ118" s="1">
        <f t="shared" ca="1" si="103"/>
        <v>-2.933213219147417</v>
      </c>
      <c r="CK118" s="38"/>
    </row>
    <row r="119" spans="1:89" x14ac:dyDescent="0.25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-11.026183344195063</v>
      </c>
      <c r="BE119">
        <v>10.394563422538122</v>
      </c>
      <c r="BF119" s="6">
        <f t="shared" si="109"/>
        <v>2.385672312366717</v>
      </c>
      <c r="BG119" s="6">
        <f t="shared" si="110"/>
        <v>0.34363708753334965</v>
      </c>
      <c r="BH119" s="6">
        <f t="shared" si="88"/>
        <v>-1.6002741489692685</v>
      </c>
      <c r="BI119" s="6">
        <f t="shared" si="89"/>
        <v>1.6002741489692685</v>
      </c>
      <c r="BJ119">
        <v>-16.963358991069327</v>
      </c>
      <c r="BK119">
        <v>15.991636034674032</v>
      </c>
      <c r="BV119" s="38"/>
      <c r="BW119" s="6">
        <f t="shared" si="90"/>
        <v>1.8151424220741048</v>
      </c>
      <c r="BX119" s="9">
        <f t="shared" ca="1" si="91"/>
        <v>98.802772149023767</v>
      </c>
      <c r="BY119" s="9">
        <f t="shared" ca="1" si="92"/>
        <v>-44.056536841061821</v>
      </c>
      <c r="BZ119">
        <f t="shared" ca="1" si="93"/>
        <v>108.18024876454918</v>
      </c>
      <c r="CA119" s="6">
        <f t="shared" ca="1" si="94"/>
        <v>0.91331618550873195</v>
      </c>
      <c r="CB119" s="6">
        <f t="shared" ca="1" si="95"/>
        <v>-0.40725120661304315</v>
      </c>
      <c r="CC119" s="6">
        <f t="shared" ca="1" si="96"/>
        <v>-0.41944235106863126</v>
      </c>
      <c r="CD119" s="6">
        <f t="shared" ca="1" si="97"/>
        <v>-56.568478248627713</v>
      </c>
      <c r="CE119" s="9">
        <f t="shared" ca="1" si="98"/>
        <v>-36.688227792403531</v>
      </c>
      <c r="CF119">
        <f t="shared" ca="1" si="99"/>
        <v>67.424170665368649</v>
      </c>
      <c r="CG119" s="6">
        <f t="shared" ca="1" si="100"/>
        <v>-0.83899405347351508</v>
      </c>
      <c r="CH119" s="6">
        <f t="shared" ca="1" si="101"/>
        <v>-0.54414058683035238</v>
      </c>
      <c r="CI119" s="6">
        <f t="shared" ca="1" si="102"/>
        <v>-2.5662282171346265</v>
      </c>
      <c r="CJ119" s="1">
        <f t="shared" ca="1" si="103"/>
        <v>-2.9315589266475115</v>
      </c>
      <c r="CK119" s="38"/>
    </row>
    <row r="120" spans="1:89" x14ac:dyDescent="0.25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-11.192741607930309</v>
      </c>
      <c r="BE120">
        <v>10.249699243631389</v>
      </c>
      <c r="BF120" s="6">
        <f t="shared" si="109"/>
        <v>2.4001463446958646</v>
      </c>
      <c r="BG120" s="6">
        <f t="shared" si="110"/>
        <v>0.34065782734255423</v>
      </c>
      <c r="BH120" s="6">
        <f t="shared" si="88"/>
        <v>-1.6147481812984161</v>
      </c>
      <c r="BI120" s="6">
        <f t="shared" si="89"/>
        <v>1.6147481812984161</v>
      </c>
      <c r="BJ120">
        <v>-17.219602473738934</v>
      </c>
      <c r="BK120">
        <v>15.768768067125212</v>
      </c>
      <c r="BV120" s="38"/>
      <c r="BW120" s="6">
        <f t="shared" si="90"/>
        <v>1.8325957145940481</v>
      </c>
      <c r="BX120" s="9">
        <f t="shared" ca="1" si="91"/>
        <v>99.468917810777043</v>
      </c>
      <c r="BY120" s="9">
        <f t="shared" ca="1" si="92"/>
        <v>-43.71167396174112</v>
      </c>
      <c r="BZ120">
        <f t="shared" ca="1" si="93"/>
        <v>108.64978624454203</v>
      </c>
      <c r="CA120" s="6">
        <f t="shared" ca="1" si="94"/>
        <v>0.91550035438540789</v>
      </c>
      <c r="CB120" s="6">
        <f t="shared" ca="1" si="95"/>
        <v>-0.40231716483415497</v>
      </c>
      <c r="CC120" s="6">
        <f t="shared" ca="1" si="96"/>
        <v>-0.4140464792577046</v>
      </c>
      <c r="CD120" s="6">
        <f t="shared" ca="1" si="97"/>
        <v>-57.234623910380989</v>
      </c>
      <c r="CE120" s="9">
        <f t="shared" ca="1" si="98"/>
        <v>-37.033090671724231</v>
      </c>
      <c r="CF120">
        <f t="shared" ca="1" si="99"/>
        <v>68.170756038516274</v>
      </c>
      <c r="CG120" s="6">
        <f t="shared" ca="1" si="100"/>
        <v>-0.83957736772119118</v>
      </c>
      <c r="CH120" s="6">
        <f t="shared" ca="1" si="101"/>
        <v>-0.54324013438842667</v>
      </c>
      <c r="CI120" s="6">
        <f t="shared" ca="1" si="102"/>
        <v>-2.5673010965417014</v>
      </c>
      <c r="CJ120" s="1">
        <f t="shared" ca="1" si="103"/>
        <v>-2.9304860472404366</v>
      </c>
      <c r="CK120" s="38"/>
    </row>
    <row r="121" spans="1:89" x14ac:dyDescent="0.25">
      <c r="BC121">
        <v>2.0769418098732535</v>
      </c>
      <c r="BD121">
        <v>-11.349642109959456</v>
      </c>
      <c r="BE121">
        <v>10.110571551533203</v>
      </c>
      <c r="BF121" s="6">
        <f t="shared" si="109"/>
        <v>2.4138684927424965</v>
      </c>
      <c r="BG121" s="6">
        <f t="shared" si="110"/>
        <v>0.33692668286924299</v>
      </c>
      <c r="BH121" s="6">
        <f t="shared" si="88"/>
        <v>-1.628470329345048</v>
      </c>
      <c r="BI121" s="6">
        <f t="shared" si="89"/>
        <v>1.628470329345048</v>
      </c>
      <c r="BJ121">
        <v>-17.460987861476085</v>
      </c>
      <c r="BK121">
        <v>15.554725463897235</v>
      </c>
      <c r="BV121" s="38"/>
      <c r="BW121" s="6">
        <f t="shared" si="90"/>
        <v>1.8500490071139915</v>
      </c>
      <c r="BX121" s="9">
        <f t="shared" ca="1" si="91"/>
        <v>100.03561748174292</v>
      </c>
      <c r="BY121" s="9">
        <f t="shared" ca="1" si="92"/>
        <v>-43.399094830882639</v>
      </c>
      <c r="BZ121">
        <f t="shared" ca="1" si="93"/>
        <v>109.04405622083917</v>
      </c>
      <c r="CA121" s="6">
        <f t="shared" ca="1" si="94"/>
        <v>0.9173871639472756</v>
      </c>
      <c r="CB121" s="6">
        <f t="shared" ca="1" si="95"/>
        <v>-0.39799596910618895</v>
      </c>
      <c r="CC121" s="6">
        <f t="shared" ca="1" si="96"/>
        <v>-0.40933130969196729</v>
      </c>
      <c r="CD121" s="6">
        <f t="shared" ca="1" si="97"/>
        <v>-57.801323581346864</v>
      </c>
      <c r="CE121" s="9">
        <f t="shared" ca="1" si="98"/>
        <v>-37.345669802582712</v>
      </c>
      <c r="CF121">
        <f t="shared" ca="1" si="99"/>
        <v>68.816364774369646</v>
      </c>
      <c r="CG121" s="6">
        <f t="shared" ca="1" si="100"/>
        <v>-0.83993572998024324</v>
      </c>
      <c r="CH121" s="6">
        <f t="shared" ca="1" si="101"/>
        <v>-0.54268588474600654</v>
      </c>
      <c r="CI121" s="6">
        <f t="shared" ca="1" si="102"/>
        <v>-2.5679611088072312</v>
      </c>
      <c r="CJ121" s="1">
        <f t="shared" ca="1" si="103"/>
        <v>-2.9298260349749068</v>
      </c>
      <c r="CK121" s="38"/>
    </row>
    <row r="122" spans="1:89" x14ac:dyDescent="0.25">
      <c r="BC122">
        <v>2.0943951023931966</v>
      </c>
      <c r="BD122">
        <v>-11.498154450906407</v>
      </c>
      <c r="BE122">
        <v>9.9765876924294457</v>
      </c>
      <c r="BF122" s="6">
        <f t="shared" si="109"/>
        <v>2.4269300627503161</v>
      </c>
      <c r="BG122" s="6">
        <f t="shared" si="110"/>
        <v>0.33253496035711949</v>
      </c>
      <c r="BH122" s="6">
        <f t="shared" si="88"/>
        <v>-1.6415318993528676</v>
      </c>
      <c r="BI122" s="6">
        <f t="shared" si="89"/>
        <v>1.6415318993528676</v>
      </c>
      <c r="BJ122">
        <v>-17.689468386009857</v>
      </c>
      <c r="BK122">
        <v>15.348596449891454</v>
      </c>
      <c r="BV122" s="38"/>
      <c r="BW122" s="6">
        <f t="shared" si="90"/>
        <v>1.8675022996339348</v>
      </c>
      <c r="BX122" s="9">
        <f t="shared" ca="1" si="91"/>
        <v>100.52364540413048</v>
      </c>
      <c r="BY122" s="9">
        <f t="shared" ca="1" si="92"/>
        <v>-43.113723635718188</v>
      </c>
      <c r="BZ122">
        <f t="shared" ca="1" si="93"/>
        <v>109.37914084080404</v>
      </c>
      <c r="CA122" s="6">
        <f t="shared" ca="1" si="94"/>
        <v>0.91903853542274294</v>
      </c>
      <c r="CB122" s="6">
        <f t="shared" ca="1" si="95"/>
        <v>-0.39416769325760287</v>
      </c>
      <c r="CC122" s="6">
        <f t="shared" ca="1" si="96"/>
        <v>-0.40516204729882904</v>
      </c>
      <c r="CD122" s="6">
        <f t="shared" ca="1" si="97"/>
        <v>-58.289351503734423</v>
      </c>
      <c r="CE122" s="9">
        <f t="shared" ca="1" si="98"/>
        <v>-37.631040997747164</v>
      </c>
      <c r="CF122">
        <f t="shared" ca="1" si="99"/>
        <v>69.381148342327364</v>
      </c>
      <c r="CG122" s="6">
        <f t="shared" ca="1" si="100"/>
        <v>-0.84013241199373223</v>
      </c>
      <c r="CH122" s="6">
        <f t="shared" ca="1" si="101"/>
        <v>-0.5423813513733613</v>
      </c>
      <c r="CI122" s="6">
        <f t="shared" ca="1" si="102"/>
        <v>-2.5683236338283315</v>
      </c>
      <c r="CJ122" s="1">
        <f t="shared" ca="1" si="103"/>
        <v>-2.9294635099538064</v>
      </c>
      <c r="CK122" s="38"/>
    </row>
    <row r="123" spans="1:89" x14ac:dyDescent="0.25">
      <c r="A123" t="s">
        <v>128</v>
      </c>
      <c r="BC123">
        <v>2.1118483949131397</v>
      </c>
      <c r="BD123">
        <v>-11.639366394737257</v>
      </c>
      <c r="BE123">
        <v>9.8472182561412005</v>
      </c>
      <c r="BF123" s="6">
        <f t="shared" si="109"/>
        <v>2.4394096462274382</v>
      </c>
      <c r="BG123" s="6">
        <f t="shared" si="110"/>
        <v>0.32756125131429847</v>
      </c>
      <c r="BH123" s="6">
        <f t="shared" si="88"/>
        <v>-1.6540114828299897</v>
      </c>
      <c r="BI123" s="6">
        <f t="shared" si="89"/>
        <v>1.6540114828299897</v>
      </c>
      <c r="BJ123">
        <v>-17.906717530365011</v>
      </c>
      <c r="BK123">
        <v>15.149566547909538</v>
      </c>
      <c r="BV123" s="38"/>
      <c r="BW123" s="6">
        <f t="shared" si="90"/>
        <v>1.8849555921538781</v>
      </c>
      <c r="BX123" s="9">
        <f t="shared" ca="1" si="91"/>
        <v>100.94859974605106</v>
      </c>
      <c r="BY123" s="9">
        <f t="shared" ca="1" si="92"/>
        <v>-42.851504237027768</v>
      </c>
      <c r="BZ123">
        <f t="shared" ca="1" si="93"/>
        <v>109.66709263067216</v>
      </c>
      <c r="CA123" s="6">
        <f t="shared" ca="1" si="94"/>
        <v>0.92050037367195892</v>
      </c>
      <c r="CB123" s="6">
        <f t="shared" ca="1" si="95"/>
        <v>-0.39074168202251475</v>
      </c>
      <c r="CC123" s="6">
        <f t="shared" ca="1" si="96"/>
        <v>-0.40143719292694835</v>
      </c>
      <c r="CD123" s="6">
        <f t="shared" ca="1" si="97"/>
        <v>-58.714305845655005</v>
      </c>
      <c r="CE123" s="9">
        <f t="shared" ca="1" si="98"/>
        <v>-37.893260396437583</v>
      </c>
      <c r="CF123">
        <f t="shared" ca="1" si="99"/>
        <v>69.880389913117554</v>
      </c>
      <c r="CG123" s="6">
        <f t="shared" ca="1" si="100"/>
        <v>-0.84021148019715741</v>
      </c>
      <c r="CH123" s="6">
        <f t="shared" ca="1" si="101"/>
        <v>-0.5422588575070969</v>
      </c>
      <c r="CI123" s="6">
        <f t="shared" ca="1" si="102"/>
        <v>-2.5684694300151918</v>
      </c>
      <c r="CJ123" s="1">
        <f t="shared" ca="1" si="103"/>
        <v>-2.9293177137669462</v>
      </c>
      <c r="CK123" s="38"/>
    </row>
    <row r="124" spans="1:89" x14ac:dyDescent="0.25">
      <c r="BC124">
        <v>2.1293016874330828</v>
      </c>
      <c r="BD124">
        <v>-11.776797397455224</v>
      </c>
      <c r="BE124">
        <v>9.719326351568375</v>
      </c>
      <c r="BF124" s="6">
        <f t="shared" si="109"/>
        <v>2.451617390048765</v>
      </c>
      <c r="BG124" s="6">
        <f t="shared" si="110"/>
        <v>0.32231570261568221</v>
      </c>
      <c r="BH124" s="6">
        <f t="shared" si="88"/>
        <v>-1.6662192266513165</v>
      </c>
      <c r="BI124" s="6">
        <f t="shared" si="89"/>
        <v>1.6662192266513165</v>
      </c>
      <c r="BJ124">
        <v>-18.118149842238807</v>
      </c>
      <c r="BK124">
        <v>14.952809771643654</v>
      </c>
      <c r="BV124" s="38"/>
      <c r="BW124" s="6">
        <f t="shared" si="90"/>
        <v>1.9024088846738214</v>
      </c>
      <c r="BX124" s="9">
        <f t="shared" ca="1" si="91"/>
        <v>101.32238552159974</v>
      </c>
      <c r="BY124" s="9">
        <f t="shared" ca="1" si="92"/>
        <v>-42.609152074218741</v>
      </c>
      <c r="BZ124">
        <f t="shared" ca="1" si="93"/>
        <v>109.91708533377141</v>
      </c>
      <c r="CA124" s="6">
        <f t="shared" ca="1" si="94"/>
        <v>0.92180742615151023</v>
      </c>
      <c r="CB124" s="6">
        <f t="shared" ca="1" si="95"/>
        <v>-0.38764812535587967</v>
      </c>
      <c r="CC124" s="6">
        <f t="shared" ca="1" si="96"/>
        <v>-0.39807884666214177</v>
      </c>
      <c r="CD124" s="6">
        <f t="shared" ca="1" si="97"/>
        <v>-59.088091621203688</v>
      </c>
      <c r="CE124" s="9">
        <f t="shared" ca="1" si="98"/>
        <v>-38.13561255924661</v>
      </c>
      <c r="CF124">
        <f t="shared" ca="1" si="99"/>
        <v>70.325866626048267</v>
      </c>
      <c r="CG124" s="6">
        <f t="shared" ca="1" si="100"/>
        <v>-0.84020424427045481</v>
      </c>
      <c r="CH124" s="6">
        <f t="shared" ca="1" si="101"/>
        <v>-0.54227006916287912</v>
      </c>
      <c r="CI124" s="6">
        <f t="shared" ca="1" si="102"/>
        <v>-2.5684560861079446</v>
      </c>
      <c r="CJ124" s="1">
        <f t="shared" ca="1" si="103"/>
        <v>-2.9293310576741933</v>
      </c>
      <c r="CK124" s="38"/>
    </row>
    <row r="125" spans="1:89" x14ac:dyDescent="0.25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-11.908935881307334</v>
      </c>
      <c r="BE125">
        <v>9.5949210830347287</v>
      </c>
      <c r="BF125" s="6">
        <f t="shared" si="109"/>
        <v>2.4633912800248567</v>
      </c>
      <c r="BG125" s="6">
        <f t="shared" si="110"/>
        <v>0.31663630007183086</v>
      </c>
      <c r="BH125" s="6">
        <f t="shared" si="88"/>
        <v>-1.6779931166274082</v>
      </c>
      <c r="BI125" s="6">
        <f t="shared" si="89"/>
        <v>1.6779931166274082</v>
      </c>
      <c r="BJ125">
        <v>-18.321439817395898</v>
      </c>
      <c r="BK125">
        <v>14.76141705082266</v>
      </c>
      <c r="BV125" s="38"/>
      <c r="BW125" s="6">
        <f t="shared" si="90"/>
        <v>1.9198621771937647</v>
      </c>
      <c r="BX125" s="9">
        <f t="shared" ca="1" si="91"/>
        <v>101.6542228814351</v>
      </c>
      <c r="BY125" s="9">
        <f t="shared" ca="1" si="92"/>
        <v>-42.383975596463763</v>
      </c>
      <c r="BZ125">
        <f t="shared" ca="1" si="93"/>
        <v>110.13619939415977</v>
      </c>
      <c r="CA125" s="6">
        <f t="shared" ca="1" si="94"/>
        <v>0.92298647892897556</v>
      </c>
      <c r="CB125" s="6">
        <f t="shared" ca="1" si="95"/>
        <v>-0.38483237872389547</v>
      </c>
      <c r="CC125" s="6">
        <f t="shared" ca="1" si="96"/>
        <v>-0.39502620816668599</v>
      </c>
      <c r="CD125" s="6">
        <f t="shared" ca="1" si="97"/>
        <v>-59.41992898103905</v>
      </c>
      <c r="CE125" s="9">
        <f t="shared" ca="1" si="98"/>
        <v>-38.360789037001588</v>
      </c>
      <c r="CF125">
        <f t="shared" ca="1" si="99"/>
        <v>70.726784853074335</v>
      </c>
      <c r="CG125" s="6">
        <f t="shared" ca="1" si="100"/>
        <v>-0.84013332578988564</v>
      </c>
      <c r="CH125" s="6">
        <f t="shared" ca="1" si="101"/>
        <v>-0.54237993592796729</v>
      </c>
      <c r="CI125" s="6">
        <f t="shared" ca="1" si="102"/>
        <v>-2.5683253186158774</v>
      </c>
      <c r="CJ125" s="1">
        <f t="shared" ca="1" si="103"/>
        <v>-2.9294618251662605</v>
      </c>
      <c r="CK125" s="38"/>
    </row>
    <row r="126" spans="1:89" x14ac:dyDescent="0.25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-12.036349713535676</v>
      </c>
      <c r="BE126">
        <v>9.4737535520392555</v>
      </c>
      <c r="BF126" s="6">
        <f t="shared" si="109"/>
        <v>2.4747701503509152</v>
      </c>
      <c r="BG126" s="6">
        <f t="shared" si="110"/>
        <v>0.3105618778779462</v>
      </c>
      <c r="BH126" s="6">
        <f t="shared" si="88"/>
        <v>-1.6893719869534669</v>
      </c>
      <c r="BI126" s="6">
        <f t="shared" si="89"/>
        <v>1.6893719869534669</v>
      </c>
      <c r="BJ126">
        <v>-18.517461097747194</v>
      </c>
      <c r="BK126">
        <v>14.575005464675778</v>
      </c>
      <c r="BV126" s="38"/>
      <c r="BW126" s="6">
        <f t="shared" si="90"/>
        <v>1.937315469713708</v>
      </c>
      <c r="BX126" s="9">
        <f t="shared" ca="1" si="91"/>
        <v>101.95134727635354</v>
      </c>
      <c r="BY126" s="9">
        <f t="shared" ca="1" si="92"/>
        <v>-42.173745364894025</v>
      </c>
      <c r="BZ126">
        <f t="shared" ca="1" si="93"/>
        <v>110.32996877352301</v>
      </c>
      <c r="CA126" s="6">
        <f t="shared" ca="1" si="94"/>
        <v>0.92405851655438731</v>
      </c>
      <c r="CB126" s="6">
        <f t="shared" ca="1" si="95"/>
        <v>-0.3822510405261248</v>
      </c>
      <c r="CC126" s="6">
        <f t="shared" ca="1" si="96"/>
        <v>-0.39223110948364637</v>
      </c>
      <c r="CD126" s="6">
        <f t="shared" ca="1" si="97"/>
        <v>-59.717053375957491</v>
      </c>
      <c r="CE126" s="9">
        <f t="shared" ca="1" si="98"/>
        <v>-38.571019268571327</v>
      </c>
      <c r="CF126">
        <f t="shared" ca="1" si="99"/>
        <v>71.090435301265785</v>
      </c>
      <c r="CG126" s="6">
        <f t="shared" ca="1" si="100"/>
        <v>-0.84001530055189033</v>
      </c>
      <c r="CH126" s="6">
        <f t="shared" ca="1" si="101"/>
        <v>-0.5425627105125429</v>
      </c>
      <c r="CI126" s="6">
        <f t="shared" ca="1" si="102"/>
        <v>-2.5681077490735298</v>
      </c>
      <c r="CJ126" s="1">
        <f t="shared" ca="1" si="103"/>
        <v>-2.9296793947086082</v>
      </c>
      <c r="CK126" s="38"/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-12.159661084526258</v>
      </c>
      <c r="BE127">
        <v>9.355462444967209</v>
      </c>
      <c r="BF127" s="6">
        <f t="shared" si="109"/>
        <v>2.4858000559297388</v>
      </c>
      <c r="BG127" s="6">
        <f t="shared" si="110"/>
        <v>0.30413849093682677</v>
      </c>
      <c r="BH127" s="6">
        <f t="shared" si="88"/>
        <v>-1.7004018925322903</v>
      </c>
      <c r="BI127" s="6">
        <f t="shared" si="89"/>
        <v>1.7004018925322903</v>
      </c>
      <c r="BJ127">
        <v>-18.707170899271166</v>
      </c>
      <c r="BK127">
        <v>14.393019146103398</v>
      </c>
      <c r="BV127" s="38"/>
      <c r="BW127" s="6">
        <f t="shared" si="90"/>
        <v>1.9547687622336514</v>
      </c>
      <c r="BX127" s="9">
        <f t="shared" ca="1" si="91"/>
        <v>102.21950491500067</v>
      </c>
      <c r="BY127" s="9">
        <f t="shared" ca="1" si="92"/>
        <v>-41.976596525832264</v>
      </c>
      <c r="BZ127">
        <f t="shared" ca="1" si="93"/>
        <v>110.50276847645203</v>
      </c>
      <c r="CA127" s="6">
        <f t="shared" ca="1" si="94"/>
        <v>0.92504021685921367</v>
      </c>
      <c r="CB127" s="6">
        <f t="shared" ca="1" si="95"/>
        <v>-0.37986918431620481</v>
      </c>
      <c r="CC127" s="6">
        <f t="shared" ca="1" si="96"/>
        <v>-0.38965487615492406</v>
      </c>
      <c r="CD127" s="6">
        <f t="shared" ca="1" si="97"/>
        <v>-59.985211014604616</v>
      </c>
      <c r="CE127" s="9">
        <f t="shared" ca="1" si="98"/>
        <v>-38.768168107633088</v>
      </c>
      <c r="CF127">
        <f t="shared" ca="1" si="99"/>
        <v>71.422660261910863</v>
      </c>
      <c r="CG127" s="6">
        <f t="shared" ca="1" si="100"/>
        <v>-0.83986245814193305</v>
      </c>
      <c r="CH127" s="6">
        <f t="shared" ca="1" si="101"/>
        <v>-0.54279927358443469</v>
      </c>
      <c r="CI127" s="6">
        <f t="shared" ca="1" si="102"/>
        <v>-2.5678261058776437</v>
      </c>
      <c r="CJ127" s="1">
        <f t="shared" ca="1" si="103"/>
        <v>-2.9299610379044942</v>
      </c>
      <c r="CK127" s="38"/>
    </row>
    <row r="128" spans="1:89" x14ac:dyDescent="0.25">
      <c r="BC128">
        <v>2.1991148575128552</v>
      </c>
      <c r="BD128">
        <v>-12.279421574340583</v>
      </c>
      <c r="BE128">
        <v>9.2397133376572658</v>
      </c>
      <c r="BF128" s="6">
        <f t="shared" si="109"/>
        <v>2.4965221342105615</v>
      </c>
      <c r="BG128" s="6">
        <f t="shared" si="110"/>
        <v>0.29740727669770628</v>
      </c>
      <c r="BH128" s="6">
        <f t="shared" si="88"/>
        <v>-1.711123970813113</v>
      </c>
      <c r="BI128" s="6">
        <f t="shared" si="89"/>
        <v>1.711123970813113</v>
      </c>
      <c r="BJ128">
        <v>-18.891417806677818</v>
      </c>
      <c r="BK128">
        <v>14.214943596395793</v>
      </c>
      <c r="BV128" s="38"/>
      <c r="BW128" s="6">
        <f t="shared" si="90"/>
        <v>1.9722220547535947</v>
      </c>
      <c r="BX128" s="9">
        <f t="shared" ca="1" si="91"/>
        <v>102.46330935761547</v>
      </c>
      <c r="BY128" s="9">
        <f t="shared" ca="1" si="92"/>
        <v>-41.790955070254611</v>
      </c>
      <c r="BZ128">
        <f t="shared" ca="1" si="93"/>
        <v>110.65809364975726</v>
      </c>
      <c r="CA128" s="6">
        <f t="shared" ca="1" si="94"/>
        <v>0.92594500752851383</v>
      </c>
      <c r="CB128" s="6">
        <f t="shared" ca="1" si="95"/>
        <v>-0.37765836814907289</v>
      </c>
      <c r="CC128" s="6">
        <f t="shared" ca="1" si="96"/>
        <v>-0.38726607792283191</v>
      </c>
      <c r="CD128" s="6">
        <f t="shared" ca="1" si="97"/>
        <v>-60.229015457219418</v>
      </c>
      <c r="CE128" s="9">
        <f t="shared" ca="1" si="98"/>
        <v>-38.95380956321074</v>
      </c>
      <c r="CF128">
        <f t="shared" ca="1" si="99"/>
        <v>71.728192382304343</v>
      </c>
      <c r="CG128" s="6">
        <f t="shared" ca="1" si="100"/>
        <v>-0.83968399951032613</v>
      </c>
      <c r="CH128" s="6">
        <f t="shared" ca="1" si="101"/>
        <v>-0.54307529953620881</v>
      </c>
      <c r="CI128" s="6">
        <f t="shared" ca="1" si="102"/>
        <v>-2.567497414821756</v>
      </c>
      <c r="CJ128" s="1">
        <f t="shared" ca="1" si="103"/>
        <v>-2.930289728960382</v>
      </c>
      <c r="CK128" s="38"/>
    </row>
    <row r="129" spans="1:89" x14ac:dyDescent="0.25">
      <c r="A129" s="14" t="s">
        <v>131</v>
      </c>
      <c r="BC129">
        <v>2.2165681500327983</v>
      </c>
      <c r="BD129">
        <v>-12.396123621469558</v>
      </c>
      <c r="BE129">
        <v>9.1261943045565399</v>
      </c>
      <c r="BF129" s="6">
        <f t="shared" si="109"/>
        <v>2.5069734098870686</v>
      </c>
      <c r="BG129" s="6">
        <f t="shared" si="110"/>
        <v>0.29040525985427035</v>
      </c>
      <c r="BH129" s="6">
        <f t="shared" si="88"/>
        <v>-1.7215752464896201</v>
      </c>
      <c r="BI129" s="6">
        <f t="shared" si="89"/>
        <v>1.7215752464896201</v>
      </c>
      <c r="BJ129">
        <v>-19.070959417645472</v>
      </c>
      <c r="BK129">
        <v>14.040298930086983</v>
      </c>
      <c r="BV129" s="38"/>
      <c r="BW129" s="6">
        <f t="shared" si="90"/>
        <v>1.989675347273538</v>
      </c>
      <c r="BX129" s="9">
        <f t="shared" ca="1" si="91"/>
        <v>102.68650212462316</v>
      </c>
      <c r="BY129" s="9">
        <f t="shared" ca="1" si="92"/>
        <v>-41.61548132566331</v>
      </c>
      <c r="BZ129">
        <f t="shared" ca="1" si="93"/>
        <v>110.79876355157069</v>
      </c>
      <c r="CA129" s="6">
        <f t="shared" ca="1" si="94"/>
        <v>0.9267838271212141</v>
      </c>
      <c r="CB129" s="6">
        <f t="shared" ca="1" si="95"/>
        <v>-0.37559517806616688</v>
      </c>
      <c r="CC129" s="6">
        <f t="shared" ca="1" si="96"/>
        <v>-0.3850388882861504</v>
      </c>
      <c r="CD129" s="6">
        <f t="shared" ca="1" si="97"/>
        <v>-60.452208224227107</v>
      </c>
      <c r="CE129" s="9">
        <f t="shared" ca="1" si="98"/>
        <v>-39.129283307802041</v>
      </c>
      <c r="CF129">
        <f t="shared" ca="1" si="99"/>
        <v>72.010903975492127</v>
      </c>
      <c r="CG129" s="6">
        <f t="shared" ca="1" si="100"/>
        <v>-0.83948686777770687</v>
      </c>
      <c r="CH129" s="6">
        <f t="shared" ca="1" si="101"/>
        <v>-0.54337997647021796</v>
      </c>
      <c r="CI129" s="6">
        <f t="shared" ca="1" si="102"/>
        <v>-2.5671345250925439</v>
      </c>
      <c r="CJ129" s="1">
        <f t="shared" ca="1" si="103"/>
        <v>-2.930652618689594</v>
      </c>
      <c r="CK129" s="38"/>
    </row>
    <row r="130" spans="1:89" x14ac:dyDescent="0.25">
      <c r="A130" s="8" t="s">
        <v>133</v>
      </c>
      <c r="B130" s="1">
        <f>U10</f>
        <v>10</v>
      </c>
      <c r="BC130">
        <v>2.2340214425527414</v>
      </c>
      <c r="BD130">
        <v>-12.510210095018609</v>
      </c>
      <c r="BE130">
        <v>9.0146120596428752</v>
      </c>
      <c r="BF130" s="6">
        <f t="shared" ref="BF130:BF155" si="120">IF(BC130&lt;&gt;"",IF(AND(BD130=0,BE130=0),0,MOD(ATAN2(BD130,BE130),2*PI())),NA())</f>
        <v>2.5171874684223905</v>
      </c>
      <c r="BG130" s="6">
        <f t="shared" ref="BG130:BG155" si="121">ABS(BC130-BF130)</f>
        <v>0.28316602586964912</v>
      </c>
      <c r="BH130" s="6">
        <f t="shared" si="88"/>
        <v>-1.7317893050249422</v>
      </c>
      <c r="BI130" s="6">
        <f t="shared" si="89"/>
        <v>1.7317893050249422</v>
      </c>
      <c r="BJ130">
        <v>-19.246477069259399</v>
      </c>
      <c r="BK130">
        <v>13.868633937912115</v>
      </c>
      <c r="BV130" s="38"/>
      <c r="BW130" s="6">
        <f t="shared" si="90"/>
        <v>2.0071286397934811</v>
      </c>
      <c r="BX130" s="9">
        <f t="shared" ca="1" si="91"/>
        <v>102.89214584800813</v>
      </c>
      <c r="BY130" s="9">
        <f t="shared" ca="1" si="92"/>
        <v>-41.449026126843066</v>
      </c>
      <c r="BZ130">
        <f t="shared" ca="1" si="93"/>
        <v>110.92707263815942</v>
      </c>
      <c r="CA130" s="6">
        <f t="shared" ca="1" si="94"/>
        <v>0.92756568257812988</v>
      </c>
      <c r="CB130" s="6">
        <f t="shared" ca="1" si="95"/>
        <v>-0.37366014572518713</v>
      </c>
      <c r="CC130" s="6">
        <f t="shared" ca="1" si="96"/>
        <v>-0.38295186895295774</v>
      </c>
      <c r="CD130" s="6">
        <f t="shared" ca="1" si="97"/>
        <v>-60.657851947612073</v>
      </c>
      <c r="CE130" s="9">
        <f t="shared" ca="1" si="98"/>
        <v>-39.295738506622286</v>
      </c>
      <c r="CF130">
        <f t="shared" ca="1" si="99"/>
        <v>72.273993024318671</v>
      </c>
      <c r="CG130" s="6">
        <f t="shared" ca="1" si="100"/>
        <v>-0.8392763345343599</v>
      </c>
      <c r="CH130" s="6">
        <f t="shared" ca="1" si="101"/>
        <v>-0.54370509864316063</v>
      </c>
      <c r="CI130" s="6">
        <f t="shared" ca="1" si="102"/>
        <v>-2.5667471897394338</v>
      </c>
      <c r="CJ130" s="1">
        <f t="shared" ca="1" si="103"/>
        <v>-2.9310399540427041</v>
      </c>
      <c r="CK130" s="38"/>
    </row>
    <row r="131" spans="1:89" x14ac:dyDescent="0.25">
      <c r="A131" s="8" t="s">
        <v>132</v>
      </c>
      <c r="B131">
        <f ca="1">(U10-B127)/(D127-F127)</f>
        <v>0.83285688972616712</v>
      </c>
      <c r="BC131">
        <v>2.2514747350726845</v>
      </c>
      <c r="BD131">
        <v>-12.622082303280145</v>
      </c>
      <c r="BE131">
        <v>8.9046885035137802</v>
      </c>
      <c r="BF131" s="6">
        <f t="shared" si="120"/>
        <v>2.5271950242475762</v>
      </c>
      <c r="BG131" s="6">
        <f t="shared" si="121"/>
        <v>0.27572028917489178</v>
      </c>
      <c r="BH131" s="6">
        <f t="shared" ref="BH131:BH155" si="122">ATAN2(COS($U$13-BF131),SIN($U$13-BF131))</f>
        <v>-1.7417968608501277</v>
      </c>
      <c r="BI131" s="6">
        <f t="shared" ref="BI131:BI155" si="123">ABS(BH131)</f>
        <v>1.7417968608501277</v>
      </c>
      <c r="BJ131">
        <v>-19.418588158892529</v>
      </c>
      <c r="BK131">
        <v>13.699520774636584</v>
      </c>
      <c r="BV131" s="38"/>
      <c r="BW131" s="6">
        <f t="shared" si="90"/>
        <v>2.0245819323134242</v>
      </c>
      <c r="BX131" s="9">
        <f t="shared" ca="1" si="91"/>
        <v>103.08276924606676</v>
      </c>
      <c r="BY131" s="9">
        <f t="shared" ca="1" si="92"/>
        <v>-41.290596429240551</v>
      </c>
      <c r="BZ131">
        <f t="shared" ca="1" si="93"/>
        <v>111.04490384038459</v>
      </c>
      <c r="CA131" s="6">
        <f t="shared" ca="1" si="94"/>
        <v>0.9282980639457119</v>
      </c>
      <c r="CB131" s="6">
        <f t="shared" ca="1" si="95"/>
        <v>-0.3718369326393533</v>
      </c>
      <c r="CC131" s="6">
        <f t="shared" ca="1" si="96"/>
        <v>-0.38098705606978406</v>
      </c>
      <c r="CD131" s="6">
        <f t="shared" ca="1" si="97"/>
        <v>-60.848475345670707</v>
      </c>
      <c r="CE131" s="9">
        <f t="shared" ca="1" si="98"/>
        <v>-39.4541682042248</v>
      </c>
      <c r="CF131">
        <f t="shared" ca="1" si="99"/>
        <v>72.520123693909682</v>
      </c>
      <c r="CG131" s="6">
        <f t="shared" ca="1" si="100"/>
        <v>-0.83905641973940581</v>
      </c>
      <c r="CH131" s="6">
        <f t="shared" ca="1" si="101"/>
        <v>-0.54404441408224191</v>
      </c>
      <c r="CI131" s="6">
        <f t="shared" ca="1" si="102"/>
        <v>-2.5663428415151688</v>
      </c>
      <c r="CJ131" s="1">
        <f t="shared" ca="1" si="103"/>
        <v>-2.9314443022669692</v>
      </c>
      <c r="CK131" s="38"/>
    </row>
    <row r="132" spans="1:89" x14ac:dyDescent="0.25">
      <c r="A132" s="8" t="s">
        <v>77</v>
      </c>
      <c r="B132">
        <f ca="1">(B125+(B131*(D125-F125)))/12</f>
        <v>92.234293900396054</v>
      </c>
      <c r="BC132">
        <v>2.2689280275926276</v>
      </c>
      <c r="BD132">
        <v>-12.732106784205188</v>
      </c>
      <c r="BE132">
        <v>8.7961576002599724</v>
      </c>
      <c r="BF132" s="6">
        <f t="shared" si="120"/>
        <v>2.5370244058673466</v>
      </c>
      <c r="BG132" s="6">
        <f t="shared" si="121"/>
        <v>0.26809637827471899</v>
      </c>
      <c r="BH132" s="6">
        <f t="shared" si="122"/>
        <v>-1.7516262424698981</v>
      </c>
      <c r="BI132" s="6">
        <f t="shared" si="123"/>
        <v>1.7516262424698981</v>
      </c>
      <c r="BJ132">
        <v>-19.587856591084904</v>
      </c>
      <c r="BK132">
        <v>13.532550154246112</v>
      </c>
      <c r="BV132" s="38"/>
      <c r="BW132" s="6">
        <f t="shared" si="90"/>
        <v>2.0420352248333673</v>
      </c>
      <c r="BX132" s="9">
        <f t="shared" ca="1" si="91"/>
        <v>103.26047724459112</v>
      </c>
      <c r="BY132" s="9">
        <f t="shared" ca="1" si="92"/>
        <v>-41.139328056003471</v>
      </c>
      <c r="BZ132">
        <f t="shared" ca="1" si="93"/>
        <v>111.15381448101633</v>
      </c>
      <c r="CA132" s="6">
        <f t="shared" ca="1" si="94"/>
        <v>0.92898725722297826</v>
      </c>
      <c r="CB132" s="6">
        <f t="shared" ca="1" si="95"/>
        <v>-0.37011170734972437</v>
      </c>
      <c r="CC132" s="6">
        <f t="shared" ca="1" si="96"/>
        <v>-0.37912926419067622</v>
      </c>
      <c r="CD132" s="6">
        <f t="shared" ca="1" si="97"/>
        <v>-61.026183344195061</v>
      </c>
      <c r="CE132" s="9">
        <f t="shared" ca="1" si="98"/>
        <v>-39.60543657746188</v>
      </c>
      <c r="CF132">
        <f t="shared" ca="1" si="99"/>
        <v>72.75153372988548</v>
      </c>
      <c r="CG132" s="6">
        <f t="shared" ca="1" si="100"/>
        <v>-0.83883019663578884</v>
      </c>
      <c r="CH132" s="6">
        <f t="shared" ca="1" si="101"/>
        <v>-0.54439314949029627</v>
      </c>
      <c r="CI132" s="6">
        <f t="shared" ca="1" si="102"/>
        <v>-2.56592715740442</v>
      </c>
      <c r="CJ132" s="1">
        <f t="shared" ca="1" si="103"/>
        <v>-2.9318599863777179</v>
      </c>
      <c r="CK132" s="38"/>
    </row>
    <row r="133" spans="1:89" x14ac:dyDescent="0.25">
      <c r="A133" s="8" t="s">
        <v>125</v>
      </c>
      <c r="B133">
        <f ca="1">(B126+(B131*(D126-F126)))/12</f>
        <v>-30.744764633465351</v>
      </c>
      <c r="BC133">
        <v>2.2863813201125707</v>
      </c>
      <c r="BD133">
        <v>-12.840621100538037</v>
      </c>
      <c r="BE133">
        <v>8.6887624998193473</v>
      </c>
      <c r="BF133" s="6">
        <f t="shared" si="120"/>
        <v>2.5467019745105</v>
      </c>
      <c r="BG133" s="6">
        <f t="shared" si="121"/>
        <v>0.26032065439792929</v>
      </c>
      <c r="BH133" s="6">
        <f t="shared" si="122"/>
        <v>-1.7613038111130515</v>
      </c>
      <c r="BI133" s="6">
        <f t="shared" si="123"/>
        <v>1.7613038111130515</v>
      </c>
      <c r="BJ133">
        <v>-19.754801693135441</v>
      </c>
      <c r="BK133">
        <v>13.367326922798995</v>
      </c>
      <c r="BV133" s="38"/>
      <c r="BW133" s="6">
        <f t="shared" si="90"/>
        <v>2.0594885173533104</v>
      </c>
      <c r="BX133" s="9">
        <f t="shared" ca="1" si="91"/>
        <v>103.42703550832636</v>
      </c>
      <c r="BY133" s="9">
        <f t="shared" ca="1" si="92"/>
        <v>-40.994463877096742</v>
      </c>
      <c r="BZ133">
        <f t="shared" ca="1" si="93"/>
        <v>111.25510209698784</v>
      </c>
      <c r="CA133" s="6">
        <f t="shared" ca="1" si="94"/>
        <v>0.92963858338975514</v>
      </c>
      <c r="CB133" s="6">
        <f t="shared" ca="1" si="95"/>
        <v>-0.36847266421417124</v>
      </c>
      <c r="CC133" s="6">
        <f t="shared" ca="1" si="96"/>
        <v>-0.37736554964968683</v>
      </c>
      <c r="CD133" s="6">
        <f t="shared" ca="1" si="97"/>
        <v>-61.192741607930301</v>
      </c>
      <c r="CE133" s="9">
        <f t="shared" ca="1" si="98"/>
        <v>-39.75030075636861</v>
      </c>
      <c r="CF133">
        <f t="shared" ca="1" si="99"/>
        <v>72.970117416081251</v>
      </c>
      <c r="CG133" s="6">
        <f t="shared" ca="1" si="100"/>
        <v>-0.83860001566126796</v>
      </c>
      <c r="CH133" s="6">
        <f t="shared" ca="1" si="101"/>
        <v>-0.54474766060344015</v>
      </c>
      <c r="CI133" s="6">
        <f t="shared" ca="1" si="102"/>
        <v>-2.5655044738194137</v>
      </c>
      <c r="CJ133" s="1">
        <f t="shared" ca="1" si="103"/>
        <v>-2.9322826699627242</v>
      </c>
      <c r="CK133" s="38"/>
    </row>
    <row r="134" spans="1:89" x14ac:dyDescent="0.25">
      <c r="BC134">
        <v>2.3038346126325138</v>
      </c>
      <c r="BD134">
        <v>-12.9479388209626</v>
      </c>
      <c r="BE134">
        <v>8.5822528332169075</v>
      </c>
      <c r="BF134" s="6">
        <f t="shared" si="120"/>
        <v>2.556252489912894</v>
      </c>
      <c r="BG134" s="6">
        <f t="shared" si="121"/>
        <v>0.25241787728038023</v>
      </c>
      <c r="BH134" s="6">
        <f t="shared" si="122"/>
        <v>-1.7708543265154457</v>
      </c>
      <c r="BI134" s="6">
        <f t="shared" si="123"/>
        <v>1.7708543265154457</v>
      </c>
      <c r="BJ134">
        <v>-19.919905878403998</v>
      </c>
      <c r="BK134">
        <v>13.20346589725678</v>
      </c>
      <c r="BV134" s="38"/>
      <c r="BW134" s="6">
        <f t="shared" si="90"/>
        <v>2.0769418098732535</v>
      </c>
      <c r="BX134" s="9">
        <f t="shared" ca="1" si="91"/>
        <v>103.58393601035552</v>
      </c>
      <c r="BY134" s="9">
        <f t="shared" ca="1" si="92"/>
        <v>-40.855336184998556</v>
      </c>
      <c r="BZ134">
        <f t="shared" ca="1" si="93"/>
        <v>111.3498553846689</v>
      </c>
      <c r="CA134" s="6">
        <f t="shared" ca="1" si="94"/>
        <v>0.93025658320358606</v>
      </c>
      <c r="CB134" s="6">
        <f t="shared" ca="1" si="95"/>
        <v>-0.3669096474697684</v>
      </c>
      <c r="CC134" s="6">
        <f t="shared" ca="1" si="96"/>
        <v>-0.37568479214837819</v>
      </c>
      <c r="CD134" s="6">
        <f t="shared" ca="1" si="97"/>
        <v>-61.349642109959461</v>
      </c>
      <c r="CE134" s="9">
        <f t="shared" ca="1" si="98"/>
        <v>-39.889428448466795</v>
      </c>
      <c r="CF134">
        <f t="shared" ca="1" si="99"/>
        <v>73.177490316117456</v>
      </c>
      <c r="CG134" s="6">
        <f t="shared" ca="1" si="100"/>
        <v>-0.83836767078150409</v>
      </c>
      <c r="CH134" s="6">
        <f t="shared" ca="1" si="101"/>
        <v>-0.54510517204333653</v>
      </c>
      <c r="CI134" s="6">
        <f t="shared" ca="1" si="102"/>
        <v>-2.5650780953776935</v>
      </c>
      <c r="CJ134" s="1">
        <f t="shared" ca="1" si="103"/>
        <v>-2.9327090484044445</v>
      </c>
      <c r="CK134" s="38"/>
    </row>
    <row r="135" spans="1:89" x14ac:dyDescent="0.25">
      <c r="A135" s="8"/>
      <c r="BC135">
        <v>2.3212879051524569</v>
      </c>
      <c r="BD135">
        <v>-13.054353872205319</v>
      </c>
      <c r="BE135">
        <v>8.4763821283643441</v>
      </c>
      <c r="BF135" s="6">
        <f t="shared" si="120"/>
        <v>2.5656994350880806</v>
      </c>
      <c r="BG135" s="6">
        <f t="shared" si="121"/>
        <v>0.24441152993562376</v>
      </c>
      <c r="BH135" s="6">
        <f t="shared" si="122"/>
        <v>-1.7803012716906323</v>
      </c>
      <c r="BI135" s="6">
        <f t="shared" si="123"/>
        <v>1.7803012716906323</v>
      </c>
      <c r="BJ135">
        <v>-20.083621341854336</v>
      </c>
      <c r="BK135">
        <v>13.040587889791299</v>
      </c>
      <c r="BV135" s="38"/>
      <c r="BW135" s="6">
        <f t="shared" si="90"/>
        <v>2.0943951023931966</v>
      </c>
      <c r="BX135" s="9">
        <f t="shared" ca="1" si="91"/>
        <v>103.73244835130247</v>
      </c>
      <c r="BY135" s="9">
        <f t="shared" ca="1" si="92"/>
        <v>-40.721352325894799</v>
      </c>
      <c r="BZ135">
        <f t="shared" ca="1" si="93"/>
        <v>111.4389939662293</v>
      </c>
      <c r="CA135" s="6">
        <f t="shared" ca="1" si="94"/>
        <v>0.9308451616382839</v>
      </c>
      <c r="CB135" s="6">
        <f t="shared" ca="1" si="95"/>
        <v>-0.36541385449185837</v>
      </c>
      <c r="CC135" s="6">
        <f t="shared" ca="1" si="96"/>
        <v>-0.37407736508536693</v>
      </c>
      <c r="CD135" s="6">
        <f t="shared" ca="1" si="97"/>
        <v>-61.498154450906412</v>
      </c>
      <c r="CE135" s="9">
        <f t="shared" ca="1" si="98"/>
        <v>-40.023412307570553</v>
      </c>
      <c r="CF135">
        <f t="shared" ca="1" si="99"/>
        <v>73.375040263084898</v>
      </c>
      <c r="CG135" s="6">
        <f t="shared" ca="1" si="100"/>
        <v>-0.83813452408892553</v>
      </c>
      <c r="CH135" s="6">
        <f t="shared" ca="1" si="101"/>
        <v>-0.54546358222179259</v>
      </c>
      <c r="CI135" s="6">
        <f t="shared" ca="1" si="102"/>
        <v>-2.5646505263902002</v>
      </c>
      <c r="CJ135" s="1">
        <f t="shared" ca="1" si="103"/>
        <v>-2.9331366173919378</v>
      </c>
      <c r="CK135" s="38"/>
    </row>
    <row r="136" spans="1:89" x14ac:dyDescent="0.25">
      <c r="A136" s="51" t="s">
        <v>159</v>
      </c>
      <c r="BC136">
        <v>2.3387411976724</v>
      </c>
      <c r="BD136">
        <v>-13.160144368795706</v>
      </c>
      <c r="BE136">
        <v>8.3709052814057987</v>
      </c>
      <c r="BF136" s="6">
        <f t="shared" si="120"/>
        <v>2.575065309121114</v>
      </c>
      <c r="BG136" s="6">
        <f t="shared" si="121"/>
        <v>0.23632411144871401</v>
      </c>
      <c r="BH136" s="6">
        <f t="shared" si="122"/>
        <v>-1.7896671457236655</v>
      </c>
      <c r="BI136" s="6">
        <f t="shared" si="123"/>
        <v>1.7896671457236655</v>
      </c>
      <c r="BJ136">
        <v>-20.246375951993393</v>
      </c>
      <c r="BK136">
        <v>12.878315817547382</v>
      </c>
      <c r="BV136" s="38"/>
      <c r="BW136" s="6">
        <f t="shared" si="90"/>
        <v>2.1118483949131397</v>
      </c>
      <c r="BX136" s="9">
        <f t="shared" ca="1" si="91"/>
        <v>103.87366029513331</v>
      </c>
      <c r="BY136" s="9">
        <f t="shared" ca="1" si="92"/>
        <v>-40.591982889606555</v>
      </c>
      <c r="BZ136">
        <f t="shared" ca="1" si="93"/>
        <v>111.52329970915882</v>
      </c>
      <c r="CA136" s="6">
        <f t="shared" ca="1" si="94"/>
        <v>0.93140770194232969</v>
      </c>
      <c r="CB136" s="6">
        <f t="shared" ca="1" si="95"/>
        <v>-0.36397759925922413</v>
      </c>
      <c r="CC136" s="6">
        <f t="shared" ca="1" si="96"/>
        <v>-0.37253487321871309</v>
      </c>
      <c r="CD136" s="6">
        <f t="shared" ca="1" si="97"/>
        <v>-61.639366394737252</v>
      </c>
      <c r="CE136" s="9">
        <f t="shared" ca="1" si="98"/>
        <v>-40.152781743858796</v>
      </c>
      <c r="CF136">
        <f t="shared" ca="1" si="99"/>
        <v>73.563967887238277</v>
      </c>
      <c r="CG136" s="6">
        <f t="shared" ca="1" si="100"/>
        <v>-0.83790159999553693</v>
      </c>
      <c r="CH136" s="6">
        <f t="shared" ca="1" si="101"/>
        <v>-0.54582131574803783</v>
      </c>
      <c r="CI136" s="6">
        <f t="shared" ca="1" si="102"/>
        <v>-2.5642236459480996</v>
      </c>
      <c r="CJ136" s="1">
        <f t="shared" ca="1" si="103"/>
        <v>-2.9335634978340384</v>
      </c>
      <c r="CK136" s="38"/>
    </row>
    <row r="137" spans="1:89" x14ac:dyDescent="0.25">
      <c r="A137" t="s">
        <v>160</v>
      </c>
      <c r="BC137">
        <v>2.3561944901923431</v>
      </c>
      <c r="BD137">
        <v>-13.265576028065926</v>
      </c>
      <c r="BE137">
        <v>8.265576028384082</v>
      </c>
      <c r="BF137" s="6">
        <f t="shared" si="120"/>
        <v>2.5843718960904654</v>
      </c>
      <c r="BG137" s="6">
        <f t="shared" si="121"/>
        <v>0.2281774058981223</v>
      </c>
      <c r="BH137" s="6">
        <f t="shared" si="122"/>
        <v>-1.7989737326930169</v>
      </c>
      <c r="BI137" s="6">
        <f t="shared" si="123"/>
        <v>1.7989737326930169</v>
      </c>
      <c r="BJ137">
        <v>-20.408578504716807</v>
      </c>
      <c r="BK137">
        <v>12.716270812898587</v>
      </c>
      <c r="BV137" s="38"/>
      <c r="BW137" s="6">
        <f t="shared" si="90"/>
        <v>2.1293016874330828</v>
      </c>
      <c r="BX137" s="9">
        <f t="shared" ca="1" si="91"/>
        <v>104.01109129785128</v>
      </c>
      <c r="BY137" s="9">
        <f t="shared" ca="1" si="92"/>
        <v>-40.464090985033728</v>
      </c>
      <c r="BZ137">
        <f t="shared" ca="1" si="93"/>
        <v>111.60488238520321</v>
      </c>
      <c r="CA137" s="6">
        <f t="shared" ca="1" si="94"/>
        <v>0.93195825375146191</v>
      </c>
      <c r="CB137" s="6">
        <f t="shared" ca="1" si="95"/>
        <v>-0.3625655985673843</v>
      </c>
      <c r="CC137" s="6">
        <f t="shared" ca="1" si="96"/>
        <v>-0.37101933579326857</v>
      </c>
      <c r="CD137" s="6">
        <f t="shared" ca="1" si="97"/>
        <v>-61.776797397455226</v>
      </c>
      <c r="CE137" s="9">
        <f t="shared" ca="1" si="98"/>
        <v>-40.280673648431623</v>
      </c>
      <c r="CF137">
        <f t="shared" ca="1" si="99"/>
        <v>73.748934678798477</v>
      </c>
      <c r="CG137" s="6">
        <f t="shared" ca="1" si="100"/>
        <v>-0.83766359021339154</v>
      </c>
      <c r="CH137" s="6">
        <f t="shared" ca="1" si="101"/>
        <v>-0.5461865154238168</v>
      </c>
      <c r="CI137" s="6">
        <f t="shared" ca="1" si="102"/>
        <v>-2.5637877337291894</v>
      </c>
      <c r="CJ137" s="1">
        <f t="shared" ca="1" si="103"/>
        <v>-2.9339994100529485</v>
      </c>
      <c r="CK137" s="38"/>
    </row>
    <row r="138" spans="1:89" ht="18" x14ac:dyDescent="0.35">
      <c r="A138" t="s">
        <v>161</v>
      </c>
      <c r="B138" t="s">
        <v>162</v>
      </c>
      <c r="BC138">
        <v>2.3736477827122862</v>
      </c>
      <c r="BD138">
        <v>-13.370905281032526</v>
      </c>
      <c r="BE138">
        <v>8.1601443685817578</v>
      </c>
      <c r="BF138" s="6">
        <f t="shared" si="120"/>
        <v>2.5936405175046073</v>
      </c>
      <c r="BG138" s="6">
        <f t="shared" si="121"/>
        <v>0.21999273479232118</v>
      </c>
      <c r="BH138" s="6">
        <f t="shared" si="122"/>
        <v>-1.8082423541071588</v>
      </c>
      <c r="BI138" s="6">
        <f t="shared" si="123"/>
        <v>1.8082423541071588</v>
      </c>
      <c r="BJ138">
        <v>-20.570623509280807</v>
      </c>
      <c r="BK138">
        <v>12.55406825935655</v>
      </c>
      <c r="BV138" s="38"/>
      <c r="BW138" s="6">
        <f t="shared" si="90"/>
        <v>2.1467549799530259</v>
      </c>
      <c r="BX138" s="9">
        <f t="shared" ca="1" si="91"/>
        <v>104.14322978170338</v>
      </c>
      <c r="BY138" s="9">
        <f t="shared" ca="1" si="92"/>
        <v>-40.339685716500078</v>
      </c>
      <c r="BZ138">
        <f t="shared" ca="1" si="93"/>
        <v>111.68304505640357</v>
      </c>
      <c r="CA138" s="6">
        <f t="shared" ca="1" si="94"/>
        <v>0.9324891681553602</v>
      </c>
      <c r="CB138" s="6">
        <f t="shared" ca="1" si="95"/>
        <v>-0.36119793918698423</v>
      </c>
      <c r="CC138" s="6">
        <f t="shared" ca="1" si="96"/>
        <v>-0.36955224252046065</v>
      </c>
      <c r="CD138" s="6">
        <f t="shared" ca="1" si="97"/>
        <v>-61.908935881307329</v>
      </c>
      <c r="CE138" s="9">
        <f t="shared" ca="1" si="98"/>
        <v>-40.405078916965273</v>
      </c>
      <c r="CF138">
        <f t="shared" ca="1" si="99"/>
        <v>73.927577697649568</v>
      </c>
      <c r="CG138" s="6">
        <f t="shared" ca="1" si="100"/>
        <v>-0.83742681431418853</v>
      </c>
      <c r="CH138" s="6">
        <f t="shared" ca="1" si="101"/>
        <v>-0.54654947687065769</v>
      </c>
      <c r="CI138" s="6">
        <f t="shared" ca="1" si="102"/>
        <v>-2.563354370323633</v>
      </c>
      <c r="CJ138" s="1">
        <f t="shared" ca="1" si="103"/>
        <v>-2.934432773458505</v>
      </c>
      <c r="CK138" s="38"/>
    </row>
    <row r="139" spans="1:89" ht="18" x14ac:dyDescent="0.35">
      <c r="A139" t="s">
        <v>163</v>
      </c>
      <c r="B139" t="s">
        <v>164</v>
      </c>
      <c r="BC139">
        <v>2.3911010752322293</v>
      </c>
      <c r="BD139">
        <v>-13.476382128404479</v>
      </c>
      <c r="BE139">
        <v>8.0543538725057573</v>
      </c>
      <c r="BF139" s="6">
        <f t="shared" si="120"/>
        <v>2.6028922741377976</v>
      </c>
      <c r="BG139" s="6">
        <f t="shared" si="121"/>
        <v>0.2117911989055683</v>
      </c>
      <c r="BH139" s="6">
        <f t="shared" si="122"/>
        <v>-1.8174941107403493</v>
      </c>
      <c r="BI139" s="6">
        <f t="shared" si="123"/>
        <v>1.8174941107403493</v>
      </c>
      <c r="BJ139">
        <v>-20.732895582160737</v>
      </c>
      <c r="BK139">
        <v>12.391313650008858</v>
      </c>
      <c r="BV139" s="38"/>
      <c r="BW139" s="6">
        <f t="shared" si="90"/>
        <v>2.164208272472969</v>
      </c>
      <c r="BX139" s="9">
        <f t="shared" ca="1" si="91"/>
        <v>104.27064361393172</v>
      </c>
      <c r="BY139" s="9">
        <f t="shared" ca="1" si="92"/>
        <v>-40.218518185504607</v>
      </c>
      <c r="BZ139">
        <f t="shared" ca="1" si="93"/>
        <v>111.75820473102333</v>
      </c>
      <c r="CA139" s="6">
        <f t="shared" ca="1" si="94"/>
        <v>0.93300213496528095</v>
      </c>
      <c r="CB139" s="6">
        <f t="shared" ca="1" si="95"/>
        <v>-0.35987083259167829</v>
      </c>
      <c r="CC139" s="6">
        <f t="shared" ca="1" si="96"/>
        <v>-0.36812944696069694</v>
      </c>
      <c r="CD139" s="6">
        <f t="shared" ca="1" si="97"/>
        <v>-62.036349713535671</v>
      </c>
      <c r="CE139" s="9">
        <f t="shared" ca="1" si="98"/>
        <v>-40.526246447960744</v>
      </c>
      <c r="CF139">
        <f t="shared" ca="1" si="99"/>
        <v>74.10050834468646</v>
      </c>
      <c r="CG139" s="6">
        <f t="shared" ca="1" si="100"/>
        <v>-0.83719195858909545</v>
      </c>
      <c r="CH139" s="6">
        <f t="shared" ca="1" si="101"/>
        <v>-0.54690915559510822</v>
      </c>
      <c r="CI139" s="6">
        <f t="shared" ca="1" si="102"/>
        <v>-2.5629248054283393</v>
      </c>
      <c r="CJ139" s="1">
        <f t="shared" ca="1" si="103"/>
        <v>-2.9348623383537986</v>
      </c>
      <c r="CK139" s="38"/>
    </row>
    <row r="140" spans="1:89" ht="18" x14ac:dyDescent="0.35">
      <c r="A140" t="s">
        <v>165</v>
      </c>
      <c r="BC140">
        <v>2.4085543677521724</v>
      </c>
      <c r="BD140">
        <v>-13.582252833102144</v>
      </c>
      <c r="BE140">
        <v>7.947938820528762</v>
      </c>
      <c r="BF140" s="6">
        <f t="shared" si="120"/>
        <v>2.6121482835752161</v>
      </c>
      <c r="BG140" s="6">
        <f t="shared" si="121"/>
        <v>0.20359391582304376</v>
      </c>
      <c r="BH140" s="6">
        <f t="shared" si="122"/>
        <v>-1.8267501201777676</v>
      </c>
      <c r="BI140" s="6">
        <f t="shared" si="123"/>
        <v>1.8267501201777676</v>
      </c>
      <c r="BJ140">
        <v>-20.895773589387915</v>
      </c>
      <c r="BK140">
        <v>12.227598185428864</v>
      </c>
      <c r="BV140" s="38"/>
      <c r="BW140" s="6">
        <f t="shared" si="90"/>
        <v>2.1816615649929121</v>
      </c>
      <c r="BX140" s="9">
        <f t="shared" ca="1" si="91"/>
        <v>104.39395498492232</v>
      </c>
      <c r="BY140" s="9">
        <f t="shared" ca="1" si="92"/>
        <v>-40.10022707843256</v>
      </c>
      <c r="BZ140">
        <f t="shared" ca="1" si="93"/>
        <v>111.83079204376513</v>
      </c>
      <c r="CA140" s="6">
        <f t="shared" ca="1" si="94"/>
        <v>0.93349920068586834</v>
      </c>
      <c r="CB140" s="6">
        <f t="shared" ca="1" si="95"/>
        <v>-0.35857947838498078</v>
      </c>
      <c r="CC140" s="6">
        <f t="shared" ca="1" si="96"/>
        <v>-0.36674573083257123</v>
      </c>
      <c r="CD140" s="6">
        <f t="shared" ca="1" si="97"/>
        <v>-62.159661084526263</v>
      </c>
      <c r="CE140" s="9">
        <f t="shared" ca="1" si="98"/>
        <v>-40.644537555032791</v>
      </c>
      <c r="CF140">
        <f t="shared" ca="1" si="99"/>
        <v>74.268444841706767</v>
      </c>
      <c r="CG140" s="6">
        <f t="shared" ca="1" si="100"/>
        <v>-0.83695923910903547</v>
      </c>
      <c r="CH140" s="6">
        <f t="shared" ca="1" si="101"/>
        <v>-0.5472652300941695</v>
      </c>
      <c r="CI140" s="6">
        <f t="shared" ca="1" si="102"/>
        <v>-2.5624994262939076</v>
      </c>
      <c r="CJ140" s="1">
        <f t="shared" ca="1" si="103"/>
        <v>-2.9352877174882304</v>
      </c>
      <c r="CK140" s="38"/>
    </row>
    <row r="141" spans="1:89" ht="18.75" x14ac:dyDescent="0.35">
      <c r="A141" t="s">
        <v>166</v>
      </c>
      <c r="B141" t="s">
        <v>167</v>
      </c>
      <c r="BC141">
        <v>2.4260076602721155</v>
      </c>
      <c r="BD141">
        <v>-13.688762499453883</v>
      </c>
      <c r="BE141">
        <v>7.8406210999978256</v>
      </c>
      <c r="BF141" s="6">
        <f t="shared" si="120"/>
        <v>2.6214299190239734</v>
      </c>
      <c r="BG141" s="6">
        <f t="shared" si="121"/>
        <v>0.19542225875185792</v>
      </c>
      <c r="BH141" s="6">
        <f t="shared" si="122"/>
        <v>-1.8360317556265249</v>
      </c>
      <c r="BI141" s="6">
        <f t="shared" si="123"/>
        <v>1.8360317556265249</v>
      </c>
      <c r="BJ141">
        <v>-21.059634614544436</v>
      </c>
      <c r="BK141">
        <v>12.062493999996654</v>
      </c>
      <c r="BV141" s="38"/>
      <c r="BW141" s="6">
        <f t="shared" si="90"/>
        <v>2.1991148575128552</v>
      </c>
      <c r="BX141" s="9">
        <f t="shared" ca="1" si="91"/>
        <v>104.51371547473664</v>
      </c>
      <c r="BY141" s="9">
        <f t="shared" ca="1" si="92"/>
        <v>-39.984477971122615</v>
      </c>
      <c r="BZ141">
        <f t="shared" ca="1" si="93"/>
        <v>111.90118498459877</v>
      </c>
      <c r="CA141" s="6">
        <f t="shared" ca="1" si="94"/>
        <v>0.93398220482759964</v>
      </c>
      <c r="CB141" s="6">
        <f t="shared" ca="1" si="95"/>
        <v>-0.35731952236811232</v>
      </c>
      <c r="CC141" s="6">
        <f t="shared" ca="1" si="96"/>
        <v>-0.36539636711524243</v>
      </c>
      <c r="CD141" s="6">
        <f t="shared" ca="1" si="97"/>
        <v>-62.279421574340589</v>
      </c>
      <c r="CE141" s="9">
        <f t="shared" ca="1" si="98"/>
        <v>-40.760286662342736</v>
      </c>
      <c r="CF141">
        <f t="shared" ca="1" si="99"/>
        <v>74.432031548458994</v>
      </c>
      <c r="CG141" s="6">
        <f t="shared" ca="1" si="100"/>
        <v>-0.83672876151168274</v>
      </c>
      <c r="CH141" s="6">
        <f t="shared" ca="1" si="101"/>
        <v>-0.54761754871363066</v>
      </c>
      <c r="CI141" s="6">
        <f t="shared" ca="1" si="102"/>
        <v>-2.5620784175824558</v>
      </c>
      <c r="CJ141" s="1">
        <f t="shared" ca="1" si="103"/>
        <v>-2.9357087261996822</v>
      </c>
      <c r="CK141" s="38"/>
    </row>
    <row r="142" spans="1:89" x14ac:dyDescent="0.25">
      <c r="BC142">
        <v>2.4434609527920585</v>
      </c>
      <c r="BD142">
        <v>-13.796157599871986</v>
      </c>
      <c r="BE142">
        <v>7.7321067842336637</v>
      </c>
      <c r="BF142" s="6">
        <f t="shared" si="120"/>
        <v>2.6307590552404898</v>
      </c>
      <c r="BG142" s="6">
        <f t="shared" si="121"/>
        <v>0.18729810244843126</v>
      </c>
      <c r="BH142" s="6">
        <f t="shared" si="122"/>
        <v>-1.8453608918430413</v>
      </c>
      <c r="BI142" s="6">
        <f t="shared" si="123"/>
        <v>1.8453608918430413</v>
      </c>
      <c r="BJ142">
        <v>-21.224857845956901</v>
      </c>
      <c r="BK142">
        <v>11.895548898821021</v>
      </c>
      <c r="BV142" s="38"/>
      <c r="BW142" s="6">
        <f t="shared" si="90"/>
        <v>2.2165681500327983</v>
      </c>
      <c r="BX142" s="9">
        <f t="shared" ca="1" si="91"/>
        <v>104.63041752186561</v>
      </c>
      <c r="BY142" s="9">
        <f t="shared" ca="1" si="92"/>
        <v>-39.870958938021893</v>
      </c>
      <c r="BZ142">
        <f t="shared" ca="1" si="93"/>
        <v>111.96971750181989</v>
      </c>
      <c r="CA142" s="6">
        <f t="shared" ca="1" si="94"/>
        <v>0.93445281328109997</v>
      </c>
      <c r="CB142" s="6">
        <f t="shared" ca="1" si="95"/>
        <v>-0.3560869834057932</v>
      </c>
      <c r="CC142" s="6">
        <f t="shared" ca="1" si="96"/>
        <v>-0.36407703968711025</v>
      </c>
      <c r="CD142" s="6">
        <f t="shared" ca="1" si="97"/>
        <v>-62.396123621469556</v>
      </c>
      <c r="CE142" s="9">
        <f t="shared" ca="1" si="98"/>
        <v>-40.873805695443458</v>
      </c>
      <c r="CF142">
        <f t="shared" ca="1" si="99"/>
        <v>74.591850996034267</v>
      </c>
      <c r="CG142" s="6">
        <f t="shared" ca="1" si="100"/>
        <v>-0.83650053978130789</v>
      </c>
      <c r="CH142" s="6">
        <f t="shared" ca="1" si="101"/>
        <v>-0.54796610017918101</v>
      </c>
      <c r="CI142" s="6">
        <f t="shared" ca="1" si="102"/>
        <v>-2.5616617963097594</v>
      </c>
      <c r="CJ142" s="1">
        <f t="shared" ca="1" si="103"/>
        <v>-2.9361253474723785</v>
      </c>
      <c r="CK142" s="38"/>
    </row>
    <row r="143" spans="1:89" x14ac:dyDescent="0.25">
      <c r="A143" t="s">
        <v>168</v>
      </c>
      <c r="B143" s="3">
        <f>B2*1000</f>
        <v>5000</v>
      </c>
      <c r="C143" t="s">
        <v>169</v>
      </c>
      <c r="BC143">
        <v>2.4609142453120016</v>
      </c>
      <c r="BD143">
        <v>-13.904688503409609</v>
      </c>
      <c r="BE143">
        <v>7.6220823027399973</v>
      </c>
      <c r="BF143" s="6">
        <f t="shared" si="120"/>
        <v>2.6401583276409131</v>
      </c>
      <c r="BG143" s="6">
        <f t="shared" si="121"/>
        <v>0.17924408232891142</v>
      </c>
      <c r="BH143" s="6">
        <f t="shared" si="122"/>
        <v>-1.8547601642434646</v>
      </c>
      <c r="BI143" s="6">
        <f t="shared" si="123"/>
        <v>1.8547601642434646</v>
      </c>
      <c r="BJ143">
        <v>-21.391828466784013</v>
      </c>
      <c r="BK143">
        <v>11.726280465753842</v>
      </c>
      <c r="BV143" s="38"/>
      <c r="BW143" s="6">
        <f t="shared" ref="BW143:BW206" si="124">BC130</f>
        <v>2.2340214425527414</v>
      </c>
      <c r="BX143" s="9">
        <f t="shared" ca="1" si="91"/>
        <v>104.74450399541466</v>
      </c>
      <c r="BY143" s="9">
        <f t="shared" ca="1" si="92"/>
        <v>-39.759376693108223</v>
      </c>
      <c r="BZ143">
        <f t="shared" ca="1" si="93"/>
        <v>112.03668663553879</v>
      </c>
      <c r="CA143" s="6">
        <f t="shared" ca="1" si="94"/>
        <v>0.9349125464246727</v>
      </c>
      <c r="CB143" s="6">
        <f t="shared" ca="1" si="95"/>
        <v>-0.35487819112722924</v>
      </c>
      <c r="CC143" s="6">
        <f t="shared" ca="1" si="96"/>
        <v>-0.36278377499296249</v>
      </c>
      <c r="CD143" s="6">
        <f t="shared" ca="1" si="97"/>
        <v>-62.510210095018607</v>
      </c>
      <c r="CE143" s="9">
        <f t="shared" ca="1" si="98"/>
        <v>-40.985387940357128</v>
      </c>
      <c r="CF143">
        <f t="shared" ca="1" si="99"/>
        <v>74.748434035402624</v>
      </c>
      <c r="CG143" s="6">
        <f t="shared" ca="1" si="100"/>
        <v>-0.83627451065278902</v>
      </c>
      <c r="CH143" s="6">
        <f t="shared" ca="1" si="101"/>
        <v>-0.54831099098270719</v>
      </c>
      <c r="CI143" s="6">
        <f t="shared" ca="1" si="102"/>
        <v>-2.5612494386546762</v>
      </c>
      <c r="CJ143" s="1">
        <f t="shared" ca="1" si="103"/>
        <v>-2.9365377051274617</v>
      </c>
      <c r="CK143" s="38"/>
    </row>
    <row r="144" spans="1:89" x14ac:dyDescent="0.25">
      <c r="A144" t="s">
        <v>2</v>
      </c>
      <c r="B144" s="3">
        <f>B3*1000</f>
        <v>4074280.688047891</v>
      </c>
      <c r="C144" t="s">
        <v>169</v>
      </c>
      <c r="BC144">
        <v>2.4783675378319447</v>
      </c>
      <c r="BD144">
        <v>-14.014612059654686</v>
      </c>
      <c r="BE144">
        <v>7.5102100949561681</v>
      </c>
      <c r="BF144" s="6">
        <f t="shared" si="120"/>
        <v>2.6496514111906642</v>
      </c>
      <c r="BG144" s="6">
        <f t="shared" si="121"/>
        <v>0.17128387335871942</v>
      </c>
      <c r="BH144" s="6">
        <f t="shared" si="122"/>
        <v>-1.8642532477932157</v>
      </c>
      <c r="BI144" s="6">
        <f t="shared" si="123"/>
        <v>1.8642532477932157</v>
      </c>
      <c r="BJ144">
        <v>-21.560941630237977</v>
      </c>
      <c r="BK144">
        <v>11.554169376855643</v>
      </c>
      <c r="BV144" s="38"/>
      <c r="BW144" s="6">
        <f t="shared" si="124"/>
        <v>2.2514747350726845</v>
      </c>
      <c r="BX144" s="9">
        <f t="shared" ref="BX144:BX207" ca="1" si="125">$BW$5-BD131</f>
        <v>104.85637620367621</v>
      </c>
      <c r="BY144" s="9">
        <f t="shared" ref="BY144:BY207" ca="1" si="126">$BX$5-BE131</f>
        <v>-39.649453136979133</v>
      </c>
      <c r="BZ144">
        <f t="shared" ref="BZ144:BZ207" ca="1" si="127">SQRT(POWER(BX144,2)+POWER(BY144,2))</f>
        <v>112.10235842580823</v>
      </c>
      <c r="CA144" s="6">
        <f t="shared" ref="CA144:CA207" ca="1" si="128">BX144/BZ144</f>
        <v>0.93536280303212738</v>
      </c>
      <c r="CB144" s="6">
        <f t="shared" ref="CB144:CB207" ca="1" si="129">BY144/BZ144</f>
        <v>-0.35368973225679279</v>
      </c>
      <c r="CC144" s="6">
        <f t="shared" ref="CC144:CC207" ca="1" si="130">ATAN2(CA144,CB144)</f>
        <v>-0.36151288329156839</v>
      </c>
      <c r="CD144" s="6">
        <f t="shared" ref="CD144:CD207" ca="1" si="131">$BW$9-BX144</f>
        <v>-62.622082303280152</v>
      </c>
      <c r="CE144" s="9">
        <f t="shared" ref="CE144:CE207" ca="1" si="132">$BX$9-BY144</f>
        <v>-41.095311496486218</v>
      </c>
      <c r="CF144">
        <f t="shared" ref="CF144:CF207" ca="1" si="133">SQRT(POWER(CD144,2)+POWER(CE144,2))</f>
        <v>74.90226845024138</v>
      </c>
      <c r="CG144" s="6">
        <f t="shared" ref="CG144:CG207" ca="1" si="134">CD144/CF144</f>
        <v>-0.8360505442486148</v>
      </c>
      <c r="CH144" s="6">
        <f t="shared" ref="CH144:CH207" ca="1" si="135">CE144/CF144</f>
        <v>-0.5486524286482245</v>
      </c>
      <c r="CI144" s="6">
        <f t="shared" ref="CI144:CI207" ca="1" si="136">ATAN2(CG144,CH144)</f>
        <v>-2.5608410997856601</v>
      </c>
      <c r="CJ144" s="1">
        <f t="shared" ref="CJ144:CJ207" ca="1" si="137">ATAN2(COS($U$13-CI144),SIN($U$13-CI144))</f>
        <v>-2.9369460439964779</v>
      </c>
      <c r="CK144" s="38"/>
    </row>
    <row r="145" spans="1:89" ht="18" x14ac:dyDescent="0.35">
      <c r="A145" t="s">
        <v>161</v>
      </c>
      <c r="B145" s="1">
        <f>(2*0.85*B143)/B144</f>
        <v>2.0862578331765852E-3</v>
      </c>
      <c r="C145" t="s">
        <v>170</v>
      </c>
      <c r="BC145">
        <v>2.4958208303518878</v>
      </c>
      <c r="BD145">
        <v>-14.126194304481359</v>
      </c>
      <c r="BE145">
        <v>7.3961236217453461</v>
      </c>
      <c r="BF145" s="6">
        <f t="shared" si="120"/>
        <v>2.6592633266178267</v>
      </c>
      <c r="BG145" s="6">
        <f t="shared" si="121"/>
        <v>0.16344249626593887</v>
      </c>
      <c r="BH145" s="6">
        <f t="shared" si="122"/>
        <v>-1.8738651632203784</v>
      </c>
      <c r="BI145" s="6">
        <f t="shared" si="123"/>
        <v>1.8738651632203784</v>
      </c>
      <c r="BJ145">
        <v>-21.732606622279015</v>
      </c>
      <c r="BK145">
        <v>11.378651725762071</v>
      </c>
      <c r="BV145" s="38"/>
      <c r="BW145" s="6">
        <f t="shared" si="124"/>
        <v>2.2689280275926276</v>
      </c>
      <c r="BX145" s="9">
        <f t="shared" ca="1" si="125"/>
        <v>104.96640068460124</v>
      </c>
      <c r="BY145" s="9">
        <f t="shared" ca="1" si="126"/>
        <v>-39.540922233725325</v>
      </c>
      <c r="BZ145">
        <f t="shared" ca="1" si="127"/>
        <v>112.16697287425461</v>
      </c>
      <c r="CA145" s="6">
        <f t="shared" ca="1" si="128"/>
        <v>0.93580488083844782</v>
      </c>
      <c r="CB145" s="6">
        <f t="shared" ca="1" si="129"/>
        <v>-0.35251840377338961</v>
      </c>
      <c r="CC145" s="6">
        <f t="shared" ca="1" si="130"/>
        <v>-0.36026090749004003</v>
      </c>
      <c r="CD145" s="6">
        <f t="shared" ca="1" si="131"/>
        <v>-62.732106784205186</v>
      </c>
      <c r="CE145" s="9">
        <f t="shared" ca="1" si="132"/>
        <v>-41.203842399740026</v>
      </c>
      <c r="CF145">
        <f t="shared" ca="1" si="133"/>
        <v>75.053806366416467</v>
      </c>
      <c r="CG145" s="6">
        <f t="shared" ca="1" si="134"/>
        <v>-0.83582845189681487</v>
      </c>
      <c r="CH145" s="6">
        <f t="shared" ca="1" si="135"/>
        <v>-0.54899070939294925</v>
      </c>
      <c r="CI145" s="6">
        <f t="shared" ca="1" si="136"/>
        <v>-2.5604364284656804</v>
      </c>
      <c r="CJ145" s="1">
        <f t="shared" ca="1" si="137"/>
        <v>-2.9373507153164575</v>
      </c>
      <c r="CK145" s="38"/>
    </row>
    <row r="146" spans="1:89" ht="18" x14ac:dyDescent="0.35">
      <c r="A146" t="s">
        <v>171</v>
      </c>
      <c r="B146" s="1">
        <v>3.0000000000000001E-3</v>
      </c>
      <c r="C146" t="s">
        <v>170</v>
      </c>
      <c r="BC146">
        <v>2.5132741228718309</v>
      </c>
      <c r="BD146">
        <v>-14.239713336936591</v>
      </c>
      <c r="BE146">
        <v>7.279421573590251</v>
      </c>
      <c r="BF146" s="6">
        <f t="shared" si="120"/>
        <v>2.6690207823785115</v>
      </c>
      <c r="BG146" s="6">
        <f t="shared" si="121"/>
        <v>0.15574665950668054</v>
      </c>
      <c r="BH146" s="6">
        <f t="shared" si="122"/>
        <v>-1.8836226189810632</v>
      </c>
      <c r="BI146" s="6">
        <f t="shared" si="123"/>
        <v>1.8836226189810632</v>
      </c>
      <c r="BJ146">
        <v>-21.907251287594754</v>
      </c>
      <c r="BK146">
        <v>11.19911011321577</v>
      </c>
      <c r="BV146" s="38"/>
      <c r="BW146" s="6">
        <f t="shared" si="124"/>
        <v>2.2863813201125707</v>
      </c>
      <c r="BX146" s="9">
        <f t="shared" ca="1" si="125"/>
        <v>105.07491500093408</v>
      </c>
      <c r="BY146" s="9">
        <f t="shared" ca="1" si="126"/>
        <v>-39.433527133284699</v>
      </c>
      <c r="BZ146">
        <f t="shared" ca="1" si="127"/>
        <v>112.23074812467848</v>
      </c>
      <c r="CA146" s="6">
        <f t="shared" ca="1" si="128"/>
        <v>0.93623999444613071</v>
      </c>
      <c r="CB146" s="6">
        <f t="shared" ca="1" si="129"/>
        <v>-0.35136117144543599</v>
      </c>
      <c r="CC146" s="6">
        <f t="shared" ca="1" si="130"/>
        <v>-0.35902457795987941</v>
      </c>
      <c r="CD146" s="6">
        <f t="shared" ca="1" si="131"/>
        <v>-62.84062110053803</v>
      </c>
      <c r="CE146" s="9">
        <f t="shared" ca="1" si="132"/>
        <v>-41.311237500180653</v>
      </c>
      <c r="CF146">
        <f t="shared" ca="1" si="133"/>
        <v>75.203470691835207</v>
      </c>
      <c r="CG146" s="6">
        <f t="shared" ca="1" si="134"/>
        <v>-0.83560799152532461</v>
      </c>
      <c r="CH146" s="6">
        <f t="shared" ca="1" si="135"/>
        <v>-0.5493262095504029</v>
      </c>
      <c r="CI146" s="6">
        <f t="shared" ca="1" si="136"/>
        <v>-2.5600349771819442</v>
      </c>
      <c r="CJ146" s="1">
        <f t="shared" ca="1" si="137"/>
        <v>-2.9377521666001938</v>
      </c>
      <c r="CK146" s="38"/>
    </row>
    <row r="147" spans="1:89" ht="18" x14ac:dyDescent="0.35">
      <c r="A147" t="s">
        <v>172</v>
      </c>
      <c r="B147" s="1">
        <f>B146/B145</f>
        <v>1.4379814193110203</v>
      </c>
      <c r="C147" t="s">
        <v>173</v>
      </c>
      <c r="BC147">
        <v>2.530727415391774</v>
      </c>
      <c r="BD147">
        <v>-14.355462445724616</v>
      </c>
      <c r="BE147">
        <v>7.1596610853990388</v>
      </c>
      <c r="BF147" s="6">
        <f t="shared" si="120"/>
        <v>2.6789525626351458</v>
      </c>
      <c r="BG147" s="6">
        <f t="shared" si="121"/>
        <v>0.14822514724337177</v>
      </c>
      <c r="BH147" s="6">
        <f t="shared" si="122"/>
        <v>-1.8935543992376973</v>
      </c>
      <c r="BI147" s="6">
        <f t="shared" si="123"/>
        <v>1.8935543992376973</v>
      </c>
      <c r="BJ147">
        <v>-22.085326839576332</v>
      </c>
      <c r="BK147">
        <v>11.014863208306213</v>
      </c>
      <c r="BV147" s="38"/>
      <c r="BW147" s="6">
        <f t="shared" si="124"/>
        <v>2.3038346126325138</v>
      </c>
      <c r="BX147" s="9">
        <f t="shared" ca="1" si="125"/>
        <v>105.18223272135866</v>
      </c>
      <c r="BY147" s="9">
        <f t="shared" ca="1" si="126"/>
        <v>-39.327017466682257</v>
      </c>
      <c r="BZ147">
        <f t="shared" ca="1" si="127"/>
        <v>112.2938839967466</v>
      </c>
      <c r="CA147" s="6">
        <f t="shared" ca="1" si="128"/>
        <v>0.93666929112903441</v>
      </c>
      <c r="CB147" s="6">
        <f t="shared" ca="1" si="129"/>
        <v>-0.35021513253403586</v>
      </c>
      <c r="CC147" s="6">
        <f t="shared" ca="1" si="130"/>
        <v>-0.35780077200494986</v>
      </c>
      <c r="CD147" s="6">
        <f t="shared" ca="1" si="131"/>
        <v>-62.947938820962605</v>
      </c>
      <c r="CE147" s="9">
        <f t="shared" ca="1" si="132"/>
        <v>-41.417747166783094</v>
      </c>
      <c r="CF147">
        <f t="shared" ca="1" si="133"/>
        <v>75.351660779170757</v>
      </c>
      <c r="CG147" s="6">
        <f t="shared" ca="1" si="134"/>
        <v>-0.83538887092934677</v>
      </c>
      <c r="CH147" s="6">
        <f t="shared" ca="1" si="135"/>
        <v>-0.54965938027781447</v>
      </c>
      <c r="CI147" s="6">
        <f t="shared" ca="1" si="136"/>
        <v>-2.5596362083625852</v>
      </c>
      <c r="CJ147" s="1">
        <f t="shared" ca="1" si="137"/>
        <v>-2.9381509354195527</v>
      </c>
      <c r="CK147" s="38"/>
    </row>
    <row r="148" spans="1:89" ht="18" x14ac:dyDescent="0.35">
      <c r="A148" t="s">
        <v>174</v>
      </c>
      <c r="B148" s="6">
        <f>G38</f>
        <v>6.9427097965380158</v>
      </c>
      <c r="C148" t="s">
        <v>4</v>
      </c>
      <c r="BC148">
        <v>2.5481807079117171</v>
      </c>
      <c r="BD148">
        <v>-14.473753551665935</v>
      </c>
      <c r="BE148">
        <v>7.0363497135141451</v>
      </c>
      <c r="BF148" s="6">
        <f t="shared" si="120"/>
        <v>2.6890899733174201</v>
      </c>
      <c r="BG148" s="6">
        <f t="shared" si="121"/>
        <v>0.14090926540570292</v>
      </c>
      <c r="BH148" s="6">
        <f t="shared" si="122"/>
        <v>-1.9036918099199716</v>
      </c>
      <c r="BI148" s="6">
        <f t="shared" si="123"/>
        <v>1.9036918099199716</v>
      </c>
      <c r="BJ148">
        <v>-22.267313156409131</v>
      </c>
      <c r="BK148">
        <v>10.825153405406377</v>
      </c>
      <c r="BV148" s="38"/>
      <c r="BW148" s="6">
        <f t="shared" si="124"/>
        <v>2.3212879051524569</v>
      </c>
      <c r="BX148" s="9">
        <f t="shared" ca="1" si="125"/>
        <v>105.28864777260137</v>
      </c>
      <c r="BY148" s="9">
        <f t="shared" ca="1" si="126"/>
        <v>-39.221146761829694</v>
      </c>
      <c r="BZ148">
        <f t="shared" ca="1" si="127"/>
        <v>112.35656502001073</v>
      </c>
      <c r="CA148" s="6">
        <f t="shared" ca="1" si="128"/>
        <v>0.93709386499889369</v>
      </c>
      <c r="CB148" s="6">
        <f t="shared" ca="1" si="129"/>
        <v>-0.3490774816304183</v>
      </c>
      <c r="CC148" s="6">
        <f t="shared" ca="1" si="130"/>
        <v>-0.3565864768469873</v>
      </c>
      <c r="CD148" s="6">
        <f t="shared" ca="1" si="131"/>
        <v>-63.054353872205311</v>
      </c>
      <c r="CE148" s="9">
        <f t="shared" ca="1" si="132"/>
        <v>-41.523617871635658</v>
      </c>
      <c r="CF148">
        <f t="shared" ca="1" si="133"/>
        <v>75.498757495676131</v>
      </c>
      <c r="CG148" s="6">
        <f t="shared" ca="1" si="134"/>
        <v>-0.83517074934400715</v>
      </c>
      <c r="CH148" s="6">
        <f t="shared" ca="1" si="135"/>
        <v>-0.54999074486773836</v>
      </c>
      <c r="CI148" s="6">
        <f t="shared" ca="1" si="136"/>
        <v>-2.5592394974861139</v>
      </c>
      <c r="CJ148" s="1">
        <f t="shared" ca="1" si="137"/>
        <v>-2.9385476462960241</v>
      </c>
      <c r="CK148" s="38"/>
    </row>
    <row r="149" spans="1:89" x14ac:dyDescent="0.25">
      <c r="B149" s="1"/>
      <c r="BC149">
        <v>2.5656340004316602</v>
      </c>
      <c r="BD149">
        <v>-14.594921083257955</v>
      </c>
      <c r="BE149">
        <v>6.9089358812686497</v>
      </c>
      <c r="BF149" s="6">
        <f t="shared" si="120"/>
        <v>2.6994673614095266</v>
      </c>
      <c r="BG149" s="6">
        <f t="shared" si="121"/>
        <v>0.13383336097786636</v>
      </c>
      <c r="BH149" s="6">
        <f t="shared" si="122"/>
        <v>-1.9140691980120783</v>
      </c>
      <c r="BI149" s="6">
        <f t="shared" si="123"/>
        <v>1.9140691980120783</v>
      </c>
      <c r="BJ149">
        <v>-22.453724743473774</v>
      </c>
      <c r="BK149">
        <v>10.629132125028692</v>
      </c>
      <c r="BV149" s="38"/>
      <c r="BW149" s="6">
        <f t="shared" si="124"/>
        <v>2.3387411976724</v>
      </c>
      <c r="BX149" s="9">
        <f t="shared" ca="1" si="125"/>
        <v>105.39443826919177</v>
      </c>
      <c r="BY149" s="9">
        <f t="shared" ca="1" si="126"/>
        <v>-39.115669914871148</v>
      </c>
      <c r="BZ149">
        <f t="shared" ca="1" si="127"/>
        <v>112.41896303990546</v>
      </c>
      <c r="CA149" s="6">
        <f t="shared" ca="1" si="128"/>
        <v>0.93751476992168847</v>
      </c>
      <c r="CB149" s="6">
        <f t="shared" ca="1" si="129"/>
        <v>-0.34794547874441983</v>
      </c>
      <c r="CC149" s="6">
        <f t="shared" ca="1" si="130"/>
        <v>-0.35537875516330653</v>
      </c>
      <c r="CD149" s="6">
        <f t="shared" ca="1" si="131"/>
        <v>-63.160144368795713</v>
      </c>
      <c r="CE149" s="9">
        <f t="shared" ca="1" si="132"/>
        <v>-41.629094718594203</v>
      </c>
      <c r="CF149">
        <f t="shared" ca="1" si="133"/>
        <v>75.645127825768157</v>
      </c>
      <c r="CG149" s="6">
        <f t="shared" ca="1" si="134"/>
        <v>-0.83495323736210947</v>
      </c>
      <c r="CH149" s="6">
        <f t="shared" ca="1" si="135"/>
        <v>-0.55032089858421063</v>
      </c>
      <c r="CI149" s="6">
        <f t="shared" ca="1" si="136"/>
        <v>-2.5588441331720873</v>
      </c>
      <c r="CJ149" s="1">
        <f t="shared" ca="1" si="137"/>
        <v>-2.9389430106100507</v>
      </c>
      <c r="CK149" s="38"/>
    </row>
    <row r="150" spans="1:89" x14ac:dyDescent="0.25">
      <c r="A150" t="s">
        <v>175</v>
      </c>
      <c r="B150" s="50">
        <f>B28</f>
        <v>2.4640088607935819</v>
      </c>
      <c r="C150" t="s">
        <v>4</v>
      </c>
      <c r="D150" t="s">
        <v>176</v>
      </c>
      <c r="BC150">
        <v>2.5830872929516033</v>
      </c>
      <c r="BD150">
        <v>-14.719326351918408</v>
      </c>
      <c r="BE150">
        <v>6.776797397166475</v>
      </c>
      <c r="BF150" s="6">
        <f t="shared" si="120"/>
        <v>2.71012272545503</v>
      </c>
      <c r="BG150" s="6">
        <f t="shared" si="121"/>
        <v>0.12703543250342664</v>
      </c>
      <c r="BH150" s="6">
        <f t="shared" si="122"/>
        <v>-1.9247245620575815</v>
      </c>
      <c r="BI150" s="6">
        <f t="shared" si="123"/>
        <v>1.9247245620575815</v>
      </c>
      <c r="BJ150">
        <v>-22.645117464489857</v>
      </c>
      <c r="BK150">
        <v>10.425842149486884</v>
      </c>
      <c r="BV150" s="38"/>
      <c r="BW150" s="6">
        <f t="shared" si="124"/>
        <v>2.3561944901923431</v>
      </c>
      <c r="BX150" s="9">
        <f t="shared" ca="1" si="125"/>
        <v>105.49986992846198</v>
      </c>
      <c r="BY150" s="9">
        <f t="shared" ca="1" si="126"/>
        <v>-39.010340661849433</v>
      </c>
      <c r="BZ150">
        <f t="shared" ca="1" si="127"/>
        <v>112.48123947341591</v>
      </c>
      <c r="CA150" s="6">
        <f t="shared" ca="1" si="128"/>
        <v>0.93793303152030139</v>
      </c>
      <c r="CB150" s="6">
        <f t="shared" ca="1" si="129"/>
        <v>-0.34681641884884484</v>
      </c>
      <c r="CC150" s="6">
        <f t="shared" ca="1" si="130"/>
        <v>-0.35417471231198838</v>
      </c>
      <c r="CD150" s="6">
        <f t="shared" ca="1" si="131"/>
        <v>-63.265576028065922</v>
      </c>
      <c r="CE150" s="9">
        <f t="shared" ca="1" si="132"/>
        <v>-41.734423971615918</v>
      </c>
      <c r="CF150">
        <f t="shared" ca="1" si="133"/>
        <v>75.791129127395763</v>
      </c>
      <c r="CG150" s="6">
        <f t="shared" ca="1" si="134"/>
        <v>-0.83473589530146863</v>
      </c>
      <c r="CH150" s="6">
        <f t="shared" ca="1" si="135"/>
        <v>-0.5506505108462677</v>
      </c>
      <c r="CI150" s="6">
        <f t="shared" ca="1" si="136"/>
        <v>-2.5584493144584393</v>
      </c>
      <c r="CJ150" s="1">
        <f t="shared" ca="1" si="137"/>
        <v>-2.9393378293236987</v>
      </c>
      <c r="CK150" s="38"/>
    </row>
    <row r="151" spans="1:89" ht="18" x14ac:dyDescent="0.35">
      <c r="A151" t="s">
        <v>177</v>
      </c>
      <c r="B151" s="1">
        <f>(((B145/B146)*B150)-B150)*-1</f>
        <v>0.75048959851120722</v>
      </c>
      <c r="C151" t="s">
        <v>4</v>
      </c>
      <c r="D151" t="s">
        <v>178</v>
      </c>
      <c r="BC151">
        <v>2.6005405854715464</v>
      </c>
      <c r="BD151">
        <v>-14.847218255713566</v>
      </c>
      <c r="BE151">
        <v>6.639366394812698</v>
      </c>
      <c r="BF151" s="6">
        <f t="shared" si="120"/>
        <v>2.72108702576329</v>
      </c>
      <c r="BG151" s="6">
        <f t="shared" si="121"/>
        <v>0.12054644029174355</v>
      </c>
      <c r="BH151" s="6">
        <f t="shared" si="122"/>
        <v>-1.9356888623658415</v>
      </c>
      <c r="BI151" s="6">
        <f t="shared" si="123"/>
        <v>1.9356888623658415</v>
      </c>
      <c r="BJ151">
        <v>-22.841874239559331</v>
      </c>
      <c r="BK151">
        <v>10.214409838173381</v>
      </c>
      <c r="BV151" s="38"/>
      <c r="BW151" s="6">
        <f t="shared" si="124"/>
        <v>2.3736477827122862</v>
      </c>
      <c r="BX151" s="9">
        <f t="shared" ca="1" si="125"/>
        <v>105.60519918142857</v>
      </c>
      <c r="BY151" s="9">
        <f t="shared" ca="1" si="126"/>
        <v>-38.904909002047106</v>
      </c>
      <c r="BZ151">
        <f t="shared" ca="1" si="127"/>
        <v>112.54354729884237</v>
      </c>
      <c r="CA151" s="6">
        <f t="shared" ca="1" si="128"/>
        <v>0.93834965856380859</v>
      </c>
      <c r="CB151" s="6">
        <f t="shared" ca="1" si="129"/>
        <v>-0.34568760213982774</v>
      </c>
      <c r="CC151" s="6">
        <f t="shared" ca="1" si="130"/>
        <v>-0.35297146444449967</v>
      </c>
      <c r="CD151" s="6">
        <f t="shared" ca="1" si="131"/>
        <v>-63.37090528103252</v>
      </c>
      <c r="CE151" s="9">
        <f t="shared" ca="1" si="132"/>
        <v>-41.839855631418246</v>
      </c>
      <c r="CF151">
        <f t="shared" ca="1" si="133"/>
        <v>75.937113162112752</v>
      </c>
      <c r="CG151" s="6">
        <f t="shared" ca="1" si="134"/>
        <v>-0.83451823018010274</v>
      </c>
      <c r="CH151" s="6">
        <f t="shared" ca="1" si="135"/>
        <v>-0.5509803295010347</v>
      </c>
      <c r="CI151" s="6">
        <f t="shared" ca="1" si="136"/>
        <v>-2.558054145567807</v>
      </c>
      <c r="CJ151" s="1">
        <f t="shared" ca="1" si="137"/>
        <v>-2.939732998214331</v>
      </c>
      <c r="CK151" s="38"/>
    </row>
    <row r="152" spans="1:89" x14ac:dyDescent="0.25">
      <c r="A152" t="s">
        <v>179</v>
      </c>
      <c r="B152" s="1">
        <f>B148-B151</f>
        <v>6.1922201980268081</v>
      </c>
      <c r="C152" t="s">
        <v>4</v>
      </c>
      <c r="D152" t="s">
        <v>180</v>
      </c>
      <c r="BC152">
        <v>2.6179938779914895</v>
      </c>
      <c r="BD152">
        <v>-14.976587692721521</v>
      </c>
      <c r="BE152">
        <v>6.4981544506616427</v>
      </c>
      <c r="BF152" s="6">
        <f t="shared" si="120"/>
        <v>2.7322183469442343</v>
      </c>
      <c r="BG152" s="6">
        <f t="shared" si="121"/>
        <v>0.11422446895274474</v>
      </c>
      <c r="BH152" s="6">
        <f t="shared" si="122"/>
        <v>-1.9468201835467858</v>
      </c>
      <c r="BI152" s="6">
        <f t="shared" si="123"/>
        <v>1.9468201835467858</v>
      </c>
      <c r="BJ152">
        <v>-23.040904142648493</v>
      </c>
      <c r="BK152">
        <v>9.9971606933256041</v>
      </c>
      <c r="BV152" s="38"/>
      <c r="BW152" s="6">
        <f t="shared" si="124"/>
        <v>2.3911010752322293</v>
      </c>
      <c r="BX152" s="9">
        <f t="shared" ca="1" si="125"/>
        <v>105.71067602880053</v>
      </c>
      <c r="BY152" s="9">
        <f t="shared" ca="1" si="126"/>
        <v>-38.799118505971109</v>
      </c>
      <c r="BZ152">
        <f t="shared" ca="1" si="127"/>
        <v>112.60603280156181</v>
      </c>
      <c r="CA152" s="6">
        <f t="shared" ca="1" si="128"/>
        <v>0.93876565401329337</v>
      </c>
      <c r="CB152" s="6">
        <f t="shared" ca="1" si="129"/>
        <v>-0.34455630431758694</v>
      </c>
      <c r="CC152" s="6">
        <f t="shared" ca="1" si="130"/>
        <v>-0.35176610675795777</v>
      </c>
      <c r="CD152" s="6">
        <f t="shared" ca="1" si="131"/>
        <v>-63.476382128404481</v>
      </c>
      <c r="CE152" s="9">
        <f t="shared" ca="1" si="132"/>
        <v>-41.945646127494243</v>
      </c>
      <c r="CF152">
        <f t="shared" ca="1" si="133"/>
        <v>76.083429977651505</v>
      </c>
      <c r="CG152" s="6">
        <f t="shared" ca="1" si="134"/>
        <v>-0.83429969110290936</v>
      </c>
      <c r="CH152" s="6">
        <f t="shared" ca="1" si="135"/>
        <v>-0.55131118746638019</v>
      </c>
      <c r="CI152" s="6">
        <f t="shared" ca="1" si="136"/>
        <v>-2.5576576278209742</v>
      </c>
      <c r="CJ152" s="1">
        <f t="shared" ca="1" si="137"/>
        <v>-2.9401295159611638</v>
      </c>
      <c r="CK152" s="38"/>
    </row>
    <row r="153" spans="1:89" x14ac:dyDescent="0.25">
      <c r="A153" t="s">
        <v>181</v>
      </c>
      <c r="B153" s="1">
        <f>B148-B150</f>
        <v>4.4787009357444338</v>
      </c>
      <c r="C153" t="s">
        <v>4</v>
      </c>
      <c r="D153" t="s">
        <v>182</v>
      </c>
      <c r="BC153">
        <v>2.6354471705114326</v>
      </c>
      <c r="BD153">
        <v>-15.110571550992198</v>
      </c>
      <c r="BE153">
        <v>6.3496421093757629</v>
      </c>
      <c r="BF153" s="6">
        <f t="shared" si="120"/>
        <v>2.7437845426970457</v>
      </c>
      <c r="BG153" s="6">
        <f t="shared" si="121"/>
        <v>0.10833737218561312</v>
      </c>
      <c r="BH153" s="6">
        <f t="shared" si="122"/>
        <v>-1.9583863792995972</v>
      </c>
      <c r="BI153" s="6">
        <f t="shared" si="123"/>
        <v>1.9583863792995972</v>
      </c>
      <c r="BJ153">
        <v>-23.247033155372613</v>
      </c>
      <c r="BK153">
        <v>9.7686801682704036</v>
      </c>
      <c r="BV153" s="38"/>
      <c r="BW153" s="6">
        <f t="shared" si="124"/>
        <v>2.4085543677521724</v>
      </c>
      <c r="BX153" s="9">
        <f t="shared" ca="1" si="125"/>
        <v>105.8165467334982</v>
      </c>
      <c r="BY153" s="9">
        <f t="shared" ca="1" si="126"/>
        <v>-38.692703453994113</v>
      </c>
      <c r="BZ153">
        <f t="shared" ca="1" si="127"/>
        <v>112.66883714311307</v>
      </c>
      <c r="CA153" s="6">
        <f t="shared" ca="1" si="128"/>
        <v>0.93918202598549039</v>
      </c>
      <c r="CB153" s="6">
        <f t="shared" ca="1" si="129"/>
        <v>-0.34341974617920534</v>
      </c>
      <c r="CC153" s="6">
        <f t="shared" ca="1" si="130"/>
        <v>-0.35055568113032237</v>
      </c>
      <c r="CD153" s="6">
        <f t="shared" ca="1" si="131"/>
        <v>-63.582252833102146</v>
      </c>
      <c r="CE153" s="9">
        <f t="shared" ca="1" si="132"/>
        <v>-42.052061179471238</v>
      </c>
      <c r="CF153">
        <f t="shared" ca="1" si="133"/>
        <v>76.23043174988922</v>
      </c>
      <c r="CG153" s="6">
        <f t="shared" ca="1" si="134"/>
        <v>-0.83407966311557125</v>
      </c>
      <c r="CH153" s="6">
        <f t="shared" ca="1" si="135"/>
        <v>-0.55164401163886034</v>
      </c>
      <c r="CI153" s="6">
        <f t="shared" ca="1" si="136"/>
        <v>-2.5572586488151221</v>
      </c>
      <c r="CJ153" s="1">
        <f t="shared" ca="1" si="137"/>
        <v>-2.9405284949670158</v>
      </c>
      <c r="CK153" s="38"/>
    </row>
    <row r="154" spans="1:89" x14ac:dyDescent="0.25">
      <c r="BC154">
        <v>2.6529004630313757</v>
      </c>
      <c r="BD154">
        <v>-15.249699243236364</v>
      </c>
      <c r="BE154">
        <v>6.1927416078182267</v>
      </c>
      <c r="BF154" s="6">
        <f t="shared" si="120"/>
        <v>2.7558478193024212</v>
      </c>
      <c r="BG154" s="6">
        <f t="shared" si="121"/>
        <v>0.10294735627104545</v>
      </c>
      <c r="BH154" s="6">
        <f t="shared" si="122"/>
        <v>-1.9704496559049727</v>
      </c>
      <c r="BI154" s="6">
        <f t="shared" si="123"/>
        <v>1.9704496559049727</v>
      </c>
      <c r="BJ154">
        <v>-23.461075758825174</v>
      </c>
      <c r="BK154">
        <v>9.52729478125881</v>
      </c>
      <c r="BV154" s="38"/>
      <c r="BW154" s="6">
        <f t="shared" si="124"/>
        <v>2.4260076602721155</v>
      </c>
      <c r="BX154" s="9">
        <f t="shared" ca="1" si="125"/>
        <v>105.92305639984994</v>
      </c>
      <c r="BY154" s="9">
        <f t="shared" ca="1" si="126"/>
        <v>-38.585385733463177</v>
      </c>
      <c r="BZ154">
        <f t="shared" ca="1" si="127"/>
        <v>112.73209777736746</v>
      </c>
      <c r="CA154" s="6">
        <f t="shared" ca="1" si="128"/>
        <v>0.9395997988881164</v>
      </c>
      <c r="CB154" s="6">
        <f t="shared" ca="1" si="129"/>
        <v>-0.34227506179885647</v>
      </c>
      <c r="CC154" s="6">
        <f t="shared" ca="1" si="130"/>
        <v>-0.34933714236913682</v>
      </c>
      <c r="CD154" s="6">
        <f t="shared" ca="1" si="131"/>
        <v>-63.688762499453887</v>
      </c>
      <c r="CE154" s="9">
        <f t="shared" ca="1" si="132"/>
        <v>-42.159378900002174</v>
      </c>
      <c r="CF154">
        <f t="shared" ca="1" si="133"/>
        <v>76.378476666831943</v>
      </c>
      <c r="CG154" s="6">
        <f t="shared" ca="1" si="134"/>
        <v>-0.83385745931106425</v>
      </c>
      <c r="CH154" s="6">
        <f t="shared" ca="1" si="135"/>
        <v>-0.55197983437014886</v>
      </c>
      <c r="CI154" s="6">
        <f t="shared" ca="1" si="136"/>
        <v>-2.5568559684955403</v>
      </c>
      <c r="CJ154" s="1">
        <f t="shared" ca="1" si="137"/>
        <v>-2.9409311752865976</v>
      </c>
      <c r="CK154" s="38"/>
    </row>
    <row r="155" spans="1:89" x14ac:dyDescent="0.25">
      <c r="A155" t="s">
        <v>183</v>
      </c>
      <c r="BC155">
        <v>2.6703537555513188</v>
      </c>
      <c r="BD155">
        <v>-15.394563422546954</v>
      </c>
      <c r="BE155">
        <v>6.026183344145644</v>
      </c>
      <c r="BF155" s="6">
        <f t="shared" si="120"/>
        <v>2.7684796690337432</v>
      </c>
      <c r="BG155" s="6">
        <f t="shared" si="121"/>
        <v>9.8125913482424387E-2</v>
      </c>
      <c r="BH155" s="6">
        <f t="shared" si="122"/>
        <v>-1.9830815056362949</v>
      </c>
      <c r="BI155" s="6">
        <f t="shared" si="123"/>
        <v>1.9830815056362949</v>
      </c>
      <c r="BJ155">
        <v>-23.683943726995313</v>
      </c>
      <c r="BK155">
        <v>9.271051298685606</v>
      </c>
      <c r="BV155" s="38"/>
      <c r="BW155" s="6">
        <f t="shared" si="124"/>
        <v>2.4434609527920585</v>
      </c>
      <c r="BX155" s="9">
        <f t="shared" ca="1" si="125"/>
        <v>106.03045150026804</v>
      </c>
      <c r="BY155" s="9">
        <f t="shared" ca="1" si="126"/>
        <v>-38.476871417699016</v>
      </c>
      <c r="BZ155">
        <f t="shared" ca="1" si="127"/>
        <v>112.79594974751902</v>
      </c>
      <c r="CA155" s="6">
        <f t="shared" ca="1" si="128"/>
        <v>0.9400200249885321</v>
      </c>
      <c r="CB155" s="6">
        <f t="shared" ca="1" si="129"/>
        <v>-0.34111926451104974</v>
      </c>
      <c r="CC155" s="6">
        <f t="shared" ca="1" si="130"/>
        <v>-0.34810732224546048</v>
      </c>
      <c r="CD155" s="6">
        <f t="shared" ca="1" si="131"/>
        <v>-63.796157599871989</v>
      </c>
      <c r="CE155" s="9">
        <f t="shared" ca="1" si="132"/>
        <v>-42.267893215766335</v>
      </c>
      <c r="CF155">
        <f t="shared" ca="1" si="133"/>
        <v>76.527932948741864</v>
      </c>
      <c r="CG155" s="6">
        <f t="shared" ca="1" si="134"/>
        <v>-0.83363231099685431</v>
      </c>
      <c r="CH155" s="6">
        <f t="shared" ca="1" si="135"/>
        <v>-0.55231980777629552</v>
      </c>
      <c r="CI155" s="6">
        <f t="shared" ca="1" si="136"/>
        <v>-2.556448201794371</v>
      </c>
      <c r="CJ155" s="1">
        <f t="shared" ca="1" si="137"/>
        <v>-2.9413389419877669</v>
      </c>
      <c r="CK155" s="38"/>
    </row>
    <row r="156" spans="1:89" x14ac:dyDescent="0.25">
      <c r="B156" t="str">
        <f>B48</f>
        <v>xi (in)</v>
      </c>
      <c r="C156" t="str">
        <f t="shared" ref="C156:E156" si="138">C48</f>
        <v>yi (in)</v>
      </c>
      <c r="D156" t="str">
        <f t="shared" si="138"/>
        <v>xj (in)</v>
      </c>
      <c r="E156" t="str">
        <f t="shared" si="138"/>
        <v>yj (in)</v>
      </c>
      <c r="F156" s="1" t="s">
        <v>189</v>
      </c>
      <c r="G156" s="1" t="s">
        <v>190</v>
      </c>
      <c r="H156" s="1" t="s">
        <v>184</v>
      </c>
      <c r="I156" s="1" t="s">
        <v>185</v>
      </c>
      <c r="J156" s="1" t="s">
        <v>186</v>
      </c>
      <c r="K156" s="1" t="s">
        <v>187</v>
      </c>
      <c r="M156" s="1" t="s">
        <v>99</v>
      </c>
      <c r="N156" s="1" t="s">
        <v>100</v>
      </c>
      <c r="O156" s="1" t="s">
        <v>101</v>
      </c>
      <c r="P156" t="s">
        <v>191</v>
      </c>
      <c r="AB156" t="s">
        <v>192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-15.545831795955085</v>
      </c>
      <c r="BE156">
        <v>5.8484753460422612</v>
      </c>
      <c r="BF156" s="6">
        <f t="shared" ref="BF156:BF157" si="139">IF(BC156&lt;&gt;"",IF(AND(BD156=0,BE156=0),0,MOD(ATAN2(BD156,BE156),2*PI())),NA())</f>
        <v>2.7817628252557403</v>
      </c>
      <c r="BG156" s="6">
        <f t="shared" ref="BG156:BG157" si="140">ABS(BC156-BF156)</f>
        <v>9.395577718447834E-2</v>
      </c>
      <c r="BH156" s="6">
        <f t="shared" ref="BH156:BH157" si="141">ATAN2(COS($U$13-BF156),SIN($U$13-BF156))</f>
        <v>-1.9963646618582918</v>
      </c>
      <c r="BI156" s="6">
        <f t="shared" ref="BI156:BI157" si="142">ABS(BH156)</f>
        <v>1.9963646618582918</v>
      </c>
      <c r="BJ156">
        <v>-23.916664301469361</v>
      </c>
      <c r="BK156">
        <v>8.9976543785265548</v>
      </c>
      <c r="BV156" s="38"/>
      <c r="BW156" s="6">
        <f t="shared" si="124"/>
        <v>2.4609142453120016</v>
      </c>
      <c r="BX156" s="9">
        <f t="shared" ca="1" si="125"/>
        <v>106.13898240380567</v>
      </c>
      <c r="BY156" s="9">
        <f t="shared" ca="1" si="126"/>
        <v>-38.366846936205349</v>
      </c>
      <c r="BZ156">
        <f t="shared" ca="1" si="127"/>
        <v>112.86052688846344</v>
      </c>
      <c r="CA156" s="6">
        <f t="shared" ca="1" si="128"/>
        <v>0.94044379669341382</v>
      </c>
      <c r="CB156" s="6">
        <f t="shared" ca="1" si="129"/>
        <v>-0.33994920982534588</v>
      </c>
      <c r="CC156" s="6">
        <f t="shared" ca="1" si="130"/>
        <v>-0.34686289039708729</v>
      </c>
      <c r="CD156" s="6">
        <f t="shared" ca="1" si="131"/>
        <v>-63.904688503409616</v>
      </c>
      <c r="CE156" s="9">
        <f t="shared" ca="1" si="132"/>
        <v>-42.377917697260003</v>
      </c>
      <c r="CF156">
        <f t="shared" ca="1" si="133"/>
        <v>76.679183101240426</v>
      </c>
      <c r="CG156" s="6">
        <f t="shared" ca="1" si="134"/>
        <v>-0.83340335562828705</v>
      </c>
      <c r="CH156" s="6">
        <f t="shared" ca="1" si="135"/>
        <v>-0.5526652212936064</v>
      </c>
      <c r="CI156" s="6">
        <f t="shared" ca="1" si="136"/>
        <v>-2.5560337973286682</v>
      </c>
      <c r="CJ156" s="1">
        <f t="shared" ca="1" si="137"/>
        <v>-2.9417533464534698</v>
      </c>
      <c r="CK156" s="38"/>
    </row>
    <row r="157" spans="1:89" x14ac:dyDescent="0.25">
      <c r="A157" s="1" t="s">
        <v>43</v>
      </c>
      <c r="B157" s="1">
        <f t="shared" ref="B157:E157" si="143">B49</f>
        <v>-11.480365006438387</v>
      </c>
      <c r="C157" s="1">
        <f t="shared" si="143"/>
        <v>6.9427097965380158</v>
      </c>
      <c r="D157" s="1">
        <f t="shared" si="143"/>
        <v>-12.442386841093445</v>
      </c>
      <c r="E157" s="1">
        <f t="shared" si="143"/>
        <v>-5.0186661272278998</v>
      </c>
      <c r="F157" s="6">
        <f>IF(E157-C157=0,0,MIN(MAX(($B$152-C157)/(E157-C157),0),1))</f>
        <v>6.2742748266950532E-2</v>
      </c>
      <c r="G157" s="6">
        <f>IF(E157-C157=0,0,MIN(MAX(($B$153-C157)/(E157-C157),0),1))</f>
        <v>0.2059971090698581</v>
      </c>
      <c r="H157" s="1">
        <f>IF(AND(F157=0,G157=0),0,IF(C157&gt;E157,B157+(F157*(D157-B157)),B157+(G157*(D157-B157))))</f>
        <v>-11.540724900237459</v>
      </c>
      <c r="I157" s="1">
        <f>IF(AND(F157=0,G157=0),0,IF(C157&gt;E157,C157+(F157*(E157-C157)),C157+(G157*(E157-C157))))</f>
        <v>6.1922201980268081</v>
      </c>
      <c r="J157">
        <f>IF(AND(F157=0,G157=0),0,IF(C157&gt;E157,B157+(G157*(D157-B157)),B157+(F157*(D157-B157))))</f>
        <v>-11.678538723239409</v>
      </c>
      <c r="K157">
        <f>IF(AND(F157=0,G157=0),0,IF(C157&gt;E157,C157+(G157*(E157-C157)),C157+(F157*(E157-C157))))</f>
        <v>4.4787009357444338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56280.793320909215</v>
      </c>
      <c r="N157" s="9">
        <f>((1/(1200*$B$150*$B$150))*17*$B$143*$B$147*(I157-K157))*Z157</f>
        <v>312270.65881258005</v>
      </c>
      <c r="O157" s="9">
        <f>((1/(1200*$B$150*$B$150))*17*$B$143*$B$147*(I157-K157))*AW157</f>
        <v>-326217.61475639883</v>
      </c>
      <c r="P157">
        <f t="shared" ref="P157:P164" si="144">((2*I157*I157)*((5*$B$150*($B$147-1))+(3*$B$147*K157)-(5*$B$147*$B$148)))</f>
        <v>-1932.5646664932488</v>
      </c>
      <c r="Q157">
        <f>(I157)*((20*K157)*(($B$150*($B$147-1))-($B$147*$B$148))+((10*($B$150-$B$148))*(($B$150*($B$147-2))-($B$147*$B$148)))+(9*$B$147*K157*K157))</f>
        <v>-178.60918675549408</v>
      </c>
      <c r="R157">
        <f t="shared" ref="R157:R164" si="145">(2*K157)*((15*K157)*(($B$150*($B$147-1))-($B$147*$B$148))+((10*($B$150-$B$148))*(($B$150*($B$147-2))-($B$147*$B$148)))+(6*$B$147*K157*K157))</f>
        <v>752.6181133634625</v>
      </c>
      <c r="S157">
        <f t="shared" ref="S157:S164" si="146">3*$B$147*I157*I157*I157</f>
        <v>1024.268234178357</v>
      </c>
      <c r="T157" s="54">
        <f>J157*(SUM(P157:S157))</f>
        <v>3903.98958009342</v>
      </c>
      <c r="U157" s="55">
        <f t="shared" ref="U157:U164" si="147">(I157*I157)*((30*$B$150*($B$147-1))+(9*$B$147*K157)-(30*$B$147*$B$148))</f>
        <v>-8020.1881706316562</v>
      </c>
      <c r="V157" s="55">
        <f t="shared" ref="V157:V164" si="148">I157*(((20*K157)*(($B$150*($B$147-1))-($B$147*$B$148)))+(20*($B$150-$B$148)*(($B$150*($B$147-2))-($B$147*$B$148)))+(6*$B$147*K157*K157))</f>
        <v>2438.3473213162197</v>
      </c>
      <c r="W157" s="55">
        <f t="shared" ref="W157:W164" si="149">K157*(((10*K157)*(($B$150*($B$147-1))-($B$147*$B$148)))+(10*($B$150-$B$148)*(($B$150*($B$147-2))-($B$147*$B$148)))+(3*$B$147*K157*K157))</f>
        <v>881.80233263739706</v>
      </c>
      <c r="X157" s="55">
        <f t="shared" ref="X157:X164" si="150">12*$B$147*I157*I157*I157</f>
        <v>4097.0729367134281</v>
      </c>
      <c r="Y157" s="54">
        <f t="shared" ref="Y157:Y164" si="151">H157*SUM(U157:X157)</f>
        <v>6958.6598826837135</v>
      </c>
      <c r="Z157" s="54">
        <f t="shared" ref="Z157:Z164" si="152">T157+Y157</f>
        <v>10862.649462777134</v>
      </c>
      <c r="AB157">
        <f>(3*I157)*(((5*$B$150)*($B$147-1))+($B$147*K157)-(5*$B$147*$B$148))</f>
        <v>-707.42151286927617</v>
      </c>
      <c r="AC157">
        <f>(10*($B$150-$B$148))*(($B$150*($B$147-2))-($B$147*$B$148))</f>
        <v>509.15244734721347</v>
      </c>
      <c r="AD157">
        <f>(5*K157)*(($B$150*($B$147-1))-($B$147*$B$148))</f>
        <v>-199.39842972101277</v>
      </c>
      <c r="AE157">
        <f>6*$B$147*I157*I157</f>
        <v>330.82422828075357</v>
      </c>
      <c r="AF157">
        <f>$B$147*K157*K157</f>
        <v>28.844127153683765</v>
      </c>
      <c r="AG157">
        <f>SUM(AB157:AF157)</f>
        <v>-37.999139808638112</v>
      </c>
      <c r="AH157" s="52">
        <f>AG157*H157*H157</f>
        <v>-5061.0420190204923</v>
      </c>
      <c r="AI157">
        <f>(2*I157)*(((5*$B$150)*($B$147-1))+(2*$B$147*K157)-(5*$B$147*$B$148))</f>
        <v>-391.85497002444572</v>
      </c>
      <c r="AJ157">
        <f>(10*($B$150-$B$148))*(($B$150*($B$147-2))-($B$147*$B$148))</f>
        <v>509.15244734721347</v>
      </c>
      <c r="AK157">
        <f>(10*K157)*(($B$150*($B$147-1))-($B$147*$B$148))</f>
        <v>-398.79685944202555</v>
      </c>
      <c r="AL157">
        <f>3*$B$147*I157*I157</f>
        <v>165.41211414037679</v>
      </c>
      <c r="AM157">
        <f>3*$B$147*K157*K157</f>
        <v>86.532381461051301</v>
      </c>
      <c r="AN157">
        <f>SUM(AI157:AM157)</f>
        <v>-29.554886517829715</v>
      </c>
      <c r="AO157" s="52">
        <f>(H157*J157)*AN157</f>
        <v>-3983.372217083715</v>
      </c>
      <c r="AP157">
        <f>(I157)*(((5*$B$150)*($B$147-1))+(3*$B$147*K157)-(5*$B$147*$B$148))</f>
        <v>-156.04779906802031</v>
      </c>
      <c r="AQ157">
        <f>(10*($B$150-$B$148))*(($B$150*($B$147-2))-($B$147*$B$148))</f>
        <v>509.15244734721347</v>
      </c>
      <c r="AR157">
        <f>(15*K157)*(($B$150*($B$147-1))-($B$147*$B$148))</f>
        <v>-598.1952891630383</v>
      </c>
      <c r="AS157">
        <f>$B$147*I157*I157</f>
        <v>55.137371380125593</v>
      </c>
      <c r="AT157">
        <f>6*$B$147*K157*K157</f>
        <v>173.0647629221026</v>
      </c>
      <c r="AU157">
        <f>SUM(AP157:AT157)</f>
        <v>-16.888506581616952</v>
      </c>
      <c r="AV157" s="52">
        <f>(J157*J157)*AU157</f>
        <v>-2303.3941399905812</v>
      </c>
      <c r="AW157" s="52">
        <f>AH157+AO157+AV157</f>
        <v>-11347.808376094788</v>
      </c>
      <c r="BA157"/>
      <c r="BC157">
        <v>2.705260340591205</v>
      </c>
      <c r="BD157">
        <v>-15.704261493709097</v>
      </c>
      <c r="BE157">
        <v>5.6578519473969777</v>
      </c>
      <c r="BF157" s="6">
        <f t="shared" si="139"/>
        <v>2.7957936939363437</v>
      </c>
      <c r="BG157" s="6">
        <f t="shared" si="140"/>
        <v>9.0533353345138678E-2</v>
      </c>
      <c r="BH157" s="6">
        <f t="shared" si="141"/>
        <v>-2.0103955305388954</v>
      </c>
      <c r="BI157" s="6">
        <f t="shared" si="142"/>
        <v>2.0103955305388954</v>
      </c>
      <c r="BJ157">
        <v>-24.160402298013995</v>
      </c>
      <c r="BK157">
        <v>8.7043876113799659</v>
      </c>
      <c r="BV157" s="38"/>
      <c r="BW157" s="6">
        <f t="shared" si="124"/>
        <v>2.4783675378319447</v>
      </c>
      <c r="BX157" s="9">
        <f t="shared" ca="1" si="125"/>
        <v>106.24890596005073</v>
      </c>
      <c r="BY157" s="9">
        <f t="shared" ca="1" si="126"/>
        <v>-38.254974728421516</v>
      </c>
      <c r="BZ157">
        <f t="shared" ca="1" si="127"/>
        <v>112.92596295440599</v>
      </c>
      <c r="CA157" s="6">
        <f t="shared" ca="1" si="128"/>
        <v>0.94087225984469913</v>
      </c>
      <c r="CB157" s="6">
        <f t="shared" ca="1" si="129"/>
        <v>-0.33876155427487487</v>
      </c>
      <c r="CC157" s="6">
        <f t="shared" ca="1" si="130"/>
        <v>-0.34560031105687194</v>
      </c>
      <c r="CD157" s="6">
        <f t="shared" ca="1" si="131"/>
        <v>-64.014612059654681</v>
      </c>
      <c r="CE157" s="9">
        <f t="shared" ca="1" si="132"/>
        <v>-42.489789905043835</v>
      </c>
      <c r="CF157">
        <f t="shared" ca="1" si="133"/>
        <v>76.832628507183401</v>
      </c>
      <c r="CG157" s="6">
        <f t="shared" ca="1" si="134"/>
        <v>-0.83316962211789602</v>
      </c>
      <c r="CH157" s="6">
        <f t="shared" ca="1" si="135"/>
        <v>-0.55301752303152418</v>
      </c>
      <c r="CI157" s="6">
        <f t="shared" ca="1" si="136"/>
        <v>-2.5556110114832542</v>
      </c>
      <c r="CJ157" s="1">
        <f t="shared" ca="1" si="137"/>
        <v>-2.9421761322988838</v>
      </c>
      <c r="CK157" s="38"/>
    </row>
    <row r="158" spans="1:89" x14ac:dyDescent="0.25">
      <c r="A158" s="1" t="s">
        <v>44</v>
      </c>
      <c r="B158" s="1">
        <f t="shared" ref="B158:E158" si="153">B50</f>
        <v>-12.442386841093445</v>
      </c>
      <c r="C158" s="1">
        <f t="shared" si="153"/>
        <v>-5.0186661272278998</v>
      </c>
      <c r="D158" s="1">
        <f t="shared" si="153"/>
        <v>3.5061143905944427</v>
      </c>
      <c r="E158" s="1">
        <f t="shared" si="153"/>
        <v>-6.3013619067679771</v>
      </c>
      <c r="F158" s="6">
        <f t="shared" ref="F158:F164" si="154">IF(E158-C158=0,0,MIN(MAX(($B$152-C158)/(E158-C158),0),1))</f>
        <v>0</v>
      </c>
      <c r="G158" s="6">
        <f t="shared" ref="G158:G164" si="155">IF(E158-C158=0,0,MIN(MAX(($B$153-C158)/(E158-C158),0),1))</f>
        <v>0</v>
      </c>
      <c r="H158" s="1">
        <f t="shared" ref="H158:H164" si="156">IF(AND(F158=0,G158=0),0,IF(C158&gt;E158,B158+(F158*(D158-B158)),B158+(G158*(D158-B158))))</f>
        <v>0</v>
      </c>
      <c r="I158" s="1">
        <f t="shared" ref="I158:I164" si="157">IF(AND(F158=0,G158=0),0,IF(C158&gt;E158,C158+(F158*(E158-C158)),C158+(G158*(E158-C158))))</f>
        <v>0</v>
      </c>
      <c r="J158">
        <f t="shared" ref="J158:J164" si="158">IF(AND(F158=0,G158=0),0,IF(C158&gt;E158,B158+(G158*(D158-B158)),B158+(F158*(D158-B158))))</f>
        <v>0</v>
      </c>
      <c r="K158">
        <f t="shared" ref="K158:K164" si="159">IF(AND(F158=0,G158=0),0,IF(C158&gt;E158,C158+(G158*(E158-C158)),C158+(F158*(E158-C158))))</f>
        <v>0</v>
      </c>
      <c r="M158" s="9">
        <f t="shared" ref="M158:M164" si="160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9">
        <f t="shared" ref="N158:N164" si="161">((1/(1200*$B$150*$B$150))*17*$B$143*$B$147*(I158-K158))*Z158</f>
        <v>0</v>
      </c>
      <c r="O158" s="9">
        <f t="shared" ref="O158:O164" si="162">((1/(1200*$B$150*$B$150))*17*$B$143*$B$147*(I158-K158))*AW158</f>
        <v>0</v>
      </c>
      <c r="P158">
        <f t="shared" si="144"/>
        <v>0</v>
      </c>
      <c r="Q158">
        <f t="shared" ref="Q158:Q164" si="163">(I158)*((20*K158)*(($B$150*($B$147-1))-($B$147*$B$148))+((10*($B$150-$B$148))*(($B$150*($B$147-2))-($B$147*$B$148)))+(9*$B$147*K158*K158))</f>
        <v>0</v>
      </c>
      <c r="R158">
        <f t="shared" si="145"/>
        <v>0</v>
      </c>
      <c r="S158">
        <f t="shared" si="146"/>
        <v>0</v>
      </c>
      <c r="T158" s="54">
        <f t="shared" ref="T158:T164" si="164">J158*(SUM(P158:S158))</f>
        <v>0</v>
      </c>
      <c r="U158" s="55">
        <f t="shared" si="147"/>
        <v>0</v>
      </c>
      <c r="V158" s="55">
        <f t="shared" si="148"/>
        <v>0</v>
      </c>
      <c r="W158" s="55">
        <f t="shared" si="149"/>
        <v>0</v>
      </c>
      <c r="X158" s="55">
        <f t="shared" si="150"/>
        <v>0</v>
      </c>
      <c r="Y158" s="54">
        <f t="shared" si="151"/>
        <v>0</v>
      </c>
      <c r="Z158" s="54">
        <f t="shared" si="152"/>
        <v>0</v>
      </c>
      <c r="AB158">
        <f t="shared" ref="AB158:AB164" si="165">(3*I158)*(((5*$B$150)*($B$147-1))+($B$147*K158)-(5*$B$147*$B$148))</f>
        <v>0</v>
      </c>
      <c r="AC158">
        <f t="shared" ref="AC158:AC164" si="166">(10*($B$150-$B$148))*(($B$150*($B$147-2))-($B$147*$B$148))</f>
        <v>509.15244734721347</v>
      </c>
      <c r="AD158">
        <f t="shared" ref="AD158:AD164" si="167">(5*K158)*(($B$150*($B$147-1))-($B$147*$B$148))</f>
        <v>0</v>
      </c>
      <c r="AE158">
        <f t="shared" ref="AE158:AE164" si="168">6*$B$147*I158*I158</f>
        <v>0</v>
      </c>
      <c r="AF158">
        <f t="shared" ref="AF158:AF164" si="169">$B$147*K158*K158</f>
        <v>0</v>
      </c>
      <c r="AG158">
        <f t="shared" ref="AG158:AG164" si="170">SUM(AB158:AF158)</f>
        <v>509.15244734721347</v>
      </c>
      <c r="AH158" s="52">
        <f t="shared" ref="AH158:AH164" si="171">AG158*H158*H158</f>
        <v>0</v>
      </c>
      <c r="AI158">
        <f t="shared" ref="AI158:AI164" si="172">(2*I158)*(((5*$B$150)*($B$147-1))+(2*$B$147*K158)-(5*$B$147*$B$148))</f>
        <v>0</v>
      </c>
      <c r="AJ158">
        <f t="shared" ref="AJ158:AJ164" si="173">(10*($B$150-$B$148))*(($B$150*($B$147-2))-($B$147*$B$148))</f>
        <v>509.15244734721347</v>
      </c>
      <c r="AK158">
        <f t="shared" ref="AK158:AK164" si="174">(10*K158)*(($B$150*($B$147-1))-($B$147*$B$148))</f>
        <v>0</v>
      </c>
      <c r="AL158">
        <f t="shared" ref="AL158:AL164" si="175">3*$B$147*I158*I158</f>
        <v>0</v>
      </c>
      <c r="AM158">
        <f t="shared" ref="AM158:AM164" si="176">3*$B$147*K158*K158</f>
        <v>0</v>
      </c>
      <c r="AN158">
        <f t="shared" ref="AN158:AN164" si="177">SUM(AI158:AM158)</f>
        <v>509.15244734721347</v>
      </c>
      <c r="AO158" s="52">
        <f t="shared" ref="AO158:AO164" si="178">(H158*J158)*AN158</f>
        <v>0</v>
      </c>
      <c r="AP158">
        <f t="shared" ref="AP158:AP164" si="179">(I158)*(((5*$B$150)*($B$147-1))+(3*$B$147*K158)-(5*$B$147*$B$148))</f>
        <v>0</v>
      </c>
      <c r="AQ158">
        <f t="shared" ref="AQ158:AQ164" si="180">(10*($B$150-$B$148))*(($B$150*($B$147-2))-($B$147*$B$148))</f>
        <v>509.15244734721347</v>
      </c>
      <c r="AR158">
        <f t="shared" ref="AR158:AR164" si="181">(15*K158)*(($B$150*($B$147-1))-($B$147*$B$148))</f>
        <v>0</v>
      </c>
      <c r="AS158">
        <f t="shared" ref="AS158:AS164" si="182">$B$147*I158*I158</f>
        <v>0</v>
      </c>
      <c r="AT158">
        <f t="shared" ref="AT158:AT164" si="183">6*$B$147*K158*K158</f>
        <v>0</v>
      </c>
      <c r="AU158">
        <f t="shared" ref="AU158:AU164" si="184">SUM(AP158:AT158)</f>
        <v>509.15244734721347</v>
      </c>
      <c r="AV158" s="52">
        <f t="shared" ref="AV158:AV164" si="185">(J158*J158)*AU158</f>
        <v>0</v>
      </c>
      <c r="AW158" s="52">
        <f t="shared" ref="AW158:AW164" si="186">AH158+AO158+AV158</f>
        <v>0</v>
      </c>
      <c r="BC158">
        <v>2.7227136331111481</v>
      </c>
      <c r="BD158">
        <v>-15.870716692088523</v>
      </c>
      <c r="BE158">
        <v>5.4522082244710575</v>
      </c>
      <c r="BF158" s="6">
        <f t="shared" ref="BF158:BF194" si="187">IF(BC158&lt;&gt;"",IF(AND(BD158=0,BE158=0),0,MOD(ATAN2(BD158,BE158),2*PI())),NA())</f>
        <v>2.8106853993579781</v>
      </c>
      <c r="BG158" s="6">
        <f t="shared" ref="BG158:BG194" si="188">ABS(BC158-BF158)</f>
        <v>8.7971766246830008E-2</v>
      </c>
      <c r="BH158" s="6">
        <f t="shared" ref="BH158:BH194" si="189">ATAN2(COS($U$13-BF158),SIN($U$13-BF158))</f>
        <v>-2.0252872359605298</v>
      </c>
      <c r="BI158" s="6">
        <f t="shared" ref="BI158:BI194" si="190">ABS(BH158)</f>
        <v>2.0252872359605298</v>
      </c>
      <c r="BJ158">
        <v>-24.416487218597727</v>
      </c>
      <c r="BK158">
        <v>8.388012653032396</v>
      </c>
      <c r="BV158" s="38"/>
      <c r="BW158" s="6">
        <f t="shared" si="124"/>
        <v>2.4958208303518878</v>
      </c>
      <c r="BX158" s="9">
        <f t="shared" ca="1" si="125"/>
        <v>106.36048820487741</v>
      </c>
      <c r="BY158" s="9">
        <f t="shared" ca="1" si="126"/>
        <v>-38.140888255210697</v>
      </c>
      <c r="BZ158">
        <f t="shared" ca="1" si="127"/>
        <v>112.99239270002354</v>
      </c>
      <c r="CA158" s="6">
        <f t="shared" ca="1" si="128"/>
        <v>0.94130662837848955</v>
      </c>
      <c r="CB158" s="6">
        <f t="shared" ca="1" si="129"/>
        <v>-0.3375527090258949</v>
      </c>
      <c r="CC158" s="6">
        <f t="shared" ca="1" si="130"/>
        <v>-0.34431579438278831</v>
      </c>
      <c r="CD158" s="6">
        <f t="shared" ca="1" si="131"/>
        <v>-64.126194304481359</v>
      </c>
      <c r="CE158" s="9">
        <f t="shared" ca="1" si="132"/>
        <v>-42.603876378254654</v>
      </c>
      <c r="CF158">
        <f t="shared" ca="1" si="133"/>
        <v>76.988694484513132</v>
      </c>
      <c r="CG158" s="6">
        <f t="shared" ca="1" si="134"/>
        <v>-0.83293001308628289</v>
      </c>
      <c r="CH158" s="6">
        <f t="shared" ca="1" si="135"/>
        <v>-0.55337834552870291</v>
      </c>
      <c r="CI158" s="6">
        <f t="shared" ca="1" si="136"/>
        <v>-2.5551778771329268</v>
      </c>
      <c r="CJ158" s="1">
        <f t="shared" ca="1" si="137"/>
        <v>-2.9426092666492112</v>
      </c>
      <c r="CK158" s="38"/>
    </row>
    <row r="159" spans="1:89" x14ac:dyDescent="0.25">
      <c r="A159" s="1" t="s">
        <v>45</v>
      </c>
      <c r="B159" s="1">
        <f t="shared" ref="B159:E159" si="191">B51</f>
        <v>3.5061143905944427</v>
      </c>
      <c r="C159" s="1">
        <f t="shared" si="191"/>
        <v>-6.3013619067679771</v>
      </c>
      <c r="D159" s="1">
        <f t="shared" si="191"/>
        <v>3.5061143905944427</v>
      </c>
      <c r="E159" s="1">
        <f t="shared" si="191"/>
        <v>-6.3013619067679771</v>
      </c>
      <c r="F159" s="6">
        <f t="shared" si="154"/>
        <v>0</v>
      </c>
      <c r="G159" s="6">
        <f t="shared" si="155"/>
        <v>0</v>
      </c>
      <c r="H159" s="1">
        <f t="shared" si="156"/>
        <v>0</v>
      </c>
      <c r="I159" s="1">
        <f t="shared" si="157"/>
        <v>0</v>
      </c>
      <c r="J159">
        <f t="shared" si="158"/>
        <v>0</v>
      </c>
      <c r="K159">
        <f t="shared" si="159"/>
        <v>0</v>
      </c>
      <c r="M159" s="9">
        <f t="shared" si="160"/>
        <v>0</v>
      </c>
      <c r="N159" s="9">
        <f t="shared" si="161"/>
        <v>0</v>
      </c>
      <c r="O159" s="9">
        <f t="shared" si="162"/>
        <v>0</v>
      </c>
      <c r="P159">
        <f t="shared" si="144"/>
        <v>0</v>
      </c>
      <c r="Q159">
        <f t="shared" si="163"/>
        <v>0</v>
      </c>
      <c r="R159">
        <f t="shared" si="145"/>
        <v>0</v>
      </c>
      <c r="S159">
        <f t="shared" si="146"/>
        <v>0</v>
      </c>
      <c r="T159" s="54">
        <f t="shared" si="164"/>
        <v>0</v>
      </c>
      <c r="U159" s="55">
        <f t="shared" si="147"/>
        <v>0</v>
      </c>
      <c r="V159" s="55">
        <f t="shared" si="148"/>
        <v>0</v>
      </c>
      <c r="W159" s="55">
        <f t="shared" si="149"/>
        <v>0</v>
      </c>
      <c r="X159" s="55">
        <f t="shared" si="150"/>
        <v>0</v>
      </c>
      <c r="Y159" s="54">
        <f t="shared" si="151"/>
        <v>0</v>
      </c>
      <c r="Z159" s="54">
        <f t="shared" si="152"/>
        <v>0</v>
      </c>
      <c r="AB159">
        <f t="shared" si="165"/>
        <v>0</v>
      </c>
      <c r="AC159">
        <f t="shared" si="166"/>
        <v>509.15244734721347</v>
      </c>
      <c r="AD159">
        <f t="shared" si="167"/>
        <v>0</v>
      </c>
      <c r="AE159">
        <f t="shared" si="168"/>
        <v>0</v>
      </c>
      <c r="AF159">
        <f t="shared" si="169"/>
        <v>0</v>
      </c>
      <c r="AG159">
        <f t="shared" si="170"/>
        <v>509.15244734721347</v>
      </c>
      <c r="AH159" s="52">
        <f t="shared" si="171"/>
        <v>0</v>
      </c>
      <c r="AI159">
        <f t="shared" si="172"/>
        <v>0</v>
      </c>
      <c r="AJ159">
        <f t="shared" si="173"/>
        <v>509.15244734721347</v>
      </c>
      <c r="AK159">
        <f t="shared" si="174"/>
        <v>0</v>
      </c>
      <c r="AL159">
        <f t="shared" si="175"/>
        <v>0</v>
      </c>
      <c r="AM159">
        <f t="shared" si="176"/>
        <v>0</v>
      </c>
      <c r="AN159">
        <f t="shared" si="177"/>
        <v>509.15244734721347</v>
      </c>
      <c r="AO159" s="52">
        <f t="shared" si="178"/>
        <v>0</v>
      </c>
      <c r="AP159">
        <f t="shared" si="179"/>
        <v>0</v>
      </c>
      <c r="AQ159">
        <f t="shared" si="180"/>
        <v>509.15244734721347</v>
      </c>
      <c r="AR159">
        <f t="shared" si="181"/>
        <v>0</v>
      </c>
      <c r="AS159">
        <f t="shared" si="182"/>
        <v>0</v>
      </c>
      <c r="AT159">
        <f t="shared" si="183"/>
        <v>0</v>
      </c>
      <c r="AU159">
        <f t="shared" si="184"/>
        <v>509.15244734721347</v>
      </c>
      <c r="AV159" s="52">
        <f t="shared" si="185"/>
        <v>0</v>
      </c>
      <c r="AW159" s="52">
        <f t="shared" si="186"/>
        <v>0</v>
      </c>
      <c r="BC159">
        <v>2.7401669256310912</v>
      </c>
      <c r="BD159">
        <v>-16.046190437001179</v>
      </c>
      <c r="BE159">
        <v>5.2290154573367724</v>
      </c>
      <c r="BF159" s="6">
        <f t="shared" si="187"/>
        <v>2.8265716267070964</v>
      </c>
      <c r="BG159" s="6">
        <f t="shared" si="188"/>
        <v>8.6404701076005175E-2</v>
      </c>
      <c r="BH159" s="6">
        <f t="shared" si="189"/>
        <v>-2.0411734633096481</v>
      </c>
      <c r="BI159" s="6">
        <f t="shared" si="190"/>
        <v>2.0411734633096481</v>
      </c>
      <c r="BJ159">
        <v>-24.68644682615566</v>
      </c>
      <c r="BK159">
        <v>8.0446391651334963</v>
      </c>
      <c r="BV159" s="38"/>
      <c r="BW159" s="6">
        <f t="shared" si="124"/>
        <v>2.5132741228718309</v>
      </c>
      <c r="BX159" s="9">
        <f t="shared" ca="1" si="125"/>
        <v>106.47400723733264</v>
      </c>
      <c r="BY159" s="9">
        <f t="shared" ca="1" si="126"/>
        <v>-38.0241862070556</v>
      </c>
      <c r="BZ159">
        <f t="shared" ca="1" si="127"/>
        <v>113.05995291828314</v>
      </c>
      <c r="CA159" s="6">
        <f t="shared" ca="1" si="128"/>
        <v>0.94174820074699084</v>
      </c>
      <c r="CB159" s="6">
        <f t="shared" ca="1" si="129"/>
        <v>-0.33631878685230404</v>
      </c>
      <c r="CC159" s="6">
        <f t="shared" ca="1" si="130"/>
        <v>-0.34300524093750856</v>
      </c>
      <c r="CD159" s="6">
        <f t="shared" ca="1" si="131"/>
        <v>-64.239713336936589</v>
      </c>
      <c r="CE159" s="9">
        <f t="shared" ca="1" si="132"/>
        <v>-42.720578426409752</v>
      </c>
      <c r="CF159">
        <f t="shared" ca="1" si="133"/>
        <v>77.147835943069822</v>
      </c>
      <c r="CG159" s="6">
        <f t="shared" ca="1" si="134"/>
        <v>-0.83268328335666342</v>
      </c>
      <c r="CH159" s="6">
        <f t="shared" ca="1" si="135"/>
        <v>-0.55374953690126594</v>
      </c>
      <c r="CI159" s="6">
        <f t="shared" ca="1" si="136"/>
        <v>-2.5547321657937934</v>
      </c>
      <c r="CJ159" s="1">
        <f t="shared" ca="1" si="137"/>
        <v>-2.9430549779883446</v>
      </c>
      <c r="CK159" s="38"/>
    </row>
    <row r="160" spans="1:89" x14ac:dyDescent="0.25">
      <c r="A160" s="1" t="s">
        <v>46</v>
      </c>
      <c r="B160" s="1">
        <f t="shared" ref="B160:E160" si="192">B52</f>
        <v>3.5061143905944427</v>
      </c>
      <c r="C160" s="1">
        <f t="shared" si="192"/>
        <v>-6.3013619067679771</v>
      </c>
      <c r="D160" s="1">
        <f t="shared" si="192"/>
        <v>11.480365006438387</v>
      </c>
      <c r="E160" s="1">
        <f t="shared" si="192"/>
        <v>-6.9427097965380158</v>
      </c>
      <c r="F160" s="6">
        <f t="shared" si="154"/>
        <v>0</v>
      </c>
      <c r="G160" s="6">
        <f t="shared" si="155"/>
        <v>0</v>
      </c>
      <c r="H160" s="1">
        <f t="shared" si="156"/>
        <v>0</v>
      </c>
      <c r="I160" s="1">
        <f t="shared" si="157"/>
        <v>0</v>
      </c>
      <c r="J160">
        <f t="shared" si="158"/>
        <v>0</v>
      </c>
      <c r="K160">
        <f t="shared" si="159"/>
        <v>0</v>
      </c>
      <c r="M160" s="9">
        <f t="shared" si="160"/>
        <v>0</v>
      </c>
      <c r="N160" s="9">
        <f t="shared" si="161"/>
        <v>0</v>
      </c>
      <c r="O160" s="9">
        <f t="shared" si="162"/>
        <v>0</v>
      </c>
      <c r="P160">
        <f t="shared" si="144"/>
        <v>0</v>
      </c>
      <c r="Q160">
        <f t="shared" si="163"/>
        <v>0</v>
      </c>
      <c r="R160">
        <f t="shared" si="145"/>
        <v>0</v>
      </c>
      <c r="S160">
        <f t="shared" si="146"/>
        <v>0</v>
      </c>
      <c r="T160" s="54">
        <f t="shared" si="164"/>
        <v>0</v>
      </c>
      <c r="U160" s="55">
        <f t="shared" si="147"/>
        <v>0</v>
      </c>
      <c r="V160" s="55">
        <f t="shared" si="148"/>
        <v>0</v>
      </c>
      <c r="W160" s="55">
        <f t="shared" si="149"/>
        <v>0</v>
      </c>
      <c r="X160" s="55">
        <f t="shared" si="150"/>
        <v>0</v>
      </c>
      <c r="Y160" s="54">
        <f t="shared" si="151"/>
        <v>0</v>
      </c>
      <c r="Z160" s="54">
        <f t="shared" si="152"/>
        <v>0</v>
      </c>
      <c r="AB160">
        <f t="shared" si="165"/>
        <v>0</v>
      </c>
      <c r="AC160">
        <f t="shared" si="166"/>
        <v>509.15244734721347</v>
      </c>
      <c r="AD160">
        <f t="shared" si="167"/>
        <v>0</v>
      </c>
      <c r="AE160">
        <f t="shared" si="168"/>
        <v>0</v>
      </c>
      <c r="AF160">
        <f t="shared" si="169"/>
        <v>0</v>
      </c>
      <c r="AG160">
        <f t="shared" si="170"/>
        <v>509.15244734721347</v>
      </c>
      <c r="AH160" s="52">
        <f t="shared" si="171"/>
        <v>0</v>
      </c>
      <c r="AI160">
        <f t="shared" si="172"/>
        <v>0</v>
      </c>
      <c r="AJ160">
        <f t="shared" si="173"/>
        <v>509.15244734721347</v>
      </c>
      <c r="AK160">
        <f t="shared" si="174"/>
        <v>0</v>
      </c>
      <c r="AL160">
        <f t="shared" si="175"/>
        <v>0</v>
      </c>
      <c r="AM160">
        <f t="shared" si="176"/>
        <v>0</v>
      </c>
      <c r="AN160">
        <f t="shared" si="177"/>
        <v>509.15244734721347</v>
      </c>
      <c r="AO160" s="52">
        <f t="shared" si="178"/>
        <v>0</v>
      </c>
      <c r="AP160">
        <f t="shared" si="179"/>
        <v>0</v>
      </c>
      <c r="AQ160">
        <f t="shared" si="180"/>
        <v>509.15244734721347</v>
      </c>
      <c r="AR160">
        <f t="shared" si="181"/>
        <v>0</v>
      </c>
      <c r="AS160">
        <f t="shared" si="182"/>
        <v>0</v>
      </c>
      <c r="AT160">
        <f t="shared" si="183"/>
        <v>0</v>
      </c>
      <c r="AU160">
        <f t="shared" si="184"/>
        <v>509.15244734721347</v>
      </c>
      <c r="AV160" s="52">
        <f t="shared" si="185"/>
        <v>0</v>
      </c>
      <c r="AW160" s="52">
        <f t="shared" si="186"/>
        <v>0</v>
      </c>
      <c r="BC160">
        <v>2.7576202181510343</v>
      </c>
      <c r="BD160">
        <v>-16.231831892320074</v>
      </c>
      <c r="BE160">
        <v>4.9852110149933084</v>
      </c>
      <c r="BF160" s="6">
        <f t="shared" si="187"/>
        <v>2.8436115048635666</v>
      </c>
      <c r="BG160" s="6">
        <f t="shared" si="188"/>
        <v>8.5991286712532311E-2</v>
      </c>
      <c r="BH160" s="6">
        <f t="shared" si="189"/>
        <v>-2.0582133414661179</v>
      </c>
      <c r="BI160" s="6">
        <f t="shared" si="190"/>
        <v>2.0582133414661179</v>
      </c>
      <c r="BJ160">
        <v>-24.972049065107804</v>
      </c>
      <c r="BK160">
        <v>7.6695554076820125</v>
      </c>
      <c r="BV160" s="38"/>
      <c r="BW160" s="6">
        <f t="shared" si="124"/>
        <v>2.530727415391774</v>
      </c>
      <c r="BX160" s="9">
        <f t="shared" ca="1" si="125"/>
        <v>106.58975634612067</v>
      </c>
      <c r="BY160" s="9">
        <f t="shared" ca="1" si="126"/>
        <v>-37.904425718864388</v>
      </c>
      <c r="BZ160">
        <f t="shared" ca="1" si="127"/>
        <v>113.1287834593932</v>
      </c>
      <c r="CA160" s="6">
        <f t="shared" ca="1" si="128"/>
        <v>0.94219837857957978</v>
      </c>
      <c r="CB160" s="6">
        <f t="shared" ca="1" si="129"/>
        <v>-0.33505554077199035</v>
      </c>
      <c r="CC160" s="6">
        <f t="shared" ca="1" si="130"/>
        <v>-0.34166417754977557</v>
      </c>
      <c r="CD160" s="6">
        <f t="shared" ca="1" si="131"/>
        <v>-64.355462445724612</v>
      </c>
      <c r="CE160" s="9">
        <f t="shared" ca="1" si="132"/>
        <v>-42.840338914600963</v>
      </c>
      <c r="CF160">
        <f t="shared" ca="1" si="133"/>
        <v>77.310543814676038</v>
      </c>
      <c r="CG160" s="6">
        <f t="shared" ca="1" si="134"/>
        <v>-0.83242801395878774</v>
      </c>
      <c r="CH160" s="6">
        <f t="shared" ca="1" si="135"/>
        <v>-0.55413319840687092</v>
      </c>
      <c r="CI160" s="6">
        <f t="shared" ca="1" si="136"/>
        <v>-2.5542713419444398</v>
      </c>
      <c r="CJ160" s="1">
        <f t="shared" ca="1" si="137"/>
        <v>-2.9435158018376981</v>
      </c>
      <c r="CK160" s="38"/>
    </row>
    <row r="161" spans="1:89" x14ac:dyDescent="0.25">
      <c r="A161" s="1" t="s">
        <v>47</v>
      </c>
      <c r="B161" s="1">
        <f t="shared" ref="B161:E161" si="193">B53</f>
        <v>11.480365006438387</v>
      </c>
      <c r="C161" s="1">
        <f t="shared" si="193"/>
        <v>-6.9427097965380158</v>
      </c>
      <c r="D161" s="1">
        <f t="shared" si="193"/>
        <v>12.442386841093445</v>
      </c>
      <c r="E161" s="1">
        <f t="shared" si="193"/>
        <v>5.0186661272278998</v>
      </c>
      <c r="F161" s="6">
        <f t="shared" si="154"/>
        <v>1</v>
      </c>
      <c r="G161" s="6">
        <f t="shared" si="155"/>
        <v>0.95485760209152737</v>
      </c>
      <c r="H161" s="1">
        <f>IF(AND(F161=0,G161=0),0,IF(C161&gt;E161,B161+(F161*(D161-B161)),B161+(G161*(D161-B161))))</f>
        <v>12.398958868636807</v>
      </c>
      <c r="I161" s="1">
        <f t="shared" si="157"/>
        <v>4.4787009357444338</v>
      </c>
      <c r="J161">
        <f t="shared" si="158"/>
        <v>12.442386841093445</v>
      </c>
      <c r="K161">
        <f t="shared" si="159"/>
        <v>5.0186661272278998</v>
      </c>
      <c r="M161" s="9">
        <f t="shared" si="160"/>
        <v>8043.0039865921963</v>
      </c>
      <c r="N161" s="9">
        <f t="shared" si="161"/>
        <v>38875.888655555827</v>
      </c>
      <c r="O161" s="9">
        <f t="shared" si="162"/>
        <v>49977.194739863742</v>
      </c>
      <c r="P161">
        <f t="shared" si="144"/>
        <v>-917.53760406105823</v>
      </c>
      <c r="Q161">
        <f t="shared" si="163"/>
        <v>-262.61050605713342</v>
      </c>
      <c r="R161">
        <f t="shared" si="145"/>
        <v>563.57320658401659</v>
      </c>
      <c r="S161">
        <f t="shared" si="146"/>
        <v>387.55265782180476</v>
      </c>
      <c r="T161" s="54">
        <f t="shared" si="164"/>
        <v>-2849.5833763692658</v>
      </c>
      <c r="U161" s="55">
        <f t="shared" si="147"/>
        <v>-4055.4442074239987</v>
      </c>
      <c r="V161" s="55">
        <f t="shared" si="148"/>
        <v>1531.0961923715829</v>
      </c>
      <c r="W161" s="55">
        <f t="shared" si="149"/>
        <v>857.84479790295018</v>
      </c>
      <c r="X161" s="55">
        <f t="shared" si="150"/>
        <v>1550.210631287219</v>
      </c>
      <c r="Y161" s="54">
        <f t="shared" si="151"/>
        <v>-1441.906988833407</v>
      </c>
      <c r="Z161" s="54">
        <f t="shared" si="152"/>
        <v>-4291.4903652026733</v>
      </c>
      <c r="AB161">
        <f t="shared" si="165"/>
        <v>-501.23031249290983</v>
      </c>
      <c r="AC161">
        <f t="shared" si="166"/>
        <v>509.15244734721347</v>
      </c>
      <c r="AD161">
        <f t="shared" si="167"/>
        <v>-223.43848348448489</v>
      </c>
      <c r="AE161">
        <f t="shared" si="168"/>
        <v>173.0647629221026</v>
      </c>
      <c r="AF161">
        <f t="shared" si="169"/>
        <v>36.218451951695279</v>
      </c>
      <c r="AG161">
        <f t="shared" si="170"/>
        <v>-6.2331337563833742</v>
      </c>
      <c r="AH161" s="52">
        <f t="shared" si="171"/>
        <v>-958.24571326403145</v>
      </c>
      <c r="AI161">
        <f t="shared" si="172"/>
        <v>-269.51022388185424</v>
      </c>
      <c r="AJ161">
        <f t="shared" si="173"/>
        <v>509.15244734721347</v>
      </c>
      <c r="AK161">
        <f t="shared" si="174"/>
        <v>-446.87696696896978</v>
      </c>
      <c r="AL161">
        <f t="shared" si="175"/>
        <v>86.532381461051301</v>
      </c>
      <c r="AM161">
        <f t="shared" si="176"/>
        <v>108.65535585508583</v>
      </c>
      <c r="AN161">
        <f t="shared" si="177"/>
        <v>-12.047006187473428</v>
      </c>
      <c r="AO161" s="52">
        <f t="shared" si="178"/>
        <v>-1858.5234808080111</v>
      </c>
      <c r="AP161">
        <f t="shared" si="179"/>
        <v>-102.43345305088431</v>
      </c>
      <c r="AQ161">
        <f t="shared" si="180"/>
        <v>509.15244734721347</v>
      </c>
      <c r="AR161">
        <f t="shared" si="181"/>
        <v>-670.31545045345467</v>
      </c>
      <c r="AS161">
        <f t="shared" si="182"/>
        <v>28.844127153683765</v>
      </c>
      <c r="AT161">
        <f t="shared" si="183"/>
        <v>217.31071171017166</v>
      </c>
      <c r="AU161">
        <f t="shared" si="184"/>
        <v>-17.441617293270127</v>
      </c>
      <c r="AV161" s="52">
        <f t="shared" si="185"/>
        <v>-2700.1889288989091</v>
      </c>
      <c r="AW161" s="52">
        <f t="shared" si="186"/>
        <v>-5516.9581229709511</v>
      </c>
      <c r="BC161">
        <v>2.7750735106709774</v>
      </c>
      <c r="BD161">
        <v>-16.42898073155564</v>
      </c>
      <c r="BE161">
        <v>4.7170533758760307</v>
      </c>
      <c r="BF161" s="6">
        <f t="shared" si="187"/>
        <v>2.8619958553577884</v>
      </c>
      <c r="BG161" s="6">
        <f t="shared" si="188"/>
        <v>8.6922344686811037E-2</v>
      </c>
      <c r="BH161" s="6">
        <f t="shared" si="189"/>
        <v>-2.0765976919603402</v>
      </c>
      <c r="BI161" s="6">
        <f t="shared" si="190"/>
        <v>2.0765976919603402</v>
      </c>
      <c r="BJ161">
        <v>-25.275354971624061</v>
      </c>
      <c r="BK161">
        <v>7.2570051936554316</v>
      </c>
      <c r="BV161" s="38"/>
      <c r="BW161" s="6">
        <f t="shared" si="124"/>
        <v>2.5481807079117171</v>
      </c>
      <c r="BX161" s="9">
        <f t="shared" ca="1" si="125"/>
        <v>106.70804745206199</v>
      </c>
      <c r="BY161" s="9">
        <f t="shared" ca="1" si="126"/>
        <v>-37.781114346979493</v>
      </c>
      <c r="BZ161">
        <f t="shared" ca="1" si="127"/>
        <v>113.1990282305067</v>
      </c>
      <c r="CA161" s="6">
        <f t="shared" ca="1" si="128"/>
        <v>0.94265868815386689</v>
      </c>
      <c r="CB161" s="6">
        <f t="shared" ca="1" si="129"/>
        <v>-0.33375829225358694</v>
      </c>
      <c r="CC161" s="6">
        <f t="shared" ca="1" si="130"/>
        <v>-0.34028768239110274</v>
      </c>
      <c r="CD161" s="6">
        <f t="shared" ca="1" si="131"/>
        <v>-64.473753551665936</v>
      </c>
      <c r="CE161" s="9">
        <f t="shared" ca="1" si="132"/>
        <v>-42.963650286485858</v>
      </c>
      <c r="CF161">
        <f t="shared" ca="1" si="133"/>
        <v>77.477352452057957</v>
      </c>
      <c r="CG161" s="6">
        <f t="shared" ca="1" si="134"/>
        <v>-0.83216258056264258</v>
      </c>
      <c r="CH161" s="6">
        <f t="shared" ca="1" si="135"/>
        <v>-0.55453172994096878</v>
      </c>
      <c r="CI161" s="6">
        <f t="shared" ca="1" si="136"/>
        <v>-2.5537925076559427</v>
      </c>
      <c r="CJ161" s="1">
        <f t="shared" ca="1" si="137"/>
        <v>-2.9439946361261953</v>
      </c>
      <c r="CK161" s="38"/>
    </row>
    <row r="162" spans="1:89" x14ac:dyDescent="0.25">
      <c r="A162" s="1" t="s">
        <v>48</v>
      </c>
      <c r="B162" s="1">
        <f t="shared" ref="B162:E162" si="194">B54</f>
        <v>12.442386841093445</v>
      </c>
      <c r="C162" s="1">
        <f t="shared" si="194"/>
        <v>5.0186661272278998</v>
      </c>
      <c r="D162" s="1">
        <f t="shared" si="194"/>
        <v>4.4681362252495012</v>
      </c>
      <c r="E162" s="1">
        <f t="shared" si="194"/>
        <v>5.6600140169979385</v>
      </c>
      <c r="F162" s="6">
        <f t="shared" si="154"/>
        <v>1</v>
      </c>
      <c r="G162" s="6">
        <f t="shared" si="155"/>
        <v>0</v>
      </c>
      <c r="H162" s="1">
        <f t="shared" si="156"/>
        <v>12.442386841093445</v>
      </c>
      <c r="I162" s="1">
        <f t="shared" si="157"/>
        <v>5.0186661272278998</v>
      </c>
      <c r="J162">
        <f t="shared" si="158"/>
        <v>4.4681362252495012</v>
      </c>
      <c r="K162">
        <f t="shared" si="159"/>
        <v>5.6600140169979385</v>
      </c>
      <c r="M162" s="9">
        <f t="shared" si="160"/>
        <v>16393.191320790142</v>
      </c>
      <c r="N162" s="9">
        <f t="shared" si="161"/>
        <v>87138.293233642748</v>
      </c>
      <c r="O162" s="9">
        <f t="shared" si="162"/>
        <v>71732.203678840131</v>
      </c>
      <c r="P162">
        <f t="shared" si="144"/>
        <v>-1012.7446228421401</v>
      </c>
      <c r="Q162">
        <f t="shared" si="163"/>
        <v>-422.64749205573611</v>
      </c>
      <c r="R162">
        <f t="shared" si="145"/>
        <v>334.80866804301371</v>
      </c>
      <c r="S162">
        <f t="shared" si="146"/>
        <v>545.30495397181289</v>
      </c>
      <c r="T162" s="54">
        <f t="shared" si="164"/>
        <v>-2481.0599491527005</v>
      </c>
      <c r="U162" s="55">
        <f t="shared" si="147"/>
        <v>-4883.2063800114738</v>
      </c>
      <c r="V162" s="55">
        <f t="shared" si="148"/>
        <v>1439.036595479776</v>
      </c>
      <c r="W162" s="55">
        <f t="shared" si="149"/>
        <v>811.46733961833229</v>
      </c>
      <c r="X162" s="55">
        <f t="shared" si="150"/>
        <v>2181.2198158872516</v>
      </c>
      <c r="Y162" s="54">
        <f t="shared" si="151"/>
        <v>-5617.5215223767882</v>
      </c>
      <c r="Z162" s="54">
        <f t="shared" si="152"/>
        <v>-8098.5814715294891</v>
      </c>
      <c r="AB162">
        <f t="shared" si="165"/>
        <v>-547.77475506326755</v>
      </c>
      <c r="AC162">
        <f t="shared" si="166"/>
        <v>509.15244734721347</v>
      </c>
      <c r="AD162">
        <f t="shared" si="167"/>
        <v>-251.99224582757699</v>
      </c>
      <c r="AE162">
        <f t="shared" si="168"/>
        <v>217.31071171017166</v>
      </c>
      <c r="AF162">
        <f t="shared" si="169"/>
        <v>46.06682572474957</v>
      </c>
      <c r="AG162">
        <f t="shared" si="170"/>
        <v>-27.237016108709845</v>
      </c>
      <c r="AH162" s="52">
        <f t="shared" si="171"/>
        <v>-4216.6439107316637</v>
      </c>
      <c r="AI162">
        <f t="shared" si="172"/>
        <v>-283.4893731153868</v>
      </c>
      <c r="AJ162">
        <f t="shared" si="173"/>
        <v>509.15244734721347</v>
      </c>
      <c r="AK162">
        <f t="shared" si="174"/>
        <v>-503.98449165515399</v>
      </c>
      <c r="AL162">
        <f t="shared" si="175"/>
        <v>108.65535585508583</v>
      </c>
      <c r="AM162">
        <f t="shared" si="176"/>
        <v>138.2004771742487</v>
      </c>
      <c r="AN162">
        <f t="shared" si="177"/>
        <v>-31.465584393992799</v>
      </c>
      <c r="AO162" s="52">
        <f t="shared" si="178"/>
        <v>-1749.3064894424415</v>
      </c>
      <c r="AP162">
        <f t="shared" si="179"/>
        <v>-100.89778809429764</v>
      </c>
      <c r="AQ162">
        <f t="shared" si="180"/>
        <v>509.15244734721347</v>
      </c>
      <c r="AR162">
        <f t="shared" si="181"/>
        <v>-755.9767374827311</v>
      </c>
      <c r="AS162">
        <f t="shared" si="182"/>
        <v>36.218451951695279</v>
      </c>
      <c r="AT162">
        <f t="shared" si="183"/>
        <v>276.40095434849741</v>
      </c>
      <c r="AU162">
        <f t="shared" si="184"/>
        <v>-35.102671929622602</v>
      </c>
      <c r="AV162" s="52">
        <f t="shared" si="185"/>
        <v>-700.79821363907422</v>
      </c>
      <c r="AW162" s="52">
        <f t="shared" si="186"/>
        <v>-6666.748613813179</v>
      </c>
      <c r="BC162">
        <v>2.7925268031909205</v>
      </c>
      <c r="BD162">
        <v>-16.639210963190695</v>
      </c>
      <c r="BE162">
        <v>4.4199289808585176</v>
      </c>
      <c r="BF162" s="6">
        <f t="shared" si="187"/>
        <v>2.8819552452122172</v>
      </c>
      <c r="BG162" s="6">
        <f t="shared" si="188"/>
        <v>8.9428442021296739E-2</v>
      </c>
      <c r="BH162" s="6">
        <f t="shared" si="189"/>
        <v>-2.096557081814769</v>
      </c>
      <c r="BI162" s="6">
        <f t="shared" si="190"/>
        <v>2.096557081814769</v>
      </c>
      <c r="BJ162">
        <v>-25.598786097216454</v>
      </c>
      <c r="BK162">
        <v>6.7998907397823345</v>
      </c>
      <c r="BV162" s="38"/>
      <c r="BW162" s="6">
        <f t="shared" si="124"/>
        <v>2.5656340004316602</v>
      </c>
      <c r="BX162" s="9">
        <f t="shared" ca="1" si="125"/>
        <v>106.82921498365401</v>
      </c>
      <c r="BY162" s="9">
        <f t="shared" ca="1" si="126"/>
        <v>-37.653700514733998</v>
      </c>
      <c r="BZ162">
        <f t="shared" ca="1" si="127"/>
        <v>113.27083621337421</v>
      </c>
      <c r="CA162" s="6">
        <f t="shared" ca="1" si="128"/>
        <v>0.94313080537707183</v>
      </c>
      <c r="CB162" s="6">
        <f t="shared" ca="1" si="129"/>
        <v>-0.3324218463771535</v>
      </c>
      <c r="CC162" s="6">
        <f t="shared" ca="1" si="130"/>
        <v>-0.33887029656169104</v>
      </c>
      <c r="CD162" s="6">
        <f t="shared" ca="1" si="131"/>
        <v>-64.594921083257958</v>
      </c>
      <c r="CE162" s="9">
        <f t="shared" ca="1" si="132"/>
        <v>-43.091064118731353</v>
      </c>
      <c r="CF162">
        <f t="shared" ca="1" si="133"/>
        <v>77.648848263428476</v>
      </c>
      <c r="CG162" s="6">
        <f t="shared" ca="1" si="134"/>
        <v>-0.83188511520629038</v>
      </c>
      <c r="CH162" s="6">
        <f t="shared" ca="1" si="135"/>
        <v>-0.55494788502905124</v>
      </c>
      <c r="CI162" s="6">
        <f t="shared" ca="1" si="136"/>
        <v>-2.5532923355990182</v>
      </c>
      <c r="CJ162" s="1">
        <f t="shared" ca="1" si="137"/>
        <v>-2.9444948081831197</v>
      </c>
      <c r="CK162" s="38"/>
    </row>
    <row r="163" spans="1:89" x14ac:dyDescent="0.25">
      <c r="A163" s="1" t="s">
        <v>93</v>
      </c>
      <c r="B163" s="1">
        <f t="shared" ref="B163:E163" si="195">B55</f>
        <v>4.4681362252495012</v>
      </c>
      <c r="C163" s="1">
        <f t="shared" si="195"/>
        <v>5.6600140169979385</v>
      </c>
      <c r="D163" s="1">
        <f t="shared" si="195"/>
        <v>4.4681362252495012</v>
      </c>
      <c r="E163" s="1">
        <f t="shared" si="195"/>
        <v>5.6600140169979385</v>
      </c>
      <c r="F163" s="6">
        <f t="shared" si="154"/>
        <v>0</v>
      </c>
      <c r="G163" s="6">
        <f t="shared" si="155"/>
        <v>0</v>
      </c>
      <c r="H163" s="1">
        <f t="shared" si="156"/>
        <v>0</v>
      </c>
      <c r="I163" s="1">
        <f t="shared" si="157"/>
        <v>0</v>
      </c>
      <c r="J163">
        <f t="shared" si="158"/>
        <v>0</v>
      </c>
      <c r="K163">
        <f t="shared" si="159"/>
        <v>0</v>
      </c>
      <c r="M163" s="9">
        <f t="shared" si="160"/>
        <v>0</v>
      </c>
      <c r="N163" s="9">
        <f t="shared" si="161"/>
        <v>0</v>
      </c>
      <c r="O163" s="9">
        <f t="shared" si="162"/>
        <v>0</v>
      </c>
      <c r="P163">
        <f t="shared" si="144"/>
        <v>0</v>
      </c>
      <c r="Q163">
        <f t="shared" si="163"/>
        <v>0</v>
      </c>
      <c r="R163">
        <f t="shared" si="145"/>
        <v>0</v>
      </c>
      <c r="S163">
        <f t="shared" si="146"/>
        <v>0</v>
      </c>
      <c r="T163" s="54">
        <f t="shared" si="164"/>
        <v>0</v>
      </c>
      <c r="U163" s="55">
        <f t="shared" si="147"/>
        <v>0</v>
      </c>
      <c r="V163" s="55">
        <f t="shared" si="148"/>
        <v>0</v>
      </c>
      <c r="W163" s="55">
        <f t="shared" si="149"/>
        <v>0</v>
      </c>
      <c r="X163" s="55">
        <f t="shared" si="150"/>
        <v>0</v>
      </c>
      <c r="Y163" s="54">
        <f t="shared" si="151"/>
        <v>0</v>
      </c>
      <c r="Z163" s="54">
        <f t="shared" si="152"/>
        <v>0</v>
      </c>
      <c r="AB163">
        <f t="shared" si="165"/>
        <v>0</v>
      </c>
      <c r="AC163">
        <f t="shared" si="166"/>
        <v>509.15244734721347</v>
      </c>
      <c r="AD163">
        <f t="shared" si="167"/>
        <v>0</v>
      </c>
      <c r="AE163">
        <f t="shared" si="168"/>
        <v>0</v>
      </c>
      <c r="AF163">
        <f t="shared" si="169"/>
        <v>0</v>
      </c>
      <c r="AG163">
        <f t="shared" si="170"/>
        <v>509.15244734721347</v>
      </c>
      <c r="AH163" s="52">
        <f t="shared" si="171"/>
        <v>0</v>
      </c>
      <c r="AI163">
        <f t="shared" si="172"/>
        <v>0</v>
      </c>
      <c r="AJ163">
        <f t="shared" si="173"/>
        <v>509.15244734721347</v>
      </c>
      <c r="AK163">
        <f t="shared" si="174"/>
        <v>0</v>
      </c>
      <c r="AL163">
        <f t="shared" si="175"/>
        <v>0</v>
      </c>
      <c r="AM163">
        <f t="shared" si="176"/>
        <v>0</v>
      </c>
      <c r="AN163">
        <f t="shared" si="177"/>
        <v>509.15244734721347</v>
      </c>
      <c r="AO163" s="52">
        <f t="shared" si="178"/>
        <v>0</v>
      </c>
      <c r="AP163">
        <f t="shared" si="179"/>
        <v>0</v>
      </c>
      <c r="AQ163">
        <f t="shared" si="180"/>
        <v>509.15244734721347</v>
      </c>
      <c r="AR163">
        <f t="shared" si="181"/>
        <v>0</v>
      </c>
      <c r="AS163">
        <f t="shared" si="182"/>
        <v>0</v>
      </c>
      <c r="AT163">
        <f t="shared" si="183"/>
        <v>0</v>
      </c>
      <c r="AU163">
        <f t="shared" si="184"/>
        <v>509.15244734721347</v>
      </c>
      <c r="AV163" s="52">
        <f t="shared" si="185"/>
        <v>0</v>
      </c>
      <c r="AW163" s="52">
        <f t="shared" si="186"/>
        <v>0</v>
      </c>
      <c r="BC163">
        <v>2.8099800957108636</v>
      </c>
      <c r="BD163">
        <v>-16.864387440802325</v>
      </c>
      <c r="BE163">
        <v>4.0880916208553533</v>
      </c>
      <c r="BF163" s="6">
        <f t="shared" si="187"/>
        <v>2.903770432231473</v>
      </c>
      <c r="BG163" s="6">
        <f t="shared" si="188"/>
        <v>9.3790336520609419E-2</v>
      </c>
      <c r="BH163" s="6">
        <f t="shared" si="189"/>
        <v>-2.1183722688340243</v>
      </c>
      <c r="BI163" s="6">
        <f t="shared" si="190"/>
        <v>2.1183722688340243</v>
      </c>
      <c r="BJ163">
        <v>-25.945211447388193</v>
      </c>
      <c r="BK163">
        <v>6.2893717243928506</v>
      </c>
      <c r="BV163" s="38"/>
      <c r="BW163" s="6">
        <f t="shared" si="124"/>
        <v>2.5830872929516033</v>
      </c>
      <c r="BX163" s="9">
        <f t="shared" ca="1" si="125"/>
        <v>106.95362025231447</v>
      </c>
      <c r="BY163" s="9">
        <f t="shared" ca="1" si="126"/>
        <v>-37.521562030631827</v>
      </c>
      <c r="BZ163">
        <f t="shared" ca="1" si="127"/>
        <v>113.34436246366575</v>
      </c>
      <c r="CA163" s="6">
        <f t="shared" ca="1" si="128"/>
        <v>0.94361658513541047</v>
      </c>
      <c r="CB163" s="6">
        <f t="shared" ca="1" si="129"/>
        <v>-0.3310403906736864</v>
      </c>
      <c r="CC163" s="6">
        <f t="shared" ca="1" si="130"/>
        <v>-0.33740591880391874</v>
      </c>
      <c r="CD163" s="6">
        <f t="shared" ca="1" si="131"/>
        <v>-64.719326351918411</v>
      </c>
      <c r="CE163" s="9">
        <f t="shared" ca="1" si="132"/>
        <v>-43.223202602833524</v>
      </c>
      <c r="CF163">
        <f t="shared" ca="1" si="133"/>
        <v>77.825679866556357</v>
      </c>
      <c r="CG163" s="6">
        <f t="shared" ca="1" si="134"/>
        <v>-0.83159345941968343</v>
      </c>
      <c r="CH163" s="6">
        <f t="shared" ca="1" si="135"/>
        <v>-0.55538483797309701</v>
      </c>
      <c r="CI163" s="6">
        <f t="shared" ca="1" si="136"/>
        <v>-2.5527669871627219</v>
      </c>
      <c r="CJ163" s="1">
        <f t="shared" ca="1" si="137"/>
        <v>-2.9450201566194161</v>
      </c>
      <c r="CK163" s="38"/>
    </row>
    <row r="164" spans="1:89" ht="15.75" thickBot="1" x14ac:dyDescent="0.3">
      <c r="A164" s="1" t="s">
        <v>94</v>
      </c>
      <c r="B164" s="1">
        <f t="shared" ref="B164:E164" si="196">B56</f>
        <v>4.4681362252495012</v>
      </c>
      <c r="C164" s="1">
        <f t="shared" si="196"/>
        <v>5.6600140169979385</v>
      </c>
      <c r="D164" s="1">
        <f t="shared" si="196"/>
        <v>-11.480365006438387</v>
      </c>
      <c r="E164" s="1">
        <f t="shared" si="196"/>
        <v>6.9427097965380158</v>
      </c>
      <c r="F164" s="6">
        <f t="shared" si="154"/>
        <v>0.41491224148230782</v>
      </c>
      <c r="G164" s="6">
        <f t="shared" si="155"/>
        <v>0</v>
      </c>
      <c r="H164" s="1">
        <f t="shared" si="156"/>
        <v>4.4681362252495012</v>
      </c>
      <c r="I164" s="1">
        <f t="shared" si="157"/>
        <v>5.6600140169979385</v>
      </c>
      <c r="J164">
        <f t="shared" si="158"/>
        <v>-2.1490921690734677</v>
      </c>
      <c r="K164">
        <f t="shared" si="159"/>
        <v>6.1922201980268081</v>
      </c>
      <c r="M164" s="53">
        <f t="shared" si="160"/>
        <v>2418.0380984688541</v>
      </c>
      <c r="N164" s="53">
        <f t="shared" si="161"/>
        <v>13702.602570122473</v>
      </c>
      <c r="O164" s="53">
        <f t="shared" si="162"/>
        <v>5299.6523817035732</v>
      </c>
      <c r="P164">
        <f t="shared" si="144"/>
        <v>-1141.0237148471012</v>
      </c>
      <c r="Q164">
        <f t="shared" si="163"/>
        <v>-551.05125481721734</v>
      </c>
      <c r="R164">
        <f t="shared" si="145"/>
        <v>159.95873160625146</v>
      </c>
      <c r="S164">
        <f t="shared" si="146"/>
        <v>782.21663796205132</v>
      </c>
      <c r="T164" s="54">
        <f t="shared" si="164"/>
        <v>1611.6033581576728</v>
      </c>
      <c r="U164" s="55">
        <f t="shared" si="147"/>
        <v>-5990.3745029472802</v>
      </c>
      <c r="V164" s="55">
        <f t="shared" si="148"/>
        <v>1394.5238493410209</v>
      </c>
      <c r="W164" s="55">
        <f t="shared" si="149"/>
        <v>762.82485525536356</v>
      </c>
      <c r="X164" s="55">
        <f t="shared" si="150"/>
        <v>3128.8665518482053</v>
      </c>
      <c r="Y164" s="54">
        <f t="shared" si="151"/>
        <v>-3146.2794376430652</v>
      </c>
      <c r="Z164" s="54">
        <f t="shared" si="152"/>
        <v>-1534.6760794853924</v>
      </c>
      <c r="AB164">
        <f t="shared" si="165"/>
        <v>-604.78138998618499</v>
      </c>
      <c r="AC164">
        <f t="shared" si="166"/>
        <v>509.15244734721347</v>
      </c>
      <c r="AD164">
        <f t="shared" si="167"/>
        <v>-275.68685690062796</v>
      </c>
      <c r="AE164">
        <f t="shared" si="168"/>
        <v>276.40095434849741</v>
      </c>
      <c r="AF164">
        <f t="shared" si="169"/>
        <v>55.137371380125593</v>
      </c>
      <c r="AG164">
        <f t="shared" si="170"/>
        <v>-39.777473810976481</v>
      </c>
      <c r="AH164" s="52">
        <f t="shared" si="171"/>
        <v>-794.12708655614529</v>
      </c>
      <c r="AI164">
        <f t="shared" si="172"/>
        <v>-302.3906949930925</v>
      </c>
      <c r="AJ164">
        <f t="shared" si="173"/>
        <v>509.15244734721347</v>
      </c>
      <c r="AK164">
        <f t="shared" si="174"/>
        <v>-551.37371380125592</v>
      </c>
      <c r="AL164">
        <f t="shared" si="175"/>
        <v>138.2004771742487</v>
      </c>
      <c r="AM164">
        <f t="shared" si="176"/>
        <v>165.41211414037679</v>
      </c>
      <c r="AN164">
        <f t="shared" si="177"/>
        <v>-40.999370132509455</v>
      </c>
      <c r="AO164" s="52">
        <f t="shared" si="178"/>
        <v>393.69385119089787</v>
      </c>
      <c r="AP164">
        <f t="shared" si="179"/>
        <v>-100.79689833103083</v>
      </c>
      <c r="AQ164">
        <f t="shared" si="180"/>
        <v>509.15244734721347</v>
      </c>
      <c r="AR164">
        <f t="shared" si="181"/>
        <v>-827.06057070188388</v>
      </c>
      <c r="AS164">
        <f t="shared" si="182"/>
        <v>46.06682572474957</v>
      </c>
      <c r="AT164">
        <f t="shared" si="183"/>
        <v>330.82422828075357</v>
      </c>
      <c r="AU164">
        <f t="shared" si="184"/>
        <v>-41.813967680198118</v>
      </c>
      <c r="AV164" s="52">
        <f t="shared" si="185"/>
        <v>-193.12187200699881</v>
      </c>
      <c r="AW164" s="52">
        <f t="shared" si="186"/>
        <v>-593.5551073722462</v>
      </c>
      <c r="BC164">
        <v>2.8274333882308067</v>
      </c>
      <c r="BD164">
        <v>-17.106739603084584</v>
      </c>
      <c r="BE164">
        <v>3.7143058450345756</v>
      </c>
      <c r="BF164" s="6">
        <f t="shared" si="187"/>
        <v>2.9277859914716582</v>
      </c>
      <c r="BG164" s="6">
        <f t="shared" si="188"/>
        <v>0.10035260324085149</v>
      </c>
      <c r="BH164" s="6">
        <f t="shared" si="189"/>
        <v>-2.1423878280742099</v>
      </c>
      <c r="BI164" s="6">
        <f t="shared" si="190"/>
        <v>2.1423878280742099</v>
      </c>
      <c r="BJ164">
        <v>-26.318060927822437</v>
      </c>
      <c r="BK164">
        <v>5.714316684668578</v>
      </c>
      <c r="BV164" s="38"/>
      <c r="BW164" s="6">
        <f t="shared" si="124"/>
        <v>2.6005405854715464</v>
      </c>
      <c r="BX164" s="9">
        <f t="shared" ca="1" si="125"/>
        <v>107.08151215610962</v>
      </c>
      <c r="BY164" s="9">
        <f t="shared" ca="1" si="126"/>
        <v>-37.384131028278048</v>
      </c>
      <c r="BZ164">
        <f t="shared" ca="1" si="127"/>
        <v>113.41967862050446</v>
      </c>
      <c r="CA164" s="6">
        <f t="shared" ca="1" si="128"/>
        <v>0.94411757693652121</v>
      </c>
      <c r="CB164" s="6">
        <f t="shared" ca="1" si="129"/>
        <v>-0.32960886049909505</v>
      </c>
      <c r="CC164" s="6">
        <f t="shared" ca="1" si="130"/>
        <v>-0.33588925408603171</v>
      </c>
      <c r="CD164" s="6">
        <f t="shared" ca="1" si="131"/>
        <v>-64.847218255713571</v>
      </c>
      <c r="CE164" s="9">
        <f t="shared" ca="1" si="132"/>
        <v>-43.360633605187303</v>
      </c>
      <c r="CF164">
        <f t="shared" ca="1" si="133"/>
        <v>78.008373025896717</v>
      </c>
      <c r="CG164" s="6">
        <f t="shared" ca="1" si="134"/>
        <v>-0.83128535746010257</v>
      </c>
      <c r="CH164" s="6">
        <f t="shared" ca="1" si="135"/>
        <v>-0.55584589093779357</v>
      </c>
      <c r="CI164" s="6">
        <f t="shared" ca="1" si="136"/>
        <v>-2.5522124633475141</v>
      </c>
      <c r="CJ164" s="1">
        <f t="shared" ca="1" si="137"/>
        <v>-2.9455746804346239</v>
      </c>
      <c r="CK164" s="38"/>
    </row>
    <row r="165" spans="1:89" ht="15.75" thickTop="1" x14ac:dyDescent="0.25">
      <c r="M165" s="9">
        <f>SUM(M157:M164)</f>
        <v>83135.026726760407</v>
      </c>
      <c r="N165" s="9">
        <f t="shared" ref="N165:O165" si="197">SUM(N157:N164)</f>
        <v>451987.44327190111</v>
      </c>
      <c r="O165" s="9">
        <f t="shared" si="197"/>
        <v>-199208.56395599138</v>
      </c>
      <c r="AA165" s="52"/>
      <c r="AC165" s="52"/>
      <c r="BC165">
        <v>2.8448866807507498</v>
      </c>
      <c r="BD165">
        <v>-17.368959001855451</v>
      </c>
      <c r="BE165">
        <v>3.2893515040393022</v>
      </c>
      <c r="BF165" s="6">
        <f t="shared" si="187"/>
        <v>2.9544281697525658</v>
      </c>
      <c r="BG165" s="6">
        <f t="shared" si="188"/>
        <v>0.10954148900181604</v>
      </c>
      <c r="BH165" s="6">
        <f t="shared" si="189"/>
        <v>-2.1690300063551176</v>
      </c>
      <c r="BI165" s="6">
        <f t="shared" si="190"/>
        <v>2.1690300063551176</v>
      </c>
      <c r="BJ165">
        <v>-26.721475387469923</v>
      </c>
      <c r="BK165">
        <v>5.0605407754450802</v>
      </c>
      <c r="BV165" s="38"/>
      <c r="BW165" s="6">
        <f t="shared" si="124"/>
        <v>2.6179938779914895</v>
      </c>
      <c r="BX165" s="9">
        <f t="shared" ca="1" si="125"/>
        <v>107.21088159311758</v>
      </c>
      <c r="BY165" s="9">
        <f t="shared" ca="1" si="126"/>
        <v>-37.242919084126996</v>
      </c>
      <c r="BZ165">
        <f t="shared" ca="1" si="127"/>
        <v>113.49541027671695</v>
      </c>
      <c r="CA165" s="6">
        <f t="shared" ca="1" si="128"/>
        <v>0.94462746406857456</v>
      </c>
      <c r="CB165" s="6">
        <f t="shared" ca="1" si="129"/>
        <v>-0.32814471522085159</v>
      </c>
      <c r="CC165" s="6">
        <f t="shared" ca="1" si="130"/>
        <v>-0.33433886485596076</v>
      </c>
      <c r="CD165" s="6">
        <f t="shared" ca="1" si="131"/>
        <v>-64.976587692721523</v>
      </c>
      <c r="CE165" s="9">
        <f t="shared" ca="1" si="132"/>
        <v>-43.501845549338356</v>
      </c>
      <c r="CF165">
        <f t="shared" ca="1" si="133"/>
        <v>78.194421248503517</v>
      </c>
      <c r="CG165" s="6">
        <f t="shared" ca="1" si="134"/>
        <v>-0.83096193635380411</v>
      </c>
      <c r="CH165" s="6">
        <f t="shared" ca="1" si="135"/>
        <v>-0.5563292733005667</v>
      </c>
      <c r="CI165" s="6">
        <f t="shared" ca="1" si="136"/>
        <v>-2.5516308623415189</v>
      </c>
      <c r="CJ165" s="1">
        <f t="shared" ca="1" si="137"/>
        <v>-2.946156281440619</v>
      </c>
      <c r="CK165" s="38"/>
    </row>
    <row r="166" spans="1:89" x14ac:dyDescent="0.25">
      <c r="A166" t="s">
        <v>188</v>
      </c>
      <c r="M166" s="9"/>
      <c r="BC166">
        <v>2.8623399732706929</v>
      </c>
      <c r="BD166">
        <v>-17.654330197125326</v>
      </c>
      <c r="BE166">
        <v>2.8013235812947701</v>
      </c>
      <c r="BF166" s="6">
        <f t="shared" si="187"/>
        <v>2.9842283281846504</v>
      </c>
      <c r="BG166" s="6">
        <f t="shared" si="188"/>
        <v>0.12188835491395755</v>
      </c>
      <c r="BH166" s="6">
        <f t="shared" si="189"/>
        <v>-2.1988301647872017</v>
      </c>
      <c r="BI166" s="6">
        <f t="shared" si="190"/>
        <v>2.1988301647872017</v>
      </c>
      <c r="BJ166">
        <v>-27.160507995577422</v>
      </c>
      <c r="BK166">
        <v>4.3097285866073385</v>
      </c>
      <c r="BV166" s="38"/>
      <c r="BW166" s="6">
        <f t="shared" si="124"/>
        <v>2.6354471705114326</v>
      </c>
      <c r="BX166" s="9">
        <f t="shared" ca="1" si="125"/>
        <v>107.34486545138824</v>
      </c>
      <c r="BY166" s="9">
        <f t="shared" ca="1" si="126"/>
        <v>-37.094406742841116</v>
      </c>
      <c r="BZ166">
        <f t="shared" ca="1" si="127"/>
        <v>113.57339103143826</v>
      </c>
      <c r="CA166" s="6">
        <f t="shared" ca="1" si="128"/>
        <v>0.94515858403553432</v>
      </c>
      <c r="CB166" s="6">
        <f t="shared" ca="1" si="129"/>
        <v>-0.32661177416612497</v>
      </c>
      <c r="CC166" s="6">
        <f t="shared" ca="1" si="130"/>
        <v>-0.33271652171289462</v>
      </c>
      <c r="CD166" s="6">
        <f t="shared" ca="1" si="131"/>
        <v>-65.110571550992191</v>
      </c>
      <c r="CE166" s="9">
        <f t="shared" ca="1" si="132"/>
        <v>-43.650357890624235</v>
      </c>
      <c r="CF166">
        <f t="shared" ca="1" si="133"/>
        <v>78.388393730682196</v>
      </c>
      <c r="CG166" s="6">
        <f t="shared" ca="1" si="134"/>
        <v>-0.83061494759915078</v>
      </c>
      <c r="CH166" s="6">
        <f t="shared" ca="1" si="135"/>
        <v>-0.55684720419955414</v>
      </c>
      <c r="CI166" s="6">
        <f t="shared" ca="1" si="136"/>
        <v>-2.5510074414366968</v>
      </c>
      <c r="CJ166" s="1">
        <f t="shared" ca="1" si="137"/>
        <v>-2.9467797023454412</v>
      </c>
      <c r="CK166" s="38"/>
    </row>
    <row r="167" spans="1:89" x14ac:dyDescent="0.25">
      <c r="B167" t="str">
        <f t="shared" ref="B167:E167" si="198">B156</f>
        <v>xi (in)</v>
      </c>
      <c r="C167" t="str">
        <f t="shared" si="198"/>
        <v>yi (in)</v>
      </c>
      <c r="D167" t="str">
        <f t="shared" si="198"/>
        <v>xj (in)</v>
      </c>
      <c r="E167" t="str">
        <f t="shared" si="198"/>
        <v>yj (in)</v>
      </c>
      <c r="F167" s="1" t="s">
        <v>189</v>
      </c>
      <c r="G167" s="1" t="s">
        <v>190</v>
      </c>
      <c r="H167" s="1" t="s">
        <v>184</v>
      </c>
      <c r="I167" s="1" t="s">
        <v>185</v>
      </c>
      <c r="J167" s="1" t="s">
        <v>186</v>
      </c>
      <c r="K167" s="1" t="s">
        <v>187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-17.966030427916294</v>
      </c>
      <c r="BE167">
        <v>2.2373236555492122</v>
      </c>
      <c r="BF167" s="6">
        <f t="shared" si="187"/>
        <v>3.0176996938918883</v>
      </c>
      <c r="BG167" s="6">
        <f t="shared" si="188"/>
        <v>0.13790642810125231</v>
      </c>
      <c r="BH167" s="6">
        <f t="shared" si="189"/>
        <v>-2.23230153049444</v>
      </c>
      <c r="BI167" s="6">
        <f t="shared" si="190"/>
        <v>2.23230153049444</v>
      </c>
      <c r="BJ167">
        <v>-27.640046812178912</v>
      </c>
      <c r="BK167">
        <v>3.4420363931526339</v>
      </c>
      <c r="BV167" s="38"/>
      <c r="BW167" s="6">
        <f t="shared" si="124"/>
        <v>2.6529004630313757</v>
      </c>
      <c r="BX167" s="9">
        <f t="shared" ca="1" si="125"/>
        <v>107.48399314363242</v>
      </c>
      <c r="BY167" s="9">
        <f t="shared" ca="1" si="126"/>
        <v>-36.937506241283579</v>
      </c>
      <c r="BZ167">
        <f t="shared" ca="1" si="127"/>
        <v>113.65380833665577</v>
      </c>
      <c r="CA167" s="6">
        <f t="shared" ca="1" si="128"/>
        <v>0.94571395993394569</v>
      </c>
      <c r="CB167" s="6">
        <f t="shared" ca="1" si="129"/>
        <v>-0.32500016305542878</v>
      </c>
      <c r="CC167" s="6">
        <f t="shared" ca="1" si="130"/>
        <v>-0.33101190050445478</v>
      </c>
      <c r="CD167" s="6">
        <f t="shared" ca="1" si="131"/>
        <v>-65.249699243236364</v>
      </c>
      <c r="CE167" s="9">
        <f t="shared" ca="1" si="132"/>
        <v>-43.807258392181772</v>
      </c>
      <c r="CF167">
        <f t="shared" ca="1" si="133"/>
        <v>78.591342647725398</v>
      </c>
      <c r="CG167" s="6">
        <f t="shared" ca="1" si="134"/>
        <v>-0.83024029167829505</v>
      </c>
      <c r="CH167" s="6">
        <f t="shared" ca="1" si="135"/>
        <v>-0.55740564948154181</v>
      </c>
      <c r="CI167" s="6">
        <f t="shared" ca="1" si="136"/>
        <v>-2.5503349622853104</v>
      </c>
      <c r="CJ167" s="1">
        <f t="shared" ca="1" si="137"/>
        <v>-2.9474521814968275</v>
      </c>
      <c r="CK167" s="38"/>
    </row>
    <row r="168" spans="1:89" x14ac:dyDescent="0.25">
      <c r="A168" s="1" t="str">
        <f t="shared" ref="A168:E175" si="199">A157</f>
        <v>Segment 1</v>
      </c>
      <c r="B168" s="1">
        <f t="shared" si="199"/>
        <v>-11.480365006438387</v>
      </c>
      <c r="C168" s="1">
        <f t="shared" si="199"/>
        <v>6.9427097965380158</v>
      </c>
      <c r="D168" s="1">
        <f t="shared" si="199"/>
        <v>-12.442386841093445</v>
      </c>
      <c r="E168" s="1">
        <f t="shared" si="199"/>
        <v>-5.0186661272278998</v>
      </c>
      <c r="F168" s="6">
        <f>IF(E168-C168=0,0,MIN(MAX(($B$148-C168)/(E168-C168),0),1))</f>
        <v>0</v>
      </c>
      <c r="G168" s="6">
        <f>IF(E168-C168=0,0,MIN(MAX(($B$152-C168)/(E168-C168),0),1))</f>
        <v>6.2742748266950532E-2</v>
      </c>
      <c r="H168" s="1">
        <f>IF(AND(F168=0,G168=0),0,IF(C168&gt;E168,B168+(F168*(D168-B168)),B168+(G168*(D168-B168))))</f>
        <v>-11.480365006438387</v>
      </c>
      <c r="I168" s="1">
        <f>IF(AND(F168=0,G168=0),0,IF(C168&gt;E168,C168+(F168*(E168-C168)),C168+(G168*(E168-C168))))</f>
        <v>6.9427097965380158</v>
      </c>
      <c r="J168">
        <f>IF(AND(F168=0,G168=0),0,IF(C168&gt;E168,B168+(G168*(D168-B168)),B168+(F168*(D168-B168))))</f>
        <v>-11.540724900237459</v>
      </c>
      <c r="K168">
        <f>IF(AND(F168=0,G168=0),0,IF(C168&gt;E168,C168+(G168*(E168-C168)),C168+(F168*(E168-C168))))</f>
        <v>6.1922201980268081</v>
      </c>
      <c r="L168" s="6">
        <f>0.85*$B$143</f>
        <v>4250</v>
      </c>
      <c r="M168" s="6">
        <f>L168</f>
        <v>4250</v>
      </c>
      <c r="N168" s="10">
        <f t="shared" ref="N168" si="200">(1/6)*(K168-I168)*((L168*((2*H168)+J168))+(M168*(H168+(2*J168))))</f>
        <v>36713.813107872091</v>
      </c>
      <c r="O168" s="10">
        <f t="shared" ref="O168" si="201">((1/12)*(K168-I168)*(L168*H168*((3*I168)+K168)+L168*J168*(I168+K168)+M168*H168*(I168+K168)+M168*J168*(I168+(3*K168))))</f>
        <v>241104.64197544041</v>
      </c>
      <c r="P168" s="10">
        <f>((1/24)*(K168-I168)*(H168*H168*((3*L168)+M168)+2*H168*J168*(L168+M168)+J168*J168*(L168+(3*M168))))</f>
        <v>-211298.48228718873</v>
      </c>
      <c r="BC168">
        <v>2.8972465583105791</v>
      </c>
      <c r="BD168">
        <v>-18.30277026342905</v>
      </c>
      <c r="BE168">
        <v>1.5969615132286923</v>
      </c>
      <c r="BF168" s="6">
        <f t="shared" si="187"/>
        <v>3.0545606168583195</v>
      </c>
      <c r="BG168" s="6">
        <f t="shared" si="188"/>
        <v>0.15731405854774039</v>
      </c>
      <c r="BH168" s="6">
        <f t="shared" si="189"/>
        <v>-2.2691624534608712</v>
      </c>
      <c r="BI168" s="6">
        <f t="shared" si="190"/>
        <v>2.2691624534608712</v>
      </c>
      <c r="BJ168">
        <v>-28.158108097583153</v>
      </c>
      <c r="BK168">
        <v>2.4568638665056803</v>
      </c>
      <c r="BV168" s="38"/>
      <c r="BW168" s="6">
        <f t="shared" si="124"/>
        <v>2.6703537555513188</v>
      </c>
      <c r="BX168" s="9">
        <f t="shared" ca="1" si="125"/>
        <v>107.62885732294301</v>
      </c>
      <c r="BY168" s="9">
        <f t="shared" ca="1" si="126"/>
        <v>-36.770947977610994</v>
      </c>
      <c r="BZ168">
        <f t="shared" ca="1" si="127"/>
        <v>113.73686097222217</v>
      </c>
      <c r="CA168" s="6">
        <f t="shared" ca="1" si="128"/>
        <v>0.9462970615061117</v>
      </c>
      <c r="CB168" s="6">
        <f t="shared" ca="1" si="129"/>
        <v>-0.32329842465576331</v>
      </c>
      <c r="CC168" s="6">
        <f t="shared" ca="1" si="130"/>
        <v>-0.3292130336675384</v>
      </c>
      <c r="CD168" s="6">
        <f t="shared" ca="1" si="131"/>
        <v>-65.394563422546952</v>
      </c>
      <c r="CE168" s="9">
        <f t="shared" ca="1" si="132"/>
        <v>-43.973816655854357</v>
      </c>
      <c r="CF168">
        <f t="shared" ca="1" si="133"/>
        <v>78.804476246646104</v>
      </c>
      <c r="CG168" s="6">
        <f t="shared" ca="1" si="134"/>
        <v>-0.82983310767616614</v>
      </c>
      <c r="CH168" s="6">
        <f t="shared" ca="1" si="135"/>
        <v>-0.55801166063489793</v>
      </c>
      <c r="CI168" s="6">
        <f t="shared" ca="1" si="136"/>
        <v>-2.5496048606805592</v>
      </c>
      <c r="CJ168" s="1">
        <f t="shared" ca="1" si="137"/>
        <v>-2.9481822831015787</v>
      </c>
      <c r="CK168" s="38"/>
    </row>
    <row r="169" spans="1:89" x14ac:dyDescent="0.25">
      <c r="A169" s="1" t="str">
        <f t="shared" si="199"/>
        <v>Segment 2</v>
      </c>
      <c r="B169" s="1">
        <f t="shared" si="199"/>
        <v>-12.442386841093445</v>
      </c>
      <c r="C169" s="1">
        <f t="shared" si="199"/>
        <v>-5.0186661272278998</v>
      </c>
      <c r="D169" s="1">
        <f t="shared" si="199"/>
        <v>3.5061143905944427</v>
      </c>
      <c r="E169" s="1">
        <f t="shared" si="199"/>
        <v>-6.3013619067679771</v>
      </c>
      <c r="F169" s="6">
        <f t="shared" ref="F169:F175" si="202">IF(E169-C169=0,0,MIN(MAX(($B$148-C169)/(E169-C169),0),1))</f>
        <v>0</v>
      </c>
      <c r="G169" s="6">
        <f t="shared" ref="G169:G175" si="203">IF(E169-C169=0,0,MIN(MAX(($B$152-C169)/(E169-C169),0),1))</f>
        <v>0</v>
      </c>
      <c r="H169" s="1">
        <f t="shared" ref="H169:H175" si="204">IF(AND(F169=0,G169=0),0,IF(C169&gt;E169,B169+(F169*(D169-B169)),B169+(G169*(D169-B169))))</f>
        <v>0</v>
      </c>
      <c r="I169" s="1">
        <f t="shared" ref="I169:I175" si="205">IF(AND(F169=0,G169=0),0,IF(C169&gt;E169,C169+(F169*(E169-C169)),C169+(G169*(E169-C169))))</f>
        <v>0</v>
      </c>
      <c r="J169">
        <f t="shared" ref="J169:J175" si="206">IF(AND(F169=0,G169=0),0,IF(C169&gt;E169,B169+(G169*(D169-B169)),B169+(F169*(D169-B169))))</f>
        <v>0</v>
      </c>
      <c r="K169">
        <f t="shared" ref="K169:K175" si="207">IF(AND(F169=0,G169=0),0,IF(C169&gt;E169,C169+(G169*(E169-C169)),C169+(F169*(E169-C169))))</f>
        <v>0</v>
      </c>
      <c r="L169" s="6">
        <f t="shared" ref="L169:L175" si="208">0.85*$B$143</f>
        <v>4250</v>
      </c>
      <c r="M169" s="6">
        <f t="shared" ref="M169:M175" si="209">L169</f>
        <v>4250</v>
      </c>
      <c r="N169" s="10">
        <f t="shared" ref="N169:N175" si="210">(1/6)*(K169-I169)*((L169*((2*H169)+J169))+(M169*(H169+(2*J169))))</f>
        <v>0</v>
      </c>
      <c r="O169" s="10">
        <f t="shared" ref="O169:O175" si="211">((1/12)*(K169-I169)*(L169*H169*((3*I169)+K169)+L169*J169*(I169+K169)+M169*H169*(I169+K169)+M169*J169*(I169+(3*K169))))</f>
        <v>0</v>
      </c>
      <c r="P169" s="10">
        <f t="shared" ref="P169:P175" si="212">((1/24)*(K169-I169)*(H169*H169*((3*L169)+M169)+2*H169*J169*(L169+M169)+J169*J169*(L169+(3*M169))))</f>
        <v>0</v>
      </c>
      <c r="BC169">
        <v>2.9146998508305222</v>
      </c>
      <c r="BD169">
        <v>-18.661669943627611</v>
      </c>
      <c r="BE169">
        <v>0.88474368404924952</v>
      </c>
      <c r="BF169" s="6">
        <f t="shared" si="187"/>
        <v>3.0942184525394225</v>
      </c>
      <c r="BG169" s="6">
        <f t="shared" si="188"/>
        <v>0.17951860170890033</v>
      </c>
      <c r="BH169" s="6">
        <f t="shared" si="189"/>
        <v>-2.3088202891419742</v>
      </c>
      <c r="BI169" s="6">
        <f t="shared" si="190"/>
        <v>2.3088202891419742</v>
      </c>
      <c r="BJ169">
        <v>-28.710261451734787</v>
      </c>
      <c r="BK169">
        <v>1.3611441293065376</v>
      </c>
      <c r="BV169" s="38"/>
      <c r="BW169" s="6">
        <f t="shared" si="124"/>
        <v>2.6878070480712619</v>
      </c>
      <c r="BX169" s="9">
        <f t="shared" ca="1" si="125"/>
        <v>107.78012569635113</v>
      </c>
      <c r="BY169" s="9">
        <f t="shared" ca="1" si="126"/>
        <v>-36.593239979507615</v>
      </c>
      <c r="BZ169">
        <f t="shared" ca="1" si="127"/>
        <v>113.82276005843069</v>
      </c>
      <c r="CA169" s="6">
        <f t="shared" ca="1" si="128"/>
        <v>0.94691189741860438</v>
      </c>
      <c r="CB169" s="6">
        <f t="shared" ca="1" si="129"/>
        <v>-0.32149317026509061</v>
      </c>
      <c r="CC169" s="6">
        <f t="shared" ca="1" si="130"/>
        <v>-0.32730595010444313</v>
      </c>
      <c r="CD169" s="6">
        <f t="shared" ca="1" si="131"/>
        <v>-65.545831795955081</v>
      </c>
      <c r="CE169" s="9">
        <f t="shared" ca="1" si="132"/>
        <v>-44.151524653957736</v>
      </c>
      <c r="CF169">
        <f t="shared" ca="1" si="133"/>
        <v>79.029192043780085</v>
      </c>
      <c r="CG169" s="6">
        <f t="shared" ca="1" si="134"/>
        <v>-0.82938759844140153</v>
      </c>
      <c r="CH169" s="6">
        <f t="shared" ca="1" si="135"/>
        <v>-0.55867361809164084</v>
      </c>
      <c r="CI169" s="6">
        <f t="shared" ca="1" si="136"/>
        <v>-2.5488069470344943</v>
      </c>
      <c r="CJ169" s="1">
        <f t="shared" ca="1" si="137"/>
        <v>-2.9489801967476437</v>
      </c>
      <c r="CK169" s="38"/>
    </row>
    <row r="170" spans="1:89" x14ac:dyDescent="0.25">
      <c r="A170" s="1" t="str">
        <f t="shared" si="199"/>
        <v>Segment 3</v>
      </c>
      <c r="B170" s="1">
        <f t="shared" si="199"/>
        <v>3.5061143905944427</v>
      </c>
      <c r="C170" s="1">
        <f t="shared" si="199"/>
        <v>-6.3013619067679771</v>
      </c>
      <c r="D170" s="1">
        <f t="shared" si="199"/>
        <v>3.5061143905944427</v>
      </c>
      <c r="E170" s="1">
        <f t="shared" si="199"/>
        <v>-6.3013619067679771</v>
      </c>
      <c r="F170" s="6">
        <f t="shared" si="202"/>
        <v>0</v>
      </c>
      <c r="G170" s="6">
        <f t="shared" si="203"/>
        <v>0</v>
      </c>
      <c r="H170" s="1">
        <f t="shared" si="204"/>
        <v>0</v>
      </c>
      <c r="I170" s="1">
        <f t="shared" si="205"/>
        <v>0</v>
      </c>
      <c r="J170">
        <f t="shared" si="206"/>
        <v>0</v>
      </c>
      <c r="K170">
        <f t="shared" si="207"/>
        <v>0</v>
      </c>
      <c r="L170" s="6">
        <f t="shared" si="208"/>
        <v>4250</v>
      </c>
      <c r="M170" s="6">
        <f t="shared" si="209"/>
        <v>4250</v>
      </c>
      <c r="N170" s="10">
        <f t="shared" si="210"/>
        <v>0</v>
      </c>
      <c r="O170" s="10">
        <f t="shared" si="211"/>
        <v>0</v>
      </c>
      <c r="P170" s="10">
        <f t="shared" si="212"/>
        <v>0</v>
      </c>
      <c r="BC170">
        <v>2.9321531433504653</v>
      </c>
      <c r="BD170">
        <v>-19.039985908499176</v>
      </c>
      <c r="BE170">
        <v>0.10492771062100836</v>
      </c>
      <c r="BF170" s="6">
        <f t="shared" si="187"/>
        <v>3.1360817961279936</v>
      </c>
      <c r="BG170" s="6">
        <f t="shared" si="188"/>
        <v>0.20392865277752836</v>
      </c>
      <c r="BH170" s="6">
        <f t="shared" si="189"/>
        <v>-2.3506836327305454</v>
      </c>
      <c r="BI170" s="6">
        <f t="shared" si="190"/>
        <v>2.3506836327305454</v>
      </c>
      <c r="BJ170">
        <v>-29.292286013075653</v>
      </c>
      <c r="BK170">
        <v>0.16142724710924364</v>
      </c>
      <c r="BV170" s="38"/>
      <c r="BW170" s="6">
        <f t="shared" si="124"/>
        <v>2.705260340591205</v>
      </c>
      <c r="BX170" s="9">
        <f t="shared" ca="1" si="125"/>
        <v>107.93855539410515</v>
      </c>
      <c r="BY170" s="9">
        <f t="shared" ca="1" si="126"/>
        <v>-36.402616580862329</v>
      </c>
      <c r="BZ170">
        <f t="shared" ca="1" si="127"/>
        <v>113.91173001275848</v>
      </c>
      <c r="CA170" s="6">
        <f t="shared" ca="1" si="128"/>
        <v>0.94756312964446843</v>
      </c>
      <c r="CB170" s="6">
        <f t="shared" ca="1" si="129"/>
        <v>-0.31956863947887648</v>
      </c>
      <c r="CC170" s="6">
        <f t="shared" ca="1" si="130"/>
        <v>-0.32527422089535324</v>
      </c>
      <c r="CD170" s="6">
        <f t="shared" ca="1" si="131"/>
        <v>-65.704261493709097</v>
      </c>
      <c r="CE170" s="9">
        <f t="shared" ca="1" si="132"/>
        <v>-44.342148052603022</v>
      </c>
      <c r="CF170">
        <f t="shared" ca="1" si="133"/>
        <v>79.267118481452755</v>
      </c>
      <c r="CG170" s="6">
        <f t="shared" ca="1" si="134"/>
        <v>-0.82889680806402533</v>
      </c>
      <c r="CH170" s="6">
        <f t="shared" ca="1" si="135"/>
        <v>-0.55940153877270538</v>
      </c>
      <c r="CI170" s="6">
        <f t="shared" ca="1" si="136"/>
        <v>-2.5479290269003418</v>
      </c>
      <c r="CJ170" s="1">
        <f t="shared" ca="1" si="137"/>
        <v>-2.9498581168817961</v>
      </c>
      <c r="CK170" s="38"/>
    </row>
    <row r="171" spans="1:89" x14ac:dyDescent="0.25">
      <c r="A171" s="1" t="str">
        <f t="shared" si="199"/>
        <v>Segment 4</v>
      </c>
      <c r="B171" s="1">
        <f t="shared" si="199"/>
        <v>3.5061143905944427</v>
      </c>
      <c r="C171" s="1">
        <f t="shared" si="199"/>
        <v>-6.3013619067679771</v>
      </c>
      <c r="D171" s="1">
        <f t="shared" si="199"/>
        <v>11.480365006438387</v>
      </c>
      <c r="E171" s="1">
        <f t="shared" si="199"/>
        <v>-6.9427097965380158</v>
      </c>
      <c r="F171" s="6">
        <f t="shared" si="202"/>
        <v>0</v>
      </c>
      <c r="G171" s="6">
        <f t="shared" si="203"/>
        <v>0</v>
      </c>
      <c r="H171" s="1">
        <f t="shared" si="204"/>
        <v>0</v>
      </c>
      <c r="I171" s="1">
        <f t="shared" si="205"/>
        <v>0</v>
      </c>
      <c r="J171">
        <f t="shared" si="206"/>
        <v>0</v>
      </c>
      <c r="K171">
        <f t="shared" si="207"/>
        <v>0</v>
      </c>
      <c r="L171" s="6">
        <f t="shared" si="208"/>
        <v>4250</v>
      </c>
      <c r="M171" s="6">
        <f t="shared" si="209"/>
        <v>4250</v>
      </c>
      <c r="N171" s="10">
        <f t="shared" si="210"/>
        <v>0</v>
      </c>
      <c r="O171" s="10">
        <f t="shared" si="211"/>
        <v>0</v>
      </c>
      <c r="P171" s="10">
        <f t="shared" si="212"/>
        <v>0</v>
      </c>
      <c r="BC171">
        <v>2.9496064358704084</v>
      </c>
      <c r="BD171">
        <v>-19.434999992000535</v>
      </c>
      <c r="BE171">
        <v>-0.73826185976737979</v>
      </c>
      <c r="BF171" s="6">
        <f t="shared" si="187"/>
        <v>3.1795606018856493</v>
      </c>
      <c r="BG171" s="6">
        <f t="shared" si="188"/>
        <v>0.22995416601524088</v>
      </c>
      <c r="BH171" s="6">
        <f t="shared" si="189"/>
        <v>-2.394162438488201</v>
      </c>
      <c r="BI171" s="6">
        <f t="shared" si="190"/>
        <v>2.394162438488201</v>
      </c>
      <c r="BJ171">
        <v>-29.899999987693128</v>
      </c>
      <c r="BK171">
        <v>-1.1357874765651996</v>
      </c>
      <c r="BV171" s="38"/>
      <c r="BW171" s="6">
        <f t="shared" si="124"/>
        <v>2.7227136331111481</v>
      </c>
      <c r="BX171" s="9">
        <f t="shared" ca="1" si="125"/>
        <v>108.10501059248458</v>
      </c>
      <c r="BY171" s="9">
        <f t="shared" ca="1" si="126"/>
        <v>-36.196972857936409</v>
      </c>
      <c r="BZ171">
        <f t="shared" ca="1" si="127"/>
        <v>114.00400940001798</v>
      </c>
      <c r="CA171" s="6">
        <f t="shared" ca="1" si="128"/>
        <v>0.94825621626310563</v>
      </c>
      <c r="CB171" s="6">
        <f t="shared" ca="1" si="129"/>
        <v>-0.31750613902470959</v>
      </c>
      <c r="CC171" s="6">
        <f t="shared" ca="1" si="130"/>
        <v>-0.32309838104551236</v>
      </c>
      <c r="CD171" s="6">
        <f t="shared" ca="1" si="131"/>
        <v>-65.870716692088521</v>
      </c>
      <c r="CE171" s="9">
        <f t="shared" ca="1" si="132"/>
        <v>-44.547791775528943</v>
      </c>
      <c r="CF171">
        <f t="shared" ca="1" si="133"/>
        <v>79.520167691003238</v>
      </c>
      <c r="CG171" s="6">
        <f t="shared" ca="1" si="134"/>
        <v>-0.82835233632864946</v>
      </c>
      <c r="CH171" s="6">
        <f t="shared" ca="1" si="135"/>
        <v>-0.56020746772857966</v>
      </c>
      <c r="CI171" s="6">
        <f t="shared" ca="1" si="136"/>
        <v>-2.5469564164813603</v>
      </c>
      <c r="CJ171" s="1">
        <f t="shared" ca="1" si="137"/>
        <v>-2.9508307273007777</v>
      </c>
      <c r="CK171" s="38"/>
    </row>
    <row r="172" spans="1:89" x14ac:dyDescent="0.25">
      <c r="A172" s="1" t="str">
        <f t="shared" si="199"/>
        <v>Segment 5</v>
      </c>
      <c r="B172" s="1">
        <f t="shared" si="199"/>
        <v>11.480365006438387</v>
      </c>
      <c r="C172" s="1">
        <f t="shared" si="199"/>
        <v>-6.9427097965380158</v>
      </c>
      <c r="D172" s="1">
        <f t="shared" si="199"/>
        <v>12.442386841093445</v>
      </c>
      <c r="E172" s="1">
        <f t="shared" si="199"/>
        <v>5.0186661272278998</v>
      </c>
      <c r="F172" s="6">
        <f t="shared" si="202"/>
        <v>1</v>
      </c>
      <c r="G172" s="6">
        <f t="shared" si="203"/>
        <v>1</v>
      </c>
      <c r="H172" s="1">
        <f t="shared" si="204"/>
        <v>12.442386841093445</v>
      </c>
      <c r="I172" s="1">
        <f t="shared" si="205"/>
        <v>5.0186661272278998</v>
      </c>
      <c r="J172">
        <f t="shared" si="206"/>
        <v>12.442386841093445</v>
      </c>
      <c r="K172">
        <f t="shared" si="207"/>
        <v>5.0186661272278998</v>
      </c>
      <c r="L172" s="6">
        <f t="shared" si="208"/>
        <v>4250</v>
      </c>
      <c r="M172" s="6">
        <f t="shared" si="209"/>
        <v>4250</v>
      </c>
      <c r="N172" s="10">
        <f t="shared" si="210"/>
        <v>0</v>
      </c>
      <c r="O172" s="10">
        <f t="shared" si="211"/>
        <v>0</v>
      </c>
      <c r="P172" s="10">
        <f t="shared" si="212"/>
        <v>0</v>
      </c>
      <c r="BC172">
        <v>2.9670597283903515</v>
      </c>
      <c r="BD172">
        <v>-19.843910300159155</v>
      </c>
      <c r="BE172">
        <v>-1.6404047886945823</v>
      </c>
      <c r="BF172" s="6">
        <f t="shared" si="187"/>
        <v>3.2240705223187858</v>
      </c>
      <c r="BG172" s="6">
        <f t="shared" si="188"/>
        <v>0.25701079392843429</v>
      </c>
      <c r="BH172" s="6">
        <f t="shared" si="189"/>
        <v>-2.4386723589213375</v>
      </c>
      <c r="BI172" s="6">
        <f t="shared" si="190"/>
        <v>2.4386723589213375</v>
      </c>
      <c r="BJ172">
        <v>-30.529092769475621</v>
      </c>
      <c r="BK172">
        <v>-2.523699674914742</v>
      </c>
      <c r="BV172" s="38"/>
      <c r="BW172" s="6">
        <f t="shared" si="124"/>
        <v>2.7401669256310912</v>
      </c>
      <c r="BX172" s="9">
        <f t="shared" ca="1" si="125"/>
        <v>108.28048433739724</v>
      </c>
      <c r="BY172" s="9">
        <f t="shared" ca="1" si="126"/>
        <v>-35.973780090802123</v>
      </c>
      <c r="BZ172">
        <f t="shared" ca="1" si="127"/>
        <v>114.09985163164201</v>
      </c>
      <c r="CA172" s="6">
        <f t="shared" ca="1" si="128"/>
        <v>0.94899759104830461</v>
      </c>
      <c r="CB172" s="6">
        <f t="shared" ca="1" si="129"/>
        <v>-0.31528332049842844</v>
      </c>
      <c r="CC172" s="6">
        <f t="shared" ca="1" si="130"/>
        <v>-0.32075518637048095</v>
      </c>
      <c r="CD172" s="6">
        <f t="shared" ca="1" si="131"/>
        <v>-66.046190437001187</v>
      </c>
      <c r="CE172" s="9">
        <f t="shared" ca="1" si="132"/>
        <v>-44.770984542663228</v>
      </c>
      <c r="CF172">
        <f t="shared" ca="1" si="133"/>
        <v>79.790603006619875</v>
      </c>
      <c r="CG172" s="6">
        <f t="shared" ca="1" si="134"/>
        <v>-0.8277439691929841</v>
      </c>
      <c r="CH172" s="6">
        <f t="shared" ca="1" si="135"/>
        <v>-0.56110598059960493</v>
      </c>
      <c r="CI172" s="6">
        <f t="shared" ca="1" si="136"/>
        <v>-2.545871319219966</v>
      </c>
      <c r="CJ172" s="1">
        <f t="shared" ca="1" si="137"/>
        <v>-2.9519158245621719</v>
      </c>
      <c r="CK172" s="38"/>
    </row>
    <row r="173" spans="1:89" x14ac:dyDescent="0.25">
      <c r="A173" s="1" t="str">
        <f t="shared" si="199"/>
        <v>Segment 6</v>
      </c>
      <c r="B173" s="1">
        <f t="shared" si="199"/>
        <v>12.442386841093445</v>
      </c>
      <c r="C173" s="1">
        <f t="shared" si="199"/>
        <v>5.0186661272278998</v>
      </c>
      <c r="D173" s="1">
        <f t="shared" si="199"/>
        <v>4.4681362252495012</v>
      </c>
      <c r="E173" s="1">
        <f t="shared" si="199"/>
        <v>5.6600140169979385</v>
      </c>
      <c r="F173" s="6">
        <f t="shared" si="202"/>
        <v>1</v>
      </c>
      <c r="G173" s="6">
        <f t="shared" si="203"/>
        <v>1</v>
      </c>
      <c r="H173" s="1">
        <f t="shared" si="204"/>
        <v>4.4681362252495012</v>
      </c>
      <c r="I173" s="1">
        <f t="shared" si="205"/>
        <v>5.6600140169979385</v>
      </c>
      <c r="J173">
        <f t="shared" si="206"/>
        <v>4.4681362252495012</v>
      </c>
      <c r="K173">
        <f t="shared" si="207"/>
        <v>5.6600140169979385</v>
      </c>
      <c r="L173" s="6">
        <f t="shared" si="208"/>
        <v>4250</v>
      </c>
      <c r="M173" s="6">
        <f t="shared" si="209"/>
        <v>4250</v>
      </c>
      <c r="N173" s="10">
        <f t="shared" si="210"/>
        <v>0</v>
      </c>
      <c r="O173" s="10">
        <f t="shared" si="211"/>
        <v>0</v>
      </c>
      <c r="P173" s="10">
        <f t="shared" si="212"/>
        <v>0</v>
      </c>
      <c r="BC173">
        <v>2.9845130209102946</v>
      </c>
      <c r="BD173">
        <v>-20.263723976336799</v>
      </c>
      <c r="BE173">
        <v>-2.5966430493955825</v>
      </c>
      <c r="BF173" s="6">
        <f t="shared" si="187"/>
        <v>3.2690405375849454</v>
      </c>
      <c r="BG173" s="6">
        <f t="shared" si="188"/>
        <v>0.28452751667465082</v>
      </c>
      <c r="BH173" s="6">
        <f t="shared" si="189"/>
        <v>-2.4836423741874971</v>
      </c>
      <c r="BI173" s="6">
        <f t="shared" si="190"/>
        <v>2.4836423741874971</v>
      </c>
      <c r="BJ173">
        <v>-31.174959963595075</v>
      </c>
      <c r="BK173">
        <v>-3.9948354606085883</v>
      </c>
      <c r="BV173" s="38"/>
      <c r="BW173" s="6">
        <f t="shared" si="124"/>
        <v>2.7576202181510343</v>
      </c>
      <c r="BX173" s="9">
        <f t="shared" ca="1" si="125"/>
        <v>108.46612579271613</v>
      </c>
      <c r="BY173" s="9">
        <f t="shared" ca="1" si="126"/>
        <v>-35.729975648458662</v>
      </c>
      <c r="BZ173">
        <f t="shared" ca="1" si="127"/>
        <v>114.19952541197695</v>
      </c>
      <c r="CA173" s="6">
        <f t="shared" ca="1" si="128"/>
        <v>0.94979489101572467</v>
      </c>
      <c r="CB173" s="6">
        <f t="shared" ca="1" si="129"/>
        <v>-0.31287324110640652</v>
      </c>
      <c r="CC173" s="6">
        <f t="shared" ca="1" si="130"/>
        <v>-0.31821664872559358</v>
      </c>
      <c r="CD173" s="6">
        <f t="shared" ca="1" si="131"/>
        <v>-66.231831892320074</v>
      </c>
      <c r="CE173" s="9">
        <f t="shared" ca="1" si="132"/>
        <v>-45.014788985006689</v>
      </c>
      <c r="CF173">
        <f t="shared" ca="1" si="133"/>
        <v>80.081126260669095</v>
      </c>
      <c r="CG173" s="6">
        <f t="shared" ca="1" si="134"/>
        <v>-0.82705919590505383</v>
      </c>
      <c r="CH173" s="6">
        <f t="shared" ca="1" si="135"/>
        <v>-0.56211483388084138</v>
      </c>
      <c r="CI173" s="6">
        <f t="shared" ca="1" si="136"/>
        <v>-2.5446520163112867</v>
      </c>
      <c r="CJ173" s="1">
        <f t="shared" ca="1" si="137"/>
        <v>-2.9531351274708513</v>
      </c>
      <c r="CK173" s="38"/>
    </row>
    <row r="174" spans="1:89" x14ac:dyDescent="0.25">
      <c r="A174" s="1" t="str">
        <f t="shared" si="199"/>
        <v>Segment 7</v>
      </c>
      <c r="B174" s="1">
        <f t="shared" si="199"/>
        <v>4.4681362252495012</v>
      </c>
      <c r="C174" s="1">
        <f t="shared" si="199"/>
        <v>5.6600140169979385</v>
      </c>
      <c r="D174" s="1">
        <f t="shared" si="199"/>
        <v>4.4681362252495012</v>
      </c>
      <c r="E174" s="1">
        <f t="shared" si="199"/>
        <v>5.6600140169979385</v>
      </c>
      <c r="F174" s="6">
        <f t="shared" si="202"/>
        <v>0</v>
      </c>
      <c r="G174" s="6">
        <f t="shared" si="203"/>
        <v>0</v>
      </c>
      <c r="H174" s="1">
        <f t="shared" si="204"/>
        <v>0</v>
      </c>
      <c r="I174" s="1">
        <f t="shared" si="205"/>
        <v>0</v>
      </c>
      <c r="J174">
        <f t="shared" si="206"/>
        <v>0</v>
      </c>
      <c r="K174">
        <f t="shared" si="207"/>
        <v>0</v>
      </c>
      <c r="L174" s="6">
        <f t="shared" si="208"/>
        <v>4250</v>
      </c>
      <c r="M174" s="6">
        <f t="shared" si="209"/>
        <v>4250</v>
      </c>
      <c r="N174" s="10">
        <f t="shared" si="210"/>
        <v>0</v>
      </c>
      <c r="O174" s="10">
        <f t="shared" si="211"/>
        <v>0</v>
      </c>
      <c r="P174" s="10">
        <f t="shared" si="212"/>
        <v>0</v>
      </c>
      <c r="BC174">
        <v>3.0019663134302377</v>
      </c>
      <c r="BD174">
        <v>-20.691152857377162</v>
      </c>
      <c r="BE174">
        <v>-3.6014199804588913</v>
      </c>
      <c r="BF174" s="6">
        <f t="shared" si="187"/>
        <v>3.3139222562340453</v>
      </c>
      <c r="BG174" s="6">
        <f t="shared" si="188"/>
        <v>0.31195594280380767</v>
      </c>
      <c r="BH174" s="6">
        <f t="shared" si="189"/>
        <v>-2.5285240928365971</v>
      </c>
      <c r="BI174" s="6">
        <f t="shared" si="190"/>
        <v>2.5285240928365971</v>
      </c>
      <c r="BJ174">
        <v>-31.832542857503324</v>
      </c>
      <c r="BK174">
        <v>-5.5406461237829099</v>
      </c>
      <c r="BV174" s="38"/>
      <c r="BW174" s="6">
        <f t="shared" si="124"/>
        <v>2.7750735106709774</v>
      </c>
      <c r="BX174" s="9">
        <f t="shared" ca="1" si="125"/>
        <v>108.66327463195169</v>
      </c>
      <c r="BY174" s="9">
        <f t="shared" ca="1" si="126"/>
        <v>-35.461818009341386</v>
      </c>
      <c r="BZ174">
        <f t="shared" ca="1" si="127"/>
        <v>114.30331486998357</v>
      </c>
      <c r="CA174" s="6">
        <f t="shared" ca="1" si="128"/>
        <v>0.950657246953448</v>
      </c>
      <c r="CB174" s="6">
        <f t="shared" ca="1" si="129"/>
        <v>-0.31024312855386643</v>
      </c>
      <c r="CC174" s="6">
        <f t="shared" ca="1" si="130"/>
        <v>-0.31544876962898155</v>
      </c>
      <c r="CD174" s="6">
        <f t="shared" ca="1" si="131"/>
        <v>-66.42898073155564</v>
      </c>
      <c r="CE174" s="9">
        <f t="shared" ca="1" si="132"/>
        <v>-45.282946624123966</v>
      </c>
      <c r="CF174">
        <f t="shared" ca="1" si="133"/>
        <v>80.394991983311073</v>
      </c>
      <c r="CG174" s="6">
        <f t="shared" ca="1" si="134"/>
        <v>-0.82628257174707365</v>
      </c>
      <c r="CH174" s="6">
        <f t="shared" ca="1" si="135"/>
        <v>-0.56325581366466337</v>
      </c>
      <c r="CI174" s="6">
        <f t="shared" ca="1" si="136"/>
        <v>-2.543271806090972</v>
      </c>
      <c r="CJ174" s="1">
        <f t="shared" ca="1" si="137"/>
        <v>-2.9545153376911659</v>
      </c>
      <c r="CK174" s="38"/>
    </row>
    <row r="175" spans="1:89" ht="15.75" thickBot="1" x14ac:dyDescent="0.3">
      <c r="A175" s="1" t="str">
        <f t="shared" si="199"/>
        <v>Segment 8</v>
      </c>
      <c r="B175" s="1">
        <f t="shared" si="199"/>
        <v>4.4681362252495012</v>
      </c>
      <c r="C175" s="1">
        <f t="shared" si="199"/>
        <v>5.6600140169979385</v>
      </c>
      <c r="D175" s="1">
        <f t="shared" si="199"/>
        <v>-11.480365006438387</v>
      </c>
      <c r="E175" s="1">
        <f t="shared" si="199"/>
        <v>6.9427097965380158</v>
      </c>
      <c r="F175" s="6">
        <f t="shared" si="202"/>
        <v>1</v>
      </c>
      <c r="G175" s="6">
        <f t="shared" si="203"/>
        <v>0.41491224148230782</v>
      </c>
      <c r="H175" s="1">
        <f t="shared" si="204"/>
        <v>-2.1490921690734677</v>
      </c>
      <c r="I175" s="1">
        <f t="shared" si="205"/>
        <v>6.1922201980268081</v>
      </c>
      <c r="J175">
        <f t="shared" si="206"/>
        <v>-11.480365006438387</v>
      </c>
      <c r="K175">
        <f t="shared" si="207"/>
        <v>6.9427097965380158</v>
      </c>
      <c r="L175" s="6">
        <f t="shared" si="208"/>
        <v>4250</v>
      </c>
      <c r="M175" s="6">
        <f t="shared" si="209"/>
        <v>4250</v>
      </c>
      <c r="N175" s="11">
        <f t="shared" si="210"/>
        <v>-21736.127417598127</v>
      </c>
      <c r="O175" s="11">
        <f t="shared" si="211"/>
        <v>-144612.64835098866</v>
      </c>
      <c r="P175" s="11">
        <f t="shared" si="212"/>
        <v>85634.79032134189</v>
      </c>
      <c r="BC175">
        <v>3.0194196059501808</v>
      </c>
      <c r="BD175">
        <v>-21.122520611076805</v>
      </c>
      <c r="BE175">
        <v>-4.6482057050077747</v>
      </c>
      <c r="BF175" s="6">
        <f t="shared" si="187"/>
        <v>3.3581994572544476</v>
      </c>
      <c r="BG175" s="6">
        <f t="shared" si="188"/>
        <v>0.3387798513042668</v>
      </c>
      <c r="BH175" s="6">
        <f t="shared" si="189"/>
        <v>-2.5728012938569993</v>
      </c>
      <c r="BI175" s="6">
        <f t="shared" si="190"/>
        <v>2.5728012938569993</v>
      </c>
      <c r="BJ175">
        <v>-32.496185555502777</v>
      </c>
      <c r="BK175">
        <v>-7.1510857000119605</v>
      </c>
      <c r="BV175" s="38"/>
      <c r="BW175" s="6">
        <f t="shared" si="124"/>
        <v>2.7925268031909205</v>
      </c>
      <c r="BX175" s="9">
        <f t="shared" ca="1" si="125"/>
        <v>108.87350486358675</v>
      </c>
      <c r="BY175" s="9">
        <f t="shared" ca="1" si="126"/>
        <v>-35.164693614323866</v>
      </c>
      <c r="BZ175">
        <f t="shared" ca="1" si="127"/>
        <v>114.41151925514632</v>
      </c>
      <c r="CA175" s="6">
        <f t="shared" ca="1" si="128"/>
        <v>0.9515956572588693</v>
      </c>
      <c r="CB175" s="6">
        <f t="shared" ca="1" si="129"/>
        <v>-0.30735273723534734</v>
      </c>
      <c r="CC175" s="6">
        <f t="shared" ca="1" si="130"/>
        <v>-0.31240985814909844</v>
      </c>
      <c r="CD175" s="6">
        <f t="shared" ca="1" si="131"/>
        <v>-66.639210963190692</v>
      </c>
      <c r="CE175" s="9">
        <f t="shared" ca="1" si="132"/>
        <v>-45.580071019141485</v>
      </c>
      <c r="CF175">
        <f t="shared" ca="1" si="133"/>
        <v>80.736158639773151</v>
      </c>
      <c r="CG175" s="6">
        <f t="shared" ca="1" si="134"/>
        <v>-0.8253948675031727</v>
      </c>
      <c r="CH175" s="6">
        <f t="shared" ca="1" si="135"/>
        <v>-0.56455585436643896</v>
      </c>
      <c r="CI175" s="6">
        <f t="shared" ca="1" si="136"/>
        <v>-2.5416975998901608</v>
      </c>
      <c r="CJ175" s="1">
        <f t="shared" ca="1" si="137"/>
        <v>-2.9560895438919772</v>
      </c>
      <c r="CK175" s="38"/>
    </row>
    <row r="176" spans="1:89" ht="15.75" thickTop="1" x14ac:dyDescent="0.25">
      <c r="M176" s="9"/>
      <c r="N176" s="9">
        <f>SUM(N168:N175)</f>
        <v>14977.685690273964</v>
      </c>
      <c r="O176" s="9">
        <f t="shared" ref="O176:P176" si="213">SUM(O168:O175)</f>
        <v>96491.993624451745</v>
      </c>
      <c r="P176" s="9">
        <f t="shared" si="213"/>
        <v>-125663.69196584684</v>
      </c>
      <c r="BC176">
        <v>3.0368728984701239</v>
      </c>
      <c r="BD176">
        <v>-21.55370841086204</v>
      </c>
      <c r="BE176">
        <v>-5.7292444182772586</v>
      </c>
      <c r="BF176" s="6">
        <f t="shared" si="187"/>
        <v>3.4013973871032173</v>
      </c>
      <c r="BG176" s="6">
        <f t="shared" si="188"/>
        <v>0.36452448863309339</v>
      </c>
      <c r="BH176" s="6">
        <f t="shared" si="189"/>
        <v>-2.615999223705769</v>
      </c>
      <c r="BI176" s="6">
        <f t="shared" si="190"/>
        <v>2.615999223705769</v>
      </c>
      <c r="BJ176">
        <v>-33.159551401326212</v>
      </c>
      <c r="BK176">
        <v>-8.8142221819650128</v>
      </c>
      <c r="BV176" s="38"/>
      <c r="BW176" s="6">
        <f t="shared" si="124"/>
        <v>2.8099800957108636</v>
      </c>
      <c r="BX176" s="9">
        <f t="shared" ca="1" si="125"/>
        <v>109.09868134119839</v>
      </c>
      <c r="BY176" s="9">
        <f t="shared" ca="1" si="126"/>
        <v>-34.832856254320703</v>
      </c>
      <c r="BZ176">
        <f t="shared" ca="1" si="127"/>
        <v>114.52445217167606</v>
      </c>
      <c r="CA176" s="6">
        <f t="shared" ca="1" si="128"/>
        <v>0.9526234727379943</v>
      </c>
      <c r="CB176" s="6">
        <f t="shared" ca="1" si="129"/>
        <v>-0.3041521316522437</v>
      </c>
      <c r="CC176" s="6">
        <f t="shared" ca="1" si="130"/>
        <v>-0.30904826754358128</v>
      </c>
      <c r="CD176" s="6">
        <f t="shared" ca="1" si="131"/>
        <v>-66.864387440802332</v>
      </c>
      <c r="CE176" s="9">
        <f t="shared" ca="1" si="132"/>
        <v>-45.911908379144649</v>
      </c>
      <c r="CF176">
        <f t="shared" ca="1" si="133"/>
        <v>81.109491669278128</v>
      </c>
      <c r="CG176" s="6">
        <f t="shared" ca="1" si="134"/>
        <v>-0.82437192077889176</v>
      </c>
      <c r="CH176" s="6">
        <f t="shared" ca="1" si="135"/>
        <v>-0.56604852815930939</v>
      </c>
      <c r="CI176" s="6">
        <f t="shared" ca="1" si="136"/>
        <v>-2.5398880430532071</v>
      </c>
      <c r="CJ176" s="1">
        <f t="shared" ca="1" si="137"/>
        <v>-2.9578991007289308</v>
      </c>
      <c r="CK176" s="38"/>
    </row>
    <row r="177" spans="1:89" x14ac:dyDescent="0.25">
      <c r="BC177">
        <v>3.054326190990067</v>
      </c>
      <c r="BD177">
        <v>-21.980216841112441</v>
      </c>
      <c r="BE177">
        <v>-6.8354628071166745</v>
      </c>
      <c r="BF177" s="6">
        <f t="shared" si="187"/>
        <v>3.4430944351774344</v>
      </c>
      <c r="BG177" s="6">
        <f t="shared" si="188"/>
        <v>0.38876824418736744</v>
      </c>
      <c r="BH177" s="6">
        <f t="shared" si="189"/>
        <v>-2.6576962717799861</v>
      </c>
      <c r="BI177" s="6">
        <f t="shared" si="190"/>
        <v>2.6576962717799861</v>
      </c>
      <c r="BJ177">
        <v>-33.815718217096062</v>
      </c>
      <c r="BK177">
        <v>-10.516096626333345</v>
      </c>
      <c r="BV177" s="38"/>
      <c r="BW177" s="6">
        <f t="shared" si="124"/>
        <v>2.8274333882308067</v>
      </c>
      <c r="BX177" s="9">
        <f t="shared" ca="1" si="125"/>
        <v>109.34103350348065</v>
      </c>
      <c r="BY177" s="9">
        <f t="shared" ca="1" si="126"/>
        <v>-34.459070478499925</v>
      </c>
      <c r="BZ177">
        <f t="shared" ca="1" si="127"/>
        <v>114.64244042173694</v>
      </c>
      <c r="CA177" s="6">
        <f t="shared" ca="1" si="128"/>
        <v>0.9537570301299072</v>
      </c>
      <c r="CB177" s="6">
        <f t="shared" ca="1" si="129"/>
        <v>-0.30057865439478437</v>
      </c>
      <c r="CC177" s="6">
        <f t="shared" ca="1" si="130"/>
        <v>-0.30529930654997683</v>
      </c>
      <c r="CD177" s="6">
        <f t="shared" ca="1" si="131"/>
        <v>-67.106739603084591</v>
      </c>
      <c r="CE177" s="9">
        <f t="shared" ca="1" si="132"/>
        <v>-46.285694154965427</v>
      </c>
      <c r="CF177">
        <f t="shared" ca="1" si="133"/>
        <v>81.521040128074929</v>
      </c>
      <c r="CG177" s="6">
        <f t="shared" ca="1" si="134"/>
        <v>-0.82318306412253184</v>
      </c>
      <c r="CH177" s="6">
        <f t="shared" ca="1" si="135"/>
        <v>-0.56777604998964126</v>
      </c>
      <c r="CI177" s="6">
        <f t="shared" ca="1" si="136"/>
        <v>-2.5377909704661703</v>
      </c>
      <c r="CJ177" s="1">
        <f t="shared" ca="1" si="137"/>
        <v>-2.9599961733159676</v>
      </c>
      <c r="CK177" s="38"/>
    </row>
    <row r="178" spans="1:89" x14ac:dyDescent="0.25">
      <c r="A178" t="s">
        <v>193</v>
      </c>
      <c r="B178">
        <f>(N176+M165)/1000</f>
        <v>98.112712417034373</v>
      </c>
      <c r="C178" t="s">
        <v>68</v>
      </c>
      <c r="BC178">
        <v>3.0717794835100101</v>
      </c>
      <c r="BD178">
        <v>-22.397584858168173</v>
      </c>
      <c r="BE178">
        <v>-7.9570930869242007</v>
      </c>
      <c r="BF178" s="6">
        <f t="shared" si="187"/>
        <v>3.4829507732234983</v>
      </c>
      <c r="BG178" s="6">
        <f t="shared" si="188"/>
        <v>0.41117128971348826</v>
      </c>
      <c r="BH178" s="6">
        <f t="shared" si="189"/>
        <v>-2.6975526098260501</v>
      </c>
      <c r="BI178" s="6">
        <f t="shared" si="190"/>
        <v>2.6975526098260501</v>
      </c>
      <c r="BJ178">
        <v>-34.457822858720263</v>
      </c>
      <c r="BK178">
        <v>-12.241681672191078</v>
      </c>
      <c r="BV178" s="38"/>
      <c r="BW178" s="6">
        <f t="shared" si="124"/>
        <v>2.8448866807507498</v>
      </c>
      <c r="BX178" s="9">
        <f t="shared" ca="1" si="125"/>
        <v>109.60325290225151</v>
      </c>
      <c r="BY178" s="9">
        <f t="shared" ca="1" si="126"/>
        <v>-34.034116137504654</v>
      </c>
      <c r="BZ178">
        <f t="shared" ca="1" si="127"/>
        <v>114.76582290915732</v>
      </c>
      <c r="CA178" s="6">
        <f t="shared" ca="1" si="128"/>
        <v>0.95501648595338151</v>
      </c>
      <c r="CB178" s="6">
        <f t="shared" ca="1" si="129"/>
        <v>-0.2965527129487347</v>
      </c>
      <c r="CC178" s="6">
        <f t="shared" ca="1" si="130"/>
        <v>-0.30108095854569977</v>
      </c>
      <c r="CD178" s="6">
        <f t="shared" ca="1" si="131"/>
        <v>-67.368959001855458</v>
      </c>
      <c r="CE178" s="9">
        <f t="shared" ca="1" si="132"/>
        <v>-46.710648495960697</v>
      </c>
      <c r="CF178">
        <f t="shared" ca="1" si="133"/>
        <v>81.978419842705421</v>
      </c>
      <c r="CG178" s="6">
        <f t="shared" ca="1" si="134"/>
        <v>-0.82178894312818429</v>
      </c>
      <c r="CH178" s="6">
        <f t="shared" ca="1" si="135"/>
        <v>-0.56979200850157752</v>
      </c>
      <c r="CI178" s="6">
        <f t="shared" ca="1" si="136"/>
        <v>-2.5353399165956079</v>
      </c>
      <c r="CJ178" s="1">
        <f t="shared" ca="1" si="137"/>
        <v>-2.9624472271865301</v>
      </c>
      <c r="CK178" s="38"/>
    </row>
    <row r="179" spans="1:89" x14ac:dyDescent="0.25">
      <c r="A179" t="s">
        <v>100</v>
      </c>
      <c r="B179">
        <f>(N165+O176)/1000</f>
        <v>548.47943689635281</v>
      </c>
      <c r="C179" t="s">
        <v>69</v>
      </c>
      <c r="BC179">
        <v>3.0892327760299532</v>
      </c>
      <c r="BD179">
        <v>-22.802891698772051</v>
      </c>
      <c r="BE179">
        <v>-9.0871842820177289</v>
      </c>
      <c r="BF179" s="6">
        <f t="shared" si="187"/>
        <v>3.5208140363668319</v>
      </c>
      <c r="BG179" s="6">
        <f t="shared" si="188"/>
        <v>0.43158126033687871</v>
      </c>
      <c r="BH179" s="6">
        <f t="shared" si="189"/>
        <v>-2.7354158729693836</v>
      </c>
      <c r="BI179" s="6">
        <f t="shared" si="190"/>
        <v>2.7354158729693836</v>
      </c>
      <c r="BJ179">
        <v>-35.081371844264694</v>
      </c>
      <c r="BK179">
        <v>-13.980283510796506</v>
      </c>
      <c r="BV179" s="38"/>
      <c r="BW179" s="6">
        <f t="shared" si="124"/>
        <v>2.8623399732706929</v>
      </c>
      <c r="BX179" s="9">
        <f t="shared" ca="1" si="125"/>
        <v>109.88862409752139</v>
      </c>
      <c r="BY179" s="9">
        <f t="shared" ca="1" si="126"/>
        <v>-33.546088214760118</v>
      </c>
      <c r="BZ179">
        <f t="shared" ca="1" si="127"/>
        <v>114.89495089236439</v>
      </c>
      <c r="CA179" s="6">
        <f t="shared" ca="1" si="128"/>
        <v>0.95642692080061009</v>
      </c>
      <c r="CB179" s="6">
        <f t="shared" ca="1" si="129"/>
        <v>-0.29197182255803983</v>
      </c>
      <c r="CC179" s="6">
        <f t="shared" ca="1" si="130"/>
        <v>-0.29628784606910924</v>
      </c>
      <c r="CD179" s="6">
        <f t="shared" ca="1" si="131"/>
        <v>-67.654330197125333</v>
      </c>
      <c r="CE179" s="9">
        <f t="shared" ca="1" si="132"/>
        <v>-47.198676418705233</v>
      </c>
      <c r="CF179">
        <f t="shared" ca="1" si="133"/>
        <v>82.491353789953678</v>
      </c>
      <c r="CG179" s="6">
        <f t="shared" ca="1" si="134"/>
        <v>-0.82013843983446311</v>
      </c>
      <c r="CH179" s="6">
        <f t="shared" ca="1" si="135"/>
        <v>-0.57216513307426642</v>
      </c>
      <c r="CI179" s="6">
        <f t="shared" ca="1" si="136"/>
        <v>-2.5324492614486758</v>
      </c>
      <c r="CJ179" s="1">
        <f t="shared" ca="1" si="137"/>
        <v>-2.9653378823334622</v>
      </c>
      <c r="CK179" s="38"/>
    </row>
    <row r="180" spans="1:89" x14ac:dyDescent="0.25">
      <c r="A180" t="s">
        <v>101</v>
      </c>
      <c r="B180">
        <f>-1*(O165+P176)/1000</f>
        <v>324.87225592183825</v>
      </c>
      <c r="C180" t="s">
        <v>69</v>
      </c>
      <c r="BC180">
        <v>3.1066860685498963</v>
      </c>
      <c r="BD180">
        <v>-23.19584960425</v>
      </c>
      <c r="BE180">
        <v>-10.225141572336069</v>
      </c>
      <c r="BF180" s="6">
        <f t="shared" si="187"/>
        <v>3.5567844100608821</v>
      </c>
      <c r="BG180" s="6">
        <f t="shared" si="188"/>
        <v>0.45009834151098582</v>
      </c>
      <c r="BH180" s="6">
        <f t="shared" si="189"/>
        <v>-2.7713862466634338</v>
      </c>
      <c r="BI180" s="6">
        <f t="shared" si="190"/>
        <v>2.7713862466634338</v>
      </c>
      <c r="BJ180">
        <v>-35.685922468076924</v>
      </c>
      <c r="BK180">
        <v>-15.730987034363183</v>
      </c>
      <c r="BV180" s="38"/>
      <c r="BW180" s="6">
        <f t="shared" si="124"/>
        <v>2.879793265790636</v>
      </c>
      <c r="BX180" s="9">
        <f t="shared" ca="1" si="125"/>
        <v>110.20032432831235</v>
      </c>
      <c r="BY180" s="9">
        <f t="shared" ca="1" si="126"/>
        <v>-32.982088289014563</v>
      </c>
      <c r="BZ180">
        <f t="shared" ca="1" si="127"/>
        <v>115.03012488026596</v>
      </c>
      <c r="CA180" s="6">
        <f t="shared" ca="1" si="128"/>
        <v>0.95801273312551027</v>
      </c>
      <c r="CB180" s="6">
        <f t="shared" ca="1" si="129"/>
        <v>-0.28672565837292957</v>
      </c>
      <c r="CC180" s="6">
        <f t="shared" ca="1" si="130"/>
        <v>-0.29080723345987003</v>
      </c>
      <c r="CD180" s="6">
        <f t="shared" ca="1" si="131"/>
        <v>-67.966030427916294</v>
      </c>
      <c r="CE180" s="9">
        <f t="shared" ca="1" si="132"/>
        <v>-47.762676344450789</v>
      </c>
      <c r="CF180">
        <f t="shared" ca="1" si="133"/>
        <v>83.070178425914094</v>
      </c>
      <c r="CG180" s="6">
        <f t="shared" ca="1" si="134"/>
        <v>-0.81817604964616286</v>
      </c>
      <c r="CH180" s="6">
        <f t="shared" ca="1" si="135"/>
        <v>-0.57496778325867925</v>
      </c>
      <c r="CI180" s="6">
        <f t="shared" ca="1" si="136"/>
        <v>-2.5290278823807846</v>
      </c>
      <c r="CJ180" s="1">
        <f t="shared" ca="1" si="137"/>
        <v>-2.9687592614013534</v>
      </c>
      <c r="CK180" s="38"/>
    </row>
    <row r="181" spans="1:89" x14ac:dyDescent="0.25">
      <c r="BC181">
        <v>3.1241393610698394</v>
      </c>
      <c r="BD181">
        <v>-23.663215738924585</v>
      </c>
      <c r="BE181">
        <v>-11.443361720662311</v>
      </c>
      <c r="BF181" s="6">
        <f t="shared" si="187"/>
        <v>3.5920285925069484</v>
      </c>
      <c r="BG181" s="6">
        <f t="shared" si="188"/>
        <v>0.46788923143710903</v>
      </c>
      <c r="BH181" s="6">
        <f t="shared" si="189"/>
        <v>-2.8066304291095001</v>
      </c>
      <c r="BI181" s="6">
        <f t="shared" si="190"/>
        <v>2.8066304291095001</v>
      </c>
      <c r="BJ181">
        <v>-36.210511761085414</v>
      </c>
      <c r="BK181">
        <v>-17.511144247853991</v>
      </c>
      <c r="BV181" s="38"/>
      <c r="BW181" s="6">
        <f t="shared" si="124"/>
        <v>2.8972465583105791</v>
      </c>
      <c r="BX181" s="9">
        <f t="shared" ca="1" si="125"/>
        <v>110.53706416382511</v>
      </c>
      <c r="BY181" s="9">
        <f t="shared" ca="1" si="126"/>
        <v>-32.341726146694043</v>
      </c>
      <c r="BZ181">
        <f t="shared" ca="1" si="127"/>
        <v>115.17130634018763</v>
      </c>
      <c r="CA181" s="6">
        <f t="shared" ca="1" si="128"/>
        <v>0.95976218101864619</v>
      </c>
      <c r="CB181" s="6">
        <f t="shared" ca="1" si="129"/>
        <v>-0.28081409488544451</v>
      </c>
      <c r="CC181" s="6">
        <f t="shared" ca="1" si="130"/>
        <v>-0.28464222971481029</v>
      </c>
      <c r="CD181" s="6">
        <f t="shared" ca="1" si="131"/>
        <v>-68.302770263429053</v>
      </c>
      <c r="CE181" s="9">
        <f t="shared" ca="1" si="132"/>
        <v>-48.403038486771308</v>
      </c>
      <c r="CF181">
        <f t="shared" ca="1" si="133"/>
        <v>83.714530162992816</v>
      </c>
      <c r="CG181" s="6">
        <f t="shared" ca="1" si="134"/>
        <v>-0.81590101659106307</v>
      </c>
      <c r="CH181" s="6">
        <f t="shared" ca="1" si="135"/>
        <v>-0.57819160416393944</v>
      </c>
      <c r="CI181" s="6">
        <f t="shared" ca="1" si="136"/>
        <v>-2.5250821483768275</v>
      </c>
      <c r="CJ181" s="1">
        <f t="shared" ca="1" si="137"/>
        <v>-2.9727049954053104</v>
      </c>
      <c r="CK181" s="38"/>
    </row>
    <row r="182" spans="1:89" x14ac:dyDescent="0.25">
      <c r="A182" t="s">
        <v>54</v>
      </c>
      <c r="BC182">
        <v>3.1415926535897825</v>
      </c>
      <c r="BD182">
        <v>-24.082659939669306</v>
      </c>
      <c r="BE182">
        <v>-12.665248727883204</v>
      </c>
      <c r="BF182" s="6">
        <f t="shared" si="187"/>
        <v>3.6257507158085298</v>
      </c>
      <c r="BG182" s="6">
        <f t="shared" si="188"/>
        <v>0.48415806221874735</v>
      </c>
      <c r="BH182" s="6">
        <f t="shared" si="189"/>
        <v>-2.8403525524110815</v>
      </c>
      <c r="BI182" s="6">
        <f t="shared" si="190"/>
        <v>2.8403525524110815</v>
      </c>
      <c r="BJ182">
        <v>-36.552370448930944</v>
      </c>
      <c r="BK182">
        <v>-19.223161581369538</v>
      </c>
      <c r="BV182" s="38"/>
      <c r="BW182" s="6">
        <f t="shared" si="124"/>
        <v>2.9146998508305222</v>
      </c>
      <c r="BX182" s="9">
        <f t="shared" ca="1" si="125"/>
        <v>110.89596384402367</v>
      </c>
      <c r="BY182" s="9">
        <f t="shared" ca="1" si="126"/>
        <v>-31.629508317514599</v>
      </c>
      <c r="BZ182">
        <f t="shared" ca="1" si="127"/>
        <v>115.31843128183253</v>
      </c>
      <c r="CA182" s="6">
        <f t="shared" ca="1" si="128"/>
        <v>0.96164995145484966</v>
      </c>
      <c r="CB182" s="6">
        <f t="shared" ca="1" si="129"/>
        <v>-0.27427973105369124</v>
      </c>
      <c r="CC182" s="6">
        <f t="shared" ca="1" si="130"/>
        <v>-0.27784062944346449</v>
      </c>
      <c r="CD182" s="6">
        <f t="shared" ca="1" si="131"/>
        <v>-68.661669943627615</v>
      </c>
      <c r="CE182" s="9">
        <f t="shared" ca="1" si="132"/>
        <v>-49.115256315950752</v>
      </c>
      <c r="CF182">
        <f t="shared" ca="1" si="133"/>
        <v>84.419981772262872</v>
      </c>
      <c r="CG182" s="6">
        <f t="shared" ca="1" si="134"/>
        <v>-0.81333433746590988</v>
      </c>
      <c r="CH182" s="6">
        <f t="shared" ca="1" si="135"/>
        <v>-0.58179657570227195</v>
      </c>
      <c r="CI182" s="6">
        <f t="shared" ca="1" si="136"/>
        <v>-2.5206568016690825</v>
      </c>
      <c r="CJ182" s="1">
        <f t="shared" ca="1" si="137"/>
        <v>-2.9771303421130555</v>
      </c>
      <c r="CK182" s="38"/>
    </row>
    <row r="183" spans="1:89" x14ac:dyDescent="0.25">
      <c r="BC183">
        <v>3.1590459461097256</v>
      </c>
      <c r="BD183">
        <v>-23.672862905784825</v>
      </c>
      <c r="BE183">
        <v>-13.20874480826498</v>
      </c>
      <c r="BF183" s="6">
        <f t="shared" si="187"/>
        <v>3.6505341859385307</v>
      </c>
      <c r="BG183" s="6">
        <f t="shared" si="188"/>
        <v>0.49148823982880518</v>
      </c>
      <c r="BH183" s="6">
        <f t="shared" si="189"/>
        <v>-2.8651360225410825</v>
      </c>
      <c r="BI183" s="6">
        <f t="shared" si="190"/>
        <v>2.8651360225410825</v>
      </c>
      <c r="BJ183">
        <v>-36.232719596423252</v>
      </c>
      <c r="BK183">
        <v>-20.216766715682112</v>
      </c>
      <c r="BV183" s="38"/>
      <c r="BW183" s="6">
        <f t="shared" si="124"/>
        <v>2.9321531433504653</v>
      </c>
      <c r="BX183" s="9">
        <f t="shared" ca="1" si="125"/>
        <v>111.27427980889523</v>
      </c>
      <c r="BY183" s="9">
        <f t="shared" ca="1" si="126"/>
        <v>-30.84969234408636</v>
      </c>
      <c r="BZ183">
        <f t="shared" ca="1" si="127"/>
        <v>115.47150672227798</v>
      </c>
      <c r="CA183" s="6">
        <f t="shared" ca="1" si="128"/>
        <v>0.96365140602627142</v>
      </c>
      <c r="CB183" s="6">
        <f t="shared" ca="1" si="129"/>
        <v>-0.26716281115377977</v>
      </c>
      <c r="CC183" s="6">
        <f t="shared" ca="1" si="130"/>
        <v>-0.2704476179996575</v>
      </c>
      <c r="CD183" s="6">
        <f t="shared" ca="1" si="131"/>
        <v>-69.039985908499176</v>
      </c>
      <c r="CE183" s="9">
        <f t="shared" ca="1" si="132"/>
        <v>-49.895072289378987</v>
      </c>
      <c r="CF183">
        <f t="shared" ca="1" si="133"/>
        <v>85.182380179284266</v>
      </c>
      <c r="CG183" s="6">
        <f t="shared" ca="1" si="134"/>
        <v>-0.81049608807819151</v>
      </c>
      <c r="CH183" s="6">
        <f t="shared" ca="1" si="135"/>
        <v>-0.58574404923135859</v>
      </c>
      <c r="CI183" s="6">
        <f t="shared" ca="1" si="136"/>
        <v>-2.5157948829723531</v>
      </c>
      <c r="CJ183" s="1">
        <f t="shared" ca="1" si="137"/>
        <v>-2.9819922608097849</v>
      </c>
      <c r="CK183" s="38"/>
    </row>
    <row r="184" spans="1:89" x14ac:dyDescent="0.25">
      <c r="A184">
        <f>A14</f>
        <v>0</v>
      </c>
      <c r="B184" t="str">
        <f t="shared" ref="B184:E184" si="214">B14</f>
        <v>Bar #</v>
      </c>
      <c r="C184" t="str">
        <f t="shared" si="214"/>
        <v>As (in^2)</v>
      </c>
      <c r="D184" t="str">
        <f t="shared" si="214"/>
        <v>x</v>
      </c>
      <c r="E184" t="str">
        <f t="shared" si="214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194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-23.250981603677484</v>
      </c>
      <c r="BE184">
        <v>-13.725344042087464</v>
      </c>
      <c r="BF184" s="6">
        <f t="shared" si="187"/>
        <v>3.6748585067557786</v>
      </c>
      <c r="BG184" s="6">
        <f t="shared" si="188"/>
        <v>0.49835926812610998</v>
      </c>
      <c r="BH184" s="6">
        <f t="shared" si="189"/>
        <v>-2.8894603433583304</v>
      </c>
      <c r="BI184" s="6">
        <f t="shared" si="190"/>
        <v>2.8894603433583304</v>
      </c>
      <c r="BJ184">
        <v>-35.77074092873459</v>
      </c>
      <c r="BK184">
        <v>-21.115913910903789</v>
      </c>
      <c r="BV184" s="38"/>
      <c r="BW184" s="6">
        <f t="shared" si="124"/>
        <v>2.9496064358704084</v>
      </c>
      <c r="BX184" s="9">
        <f t="shared" ca="1" si="125"/>
        <v>111.66929389239658</v>
      </c>
      <c r="BY184" s="9">
        <f t="shared" ca="1" si="126"/>
        <v>-30.006502773697971</v>
      </c>
      <c r="BZ184">
        <f t="shared" ca="1" si="127"/>
        <v>115.63053838469483</v>
      </c>
      <c r="CA184" s="6">
        <f t="shared" ca="1" si="128"/>
        <v>0.96574222910629837</v>
      </c>
      <c r="CB184" s="6">
        <f t="shared" ca="1" si="129"/>
        <v>-0.25950326957631559</v>
      </c>
      <c r="CC184" s="6">
        <f t="shared" ca="1" si="130"/>
        <v>-0.26250781639615162</v>
      </c>
      <c r="CD184" s="6">
        <f t="shared" ca="1" si="131"/>
        <v>-69.434999992000527</v>
      </c>
      <c r="CE184" s="9">
        <f t="shared" ca="1" si="132"/>
        <v>-50.738261859767377</v>
      </c>
      <c r="CF184">
        <f t="shared" ca="1" si="133"/>
        <v>85.997618806798585</v>
      </c>
      <c r="CG184" s="6">
        <f t="shared" ca="1" si="134"/>
        <v>-0.80740607653326457</v>
      </c>
      <c r="CH184" s="6">
        <f t="shared" ca="1" si="135"/>
        <v>-0.5899961250526653</v>
      </c>
      <c r="CI184" s="6">
        <f t="shared" ca="1" si="136"/>
        <v>-2.510538612074797</v>
      </c>
      <c r="CJ184" s="1">
        <f t="shared" ca="1" si="137"/>
        <v>-2.9872485317073409</v>
      </c>
      <c r="CK184" s="38"/>
    </row>
    <row r="185" spans="1:89" x14ac:dyDescent="0.25">
      <c r="A185">
        <f t="shared" ref="A185:E194" si="215">A15</f>
        <v>1</v>
      </c>
      <c r="B185">
        <f t="shared" si="215"/>
        <v>8</v>
      </c>
      <c r="C185">
        <f t="shared" ca="1" si="215"/>
        <v>0.79</v>
      </c>
      <c r="D185">
        <f t="shared" si="215"/>
        <v>2</v>
      </c>
      <c r="E185">
        <f t="shared" si="215"/>
        <v>2</v>
      </c>
      <c r="F185" s="1">
        <f t="shared" ref="F185:F194" si="216">D185-$I$2</f>
        <v>-4</v>
      </c>
      <c r="G185" s="1">
        <f t="shared" ref="G185:G194" si="217">E185-$I$3</f>
        <v>-10</v>
      </c>
      <c r="H185" s="6">
        <f t="shared" ref="H185:H194" si="218">F185*COS($B$27)+G185*SIN($B$27)</f>
        <v>-9.6471393249199107</v>
      </c>
      <c r="I185" s="6">
        <f t="shared" ref="I185:I194" si="219">-1*F185*SIN($B$27)+G185*COS($B$27)</f>
        <v>4.7888101701345205</v>
      </c>
      <c r="J185" s="6">
        <f t="shared" ref="J185:J194" si="220">$G$38-I185</f>
        <v>2.1538996264034953</v>
      </c>
      <c r="K185">
        <f t="shared" ref="K185:K194" ca="1" si="221">IF($B$28=0,-1,IF(C185=0,0,(($B$28-J185)/$B$28)*$B$30)*IF($B$28&lt;0,-1,1))</f>
        <v>3.7756670358345622E-4</v>
      </c>
      <c r="L185">
        <f ca="1">IF(K185&lt;0,0,IF(K185&lt;=$B$145,0.85*$B$143*((2*K185/$B$145)-POWER(K185/$B$145,2)),0.85*$B$143))/1000</f>
        <v>1.3991123728733525</v>
      </c>
      <c r="M185">
        <f ca="1">IF(K185&gt;0,MIN((K185*B$13),B$12)-L185,MAX(K185*B$13,-1*B$12))</f>
        <v>9.5503220310468784</v>
      </c>
      <c r="N185" s="6">
        <f t="shared" ref="N185:N194" ca="1" si="222">M185*C185</f>
        <v>7.5447544045270343</v>
      </c>
      <c r="O185" s="6">
        <f t="shared" ref="O185:O194" ca="1" si="223">N185*I185</f>
        <v>36.130396623566277</v>
      </c>
      <c r="P185" s="6">
        <f t="shared" ref="P185:P194" ca="1" si="224">N185*H185*-1</f>
        <v>72.785296912775451</v>
      </c>
      <c r="BC185">
        <v>3.1939525311496118</v>
      </c>
      <c r="BD185">
        <v>-22.925683024830327</v>
      </c>
      <c r="BE185">
        <v>-14.313287377590118</v>
      </c>
      <c r="BF185" s="6">
        <f t="shared" si="187"/>
        <v>3.6997130295146463</v>
      </c>
      <c r="BG185" s="6">
        <f t="shared" si="188"/>
        <v>0.50576049836503456</v>
      </c>
      <c r="BH185" s="6">
        <f t="shared" si="189"/>
        <v>-2.914314866117198</v>
      </c>
      <c r="BI185" s="6">
        <f t="shared" si="190"/>
        <v>2.914314866117198</v>
      </c>
      <c r="BJ185">
        <v>-35.270281576662043</v>
      </c>
      <c r="BK185">
        <v>-22.020442119369413</v>
      </c>
      <c r="BV185" s="38"/>
      <c r="BW185" s="6">
        <f t="shared" si="124"/>
        <v>2.9670597283903515</v>
      </c>
      <c r="BX185" s="9">
        <f t="shared" ca="1" si="125"/>
        <v>112.07820420055521</v>
      </c>
      <c r="BY185" s="9">
        <f t="shared" ca="1" si="126"/>
        <v>-29.104359844770769</v>
      </c>
      <c r="BZ185">
        <f t="shared" ca="1" si="127"/>
        <v>115.79545595054779</v>
      </c>
      <c r="CA185" s="6">
        <f t="shared" ca="1" si="128"/>
        <v>0.96789812070363024</v>
      </c>
      <c r="CB185" s="6">
        <f t="shared" ca="1" si="129"/>
        <v>-0.25134284938780527</v>
      </c>
      <c r="CC185" s="6">
        <f t="shared" ca="1" si="130"/>
        <v>-0.25406739287783703</v>
      </c>
      <c r="CD185" s="6">
        <f t="shared" ca="1" si="131"/>
        <v>-69.843910300159152</v>
      </c>
      <c r="CE185" s="9">
        <f t="shared" ca="1" si="132"/>
        <v>-51.640404788694582</v>
      </c>
      <c r="CF185">
        <f t="shared" ca="1" si="133"/>
        <v>86.861402318618531</v>
      </c>
      <c r="CG185" s="6">
        <f t="shared" ca="1" si="134"/>
        <v>-0.80408453508455824</v>
      </c>
      <c r="CH185" s="6">
        <f t="shared" ca="1" si="135"/>
        <v>-0.59451497915346907</v>
      </c>
      <c r="CI185" s="6">
        <f t="shared" ca="1" si="136"/>
        <v>-2.5049303358316517</v>
      </c>
      <c r="CJ185" s="1">
        <f t="shared" ca="1" si="137"/>
        <v>-2.9928568079504863</v>
      </c>
      <c r="CK185" s="38"/>
    </row>
    <row r="186" spans="1:89" x14ac:dyDescent="0.25">
      <c r="A186">
        <f t="shared" si="215"/>
        <v>2</v>
      </c>
      <c r="B186">
        <f t="shared" si="215"/>
        <v>8</v>
      </c>
      <c r="C186">
        <f t="shared" ca="1" si="215"/>
        <v>0.79</v>
      </c>
      <c r="D186">
        <f t="shared" si="215"/>
        <v>2</v>
      </c>
      <c r="E186">
        <f t="shared" si="215"/>
        <v>4</v>
      </c>
      <c r="F186" s="1">
        <f t="shared" si="216"/>
        <v>-4</v>
      </c>
      <c r="G186" s="1">
        <f t="shared" si="217"/>
        <v>-8</v>
      </c>
      <c r="H186" s="6">
        <f t="shared" si="218"/>
        <v>-7.6535766709589241</v>
      </c>
      <c r="I186" s="6">
        <f t="shared" si="219"/>
        <v>4.6284731976920108</v>
      </c>
      <c r="J186" s="6">
        <f t="shared" si="220"/>
        <v>2.314236598846005</v>
      </c>
      <c r="K186">
        <f t="shared" ca="1" si="221"/>
        <v>1.823519359009203E-4</v>
      </c>
      <c r="L186">
        <f t="shared" ref="L186:L194" ca="1" si="225">IF(K186&lt;0,0,IF(K186&lt;=$B$145,0.85*$B$143*((2*K186/$B$145)-POWER(K186/$B$145,2)),0.85*$B$143))/1000</f>
        <v>0.71048361105023883</v>
      </c>
      <c r="M186">
        <f t="shared" ref="M186:M194" ca="1" si="226">IF(K186&gt;0,MIN((K186*B$13),B$12)-L186,MAX(K186*B$13,-1*B$12))</f>
        <v>4.5777225300764499</v>
      </c>
      <c r="N186" s="6">
        <f t="shared" ca="1" si="222"/>
        <v>3.6164007987603957</v>
      </c>
      <c r="O186" s="6">
        <f t="shared" ca="1" si="223"/>
        <v>16.738414169174472</v>
      </c>
      <c r="P186" s="6">
        <f t="shared" ca="1" si="224"/>
        <v>27.678400786229783</v>
      </c>
      <c r="BC186">
        <v>3.2114058236695548</v>
      </c>
      <c r="BD186">
        <v>-22.610318820419042</v>
      </c>
      <c r="BE186">
        <v>-14.896237285311187</v>
      </c>
      <c r="BF186" s="6">
        <f t="shared" si="187"/>
        <v>3.7241465598801486</v>
      </c>
      <c r="BG186" s="6">
        <f t="shared" si="188"/>
        <v>0.51274073621059379</v>
      </c>
      <c r="BH186" s="6">
        <f t="shared" si="189"/>
        <v>-2.9387483964827004</v>
      </c>
      <c r="BI186" s="6">
        <f t="shared" si="190"/>
        <v>2.9387483964827004</v>
      </c>
      <c r="BJ186">
        <v>-34.785105877567759</v>
      </c>
      <c r="BK186">
        <v>-22.917288131247979</v>
      </c>
      <c r="BV186" s="38"/>
      <c r="BW186" s="6">
        <f t="shared" si="124"/>
        <v>2.9845130209102946</v>
      </c>
      <c r="BX186" s="9">
        <f t="shared" ca="1" si="125"/>
        <v>112.49801787673286</v>
      </c>
      <c r="BY186" s="9">
        <f t="shared" ca="1" si="126"/>
        <v>-28.14812158406977</v>
      </c>
      <c r="BZ186">
        <f t="shared" ca="1" si="127"/>
        <v>115.96603284973268</v>
      </c>
      <c r="CA186" s="6">
        <f t="shared" ca="1" si="128"/>
        <v>0.97009456228020119</v>
      </c>
      <c r="CB186" s="6">
        <f t="shared" ca="1" si="129"/>
        <v>-0.24272729602248055</v>
      </c>
      <c r="CC186" s="6">
        <f t="shared" ca="1" si="130"/>
        <v>-0.24517623793793847</v>
      </c>
      <c r="CD186" s="6">
        <f t="shared" ca="1" si="131"/>
        <v>-70.263723976336806</v>
      </c>
      <c r="CE186" s="9">
        <f t="shared" ca="1" si="132"/>
        <v>-52.596643049395581</v>
      </c>
      <c r="CF186">
        <f t="shared" ca="1" si="133"/>
        <v>87.76900231339296</v>
      </c>
      <c r="CG186" s="6">
        <f t="shared" ca="1" si="134"/>
        <v>-0.80055283897895047</v>
      </c>
      <c r="CH186" s="6">
        <f t="shared" ca="1" si="135"/>
        <v>-0.59926217301173179</v>
      </c>
      <c r="CI186" s="6">
        <f t="shared" ca="1" si="136"/>
        <v>-2.4990135099051081</v>
      </c>
      <c r="CJ186" s="1">
        <f t="shared" ca="1" si="137"/>
        <v>-2.9987736338770299</v>
      </c>
      <c r="CK186" s="38"/>
    </row>
    <row r="187" spans="1:89" x14ac:dyDescent="0.25">
      <c r="A187">
        <f t="shared" si="215"/>
        <v>3</v>
      </c>
      <c r="B187">
        <f t="shared" si="215"/>
        <v>8</v>
      </c>
      <c r="C187">
        <f t="shared" ca="1" si="215"/>
        <v>0.79</v>
      </c>
      <c r="D187">
        <f t="shared" si="215"/>
        <v>4</v>
      </c>
      <c r="E187">
        <f t="shared" si="215"/>
        <v>2</v>
      </c>
      <c r="F187" s="1">
        <f t="shared" si="216"/>
        <v>-2</v>
      </c>
      <c r="G187" s="1">
        <f t="shared" si="217"/>
        <v>-10</v>
      </c>
      <c r="H187" s="6">
        <f t="shared" si="218"/>
        <v>-9.8074762973624203</v>
      </c>
      <c r="I187" s="6">
        <f t="shared" si="219"/>
        <v>2.7952475161735344</v>
      </c>
      <c r="J187" s="6">
        <f t="shared" si="220"/>
        <v>4.1474622803644809</v>
      </c>
      <c r="K187">
        <f t="shared" ca="1" si="221"/>
        <v>-2.0496518251505516E-3</v>
      </c>
      <c r="L187">
        <f t="shared" ca="1" si="225"/>
        <v>0</v>
      </c>
      <c r="M187">
        <f t="shared" ca="1" si="226"/>
        <v>-59.439902929365999</v>
      </c>
      <c r="N187" s="6">
        <f t="shared" ca="1" si="222"/>
        <v>-46.957523314199143</v>
      </c>
      <c r="O187" s="6">
        <f t="shared" ca="1" si="223"/>
        <v>-131.25790040967598</v>
      </c>
      <c r="P187" s="6">
        <f t="shared" ca="1" si="224"/>
        <v>-460.53479688685132</v>
      </c>
      <c r="BC187">
        <v>3.2288591161894979</v>
      </c>
      <c r="BD187">
        <v>-22.302078150797993</v>
      </c>
      <c r="BE187">
        <v>-15.475401039394313</v>
      </c>
      <c r="BF187" s="6">
        <f t="shared" si="187"/>
        <v>3.7482125826383141</v>
      </c>
      <c r="BG187" s="6">
        <f t="shared" si="188"/>
        <v>0.51935346644881619</v>
      </c>
      <c r="BH187" s="6">
        <f t="shared" si="189"/>
        <v>-2.9628144192408659</v>
      </c>
      <c r="BI187" s="6">
        <f t="shared" si="190"/>
        <v>2.9628144192408659</v>
      </c>
      <c r="BJ187">
        <v>-34.310889462766141</v>
      </c>
      <c r="BK187">
        <v>-23.808309291375867</v>
      </c>
      <c r="BV187" s="38"/>
      <c r="BW187" s="6">
        <f t="shared" si="124"/>
        <v>3.0019663134302377</v>
      </c>
      <c r="BX187" s="9">
        <f t="shared" ca="1" si="125"/>
        <v>112.92544675777322</v>
      </c>
      <c r="BY187" s="9">
        <f t="shared" ca="1" si="126"/>
        <v>-27.143344653006459</v>
      </c>
      <c r="BZ187">
        <f t="shared" ca="1" si="127"/>
        <v>116.14179990164854</v>
      </c>
      <c r="CA187" s="6">
        <f t="shared" ca="1" si="128"/>
        <v>0.97230667040980079</v>
      </c>
      <c r="CB187" s="6">
        <f t="shared" ca="1" si="129"/>
        <v>-0.23370866196315235</v>
      </c>
      <c r="CC187" s="6">
        <f t="shared" ca="1" si="130"/>
        <v>-0.23589023759856192</v>
      </c>
      <c r="CD187" s="6">
        <f t="shared" ca="1" si="131"/>
        <v>-70.691152857377162</v>
      </c>
      <c r="CE187" s="9">
        <f t="shared" ca="1" si="132"/>
        <v>-53.601419980458893</v>
      </c>
      <c r="CF187">
        <f t="shared" ca="1" si="133"/>
        <v>88.715000514155449</v>
      </c>
      <c r="CG187" s="6">
        <f t="shared" ca="1" si="134"/>
        <v>-0.7968342720811642</v>
      </c>
      <c r="CH187" s="6">
        <f t="shared" ca="1" si="135"/>
        <v>-0.60419793349272655</v>
      </c>
      <c r="CI187" s="6">
        <f t="shared" ca="1" si="136"/>
        <v>-2.4928337370261113</v>
      </c>
      <c r="CJ187" s="1">
        <f t="shared" ca="1" si="137"/>
        <v>-3.0049534067560266</v>
      </c>
      <c r="CK187" s="38"/>
    </row>
    <row r="188" spans="1:89" x14ac:dyDescent="0.25">
      <c r="A188">
        <f t="shared" si="215"/>
        <v>4</v>
      </c>
      <c r="B188">
        <f t="shared" si="215"/>
        <v>8</v>
      </c>
      <c r="C188">
        <f t="shared" ca="1" si="215"/>
        <v>0.79</v>
      </c>
      <c r="D188">
        <f t="shared" si="215"/>
        <v>4</v>
      </c>
      <c r="E188">
        <f t="shared" si="215"/>
        <v>4</v>
      </c>
      <c r="F188" s="1">
        <f t="shared" si="216"/>
        <v>-2</v>
      </c>
      <c r="G188" s="1">
        <f t="shared" si="217"/>
        <v>-8</v>
      </c>
      <c r="H188" s="6">
        <f t="shared" si="218"/>
        <v>-7.8139136434014338</v>
      </c>
      <c r="I188" s="6">
        <f t="shared" si="219"/>
        <v>2.6349105437310247</v>
      </c>
      <c r="J188" s="6">
        <f t="shared" si="220"/>
        <v>4.3077992528069906</v>
      </c>
      <c r="K188">
        <f t="shared" ca="1" si="221"/>
        <v>-2.2448665928330876E-3</v>
      </c>
      <c r="L188">
        <f t="shared" ca="1" si="225"/>
        <v>0</v>
      </c>
      <c r="M188">
        <f t="shared" ca="1" si="226"/>
        <v>-60</v>
      </c>
      <c r="N188" s="6">
        <f t="shared" ca="1" si="222"/>
        <v>-47.400000000000006</v>
      </c>
      <c r="O188" s="6">
        <f t="shared" ca="1" si="223"/>
        <v>-124.89475977285059</v>
      </c>
      <c r="P188" s="6">
        <f t="shared" ca="1" si="224"/>
        <v>-370.37950669722801</v>
      </c>
      <c r="BC188">
        <v>3.246312408709441</v>
      </c>
      <c r="BD188">
        <v>-21.999458902238931</v>
      </c>
      <c r="BE188">
        <v>-16.050904424623148</v>
      </c>
      <c r="BF188" s="6">
        <f t="shared" si="187"/>
        <v>3.7719123607972813</v>
      </c>
      <c r="BG188" s="6">
        <f t="shared" si="188"/>
        <v>0.52559995208784027</v>
      </c>
      <c r="BH188" s="6">
        <f t="shared" si="189"/>
        <v>-2.986514197399833</v>
      </c>
      <c r="BI188" s="6">
        <f t="shared" si="190"/>
        <v>2.986514197399833</v>
      </c>
      <c r="BJ188">
        <v>-33.845321388059894</v>
      </c>
      <c r="BK188">
        <v>-24.693699114804843</v>
      </c>
      <c r="BV188" s="38"/>
      <c r="BW188" s="6">
        <f t="shared" si="124"/>
        <v>3.0194196059501808</v>
      </c>
      <c r="BX188" s="9">
        <f t="shared" ca="1" si="125"/>
        <v>113.35681451147286</v>
      </c>
      <c r="BY188" s="9">
        <f t="shared" ca="1" si="126"/>
        <v>-26.096558928457576</v>
      </c>
      <c r="BZ188">
        <f t="shared" ca="1" si="127"/>
        <v>116.32195744611128</v>
      </c>
      <c r="CA188" s="6">
        <f t="shared" ca="1" si="128"/>
        <v>0.97450917264685744</v>
      </c>
      <c r="CB188" s="6">
        <f t="shared" ca="1" si="129"/>
        <v>-0.22434765973180415</v>
      </c>
      <c r="CC188" s="6">
        <f t="shared" ca="1" si="130"/>
        <v>-0.2262735806123066</v>
      </c>
      <c r="CD188" s="6">
        <f t="shared" ca="1" si="131"/>
        <v>-71.122520611076808</v>
      </c>
      <c r="CE188" s="9">
        <f t="shared" ca="1" si="132"/>
        <v>-54.648205705007776</v>
      </c>
      <c r="CF188">
        <f t="shared" ca="1" si="133"/>
        <v>89.69302829568133</v>
      </c>
      <c r="CG188" s="6">
        <f t="shared" ca="1" si="134"/>
        <v>-0.79295483676406675</v>
      </c>
      <c r="CH188" s="6">
        <f t="shared" ca="1" si="135"/>
        <v>-0.60928041725667836</v>
      </c>
      <c r="CI188" s="6">
        <f t="shared" ca="1" si="136"/>
        <v>-2.4864398494084736</v>
      </c>
      <c r="CJ188" s="1">
        <f t="shared" ca="1" si="137"/>
        <v>-3.0113472943736643</v>
      </c>
      <c r="CK188" s="38"/>
    </row>
    <row r="189" spans="1:89" x14ac:dyDescent="0.25">
      <c r="A189">
        <f t="shared" si="215"/>
        <v>5</v>
      </c>
      <c r="B189">
        <f t="shared" si="215"/>
        <v>0</v>
      </c>
      <c r="C189">
        <f t="shared" ca="1" si="215"/>
        <v>0</v>
      </c>
      <c r="D189">
        <f t="shared" si="215"/>
        <v>6</v>
      </c>
      <c r="E189">
        <f t="shared" si="215"/>
        <v>2</v>
      </c>
      <c r="F189" s="1">
        <f t="shared" si="216"/>
        <v>0</v>
      </c>
      <c r="G189" s="1">
        <f t="shared" si="217"/>
        <v>-10</v>
      </c>
      <c r="H189" s="6">
        <f t="shared" si="218"/>
        <v>-9.96781326980493</v>
      </c>
      <c r="I189" s="6">
        <f t="shared" si="219"/>
        <v>0.80168486221254842</v>
      </c>
      <c r="J189" s="6">
        <f t="shared" si="220"/>
        <v>6.1410249343254675</v>
      </c>
      <c r="K189">
        <f t="shared" ca="1" si="221"/>
        <v>0</v>
      </c>
      <c r="L189">
        <f t="shared" ca="1" si="225"/>
        <v>0</v>
      </c>
      <c r="M189">
        <f t="shared" ca="1" si="226"/>
        <v>0</v>
      </c>
      <c r="N189" s="6">
        <f t="shared" ca="1" si="222"/>
        <v>0</v>
      </c>
      <c r="O189" s="6">
        <f t="shared" ca="1" si="223"/>
        <v>0</v>
      </c>
      <c r="P189" s="6">
        <f t="shared" ca="1" si="224"/>
        <v>0</v>
      </c>
      <c r="BC189">
        <v>3.2637657012293841</v>
      </c>
      <c r="BD189">
        <v>-21.702350917592891</v>
      </c>
      <c r="BE189">
        <v>-16.621913620991094</v>
      </c>
      <c r="BF189" s="6">
        <f t="shared" si="187"/>
        <v>3.795194756102755</v>
      </c>
      <c r="BG189" s="6">
        <f t="shared" si="188"/>
        <v>0.53142905487337089</v>
      </c>
      <c r="BH189" s="6">
        <f t="shared" si="189"/>
        <v>-3.0097965927053068</v>
      </c>
      <c r="BI189" s="6">
        <f t="shared" si="190"/>
        <v>3.0097965927053068</v>
      </c>
      <c r="BJ189">
        <v>-33.388232180912141</v>
      </c>
      <c r="BK189">
        <v>-25.57217480152476</v>
      </c>
      <c r="BV189" s="38"/>
      <c r="BW189" s="6">
        <f t="shared" si="124"/>
        <v>3.0368728984701239</v>
      </c>
      <c r="BX189" s="9">
        <f t="shared" ca="1" si="125"/>
        <v>113.7880023112581</v>
      </c>
      <c r="BY189" s="9">
        <f t="shared" ca="1" si="126"/>
        <v>-25.015520215188094</v>
      </c>
      <c r="BZ189">
        <f t="shared" ca="1" si="127"/>
        <v>116.5053034055676</v>
      </c>
      <c r="CA189" s="6">
        <f t="shared" ca="1" si="128"/>
        <v>0.97667658883432729</v>
      </c>
      <c r="CB189" s="6">
        <f t="shared" ca="1" si="129"/>
        <v>-0.21471572094968375</v>
      </c>
      <c r="CC189" s="6">
        <f t="shared" ca="1" si="130"/>
        <v>-0.21640075278163604</v>
      </c>
      <c r="CD189" s="6">
        <f t="shared" ca="1" si="131"/>
        <v>-71.553708410862043</v>
      </c>
      <c r="CE189" s="9">
        <f t="shared" ca="1" si="132"/>
        <v>-55.729244418277261</v>
      </c>
      <c r="CF189">
        <f t="shared" ca="1" si="133"/>
        <v>90.695544933468241</v>
      </c>
      <c r="CG189" s="6">
        <f t="shared" ca="1" si="134"/>
        <v>-0.78894402655998019</v>
      </c>
      <c r="CH189" s="6">
        <f t="shared" ca="1" si="135"/>
        <v>-0.61446507057384903</v>
      </c>
      <c r="CI189" s="6">
        <f t="shared" ca="1" si="136"/>
        <v>-2.4798848984275819</v>
      </c>
      <c r="CJ189" s="1">
        <f t="shared" ca="1" si="137"/>
        <v>-3.0179022453545561</v>
      </c>
      <c r="CK189" s="38"/>
    </row>
    <row r="190" spans="1:89" x14ac:dyDescent="0.25">
      <c r="A190">
        <f t="shared" si="215"/>
        <v>6</v>
      </c>
      <c r="B190">
        <f t="shared" si="215"/>
        <v>0</v>
      </c>
      <c r="C190">
        <f t="shared" ca="1" si="215"/>
        <v>0</v>
      </c>
      <c r="D190">
        <f t="shared" si="215"/>
        <v>0</v>
      </c>
      <c r="E190">
        <f t="shared" si="215"/>
        <v>8.66</v>
      </c>
      <c r="F190" s="1">
        <f t="shared" si="216"/>
        <v>-6</v>
      </c>
      <c r="G190" s="1">
        <f t="shared" si="217"/>
        <v>-3.34</v>
      </c>
      <c r="H190" s="6">
        <f t="shared" si="218"/>
        <v>-2.8482387147873172</v>
      </c>
      <c r="I190" s="6">
        <f t="shared" si="219"/>
        <v>6.2484507058619494</v>
      </c>
      <c r="J190" s="6">
        <f t="shared" si="220"/>
        <v>0.69425909067606639</v>
      </c>
      <c r="K190">
        <f t="shared" ca="1" si="221"/>
        <v>0</v>
      </c>
      <c r="L190">
        <f t="shared" ca="1" si="225"/>
        <v>0</v>
      </c>
      <c r="M190">
        <f t="shared" ca="1" si="226"/>
        <v>0</v>
      </c>
      <c r="N190" s="6">
        <f t="shared" ca="1" si="222"/>
        <v>0</v>
      </c>
      <c r="O190" s="6">
        <f t="shared" ca="1" si="223"/>
        <v>0</v>
      </c>
      <c r="P190" s="6">
        <f t="shared" ca="1" si="224"/>
        <v>0</v>
      </c>
      <c r="BC190">
        <v>3.2812189937493272</v>
      </c>
      <c r="BD190">
        <v>-21.405974816057224</v>
      </c>
      <c r="BE190">
        <v>-17.198004381830046</v>
      </c>
      <c r="BF190" s="6">
        <f t="shared" si="187"/>
        <v>3.8184159423993362</v>
      </c>
      <c r="BG190" s="6">
        <f t="shared" si="188"/>
        <v>0.537196948650009</v>
      </c>
      <c r="BH190" s="6">
        <f t="shared" si="189"/>
        <v>-3.033017779001888</v>
      </c>
      <c r="BI190" s="6">
        <f t="shared" si="190"/>
        <v>3.033017779001888</v>
      </c>
      <c r="BJ190">
        <v>-32.932268947780344</v>
      </c>
      <c r="BK190">
        <v>-26.458468279738533</v>
      </c>
      <c r="BV190" s="38"/>
      <c r="BW190" s="6">
        <f t="shared" si="124"/>
        <v>3.054326190990067</v>
      </c>
      <c r="BX190" s="9">
        <f t="shared" ca="1" si="125"/>
        <v>114.21451074150849</v>
      </c>
      <c r="BY190" s="9">
        <f t="shared" ca="1" si="126"/>
        <v>-23.909301826348678</v>
      </c>
      <c r="BZ190">
        <f t="shared" ca="1" si="127"/>
        <v>116.69022743034482</v>
      </c>
      <c r="CA190" s="6">
        <f t="shared" ca="1" si="128"/>
        <v>0.97878385582619465</v>
      </c>
      <c r="CB190" s="6">
        <f t="shared" ca="1" si="129"/>
        <v>-0.20489549427453735</v>
      </c>
      <c r="CC190" s="6">
        <f t="shared" ca="1" si="130"/>
        <v>-0.20635693507326761</v>
      </c>
      <c r="CD190" s="6">
        <f t="shared" ca="1" si="131"/>
        <v>-71.980216841112437</v>
      </c>
      <c r="CE190" s="9">
        <f t="shared" ca="1" si="132"/>
        <v>-56.83546280711667</v>
      </c>
      <c r="CF190">
        <f t="shared" ca="1" si="133"/>
        <v>91.713801845702093</v>
      </c>
      <c r="CG190" s="6">
        <f t="shared" ca="1" si="134"/>
        <v>-0.78483516540085052</v>
      </c>
      <c r="CH190" s="6">
        <f t="shared" ca="1" si="135"/>
        <v>-0.61970457731907991</v>
      </c>
      <c r="CI190" s="6">
        <f t="shared" ca="1" si="136"/>
        <v>-2.4732264200158194</v>
      </c>
      <c r="CJ190" s="1">
        <f t="shared" ca="1" si="137"/>
        <v>-3.0245607237663186</v>
      </c>
      <c r="CK190" s="38"/>
    </row>
    <row r="191" spans="1:89" x14ac:dyDescent="0.25">
      <c r="A191">
        <f t="shared" si="215"/>
        <v>7</v>
      </c>
      <c r="B191">
        <f t="shared" si="215"/>
        <v>0</v>
      </c>
      <c r="C191">
        <f t="shared" ca="1" si="215"/>
        <v>0</v>
      </c>
      <c r="D191">
        <f t="shared" si="215"/>
        <v>2</v>
      </c>
      <c r="E191">
        <f t="shared" si="215"/>
        <v>15.33</v>
      </c>
      <c r="F191" s="1">
        <f t="shared" si="216"/>
        <v>-4</v>
      </c>
      <c r="G191" s="1">
        <f t="shared" si="217"/>
        <v>3.33</v>
      </c>
      <c r="H191" s="6">
        <f t="shared" si="218"/>
        <v>3.639955763730061</v>
      </c>
      <c r="I191" s="6">
        <f t="shared" si="219"/>
        <v>3.7201642488051929</v>
      </c>
      <c r="J191" s="6">
        <f t="shared" si="220"/>
        <v>3.2225455477328229</v>
      </c>
      <c r="K191">
        <f t="shared" ca="1" si="221"/>
        <v>0</v>
      </c>
      <c r="L191">
        <f t="shared" ca="1" si="225"/>
        <v>0</v>
      </c>
      <c r="M191">
        <f t="shared" ca="1" si="226"/>
        <v>0</v>
      </c>
      <c r="N191" s="6">
        <f t="shared" ca="1" si="222"/>
        <v>0</v>
      </c>
      <c r="O191" s="6">
        <f t="shared" ca="1" si="223"/>
        <v>0</v>
      </c>
      <c r="P191" s="6">
        <f t="shared" ca="1" si="224"/>
        <v>0</v>
      </c>
      <c r="BC191">
        <v>3.2986722862692703</v>
      </c>
      <c r="BD191">
        <v>-21.114176320318514</v>
      </c>
      <c r="BE191">
        <v>-17.771909080421725</v>
      </c>
      <c r="BF191" s="6">
        <f t="shared" si="187"/>
        <v>3.8412513235502379</v>
      </c>
      <c r="BG191" s="6">
        <f t="shared" si="188"/>
        <v>0.54257903728096757</v>
      </c>
      <c r="BH191" s="6">
        <f t="shared" si="189"/>
        <v>-3.0558531601527896</v>
      </c>
      <c r="BI191" s="6">
        <f t="shared" si="190"/>
        <v>3.0558531601527896</v>
      </c>
      <c r="BJ191">
        <v>-32.483348185105406</v>
      </c>
      <c r="BK191">
        <v>-27.341398585264191</v>
      </c>
      <c r="BV191" s="38"/>
      <c r="BW191" s="6">
        <f t="shared" si="124"/>
        <v>3.0717794835100101</v>
      </c>
      <c r="BX191" s="9">
        <f t="shared" ca="1" si="125"/>
        <v>114.63187875856423</v>
      </c>
      <c r="BY191" s="9">
        <f t="shared" ca="1" si="126"/>
        <v>-22.787671546541151</v>
      </c>
      <c r="BZ191">
        <f t="shared" ca="1" si="127"/>
        <v>116.8749143410647</v>
      </c>
      <c r="CA191" s="6">
        <f t="shared" ca="1" si="128"/>
        <v>0.98080823763468317</v>
      </c>
      <c r="CB191" s="6">
        <f t="shared" ca="1" si="129"/>
        <v>-0.1949748727091436</v>
      </c>
      <c r="CC191" s="6">
        <f t="shared" ca="1" si="130"/>
        <v>-0.19623183113449022</v>
      </c>
      <c r="CD191" s="6">
        <f t="shared" ca="1" si="131"/>
        <v>-72.397584858168173</v>
      </c>
      <c r="CE191" s="9">
        <f t="shared" ca="1" si="132"/>
        <v>-57.957093086924203</v>
      </c>
      <c r="CF191">
        <f t="shared" ca="1" si="133"/>
        <v>92.738529923554751</v>
      </c>
      <c r="CG191" s="6">
        <f t="shared" ca="1" si="134"/>
        <v>-0.7806634946429083</v>
      </c>
      <c r="CH191" s="6">
        <f t="shared" ca="1" si="135"/>
        <v>-0.62495160463184807</v>
      </c>
      <c r="CI191" s="6">
        <f t="shared" ca="1" si="136"/>
        <v>-2.4665231148018991</v>
      </c>
      <c r="CJ191" s="1">
        <f t="shared" ca="1" si="137"/>
        <v>-3.0312640289802388</v>
      </c>
      <c r="CK191" s="38"/>
    </row>
    <row r="192" spans="1:89" x14ac:dyDescent="0.25">
      <c r="A192">
        <f t="shared" si="215"/>
        <v>8</v>
      </c>
      <c r="B192">
        <f t="shared" si="215"/>
        <v>0</v>
      </c>
      <c r="C192">
        <f t="shared" ca="1" si="215"/>
        <v>0</v>
      </c>
      <c r="D192">
        <f t="shared" si="215"/>
        <v>10</v>
      </c>
      <c r="E192">
        <f t="shared" si="215"/>
        <v>15.33</v>
      </c>
      <c r="F192" s="1">
        <f t="shared" si="216"/>
        <v>4</v>
      </c>
      <c r="G192" s="1">
        <f t="shared" si="217"/>
        <v>3.33</v>
      </c>
      <c r="H192" s="6">
        <f t="shared" si="218"/>
        <v>2.9986078739600224</v>
      </c>
      <c r="I192" s="6">
        <f t="shared" si="219"/>
        <v>-4.2540863670387505</v>
      </c>
      <c r="J192" s="6">
        <f t="shared" si="220"/>
        <v>11.196796163576767</v>
      </c>
      <c r="K192">
        <f t="shared" ca="1" si="221"/>
        <v>0</v>
      </c>
      <c r="L192">
        <f t="shared" ca="1" si="225"/>
        <v>0</v>
      </c>
      <c r="M192">
        <f t="shared" ca="1" si="226"/>
        <v>0</v>
      </c>
      <c r="N192" s="6">
        <f t="shared" ca="1" si="222"/>
        <v>0</v>
      </c>
      <c r="O192" s="6">
        <f t="shared" ca="1" si="223"/>
        <v>0</v>
      </c>
      <c r="P192" s="6">
        <f t="shared" ca="1" si="224"/>
        <v>0</v>
      </c>
      <c r="BC192">
        <v>3.3161255787892134</v>
      </c>
      <c r="BD192">
        <v>-20.828813180663751</v>
      </c>
      <c r="BE192">
        <v>-18.339691768723249</v>
      </c>
      <c r="BF192" s="6">
        <f t="shared" si="187"/>
        <v>3.8635271041522414</v>
      </c>
      <c r="BG192" s="6">
        <f t="shared" si="188"/>
        <v>0.547401525363028</v>
      </c>
      <c r="BH192" s="6">
        <f t="shared" si="189"/>
        <v>-3.0781289407547932</v>
      </c>
      <c r="BI192" s="6">
        <f t="shared" si="190"/>
        <v>3.0781289407547932</v>
      </c>
      <c r="BJ192">
        <v>-32.044327970251921</v>
      </c>
      <c r="BK192">
        <v>-28.21491041342038</v>
      </c>
      <c r="BV192" s="38"/>
      <c r="BW192" s="6">
        <f t="shared" si="124"/>
        <v>3.0892327760299532</v>
      </c>
      <c r="BX192" s="9">
        <f t="shared" ca="1" si="125"/>
        <v>115.03718559916811</v>
      </c>
      <c r="BY192" s="9">
        <f t="shared" ca="1" si="126"/>
        <v>-21.657580351447621</v>
      </c>
      <c r="BZ192">
        <f t="shared" ca="1" si="127"/>
        <v>117.05812597704126</v>
      </c>
      <c r="CA192" s="6">
        <f t="shared" ca="1" si="128"/>
        <v>0.98273558233565506</v>
      </c>
      <c r="CB192" s="6">
        <f t="shared" ca="1" si="129"/>
        <v>-0.18501560802105568</v>
      </c>
      <c r="CC192" s="6">
        <f t="shared" ca="1" si="130"/>
        <v>-0.18608774452548543</v>
      </c>
      <c r="CD192" s="6">
        <f t="shared" ca="1" si="131"/>
        <v>-72.802891698772058</v>
      </c>
      <c r="CE192" s="9">
        <f t="shared" ca="1" si="132"/>
        <v>-59.087184282017731</v>
      </c>
      <c r="CF192">
        <f t="shared" ca="1" si="133"/>
        <v>93.763299782378908</v>
      </c>
      <c r="CG192" s="6">
        <f t="shared" ca="1" si="134"/>
        <v>-0.77645402697798427</v>
      </c>
      <c r="CH192" s="6">
        <f t="shared" ca="1" si="135"/>
        <v>-0.63017389980042149</v>
      </c>
      <c r="CI192" s="6">
        <f t="shared" ca="1" si="136"/>
        <v>-2.4598154957354454</v>
      </c>
      <c r="CJ192" s="1">
        <f t="shared" ca="1" si="137"/>
        <v>-3.0379716480466925</v>
      </c>
      <c r="CK192" s="38"/>
    </row>
    <row r="193" spans="1:89" x14ac:dyDescent="0.25">
      <c r="A193">
        <f t="shared" si="215"/>
        <v>9</v>
      </c>
      <c r="B193">
        <f t="shared" si="215"/>
        <v>0</v>
      </c>
      <c r="C193">
        <f t="shared" ca="1" si="215"/>
        <v>0</v>
      </c>
      <c r="D193">
        <f t="shared" si="215"/>
        <v>8</v>
      </c>
      <c r="E193">
        <f t="shared" si="215"/>
        <v>2</v>
      </c>
      <c r="F193" s="1">
        <f t="shared" si="216"/>
        <v>2</v>
      </c>
      <c r="G193" s="1">
        <f t="shared" si="217"/>
        <v>-10</v>
      </c>
      <c r="H193" s="6">
        <f t="shared" si="218"/>
        <v>-10.12815024224744</v>
      </c>
      <c r="I193" s="6">
        <f t="shared" si="219"/>
        <v>-1.1918777917484373</v>
      </c>
      <c r="J193" s="6">
        <f t="shared" si="220"/>
        <v>8.134587588286454</v>
      </c>
      <c r="K193">
        <f t="shared" ca="1" si="221"/>
        <v>0</v>
      </c>
      <c r="L193">
        <f t="shared" ca="1" si="225"/>
        <v>0</v>
      </c>
      <c r="M193">
        <f t="shared" ca="1" si="226"/>
        <v>0</v>
      </c>
      <c r="N193" s="6">
        <f t="shared" ca="1" si="222"/>
        <v>0</v>
      </c>
      <c r="O193" s="6">
        <f t="shared" ca="1" si="223"/>
        <v>0</v>
      </c>
      <c r="P193" s="6">
        <f t="shared" ca="1" si="224"/>
        <v>0</v>
      </c>
      <c r="BC193">
        <v>3.3335788713091565</v>
      </c>
      <c r="BD193">
        <v>-20.549725768343766</v>
      </c>
      <c r="BE193">
        <v>-18.901356935676628</v>
      </c>
      <c r="BF193" s="6">
        <f t="shared" si="187"/>
        <v>3.885232505418851</v>
      </c>
      <c r="BG193" s="6">
        <f t="shared" si="188"/>
        <v>0.55165363410969448</v>
      </c>
      <c r="BH193" s="6">
        <f t="shared" si="189"/>
        <v>-3.0998343420214027</v>
      </c>
      <c r="BI193" s="6">
        <f t="shared" si="190"/>
        <v>3.0998343420214027</v>
      </c>
      <c r="BJ193">
        <v>-31.614962720528869</v>
      </c>
      <c r="BK193">
        <v>-29.079010670271735</v>
      </c>
      <c r="BV193" s="38"/>
      <c r="BW193" s="6">
        <f t="shared" si="124"/>
        <v>3.1066860685498963</v>
      </c>
      <c r="BX193" s="9">
        <f t="shared" ca="1" si="125"/>
        <v>115.43014350464605</v>
      </c>
      <c r="BY193" s="9">
        <f t="shared" ca="1" si="126"/>
        <v>-20.51962306112928</v>
      </c>
      <c r="BZ193">
        <f t="shared" ca="1" si="127"/>
        <v>117.23980962145072</v>
      </c>
      <c r="CA193" s="6">
        <f t="shared" ca="1" si="128"/>
        <v>0.98456440587333094</v>
      </c>
      <c r="CB193" s="6">
        <f t="shared" ca="1" si="129"/>
        <v>-0.17502265763978961</v>
      </c>
      <c r="CC193" s="6">
        <f t="shared" ca="1" si="130"/>
        <v>-0.17592878097355519</v>
      </c>
      <c r="CD193" s="6">
        <f t="shared" ca="1" si="131"/>
        <v>-73.19584960425</v>
      </c>
      <c r="CE193" s="9">
        <f t="shared" ca="1" si="132"/>
        <v>-60.225141572336071</v>
      </c>
      <c r="CF193">
        <f t="shared" ca="1" si="133"/>
        <v>94.787657828938407</v>
      </c>
      <c r="CG193" s="6">
        <f t="shared" ca="1" si="134"/>
        <v>-0.77220865332852973</v>
      </c>
      <c r="CH193" s="6">
        <f t="shared" ca="1" si="135"/>
        <v>-0.635369023264857</v>
      </c>
      <c r="CI193" s="6">
        <f t="shared" ca="1" si="136"/>
        <v>-2.4531063471993773</v>
      </c>
      <c r="CJ193" s="1">
        <f t="shared" ca="1" si="137"/>
        <v>-3.0446807965827607</v>
      </c>
      <c r="CK193" s="38"/>
    </row>
    <row r="194" spans="1:89" ht="15.75" thickBot="1" x14ac:dyDescent="0.3">
      <c r="A194">
        <f t="shared" si="215"/>
        <v>10</v>
      </c>
      <c r="B194">
        <f t="shared" si="215"/>
        <v>0</v>
      </c>
      <c r="C194">
        <f t="shared" ca="1" si="215"/>
        <v>0</v>
      </c>
      <c r="D194">
        <f t="shared" si="215"/>
        <v>10</v>
      </c>
      <c r="E194">
        <f t="shared" si="215"/>
        <v>2</v>
      </c>
      <c r="F194" s="1">
        <f t="shared" si="216"/>
        <v>4</v>
      </c>
      <c r="G194" s="1">
        <f t="shared" si="217"/>
        <v>-10</v>
      </c>
      <c r="H194" s="6">
        <f t="shared" si="218"/>
        <v>-10.288487214689949</v>
      </c>
      <c r="I194" s="6">
        <f t="shared" si="219"/>
        <v>-3.1854404457094234</v>
      </c>
      <c r="J194" s="6">
        <f t="shared" si="220"/>
        <v>10.12815024224744</v>
      </c>
      <c r="K194" s="12">
        <f t="shared" ca="1" si="221"/>
        <v>0</v>
      </c>
      <c r="L194">
        <f t="shared" ca="1" si="225"/>
        <v>0</v>
      </c>
      <c r="M194">
        <f t="shared" ca="1" si="226"/>
        <v>0</v>
      </c>
      <c r="N194" s="11">
        <f t="shared" ca="1" si="222"/>
        <v>0</v>
      </c>
      <c r="O194" s="11">
        <f t="shared" ca="1" si="223"/>
        <v>0</v>
      </c>
      <c r="P194" s="11">
        <f t="shared" ca="1" si="224"/>
        <v>0</v>
      </c>
      <c r="BC194">
        <v>3.3510321638290996</v>
      </c>
      <c r="BD194">
        <v>-20.276663234004612</v>
      </c>
      <c r="BE194">
        <v>-19.457011988370109</v>
      </c>
      <c r="BF194" s="6">
        <f t="shared" si="187"/>
        <v>3.9063651133281789</v>
      </c>
      <c r="BG194" s="6">
        <f t="shared" si="188"/>
        <v>0.5553329494990793</v>
      </c>
      <c r="BH194" s="6">
        <f t="shared" si="189"/>
        <v>-3.1209669499307306</v>
      </c>
      <c r="BI194" s="6">
        <f t="shared" si="190"/>
        <v>3.1209669499307306</v>
      </c>
      <c r="BJ194">
        <v>-31.194866513853249</v>
      </c>
      <c r="BK194">
        <v>-29.933864597492473</v>
      </c>
      <c r="BV194" s="38"/>
      <c r="BW194" s="6">
        <f t="shared" si="124"/>
        <v>3.1241393610698394</v>
      </c>
      <c r="BX194" s="9">
        <f t="shared" ca="1" si="125"/>
        <v>115.89750963932065</v>
      </c>
      <c r="BY194" s="9">
        <f t="shared" ca="1" si="126"/>
        <v>-19.301402912803042</v>
      </c>
      <c r="BZ194">
        <f t="shared" ca="1" si="127"/>
        <v>117.4937313008604</v>
      </c>
      <c r="CA194" s="6">
        <f t="shared" ca="1" si="128"/>
        <v>0.98641440999560737</v>
      </c>
      <c r="CB194" s="6">
        <f t="shared" ca="1" si="129"/>
        <v>-0.16427602306185077</v>
      </c>
      <c r="CC194" s="6">
        <f t="shared" ca="1" si="130"/>
        <v>-0.16502401832713331</v>
      </c>
      <c r="CD194" s="6">
        <f t="shared" ca="1" si="131"/>
        <v>-73.663215738924592</v>
      </c>
      <c r="CE194" s="9">
        <f t="shared" ca="1" si="132"/>
        <v>-61.44336172066231</v>
      </c>
      <c r="CF194">
        <f t="shared" ca="1" si="133"/>
        <v>95.924741607864121</v>
      </c>
      <c r="CG194" s="6">
        <f t="shared" ca="1" si="134"/>
        <v>-0.76792717399288279</v>
      </c>
      <c r="CH194" s="6">
        <f t="shared" ca="1" si="135"/>
        <v>-0.64053716164115315</v>
      </c>
      <c r="CI194" s="6">
        <f t="shared" ca="1" si="136"/>
        <v>-2.4463950962999794</v>
      </c>
      <c r="CJ194" s="1">
        <f t="shared" ca="1" si="137"/>
        <v>-3.0513920474821585</v>
      </c>
      <c r="CK194" s="38"/>
    </row>
    <row r="195" spans="1:89" ht="15.75" thickTop="1" x14ac:dyDescent="0.25">
      <c r="K195" s="13">
        <f ca="1">MIN(K185:K194)</f>
        <v>-2.2448665928330876E-3</v>
      </c>
      <c r="N195" s="9">
        <f ca="1">SUM(N185:N194)</f>
        <v>-83.19636811091172</v>
      </c>
      <c r="O195" s="9">
        <f ca="1">SUM(O185:O194)</f>
        <v>-203.28384938978581</v>
      </c>
      <c r="P195" s="9">
        <f ca="1">SUM(P185:P194)</f>
        <v>-730.45060588507408</v>
      </c>
      <c r="BC195">
        <v>3.3684854563490427</v>
      </c>
      <c r="BD195">
        <v>-20.009312746628169</v>
      </c>
      <c r="BE195">
        <v>-20.006828679014937</v>
      </c>
      <c r="BF195" s="6">
        <f t="shared" ref="BF195:BF258" si="227">IF(BC195&lt;&gt;"",IF(AND(BD195=0,BE195=0),0,MOD(ATAN2(BD195,BE195),2*PI())),NA())</f>
        <v>3.9269287403471269</v>
      </c>
      <c r="BG195" s="6">
        <f t="shared" ref="BG195:BG258" si="228">ABS(BC195-BF195)</f>
        <v>0.55844328399808418</v>
      </c>
      <c r="BH195" s="6">
        <f t="shared" ref="BH195:BH258" si="229">ATAN2(COS($U$13-BF195),SIN($U$13-BF195))</f>
        <v>-3.1415305769496786</v>
      </c>
      <c r="BI195" s="6">
        <f t="shared" ref="BI195:BI258" si="230">ABS(BH195)</f>
        <v>3.1415305769496786</v>
      </c>
      <c r="BJ195">
        <v>-30.783558071735644</v>
      </c>
      <c r="BK195">
        <v>-30.779736429253749</v>
      </c>
      <c r="BV195" s="38"/>
      <c r="BW195" s="6">
        <f t="shared" si="124"/>
        <v>3.1415926535897825</v>
      </c>
      <c r="BX195" s="9">
        <f t="shared" ca="1" si="125"/>
        <v>116.31695384006537</v>
      </c>
      <c r="BY195" s="9">
        <f t="shared" ca="1" si="126"/>
        <v>-18.079515905582149</v>
      </c>
      <c r="BZ195">
        <f t="shared" ca="1" si="127"/>
        <v>117.71364681298466</v>
      </c>
      <c r="CA195" s="6">
        <f t="shared" ca="1" si="128"/>
        <v>0.98813482539421904</v>
      </c>
      <c r="CB195" s="6">
        <f t="shared" ca="1" si="129"/>
        <v>-0.153588954170332</v>
      </c>
      <c r="CC195" s="6">
        <f t="shared" ca="1" si="130"/>
        <v>-0.15419930517689223</v>
      </c>
      <c r="CD195" s="6">
        <f t="shared" ca="1" si="131"/>
        <v>-74.082659939669313</v>
      </c>
      <c r="CE195" s="9">
        <f t="shared" ca="1" si="132"/>
        <v>-62.665248727883203</v>
      </c>
      <c r="CF195">
        <f t="shared" ca="1" si="133"/>
        <v>97.031819017599332</v>
      </c>
      <c r="CG195" s="6">
        <f t="shared" ca="1" si="134"/>
        <v>-0.76348831434596143</v>
      </c>
      <c r="CH195" s="6">
        <f t="shared" ca="1" si="135"/>
        <v>-0.64582164245026852</v>
      </c>
      <c r="CI195" s="6">
        <f t="shared" ca="1" si="136"/>
        <v>-2.4394936905422133</v>
      </c>
      <c r="CJ195" s="1">
        <f t="shared" ca="1" si="137"/>
        <v>-3.0582934532399246</v>
      </c>
      <c r="CK195" s="38"/>
    </row>
    <row r="196" spans="1:89" x14ac:dyDescent="0.25">
      <c r="A196" t="s">
        <v>195</v>
      </c>
      <c r="B196" s="9">
        <f ca="1">N195</f>
        <v>-83.19636811091172</v>
      </c>
      <c r="C196" t="s">
        <v>68</v>
      </c>
      <c r="BC196">
        <v>3.3859387488689858</v>
      </c>
      <c r="BD196">
        <v>-19.747324505546995</v>
      </c>
      <c r="BE196">
        <v>-20.551016526607572</v>
      </c>
      <c r="BF196" s="6">
        <f t="shared" si="227"/>
        <v>3.9469317245038185</v>
      </c>
      <c r="BG196" s="6">
        <f t="shared" si="228"/>
        <v>0.56099297563483264</v>
      </c>
      <c r="BH196" s="6">
        <f t="shared" si="229"/>
        <v>3.121651746073216</v>
      </c>
      <c r="BI196" s="6">
        <f t="shared" si="230"/>
        <v>3.121651746073216</v>
      </c>
      <c r="BJ196">
        <v>-30.38049923930307</v>
      </c>
      <c r="BK196">
        <v>-31.616948502473186</v>
      </c>
      <c r="BV196" s="38"/>
      <c r="BW196" s="6">
        <f t="shared" si="124"/>
        <v>3.1590459461097256</v>
      </c>
      <c r="BX196" s="9">
        <f t="shared" ca="1" si="125"/>
        <v>115.90715680618088</v>
      </c>
      <c r="BY196" s="9">
        <f t="shared" ca="1" si="126"/>
        <v>-17.53601982520037</v>
      </c>
      <c r="BZ196">
        <f t="shared" ca="1" si="127"/>
        <v>117.22619583609469</v>
      </c>
      <c r="CA196" s="6">
        <f t="shared" ca="1" si="128"/>
        <v>0.98874791576655707</v>
      </c>
      <c r="CB196" s="6">
        <f t="shared" ca="1" si="129"/>
        <v>-0.14959130679049912</v>
      </c>
      <c r="CC196" s="6">
        <f t="shared" ca="1" si="130"/>
        <v>-0.15015491564640476</v>
      </c>
      <c r="CD196" s="6">
        <f t="shared" ca="1" si="131"/>
        <v>-73.672862905784825</v>
      </c>
      <c r="CE196" s="9">
        <f t="shared" ca="1" si="132"/>
        <v>-63.208744808264981</v>
      </c>
      <c r="CF196">
        <f t="shared" ca="1" si="133"/>
        <v>97.072324320430951</v>
      </c>
      <c r="CG196" s="6">
        <f t="shared" ca="1" si="134"/>
        <v>-0.75894817005302506</v>
      </c>
      <c r="CH196" s="6">
        <f t="shared" ca="1" si="135"/>
        <v>-0.65115103867932567</v>
      </c>
      <c r="CI196" s="6">
        <f t="shared" ca="1" si="136"/>
        <v>-2.4324925781607991</v>
      </c>
      <c r="CJ196" s="1">
        <f t="shared" ca="1" si="137"/>
        <v>-3.0652945656213388</v>
      </c>
      <c r="CK196" s="38"/>
    </row>
    <row r="197" spans="1:89" x14ac:dyDescent="0.25">
      <c r="A197" t="s">
        <v>100</v>
      </c>
      <c r="B197" s="9">
        <f ca="1">O195</f>
        <v>-203.28384938978581</v>
      </c>
      <c r="C197" t="s">
        <v>69</v>
      </c>
      <c r="BC197">
        <v>3.4033920413889289</v>
      </c>
      <c r="BD197">
        <v>-19.490331490695777</v>
      </c>
      <c r="BE197">
        <v>-21.089804488093069</v>
      </c>
      <c r="BF197" s="6">
        <f t="shared" si="227"/>
        <v>3.9663855957361891</v>
      </c>
      <c r="BG197" s="6">
        <f t="shared" si="228"/>
        <v>0.56299355434726017</v>
      </c>
      <c r="BH197" s="6">
        <f t="shared" si="229"/>
        <v>3.1021978748408454</v>
      </c>
      <c r="BI197" s="6">
        <f t="shared" si="230"/>
        <v>3.1021978748408454</v>
      </c>
      <c r="BJ197">
        <v>-29.985125370301194</v>
      </c>
      <c r="BK197">
        <v>-32.445853058604719</v>
      </c>
      <c r="BV197" s="38"/>
      <c r="BW197" s="6">
        <f t="shared" si="124"/>
        <v>3.1764992386296687</v>
      </c>
      <c r="BX197" s="9">
        <f t="shared" ca="1" si="125"/>
        <v>115.48527550407354</v>
      </c>
      <c r="BY197" s="9">
        <f t="shared" ca="1" si="126"/>
        <v>-17.019420591377887</v>
      </c>
      <c r="BZ197">
        <f t="shared" ca="1" si="127"/>
        <v>116.73264125992347</v>
      </c>
      <c r="CA197" s="6">
        <f t="shared" ca="1" si="128"/>
        <v>0.9893143362268958</v>
      </c>
      <c r="CB197" s="6">
        <f t="shared" ca="1" si="129"/>
        <v>-0.14579829949603804</v>
      </c>
      <c r="CC197" s="6">
        <f t="shared" ca="1" si="130"/>
        <v>-0.14631984661179534</v>
      </c>
      <c r="CD197" s="6">
        <f t="shared" ca="1" si="131"/>
        <v>-73.250981603677488</v>
      </c>
      <c r="CE197" s="9">
        <f t="shared" ca="1" si="132"/>
        <v>-63.725344042087464</v>
      </c>
      <c r="CF197">
        <f t="shared" ca="1" si="133"/>
        <v>97.090812022480833</v>
      </c>
      <c r="CG197" s="6">
        <f t="shared" ca="1" si="134"/>
        <v>-0.75445842997704704</v>
      </c>
      <c r="CH197" s="6">
        <f t="shared" ca="1" si="135"/>
        <v>-0.65634783265930685</v>
      </c>
      <c r="CI197" s="6">
        <f t="shared" ca="1" si="136"/>
        <v>-2.4256249279807864</v>
      </c>
      <c r="CJ197" s="1">
        <f t="shared" ca="1" si="137"/>
        <v>-3.0721622158013515</v>
      </c>
      <c r="CK197" s="38"/>
    </row>
    <row r="198" spans="1:89" x14ac:dyDescent="0.25">
      <c r="A198" t="s">
        <v>101</v>
      </c>
      <c r="B198" s="9">
        <f ca="1">P195</f>
        <v>-730.45060588507408</v>
      </c>
      <c r="C198" t="s">
        <v>69</v>
      </c>
      <c r="BC198">
        <v>3.420845333908872</v>
      </c>
      <c r="BD198">
        <v>-19.237964496015426</v>
      </c>
      <c r="BE198">
        <v>-21.623428185022217</v>
      </c>
      <c r="BF198" s="6">
        <f t="shared" si="227"/>
        <v>3.9853040327438043</v>
      </c>
      <c r="BG198" s="6">
        <f t="shared" si="228"/>
        <v>0.56445869883493227</v>
      </c>
      <c r="BH198" s="6">
        <f t="shared" si="229"/>
        <v>3.0832794378332302</v>
      </c>
      <c r="BI198" s="6">
        <f t="shared" si="230"/>
        <v>3.0832794378332302</v>
      </c>
      <c r="BJ198">
        <v>-29.596868455408348</v>
      </c>
      <c r="BK198">
        <v>-33.266812592341871</v>
      </c>
      <c r="BV198" s="38"/>
      <c r="BW198" s="6">
        <f t="shared" si="124"/>
        <v>3.1939525311496118</v>
      </c>
      <c r="BX198" s="9">
        <f t="shared" ca="1" si="125"/>
        <v>115.15997692522637</v>
      </c>
      <c r="BY198" s="9">
        <f t="shared" ca="1" si="126"/>
        <v>-16.431477255875233</v>
      </c>
      <c r="BZ198">
        <f t="shared" ca="1" si="127"/>
        <v>116.32632432183618</v>
      </c>
      <c r="CA198" s="6">
        <f t="shared" ca="1" si="128"/>
        <v>0.989973487055407</v>
      </c>
      <c r="CB198" s="6">
        <f t="shared" ca="1" si="129"/>
        <v>-0.14125330058925278</v>
      </c>
      <c r="CC198" s="6">
        <f t="shared" ca="1" si="130"/>
        <v>-0.14172729482129368</v>
      </c>
      <c r="CD198" s="6">
        <f t="shared" ca="1" si="131"/>
        <v>-72.92568302483032</v>
      </c>
      <c r="CE198" s="9">
        <f t="shared" ca="1" si="132"/>
        <v>-64.313287377590115</v>
      </c>
      <c r="CF198">
        <f t="shared" ca="1" si="133"/>
        <v>97.233503371782902</v>
      </c>
      <c r="CG198" s="6">
        <f t="shared" ca="1" si="134"/>
        <v>-0.75000571301016505</v>
      </c>
      <c r="CH198" s="6">
        <f t="shared" ca="1" si="135"/>
        <v>-0.66143134976512419</v>
      </c>
      <c r="CI198" s="6">
        <f t="shared" ca="1" si="136"/>
        <v>-2.4188670430781789</v>
      </c>
      <c r="CJ198" s="1">
        <f t="shared" ca="1" si="137"/>
        <v>-3.0789201007039591</v>
      </c>
      <c r="CK198" s="38"/>
    </row>
    <row r="199" spans="1:89" x14ac:dyDescent="0.25">
      <c r="BC199">
        <v>3.4382986264288151</v>
      </c>
      <c r="BD199">
        <v>-18.989863348193722</v>
      </c>
      <c r="BE199">
        <v>-22.152120856716635</v>
      </c>
      <c r="BF199" s="6">
        <f t="shared" si="227"/>
        <v>4.0037020463506767</v>
      </c>
      <c r="BG199" s="6">
        <f t="shared" si="228"/>
        <v>0.56540341992186161</v>
      </c>
      <c r="BH199" s="6">
        <f t="shared" si="229"/>
        <v>3.0648814242263578</v>
      </c>
      <c r="BI199" s="6">
        <f t="shared" si="230"/>
        <v>3.0648814242263578</v>
      </c>
      <c r="BJ199">
        <v>-29.215174381836494</v>
      </c>
      <c r="BK199">
        <v>-34.080185933410206</v>
      </c>
      <c r="BV199" s="38"/>
      <c r="BW199" s="6">
        <f t="shared" si="124"/>
        <v>3.2114058236695548</v>
      </c>
      <c r="BX199" s="9">
        <f t="shared" ca="1" si="125"/>
        <v>114.84461272081509</v>
      </c>
      <c r="BY199" s="9">
        <f t="shared" ca="1" si="126"/>
        <v>-15.848527348154164</v>
      </c>
      <c r="BZ199">
        <f t="shared" ca="1" si="127"/>
        <v>115.93300172987497</v>
      </c>
      <c r="CA199" s="6">
        <f t="shared" ca="1" si="128"/>
        <v>0.99061191383972069</v>
      </c>
      <c r="CB199" s="6">
        <f t="shared" ca="1" si="129"/>
        <v>-0.13670419217714544</v>
      </c>
      <c r="CC199" s="6">
        <f t="shared" ca="1" si="130"/>
        <v>-0.13713360205708727</v>
      </c>
      <c r="CD199" s="6">
        <f t="shared" ca="1" si="131"/>
        <v>-72.610318820419039</v>
      </c>
      <c r="CE199" s="9">
        <f t="shared" ca="1" si="132"/>
        <v>-64.896237285311187</v>
      </c>
      <c r="CF199">
        <f t="shared" ca="1" si="133"/>
        <v>97.38470112391532</v>
      </c>
      <c r="CG199" s="6">
        <f t="shared" ca="1" si="134"/>
        <v>-0.7456029333398827</v>
      </c>
      <c r="CH199" s="6">
        <f t="shared" ca="1" si="135"/>
        <v>-0.6663904754683716</v>
      </c>
      <c r="CI199" s="6">
        <f t="shared" ca="1" si="136"/>
        <v>-2.4122354853626624</v>
      </c>
      <c r="CJ199" s="1">
        <f t="shared" ca="1" si="137"/>
        <v>-3.0855516584194755</v>
      </c>
      <c r="CK199" s="38"/>
    </row>
    <row r="200" spans="1:89" x14ac:dyDescent="0.25">
      <c r="A200" t="s">
        <v>99</v>
      </c>
      <c r="B200" s="9">
        <f ca="1">B178+B196</f>
        <v>14.916344306122653</v>
      </c>
      <c r="C200" t="s">
        <v>68</v>
      </c>
      <c r="BC200">
        <v>3.4557519189487582</v>
      </c>
      <c r="BD200">
        <v>-18.745685277674298</v>
      </c>
      <c r="BE200">
        <v>-22.676106789741105</v>
      </c>
      <c r="BF200" s="6">
        <f t="shared" si="227"/>
        <v>4.0215953364160111</v>
      </c>
      <c r="BG200" s="6">
        <f t="shared" si="228"/>
        <v>0.56584341746725286</v>
      </c>
      <c r="BH200" s="6">
        <f t="shared" si="229"/>
        <v>3.0469881341610234</v>
      </c>
      <c r="BI200" s="6">
        <f t="shared" si="230"/>
        <v>3.0469881341610234</v>
      </c>
      <c r="BJ200">
        <v>-28.83951581180661</v>
      </c>
      <c r="BK200">
        <v>-34.886318138063238</v>
      </c>
      <c r="BV200" s="38"/>
      <c r="BW200" s="6">
        <f t="shared" si="124"/>
        <v>3.2288591161894979</v>
      </c>
      <c r="BX200" s="9">
        <f t="shared" ca="1" si="125"/>
        <v>114.53637205119405</v>
      </c>
      <c r="BY200" s="9">
        <f t="shared" ca="1" si="126"/>
        <v>-15.269363594071038</v>
      </c>
      <c r="BZ200">
        <f t="shared" ca="1" si="127"/>
        <v>115.54970353582689</v>
      </c>
      <c r="CA200" s="6">
        <f t="shared" ca="1" si="128"/>
        <v>0.9912303411118778</v>
      </c>
      <c r="CB200" s="6">
        <f t="shared" ca="1" si="129"/>
        <v>-0.13214541558158718</v>
      </c>
      <c r="CC200" s="6">
        <f t="shared" ca="1" si="130"/>
        <v>-0.13253306582000948</v>
      </c>
      <c r="CD200" s="6">
        <f t="shared" ca="1" si="131"/>
        <v>-72.302078150797996</v>
      </c>
      <c r="CE200" s="9">
        <f t="shared" ca="1" si="132"/>
        <v>-65.475401039394313</v>
      </c>
      <c r="CF200">
        <f t="shared" ca="1" si="133"/>
        <v>97.542906693380942</v>
      </c>
      <c r="CG200" s="6">
        <f t="shared" ca="1" si="134"/>
        <v>-0.74123358224370262</v>
      </c>
      <c r="CH200" s="6">
        <f t="shared" ca="1" si="135"/>
        <v>-0.67124717992269278</v>
      </c>
      <c r="CI200" s="6">
        <f t="shared" ca="1" si="136"/>
        <v>-2.4057025718511253</v>
      </c>
      <c r="CJ200" s="1">
        <f t="shared" ca="1" si="137"/>
        <v>-3.0920845719310126</v>
      </c>
      <c r="CK200" s="38"/>
    </row>
    <row r="201" spans="1:89" x14ac:dyDescent="0.25">
      <c r="A201" t="s">
        <v>100</v>
      </c>
      <c r="B201" s="9">
        <f ca="1">B197+B179</f>
        <v>345.19558750656699</v>
      </c>
      <c r="C201" t="s">
        <v>69</v>
      </c>
      <c r="BC201">
        <v>3.4732052114687013</v>
      </c>
      <c r="BD201">
        <v>-18.505111237593077</v>
      </c>
      <c r="BE201">
        <v>-23.195596378325785</v>
      </c>
      <c r="BF201" s="6">
        <f t="shared" si="227"/>
        <v>4.0389997818212269</v>
      </c>
      <c r="BG201" s="6">
        <f t="shared" si="228"/>
        <v>0.56579457035252556</v>
      </c>
      <c r="BH201" s="6">
        <f t="shared" si="229"/>
        <v>3.0295836887558076</v>
      </c>
      <c r="BI201" s="6">
        <f t="shared" si="230"/>
        <v>3.0295836887558076</v>
      </c>
      <c r="BJ201">
        <v>-28.469401903989347</v>
      </c>
      <c r="BK201">
        <v>-35.685532889731974</v>
      </c>
      <c r="BV201" s="38"/>
      <c r="BW201" s="6">
        <f t="shared" si="124"/>
        <v>3.246312408709441</v>
      </c>
      <c r="BX201" s="9">
        <f t="shared" ca="1" si="125"/>
        <v>114.23375280263498</v>
      </c>
      <c r="BY201" s="9">
        <f t="shared" ca="1" si="126"/>
        <v>-14.693860208842203</v>
      </c>
      <c r="BZ201">
        <f t="shared" ca="1" si="127"/>
        <v>115.1749096253629</v>
      </c>
      <c r="CA201" s="6">
        <f t="shared" ca="1" si="128"/>
        <v>0.99182845616472126</v>
      </c>
      <c r="CB201" s="6">
        <f t="shared" ca="1" si="129"/>
        <v>-0.12757865629448203</v>
      </c>
      <c r="CC201" s="6">
        <f t="shared" ca="1" si="130"/>
        <v>-0.12792730100813524</v>
      </c>
      <c r="CD201" s="6">
        <f t="shared" ca="1" si="131"/>
        <v>-71.999458902238928</v>
      </c>
      <c r="CE201" s="9">
        <f t="shared" ca="1" si="132"/>
        <v>-66.050904424623155</v>
      </c>
      <c r="CF201">
        <f t="shared" ca="1" si="133"/>
        <v>97.706929424303851</v>
      </c>
      <c r="CG201" s="6">
        <f t="shared" ca="1" si="134"/>
        <v>-0.73689204364997285</v>
      </c>
      <c r="CH201" s="6">
        <f t="shared" ca="1" si="135"/>
        <v>-0.67601044075174366</v>
      </c>
      <c r="CI201" s="6">
        <f t="shared" ca="1" si="136"/>
        <v>-2.3992575928078463</v>
      </c>
      <c r="CJ201" s="1">
        <f t="shared" ca="1" si="137"/>
        <v>-3.0985295509742916</v>
      </c>
      <c r="CK201" s="38"/>
    </row>
    <row r="202" spans="1:89" x14ac:dyDescent="0.25">
      <c r="A202" t="s">
        <v>101</v>
      </c>
      <c r="B202" s="9">
        <f ca="1">B198+B180</f>
        <v>-405.57834996323584</v>
      </c>
      <c r="C202" t="s">
        <v>69</v>
      </c>
      <c r="BC202">
        <v>3.4906585039886444</v>
      </c>
      <c r="BD202">
        <v>-18.267850798466274</v>
      </c>
      <c r="BE202">
        <v>-23.710782234077708</v>
      </c>
      <c r="BF202" s="6">
        <f t="shared" si="227"/>
        <v>4.0559310324302054</v>
      </c>
      <c r="BG202" s="6">
        <f t="shared" si="228"/>
        <v>0.56527252844156095</v>
      </c>
      <c r="BH202" s="6">
        <f t="shared" si="229"/>
        <v>3.0126524381468291</v>
      </c>
      <c r="BI202" s="6">
        <f t="shared" si="230"/>
        <v>3.0126524381468291</v>
      </c>
      <c r="BJ202">
        <v>-28.104385843794265</v>
      </c>
      <c r="BK202">
        <v>-36.478126513965705</v>
      </c>
      <c r="BV202" s="38"/>
      <c r="BW202" s="6">
        <f t="shared" si="124"/>
        <v>3.2637657012293841</v>
      </c>
      <c r="BX202" s="9">
        <f t="shared" ca="1" si="125"/>
        <v>113.93664481798895</v>
      </c>
      <c r="BY202" s="9">
        <f t="shared" ca="1" si="126"/>
        <v>-14.122851012474257</v>
      </c>
      <c r="BZ202">
        <f t="shared" ca="1" si="127"/>
        <v>114.80859703480883</v>
      </c>
      <c r="CA202" s="6">
        <f t="shared" ca="1" si="128"/>
        <v>0.992405166169259</v>
      </c>
      <c r="CB202" s="6">
        <f t="shared" ca="1" si="129"/>
        <v>-0.12301213826515403</v>
      </c>
      <c r="CC202" s="6">
        <f t="shared" ca="1" si="130"/>
        <v>-0.12332450634137297</v>
      </c>
      <c r="CD202" s="6">
        <f t="shared" ca="1" si="131"/>
        <v>-71.702350917592895</v>
      </c>
      <c r="CE202" s="9">
        <f t="shared" ca="1" si="132"/>
        <v>-66.621913620991094</v>
      </c>
      <c r="CF202">
        <f t="shared" ca="1" si="133"/>
        <v>97.875975099267507</v>
      </c>
      <c r="CG202" s="6">
        <f t="shared" ca="1" si="134"/>
        <v>-0.73258377088832194</v>
      </c>
      <c r="CH202" s="6">
        <f t="shared" ca="1" si="135"/>
        <v>-0.68067688269181481</v>
      </c>
      <c r="CI202" s="6">
        <f t="shared" ca="1" si="136"/>
        <v>-2.3929064488039424</v>
      </c>
      <c r="CJ202" s="1">
        <f t="shared" ca="1" si="137"/>
        <v>-3.1048806949781955</v>
      </c>
      <c r="CK202" s="38"/>
    </row>
    <row r="203" spans="1:89" x14ac:dyDescent="0.25">
      <c r="BC203">
        <v>3.5081117965085875</v>
      </c>
      <c r="BD203">
        <v>-18.033646173883238</v>
      </c>
      <c r="BE203">
        <v>-24.221835921510579</v>
      </c>
      <c r="BF203" s="6">
        <f t="shared" si="227"/>
        <v>4.0724041767844437</v>
      </c>
      <c r="BG203" s="6">
        <f t="shared" si="228"/>
        <v>0.56429238027585615</v>
      </c>
      <c r="BH203" s="6">
        <f t="shared" si="229"/>
        <v>2.9961792937925908</v>
      </c>
      <c r="BI203" s="6">
        <f t="shared" si="230"/>
        <v>2.9961792937925908</v>
      </c>
      <c r="BJ203">
        <v>-27.744071036743442</v>
      </c>
      <c r="BK203">
        <v>-37.264362956170118</v>
      </c>
      <c r="BV203" s="38"/>
      <c r="BW203" s="6">
        <f t="shared" si="124"/>
        <v>3.2812189937493272</v>
      </c>
      <c r="BX203" s="9">
        <f t="shared" ca="1" si="125"/>
        <v>113.64026871645328</v>
      </c>
      <c r="BY203" s="9">
        <f t="shared" ca="1" si="126"/>
        <v>-13.546760251635305</v>
      </c>
      <c r="BZ203">
        <f t="shared" ca="1" si="127"/>
        <v>114.44485740854849</v>
      </c>
      <c r="CA203" s="6">
        <f t="shared" ca="1" si="128"/>
        <v>0.99296963873856769</v>
      </c>
      <c r="CB203" s="6">
        <f t="shared" ca="1" si="129"/>
        <v>-0.11836932264484107</v>
      </c>
      <c r="CC203" s="6">
        <f t="shared" ca="1" si="130"/>
        <v>-0.1186474981053495</v>
      </c>
      <c r="CD203" s="6">
        <f t="shared" ca="1" si="131"/>
        <v>-71.405974816057224</v>
      </c>
      <c r="CE203" s="9">
        <f t="shared" ca="1" si="132"/>
        <v>-67.198004381830046</v>
      </c>
      <c r="CF203">
        <f t="shared" ca="1" si="133"/>
        <v>98.052970543129646</v>
      </c>
      <c r="CG203" s="6">
        <f t="shared" ca="1" si="134"/>
        <v>-0.72823877155918026</v>
      </c>
      <c r="CH203" s="6">
        <f t="shared" ca="1" si="135"/>
        <v>-0.68532349412374294</v>
      </c>
      <c r="CI203" s="6">
        <f t="shared" ca="1" si="136"/>
        <v>-2.386544833171456</v>
      </c>
      <c r="CJ203" s="1">
        <f t="shared" ca="1" si="137"/>
        <v>-3.1112423106106819</v>
      </c>
      <c r="CK203" s="38"/>
    </row>
    <row r="204" spans="1:89" x14ac:dyDescent="0.25">
      <c r="A204" s="8" t="s">
        <v>64</v>
      </c>
      <c r="B204">
        <f ca="1">((B201*COS(-1*B27))+(B202*SIN(-1*B27)))</f>
        <v>376.59911817025477</v>
      </c>
      <c r="C204" t="s">
        <v>69</v>
      </c>
      <c r="BC204">
        <v>3.5255650890285306</v>
      </c>
      <c r="BD204">
        <v>-17.802275771441138</v>
      </c>
      <c r="BE204">
        <v>-24.728905019663266</v>
      </c>
      <c r="BF204" s="6">
        <f t="shared" si="227"/>
        <v>4.0884334660538668</v>
      </c>
      <c r="BG204" s="6">
        <f t="shared" si="228"/>
        <v>0.56286837702533621</v>
      </c>
      <c r="BH204" s="6">
        <f t="shared" si="229"/>
        <v>2.9801500045231677</v>
      </c>
      <c r="BI204" s="6">
        <f t="shared" si="230"/>
        <v>2.9801500045231677</v>
      </c>
      <c r="BJ204">
        <v>-27.388116571447906</v>
      </c>
      <c r="BK204">
        <v>-38.04446926102041</v>
      </c>
      <c r="BV204" s="38"/>
      <c r="BW204" s="6">
        <f t="shared" si="124"/>
        <v>3.2986722862692703</v>
      </c>
      <c r="BX204" s="9">
        <f t="shared" ca="1" si="125"/>
        <v>113.34847022071457</v>
      </c>
      <c r="BY204" s="9">
        <f t="shared" ca="1" si="126"/>
        <v>-12.972855553043626</v>
      </c>
      <c r="BZ204">
        <f t="shared" ca="1" si="127"/>
        <v>114.08843360558666</v>
      </c>
      <c r="CA204" s="6">
        <f t="shared" ca="1" si="128"/>
        <v>0.99351412442535414</v>
      </c>
      <c r="CB204" s="6">
        <f t="shared" ca="1" si="129"/>
        <v>-0.11370877084606036</v>
      </c>
      <c r="CC204" s="6">
        <f t="shared" ca="1" si="130"/>
        <v>-0.11395524404905576</v>
      </c>
      <c r="CD204" s="6">
        <f t="shared" ca="1" si="131"/>
        <v>-71.114176320318521</v>
      </c>
      <c r="CE204" s="9">
        <f t="shared" ca="1" si="132"/>
        <v>-67.771909080421722</v>
      </c>
      <c r="CF204">
        <f t="shared" ca="1" si="133"/>
        <v>98.235725345325875</v>
      </c>
      <c r="CG204" s="6">
        <f t="shared" ca="1" si="134"/>
        <v>-0.72391358714288945</v>
      </c>
      <c r="CH204" s="6">
        <f t="shared" ca="1" si="135"/>
        <v>-0.68989065680723205</v>
      </c>
      <c r="CI204" s="6">
        <f t="shared" ca="1" si="136"/>
        <v>-2.3802546562526365</v>
      </c>
      <c r="CJ204" s="1">
        <f t="shared" ca="1" si="137"/>
        <v>-3.1175324875295014</v>
      </c>
      <c r="CK204" s="38"/>
    </row>
    <row r="205" spans="1:89" x14ac:dyDescent="0.25">
      <c r="A205" s="8" t="s">
        <v>65</v>
      </c>
      <c r="B205">
        <f ca="1">(-1*(B201)*SIN(-1*B27))+((B202)*COS(-1*B27))</f>
        <v>376.5991181432737</v>
      </c>
      <c r="C205" t="s">
        <v>69</v>
      </c>
      <c r="BC205">
        <v>3.5430183815484737</v>
      </c>
      <c r="BD205">
        <v>-17.571891949438246</v>
      </c>
      <c r="BE205">
        <v>-25.232571370807989</v>
      </c>
      <c r="BF205" s="6">
        <f t="shared" si="227"/>
        <v>4.1040851001586045</v>
      </c>
      <c r="BG205" s="6">
        <f t="shared" si="228"/>
        <v>0.5610667186101308</v>
      </c>
      <c r="BH205" s="6">
        <f t="shared" si="229"/>
        <v>2.96449837041843</v>
      </c>
      <c r="BI205" s="6">
        <f t="shared" si="230"/>
        <v>2.96449837041843</v>
      </c>
      <c r="BJ205">
        <v>-27.033679922212684</v>
      </c>
      <c r="BK205">
        <v>-38.819340570473827</v>
      </c>
      <c r="BV205" s="38"/>
      <c r="BW205" s="6">
        <f t="shared" si="124"/>
        <v>3.3161255787892134</v>
      </c>
      <c r="BX205" s="9">
        <f t="shared" ca="1" si="125"/>
        <v>113.0631070810598</v>
      </c>
      <c r="BY205" s="9">
        <f t="shared" ca="1" si="126"/>
        <v>-12.405072864742102</v>
      </c>
      <c r="BZ205">
        <f t="shared" ca="1" si="127"/>
        <v>113.74160195637634</v>
      </c>
      <c r="CA205" s="6">
        <f t="shared" ca="1" si="128"/>
        <v>0.99403476948059188</v>
      </c>
      <c r="CB205" s="6">
        <f t="shared" ca="1" si="129"/>
        <v>-0.10906363767849742</v>
      </c>
      <c r="CC205" s="6">
        <f t="shared" ca="1" si="130"/>
        <v>-0.10928101970728608</v>
      </c>
      <c r="CD205" s="6">
        <f t="shared" ca="1" si="131"/>
        <v>-70.828813180663744</v>
      </c>
      <c r="CE205" s="9">
        <f t="shared" ca="1" si="132"/>
        <v>-68.339691768723242</v>
      </c>
      <c r="CF205">
        <f t="shared" ca="1" si="133"/>
        <v>98.422732372280066</v>
      </c>
      <c r="CG205" s="6">
        <f t="shared" ca="1" si="134"/>
        <v>-0.71963876102074242</v>
      </c>
      <c r="CH205" s="6">
        <f t="shared" ca="1" si="135"/>
        <v>-0.69434865423397385</v>
      </c>
      <c r="CI205" s="6">
        <f t="shared" ca="1" si="136"/>
        <v>-2.374078249473305</v>
      </c>
      <c r="CJ205" s="1">
        <f t="shared" ca="1" si="137"/>
        <v>-3.1237088943088329</v>
      </c>
      <c r="CK205" s="38"/>
    </row>
    <row r="206" spans="1:89" x14ac:dyDescent="0.25">
      <c r="BC206">
        <v>3.5604716740684168</v>
      </c>
      <c r="BD206">
        <v>-17.343630662310325</v>
      </c>
      <c r="BE206">
        <v>-25.732706278941404</v>
      </c>
      <c r="BF206" s="6">
        <f t="shared" si="227"/>
        <v>4.1193323240783171</v>
      </c>
      <c r="BG206" s="6">
        <f t="shared" si="228"/>
        <v>0.55886065000990026</v>
      </c>
      <c r="BH206" s="6">
        <f t="shared" si="229"/>
        <v>2.9492511464987174</v>
      </c>
      <c r="BI206" s="6">
        <f t="shared" si="230"/>
        <v>2.9492511464987174</v>
      </c>
      <c r="BJ206">
        <v>-26.682508711246651</v>
      </c>
      <c r="BK206">
        <v>-39.58877889067908</v>
      </c>
      <c r="BV206" s="38"/>
      <c r="BW206" s="6">
        <f t="shared" si="124"/>
        <v>3.3335788713091565</v>
      </c>
      <c r="BX206" s="9">
        <f t="shared" ca="1" si="125"/>
        <v>112.78401966873982</v>
      </c>
      <c r="BY206" s="9">
        <f t="shared" ca="1" si="126"/>
        <v>-11.843407697788724</v>
      </c>
      <c r="BZ206">
        <f t="shared" ca="1" si="127"/>
        <v>113.40415071122719</v>
      </c>
      <c r="CA206" s="6">
        <f t="shared" ca="1" si="128"/>
        <v>0.99453167244233875</v>
      </c>
      <c r="CB206" s="6">
        <f t="shared" ca="1" si="129"/>
        <v>-0.10443539873550861</v>
      </c>
      <c r="CC206" s="6">
        <f t="shared" ca="1" si="130"/>
        <v>-0.10462617842209562</v>
      </c>
      <c r="CD206" s="6">
        <f t="shared" ca="1" si="131"/>
        <v>-70.549725768343762</v>
      </c>
      <c r="CE206" s="9">
        <f t="shared" ca="1" si="132"/>
        <v>-68.901356935676631</v>
      </c>
      <c r="CF206">
        <f t="shared" ca="1" si="133"/>
        <v>98.613694756691984</v>
      </c>
      <c r="CG206" s="6">
        <f t="shared" ca="1" si="134"/>
        <v>-0.71541509465201547</v>
      </c>
      <c r="CH206" s="6">
        <f t="shared" ca="1" si="135"/>
        <v>-0.69869967965074087</v>
      </c>
      <c r="CI206" s="6">
        <f t="shared" ca="1" si="136"/>
        <v>-2.3680143487117156</v>
      </c>
      <c r="CJ206" s="1">
        <f t="shared" ca="1" si="137"/>
        <v>-3.1297727950704224</v>
      </c>
      <c r="CK206" s="38"/>
    </row>
    <row r="207" spans="1:89" x14ac:dyDescent="0.25">
      <c r="BC207">
        <v>3.5779249665883599</v>
      </c>
      <c r="BD207">
        <v>-17.117695154667583</v>
      </c>
      <c r="BE207">
        <v>-26.229302464963052</v>
      </c>
      <c r="BF207" s="6">
        <f t="shared" si="227"/>
        <v>4.1341760674610422</v>
      </c>
      <c r="BG207" s="6">
        <f t="shared" si="228"/>
        <v>0.55625110087268226</v>
      </c>
      <c r="BH207" s="6">
        <f t="shared" si="229"/>
        <v>2.9344074031159924</v>
      </c>
      <c r="BI207" s="6">
        <f t="shared" si="230"/>
        <v>2.9344074031159924</v>
      </c>
      <c r="BJ207">
        <v>-26.334915622565511</v>
      </c>
      <c r="BK207">
        <v>-40.352773023020077</v>
      </c>
      <c r="BV207" s="38"/>
      <c r="BW207" s="6">
        <f t="shared" ref="BW207:BW270" si="231">BC194</f>
        <v>3.3510321638290996</v>
      </c>
      <c r="BX207" s="9">
        <f t="shared" ca="1" si="125"/>
        <v>112.51095713440067</v>
      </c>
      <c r="BY207" s="9">
        <f t="shared" ca="1" si="126"/>
        <v>-11.287752645095242</v>
      </c>
      <c r="BZ207">
        <f t="shared" ca="1" si="127"/>
        <v>113.07576590532473</v>
      </c>
      <c r="CA207" s="6">
        <f t="shared" ca="1" si="128"/>
        <v>0.99500504138617152</v>
      </c>
      <c r="CB207" s="6">
        <f t="shared" ca="1" si="129"/>
        <v>-9.9824684402723143E-2</v>
      </c>
      <c r="CC207" s="6">
        <f t="shared" ca="1" si="130"/>
        <v>-9.9991223915873645E-2</v>
      </c>
      <c r="CD207" s="6">
        <f t="shared" ca="1" si="131"/>
        <v>-70.276663234004616</v>
      </c>
      <c r="CE207" s="9">
        <f t="shared" ca="1" si="132"/>
        <v>-69.457011988370112</v>
      </c>
      <c r="CF207">
        <f t="shared" ca="1" si="133"/>
        <v>98.808329151232414</v>
      </c>
      <c r="CG207" s="6">
        <f t="shared" ca="1" si="134"/>
        <v>-0.71124229948713868</v>
      </c>
      <c r="CH207" s="6">
        <f t="shared" ca="1" si="135"/>
        <v>-0.70294693357340099</v>
      </c>
      <c r="CI207" s="6">
        <f t="shared" ca="1" si="136"/>
        <v>-2.3620602333193625</v>
      </c>
      <c r="CJ207" s="1">
        <f t="shared" ca="1" si="137"/>
        <v>-3.1357269104627754</v>
      </c>
      <c r="CK207" s="38"/>
    </row>
    <row r="208" spans="1:89" x14ac:dyDescent="0.25">
      <c r="BC208">
        <v>3.595378259108303</v>
      </c>
      <c r="BD208">
        <v>-16.894010138701891</v>
      </c>
      <c r="BE208">
        <v>-26.722414016954573</v>
      </c>
      <c r="BF208" s="6">
        <f t="shared" si="227"/>
        <v>4.1486262094548643</v>
      </c>
      <c r="BG208" s="6">
        <f t="shared" si="228"/>
        <v>0.55324795034656127</v>
      </c>
      <c r="BH208" s="6">
        <f t="shared" si="229"/>
        <v>2.9199572611221702</v>
      </c>
      <c r="BI208" s="6">
        <f t="shared" si="230"/>
        <v>2.9199572611221702</v>
      </c>
      <c r="BJ208">
        <v>-25.990784828772139</v>
      </c>
      <c r="BK208">
        <v>-41.111406179930114</v>
      </c>
      <c r="BV208" s="38"/>
      <c r="BW208" s="6">
        <f t="shared" si="231"/>
        <v>3.3684854563490427</v>
      </c>
      <c r="BX208" s="9">
        <f t="shared" ref="BX208:BX271" ca="1" si="232">$BW$5-BD195</f>
        <v>112.24360664702422</v>
      </c>
      <c r="BY208" s="9">
        <f t="shared" ref="BY208:BY271" ca="1" si="233">$BX$5-BE195</f>
        <v>-10.737935954450414</v>
      </c>
      <c r="BZ208">
        <f t="shared" ref="BZ208:BZ271" ca="1" si="234">SQRT(POWER(BX208,2)+POWER(BY208,2))</f>
        <v>112.75606636316193</v>
      </c>
      <c r="CA208" s="6">
        <f t="shared" ref="CA208:CA271" ca="1" si="235">BX208/BZ208</f>
        <v>0.99545514726908624</v>
      </c>
      <c r="CB208" s="6">
        <f t="shared" ref="CB208:CB271" ca="1" si="236">BY208/BZ208</f>
        <v>-9.5231558716015657E-2</v>
      </c>
      <c r="CC208" s="6">
        <f t="shared" ref="CC208:CC271" ca="1" si="237">ATAN2(CA208,CB208)</f>
        <v>-9.5376092640904325E-2</v>
      </c>
      <c r="CD208" s="6">
        <f t="shared" ref="CD208:CD271" ca="1" si="238">$BW$9-BX208</f>
        <v>-70.009312746628169</v>
      </c>
      <c r="CE208" s="9">
        <f t="shared" ref="CE208:CE271" ca="1" si="239">$BX$9-BY208</f>
        <v>-70.006828679014944</v>
      </c>
      <c r="CF208">
        <f t="shared" ref="CF208:CF271" ca="1" si="240">SQRT(POWER(CD208,2)+POWER(CE208,2))</f>
        <v>99.006363093228217</v>
      </c>
      <c r="CG208" s="6">
        <f t="shared" ref="CG208:CG271" ca="1" si="241">CD208/CF208</f>
        <v>-0.70711932606497918</v>
      </c>
      <c r="CH208" s="6">
        <f t="shared" ref="CH208:CH271" ca="1" si="242">CE208/CF208</f>
        <v>-0.70709423608555144</v>
      </c>
      <c r="CI208" s="6">
        <f t="shared" ref="CI208:CI271" ca="1" si="243">ATAN2(CG208,CH208)</f>
        <v>-2.3562122314869391</v>
      </c>
      <c r="CJ208" s="1">
        <f t="shared" ref="CJ208:CJ271" ca="1" si="244">ATAN2(COS($U$13-CI208),SIN($U$13-CI208))</f>
        <v>-3.1415749122951988</v>
      </c>
      <c r="CK208" s="38"/>
    </row>
    <row r="209" spans="55:89" x14ac:dyDescent="0.25">
      <c r="BC209">
        <v>3.6128315516282461</v>
      </c>
      <c r="BD209">
        <v>-16.672116537321699</v>
      </c>
      <c r="BE209">
        <v>-27.212694297262164</v>
      </c>
      <c r="BF209" s="6">
        <f t="shared" si="227"/>
        <v>4.1627129654204582</v>
      </c>
      <c r="BG209" s="6">
        <f t="shared" si="228"/>
        <v>0.54988141379221211</v>
      </c>
      <c r="BH209" s="6">
        <f t="shared" si="229"/>
        <v>2.9058705051565763</v>
      </c>
      <c r="BI209" s="6">
        <f t="shared" si="230"/>
        <v>2.9058705051565763</v>
      </c>
      <c r="BJ209">
        <v>-25.649410057417999</v>
      </c>
      <c r="BK209">
        <v>-41.865683534249484</v>
      </c>
      <c r="BV209" s="38"/>
      <c r="BW209" s="6">
        <f t="shared" si="231"/>
        <v>3.3859387488689858</v>
      </c>
      <c r="BX209" s="9">
        <f t="shared" ca="1" si="232"/>
        <v>111.98161840594305</v>
      </c>
      <c r="BY209" s="9">
        <f t="shared" ca="1" si="233"/>
        <v>-10.193748106857779</v>
      </c>
      <c r="BZ209">
        <f t="shared" ca="1" si="234"/>
        <v>112.44463242538663</v>
      </c>
      <c r="CA209" s="6">
        <f t="shared" ca="1" si="235"/>
        <v>0.99588229327219502</v>
      </c>
      <c r="CB209" s="6">
        <f t="shared" ca="1" si="236"/>
        <v>-9.0655711055144472E-2</v>
      </c>
      <c r="CC209" s="6">
        <f t="shared" ca="1" si="237"/>
        <v>-9.0780347576421533E-2</v>
      </c>
      <c r="CD209" s="6">
        <f t="shared" ca="1" si="238"/>
        <v>-69.747324505546999</v>
      </c>
      <c r="CE209" s="9">
        <f t="shared" ca="1" si="239"/>
        <v>-70.551016526607569</v>
      </c>
      <c r="CF209">
        <f t="shared" ca="1" si="240"/>
        <v>99.207536047518744</v>
      </c>
      <c r="CG209" s="6">
        <f t="shared" ca="1" si="241"/>
        <v>-0.70304462024073655</v>
      </c>
      <c r="CH209" s="6">
        <f t="shared" ca="1" si="242"/>
        <v>-0.7111457388964364</v>
      </c>
      <c r="CI209" s="6">
        <f t="shared" ca="1" si="243"/>
        <v>-2.3504661029268021</v>
      </c>
      <c r="CJ209" s="1">
        <f t="shared" ca="1" si="244"/>
        <v>3.1358642663242504</v>
      </c>
      <c r="CK209" s="38"/>
    </row>
    <row r="210" spans="55:89" x14ac:dyDescent="0.25">
      <c r="BC210">
        <v>3.6302848441481892</v>
      </c>
      <c r="BD210">
        <v>-16.451101716138542</v>
      </c>
      <c r="BE210">
        <v>-27.701435066537567</v>
      </c>
      <c r="BF210" s="6">
        <f t="shared" si="227"/>
        <v>4.1764876780923519</v>
      </c>
      <c r="BG210" s="6">
        <f t="shared" si="228"/>
        <v>0.54620283394416269</v>
      </c>
      <c r="BH210" s="6">
        <f t="shared" si="229"/>
        <v>2.8920957924846826</v>
      </c>
      <c r="BI210" s="6">
        <f t="shared" si="230"/>
        <v>2.8920957924846826</v>
      </c>
      <c r="BJ210">
        <v>-25.309387255597755</v>
      </c>
      <c r="BK210">
        <v>-42.617592410057796</v>
      </c>
      <c r="BV210" s="38"/>
      <c r="BW210" s="6">
        <f t="shared" si="231"/>
        <v>3.4033920413889289</v>
      </c>
      <c r="BX210" s="9">
        <f t="shared" ca="1" si="232"/>
        <v>111.72462539109183</v>
      </c>
      <c r="BY210" s="9">
        <f t="shared" ca="1" si="233"/>
        <v>-9.6549601453722822</v>
      </c>
      <c r="BZ210">
        <f t="shared" ca="1" si="234"/>
        <v>112.14102805926352</v>
      </c>
      <c r="CA210" s="6">
        <f t="shared" ca="1" si="235"/>
        <v>0.99628679462478598</v>
      </c>
      <c r="CB210" s="6">
        <f t="shared" ca="1" si="236"/>
        <v>-8.6096590270867634E-2</v>
      </c>
      <c r="CC210" s="6">
        <f t="shared" ca="1" si="237"/>
        <v>-8.6203313575848345E-2</v>
      </c>
      <c r="CD210" s="6">
        <f t="shared" ca="1" si="238"/>
        <v>-69.49033149069578</v>
      </c>
      <c r="CE210" s="9">
        <f t="shared" ca="1" si="239"/>
        <v>-71.089804488093066</v>
      </c>
      <c r="CF210">
        <f t="shared" ca="1" si="240"/>
        <v>99.411601299054041</v>
      </c>
      <c r="CG210" s="6">
        <f t="shared" ca="1" si="241"/>
        <v>-0.69901631784053175</v>
      </c>
      <c r="CH210" s="6">
        <f t="shared" ca="1" si="242"/>
        <v>-0.71510571763387865</v>
      </c>
      <c r="CI210" s="6">
        <f t="shared" ca="1" si="243"/>
        <v>-2.3448173210514165</v>
      </c>
      <c r="CJ210" s="1">
        <f t="shared" ca="1" si="244"/>
        <v>3.1302154844488648</v>
      </c>
      <c r="CK210" s="38"/>
    </row>
    <row r="211" spans="55:89" x14ac:dyDescent="0.25">
      <c r="BC211">
        <v>3.6477381366681323</v>
      </c>
      <c r="BD211">
        <v>-16.230088359216939</v>
      </c>
      <c r="BE211">
        <v>-28.189818840831325</v>
      </c>
      <c r="BF211" s="6">
        <f t="shared" si="227"/>
        <v>4.1899965624970292</v>
      </c>
      <c r="BG211" s="6">
        <f t="shared" si="228"/>
        <v>0.54225842582889694</v>
      </c>
      <c r="BH211" s="6">
        <f t="shared" si="229"/>
        <v>2.8785869080800053</v>
      </c>
      <c r="BI211" s="6">
        <f t="shared" si="230"/>
        <v>2.8785869080800053</v>
      </c>
      <c r="BJ211">
        <v>-24.969366706487598</v>
      </c>
      <c r="BK211">
        <v>-43.368952062817421</v>
      </c>
      <c r="BV211" s="38"/>
      <c r="BW211" s="6">
        <f t="shared" si="231"/>
        <v>3.420845333908872</v>
      </c>
      <c r="BX211" s="9">
        <f t="shared" ca="1" si="232"/>
        <v>111.47225839641148</v>
      </c>
      <c r="BY211" s="9">
        <f t="shared" ca="1" si="233"/>
        <v>-9.1213364484431345</v>
      </c>
      <c r="BZ211">
        <f t="shared" ca="1" si="234"/>
        <v>111.84481736138706</v>
      </c>
      <c r="CA211" s="6">
        <f t="shared" ca="1" si="235"/>
        <v>0.99666896532387561</v>
      </c>
      <c r="CB211" s="6">
        <f t="shared" ca="1" si="236"/>
        <v>-8.1553501213835908E-2</v>
      </c>
      <c r="CC211" s="6">
        <f t="shared" ca="1" si="237"/>
        <v>-8.1644174553260354E-2</v>
      </c>
      <c r="CD211" s="6">
        <f t="shared" ca="1" si="238"/>
        <v>-69.237964496015422</v>
      </c>
      <c r="CE211" s="9">
        <f t="shared" ca="1" si="239"/>
        <v>-71.62342818502222</v>
      </c>
      <c r="CF211">
        <f t="shared" ca="1" si="240"/>
        <v>99.618327593503238</v>
      </c>
      <c r="CG211" s="6">
        <f t="shared" ca="1" si="241"/>
        <v>-0.69503239181593013</v>
      </c>
      <c r="CH211" s="6">
        <f t="shared" ca="1" si="242"/>
        <v>-0.71897842410369128</v>
      </c>
      <c r="CI211" s="6">
        <f t="shared" ca="1" si="243"/>
        <v>-2.3392612791705654</v>
      </c>
      <c r="CJ211" s="1">
        <f t="shared" ca="1" si="244"/>
        <v>3.1246594425680136</v>
      </c>
      <c r="CK211" s="38"/>
    </row>
    <row r="212" spans="55:89" x14ac:dyDescent="0.25">
      <c r="BC212">
        <v>3.6651914291880754</v>
      </c>
      <c r="BD212">
        <v>-16.00825023168348</v>
      </c>
      <c r="BE212">
        <v>-28.678906581526888</v>
      </c>
      <c r="BF212" s="6">
        <f t="shared" si="227"/>
        <v>4.2032803756610866</v>
      </c>
      <c r="BG212" s="6">
        <f t="shared" si="228"/>
        <v>0.5380889464730112</v>
      </c>
      <c r="BH212" s="6">
        <f t="shared" si="229"/>
        <v>2.8653030949159479</v>
      </c>
      <c r="BI212" s="6">
        <f t="shared" si="230"/>
        <v>2.8653030949159479</v>
      </c>
      <c r="BJ212">
        <v>-24.628077279513047</v>
      </c>
      <c r="BK212">
        <v>-44.121394740810594</v>
      </c>
      <c r="BV212" s="38"/>
      <c r="BW212" s="6">
        <f t="shared" si="231"/>
        <v>3.4382986264288151</v>
      </c>
      <c r="BX212" s="9">
        <f t="shared" ca="1" si="232"/>
        <v>111.22415724858978</v>
      </c>
      <c r="BY212" s="9">
        <f t="shared" ca="1" si="233"/>
        <v>-8.5926437767487158</v>
      </c>
      <c r="BZ212">
        <f t="shared" ca="1" si="234"/>
        <v>111.55557665456767</v>
      </c>
      <c r="CA212" s="6">
        <f t="shared" ca="1" si="235"/>
        <v>0.99702910947245482</v>
      </c>
      <c r="CB212" s="6">
        <f t="shared" ca="1" si="236"/>
        <v>-7.7025676657616809E-2</v>
      </c>
      <c r="CC212" s="6">
        <f t="shared" ca="1" si="237"/>
        <v>-7.7102045703342767E-2</v>
      </c>
      <c r="CD212" s="6">
        <f t="shared" ca="1" si="238"/>
        <v>-68.989863348193722</v>
      </c>
      <c r="CE212" s="9">
        <f t="shared" ca="1" si="239"/>
        <v>-72.152120856716635</v>
      </c>
      <c r="CF212">
        <f t="shared" ca="1" si="240"/>
        <v>99.827500163655742</v>
      </c>
      <c r="CG212" s="6">
        <f t="shared" ca="1" si="241"/>
        <v>-0.69109076391868729</v>
      </c>
      <c r="CH212" s="6">
        <f t="shared" ca="1" si="242"/>
        <v>-0.72276798215352989</v>
      </c>
      <c r="CI212" s="6">
        <f t="shared" ca="1" si="243"/>
        <v>-2.3337934409157794</v>
      </c>
      <c r="CJ212" s="1">
        <f t="shared" ca="1" si="244"/>
        <v>3.1191916043132277</v>
      </c>
      <c r="CK212" s="38"/>
    </row>
    <row r="213" spans="55:89" x14ac:dyDescent="0.25">
      <c r="BC213">
        <v>3.6826447217080185</v>
      </c>
      <c r="BD213">
        <v>-15.784799240937113</v>
      </c>
      <c r="BE213">
        <v>-29.169665136069938</v>
      </c>
      <c r="BF213" s="6">
        <f t="shared" si="227"/>
        <v>4.2163754564739913</v>
      </c>
      <c r="BG213" s="6">
        <f t="shared" si="228"/>
        <v>0.53373073476597277</v>
      </c>
      <c r="BH213" s="6">
        <f t="shared" si="229"/>
        <v>2.8522080141030433</v>
      </c>
      <c r="BI213" s="6">
        <f t="shared" si="230"/>
        <v>2.8522080141030433</v>
      </c>
      <c r="BJ213">
        <v>-24.284306524518634</v>
      </c>
      <c r="BK213">
        <v>-44.876407901646054</v>
      </c>
      <c r="BV213" s="38"/>
      <c r="BW213" s="6">
        <f t="shared" si="231"/>
        <v>3.4557519189487582</v>
      </c>
      <c r="BX213" s="9">
        <f t="shared" ca="1" si="232"/>
        <v>110.97997917807035</v>
      </c>
      <c r="BY213" s="9">
        <f t="shared" ca="1" si="233"/>
        <v>-8.068657843724246</v>
      </c>
      <c r="BZ213">
        <f t="shared" ca="1" si="234"/>
        <v>111.27290334022935</v>
      </c>
      <c r="CA213" s="6">
        <f t="shared" ca="1" si="235"/>
        <v>0.99736751577997973</v>
      </c>
      <c r="CB213" s="6">
        <f t="shared" ca="1" si="236"/>
        <v>-7.2512333205267607E-2</v>
      </c>
      <c r="CC213" s="6">
        <f t="shared" ca="1" si="237"/>
        <v>-7.2576029473057052E-2</v>
      </c>
      <c r="CD213" s="6">
        <f t="shared" ca="1" si="238"/>
        <v>-68.745685277674298</v>
      </c>
      <c r="CE213" s="9">
        <f t="shared" ca="1" si="239"/>
        <v>-72.676106789741112</v>
      </c>
      <c r="CF213">
        <f t="shared" ca="1" si="240"/>
        <v>100.03892113777967</v>
      </c>
      <c r="CG213" s="6">
        <f t="shared" ca="1" si="241"/>
        <v>-0.68718939084712416</v>
      </c>
      <c r="CH213" s="6">
        <f t="shared" ca="1" si="242"/>
        <v>-0.72647831427177401</v>
      </c>
      <c r="CI213" s="6">
        <f t="shared" ca="1" si="243"/>
        <v>-2.3284094511040032</v>
      </c>
      <c r="CJ213" s="1">
        <f t="shared" ca="1" si="244"/>
        <v>3.1138076145014515</v>
      </c>
      <c r="CK213" s="38"/>
    </row>
    <row r="214" spans="55:89" x14ac:dyDescent="0.25">
      <c r="BC214">
        <v>3.7000980142279616</v>
      </c>
      <c r="BD214">
        <v>-15.55897419429688</v>
      </c>
      <c r="BE214">
        <v>-29.662989239837728</v>
      </c>
      <c r="BF214" s="6">
        <f t="shared" si="227"/>
        <v>4.2293145565460195</v>
      </c>
      <c r="BG214" s="6">
        <f t="shared" si="228"/>
        <v>0.52921654231805793</v>
      </c>
      <c r="BH214" s="6">
        <f t="shared" si="229"/>
        <v>2.839268914031015</v>
      </c>
      <c r="BI214" s="6">
        <f t="shared" si="230"/>
        <v>2.839268914031015</v>
      </c>
      <c r="BJ214">
        <v>-23.936883375841354</v>
      </c>
      <c r="BK214">
        <v>-45.635368061288808</v>
      </c>
      <c r="BV214" s="38"/>
      <c r="BW214" s="6">
        <f t="shared" si="231"/>
        <v>3.4732052114687013</v>
      </c>
      <c r="BX214" s="9">
        <f t="shared" ca="1" si="232"/>
        <v>110.73940513798914</v>
      </c>
      <c r="BY214" s="9">
        <f t="shared" ca="1" si="233"/>
        <v>-7.5491682551395662</v>
      </c>
      <c r="BZ214">
        <f t="shared" ca="1" si="234"/>
        <v>110.99642242730215</v>
      </c>
      <c r="CA214" s="6">
        <f t="shared" ca="1" si="235"/>
        <v>0.99768445429417918</v>
      </c>
      <c r="CB214" s="6">
        <f t="shared" ca="1" si="236"/>
        <v>-6.8012716897104905E-2</v>
      </c>
      <c r="CC214" s="6">
        <f t="shared" ca="1" si="237"/>
        <v>-6.8065261085899054E-2</v>
      </c>
      <c r="CD214" s="6">
        <f t="shared" ca="1" si="238"/>
        <v>-68.505111237593084</v>
      </c>
      <c r="CE214" s="9">
        <f t="shared" ca="1" si="239"/>
        <v>-73.195596378325789</v>
      </c>
      <c r="CF214">
        <f t="shared" ca="1" si="240"/>
        <v>100.25240942168813</v>
      </c>
      <c r="CG214" s="6">
        <f t="shared" ca="1" si="241"/>
        <v>-0.68332633233224827</v>
      </c>
      <c r="CH214" s="6">
        <f t="shared" ca="1" si="242"/>
        <v>-0.73011308955623966</v>
      </c>
      <c r="CI214" s="6">
        <f t="shared" ca="1" si="243"/>
        <v>-2.3231052189802988</v>
      </c>
      <c r="CJ214" s="1">
        <f t="shared" ca="1" si="244"/>
        <v>3.108503382377747</v>
      </c>
      <c r="CK214" s="38"/>
    </row>
    <row r="215" spans="55:89" x14ac:dyDescent="0.25">
      <c r="BC215">
        <v>3.7175513067479047</v>
      </c>
      <c r="BD215">
        <v>-15.330030850825722</v>
      </c>
      <c r="BE215">
        <v>-30.159719402916735</v>
      </c>
      <c r="BF215" s="6">
        <f t="shared" si="227"/>
        <v>4.2421275113598931</v>
      </c>
      <c r="BG215" s="6">
        <f t="shared" si="228"/>
        <v>0.52457620461198839</v>
      </c>
      <c r="BH215" s="6">
        <f t="shared" si="229"/>
        <v>2.8264559592171414</v>
      </c>
      <c r="BI215" s="6">
        <f t="shared" si="230"/>
        <v>2.8264559592171414</v>
      </c>
      <c r="BJ215">
        <v>-23.584662847424188</v>
      </c>
      <c r="BK215">
        <v>-46.399568312179589</v>
      </c>
      <c r="BV215" s="38"/>
      <c r="BW215" s="6">
        <f t="shared" si="231"/>
        <v>3.4906585039886444</v>
      </c>
      <c r="BX215" s="9">
        <f t="shared" ca="1" si="232"/>
        <v>110.50214469886232</v>
      </c>
      <c r="BY215" s="9">
        <f t="shared" ca="1" si="233"/>
        <v>-7.0339823993876429</v>
      </c>
      <c r="BZ215">
        <f t="shared" ca="1" si="234"/>
        <v>110.72579144645209</v>
      </c>
      <c r="CA215" s="6">
        <f t="shared" ca="1" si="235"/>
        <v>0.99798017476625644</v>
      </c>
      <c r="CB215" s="6">
        <f t="shared" ca="1" si="236"/>
        <v>-6.3526142441612934E-2</v>
      </c>
      <c r="CC215" s="6">
        <f t="shared" ca="1" si="237"/>
        <v>-6.3568947595683933E-2</v>
      </c>
      <c r="CD215" s="6">
        <f t="shared" ca="1" si="238"/>
        <v>-68.26785079846627</v>
      </c>
      <c r="CE215" s="9">
        <f t="shared" ca="1" si="239"/>
        <v>-73.710782234077712</v>
      </c>
      <c r="CF215">
        <f t="shared" ca="1" si="240"/>
        <v>100.4678001660297</v>
      </c>
      <c r="CG215" s="6">
        <f t="shared" ca="1" si="241"/>
        <v>-0.67949980676046573</v>
      </c>
      <c r="CH215" s="6">
        <f t="shared" ca="1" si="242"/>
        <v>-0.73367568626232238</v>
      </c>
      <c r="CI215" s="6">
        <f t="shared" ca="1" si="243"/>
        <v>-2.3178769826136056</v>
      </c>
      <c r="CJ215" s="1">
        <f t="shared" ca="1" si="244"/>
        <v>3.1032751460110539</v>
      </c>
      <c r="CK215" s="38"/>
    </row>
    <row r="216" spans="55:89" x14ac:dyDescent="0.25">
      <c r="BC216">
        <v>3.7350045992678478</v>
      </c>
      <c r="BD216">
        <v>-15.097232911484198</v>
      </c>
      <c r="BE216">
        <v>-30.660656676576661</v>
      </c>
      <c r="BF216" s="6">
        <f t="shared" si="227"/>
        <v>4.2548417893225681</v>
      </c>
      <c r="BG216" s="6">
        <f t="shared" si="228"/>
        <v>0.51983719005472029</v>
      </c>
      <c r="BH216" s="6">
        <f t="shared" si="229"/>
        <v>2.8137416812544664</v>
      </c>
      <c r="BI216" s="6">
        <f t="shared" si="230"/>
        <v>2.8137416812544664</v>
      </c>
      <c r="BJ216">
        <v>-23.226512171514152</v>
      </c>
      <c r="BK216">
        <v>-47.17024104088717</v>
      </c>
      <c r="BV216" s="38"/>
      <c r="BW216" s="6">
        <f t="shared" si="231"/>
        <v>3.5081117965085875</v>
      </c>
      <c r="BX216" s="9">
        <f t="shared" ca="1" si="232"/>
        <v>110.2679400742793</v>
      </c>
      <c r="BY216" s="9">
        <f t="shared" ca="1" si="233"/>
        <v>-6.5229287119547728</v>
      </c>
      <c r="BZ216">
        <f t="shared" ca="1" si="234"/>
        <v>110.46070435773119</v>
      </c>
      <c r="CA216" s="6">
        <f t="shared" ca="1" si="235"/>
        <v>0.99825490626216162</v>
      </c>
      <c r="CB216" s="6">
        <f t="shared" ca="1" si="236"/>
        <v>-5.905202895348214E-2</v>
      </c>
      <c r="CC216" s="6">
        <f t="shared" ca="1" si="237"/>
        <v>-5.9086403391303333E-2</v>
      </c>
      <c r="CD216" s="6">
        <f t="shared" ca="1" si="238"/>
        <v>-68.033646173883241</v>
      </c>
      <c r="CE216" s="9">
        <f t="shared" ca="1" si="239"/>
        <v>-74.221835921510575</v>
      </c>
      <c r="CF216">
        <f t="shared" ca="1" si="240"/>
        <v>100.68494395525468</v>
      </c>
      <c r="CG216" s="6">
        <f t="shared" ca="1" si="241"/>
        <v>-0.6757082390006397</v>
      </c>
      <c r="CH216" s="6">
        <f t="shared" ca="1" si="242"/>
        <v>-0.73716916358910067</v>
      </c>
      <c r="CI216" s="6">
        <f t="shared" ca="1" si="243"/>
        <v>-2.3127213615271978</v>
      </c>
      <c r="CJ216" s="1">
        <f t="shared" ca="1" si="244"/>
        <v>3.098119524924646</v>
      </c>
      <c r="CK216" s="38"/>
    </row>
    <row r="217" spans="55:89" x14ac:dyDescent="0.25">
      <c r="BC217">
        <v>3.7524578917877909</v>
      </c>
      <c r="BD217">
        <v>-14.859843707245561</v>
      </c>
      <c r="BE217">
        <v>-31.166575043725757</v>
      </c>
      <c r="BF217" s="6">
        <f t="shared" si="227"/>
        <v>4.2674829455781298</v>
      </c>
      <c r="BG217" s="6">
        <f t="shared" si="228"/>
        <v>0.51502505379033892</v>
      </c>
      <c r="BH217" s="6">
        <f t="shared" si="229"/>
        <v>2.8011005249989047</v>
      </c>
      <c r="BI217" s="6">
        <f t="shared" si="230"/>
        <v>2.8011005249989047</v>
      </c>
      <c r="BJ217">
        <v>-22.861298011147017</v>
      </c>
      <c r="BK217">
        <v>-47.94857699034732</v>
      </c>
      <c r="BV217" s="38"/>
      <c r="BW217" s="6">
        <f t="shared" si="231"/>
        <v>3.5255650890285306</v>
      </c>
      <c r="BX217" s="9">
        <f t="shared" ca="1" si="232"/>
        <v>110.03656967183719</v>
      </c>
      <c r="BY217" s="9">
        <f t="shared" ca="1" si="233"/>
        <v>-6.0158596138020854</v>
      </c>
      <c r="BZ217">
        <f t="shared" ca="1" si="234"/>
        <v>110.2008948785719</v>
      </c>
      <c r="CA217" s="6">
        <f t="shared" ca="1" si="235"/>
        <v>0.99850885778272691</v>
      </c>
      <c r="CB217" s="6">
        <f t="shared" ca="1" si="236"/>
        <v>-5.4589934323408508E-2</v>
      </c>
      <c r="CC217" s="6">
        <f t="shared" ca="1" si="237"/>
        <v>-5.461708430312702E-2</v>
      </c>
      <c r="CD217" s="6">
        <f t="shared" ca="1" si="238"/>
        <v>-67.802275771441131</v>
      </c>
      <c r="CE217" s="9">
        <f t="shared" ca="1" si="239"/>
        <v>-74.728905019663273</v>
      </c>
      <c r="CF217">
        <f t="shared" ca="1" si="240"/>
        <v>100.90370580521019</v>
      </c>
      <c r="CG217" s="6">
        <f t="shared" ca="1" si="241"/>
        <v>-0.67195030381074605</v>
      </c>
      <c r="CH217" s="6">
        <f t="shared" ca="1" si="242"/>
        <v>-0.74059623899169635</v>
      </c>
      <c r="CI217" s="6">
        <f t="shared" ca="1" si="243"/>
        <v>-2.3076354025748618</v>
      </c>
      <c r="CJ217" s="1">
        <f t="shared" ca="1" si="244"/>
        <v>3.0930335659723101</v>
      </c>
      <c r="CK217" s="38"/>
    </row>
    <row r="218" spans="55:89" x14ac:dyDescent="0.25">
      <c r="BC218">
        <v>3.769911184307734</v>
      </c>
      <c r="BD218">
        <v>-14.617118331914574</v>
      </c>
      <c r="BE218">
        <v>-31.678232011512769</v>
      </c>
      <c r="BF218" s="6">
        <f t="shared" si="227"/>
        <v>4.280075002419327</v>
      </c>
      <c r="BG218" s="6">
        <f t="shared" si="228"/>
        <v>0.51016381811159306</v>
      </c>
      <c r="BH218" s="6">
        <f t="shared" si="229"/>
        <v>2.7885084681577075</v>
      </c>
      <c r="BI218" s="6">
        <f t="shared" si="230"/>
        <v>2.7885084681577075</v>
      </c>
      <c r="BJ218">
        <v>-22.48787435679165</v>
      </c>
      <c r="BK218">
        <v>-48.735741556173487</v>
      </c>
      <c r="BV218" s="38"/>
      <c r="BW218" s="6">
        <f t="shared" si="231"/>
        <v>3.5430183815484737</v>
      </c>
      <c r="BX218" s="9">
        <f t="shared" ca="1" si="232"/>
        <v>109.80618584983429</v>
      </c>
      <c r="BY218" s="9">
        <f t="shared" ca="1" si="233"/>
        <v>-5.5121932626573624</v>
      </c>
      <c r="BZ218">
        <f t="shared" ca="1" si="234"/>
        <v>109.94445290897234</v>
      </c>
      <c r="CA218" s="6">
        <f t="shared" ca="1" si="235"/>
        <v>0.99874239167616286</v>
      </c>
      <c r="CB218" s="6">
        <f t="shared" ca="1" si="236"/>
        <v>-5.0136165279944959E-2</v>
      </c>
      <c r="CC218" s="6">
        <f t="shared" ca="1" si="237"/>
        <v>-5.0157193077812398E-2</v>
      </c>
      <c r="CD218" s="6">
        <f t="shared" ca="1" si="238"/>
        <v>-67.571891949438239</v>
      </c>
      <c r="CE218" s="9">
        <f t="shared" ca="1" si="239"/>
        <v>-75.232571370807989</v>
      </c>
      <c r="CF218">
        <f t="shared" ca="1" si="240"/>
        <v>101.12319405898073</v>
      </c>
      <c r="CG218" s="6">
        <f t="shared" ca="1" si="241"/>
        <v>-0.66821358421517529</v>
      </c>
      <c r="CH218" s="6">
        <f t="shared" ca="1" si="242"/>
        <v>-0.74396949256693901</v>
      </c>
      <c r="CI218" s="6">
        <f t="shared" ca="1" si="243"/>
        <v>-2.3026013220692771</v>
      </c>
      <c r="CJ218" s="1">
        <f t="shared" ca="1" si="244"/>
        <v>3.0879994854667254</v>
      </c>
      <c r="CK218" s="38"/>
    </row>
    <row r="219" spans="55:89" x14ac:dyDescent="0.25">
      <c r="BC219">
        <v>3.7873644768276771</v>
      </c>
      <c r="BD219">
        <v>-14.368296028316054</v>
      </c>
      <c r="BE219">
        <v>-32.196377850775868</v>
      </c>
      <c r="BF219" s="6">
        <f t="shared" si="227"/>
        <v>4.2926407723610946</v>
      </c>
      <c r="BG219" s="6">
        <f t="shared" si="228"/>
        <v>0.50527629553341757</v>
      </c>
      <c r="BH219" s="6">
        <f t="shared" si="229"/>
        <v>2.7759426982159399</v>
      </c>
      <c r="BI219" s="6">
        <f t="shared" si="230"/>
        <v>2.7759426982159399</v>
      </c>
      <c r="BJ219">
        <v>-22.105070812793929</v>
      </c>
      <c r="BK219">
        <v>-49.532889001193638</v>
      </c>
      <c r="BV219" s="38"/>
      <c r="BW219" s="6">
        <f t="shared" si="231"/>
        <v>3.5604716740684168</v>
      </c>
      <c r="BX219" s="9">
        <f t="shared" ca="1" si="232"/>
        <v>109.57792456270639</v>
      </c>
      <c r="BY219" s="9">
        <f t="shared" ca="1" si="233"/>
        <v>-5.0120583545239477</v>
      </c>
      <c r="BZ219">
        <f t="shared" ca="1" si="234"/>
        <v>109.69248962631546</v>
      </c>
      <c r="CA219" s="6">
        <f t="shared" ca="1" si="235"/>
        <v>0.99895557969374782</v>
      </c>
      <c r="CB219" s="6">
        <f t="shared" ca="1" si="236"/>
        <v>-4.5691900800121359E-2</v>
      </c>
      <c r="CC219" s="6">
        <f t="shared" ca="1" si="237"/>
        <v>-4.5707814631620283E-2</v>
      </c>
      <c r="CD219" s="6">
        <f t="shared" ca="1" si="238"/>
        <v>-67.343630662310332</v>
      </c>
      <c r="CE219" s="9">
        <f t="shared" ca="1" si="239"/>
        <v>-75.732706278941407</v>
      </c>
      <c r="CF219">
        <f t="shared" ca="1" si="240"/>
        <v>101.34400520560689</v>
      </c>
      <c r="CG219" s="6">
        <f t="shared" ca="1" si="241"/>
        <v>-0.66450532052372968</v>
      </c>
      <c r="CH219" s="6">
        <f t="shared" ca="1" si="242"/>
        <v>-0.74728353320252894</v>
      </c>
      <c r="CI219" s="6">
        <f t="shared" ca="1" si="243"/>
        <v>-2.2976279795392429</v>
      </c>
      <c r="CJ219" s="1">
        <f t="shared" ca="1" si="244"/>
        <v>3.0830261429366912</v>
      </c>
      <c r="CK219" s="38"/>
    </row>
    <row r="220" spans="55:89" x14ac:dyDescent="0.25">
      <c r="BC220">
        <v>3.8048177693476202</v>
      </c>
      <c r="BD220">
        <v>-14.112592656253334</v>
      </c>
      <c r="BE220">
        <v>-32.721763833150447</v>
      </c>
      <c r="BF220" s="6">
        <f t="shared" si="227"/>
        <v>4.3052021363807995</v>
      </c>
      <c r="BG220" s="6">
        <f t="shared" si="228"/>
        <v>0.50038436703317934</v>
      </c>
      <c r="BH220" s="6">
        <f t="shared" si="229"/>
        <v>2.763381334196235</v>
      </c>
      <c r="BI220" s="6">
        <f t="shared" si="230"/>
        <v>2.763381334196235</v>
      </c>
      <c r="BJ220">
        <v>-21.711681009620513</v>
      </c>
      <c r="BK220">
        <v>-50.341175127923762</v>
      </c>
      <c r="BV220" s="38"/>
      <c r="BW220" s="6">
        <f t="shared" si="231"/>
        <v>3.5779249665883599</v>
      </c>
      <c r="BX220" s="9">
        <f t="shared" ca="1" si="232"/>
        <v>109.35198905506364</v>
      </c>
      <c r="BY220" s="9">
        <f t="shared" ca="1" si="233"/>
        <v>-4.5154621685022995</v>
      </c>
      <c r="BZ220">
        <f t="shared" ca="1" si="234"/>
        <v>109.44517764110913</v>
      </c>
      <c r="CA220" s="6">
        <f t="shared" ca="1" si="235"/>
        <v>0.99914853639005397</v>
      </c>
      <c r="CB220" s="6">
        <f t="shared" ca="1" si="236"/>
        <v>-4.1257753569639503E-2</v>
      </c>
      <c r="CC220" s="6">
        <f t="shared" ca="1" si="237"/>
        <v>-4.1269467384555662E-2</v>
      </c>
      <c r="CD220" s="6">
        <f t="shared" ca="1" si="238"/>
        <v>-67.117695154667587</v>
      </c>
      <c r="CE220" s="9">
        <f t="shared" ca="1" si="239"/>
        <v>-76.229302464963055</v>
      </c>
      <c r="CF220">
        <f t="shared" ca="1" si="240"/>
        <v>101.56619298354011</v>
      </c>
      <c r="CG220" s="6">
        <f t="shared" ca="1" si="241"/>
        <v>-0.66082712350501049</v>
      </c>
      <c r="CH220" s="6">
        <f t="shared" ca="1" si="242"/>
        <v>-0.75053814882395797</v>
      </c>
      <c r="CI220" s="6">
        <f t="shared" ca="1" si="243"/>
        <v>-2.2927165943334398</v>
      </c>
      <c r="CJ220" s="1">
        <f t="shared" ca="1" si="244"/>
        <v>3.0781147577308881</v>
      </c>
      <c r="CK220" s="38"/>
    </row>
    <row r="221" spans="55:89" x14ac:dyDescent="0.25">
      <c r="BC221">
        <v>3.8222710618675633</v>
      </c>
      <c r="BD221">
        <v>-13.849193081323877</v>
      </c>
      <c r="BE221">
        <v>-33.255149747818677</v>
      </c>
      <c r="BF221" s="6">
        <f t="shared" si="227"/>
        <v>4.3177802872196178</v>
      </c>
      <c r="BG221" s="6">
        <f t="shared" si="228"/>
        <v>0.49550922535205455</v>
      </c>
      <c r="BH221" s="6">
        <f t="shared" si="229"/>
        <v>2.7508031833574167</v>
      </c>
      <c r="BI221" s="6">
        <f t="shared" si="230"/>
        <v>2.7508031833574167</v>
      </c>
      <c r="BJ221">
        <v>-21.306450894344426</v>
      </c>
      <c r="BK221">
        <v>-51.161768842797962</v>
      </c>
      <c r="BV221" s="38"/>
      <c r="BW221" s="6">
        <f t="shared" si="231"/>
        <v>3.595378259108303</v>
      </c>
      <c r="BX221" s="9">
        <f t="shared" ca="1" si="232"/>
        <v>109.12830403909794</v>
      </c>
      <c r="BY221" s="9">
        <f t="shared" ca="1" si="233"/>
        <v>-4.0223506165107779</v>
      </c>
      <c r="BZ221">
        <f t="shared" ca="1" si="234"/>
        <v>109.20240861323501</v>
      </c>
      <c r="CA221" s="6">
        <f t="shared" ca="1" si="235"/>
        <v>0.99932140165150085</v>
      </c>
      <c r="CB221" s="6">
        <f t="shared" ca="1" si="236"/>
        <v>-3.6833900163840166E-2</v>
      </c>
      <c r="CC221" s="6">
        <f t="shared" ca="1" si="237"/>
        <v>-3.6842234234018521E-2</v>
      </c>
      <c r="CD221" s="6">
        <f t="shared" ca="1" si="238"/>
        <v>-66.894010138701887</v>
      </c>
      <c r="CE221" s="9">
        <f t="shared" ca="1" si="239"/>
        <v>-76.722414016954573</v>
      </c>
      <c r="CF221">
        <f t="shared" ca="1" si="240"/>
        <v>101.78967238883196</v>
      </c>
      <c r="CG221" s="6">
        <f t="shared" ca="1" si="241"/>
        <v>-0.65717875466943032</v>
      </c>
      <c r="CH221" s="6">
        <f t="shared" ca="1" si="242"/>
        <v>-0.75373475733253581</v>
      </c>
      <c r="CI221" s="6">
        <f t="shared" ca="1" si="243"/>
        <v>-2.2878659297138451</v>
      </c>
      <c r="CJ221" s="1">
        <f t="shared" ca="1" si="244"/>
        <v>3.0732640931112933</v>
      </c>
      <c r="CK221" s="38"/>
    </row>
    <row r="222" spans="55:89" x14ac:dyDescent="0.25">
      <c r="BC222">
        <v>3.8397243543875064</v>
      </c>
      <c r="BD222">
        <v>-13.577243313118389</v>
      </c>
      <c r="BE222">
        <v>-33.797310931560759</v>
      </c>
      <c r="BF222" s="6">
        <f t="shared" si="227"/>
        <v>4.3303959460906416</v>
      </c>
      <c r="BG222" s="6">
        <f t="shared" si="228"/>
        <v>0.49067159170313523</v>
      </c>
      <c r="BH222" s="6">
        <f t="shared" si="229"/>
        <v>2.7381875244863929</v>
      </c>
      <c r="BI222" s="6">
        <f t="shared" si="230"/>
        <v>2.7381875244863929</v>
      </c>
      <c r="BJ222">
        <v>-20.888066635566751</v>
      </c>
      <c r="BK222">
        <v>-51.995862971631936</v>
      </c>
      <c r="BV222" s="38"/>
      <c r="BW222" s="6">
        <f t="shared" si="231"/>
        <v>3.6128315516282461</v>
      </c>
      <c r="BX222" s="9">
        <f t="shared" ca="1" si="232"/>
        <v>108.90641043771775</v>
      </c>
      <c r="BY222" s="9">
        <f t="shared" ca="1" si="233"/>
        <v>-3.5320703362031871</v>
      </c>
      <c r="BZ222">
        <f t="shared" ca="1" si="234"/>
        <v>108.96367172268253</v>
      </c>
      <c r="CA222" s="6">
        <f t="shared" ca="1" si="235"/>
        <v>0.99947449196544591</v>
      </c>
      <c r="CB222" s="6">
        <f t="shared" ca="1" si="236"/>
        <v>-3.2415118546963669E-2</v>
      </c>
      <c r="CC222" s="6">
        <f t="shared" ca="1" si="237"/>
        <v>-3.2420797875873937E-2</v>
      </c>
      <c r="CD222" s="6">
        <f t="shared" ca="1" si="238"/>
        <v>-66.672116537321699</v>
      </c>
      <c r="CE222" s="9">
        <f t="shared" ca="1" si="239"/>
        <v>-77.212694297262161</v>
      </c>
      <c r="CF222">
        <f t="shared" ca="1" si="240"/>
        <v>102.01456407890329</v>
      </c>
      <c r="CG222" s="6">
        <f t="shared" ca="1" si="241"/>
        <v>-0.65355488345521007</v>
      </c>
      <c r="CH222" s="6">
        <f t="shared" ca="1" si="242"/>
        <v>-0.75687912794041745</v>
      </c>
      <c r="CI222" s="6">
        <f t="shared" ca="1" si="243"/>
        <v>-2.2830680600558355</v>
      </c>
      <c r="CJ222" s="1">
        <f t="shared" ca="1" si="244"/>
        <v>3.0684662234532838</v>
      </c>
      <c r="CK222" s="38"/>
    </row>
    <row r="223" spans="55:89" x14ac:dyDescent="0.25">
      <c r="BC223">
        <v>3.8571776469074495</v>
      </c>
      <c r="BD223">
        <v>-13.295842250018783</v>
      </c>
      <c r="BE223">
        <v>-34.349045004749712</v>
      </c>
      <c r="BF223" s="6">
        <f t="shared" si="227"/>
        <v>4.3430695588482324</v>
      </c>
      <c r="BG223" s="6">
        <f t="shared" si="228"/>
        <v>0.48589191194078296</v>
      </c>
      <c r="BH223" s="6">
        <f t="shared" si="229"/>
        <v>2.7255139117288021</v>
      </c>
      <c r="BI223" s="6">
        <f t="shared" si="230"/>
        <v>2.7255139117288021</v>
      </c>
      <c r="BJ223">
        <v>-20.45514192310582</v>
      </c>
      <c r="BK223">
        <v>-52.844684622691865</v>
      </c>
      <c r="BV223" s="38"/>
      <c r="BW223" s="6">
        <f t="shared" si="231"/>
        <v>3.6302848441481892</v>
      </c>
      <c r="BX223" s="9">
        <f t="shared" ca="1" si="232"/>
        <v>108.68539561653459</v>
      </c>
      <c r="BY223" s="9">
        <f t="shared" ca="1" si="233"/>
        <v>-3.0433295669277847</v>
      </c>
      <c r="BZ223">
        <f t="shared" ca="1" si="234"/>
        <v>108.72799582065133</v>
      </c>
      <c r="CA223" s="6">
        <f t="shared" ca="1" si="235"/>
        <v>0.99960819470831586</v>
      </c>
      <c r="CB223" s="6">
        <f t="shared" ca="1" si="236"/>
        <v>-2.7990303177737298E-2</v>
      </c>
      <c r="CC223" s="6">
        <f t="shared" ca="1" si="237"/>
        <v>-2.7993959333711176E-2</v>
      </c>
      <c r="CD223" s="6">
        <f t="shared" ca="1" si="238"/>
        <v>-66.451101716138538</v>
      </c>
      <c r="CE223" s="9">
        <f t="shared" ca="1" si="239"/>
        <v>-77.70143506653757</v>
      </c>
      <c r="CF223">
        <f t="shared" ca="1" si="240"/>
        <v>102.24119488096736</v>
      </c>
      <c r="CG223" s="6">
        <f t="shared" ca="1" si="241"/>
        <v>-0.64994449442324254</v>
      </c>
      <c r="CH223" s="6">
        <f t="shared" ca="1" si="242"/>
        <v>-0.75998168015348611</v>
      </c>
      <c r="CI223" s="6">
        <f t="shared" ca="1" si="243"/>
        <v>-2.2783077258249729</v>
      </c>
      <c r="CJ223" s="1">
        <f t="shared" ca="1" si="244"/>
        <v>3.0637058892224212</v>
      </c>
      <c r="CK223" s="38"/>
    </row>
    <row r="224" spans="55:89" x14ac:dyDescent="0.25">
      <c r="BC224">
        <v>3.8746309394273926</v>
      </c>
      <c r="BD224">
        <v>-13.004032869669365</v>
      </c>
      <c r="BE224">
        <v>-34.911178481960768</v>
      </c>
      <c r="BF224" s="6">
        <f t="shared" si="227"/>
        <v>4.3558214769090435</v>
      </c>
      <c r="BG224" s="6">
        <f t="shared" si="228"/>
        <v>0.48119053748165097</v>
      </c>
      <c r="BH224" s="6">
        <f t="shared" si="229"/>
        <v>2.712761993667991</v>
      </c>
      <c r="BI224" s="6">
        <f t="shared" si="230"/>
        <v>2.712761993667991</v>
      </c>
      <c r="BJ224">
        <v>-20.006204414875945</v>
      </c>
      <c r="BK224">
        <v>-53.709505356862721</v>
      </c>
      <c r="BV224" s="38"/>
      <c r="BW224" s="6">
        <f t="shared" si="231"/>
        <v>3.6477381366681323</v>
      </c>
      <c r="BX224" s="9">
        <f t="shared" ca="1" si="232"/>
        <v>108.46438225961299</v>
      </c>
      <c r="BY224" s="9">
        <f t="shared" ca="1" si="233"/>
        <v>-2.554945792634026</v>
      </c>
      <c r="BZ224">
        <f t="shared" ca="1" si="234"/>
        <v>108.49446975289915</v>
      </c>
      <c r="CA224" s="6">
        <f t="shared" ca="1" si="235"/>
        <v>0.99972268177949819</v>
      </c>
      <c r="CB224" s="6">
        <f t="shared" ca="1" si="236"/>
        <v>-2.3549087787175012E-2</v>
      </c>
      <c r="CC224" s="6">
        <f t="shared" ca="1" si="237"/>
        <v>-2.3551264892383832E-2</v>
      </c>
      <c r="CD224" s="6">
        <f t="shared" ca="1" si="238"/>
        <v>-66.230088359216936</v>
      </c>
      <c r="CE224" s="9">
        <f t="shared" ca="1" si="239"/>
        <v>-78.189818840831322</v>
      </c>
      <c r="CF224">
        <f t="shared" ca="1" si="240"/>
        <v>102.46986081005333</v>
      </c>
      <c r="CG224" s="6">
        <f t="shared" ca="1" si="241"/>
        <v>-0.64633725307762979</v>
      </c>
      <c r="CH224" s="6">
        <f t="shared" ca="1" si="242"/>
        <v>-0.76305186932741598</v>
      </c>
      <c r="CI224" s="6">
        <f t="shared" ca="1" si="243"/>
        <v>-2.2735708182213141</v>
      </c>
      <c r="CJ224" s="1">
        <f t="shared" ca="1" si="244"/>
        <v>3.0589689816187624</v>
      </c>
      <c r="CK224" s="38"/>
    </row>
    <row r="225" spans="55:89" x14ac:dyDescent="0.25">
      <c r="BC225">
        <v>3.8920842319473357</v>
      </c>
      <c r="BD225">
        <v>-12.700792680173871</v>
      </c>
      <c r="BE225">
        <v>-35.484573410140605</v>
      </c>
      <c r="BF225" s="6">
        <f t="shared" si="227"/>
        <v>4.3686721277193286</v>
      </c>
      <c r="BG225" s="6">
        <f t="shared" si="228"/>
        <v>0.4765878957719929</v>
      </c>
      <c r="BH225" s="6">
        <f t="shared" si="229"/>
        <v>2.699911342857706</v>
      </c>
      <c r="BI225" s="6">
        <f t="shared" si="230"/>
        <v>2.699911342857706</v>
      </c>
      <c r="BJ225">
        <v>-19.53968104642134</v>
      </c>
      <c r="BK225">
        <v>-54.591651400216314</v>
      </c>
      <c r="BV225" s="38"/>
      <c r="BW225" s="6">
        <f t="shared" si="231"/>
        <v>3.6651914291880754</v>
      </c>
      <c r="BX225" s="9">
        <f t="shared" ca="1" si="232"/>
        <v>108.24254413207953</v>
      </c>
      <c r="BY225" s="9">
        <f t="shared" ca="1" si="233"/>
        <v>-2.0658580519384628</v>
      </c>
      <c r="BZ225">
        <f t="shared" ca="1" si="234"/>
        <v>108.26225625616688</v>
      </c>
      <c r="CA225" s="6">
        <f t="shared" ca="1" si="235"/>
        <v>0.99981792247114543</v>
      </c>
      <c r="CB225" s="6">
        <f t="shared" ca="1" si="236"/>
        <v>-1.9081978552620334E-2</v>
      </c>
      <c r="CC225" s="6">
        <f t="shared" ca="1" si="237"/>
        <v>-1.9083136770141767E-2</v>
      </c>
      <c r="CD225" s="6">
        <f t="shared" ca="1" si="238"/>
        <v>-66.008250231683476</v>
      </c>
      <c r="CE225" s="9">
        <f t="shared" ca="1" si="239"/>
        <v>-78.678906581526888</v>
      </c>
      <c r="CF225">
        <f t="shared" ca="1" si="240"/>
        <v>102.70082492128861</v>
      </c>
      <c r="CG225" s="6">
        <f t="shared" ca="1" si="241"/>
        <v>-0.64272366149223381</v>
      </c>
      <c r="CH225" s="6">
        <f t="shared" ca="1" si="242"/>
        <v>-0.76609809747708968</v>
      </c>
      <c r="CI225" s="6">
        <f t="shared" ca="1" si="243"/>
        <v>-2.2688445520770362</v>
      </c>
      <c r="CJ225" s="1">
        <f t="shared" ca="1" si="244"/>
        <v>3.0542427154744844</v>
      </c>
      <c r="CK225" s="38"/>
    </row>
    <row r="226" spans="55:89" x14ac:dyDescent="0.25">
      <c r="BC226">
        <v>3.9095375244672788</v>
      </c>
      <c r="BD226">
        <v>-12.385023264239114</v>
      </c>
      <c r="BE226">
        <v>-36.070134171993928</v>
      </c>
      <c r="BF226" s="6">
        <f t="shared" si="227"/>
        <v>4.3816421780399679</v>
      </c>
      <c r="BG226" s="6">
        <f t="shared" si="228"/>
        <v>0.47210465357268916</v>
      </c>
      <c r="BH226" s="6">
        <f t="shared" si="229"/>
        <v>2.6869412925370666</v>
      </c>
      <c r="BI226" s="6">
        <f t="shared" si="230"/>
        <v>2.6869412925370666</v>
      </c>
      <c r="BJ226">
        <v>-19.053881944983253</v>
      </c>
      <c r="BK226">
        <v>-55.492514110759885</v>
      </c>
      <c r="BV226" s="38"/>
      <c r="BW226" s="6">
        <f t="shared" si="231"/>
        <v>3.6826447217080185</v>
      </c>
      <c r="BX226" s="9">
        <f t="shared" ca="1" si="232"/>
        <v>108.01909314133317</v>
      </c>
      <c r="BY226" s="9">
        <f t="shared" ca="1" si="233"/>
        <v>-1.5750994973954136</v>
      </c>
      <c r="BZ226">
        <f t="shared" ca="1" si="234"/>
        <v>108.03057632680994</v>
      </c>
      <c r="CA226" s="6">
        <f t="shared" ca="1" si="235"/>
        <v>0.99989370430236324</v>
      </c>
      <c r="CB226" s="6">
        <f t="shared" ca="1" si="236"/>
        <v>-1.4580126765504641E-2</v>
      </c>
      <c r="CC226" s="6">
        <f t="shared" ca="1" si="237"/>
        <v>-1.4580643389052709E-2</v>
      </c>
      <c r="CD226" s="6">
        <f t="shared" ca="1" si="238"/>
        <v>-65.784799240937119</v>
      </c>
      <c r="CE226" s="9">
        <f t="shared" ca="1" si="239"/>
        <v>-79.169665136069938</v>
      </c>
      <c r="CF226">
        <f t="shared" ca="1" si="240"/>
        <v>102.93432706793128</v>
      </c>
      <c r="CG226" s="6">
        <f t="shared" ca="1" si="241"/>
        <v>-0.63909485897277585</v>
      </c>
      <c r="CH226" s="6">
        <f t="shared" ca="1" si="242"/>
        <v>-0.76912792254251683</v>
      </c>
      <c r="CI226" s="6">
        <f t="shared" ca="1" si="243"/>
        <v>-2.2641171755030745</v>
      </c>
      <c r="CJ226" s="1">
        <f t="shared" ca="1" si="244"/>
        <v>3.0495153389005227</v>
      </c>
      <c r="CK226" s="38"/>
    </row>
    <row r="227" spans="55:89" x14ac:dyDescent="0.25">
      <c r="BC227">
        <v>3.9269908169872219</v>
      </c>
      <c r="BD227">
        <v>-12.055538675217308</v>
      </c>
      <c r="BE227">
        <v>-36.668814594461949</v>
      </c>
      <c r="BF227" s="6">
        <f t="shared" si="227"/>
        <v>4.3947526942072406</v>
      </c>
      <c r="BG227" s="6">
        <f t="shared" si="228"/>
        <v>0.46776187722001872</v>
      </c>
      <c r="BH227" s="6">
        <f t="shared" si="229"/>
        <v>2.6738307763697939</v>
      </c>
      <c r="BI227" s="6">
        <f t="shared" si="230"/>
        <v>2.6738307763697939</v>
      </c>
      <c r="BJ227">
        <v>-18.546982577257396</v>
      </c>
      <c r="BK227">
        <v>-56.41356091455684</v>
      </c>
      <c r="BV227" s="38"/>
      <c r="BW227" s="6">
        <f t="shared" si="231"/>
        <v>3.7000980142279616</v>
      </c>
      <c r="BX227" s="9">
        <f t="shared" ca="1" si="232"/>
        <v>107.79326809469293</v>
      </c>
      <c r="BY227" s="9">
        <f t="shared" ca="1" si="233"/>
        <v>-1.0817753936276233</v>
      </c>
      <c r="BZ227">
        <f t="shared" ca="1" si="234"/>
        <v>107.79869611705237</v>
      </c>
      <c r="CA227" s="6">
        <f t="shared" ca="1" si="235"/>
        <v>0.99994964667890285</v>
      </c>
      <c r="CB227" s="6">
        <f t="shared" ca="1" si="236"/>
        <v>-1.0035143583304439E-2</v>
      </c>
      <c r="CC227" s="6">
        <f t="shared" ca="1" si="237"/>
        <v>-1.0035312020966037E-2</v>
      </c>
      <c r="CD227" s="6">
        <f t="shared" ca="1" si="238"/>
        <v>-65.55897419429688</v>
      </c>
      <c r="CE227" s="9">
        <f t="shared" ca="1" si="239"/>
        <v>-79.662989239837728</v>
      </c>
      <c r="CF227">
        <f t="shared" ca="1" si="240"/>
        <v>103.17059150763355</v>
      </c>
      <c r="CG227" s="6">
        <f t="shared" ca="1" si="241"/>
        <v>-0.63544245735419869</v>
      </c>
      <c r="CH227" s="6">
        <f t="shared" ca="1" si="242"/>
        <v>-0.77214822630869084</v>
      </c>
      <c r="CI227" s="6">
        <f t="shared" ca="1" si="243"/>
        <v>-2.2593777330812683</v>
      </c>
      <c r="CJ227" s="1">
        <f t="shared" ca="1" si="244"/>
        <v>3.0447758964787166</v>
      </c>
      <c r="CK227" s="38"/>
    </row>
    <row r="228" spans="55:89" x14ac:dyDescent="0.25">
      <c r="BC228">
        <v>3.944444109507165</v>
      </c>
      <c r="BD228">
        <v>-11.711052482009219</v>
      </c>
      <c r="BE228">
        <v>-37.28162549347379</v>
      </c>
      <c r="BF228" s="6">
        <f t="shared" si="227"/>
        <v>4.4080253014273527</v>
      </c>
      <c r="BG228" s="6">
        <f t="shared" si="228"/>
        <v>0.46358119192018776</v>
      </c>
      <c r="BH228" s="6">
        <f t="shared" si="229"/>
        <v>2.6605581691496818</v>
      </c>
      <c r="BI228" s="6">
        <f t="shared" si="230"/>
        <v>2.6605581691496818</v>
      </c>
      <c r="BJ228">
        <v>-18.017003818475722</v>
      </c>
      <c r="BK228">
        <v>-57.356346913036596</v>
      </c>
      <c r="BV228" s="38"/>
      <c r="BW228" s="6">
        <f t="shared" si="231"/>
        <v>3.7175513067479047</v>
      </c>
      <c r="BX228" s="9">
        <f t="shared" ca="1" si="232"/>
        <v>107.56432475122178</v>
      </c>
      <c r="BY228" s="9">
        <f t="shared" ca="1" si="233"/>
        <v>-0.58504523054861579</v>
      </c>
      <c r="BZ228">
        <f t="shared" ca="1" si="234"/>
        <v>107.56591577775968</v>
      </c>
      <c r="CA228" s="6">
        <f t="shared" ca="1" si="235"/>
        <v>0.9999852088226423</v>
      </c>
      <c r="CB228" s="6">
        <f t="shared" ca="1" si="236"/>
        <v>-5.4389462156150736E-3</v>
      </c>
      <c r="CC228" s="6">
        <f t="shared" ca="1" si="237"/>
        <v>-5.438973031913103E-3</v>
      </c>
      <c r="CD228" s="6">
        <f t="shared" ca="1" si="238"/>
        <v>-65.330030850825722</v>
      </c>
      <c r="CE228" s="9">
        <f t="shared" ca="1" si="239"/>
        <v>-80.159719402916735</v>
      </c>
      <c r="CF228">
        <f t="shared" ca="1" si="240"/>
        <v>103.4098329257145</v>
      </c>
      <c r="CG228" s="6">
        <f t="shared" ca="1" si="241"/>
        <v>-0.63175840248921211</v>
      </c>
      <c r="CH228" s="6">
        <f t="shared" ca="1" si="242"/>
        <v>-0.77516535067318293</v>
      </c>
      <c r="CI228" s="6">
        <f t="shared" ca="1" si="243"/>
        <v>-2.2546158697352023</v>
      </c>
      <c r="CJ228" s="1">
        <f t="shared" ca="1" si="244"/>
        <v>3.0400140331326506</v>
      </c>
      <c r="CK228" s="38"/>
    </row>
    <row r="229" spans="55:89" x14ac:dyDescent="0.25">
      <c r="BC229">
        <v>3.9618974020271081</v>
      </c>
      <c r="BD229">
        <v>-11.350163149849198</v>
      </c>
      <c r="BE229">
        <v>-37.909642801226418</v>
      </c>
      <c r="BF229" s="6">
        <f t="shared" si="227"/>
        <v>4.4214823458442396</v>
      </c>
      <c r="BG229" s="6">
        <f t="shared" si="228"/>
        <v>0.45958494381713155</v>
      </c>
      <c r="BH229" s="6">
        <f t="shared" si="229"/>
        <v>2.6471011247327949</v>
      </c>
      <c r="BI229" s="6">
        <f t="shared" si="230"/>
        <v>2.6471011247327949</v>
      </c>
      <c r="BJ229">
        <v>-17.461789461306459</v>
      </c>
      <c r="BK229">
        <v>-58.32252738650218</v>
      </c>
      <c r="BV229" s="38"/>
      <c r="BW229" s="6">
        <f t="shared" si="231"/>
        <v>3.7350045992678478</v>
      </c>
      <c r="BX229" s="9">
        <f t="shared" ca="1" si="232"/>
        <v>107.33152681188025</v>
      </c>
      <c r="BY229" s="9">
        <f t="shared" ca="1" si="233"/>
        <v>-8.4107956888690438E-2</v>
      </c>
      <c r="BZ229">
        <f t="shared" ca="1" si="234"/>
        <v>107.33155976653737</v>
      </c>
      <c r="CA229" s="6">
        <f t="shared" ca="1" si="235"/>
        <v>0.99999969296395963</v>
      </c>
      <c r="CB229" s="6">
        <f t="shared" ca="1" si="236"/>
        <v>-7.8362745376698304E-4</v>
      </c>
      <c r="CC229" s="6">
        <f t="shared" ca="1" si="237"/>
        <v>-7.8362753396761639E-4</v>
      </c>
      <c r="CD229" s="6">
        <f t="shared" ca="1" si="238"/>
        <v>-65.097232911484198</v>
      </c>
      <c r="CE229" s="9">
        <f t="shared" ca="1" si="239"/>
        <v>-80.660656676576664</v>
      </c>
      <c r="CF229">
        <f t="shared" ca="1" si="240"/>
        <v>103.65226127889633</v>
      </c>
      <c r="CG229" s="6">
        <f t="shared" ca="1" si="241"/>
        <v>-0.62803485527756675</v>
      </c>
      <c r="CH229" s="6">
        <f t="shared" ca="1" si="242"/>
        <v>-0.7781852096747186</v>
      </c>
      <c r="CI229" s="6">
        <f t="shared" ca="1" si="243"/>
        <v>-2.2498216652912917</v>
      </c>
      <c r="CJ229" s="1">
        <f t="shared" ca="1" si="244"/>
        <v>3.03521982868874</v>
      </c>
      <c r="CK229" s="38"/>
    </row>
    <row r="230" spans="55:89" x14ac:dyDescent="0.25">
      <c r="BC230">
        <v>3.9793506945470511</v>
      </c>
      <c r="BD230">
        <v>-10.971337453867232</v>
      </c>
      <c r="BE230">
        <v>-38.554016424810349</v>
      </c>
      <c r="BF230" s="6">
        <f t="shared" si="227"/>
        <v>4.4351470615000146</v>
      </c>
      <c r="BG230" s="6">
        <f t="shared" si="228"/>
        <v>0.45579636695296344</v>
      </c>
      <c r="BH230" s="6">
        <f t="shared" si="229"/>
        <v>2.6334364090770199</v>
      </c>
      <c r="BI230" s="6">
        <f t="shared" si="230"/>
        <v>2.6334364090770199</v>
      </c>
      <c r="BJ230">
        <v>-16.87898069825728</v>
      </c>
      <c r="BK230">
        <v>-59.313871422785148</v>
      </c>
      <c r="BV230" s="38"/>
      <c r="BW230" s="6">
        <f t="shared" si="231"/>
        <v>3.7524578917877909</v>
      </c>
      <c r="BX230" s="9">
        <f t="shared" ca="1" si="232"/>
        <v>107.09413760764161</v>
      </c>
      <c r="BY230" s="9">
        <f t="shared" ca="1" si="233"/>
        <v>0.42181041026040589</v>
      </c>
      <c r="BZ230">
        <f t="shared" ca="1" si="234"/>
        <v>107.09496829425126</v>
      </c>
      <c r="CA230" s="6">
        <f t="shared" ca="1" si="235"/>
        <v>0.99999224345809257</v>
      </c>
      <c r="CB230" s="6">
        <f t="shared" ca="1" si="236"/>
        <v>3.9386575950183852E-3</v>
      </c>
      <c r="CC230" s="6">
        <f t="shared" ca="1" si="237"/>
        <v>3.9386677785042123E-3</v>
      </c>
      <c r="CD230" s="6">
        <f t="shared" ca="1" si="238"/>
        <v>-64.85984370724556</v>
      </c>
      <c r="CE230" s="9">
        <f t="shared" ca="1" si="239"/>
        <v>-81.166575043725757</v>
      </c>
      <c r="CF230">
        <f t="shared" ca="1" si="240"/>
        <v>103.89808578629871</v>
      </c>
      <c r="CG230" s="6">
        <f t="shared" ca="1" si="241"/>
        <v>-0.62426408741207806</v>
      </c>
      <c r="CH230" s="6">
        <f t="shared" ca="1" si="242"/>
        <v>-0.78121338260910855</v>
      </c>
      <c r="CI230" s="6">
        <f t="shared" ca="1" si="243"/>
        <v>-2.2449854925068102</v>
      </c>
      <c r="CJ230" s="1">
        <f t="shared" ca="1" si="244"/>
        <v>3.0303836559042585</v>
      </c>
      <c r="CK230" s="38"/>
    </row>
    <row r="231" spans="55:89" x14ac:dyDescent="0.25">
      <c r="BC231">
        <v>3.9968039870669942</v>
      </c>
      <c r="BD231">
        <v>-10.572891520801402</v>
      </c>
      <c r="BE231">
        <v>-39.215980005817912</v>
      </c>
      <c r="BF231" s="6">
        <f t="shared" si="227"/>
        <v>4.4490437453486233</v>
      </c>
      <c r="BG231" s="6">
        <f t="shared" si="228"/>
        <v>0.4522397582816291</v>
      </c>
      <c r="BH231" s="6">
        <f t="shared" si="229"/>
        <v>2.6195397252284112</v>
      </c>
      <c r="BI231" s="6">
        <f t="shared" si="230"/>
        <v>2.6195397252284112</v>
      </c>
      <c r="BJ231">
        <v>-16.265986955079079</v>
      </c>
      <c r="BK231">
        <v>-60.332276932027554</v>
      </c>
      <c r="BV231" s="38"/>
      <c r="BW231" s="6">
        <f t="shared" si="231"/>
        <v>3.769911184307734</v>
      </c>
      <c r="BX231" s="9">
        <f t="shared" ca="1" si="232"/>
        <v>106.85141223231062</v>
      </c>
      <c r="BY231" s="9">
        <f t="shared" ca="1" si="233"/>
        <v>0.93346737804741764</v>
      </c>
      <c r="BZ231">
        <f t="shared" ca="1" si="234"/>
        <v>106.85548959873357</v>
      </c>
      <c r="CA231" s="6">
        <f t="shared" ca="1" si="235"/>
        <v>0.99996184223722839</v>
      </c>
      <c r="CB231" s="6">
        <f t="shared" ca="1" si="236"/>
        <v>8.7357924384867634E-3</v>
      </c>
      <c r="CC231" s="6">
        <f t="shared" ca="1" si="237"/>
        <v>8.7359035529478799E-3</v>
      </c>
      <c r="CD231" s="6">
        <f t="shared" ca="1" si="238"/>
        <v>-64.617118331914568</v>
      </c>
      <c r="CE231" s="9">
        <f t="shared" ca="1" si="239"/>
        <v>-81.678232011512762</v>
      </c>
      <c r="CF231">
        <f t="shared" ca="1" si="240"/>
        <v>104.14751829039018</v>
      </c>
      <c r="CG231" s="6">
        <f t="shared" ca="1" si="241"/>
        <v>-0.62043838770834037</v>
      </c>
      <c r="CH231" s="6">
        <f t="shared" ca="1" si="242"/>
        <v>-0.78425519256035225</v>
      </c>
      <c r="CI231" s="6">
        <f t="shared" ca="1" si="243"/>
        <v>-2.2400978925274546</v>
      </c>
      <c r="CJ231" s="1">
        <f t="shared" ca="1" si="244"/>
        <v>3.0254960559249029</v>
      </c>
      <c r="CK231" s="38"/>
    </row>
    <row r="232" spans="55:89" x14ac:dyDescent="0.25">
      <c r="BC232">
        <v>4.0142572795869373</v>
      </c>
      <c r="BD232">
        <v>-10.152969053021989</v>
      </c>
      <c r="BE232">
        <v>-39.896861767322264</v>
      </c>
      <c r="BF232" s="6">
        <f t="shared" si="227"/>
        <v>4.4631979426684429</v>
      </c>
      <c r="BG232" s="6">
        <f t="shared" si="228"/>
        <v>0.4489406630815056</v>
      </c>
      <c r="BH232" s="6">
        <f t="shared" si="229"/>
        <v>2.6053855279085916</v>
      </c>
      <c r="BI232" s="6">
        <f t="shared" si="230"/>
        <v>2.6053855279085916</v>
      </c>
      <c r="BJ232">
        <v>-15.619952389264599</v>
      </c>
      <c r="BK232">
        <v>-61.379787334341941</v>
      </c>
      <c r="BV232" s="38"/>
      <c r="BW232" s="6">
        <f t="shared" si="231"/>
        <v>3.7873644768276771</v>
      </c>
      <c r="BX232" s="9">
        <f t="shared" ca="1" si="232"/>
        <v>106.60258992871211</v>
      </c>
      <c r="BY232" s="9">
        <f t="shared" ca="1" si="233"/>
        <v>1.4516132173105163</v>
      </c>
      <c r="BZ232">
        <f t="shared" ca="1" si="234"/>
        <v>106.61247281834252</v>
      </c>
      <c r="CA232" s="6">
        <f t="shared" ca="1" si="235"/>
        <v>0.99990730081228618</v>
      </c>
      <c r="CB232" s="6">
        <f t="shared" ca="1" si="236"/>
        <v>1.3615791651169433E-2</v>
      </c>
      <c r="CC232" s="6">
        <f t="shared" ca="1" si="237"/>
        <v>1.3616212391045754E-2</v>
      </c>
      <c r="CD232" s="6">
        <f t="shared" ca="1" si="238"/>
        <v>-64.368296028316053</v>
      </c>
      <c r="CE232" s="9">
        <f t="shared" ca="1" si="239"/>
        <v>-82.19637785077586</v>
      </c>
      <c r="CF232">
        <f t="shared" ca="1" si="240"/>
        <v>104.40077617228928</v>
      </c>
      <c r="CG232" s="6">
        <f t="shared" ca="1" si="241"/>
        <v>-0.61654997585545823</v>
      </c>
      <c r="CH232" s="6">
        <f t="shared" ca="1" si="242"/>
        <v>-0.78731577354491877</v>
      </c>
      <c r="CI232" s="6">
        <f t="shared" ca="1" si="243"/>
        <v>-2.2351494632142024</v>
      </c>
      <c r="CJ232" s="1">
        <f t="shared" ca="1" si="244"/>
        <v>3.0205476266116507</v>
      </c>
      <c r="CK232" s="38"/>
    </row>
    <row r="233" spans="55:89" x14ac:dyDescent="0.25">
      <c r="BC233">
        <v>4.0317105721068804</v>
      </c>
      <c r="BD233">
        <v>-9.7095161608281941</v>
      </c>
      <c r="BE233">
        <v>-40.598096666398284</v>
      </c>
      <c r="BF233" s="6">
        <f t="shared" si="227"/>
        <v>4.47763664619624</v>
      </c>
      <c r="BG233" s="6">
        <f t="shared" si="228"/>
        <v>0.44592607408935958</v>
      </c>
      <c r="BH233" s="6">
        <f t="shared" si="229"/>
        <v>2.5909468243807945</v>
      </c>
      <c r="BI233" s="6">
        <f t="shared" si="230"/>
        <v>2.5909468243807945</v>
      </c>
      <c r="BJ233">
        <v>-14.937717170504914</v>
      </c>
      <c r="BK233">
        <v>-62.458610255997357</v>
      </c>
      <c r="BV233" s="38"/>
      <c r="BW233" s="6">
        <f t="shared" si="231"/>
        <v>3.8048177693476202</v>
      </c>
      <c r="BX233" s="9">
        <f t="shared" ca="1" si="232"/>
        <v>106.34688655664939</v>
      </c>
      <c r="BY233" s="9">
        <f t="shared" ca="1" si="233"/>
        <v>1.9769991996850962</v>
      </c>
      <c r="BZ233">
        <f t="shared" ca="1" si="234"/>
        <v>106.36526127513818</v>
      </c>
      <c r="CA233" s="6">
        <f t="shared" ca="1" si="235"/>
        <v>0.99982724887553975</v>
      </c>
      <c r="CB233" s="6">
        <f t="shared" ca="1" si="236"/>
        <v>1.8586888011971631E-2</v>
      </c>
      <c r="CC233" s="6">
        <f t="shared" ca="1" si="237"/>
        <v>1.8587958387870213E-2</v>
      </c>
      <c r="CD233" s="6">
        <f t="shared" ca="1" si="238"/>
        <v>-64.112592656253341</v>
      </c>
      <c r="CE233" s="9">
        <f t="shared" ca="1" si="239"/>
        <v>-82.721763833150447</v>
      </c>
      <c r="CF233">
        <f t="shared" ca="1" si="240"/>
        <v>104.65808496611329</v>
      </c>
      <c r="CG233" s="6">
        <f t="shared" ca="1" si="241"/>
        <v>-0.61259092096909695</v>
      </c>
      <c r="CH233" s="6">
        <f t="shared" ca="1" si="242"/>
        <v>-0.79040012876152377</v>
      </c>
      <c r="CI233" s="6">
        <f t="shared" ca="1" si="243"/>
        <v>-2.2301307566514978</v>
      </c>
      <c r="CJ233" s="1">
        <f t="shared" ca="1" si="244"/>
        <v>3.0155289200489461</v>
      </c>
      <c r="CK233" s="38"/>
    </row>
    <row r="234" spans="55:89" x14ac:dyDescent="0.25">
      <c r="BC234">
        <v>4.0491638646268235</v>
      </c>
      <c r="BD234">
        <v>-9.2402521454148498</v>
      </c>
      <c r="BE234">
        <v>-41.321240101371039</v>
      </c>
      <c r="BF234" s="6">
        <f t="shared" si="227"/>
        <v>4.4923885116438571</v>
      </c>
      <c r="BG234" s="6">
        <f t="shared" si="228"/>
        <v>0.44322464701703357</v>
      </c>
      <c r="BH234" s="6">
        <f t="shared" si="229"/>
        <v>2.5761949589331774</v>
      </c>
      <c r="BI234" s="6">
        <f t="shared" si="230"/>
        <v>2.5761949589331774</v>
      </c>
      <c r="BJ234">
        <v>-14.215772531407461</v>
      </c>
      <c r="BK234">
        <v>-63.571138617493901</v>
      </c>
      <c r="BV234" s="38"/>
      <c r="BW234" s="6">
        <f t="shared" si="231"/>
        <v>3.8222710618675633</v>
      </c>
      <c r="BX234" s="9">
        <f t="shared" ca="1" si="232"/>
        <v>106.08348698171993</v>
      </c>
      <c r="BY234" s="9">
        <f t="shared" ca="1" si="233"/>
        <v>2.5103851143533262</v>
      </c>
      <c r="BZ234">
        <f t="shared" ca="1" si="234"/>
        <v>106.11318600260341</v>
      </c>
      <c r="CA234" s="6">
        <f t="shared" ca="1" si="235"/>
        <v>0.99972011941208927</v>
      </c>
      <c r="CB234" s="6">
        <f t="shared" ca="1" si="236"/>
        <v>2.365761701181732E-2</v>
      </c>
      <c r="CC234" s="6">
        <f t="shared" ca="1" si="237"/>
        <v>2.3659824361522974E-2</v>
      </c>
      <c r="CD234" s="6">
        <f t="shared" ca="1" si="238"/>
        <v>-63.849193081323875</v>
      </c>
      <c r="CE234" s="9">
        <f t="shared" ca="1" si="239"/>
        <v>-83.255149747818677</v>
      </c>
      <c r="CF234">
        <f t="shared" ca="1" si="240"/>
        <v>104.91968078805753</v>
      </c>
      <c r="CG234" s="6">
        <f t="shared" ca="1" si="241"/>
        <v>-0.60855306270233622</v>
      </c>
      <c r="CH234" s="6">
        <f t="shared" ca="1" si="242"/>
        <v>-0.7935131819167256</v>
      </c>
      <c r="CI234" s="6">
        <f t="shared" ca="1" si="243"/>
        <v>-2.2250321827682287</v>
      </c>
      <c r="CJ234" s="1">
        <f t="shared" ca="1" si="244"/>
        <v>3.010430346165677</v>
      </c>
      <c r="CK234" s="38"/>
    </row>
    <row r="235" spans="55:89" x14ac:dyDescent="0.25">
      <c r="BC235">
        <v>4.0666171571467666</v>
      </c>
      <c r="BD235">
        <v>-8.7426353920835105</v>
      </c>
      <c r="BE235">
        <v>-42.067983471543599</v>
      </c>
      <c r="BF235" s="6">
        <f t="shared" si="227"/>
        <v>4.5074840933704232</v>
      </c>
      <c r="BG235" s="6">
        <f t="shared" si="228"/>
        <v>0.44086693622365658</v>
      </c>
      <c r="BH235" s="6">
        <f t="shared" si="229"/>
        <v>2.5610993772066113</v>
      </c>
      <c r="BI235" s="6">
        <f t="shared" si="230"/>
        <v>2.5610993772066113</v>
      </c>
      <c r="BJ235">
        <v>-13.450208295513093</v>
      </c>
      <c r="BK235">
        <v>-64.719974571605533</v>
      </c>
      <c r="BV235" s="38"/>
      <c r="BW235" s="6">
        <f t="shared" si="231"/>
        <v>3.8397243543875064</v>
      </c>
      <c r="BX235" s="9">
        <f t="shared" ca="1" si="232"/>
        <v>105.81153721351444</v>
      </c>
      <c r="BY235" s="9">
        <f t="shared" ca="1" si="233"/>
        <v>3.0525462980954075</v>
      </c>
      <c r="BZ235">
        <f t="shared" ca="1" si="234"/>
        <v>105.85555935513717</v>
      </c>
      <c r="CA235" s="6">
        <f t="shared" ca="1" si="235"/>
        <v>0.99958413009301628</v>
      </c>
      <c r="CB235" s="6">
        <f t="shared" ca="1" si="236"/>
        <v>2.8836901119707391E-2</v>
      </c>
      <c r="CC235" s="6">
        <f t="shared" ca="1" si="237"/>
        <v>2.8840899251258451E-2</v>
      </c>
      <c r="CD235" s="6">
        <f t="shared" ca="1" si="238"/>
        <v>-63.577243313118387</v>
      </c>
      <c r="CE235" s="9">
        <f t="shared" ca="1" si="239"/>
        <v>-83.797310931560759</v>
      </c>
      <c r="CF235">
        <f t="shared" ca="1" si="240"/>
        <v>105.18581266813567</v>
      </c>
      <c r="CG235" s="6">
        <f t="shared" ca="1" si="241"/>
        <v>-0.604427932821192</v>
      </c>
      <c r="CH235" s="6">
        <f t="shared" ca="1" si="242"/>
        <v>-0.79665982327810447</v>
      </c>
      <c r="CI235" s="6">
        <f t="shared" ca="1" si="243"/>
        <v>-2.2198439163163739</v>
      </c>
      <c r="CJ235" s="1">
        <f t="shared" ca="1" si="244"/>
        <v>3.0052420797138222</v>
      </c>
      <c r="CK235" s="38"/>
    </row>
    <row r="236" spans="55:89" x14ac:dyDescent="0.25">
      <c r="BC236">
        <v>4.0840704496667097</v>
      </c>
      <c r="BD236">
        <v>-8.2138233795167892</v>
      </c>
      <c r="BE236">
        <v>-42.840171939069101</v>
      </c>
      <c r="BF236" s="6">
        <f t="shared" si="227"/>
        <v>4.5229561035105723</v>
      </c>
      <c r="BG236" s="6">
        <f t="shared" si="228"/>
        <v>0.43888565384386258</v>
      </c>
      <c r="BH236" s="6">
        <f t="shared" si="229"/>
        <v>2.5456273670664622</v>
      </c>
      <c r="BI236" s="6">
        <f t="shared" si="230"/>
        <v>2.5456273670664622</v>
      </c>
      <c r="BJ236">
        <v>-12.636651353102753</v>
      </c>
      <c r="BK236">
        <v>-65.907956829337081</v>
      </c>
      <c r="BV236" s="38"/>
      <c r="BW236" s="6">
        <f t="shared" si="231"/>
        <v>3.8571776469074495</v>
      </c>
      <c r="BX236" s="9">
        <f t="shared" ca="1" si="232"/>
        <v>105.53013615041483</v>
      </c>
      <c r="BY236" s="9">
        <f t="shared" ca="1" si="233"/>
        <v>3.6042803712843607</v>
      </c>
      <c r="BZ236">
        <f t="shared" ca="1" si="234"/>
        <v>105.59166857721264</v>
      </c>
      <c r="CA236" s="6">
        <f t="shared" ca="1" si="235"/>
        <v>0.99941726058857749</v>
      </c>
      <c r="CB236" s="6">
        <f t="shared" ca="1" si="236"/>
        <v>3.4134135958357112E-2</v>
      </c>
      <c r="CC236" s="6">
        <f t="shared" ca="1" si="237"/>
        <v>3.4140767939702214E-2</v>
      </c>
      <c r="CD236" s="6">
        <f t="shared" ca="1" si="238"/>
        <v>-63.295842250018779</v>
      </c>
      <c r="CE236" s="9">
        <f t="shared" ca="1" si="239"/>
        <v>-84.349045004749712</v>
      </c>
      <c r="CF236">
        <f t="shared" ca="1" si="240"/>
        <v>105.45674487368058</v>
      </c>
      <c r="CG236" s="6">
        <f t="shared" ca="1" si="241"/>
        <v>-0.60020667550317941</v>
      </c>
      <c r="CH236" s="6">
        <f t="shared" ca="1" si="242"/>
        <v>-0.79984495165089409</v>
      </c>
      <c r="CI236" s="6">
        <f t="shared" ca="1" si="243"/>
        <v>-2.2145558050030627</v>
      </c>
      <c r="CJ236" s="1">
        <f t="shared" ca="1" si="244"/>
        <v>2.999953968400511</v>
      </c>
      <c r="CK236" s="38"/>
    </row>
    <row r="237" spans="55:89" x14ac:dyDescent="0.25">
      <c r="BC237">
        <v>4.1015237421866528</v>
      </c>
      <c r="BD237">
        <v>-7.6506255455647336</v>
      </c>
      <c r="BE237">
        <v>-43.63982481586838</v>
      </c>
      <c r="BF237" s="6">
        <f t="shared" si="227"/>
        <v>4.5388396989514774</v>
      </c>
      <c r="BG237" s="6">
        <f t="shared" si="228"/>
        <v>0.4373159567648246</v>
      </c>
      <c r="BH237" s="6">
        <f t="shared" si="229"/>
        <v>2.5297437716255571</v>
      </c>
      <c r="BI237" s="6">
        <f t="shared" si="230"/>
        <v>2.5297437716255571</v>
      </c>
      <c r="BJ237">
        <v>-11.770193147022667</v>
      </c>
      <c r="BK237">
        <v>-67.138192024412888</v>
      </c>
      <c r="BV237" s="38"/>
      <c r="BW237" s="6">
        <f t="shared" si="231"/>
        <v>3.8746309394273926</v>
      </c>
      <c r="BX237" s="9">
        <f t="shared" ca="1" si="232"/>
        <v>105.23832677006541</v>
      </c>
      <c r="BY237" s="9">
        <f t="shared" ca="1" si="233"/>
        <v>4.1664138484954165</v>
      </c>
      <c r="BZ237">
        <f t="shared" ca="1" si="234"/>
        <v>105.3207692039894</v>
      </c>
      <c r="CA237" s="6">
        <f t="shared" ca="1" si="235"/>
        <v>0.99921722529613977</v>
      </c>
      <c r="CB237" s="6">
        <f t="shared" ca="1" si="236"/>
        <v>3.9559280472266041E-2</v>
      </c>
      <c r="CC237" s="6">
        <f t="shared" ca="1" si="237"/>
        <v>3.9569605706623469E-2</v>
      </c>
      <c r="CD237" s="6">
        <f t="shared" ca="1" si="238"/>
        <v>-63.004032869669359</v>
      </c>
      <c r="CE237" s="9">
        <f t="shared" ca="1" si="239"/>
        <v>-84.911178481960775</v>
      </c>
      <c r="CF237">
        <f t="shared" ca="1" si="240"/>
        <v>105.73275929927193</v>
      </c>
      <c r="CG237" s="6">
        <f t="shared" ca="1" si="241"/>
        <v>-0.59587996461285198</v>
      </c>
      <c r="CH237" s="6">
        <f t="shared" ca="1" si="242"/>
        <v>-0.80307351330559162</v>
      </c>
      <c r="CI237" s="6">
        <f t="shared" ca="1" si="243"/>
        <v>-2.2091572766602474</v>
      </c>
      <c r="CJ237" s="1">
        <f t="shared" ca="1" si="244"/>
        <v>2.9945554400576957</v>
      </c>
      <c r="CK237" s="38"/>
    </row>
    <row r="238" spans="55:89" x14ac:dyDescent="0.25">
      <c r="BC238">
        <v>4.1189770347065959</v>
      </c>
      <c r="BD238">
        <v>-7.0494474628516777</v>
      </c>
      <c r="BE238">
        <v>-44.469159084580468</v>
      </c>
      <c r="BF238" s="6">
        <f t="shared" si="227"/>
        <v>4.5551728006745789</v>
      </c>
      <c r="BG238" s="6">
        <f t="shared" si="228"/>
        <v>0.43619576596798293</v>
      </c>
      <c r="BH238" s="6">
        <f t="shared" si="229"/>
        <v>2.5134106699024557</v>
      </c>
      <c r="BI238" s="6">
        <f t="shared" si="230"/>
        <v>2.5134106699024557</v>
      </c>
      <c r="BJ238">
        <v>-10.84530378900258</v>
      </c>
      <c r="BK238">
        <v>-68.414090899354562</v>
      </c>
      <c r="BV238" s="38"/>
      <c r="BW238" s="6">
        <f t="shared" si="231"/>
        <v>3.8920842319473357</v>
      </c>
      <c r="BX238" s="9">
        <f t="shared" ca="1" si="232"/>
        <v>104.93508658056993</v>
      </c>
      <c r="BY238" s="9">
        <f t="shared" ca="1" si="233"/>
        <v>4.7398087766752539</v>
      </c>
      <c r="BZ238">
        <f t="shared" ca="1" si="234"/>
        <v>105.04207815400052</v>
      </c>
      <c r="CA238" s="6">
        <f t="shared" ca="1" si="235"/>
        <v>0.99898144081580587</v>
      </c>
      <c r="CB238" s="6">
        <f t="shared" ca="1" si="236"/>
        <v>4.5122953200966716E-2</v>
      </c>
      <c r="CC238" s="6">
        <f t="shared" ca="1" si="237"/>
        <v>4.51382795782777E-2</v>
      </c>
      <c r="CD238" s="6">
        <f t="shared" ca="1" si="238"/>
        <v>-62.700792680173876</v>
      </c>
      <c r="CE238" s="9">
        <f t="shared" ca="1" si="239"/>
        <v>-85.484573410140598</v>
      </c>
      <c r="CF238">
        <f t="shared" ca="1" si="240"/>
        <v>106.0141579876757</v>
      </c>
      <c r="CG238" s="6">
        <f t="shared" ca="1" si="241"/>
        <v>-0.59143791612685293</v>
      </c>
      <c r="CH238" s="6">
        <f t="shared" ca="1" si="242"/>
        <v>-0.80635053876557039</v>
      </c>
      <c r="CI238" s="6">
        <f t="shared" ca="1" si="243"/>
        <v>-2.2036372433279614</v>
      </c>
      <c r="CJ238" s="1">
        <f t="shared" ca="1" si="244"/>
        <v>2.9890354067254097</v>
      </c>
      <c r="CK238" s="38"/>
    </row>
    <row r="239" spans="55:89" x14ac:dyDescent="0.25">
      <c r="BC239">
        <v>4.136430327226539</v>
      </c>
      <c r="BD239">
        <v>-6.4062243915022368</v>
      </c>
      <c r="BE239">
        <v>-45.330616673081799</v>
      </c>
      <c r="BF239" s="6">
        <f t="shared" si="227"/>
        <v>4.5719964505271324</v>
      </c>
      <c r="BG239" s="6">
        <f t="shared" si="228"/>
        <v>0.43556612330059341</v>
      </c>
      <c r="BH239" s="6">
        <f t="shared" si="229"/>
        <v>2.4965870200499021</v>
      </c>
      <c r="BI239" s="6">
        <f t="shared" si="230"/>
        <v>2.4965870200499021</v>
      </c>
      <c r="BJ239">
        <v>-9.855729833080364</v>
      </c>
      <c r="BK239">
        <v>-69.739410266279691</v>
      </c>
      <c r="BV239" s="38"/>
      <c r="BW239" s="6">
        <f t="shared" si="231"/>
        <v>3.9095375244672788</v>
      </c>
      <c r="BX239" s="9">
        <f t="shared" ca="1" si="232"/>
        <v>104.61931716463516</v>
      </c>
      <c r="BY239" s="9">
        <f t="shared" ca="1" si="233"/>
        <v>5.3253695385285766</v>
      </c>
      <c r="BZ239">
        <f t="shared" ca="1" si="234"/>
        <v>104.75476640571738</v>
      </c>
      <c r="CA239" s="6">
        <f t="shared" ca="1" si="235"/>
        <v>0.99870698732163066</v>
      </c>
      <c r="CB239" s="6">
        <f t="shared" ca="1" si="236"/>
        <v>5.0836536811158649E-2</v>
      </c>
      <c r="CC239" s="6">
        <f t="shared" ca="1" si="237"/>
        <v>5.0858458912006466E-2</v>
      </c>
      <c r="CD239" s="6">
        <f t="shared" ca="1" si="238"/>
        <v>-62.385023264239109</v>
      </c>
      <c r="CE239" s="9">
        <f t="shared" ca="1" si="239"/>
        <v>-86.070134171993928</v>
      </c>
      <c r="CF239">
        <f t="shared" ca="1" si="240"/>
        <v>106.30126586294583</v>
      </c>
      <c r="CG239" s="6">
        <f t="shared" ca="1" si="241"/>
        <v>-0.58686999404759765</v>
      </c>
      <c r="CH239" s="6">
        <f t="shared" ca="1" si="242"/>
        <v>-0.80968117804884954</v>
      </c>
      <c r="CI239" s="6">
        <f t="shared" ca="1" si="243"/>
        <v>-2.1979840004291455</v>
      </c>
      <c r="CJ239" s="1">
        <f t="shared" ca="1" si="244"/>
        <v>2.9833821638265938</v>
      </c>
      <c r="CK239" s="38"/>
    </row>
    <row r="240" spans="55:89" x14ac:dyDescent="0.25">
      <c r="BC240">
        <v>4.1538836197464821</v>
      </c>
      <c r="BD240">
        <v>-5.7163417619637906</v>
      </c>
      <c r="BE240">
        <v>-46.226896243508001</v>
      </c>
      <c r="BF240" s="6">
        <f t="shared" si="227"/>
        <v>4.5893552114704512</v>
      </c>
      <c r="BG240" s="6">
        <f t="shared" si="228"/>
        <v>0.4354715917239691</v>
      </c>
      <c r="BH240" s="6">
        <f t="shared" si="229"/>
        <v>2.4792282591065833</v>
      </c>
      <c r="BI240" s="6">
        <f t="shared" si="230"/>
        <v>2.4792282591065833</v>
      </c>
      <c r="BJ240">
        <v>-8.7943719414827548</v>
      </c>
      <c r="BK240">
        <v>-71.118301913089226</v>
      </c>
      <c r="BV240" s="38"/>
      <c r="BW240" s="6">
        <f t="shared" si="231"/>
        <v>3.9269908169872219</v>
      </c>
      <c r="BX240" s="9">
        <f t="shared" ca="1" si="232"/>
        <v>104.28983257561336</v>
      </c>
      <c r="BY240" s="9">
        <f t="shared" ca="1" si="233"/>
        <v>5.924049960996598</v>
      </c>
      <c r="BZ240">
        <f t="shared" ca="1" si="234"/>
        <v>104.45795109320233</v>
      </c>
      <c r="CA240" s="6">
        <f t="shared" ca="1" si="235"/>
        <v>0.99839056274960858</v>
      </c>
      <c r="CB240" s="6">
        <f t="shared" ca="1" si="236"/>
        <v>5.6712293310356821E-2</v>
      </c>
      <c r="CC240" s="6">
        <f t="shared" ca="1" si="237"/>
        <v>5.6742737869837981E-2</v>
      </c>
      <c r="CD240" s="6">
        <f t="shared" ca="1" si="238"/>
        <v>-62.055538675217306</v>
      </c>
      <c r="CE240" s="9">
        <f t="shared" ca="1" si="239"/>
        <v>-86.668814594461949</v>
      </c>
      <c r="CF240">
        <f t="shared" ca="1" si="240"/>
        <v>106.59443373591611</v>
      </c>
      <c r="CG240" s="6">
        <f t="shared" ca="1" si="241"/>
        <v>-0.58216490768136808</v>
      </c>
      <c r="CH240" s="6">
        <f t="shared" ca="1" si="242"/>
        <v>-0.81307073509279881</v>
      </c>
      <c r="CI240" s="6">
        <f t="shared" ca="1" si="243"/>
        <v>-2.1921851187353028</v>
      </c>
      <c r="CJ240" s="1">
        <f t="shared" ca="1" si="244"/>
        <v>2.977583282132751</v>
      </c>
      <c r="CK240" s="38"/>
    </row>
    <row r="241" spans="55:89" x14ac:dyDescent="0.25">
      <c r="BC241">
        <v>4.1713369122664252</v>
      </c>
      <c r="BD241">
        <v>-4.9745395041808314</v>
      </c>
      <c r="BE241">
        <v>-47.160990433218295</v>
      </c>
      <c r="BF241" s="6">
        <f t="shared" si="227"/>
        <v>4.6072976177950018</v>
      </c>
      <c r="BG241" s="6">
        <f t="shared" si="228"/>
        <v>0.43596070552857658</v>
      </c>
      <c r="BH241" s="6">
        <f t="shared" si="229"/>
        <v>2.4612858527820327</v>
      </c>
      <c r="BI241" s="6">
        <f t="shared" si="230"/>
        <v>2.4612858527820327</v>
      </c>
      <c r="BJ241">
        <v>-7.6531376987397399</v>
      </c>
      <c r="BK241">
        <v>-72.555369897258913</v>
      </c>
      <c r="BV241" s="38"/>
      <c r="BW241" s="6">
        <f t="shared" si="231"/>
        <v>3.944444109507165</v>
      </c>
      <c r="BX241" s="9">
        <f t="shared" ca="1" si="232"/>
        <v>103.94534638240528</v>
      </c>
      <c r="BY241" s="9">
        <f t="shared" ca="1" si="233"/>
        <v>6.5368608600084386</v>
      </c>
      <c r="BZ241">
        <f t="shared" ca="1" si="234"/>
        <v>104.15068691305557</v>
      </c>
      <c r="CA241" s="6">
        <f t="shared" ca="1" si="235"/>
        <v>0.99802842845557316</v>
      </c>
      <c r="CB241" s="6">
        <f t="shared" ca="1" si="236"/>
        <v>6.2763492529486389E-2</v>
      </c>
      <c r="CC241" s="6">
        <f t="shared" ca="1" si="237"/>
        <v>6.2804772657978514E-2</v>
      </c>
      <c r="CD241" s="6">
        <f t="shared" ca="1" si="238"/>
        <v>-61.711052482009222</v>
      </c>
      <c r="CE241" s="9">
        <f t="shared" ca="1" si="239"/>
        <v>-87.281625493473797</v>
      </c>
      <c r="CF241">
        <f t="shared" ca="1" si="240"/>
        <v>106.89404168250124</v>
      </c>
      <c r="CG241" s="6">
        <f t="shared" ca="1" si="241"/>
        <v>-0.57731049842146109</v>
      </c>
      <c r="CH241" s="6">
        <f t="shared" ca="1" si="242"/>
        <v>-0.81652470165474123</v>
      </c>
      <c r="CI241" s="6">
        <f t="shared" ca="1" si="243"/>
        <v>-2.1862273272597252</v>
      </c>
      <c r="CJ241" s="1">
        <f t="shared" ca="1" si="244"/>
        <v>2.9716254906571735</v>
      </c>
      <c r="CK241" s="38"/>
    </row>
    <row r="242" spans="55:89" x14ac:dyDescent="0.25">
      <c r="BC242">
        <v>4.1887902047863683</v>
      </c>
      <c r="BD242">
        <v>-4.1747962789148465</v>
      </c>
      <c r="BE242">
        <v>-48.136229713724155</v>
      </c>
      <c r="BF242" s="6">
        <f t="shared" si="227"/>
        <v>4.6258766828372089</v>
      </c>
      <c r="BG242" s="6">
        <f t="shared" si="228"/>
        <v>0.43708647805084055</v>
      </c>
      <c r="BH242" s="6">
        <f t="shared" si="229"/>
        <v>2.4427067877398256</v>
      </c>
      <c r="BI242" s="6">
        <f t="shared" si="230"/>
        <v>2.4427067877398256</v>
      </c>
      <c r="BJ242">
        <v>-6.4227635060228403</v>
      </c>
      <c r="BK242">
        <v>-74.055738021114081</v>
      </c>
      <c r="BV242" s="38"/>
      <c r="BW242" s="6">
        <f t="shared" si="231"/>
        <v>3.9618974020271081</v>
      </c>
      <c r="BX242" s="9">
        <f t="shared" ca="1" si="232"/>
        <v>103.58445705024525</v>
      </c>
      <c r="BY242" s="9">
        <f t="shared" ca="1" si="233"/>
        <v>7.1648781677610671</v>
      </c>
      <c r="BZ242">
        <f t="shared" ca="1" si="234"/>
        <v>103.83195664896699</v>
      </c>
      <c r="CA242" s="6">
        <f t="shared" ca="1" si="235"/>
        <v>0.99761634465236471</v>
      </c>
      <c r="CB242" s="6">
        <f t="shared" ca="1" si="236"/>
        <v>6.9004556968756195E-2</v>
      </c>
      <c r="CC242" s="6">
        <f t="shared" ca="1" si="237"/>
        <v>6.9059436992089787E-2</v>
      </c>
      <c r="CD242" s="6">
        <f t="shared" ca="1" si="238"/>
        <v>-61.350163149849195</v>
      </c>
      <c r="CE242" s="9">
        <f t="shared" ca="1" si="239"/>
        <v>-87.909642801226425</v>
      </c>
      <c r="CF242">
        <f t="shared" ca="1" si="240"/>
        <v>107.20050287173254</v>
      </c>
      <c r="CG242" s="6">
        <f t="shared" ca="1" si="241"/>
        <v>-0.57229361342880869</v>
      </c>
      <c r="CH242" s="6">
        <f t="shared" ca="1" si="242"/>
        <v>-0.82004879124878738</v>
      </c>
      <c r="CI242" s="6">
        <f t="shared" ca="1" si="243"/>
        <v>-2.1800963844091314</v>
      </c>
      <c r="CJ242" s="1">
        <f t="shared" ca="1" si="244"/>
        <v>2.9654945478065797</v>
      </c>
      <c r="CK242" s="38"/>
    </row>
    <row r="243" spans="55:89" x14ac:dyDescent="0.25">
      <c r="BC243">
        <v>4.2062434973063114</v>
      </c>
      <c r="BD243">
        <v>-3.3101885527441652</v>
      </c>
      <c r="BE243">
        <v>-49.156334325957154</v>
      </c>
      <c r="BF243" s="6">
        <f t="shared" si="227"/>
        <v>4.6451504724480071</v>
      </c>
      <c r="BG243" s="6">
        <f t="shared" si="228"/>
        <v>0.43890697514169563</v>
      </c>
      <c r="BH243" s="6">
        <f t="shared" si="229"/>
        <v>2.4234329981290275</v>
      </c>
      <c r="BI243" s="6">
        <f t="shared" si="230"/>
        <v>2.4234329981290275</v>
      </c>
      <c r="BJ243">
        <v>-5.092597773452562</v>
      </c>
      <c r="BK243">
        <v>-75.625129732241774</v>
      </c>
      <c r="BV243" s="38"/>
      <c r="BW243" s="6">
        <f t="shared" si="231"/>
        <v>3.9793506945470511</v>
      </c>
      <c r="BX243" s="9">
        <f t="shared" ca="1" si="232"/>
        <v>103.20563135426329</v>
      </c>
      <c r="BY243" s="9">
        <f t="shared" ca="1" si="233"/>
        <v>7.8092517913449981</v>
      </c>
      <c r="BZ243">
        <f t="shared" ca="1" si="234"/>
        <v>103.50066065862923</v>
      </c>
      <c r="CA243" s="6">
        <f t="shared" ca="1" si="235"/>
        <v>0.99714949351541804</v>
      </c>
      <c r="CB243" s="6">
        <f t="shared" ca="1" si="236"/>
        <v>7.5451226510542202E-2</v>
      </c>
      <c r="CC243" s="6">
        <f t="shared" ca="1" si="237"/>
        <v>7.5522999756733045E-2</v>
      </c>
      <c r="CD243" s="6">
        <f t="shared" ca="1" si="238"/>
        <v>-60.971337453867235</v>
      </c>
      <c r="CE243" s="9">
        <f t="shared" ca="1" si="239"/>
        <v>-88.554016424810357</v>
      </c>
      <c r="CF243">
        <f t="shared" ca="1" si="240"/>
        <v>107.51426796420527</v>
      </c>
      <c r="CG243" s="6">
        <f t="shared" ca="1" si="241"/>
        <v>-0.56709996364544302</v>
      </c>
      <c r="CH243" s="6">
        <f t="shared" ca="1" si="242"/>
        <v>-0.82364897330922293</v>
      </c>
      <c r="CI243" s="6">
        <f t="shared" ca="1" si="243"/>
        <v>-2.173776934920161</v>
      </c>
      <c r="CJ243" s="1">
        <f t="shared" ca="1" si="244"/>
        <v>2.9591750983176093</v>
      </c>
      <c r="CK243" s="38"/>
    </row>
    <row r="244" spans="55:89" x14ac:dyDescent="0.25">
      <c r="BC244">
        <v>4.2236967898262545</v>
      </c>
      <c r="BD244">
        <v>-2.3727179374895897</v>
      </c>
      <c r="BE244">
        <v>-50.225476133038661</v>
      </c>
      <c r="BF244" s="6">
        <f t="shared" si="227"/>
        <v>4.6651827539581818</v>
      </c>
      <c r="BG244" s="6">
        <f t="shared" si="228"/>
        <v>0.44148596413192731</v>
      </c>
      <c r="BH244" s="6">
        <f t="shared" si="229"/>
        <v>2.4034007166188527</v>
      </c>
      <c r="BI244" s="6">
        <f t="shared" si="230"/>
        <v>2.4034007166188527</v>
      </c>
      <c r="BJ244">
        <v>-3.6503352884455227</v>
      </c>
      <c r="BK244">
        <v>-77.269963281597938</v>
      </c>
      <c r="BV244" s="38"/>
      <c r="BW244" s="6">
        <f t="shared" si="231"/>
        <v>3.9968039870669942</v>
      </c>
      <c r="BX244" s="9">
        <f t="shared" ca="1" si="232"/>
        <v>102.80718542119746</v>
      </c>
      <c r="BY244" s="9">
        <f t="shared" ca="1" si="233"/>
        <v>8.4712153723525603</v>
      </c>
      <c r="BZ244">
        <f t="shared" ca="1" si="234"/>
        <v>103.15560510274398</v>
      </c>
      <c r="CA244" s="6">
        <f t="shared" ca="1" si="235"/>
        <v>0.99662238730314767</v>
      </c>
      <c r="CB244" s="6">
        <f t="shared" ca="1" si="236"/>
        <v>8.2120747233416433E-2</v>
      </c>
      <c r="CC244" s="6">
        <f t="shared" ca="1" si="237"/>
        <v>8.2213329688078179E-2</v>
      </c>
      <c r="CD244" s="6">
        <f t="shared" ca="1" si="238"/>
        <v>-60.572891520801406</v>
      </c>
      <c r="CE244" s="9">
        <f t="shared" ca="1" si="239"/>
        <v>-89.215980005817912</v>
      </c>
      <c r="CF244">
        <f t="shared" ca="1" si="240"/>
        <v>107.83583020308824</v>
      </c>
      <c r="CG244" s="6">
        <f t="shared" ca="1" si="241"/>
        <v>-0.56171396285190101</v>
      </c>
      <c r="CH244" s="6">
        <f t="shared" ca="1" si="242"/>
        <v>-0.82733150788375831</v>
      </c>
      <c r="CI244" s="6">
        <f t="shared" ca="1" si="243"/>
        <v>-2.1672523493809037</v>
      </c>
      <c r="CJ244" s="1">
        <f t="shared" ca="1" si="244"/>
        <v>2.952650512778352</v>
      </c>
      <c r="CK244" s="38"/>
    </row>
    <row r="245" spans="55:89" x14ac:dyDescent="0.25">
      <c r="BC245">
        <v>4.2411500823461976</v>
      </c>
      <c r="BD245">
        <v>-1.353098240342679</v>
      </c>
      <c r="BE245">
        <v>-51.348352726386153</v>
      </c>
      <c r="BF245" s="6">
        <f t="shared" si="227"/>
        <v>4.6860437306396552</v>
      </c>
      <c r="BG245" s="6">
        <f t="shared" si="228"/>
        <v>0.44489364829345757</v>
      </c>
      <c r="BH245" s="6">
        <f t="shared" si="229"/>
        <v>2.3825397399373793</v>
      </c>
      <c r="BI245" s="6">
        <f t="shared" si="230"/>
        <v>2.3825397399373793</v>
      </c>
      <c r="BJ245">
        <v>-2.0816896005271985</v>
      </c>
      <c r="BK245">
        <v>-78.997465732901773</v>
      </c>
      <c r="BV245" s="38"/>
      <c r="BW245" s="6">
        <f t="shared" si="231"/>
        <v>4.0142572795869373</v>
      </c>
      <c r="BX245" s="9">
        <f t="shared" ca="1" si="232"/>
        <v>102.38726295341804</v>
      </c>
      <c r="BY245" s="9">
        <f t="shared" ca="1" si="233"/>
        <v>9.1520971338569126</v>
      </c>
      <c r="BZ245">
        <f t="shared" ca="1" si="234"/>
        <v>102.79548869984481</v>
      </c>
      <c r="CA245" s="6">
        <f t="shared" ca="1" si="235"/>
        <v>0.99602875815281389</v>
      </c>
      <c r="CB245" s="6">
        <f t="shared" ca="1" si="236"/>
        <v>8.9032089341783818E-2</v>
      </c>
      <c r="CC245" s="6">
        <f t="shared" ca="1" si="237"/>
        <v>8.9150132861139944E-2</v>
      </c>
      <c r="CD245" s="6">
        <f t="shared" ca="1" si="238"/>
        <v>-60.152969053021991</v>
      </c>
      <c r="CE245" s="9">
        <f t="shared" ca="1" si="239"/>
        <v>-89.896861767322264</v>
      </c>
      <c r="CF245">
        <f t="shared" ca="1" si="240"/>
        <v>108.16573136399009</v>
      </c>
      <c r="CG245" s="6">
        <f t="shared" ca="1" si="241"/>
        <v>-0.55611854414962858</v>
      </c>
      <c r="CH245" s="6">
        <f t="shared" ca="1" si="242"/>
        <v>-0.83110298089520618</v>
      </c>
      <c r="CI245" s="6">
        <f t="shared" ca="1" si="243"/>
        <v>-2.1605045429299219</v>
      </c>
      <c r="CJ245" s="1">
        <f t="shared" ca="1" si="244"/>
        <v>2.9459027063273702</v>
      </c>
      <c r="CK245" s="38"/>
    </row>
    <row r="246" spans="55:89" x14ac:dyDescent="0.25">
      <c r="BC246">
        <v>4.2586033748661407</v>
      </c>
      <c r="BD246">
        <v>-0.24049091424224162</v>
      </c>
      <c r="BE246">
        <v>-52.530276780905936</v>
      </c>
      <c r="BF246" s="6">
        <f t="shared" si="227"/>
        <v>4.7078108732658555</v>
      </c>
      <c r="BG246" s="6">
        <f t="shared" si="228"/>
        <v>0.44920749839971474</v>
      </c>
      <c r="BH246" s="6">
        <f t="shared" si="229"/>
        <v>2.3607725973111791</v>
      </c>
      <c r="BI246" s="6">
        <f t="shared" si="230"/>
        <v>2.3607725973111791</v>
      </c>
      <c r="BJ246">
        <v>-0.36998602191114094</v>
      </c>
      <c r="BK246">
        <v>-80.815810432162976</v>
      </c>
      <c r="BV246" s="38"/>
      <c r="BW246" s="6">
        <f t="shared" si="231"/>
        <v>4.0317105721068804</v>
      </c>
      <c r="BX246" s="9">
        <f t="shared" ca="1" si="232"/>
        <v>101.94381006122424</v>
      </c>
      <c r="BY246" s="9">
        <f t="shared" ca="1" si="233"/>
        <v>9.8533320329329328</v>
      </c>
      <c r="BZ246">
        <f t="shared" ca="1" si="234"/>
        <v>102.4188877207236</v>
      </c>
      <c r="CA246" s="6">
        <f t="shared" ca="1" si="235"/>
        <v>0.99536142531839633</v>
      </c>
      <c r="CB246" s="6">
        <f t="shared" ca="1" si="236"/>
        <v>9.6206200362193489E-2</v>
      </c>
      <c r="CC246" s="6">
        <f t="shared" ca="1" si="237"/>
        <v>9.6355230128236477E-2</v>
      </c>
      <c r="CD246" s="6">
        <f t="shared" ca="1" si="238"/>
        <v>-59.709516160828187</v>
      </c>
      <c r="CE246" s="9">
        <f t="shared" ca="1" si="239"/>
        <v>-90.598096666398277</v>
      </c>
      <c r="CF246">
        <f t="shared" ca="1" si="240"/>
        <v>108.50456875051044</v>
      </c>
      <c r="CG246" s="6">
        <f t="shared" ca="1" si="241"/>
        <v>-0.55029494931334211</v>
      </c>
      <c r="CH246" s="6">
        <f t="shared" ca="1" si="242"/>
        <v>-0.8349703400482118</v>
      </c>
      <c r="CI246" s="6">
        <f t="shared" ca="1" si="243"/>
        <v>-2.1535137688192942</v>
      </c>
      <c r="CJ246" s="1">
        <f t="shared" ca="1" si="244"/>
        <v>2.9389119322167425</v>
      </c>
      <c r="CK246" s="38"/>
    </row>
    <row r="247" spans="55:89" x14ac:dyDescent="0.25">
      <c r="BC247">
        <v>4.2760566673860838</v>
      </c>
      <c r="BD247">
        <v>0.98101596519020295</v>
      </c>
      <c r="BE247">
        <v>-53.800976947208028</v>
      </c>
      <c r="BF247" s="6">
        <f t="shared" si="227"/>
        <v>4.7306211263089235</v>
      </c>
      <c r="BG247" s="6">
        <f t="shared" si="228"/>
        <v>0.4545644589228397</v>
      </c>
      <c r="BH247" s="6">
        <f t="shared" si="229"/>
        <v>2.337962344268111</v>
      </c>
      <c r="BI247" s="6">
        <f t="shared" si="230"/>
        <v>2.337962344268111</v>
      </c>
      <c r="BJ247">
        <v>1.5085963168749381</v>
      </c>
      <c r="BK247">
        <v>-82.734592042133698</v>
      </c>
      <c r="BV247" s="38"/>
      <c r="BW247" s="6">
        <f t="shared" si="231"/>
        <v>4.0491638646268235</v>
      </c>
      <c r="BX247" s="9">
        <f t="shared" ca="1" si="232"/>
        <v>101.47454604581091</v>
      </c>
      <c r="BY247" s="9">
        <f t="shared" ca="1" si="233"/>
        <v>10.576475467905688</v>
      </c>
      <c r="BZ247">
        <f t="shared" ca="1" si="234"/>
        <v>102.02423892647575</v>
      </c>
      <c r="CA247" s="6">
        <f t="shared" ca="1" si="235"/>
        <v>0.99461213446482089</v>
      </c>
      <c r="CB247" s="6">
        <f t="shared" ca="1" si="236"/>
        <v>0.10366630105937547</v>
      </c>
      <c r="CC247" s="6">
        <f t="shared" ca="1" si="237"/>
        <v>0.10385288326350856</v>
      </c>
      <c r="CD247" s="6">
        <f t="shared" ca="1" si="238"/>
        <v>-59.240252145414857</v>
      </c>
      <c r="CE247" s="9">
        <f t="shared" ca="1" si="239"/>
        <v>-91.321240101371046</v>
      </c>
      <c r="CF247">
        <f t="shared" ca="1" si="240"/>
        <v>108.85300348591485</v>
      </c>
      <c r="CG247" s="6">
        <f t="shared" ca="1" si="241"/>
        <v>-0.54422248581391064</v>
      </c>
      <c r="CH247" s="6">
        <f t="shared" ca="1" si="242"/>
        <v>-0.8389409311355166</v>
      </c>
      <c r="CI247" s="6">
        <f t="shared" ca="1" si="243"/>
        <v>-2.1462583820305809</v>
      </c>
      <c r="CJ247" s="1">
        <f t="shared" ca="1" si="244"/>
        <v>2.9316565454280292</v>
      </c>
      <c r="CK247" s="38"/>
    </row>
    <row r="248" spans="55:89" x14ac:dyDescent="0.25">
      <c r="BC248">
        <v>4.2935099599060269</v>
      </c>
      <c r="BD248">
        <v>2.3544434478068745</v>
      </c>
      <c r="BE248">
        <v>-55.339968884749283</v>
      </c>
      <c r="BF248" s="6">
        <f t="shared" si="227"/>
        <v>4.7549084189748516</v>
      </c>
      <c r="BG248" s="6">
        <f t="shared" si="228"/>
        <v>0.46139845906882471</v>
      </c>
      <c r="BH248" s="6">
        <f t="shared" si="229"/>
        <v>2.3136750516021829</v>
      </c>
      <c r="BI248" s="6">
        <f t="shared" si="230"/>
        <v>2.3136750516021829</v>
      </c>
      <c r="BJ248">
        <v>3.6063924358921704</v>
      </c>
      <c r="BK248">
        <v>-84.766378812101507</v>
      </c>
      <c r="BV248" s="38"/>
      <c r="BW248" s="6">
        <f t="shared" si="231"/>
        <v>4.0666171571467666</v>
      </c>
      <c r="BX248" s="9">
        <f t="shared" ca="1" si="232"/>
        <v>100.97692929247957</v>
      </c>
      <c r="BY248" s="9">
        <f t="shared" ca="1" si="233"/>
        <v>11.323218838078247</v>
      </c>
      <c r="BZ248">
        <f t="shared" ca="1" si="234"/>
        <v>101.60982006771505</v>
      </c>
      <c r="CA248" s="6">
        <f t="shared" ca="1" si="235"/>
        <v>0.99377136211033823</v>
      </c>
      <c r="CB248" s="6">
        <f t="shared" ca="1" si="236"/>
        <v>0.11143823333740974</v>
      </c>
      <c r="CC248" s="6">
        <f t="shared" ca="1" si="237"/>
        <v>0.11167018079461784</v>
      </c>
      <c r="CD248" s="6">
        <f t="shared" ca="1" si="238"/>
        <v>-58.742635392083514</v>
      </c>
      <c r="CE248" s="9">
        <f t="shared" ca="1" si="239"/>
        <v>-92.067983471543599</v>
      </c>
      <c r="CF248">
        <f t="shared" ca="1" si="240"/>
        <v>109.21177039735089</v>
      </c>
      <c r="CG248" s="6">
        <f t="shared" ca="1" si="241"/>
        <v>-0.53787824497631631</v>
      </c>
      <c r="CH248" s="6">
        <f t="shared" ca="1" si="242"/>
        <v>-0.84302253444448194</v>
      </c>
      <c r="CI248" s="6">
        <f t="shared" ca="1" si="243"/>
        <v>-2.1387145668642193</v>
      </c>
      <c r="CJ248" s="1">
        <f t="shared" ca="1" si="244"/>
        <v>2.9241127302616676</v>
      </c>
      <c r="CK248" s="38"/>
    </row>
    <row r="249" spans="55:89" x14ac:dyDescent="0.25">
      <c r="BC249">
        <v>4.31096325242597</v>
      </c>
      <c r="BD249">
        <v>3.8802849403348083</v>
      </c>
      <c r="BE249">
        <v>-56.985626881561508</v>
      </c>
      <c r="BF249" s="6">
        <f t="shared" si="227"/>
        <v>4.7803763784926669</v>
      </c>
      <c r="BG249" s="6">
        <f t="shared" si="228"/>
        <v>0.46941312606669694</v>
      </c>
      <c r="BH249" s="6">
        <f t="shared" si="229"/>
        <v>2.2882070920843676</v>
      </c>
      <c r="BI249" s="6">
        <f t="shared" si="230"/>
        <v>2.2882070920843676</v>
      </c>
      <c r="BJ249">
        <v>5.9186450247227684</v>
      </c>
      <c r="BK249">
        <v>-86.920858186811472</v>
      </c>
      <c r="BV249" s="38"/>
      <c r="BW249" s="6">
        <f t="shared" si="231"/>
        <v>4.0840704496667097</v>
      </c>
      <c r="BX249" s="9">
        <f t="shared" ca="1" si="232"/>
        <v>100.44811727991285</v>
      </c>
      <c r="BY249" s="9">
        <f t="shared" ca="1" si="233"/>
        <v>12.09540730560375</v>
      </c>
      <c r="BZ249">
        <f t="shared" ca="1" si="234"/>
        <v>101.17372753322663</v>
      </c>
      <c r="CA249" s="6">
        <f t="shared" ca="1" si="235"/>
        <v>0.99282807630987524</v>
      </c>
      <c r="CB249" s="6">
        <f t="shared" ca="1" si="236"/>
        <v>0.11955087156032161</v>
      </c>
      <c r="CC249" s="6">
        <f t="shared" ca="1" si="237"/>
        <v>0.11983749723476164</v>
      </c>
      <c r="CD249" s="6">
        <f t="shared" ca="1" si="238"/>
        <v>-58.213823379516796</v>
      </c>
      <c r="CE249" s="9">
        <f t="shared" ca="1" si="239"/>
        <v>-92.840171939069108</v>
      </c>
      <c r="CF249">
        <f t="shared" ca="1" si="240"/>
        <v>109.58168988538866</v>
      </c>
      <c r="CG249" s="6">
        <f t="shared" ca="1" si="241"/>
        <v>-0.53123677359239996</v>
      </c>
      <c r="CH249" s="6">
        <f t="shared" ca="1" si="242"/>
        <v>-0.84722340051673339</v>
      </c>
      <c r="CI249" s="6">
        <f t="shared" ca="1" si="243"/>
        <v>-2.1308560214692847</v>
      </c>
      <c r="CJ249" s="1">
        <f t="shared" ca="1" si="244"/>
        <v>2.9162541848667329</v>
      </c>
      <c r="CK249" s="38"/>
    </row>
    <row r="250" spans="55:89" x14ac:dyDescent="0.25">
      <c r="BC250">
        <v>4.3284165449459131</v>
      </c>
      <c r="BD250">
        <v>5.556377919681962</v>
      </c>
      <c r="BE250">
        <v>-58.620568842183388</v>
      </c>
      <c r="BF250" s="6">
        <f t="shared" si="227"/>
        <v>4.8068921066763561</v>
      </c>
      <c r="BG250" s="6">
        <f t="shared" si="228"/>
        <v>0.47847556173044303</v>
      </c>
      <c r="BH250" s="6">
        <f t="shared" si="229"/>
        <v>2.2616913639006784</v>
      </c>
      <c r="BI250" s="6">
        <f t="shared" si="230"/>
        <v>2.2616913639006784</v>
      </c>
      <c r="BJ250">
        <v>8.4300467362900839</v>
      </c>
      <c r="BK250">
        <v>-88.938179186307394</v>
      </c>
      <c r="BV250" s="38"/>
      <c r="BW250" s="6">
        <f t="shared" si="231"/>
        <v>4.1015237421866528</v>
      </c>
      <c r="BX250" s="9">
        <f t="shared" ca="1" si="232"/>
        <v>99.88491944596079</v>
      </c>
      <c r="BY250" s="9">
        <f t="shared" ca="1" si="233"/>
        <v>12.895060182403029</v>
      </c>
      <c r="BZ250">
        <f t="shared" ca="1" si="234"/>
        <v>100.7138506355202</v>
      </c>
      <c r="CA250" s="6">
        <f t="shared" ca="1" si="235"/>
        <v>0.99176944199503125</v>
      </c>
      <c r="CB250" s="6">
        <f t="shared" ca="1" si="236"/>
        <v>0.12803661165801103</v>
      </c>
      <c r="CC250" s="6">
        <f t="shared" ca="1" si="237"/>
        <v>0.12838904313421562</v>
      </c>
      <c r="CD250" s="6">
        <f t="shared" ca="1" si="238"/>
        <v>-57.650625545564736</v>
      </c>
      <c r="CE250" s="9">
        <f t="shared" ca="1" si="239"/>
        <v>-93.63982481586838</v>
      </c>
      <c r="CF250">
        <f t="shared" ca="1" si="240"/>
        <v>109.96368226528904</v>
      </c>
      <c r="CG250" s="6">
        <f t="shared" ca="1" si="241"/>
        <v>-0.52426968939146412</v>
      </c>
      <c r="CH250" s="6">
        <f t="shared" ca="1" si="242"/>
        <v>-0.85155228423472484</v>
      </c>
      <c r="CI250" s="6">
        <f t="shared" ca="1" si="243"/>
        <v>-2.122653590505168</v>
      </c>
      <c r="CJ250" s="1">
        <f t="shared" ca="1" si="244"/>
        <v>2.9080517539026163</v>
      </c>
      <c r="CK250" s="38"/>
    </row>
    <row r="251" spans="55:89" x14ac:dyDescent="0.25">
      <c r="BC251">
        <v>4.3458698374658562</v>
      </c>
      <c r="BD251">
        <v>7.4259141264589994</v>
      </c>
      <c r="BE251">
        <v>-60.370117498344413</v>
      </c>
      <c r="BF251" s="6">
        <f t="shared" si="227"/>
        <v>4.8347806204053878</v>
      </c>
      <c r="BG251" s="6">
        <f t="shared" si="228"/>
        <v>0.48891078293953161</v>
      </c>
      <c r="BH251" s="6">
        <f t="shared" si="229"/>
        <v>2.2338028501716467</v>
      </c>
      <c r="BI251" s="6">
        <f t="shared" si="230"/>
        <v>2.2338028501716467</v>
      </c>
      <c r="BJ251">
        <v>11.201870073235114</v>
      </c>
      <c r="BK251">
        <v>-91.067335415695311</v>
      </c>
      <c r="BV251" s="38"/>
      <c r="BW251" s="6">
        <f t="shared" si="231"/>
        <v>4.1189770347065959</v>
      </c>
      <c r="BX251" s="9">
        <f t="shared" ca="1" si="232"/>
        <v>99.283741363247728</v>
      </c>
      <c r="BY251" s="9">
        <f t="shared" ca="1" si="233"/>
        <v>13.724394451115117</v>
      </c>
      <c r="BZ251">
        <f t="shared" ca="1" si="234"/>
        <v>100.2278419508974</v>
      </c>
      <c r="CA251" s="6">
        <f t="shared" ca="1" si="235"/>
        <v>0.99058045579678156</v>
      </c>
      <c r="CB251" s="6">
        <f t="shared" ca="1" si="236"/>
        <v>0.13693195607103695</v>
      </c>
      <c r="CC251" s="6">
        <f t="shared" ca="1" si="237"/>
        <v>0.13736352813229208</v>
      </c>
      <c r="CD251" s="6">
        <f t="shared" ca="1" si="238"/>
        <v>-57.049447462851674</v>
      </c>
      <c r="CE251" s="9">
        <f t="shared" ca="1" si="239"/>
        <v>-94.469159084580468</v>
      </c>
      <c r="CF251">
        <f t="shared" ca="1" si="240"/>
        <v>110.35878521424765</v>
      </c>
      <c r="CG251" s="6">
        <f t="shared" ca="1" si="241"/>
        <v>-0.51694522871103898</v>
      </c>
      <c r="CH251" s="6">
        <f t="shared" ca="1" si="242"/>
        <v>-0.85601847556749133</v>
      </c>
      <c r="CI251" s="6">
        <f t="shared" ca="1" si="243"/>
        <v>-2.1140748353139198</v>
      </c>
      <c r="CJ251" s="1">
        <f t="shared" ca="1" si="244"/>
        <v>2.8994729987113681</v>
      </c>
      <c r="CK251" s="38"/>
    </row>
    <row r="252" spans="55:89" x14ac:dyDescent="0.25">
      <c r="BC252">
        <v>4.3633231299857993</v>
      </c>
      <c r="BD252">
        <v>9.5239308506818219</v>
      </c>
      <c r="BE252">
        <v>-62.257167295912808</v>
      </c>
      <c r="BF252" s="6">
        <f t="shared" si="227"/>
        <v>4.8641893940367886</v>
      </c>
      <c r="BG252" s="6">
        <f t="shared" si="228"/>
        <v>0.50086626405098933</v>
      </c>
      <c r="BH252" s="6">
        <f t="shared" si="229"/>
        <v>2.2043940765402459</v>
      </c>
      <c r="BI252" s="6">
        <f t="shared" si="230"/>
        <v>2.2043940765402459</v>
      </c>
      <c r="BJ252">
        <v>14.278544687741629</v>
      </c>
      <c r="BK252">
        <v>-93.337694204621201</v>
      </c>
      <c r="BV252" s="38"/>
      <c r="BW252" s="6">
        <f t="shared" si="231"/>
        <v>4.136430327226539</v>
      </c>
      <c r="BX252" s="9">
        <f t="shared" ca="1" si="232"/>
        <v>98.640518291898289</v>
      </c>
      <c r="BY252" s="9">
        <f t="shared" ca="1" si="233"/>
        <v>14.585852039616448</v>
      </c>
      <c r="BZ252">
        <f t="shared" ca="1" si="234"/>
        <v>99.713083036359393</v>
      </c>
      <c r="CA252" s="6">
        <f t="shared" ca="1" si="235"/>
        <v>0.98924349030437653</v>
      </c>
      <c r="CB252" s="6">
        <f t="shared" ca="1" si="236"/>
        <v>0.14627821741604219</v>
      </c>
      <c r="CC252" s="6">
        <f t="shared" ca="1" si="237"/>
        <v>0.1468049655243252</v>
      </c>
      <c r="CD252" s="6">
        <f t="shared" ca="1" si="238"/>
        <v>-56.406224391502235</v>
      </c>
      <c r="CE252" s="9">
        <f t="shared" ca="1" si="239"/>
        <v>-95.330616673081806</v>
      </c>
      <c r="CF252">
        <f t="shared" ca="1" si="240"/>
        <v>110.76817514690113</v>
      </c>
      <c r="CG252" s="6">
        <f t="shared" ca="1" si="241"/>
        <v>-0.50922771199124761</v>
      </c>
      <c r="CH252" s="6">
        <f t="shared" ca="1" si="242"/>
        <v>-0.86063182449881492</v>
      </c>
      <c r="CI252" s="6">
        <f t="shared" ca="1" si="243"/>
        <v>-2.1050835285500766</v>
      </c>
      <c r="CJ252" s="1">
        <f t="shared" ca="1" si="244"/>
        <v>2.8904816919475249</v>
      </c>
      <c r="CK252" s="38"/>
    </row>
    <row r="253" spans="55:89" x14ac:dyDescent="0.25">
      <c r="BC253">
        <v>4.3807764225057424</v>
      </c>
      <c r="BD253">
        <v>11.892276767627306</v>
      </c>
      <c r="BE253">
        <v>-64.301141202000935</v>
      </c>
      <c r="BF253" s="6">
        <f t="shared" si="227"/>
        <v>4.8952691031289115</v>
      </c>
      <c r="BG253" s="6">
        <f t="shared" si="228"/>
        <v>0.51449268062316911</v>
      </c>
      <c r="BH253" s="6">
        <f t="shared" si="229"/>
        <v>2.173314367448123</v>
      </c>
      <c r="BI253" s="6">
        <f t="shared" si="230"/>
        <v>2.173314367448123</v>
      </c>
      <c r="BJ253">
        <v>17.71186836611297</v>
      </c>
      <c r="BK253">
        <v>-95.767477583513269</v>
      </c>
      <c r="BV253" s="38"/>
      <c r="BW253" s="6">
        <f t="shared" si="231"/>
        <v>4.1538836197464821</v>
      </c>
      <c r="BX253" s="9">
        <f t="shared" ca="1" si="232"/>
        <v>97.950635662359844</v>
      </c>
      <c r="BY253" s="9">
        <f t="shared" ca="1" si="233"/>
        <v>15.48213161004265</v>
      </c>
      <c r="BZ253">
        <f t="shared" ca="1" si="234"/>
        <v>99.166644724176493</v>
      </c>
      <c r="CA253" s="6">
        <f t="shared" ca="1" si="235"/>
        <v>0.98773772103312685</v>
      </c>
      <c r="CB253" s="6">
        <f t="shared" ca="1" si="236"/>
        <v>0.15612237010846611</v>
      </c>
      <c r="CC253" s="6">
        <f t="shared" ca="1" si="237"/>
        <v>0.15676365534656855</v>
      </c>
      <c r="CD253" s="6">
        <f t="shared" ca="1" si="238"/>
        <v>-55.71634176196379</v>
      </c>
      <c r="CE253" s="9">
        <f t="shared" ca="1" si="239"/>
        <v>-96.226896243508008</v>
      </c>
      <c r="CF253">
        <f t="shared" ca="1" si="240"/>
        <v>111.19319358663464</v>
      </c>
      <c r="CG253" s="6">
        <f t="shared" ca="1" si="241"/>
        <v>-0.50107690915949077</v>
      </c>
      <c r="CH253" s="6">
        <f t="shared" ca="1" si="242"/>
        <v>-0.86540275658630272</v>
      </c>
      <c r="CI253" s="6">
        <f t="shared" ca="1" si="243"/>
        <v>-2.0956390570027712</v>
      </c>
      <c r="CJ253" s="1">
        <f t="shared" ca="1" si="244"/>
        <v>2.8810372204002195</v>
      </c>
      <c r="CK253" s="38"/>
    </row>
    <row r="254" spans="55:89" x14ac:dyDescent="0.25">
      <c r="BC254">
        <v>4.3982297150256855</v>
      </c>
      <c r="BD254">
        <v>14.583177737440613</v>
      </c>
      <c r="BE254">
        <v>-66.525381141575565</v>
      </c>
      <c r="BF254" s="6">
        <f t="shared" si="227"/>
        <v>4.9281877675338581</v>
      </c>
      <c r="BG254" s="6">
        <f t="shared" si="228"/>
        <v>0.52995805250817263</v>
      </c>
      <c r="BH254" s="6">
        <f t="shared" si="229"/>
        <v>2.1403957030431764</v>
      </c>
      <c r="BI254" s="6">
        <f t="shared" si="230"/>
        <v>2.1403957030431764</v>
      </c>
      <c r="BJ254">
        <v>21.565725124512515</v>
      </c>
      <c r="BK254">
        <v>-98.378289652145142</v>
      </c>
      <c r="BV254" s="38"/>
      <c r="BW254" s="6">
        <f t="shared" si="231"/>
        <v>4.1713369122664252</v>
      </c>
      <c r="BX254" s="9">
        <f t="shared" ca="1" si="232"/>
        <v>97.208833404576879</v>
      </c>
      <c r="BY254" s="9">
        <f t="shared" ca="1" si="233"/>
        <v>16.416225799752944</v>
      </c>
      <c r="BZ254">
        <f t="shared" ca="1" si="234"/>
        <v>98.585241093113197</v>
      </c>
      <c r="CA254" s="6">
        <f t="shared" ca="1" si="235"/>
        <v>0.98603840013703159</v>
      </c>
      <c r="CB254" s="6">
        <f t="shared" ca="1" si="236"/>
        <v>0.16651808747161162</v>
      </c>
      <c r="CC254" s="6">
        <f t="shared" ca="1" si="237"/>
        <v>0.167297394331483</v>
      </c>
      <c r="CD254" s="6">
        <f t="shared" ca="1" si="238"/>
        <v>-54.974539504180825</v>
      </c>
      <c r="CE254" s="9">
        <f t="shared" ca="1" si="239"/>
        <v>-97.160990433218302</v>
      </c>
      <c r="CF254">
        <f t="shared" ca="1" si="240"/>
        <v>111.63537994587861</v>
      </c>
      <c r="CG254" s="6">
        <f t="shared" ca="1" si="241"/>
        <v>-0.49244728266999904</v>
      </c>
      <c r="CH254" s="6">
        <f t="shared" ca="1" si="242"/>
        <v>-0.87034227393074159</v>
      </c>
      <c r="CI254" s="6">
        <f t="shared" ca="1" si="243"/>
        <v>-2.0856957125176638</v>
      </c>
      <c r="CJ254" s="1">
        <f t="shared" ca="1" si="244"/>
        <v>2.8710938759151121</v>
      </c>
      <c r="CK254" s="38"/>
    </row>
    <row r="255" spans="55:89" x14ac:dyDescent="0.25">
      <c r="BC255">
        <v>4.4156830075456286</v>
      </c>
      <c r="BD255">
        <v>17.583169910957658</v>
      </c>
      <c r="BE255">
        <v>-68.880608990523612</v>
      </c>
      <c r="BF255" s="6">
        <f t="shared" si="227"/>
        <v>4.9623216899201097</v>
      </c>
      <c r="BG255" s="6">
        <f t="shared" si="228"/>
        <v>0.5466386823744811</v>
      </c>
      <c r="BH255" s="6">
        <f t="shared" si="229"/>
        <v>2.1062617806569248</v>
      </c>
      <c r="BI255" s="6">
        <f t="shared" si="230"/>
        <v>2.1062617806569248</v>
      </c>
      <c r="BJ255">
        <v>25.791894831054059</v>
      </c>
      <c r="BK255">
        <v>-101.03760766569208</v>
      </c>
      <c r="BV255" s="38"/>
      <c r="BW255" s="6">
        <f t="shared" si="231"/>
        <v>4.1887902047863683</v>
      </c>
      <c r="BX255" s="9">
        <f t="shared" ca="1" si="232"/>
        <v>96.409090179310894</v>
      </c>
      <c r="BY255" s="9">
        <f t="shared" ca="1" si="233"/>
        <v>17.391465080258804</v>
      </c>
      <c r="BZ255">
        <f t="shared" ca="1" si="234"/>
        <v>97.965176092529745</v>
      </c>
      <c r="CA255" s="6">
        <f t="shared" ca="1" si="235"/>
        <v>0.98411592797272063</v>
      </c>
      <c r="CB255" s="6">
        <f t="shared" ca="1" si="236"/>
        <v>0.17752701290336348</v>
      </c>
      <c r="CC255" s="6">
        <f t="shared" ca="1" si="237"/>
        <v>0.17847297656452205</v>
      </c>
      <c r="CD255" s="6">
        <f t="shared" ca="1" si="238"/>
        <v>-54.17479627891484</v>
      </c>
      <c r="CE255" s="9">
        <f t="shared" ca="1" si="239"/>
        <v>-98.136229713724163</v>
      </c>
      <c r="CF255">
        <f t="shared" ca="1" si="240"/>
        <v>112.09651258753219</v>
      </c>
      <c r="CG255" s="6">
        <f t="shared" ca="1" si="241"/>
        <v>-0.4832870802881728</v>
      </c>
      <c r="CH255" s="6">
        <f t="shared" ca="1" si="242"/>
        <v>-0.87546193408196404</v>
      </c>
      <c r="CI255" s="6">
        <f t="shared" ca="1" si="243"/>
        <v>-2.0752018458187971</v>
      </c>
      <c r="CJ255" s="1">
        <f t="shared" ca="1" si="244"/>
        <v>2.8606000092162454</v>
      </c>
      <c r="CK255" s="38"/>
    </row>
    <row r="256" spans="55:89" x14ac:dyDescent="0.25">
      <c r="BC256">
        <v>4.4331363000655717</v>
      </c>
      <c r="BD256">
        <v>20.684272869101513</v>
      </c>
      <c r="BE256">
        <v>-71.135890193910726</v>
      </c>
      <c r="BF256" s="6">
        <f t="shared" si="227"/>
        <v>4.9953576901169692</v>
      </c>
      <c r="BG256" s="6">
        <f t="shared" si="228"/>
        <v>0.56222139005139748</v>
      </c>
      <c r="BH256" s="6">
        <f t="shared" si="229"/>
        <v>2.0732257804600653</v>
      </c>
      <c r="BI256" s="6">
        <f t="shared" si="230"/>
        <v>2.0732257804600653</v>
      </c>
      <c r="BJ256">
        <v>30.020067990187801</v>
      </c>
      <c r="BK256">
        <v>-103.24289732968003</v>
      </c>
      <c r="BV256" s="38"/>
      <c r="BW256" s="6">
        <f t="shared" si="231"/>
        <v>4.2062434973063114</v>
      </c>
      <c r="BX256" s="9">
        <f t="shared" ca="1" si="232"/>
        <v>95.544482453140219</v>
      </c>
      <c r="BY256" s="9">
        <f t="shared" ca="1" si="233"/>
        <v>18.411569692491803</v>
      </c>
      <c r="BZ256">
        <f t="shared" ca="1" si="234"/>
        <v>97.302281709011851</v>
      </c>
      <c r="CA256" s="6">
        <f t="shared" ca="1" si="235"/>
        <v>0.98193465533389612</v>
      </c>
      <c r="CB256" s="6">
        <f t="shared" ca="1" si="236"/>
        <v>0.18922032833261482</v>
      </c>
      <c r="CC256" s="6">
        <f t="shared" ca="1" si="237"/>
        <v>0.19036806985572832</v>
      </c>
      <c r="CD256" s="6">
        <f t="shared" ca="1" si="238"/>
        <v>-53.310188552744165</v>
      </c>
      <c r="CE256" s="9">
        <f t="shared" ca="1" si="239"/>
        <v>-99.156334325957147</v>
      </c>
      <c r="CF256">
        <f t="shared" ca="1" si="240"/>
        <v>112.57866067994469</v>
      </c>
      <c r="CG256" s="6">
        <f t="shared" ca="1" si="241"/>
        <v>-0.47353724258900426</v>
      </c>
      <c r="CH256" s="6">
        <f t="shared" ca="1" si="242"/>
        <v>-0.88077379609137008</v>
      </c>
      <c r="CI256" s="6">
        <f t="shared" ca="1" si="243"/>
        <v>-2.0640988516466789</v>
      </c>
      <c r="CJ256" s="1">
        <f t="shared" ca="1" si="244"/>
        <v>2.8494970150441272</v>
      </c>
      <c r="CK256" s="38"/>
    </row>
    <row r="257" spans="55:89" x14ac:dyDescent="0.25">
      <c r="BC257">
        <v>4.4505895925855148</v>
      </c>
      <c r="BD257">
        <v>24.272570328249707</v>
      </c>
      <c r="BE257">
        <v>-73.62686999367493</v>
      </c>
      <c r="BF257" s="6">
        <f t="shared" si="227"/>
        <v>5.0308389205712194</v>
      </c>
      <c r="BG257" s="6">
        <f t="shared" si="228"/>
        <v>0.58024932798570461</v>
      </c>
      <c r="BH257" s="6">
        <f t="shared" si="229"/>
        <v>2.0377445500058151</v>
      </c>
      <c r="BI257" s="6">
        <f t="shared" si="230"/>
        <v>2.0377445500058151</v>
      </c>
      <c r="BJ257">
        <v>34.825659506550586</v>
      </c>
      <c r="BK257">
        <v>-105.63793905042469</v>
      </c>
      <c r="BV257" s="38"/>
      <c r="BW257" s="6">
        <f t="shared" si="231"/>
        <v>4.2236967898262545</v>
      </c>
      <c r="BX257" s="9">
        <f t="shared" ca="1" si="232"/>
        <v>94.607011837885636</v>
      </c>
      <c r="BY257" s="9">
        <f t="shared" ca="1" si="233"/>
        <v>19.48071149957331</v>
      </c>
      <c r="BZ257">
        <f t="shared" ca="1" si="234"/>
        <v>96.591846495568348</v>
      </c>
      <c r="CA257" s="6">
        <f t="shared" ca="1" si="235"/>
        <v>0.97945132296674986</v>
      </c>
      <c r="CB257" s="6">
        <f t="shared" ca="1" si="236"/>
        <v>0.20168070294077139</v>
      </c>
      <c r="CC257" s="6">
        <f t="shared" ca="1" si="237"/>
        <v>0.20307358230694234</v>
      </c>
      <c r="CD257" s="6">
        <f t="shared" ca="1" si="238"/>
        <v>-52.372717937489583</v>
      </c>
      <c r="CE257" s="9">
        <f t="shared" ca="1" si="239"/>
        <v>-100.22547613303865</v>
      </c>
      <c r="CF257">
        <f t="shared" ca="1" si="240"/>
        <v>113.08425023076443</v>
      </c>
      <c r="CG257" s="6">
        <f t="shared" ca="1" si="241"/>
        <v>-0.46313008071960188</v>
      </c>
      <c r="CH257" s="6">
        <f t="shared" ca="1" si="242"/>
        <v>-0.88629031831147465</v>
      </c>
      <c r="CI257" s="6">
        <f t="shared" ca="1" si="243"/>
        <v>-2.0523199450887635</v>
      </c>
      <c r="CJ257" s="1">
        <f t="shared" ca="1" si="244"/>
        <v>2.8377181084862118</v>
      </c>
      <c r="CK257" s="38"/>
    </row>
    <row r="258" spans="55:89" x14ac:dyDescent="0.25">
      <c r="BC258">
        <v>4.4680428851054579</v>
      </c>
      <c r="BD258">
        <v>28.466312175738999</v>
      </c>
      <c r="BE258">
        <v>-76.397920994258797</v>
      </c>
      <c r="BF258" s="6">
        <f t="shared" si="227"/>
        <v>5.069059018159785</v>
      </c>
      <c r="BG258" s="6">
        <f t="shared" si="228"/>
        <v>0.60101613305432711</v>
      </c>
      <c r="BH258" s="6">
        <f t="shared" si="229"/>
        <v>1.9995244524172497</v>
      </c>
      <c r="BI258" s="6">
        <f t="shared" si="230"/>
        <v>1.9995244524172497</v>
      </c>
      <c r="BJ258">
        <v>40.336441603655537</v>
      </c>
      <c r="BK258">
        <v>-108.25498785374748</v>
      </c>
      <c r="BV258" s="38"/>
      <c r="BW258" s="6">
        <f t="shared" si="231"/>
        <v>4.2411500823461976</v>
      </c>
      <c r="BX258" s="9">
        <f t="shared" ca="1" si="232"/>
        <v>93.587392140738729</v>
      </c>
      <c r="BY258" s="9">
        <f t="shared" ca="1" si="233"/>
        <v>20.603588092920802</v>
      </c>
      <c r="BZ258">
        <f t="shared" ca="1" si="234"/>
        <v>95.828533381280309</v>
      </c>
      <c r="CA258" s="6">
        <f t="shared" ca="1" si="235"/>
        <v>0.97661300698796483</v>
      </c>
      <c r="CB258" s="6">
        <f t="shared" ca="1" si="236"/>
        <v>0.21500473153380875</v>
      </c>
      <c r="CC258" s="6">
        <f t="shared" ca="1" si="237"/>
        <v>0.21669667467937626</v>
      </c>
      <c r="CD258" s="6">
        <f t="shared" ca="1" si="238"/>
        <v>-51.353098240342675</v>
      </c>
      <c r="CE258" s="9">
        <f t="shared" ca="1" si="239"/>
        <v>-101.34835272638615</v>
      </c>
      <c r="CF258">
        <f t="shared" ca="1" si="240"/>
        <v>113.61614893682267</v>
      </c>
      <c r="CG258" s="6">
        <f t="shared" ca="1" si="241"/>
        <v>-0.45198766831023335</v>
      </c>
      <c r="CH258" s="6">
        <f t="shared" ca="1" si="242"/>
        <v>-0.89202418560007579</v>
      </c>
      <c r="CI258" s="6">
        <f t="shared" ca="1" si="243"/>
        <v>-2.0397886784604222</v>
      </c>
      <c r="CJ258" s="1">
        <f t="shared" ca="1" si="244"/>
        <v>2.8251868418578705</v>
      </c>
      <c r="CK258" s="38"/>
    </row>
    <row r="259" spans="55:89" x14ac:dyDescent="0.25">
      <c r="BC259">
        <v>4.485496177625401</v>
      </c>
      <c r="BD259">
        <v>33.420731208760436</v>
      </c>
      <c r="BE259">
        <v>-79.504641375696409</v>
      </c>
      <c r="BF259" s="6">
        <f t="shared" ref="BF259:BF322" si="245">IF(BC259&lt;&gt;"",IF(AND(BD259=0,BE259=0),0,MOD(ATAN2(BD259,BE259),2*PI())),NA())</f>
        <v>5.1103246628961649</v>
      </c>
      <c r="BG259" s="6">
        <f t="shared" ref="BG259:BG322" si="246">ABS(BC259-BF259)</f>
        <v>0.62482848527076396</v>
      </c>
      <c r="BH259" s="6">
        <f t="shared" ref="BH259:BH322" si="247">ATAN2(COS($U$13-BF259),SIN($U$13-BF259))</f>
        <v>1.9582588076808698</v>
      </c>
      <c r="BI259" s="6">
        <f t="shared" ref="BI259:BI322" si="248">ABS(BH259)</f>
        <v>1.9582588076808698</v>
      </c>
      <c r="BJ259">
        <v>46.716251186142536</v>
      </c>
      <c r="BK259">
        <v>-111.13337927201417</v>
      </c>
      <c r="BV259" s="38"/>
      <c r="BW259" s="6">
        <f t="shared" si="231"/>
        <v>4.2586033748661407</v>
      </c>
      <c r="BX259" s="9">
        <f t="shared" ca="1" si="232"/>
        <v>92.474784814638298</v>
      </c>
      <c r="BY259" s="9">
        <f t="shared" ca="1" si="233"/>
        <v>21.785512147440585</v>
      </c>
      <c r="BZ259">
        <f t="shared" ca="1" si="234"/>
        <v>95.006285929089657</v>
      </c>
      <c r="CA259" s="6">
        <f t="shared" ca="1" si="235"/>
        <v>0.9733543829264012</v>
      </c>
      <c r="CB259" s="6">
        <f t="shared" ca="1" si="236"/>
        <v>0.22930600785405666</v>
      </c>
      <c r="CC259" s="6">
        <f t="shared" ca="1" si="237"/>
        <v>0.23136463270219268</v>
      </c>
      <c r="CD259" s="6">
        <f t="shared" ca="1" si="238"/>
        <v>-50.240490914242244</v>
      </c>
      <c r="CE259" s="9">
        <f t="shared" ca="1" si="239"/>
        <v>-102.53027678090594</v>
      </c>
      <c r="CF259">
        <f t="shared" ca="1" si="240"/>
        <v>114.17777622669499</v>
      </c>
      <c r="CG259" s="6">
        <f t="shared" ca="1" si="241"/>
        <v>-0.44001987579870133</v>
      </c>
      <c r="CH259" s="6">
        <f t="shared" ca="1" si="242"/>
        <v>-0.89798803383012604</v>
      </c>
      <c r="CI259" s="6">
        <f t="shared" ca="1" si="243"/>
        <v>-2.0264171337717611</v>
      </c>
      <c r="CJ259" s="1">
        <f t="shared" ca="1" si="244"/>
        <v>2.8118152971692094</v>
      </c>
      <c r="CK259" s="38"/>
    </row>
    <row r="260" spans="55:89" x14ac:dyDescent="0.25">
      <c r="BC260">
        <v>4.5029494701453441</v>
      </c>
      <c r="BD260">
        <v>39.244314324976045</v>
      </c>
      <c r="BE260">
        <v>-82.984344875217261</v>
      </c>
      <c r="BF260" s="6">
        <f t="shared" si="245"/>
        <v>5.1541325330315022</v>
      </c>
      <c r="BG260" s="6">
        <f t="shared" si="246"/>
        <v>0.65118306288615813</v>
      </c>
      <c r="BH260" s="6">
        <f t="shared" si="247"/>
        <v>1.9144509375455325</v>
      </c>
      <c r="BI260" s="6">
        <f t="shared" si="248"/>
        <v>1.9144509375455325</v>
      </c>
      <c r="BJ260">
        <v>54.048371879925476</v>
      </c>
      <c r="BK260">
        <v>-114.28837040919475</v>
      </c>
      <c r="BV260" s="38"/>
      <c r="BW260" s="6">
        <f t="shared" si="231"/>
        <v>4.2760566673860838</v>
      </c>
      <c r="BX260" s="9">
        <f t="shared" ca="1" si="232"/>
        <v>91.253277935205844</v>
      </c>
      <c r="BY260" s="9">
        <f t="shared" ca="1" si="233"/>
        <v>23.056212313742677</v>
      </c>
      <c r="BZ260">
        <f t="shared" ca="1" si="234"/>
        <v>94.120931041805491</v>
      </c>
      <c r="CA260" s="6">
        <f t="shared" ca="1" si="235"/>
        <v>0.96953224883287725</v>
      </c>
      <c r="CB260" s="6">
        <f t="shared" ca="1" si="236"/>
        <v>0.24496370848161125</v>
      </c>
      <c r="CC260" s="6">
        <f t="shared" ca="1" si="237"/>
        <v>0.24748226036994678</v>
      </c>
      <c r="CD260" s="6">
        <f t="shared" ca="1" si="238"/>
        <v>-49.01898403480979</v>
      </c>
      <c r="CE260" s="9">
        <f t="shared" ca="1" si="239"/>
        <v>-103.80097694720803</v>
      </c>
      <c r="CF260">
        <f t="shared" ca="1" si="240"/>
        <v>114.79330821524289</v>
      </c>
      <c r="CG260" s="6">
        <f t="shared" ca="1" si="241"/>
        <v>-0.42701952576274632</v>
      </c>
      <c r="CH260" s="6">
        <f t="shared" ca="1" si="242"/>
        <v>-0.90424240368241915</v>
      </c>
      <c r="CI260" s="6">
        <f t="shared" ca="1" si="243"/>
        <v>-2.011990427525431</v>
      </c>
      <c r="CJ260" s="1">
        <f t="shared" ca="1" si="244"/>
        <v>2.7973885909228793</v>
      </c>
      <c r="CK260" s="38"/>
    </row>
    <row r="261" spans="55:89" x14ac:dyDescent="0.25">
      <c r="BC261">
        <v>4.5204027626652872</v>
      </c>
      <c r="BD261">
        <v>45.962290217712109</v>
      </c>
      <c r="BE261">
        <v>-86.845438563664473</v>
      </c>
      <c r="BF261" s="6">
        <f t="shared" si="245"/>
        <v>5.199155932303765</v>
      </c>
      <c r="BG261" s="6">
        <f t="shared" si="246"/>
        <v>0.67875316963847787</v>
      </c>
      <c r="BH261" s="6">
        <f t="shared" si="247"/>
        <v>1.8694275382732697</v>
      </c>
      <c r="BI261" s="6">
        <f t="shared" si="248"/>
        <v>1.8694275382732697</v>
      </c>
      <c r="BJ261">
        <v>62.293375752433896</v>
      </c>
      <c r="BK261">
        <v>-117.70291495932675</v>
      </c>
      <c r="BV261" s="38"/>
      <c r="BW261" s="6">
        <f t="shared" si="231"/>
        <v>4.2935099599060269</v>
      </c>
      <c r="BX261" s="9">
        <f t="shared" ca="1" si="232"/>
        <v>89.879850452589181</v>
      </c>
      <c r="BY261" s="9">
        <f t="shared" ca="1" si="233"/>
        <v>24.595204251283931</v>
      </c>
      <c r="BZ261">
        <f t="shared" ca="1" si="234"/>
        <v>93.184288319126907</v>
      </c>
      <c r="CA261" s="6">
        <f t="shared" ca="1" si="235"/>
        <v>0.96453868000557064</v>
      </c>
      <c r="CB261" s="6">
        <f t="shared" ca="1" si="236"/>
        <v>0.26394153665747905</v>
      </c>
      <c r="CC261" s="6">
        <f t="shared" ca="1" si="237"/>
        <v>0.26710637947466959</v>
      </c>
      <c r="CD261" s="6">
        <f t="shared" ca="1" si="238"/>
        <v>-47.645556552193128</v>
      </c>
      <c r="CE261" s="9">
        <f t="shared" ca="1" si="239"/>
        <v>-105.33996888474928</v>
      </c>
      <c r="CF261">
        <f t="shared" ca="1" si="240"/>
        <v>115.61404803832525</v>
      </c>
      <c r="CG261" s="6">
        <f t="shared" ca="1" si="241"/>
        <v>-0.41210871308994351</v>
      </c>
      <c r="CH261" s="6">
        <f t="shared" ca="1" si="242"/>
        <v>-0.91113468191884273</v>
      </c>
      <c r="CI261" s="6">
        <f t="shared" ca="1" si="243"/>
        <v>-1.9955635622832504</v>
      </c>
      <c r="CJ261" s="1">
        <f t="shared" ca="1" si="244"/>
        <v>2.7809617256806987</v>
      </c>
      <c r="CK261" s="38"/>
    </row>
    <row r="262" spans="55:89" x14ac:dyDescent="0.25">
      <c r="BC262">
        <v>4.5378560551852303</v>
      </c>
      <c r="BD262">
        <v>53.609047983305743</v>
      </c>
      <c r="BE262">
        <v>-91.09990079543168</v>
      </c>
      <c r="BF262" s="6">
        <f t="shared" si="245"/>
        <v>5.244283236470098</v>
      </c>
      <c r="BG262" s="6">
        <f t="shared" si="246"/>
        <v>0.7064271812848677</v>
      </c>
      <c r="BH262" s="6">
        <f t="shared" si="247"/>
        <v>1.8243002341069368</v>
      </c>
      <c r="BI262" s="6">
        <f t="shared" si="248"/>
        <v>1.8243002341069368</v>
      </c>
      <c r="BJ262">
        <v>71.417409504700231</v>
      </c>
      <c r="BK262">
        <v>-121.36232904137684</v>
      </c>
      <c r="BV262" s="38"/>
      <c r="BW262" s="6">
        <f t="shared" si="231"/>
        <v>4.31096325242597</v>
      </c>
      <c r="BX262" s="9">
        <f t="shared" ca="1" si="232"/>
        <v>88.35400896006125</v>
      </c>
      <c r="BY262" s="9">
        <f t="shared" ca="1" si="233"/>
        <v>26.240862248096157</v>
      </c>
      <c r="BZ262">
        <f t="shared" ca="1" si="234"/>
        <v>92.168398873139509</v>
      </c>
      <c r="CA262" s="6">
        <f t="shared" ca="1" si="235"/>
        <v>0.95861499212622348</v>
      </c>
      <c r="CB262" s="6">
        <f t="shared" ca="1" si="236"/>
        <v>0.28470563196192716</v>
      </c>
      <c r="CC262" s="6">
        <f t="shared" ca="1" si="237"/>
        <v>0.28869933776741419</v>
      </c>
      <c r="CD262" s="6">
        <f t="shared" ca="1" si="238"/>
        <v>-46.119715059665197</v>
      </c>
      <c r="CE262" s="9">
        <f t="shared" ca="1" si="239"/>
        <v>-106.9856268815615</v>
      </c>
      <c r="CF262">
        <f t="shared" ca="1" si="240"/>
        <v>116.50301488126993</v>
      </c>
      <c r="CG262" s="6">
        <f t="shared" ca="1" si="241"/>
        <v>-0.3958671379162722</v>
      </c>
      <c r="CH262" s="6">
        <f t="shared" ca="1" si="242"/>
        <v>-0.9183077965028823</v>
      </c>
      <c r="CI262" s="6">
        <f t="shared" ca="1" si="243"/>
        <v>-1.9778082639533583</v>
      </c>
      <c r="CJ262" s="1">
        <f t="shared" ca="1" si="244"/>
        <v>2.7632064273508066</v>
      </c>
      <c r="CK262" s="38"/>
    </row>
    <row r="263" spans="55:89" x14ac:dyDescent="0.25">
      <c r="BC263">
        <v>4.5553093477051734</v>
      </c>
      <c r="BD263">
        <v>61.649443182588378</v>
      </c>
      <c r="BE263">
        <v>-95.418525378345564</v>
      </c>
      <c r="BF263" s="6">
        <f t="shared" si="245"/>
        <v>5.2860142153709022</v>
      </c>
      <c r="BG263" s="6">
        <f t="shared" si="246"/>
        <v>0.73070486766572884</v>
      </c>
      <c r="BH263" s="6">
        <f t="shared" si="247"/>
        <v>1.7825692552061325</v>
      </c>
      <c r="BI263" s="6">
        <f t="shared" si="248"/>
        <v>1.7825692552061325</v>
      </c>
      <c r="BJ263">
        <v>80.345587180195082</v>
      </c>
      <c r="BK263">
        <v>-124.35566411663478</v>
      </c>
      <c r="BV263" s="38"/>
      <c r="BW263" s="6">
        <f t="shared" si="231"/>
        <v>4.3284165449459131</v>
      </c>
      <c r="BX263" s="9">
        <f t="shared" ca="1" si="232"/>
        <v>86.67791598071409</v>
      </c>
      <c r="BY263" s="9">
        <f t="shared" ca="1" si="233"/>
        <v>27.875804208718037</v>
      </c>
      <c r="BZ263">
        <f t="shared" ca="1" si="234"/>
        <v>91.050104772276427</v>
      </c>
      <c r="CA263" s="6">
        <f t="shared" ca="1" si="235"/>
        <v>0.95198040900120295</v>
      </c>
      <c r="CB263" s="6">
        <f t="shared" ca="1" si="236"/>
        <v>0.3061589470812543</v>
      </c>
      <c r="CC263" s="6">
        <f t="shared" ca="1" si="237"/>
        <v>0.3111555977927622</v>
      </c>
      <c r="CD263" s="6">
        <f t="shared" ca="1" si="238"/>
        <v>-44.443622080318036</v>
      </c>
      <c r="CE263" s="9">
        <f t="shared" ca="1" si="239"/>
        <v>-108.62056884218339</v>
      </c>
      <c r="CF263">
        <f t="shared" ca="1" si="240"/>
        <v>117.36125220539202</v>
      </c>
      <c r="CG263" s="6">
        <f t="shared" ca="1" si="241"/>
        <v>-0.3786907624548686</v>
      </c>
      <c r="CH263" s="6">
        <f t="shared" ca="1" si="242"/>
        <v>-0.92552326088075731</v>
      </c>
      <c r="CI263" s="6">
        <f t="shared" ca="1" si="243"/>
        <v>-1.9591776214529122</v>
      </c>
      <c r="CJ263" s="1">
        <f t="shared" ca="1" si="244"/>
        <v>2.7445757848503605</v>
      </c>
      <c r="CK263" s="38"/>
    </row>
    <row r="264" spans="55:89" x14ac:dyDescent="0.25">
      <c r="BC264">
        <v>4.5727626402251165</v>
      </c>
      <c r="BD264">
        <v>69.09019409402508</v>
      </c>
      <c r="BE264">
        <v>-99.548202529233848</v>
      </c>
      <c r="BF264" s="6">
        <f t="shared" si="245"/>
        <v>5.3191021050759222</v>
      </c>
      <c r="BG264" s="6">
        <f t="shared" si="246"/>
        <v>0.74633946485080571</v>
      </c>
      <c r="BH264" s="6">
        <f t="shared" si="247"/>
        <v>1.7494813655011126</v>
      </c>
      <c r="BI264" s="6">
        <f t="shared" si="248"/>
        <v>1.7494813655011126</v>
      </c>
      <c r="BJ264">
        <v>87.349140609199566</v>
      </c>
      <c r="BK264">
        <v>-125.85649894521147</v>
      </c>
      <c r="BV264" s="38"/>
      <c r="BW264" s="6">
        <f t="shared" si="231"/>
        <v>4.3458698374658562</v>
      </c>
      <c r="BX264" s="9">
        <f t="shared" ca="1" si="232"/>
        <v>84.808379773937048</v>
      </c>
      <c r="BY264" s="9">
        <f t="shared" ca="1" si="233"/>
        <v>29.625352864879062</v>
      </c>
      <c r="BZ264">
        <f t="shared" ca="1" si="234"/>
        <v>89.833862280595127</v>
      </c>
      <c r="CA264" s="6">
        <f t="shared" ca="1" si="235"/>
        <v>0.9440580380373601</v>
      </c>
      <c r="CB264" s="6">
        <f t="shared" ca="1" si="236"/>
        <v>0.32977935171421868</v>
      </c>
      <c r="CC264" s="6">
        <f t="shared" ca="1" si="237"/>
        <v>0.33606984238863263</v>
      </c>
      <c r="CD264" s="6">
        <f t="shared" ca="1" si="238"/>
        <v>-42.574085873540994</v>
      </c>
      <c r="CE264" s="9">
        <f t="shared" ca="1" si="239"/>
        <v>-110.37011749834441</v>
      </c>
      <c r="CF264">
        <f t="shared" ca="1" si="240"/>
        <v>118.29672702389527</v>
      </c>
      <c r="CG264" s="6">
        <f t="shared" ca="1" si="241"/>
        <v>-0.35989233975121959</v>
      </c>
      <c r="CH264" s="6">
        <f t="shared" ca="1" si="242"/>
        <v>-0.93299383909455302</v>
      </c>
      <c r="CI264" s="6">
        <f t="shared" ca="1" si="243"/>
        <v>-1.9389488254232705</v>
      </c>
      <c r="CJ264" s="1">
        <f t="shared" ca="1" si="244"/>
        <v>2.7243469888207188</v>
      </c>
      <c r="CK264" s="38"/>
    </row>
    <row r="265" spans="55:89" x14ac:dyDescent="0.25">
      <c r="BC265">
        <v>4.5902159327450596</v>
      </c>
      <c r="BD265">
        <v>76.75665974707951</v>
      </c>
      <c r="BE265">
        <v>-103.88858712798874</v>
      </c>
      <c r="BF265" s="6">
        <f t="shared" si="245"/>
        <v>5.3487069553022195</v>
      </c>
      <c r="BG265" s="6">
        <f t="shared" si="246"/>
        <v>0.75849102255715994</v>
      </c>
      <c r="BH265" s="6">
        <f t="shared" si="247"/>
        <v>1.7198765152748152</v>
      </c>
      <c r="BI265" s="6">
        <f t="shared" si="248"/>
        <v>1.7198765152748152</v>
      </c>
      <c r="BJ265">
        <v>93.585011432936398</v>
      </c>
      <c r="BK265">
        <v>-126.66542090498356</v>
      </c>
      <c r="BV265" s="38"/>
      <c r="BW265" s="6">
        <f t="shared" si="231"/>
        <v>4.3633231299857993</v>
      </c>
      <c r="BX265" s="9">
        <f t="shared" ca="1" si="232"/>
        <v>82.710363049714232</v>
      </c>
      <c r="BY265" s="9">
        <f t="shared" ca="1" si="233"/>
        <v>31.512402662447457</v>
      </c>
      <c r="BZ265">
        <f t="shared" ca="1" si="234"/>
        <v>88.510087997785647</v>
      </c>
      <c r="CA265" s="6">
        <f t="shared" ca="1" si="235"/>
        <v>0.93447385400615002</v>
      </c>
      <c r="CB265" s="6">
        <f t="shared" ca="1" si="236"/>
        <v>0.35603176287923066</v>
      </c>
      <c r="CC265" s="6">
        <f t="shared" ca="1" si="237"/>
        <v>0.3640179463823669</v>
      </c>
      <c r="CD265" s="6">
        <f t="shared" ca="1" si="238"/>
        <v>-40.476069149318178</v>
      </c>
      <c r="CE265" s="9">
        <f t="shared" ca="1" si="239"/>
        <v>-112.25716729591281</v>
      </c>
      <c r="CF265">
        <f t="shared" ca="1" si="240"/>
        <v>119.33140317235419</v>
      </c>
      <c r="CG265" s="6">
        <f t="shared" ca="1" si="241"/>
        <v>-0.33919042325227072</v>
      </c>
      <c r="CH265" s="6">
        <f t="shared" ca="1" si="242"/>
        <v>-0.94071773490986421</v>
      </c>
      <c r="CI265" s="6">
        <f t="shared" ca="1" si="243"/>
        <v>-1.9168524958985955</v>
      </c>
      <c r="CJ265" s="1">
        <f t="shared" ca="1" si="244"/>
        <v>2.7022506592960438</v>
      </c>
      <c r="CK265" s="38"/>
    </row>
    <row r="266" spans="55:89" x14ac:dyDescent="0.25">
      <c r="BC266">
        <v>4.6076692252650027</v>
      </c>
      <c r="BD266">
        <v>85.439492878937216</v>
      </c>
      <c r="BE266">
        <v>-108.77492560193946</v>
      </c>
      <c r="BF266" s="6">
        <f t="shared" si="245"/>
        <v>5.3782074548535528</v>
      </c>
      <c r="BG266" s="6">
        <f t="shared" si="246"/>
        <v>0.77053822958855012</v>
      </c>
      <c r="BH266" s="6">
        <f t="shared" si="247"/>
        <v>1.690376015723482</v>
      </c>
      <c r="BI266" s="6">
        <f t="shared" si="248"/>
        <v>1.690376015723482</v>
      </c>
      <c r="BJ266">
        <v>100.07620738155984</v>
      </c>
      <c r="BK266">
        <v>-127.40925356237723</v>
      </c>
      <c r="BV266" s="38"/>
      <c r="BW266" s="6">
        <f t="shared" si="231"/>
        <v>4.3807764225057424</v>
      </c>
      <c r="BX266" s="9">
        <f t="shared" ca="1" si="232"/>
        <v>80.342017132768746</v>
      </c>
      <c r="BY266" s="9">
        <f t="shared" ca="1" si="233"/>
        <v>33.556376568535583</v>
      </c>
      <c r="BZ266">
        <f t="shared" ca="1" si="234"/>
        <v>87.068192386034241</v>
      </c>
      <c r="CA266" s="6">
        <f t="shared" ca="1" si="235"/>
        <v>0.92274819231983529</v>
      </c>
      <c r="CB266" s="6">
        <f t="shared" ca="1" si="236"/>
        <v>0.38540339070962537</v>
      </c>
      <c r="CC266" s="6">
        <f t="shared" ca="1" si="237"/>
        <v>0.39564494495091362</v>
      </c>
      <c r="CD266" s="6">
        <f t="shared" ca="1" si="238"/>
        <v>-38.107723232372692</v>
      </c>
      <c r="CE266" s="9">
        <f t="shared" ca="1" si="239"/>
        <v>-114.30114120200093</v>
      </c>
      <c r="CF266">
        <f t="shared" ca="1" si="240"/>
        <v>120.48630399358622</v>
      </c>
      <c r="CG266" s="6">
        <f t="shared" ca="1" si="241"/>
        <v>-0.31628261444886929</v>
      </c>
      <c r="CH266" s="6">
        <f t="shared" ca="1" si="242"/>
        <v>-0.94866501347809173</v>
      </c>
      <c r="CI266" s="6">
        <f t="shared" ca="1" si="243"/>
        <v>-1.8926046970724528</v>
      </c>
      <c r="CJ266" s="1">
        <f t="shared" ca="1" si="244"/>
        <v>2.6780028604699009</v>
      </c>
      <c r="CK266" s="38"/>
    </row>
    <row r="267" spans="55:89" x14ac:dyDescent="0.25">
      <c r="BC267">
        <v>4.6251225177849458</v>
      </c>
      <c r="BD267">
        <v>95.335635823243678</v>
      </c>
      <c r="BE267">
        <v>-114.32096092898935</v>
      </c>
      <c r="BF267" s="6">
        <f t="shared" si="245"/>
        <v>5.4074790619227642</v>
      </c>
      <c r="BG267" s="6">
        <f t="shared" si="246"/>
        <v>0.78235654413781841</v>
      </c>
      <c r="BH267" s="6">
        <f t="shared" si="247"/>
        <v>1.6611044086542706</v>
      </c>
      <c r="BI267" s="6">
        <f t="shared" si="248"/>
        <v>1.6611044086542706</v>
      </c>
      <c r="BJ267">
        <v>106.80546253406204</v>
      </c>
      <c r="BK267">
        <v>-128.07491137938382</v>
      </c>
      <c r="BV267" s="38"/>
      <c r="BW267" s="6">
        <f t="shared" si="231"/>
        <v>4.3982297150256855</v>
      </c>
      <c r="BX267" s="9">
        <f t="shared" ca="1" si="232"/>
        <v>77.651116162955446</v>
      </c>
      <c r="BY267" s="9">
        <f t="shared" ca="1" si="233"/>
        <v>35.780616508110214</v>
      </c>
      <c r="BZ267">
        <f t="shared" ca="1" si="234"/>
        <v>85.498235999658206</v>
      </c>
      <c r="CA267" s="6">
        <f t="shared" ca="1" si="235"/>
        <v>0.90821892703453988</v>
      </c>
      <c r="CB267" s="6">
        <f t="shared" ca="1" si="236"/>
        <v>0.41849537700699757</v>
      </c>
      <c r="CC267" s="6">
        <f t="shared" ca="1" si="237"/>
        <v>0.43178801215506235</v>
      </c>
      <c r="CD267" s="6">
        <f t="shared" ca="1" si="238"/>
        <v>-35.416822262559393</v>
      </c>
      <c r="CE267" s="9">
        <f t="shared" ca="1" si="239"/>
        <v>-116.52538114157556</v>
      </c>
      <c r="CF267">
        <f t="shared" ca="1" si="240"/>
        <v>121.78881619166505</v>
      </c>
      <c r="CG267" s="6">
        <f t="shared" ca="1" si="241"/>
        <v>-0.29080520995312242</v>
      </c>
      <c r="CH267" s="6">
        <f t="shared" ca="1" si="242"/>
        <v>-0.95678227923813497</v>
      </c>
      <c r="CI267" s="6">
        <f t="shared" ca="1" si="243"/>
        <v>-1.8658646382095567</v>
      </c>
      <c r="CJ267" s="1">
        <f t="shared" ca="1" si="244"/>
        <v>2.6512628016070048</v>
      </c>
      <c r="CK267" s="38"/>
    </row>
    <row r="268" spans="55:89" x14ac:dyDescent="0.25">
      <c r="BC268">
        <v>4.6425758103048889</v>
      </c>
      <c r="BD268">
        <v>102.36544566355445</v>
      </c>
      <c r="BE268">
        <v>-115.91289318314683</v>
      </c>
      <c r="BF268" s="6">
        <f t="shared" si="245"/>
        <v>5.4358016418470969</v>
      </c>
      <c r="BG268" s="6">
        <f t="shared" si="246"/>
        <v>0.79322583154220805</v>
      </c>
      <c r="BH268" s="6">
        <f t="shared" si="247"/>
        <v>1.6327818287299378</v>
      </c>
      <c r="BI268" s="6">
        <f t="shared" si="248"/>
        <v>1.6327818287299378</v>
      </c>
      <c r="BJ268">
        <v>113.73938407061605</v>
      </c>
      <c r="BK268">
        <v>-128.79210353682981</v>
      </c>
      <c r="BV268" s="38"/>
      <c r="BW268" s="6">
        <f t="shared" si="231"/>
        <v>4.4156830075456286</v>
      </c>
      <c r="BX268" s="9">
        <f t="shared" ca="1" si="232"/>
        <v>74.651123989438389</v>
      </c>
      <c r="BY268" s="9">
        <f t="shared" ca="1" si="233"/>
        <v>38.135844357058261</v>
      </c>
      <c r="BZ268">
        <f t="shared" ca="1" si="234"/>
        <v>83.827996145155922</v>
      </c>
      <c r="CA268" s="6">
        <f t="shared" ca="1" si="235"/>
        <v>0.89052735866634658</v>
      </c>
      <c r="CB268" s="6">
        <f t="shared" ca="1" si="236"/>
        <v>0.45492969068498934</v>
      </c>
      <c r="CC268" s="6">
        <f t="shared" ca="1" si="237"/>
        <v>0.47229326008846939</v>
      </c>
      <c r="CD268" s="6">
        <f t="shared" ca="1" si="238"/>
        <v>-32.416830089042335</v>
      </c>
      <c r="CE268" s="9">
        <f t="shared" ca="1" si="239"/>
        <v>-118.88060899052361</v>
      </c>
      <c r="CF268">
        <f t="shared" ca="1" si="240"/>
        <v>123.22114293813219</v>
      </c>
      <c r="CG268" s="6">
        <f t="shared" ca="1" si="241"/>
        <v>-0.26307847270430224</v>
      </c>
      <c r="CH268" s="6">
        <f t="shared" ca="1" si="242"/>
        <v>-0.96477443850859346</v>
      </c>
      <c r="CI268" s="6">
        <f t="shared" ca="1" si="243"/>
        <v>-1.8370080211224804</v>
      </c>
      <c r="CJ268" s="1">
        <f t="shared" ca="1" si="244"/>
        <v>2.6224061845199289</v>
      </c>
      <c r="CK268" s="38"/>
    </row>
    <row r="269" spans="55:89" x14ac:dyDescent="0.25">
      <c r="BC269">
        <v>4.660029102824832</v>
      </c>
      <c r="BD269">
        <v>108.73863448207527</v>
      </c>
      <c r="BE269">
        <v>-116.49142804843667</v>
      </c>
      <c r="BF269" s="6">
        <f t="shared" si="245"/>
        <v>5.4633790648341893</v>
      </c>
      <c r="BG269" s="6">
        <f t="shared" si="246"/>
        <v>0.80334996200935738</v>
      </c>
      <c r="BH269" s="6">
        <f t="shared" si="247"/>
        <v>1.6052044057428454</v>
      </c>
      <c r="BI269" s="6">
        <f t="shared" si="248"/>
        <v>1.6052044057428454</v>
      </c>
      <c r="BJ269">
        <v>120.82070498008363</v>
      </c>
      <c r="BK269">
        <v>-129.43492005381853</v>
      </c>
      <c r="BV269" s="38"/>
      <c r="BW269" s="6">
        <f t="shared" si="231"/>
        <v>4.4331363000655717</v>
      </c>
      <c r="BX269" s="9">
        <f t="shared" ca="1" si="232"/>
        <v>71.550021031294534</v>
      </c>
      <c r="BY269" s="9">
        <f t="shared" ca="1" si="233"/>
        <v>40.391125560445374</v>
      </c>
      <c r="BZ269">
        <f t="shared" ca="1" si="234"/>
        <v>82.163547474645668</v>
      </c>
      <c r="CA269" s="6">
        <f t="shared" ca="1" si="235"/>
        <v>0.87082438904398207</v>
      </c>
      <c r="CB269" s="6">
        <f t="shared" ca="1" si="236"/>
        <v>0.49159422641664074</v>
      </c>
      <c r="CC269" s="6">
        <f t="shared" ca="1" si="237"/>
        <v>0.5139195183691776</v>
      </c>
      <c r="CD269" s="6">
        <f t="shared" ca="1" si="238"/>
        <v>-29.31572713089848</v>
      </c>
      <c r="CE269" s="9">
        <f t="shared" ca="1" si="239"/>
        <v>-121.13589019391073</v>
      </c>
      <c r="CF269">
        <f t="shared" ca="1" si="240"/>
        <v>124.6327234328308</v>
      </c>
      <c r="CG269" s="6">
        <f t="shared" ca="1" si="241"/>
        <v>-0.23521693439281871</v>
      </c>
      <c r="CH269" s="6">
        <f t="shared" ca="1" si="242"/>
        <v>-0.97194289635494768</v>
      </c>
      <c r="CI269" s="6">
        <f t="shared" ca="1" si="243"/>
        <v>-1.8082380855077096</v>
      </c>
      <c r="CJ269" s="1">
        <f t="shared" ca="1" si="244"/>
        <v>2.5936362489051579</v>
      </c>
      <c r="CK269" s="38"/>
    </row>
    <row r="270" spans="55:89" x14ac:dyDescent="0.25">
      <c r="BC270">
        <v>4.6774823953447751</v>
      </c>
      <c r="BD270">
        <v>115.15709344261987</v>
      </c>
      <c r="BE270">
        <v>-116.95338754824375</v>
      </c>
      <c r="BF270" s="6">
        <f t="shared" si="245"/>
        <v>5.4900483366489485</v>
      </c>
      <c r="BG270" s="6">
        <f t="shared" si="246"/>
        <v>0.81256594130417348</v>
      </c>
      <c r="BH270" s="6">
        <f t="shared" si="247"/>
        <v>1.5785351339280862</v>
      </c>
      <c r="BI270" s="6">
        <f t="shared" si="248"/>
        <v>1.5785351339280862</v>
      </c>
      <c r="BJ270">
        <v>127.9523260473554</v>
      </c>
      <c r="BK270">
        <v>-129.94820838693749</v>
      </c>
      <c r="BV270" s="38"/>
      <c r="BW270" s="6">
        <f t="shared" si="231"/>
        <v>4.4505895925855148</v>
      </c>
      <c r="BX270" s="9">
        <f t="shared" ca="1" si="232"/>
        <v>67.961723572146354</v>
      </c>
      <c r="BY270" s="9">
        <f t="shared" ca="1" si="233"/>
        <v>42.882105360209579</v>
      </c>
      <c r="BZ270">
        <f t="shared" ca="1" si="234"/>
        <v>80.3596343385219</v>
      </c>
      <c r="CA270" s="6">
        <f t="shared" ca="1" si="235"/>
        <v>0.84571967171791407</v>
      </c>
      <c r="CB270" s="6">
        <f t="shared" ca="1" si="236"/>
        <v>0.53362743264317269</v>
      </c>
      <c r="CC270" s="6">
        <f t="shared" ca="1" si="237"/>
        <v>0.56288395675490144</v>
      </c>
      <c r="CD270" s="6">
        <f t="shared" ca="1" si="238"/>
        <v>-25.727429671750301</v>
      </c>
      <c r="CE270" s="9">
        <f t="shared" ca="1" si="239"/>
        <v>-123.62686999367493</v>
      </c>
      <c r="CF270">
        <f t="shared" ca="1" si="240"/>
        <v>126.27550681722826</v>
      </c>
      <c r="CG270" s="6">
        <f t="shared" ca="1" si="241"/>
        <v>-0.20374045862265514</v>
      </c>
      <c r="CH270" s="6">
        <f t="shared" ca="1" si="242"/>
        <v>-0.9790249361074671</v>
      </c>
      <c r="CI270" s="6">
        <f t="shared" ca="1" si="243"/>
        <v>-1.7759733350820193</v>
      </c>
      <c r="CJ270" s="1">
        <f t="shared" ca="1" si="244"/>
        <v>2.5613714984794678</v>
      </c>
      <c r="CK270" s="38"/>
    </row>
    <row r="271" spans="55:89" x14ac:dyDescent="0.25">
      <c r="BC271">
        <v>4.6949356878647182</v>
      </c>
      <c r="BD271">
        <v>121.5705001583481</v>
      </c>
      <c r="BE271">
        <v>-117.28792256750572</v>
      </c>
      <c r="BF271" s="6">
        <f t="shared" si="245"/>
        <v>5.5157145785170911</v>
      </c>
      <c r="BG271" s="6">
        <f t="shared" si="246"/>
        <v>0.82077889065237297</v>
      </c>
      <c r="BH271" s="6">
        <f t="shared" si="247"/>
        <v>1.5528688920599436</v>
      </c>
      <c r="BI271" s="6">
        <f t="shared" si="248"/>
        <v>1.5528688920599436</v>
      </c>
      <c r="BJ271">
        <v>135.07833350927567</v>
      </c>
      <c r="BK271">
        <v>-130.31991396389523</v>
      </c>
      <c r="BV271" s="38"/>
      <c r="BW271" s="6">
        <f t="shared" ref="BW271:BW334" si="249">BC258</f>
        <v>4.4680428851054579</v>
      </c>
      <c r="BX271" s="9">
        <f t="shared" ca="1" si="232"/>
        <v>63.767981724657055</v>
      </c>
      <c r="BY271" s="9">
        <f t="shared" ca="1" si="233"/>
        <v>45.653156360793446</v>
      </c>
      <c r="BZ271">
        <f t="shared" ca="1" si="234"/>
        <v>78.42554544878378</v>
      </c>
      <c r="CA271" s="6">
        <f t="shared" ca="1" si="235"/>
        <v>0.81310217684492958</v>
      </c>
      <c r="CB271" s="6">
        <f t="shared" ca="1" si="236"/>
        <v>0.58212099258662453</v>
      </c>
      <c r="CC271" s="6">
        <f t="shared" ca="1" si="237"/>
        <v>0.62133478157728883</v>
      </c>
      <c r="CD271" s="6">
        <f t="shared" ca="1" si="238"/>
        <v>-21.533687824261001</v>
      </c>
      <c r="CE271" s="9">
        <f t="shared" ca="1" si="239"/>
        <v>-126.3979209942588</v>
      </c>
      <c r="CF271">
        <f t="shared" ca="1" si="240"/>
        <v>128.21908650034757</v>
      </c>
      <c r="CG271" s="6">
        <f t="shared" ca="1" si="241"/>
        <v>-0.16794448012389035</v>
      </c>
      <c r="CH271" s="6">
        <f t="shared" ca="1" si="242"/>
        <v>-0.98579645545919692</v>
      </c>
      <c r="CI271" s="6">
        <f t="shared" ca="1" si="243"/>
        <v>-1.7395404877249392</v>
      </c>
      <c r="CJ271" s="1">
        <f t="shared" ca="1" si="244"/>
        <v>2.5249386511223877</v>
      </c>
      <c r="CK271" s="38"/>
    </row>
    <row r="272" spans="55:89" x14ac:dyDescent="0.25">
      <c r="BC272">
        <v>4.7123889803846613</v>
      </c>
      <c r="BD272">
        <v>127.97999999998947</v>
      </c>
      <c r="BE272">
        <v>-117.49505599355251</v>
      </c>
      <c r="BF272" s="6">
        <f t="shared" si="245"/>
        <v>5.5404740666073833</v>
      </c>
      <c r="BG272" s="6">
        <f t="shared" si="246"/>
        <v>0.82808508622272203</v>
      </c>
      <c r="BH272" s="6">
        <f t="shared" si="247"/>
        <v>1.5281094039696514</v>
      </c>
      <c r="BI272" s="6">
        <f t="shared" si="248"/>
        <v>1.5281094039696514</v>
      </c>
      <c r="BJ272">
        <v>142.19999999998831</v>
      </c>
      <c r="BK272">
        <v>-130.55006221505835</v>
      </c>
      <c r="BV272" s="38"/>
      <c r="BW272" s="6">
        <f t="shared" si="249"/>
        <v>4.485496177625401</v>
      </c>
      <c r="BX272" s="9">
        <f t="shared" ref="BX272:BX335" ca="1" si="250">$BW$5-BD259</f>
        <v>58.813562691635617</v>
      </c>
      <c r="BY272" s="9">
        <f t="shared" ref="BY272:BY335" ca="1" si="251">$BX$5-BE259</f>
        <v>48.759876742231057</v>
      </c>
      <c r="BZ272">
        <f t="shared" ref="BZ272:BZ335" ca="1" si="252">SQRT(POWER(BX272,2)+POWER(BY272,2))</f>
        <v>76.397386973642739</v>
      </c>
      <c r="CA272" s="6">
        <f t="shared" ref="CA272:CA335" ca="1" si="253">BX272/BZ272</f>
        <v>0.76983735990769453</v>
      </c>
      <c r="CB272" s="6">
        <f t="shared" ref="CB272:CB335" ca="1" si="254">BY272/BZ272</f>
        <v>0.63824011100082934</v>
      </c>
      <c r="CC272" s="6">
        <f t="shared" ref="CC272:CC335" ca="1" si="255">ATAN2(CA272,CB272)</f>
        <v>0.69221004017493226</v>
      </c>
      <c r="CD272" s="6">
        <f t="shared" ref="CD272:CD335" ca="1" si="256">$BW$9-BX272</f>
        <v>-16.579268791239564</v>
      </c>
      <c r="CE272" s="9">
        <f t="shared" ref="CE272:CE335" ca="1" si="257">$BX$9-BY272</f>
        <v>-129.50464137569639</v>
      </c>
      <c r="CF272">
        <f t="shared" ref="CF272:CF335" ca="1" si="258">SQRT(POWER(CD272,2)+POWER(CE272,2))</f>
        <v>130.56157279804768</v>
      </c>
      <c r="CG272" s="6">
        <f t="shared" ref="CG272:CG335" ca="1" si="259">CD272/CF272</f>
        <v>-0.12698429128825167</v>
      </c>
      <c r="CH272" s="6">
        <f t="shared" ref="CH272:CH335" ca="1" si="260">CE272/CF272</f>
        <v>-0.99190472817000952</v>
      </c>
      <c r="CI272" s="6">
        <f t="shared" ref="CI272:CI335" ca="1" si="261">ATAN2(CG272,CH272)</f>
        <v>-1.6981243889606932</v>
      </c>
      <c r="CJ272" s="1">
        <f t="shared" ref="CJ272:CJ335" ca="1" si="262">ATAN2(COS($U$13-CI272),SIN($U$13-CI272))</f>
        <v>2.4835225523581412</v>
      </c>
      <c r="CK272" s="38"/>
    </row>
    <row r="273" spans="55:89" x14ac:dyDescent="0.25">
      <c r="BC273">
        <v>4.7298422729046044</v>
      </c>
      <c r="BD273">
        <v>134.38949984163094</v>
      </c>
      <c r="BE273">
        <v>-117.28792256801674</v>
      </c>
      <c r="BF273" s="6">
        <f t="shared" si="245"/>
        <v>5.5656332342648085</v>
      </c>
      <c r="BG273" s="6">
        <f t="shared" si="246"/>
        <v>0.83579096136020414</v>
      </c>
      <c r="BH273" s="6">
        <f t="shared" si="247"/>
        <v>1.5029502363122262</v>
      </c>
      <c r="BI273" s="6">
        <f t="shared" si="248"/>
        <v>1.5029502363122262</v>
      </c>
      <c r="BJ273">
        <v>149.32166649070103</v>
      </c>
      <c r="BK273">
        <v>-130.31991396446304</v>
      </c>
      <c r="BV273" s="38"/>
      <c r="BW273" s="6">
        <f t="shared" si="249"/>
        <v>4.5029494701453441</v>
      </c>
      <c r="BX273" s="9">
        <f t="shared" ca="1" si="250"/>
        <v>52.989979575420008</v>
      </c>
      <c r="BY273" s="9">
        <f t="shared" ca="1" si="251"/>
        <v>52.239580241751909</v>
      </c>
      <c r="BZ273">
        <f t="shared" ca="1" si="252"/>
        <v>74.410427221175567</v>
      </c>
      <c r="CA273" s="6">
        <f t="shared" ca="1" si="253"/>
        <v>0.71213110251220579</v>
      </c>
      <c r="CB273" s="6">
        <f t="shared" ca="1" si="254"/>
        <v>0.70204650332777119</v>
      </c>
      <c r="CC273" s="6">
        <f t="shared" ca="1" si="255"/>
        <v>0.77826721449343417</v>
      </c>
      <c r="CD273" s="6">
        <f t="shared" ca="1" si="256"/>
        <v>-10.755685675023955</v>
      </c>
      <c r="CE273" s="9">
        <f t="shared" ca="1" si="257"/>
        <v>-132.98434487521726</v>
      </c>
      <c r="CF273">
        <f t="shared" ca="1" si="258"/>
        <v>133.41859224347496</v>
      </c>
      <c r="CG273" s="6">
        <f t="shared" ca="1" si="259"/>
        <v>-8.0616093260794983E-2</v>
      </c>
      <c r="CH273" s="6">
        <f t="shared" ca="1" si="260"/>
        <v>-0.99674522597671211</v>
      </c>
      <c r="CI273" s="6">
        <f t="shared" ca="1" si="261"/>
        <v>-1.6514999964716157</v>
      </c>
      <c r="CJ273" s="1">
        <f t="shared" ca="1" si="262"/>
        <v>2.436898159869064</v>
      </c>
      <c r="CK273" s="38"/>
    </row>
    <row r="274" spans="55:89" x14ac:dyDescent="0.25">
      <c r="BC274">
        <v>4.7472955654245474</v>
      </c>
      <c r="BD274">
        <v>140.80290655735911</v>
      </c>
      <c r="BE274">
        <v>-116.95338754823071</v>
      </c>
      <c r="BF274" s="6">
        <f t="shared" si="245"/>
        <v>5.5900518369423509</v>
      </c>
      <c r="BG274" s="6">
        <f t="shared" si="246"/>
        <v>0.84275627151780341</v>
      </c>
      <c r="BH274" s="6">
        <f t="shared" si="247"/>
        <v>1.4785316336346839</v>
      </c>
      <c r="BI274" s="6">
        <f t="shared" si="248"/>
        <v>1.4785316336346839</v>
      </c>
      <c r="BJ274">
        <v>156.44767395262122</v>
      </c>
      <c r="BK274">
        <v>-129.948208386923</v>
      </c>
      <c r="BV274" s="38"/>
      <c r="BW274" s="6">
        <f t="shared" si="249"/>
        <v>4.5204027626652872</v>
      </c>
      <c r="BX274" s="9">
        <f t="shared" ca="1" si="250"/>
        <v>46.272003682683945</v>
      </c>
      <c r="BY274" s="9">
        <f t="shared" ca="1" si="251"/>
        <v>56.100673930199122</v>
      </c>
      <c r="BZ274">
        <f t="shared" ca="1" si="252"/>
        <v>72.721275705482782</v>
      </c>
      <c r="CA274" s="6">
        <f t="shared" ca="1" si="253"/>
        <v>0.63629251871327241</v>
      </c>
      <c r="CB274" s="6">
        <f t="shared" ca="1" si="254"/>
        <v>0.77144787939919823</v>
      </c>
      <c r="CC274" s="6">
        <f t="shared" ca="1" si="255"/>
        <v>0.88111351675401028</v>
      </c>
      <c r="CD274" s="6">
        <f t="shared" ca="1" si="256"/>
        <v>-4.0377097822878909</v>
      </c>
      <c r="CE274" s="9">
        <f t="shared" ca="1" si="257"/>
        <v>-136.84543856366446</v>
      </c>
      <c r="CF274">
        <f t="shared" ca="1" si="258"/>
        <v>136.9049931739805</v>
      </c>
      <c r="CG274" s="6">
        <f t="shared" ca="1" si="259"/>
        <v>-2.9492786849320544E-2</v>
      </c>
      <c r="CH274" s="6">
        <f t="shared" ca="1" si="260"/>
        <v>-0.99956499314644898</v>
      </c>
      <c r="CI274" s="6">
        <f t="shared" ca="1" si="261"/>
        <v>-1.6002933909099522</v>
      </c>
      <c r="CJ274" s="1">
        <f t="shared" ca="1" si="262"/>
        <v>2.3856915543074004</v>
      </c>
      <c r="CK274" s="38"/>
    </row>
    <row r="275" spans="55:89" x14ac:dyDescent="0.25">
      <c r="BC275">
        <v>4.7647488579444905</v>
      </c>
      <c r="BD275">
        <v>147.22136551790368</v>
      </c>
      <c r="BE275">
        <v>-116.49142804844396</v>
      </c>
      <c r="BF275" s="6">
        <f t="shared" si="245"/>
        <v>5.6137920127384282</v>
      </c>
      <c r="BG275" s="6">
        <f t="shared" si="246"/>
        <v>0.84904315479393766</v>
      </c>
      <c r="BH275" s="6">
        <f t="shared" si="247"/>
        <v>1.4547914578386065</v>
      </c>
      <c r="BI275" s="6">
        <f t="shared" si="248"/>
        <v>1.4547914578386065</v>
      </c>
      <c r="BJ275">
        <v>163.57929501989298</v>
      </c>
      <c r="BK275">
        <v>-129.43492005382663</v>
      </c>
      <c r="BV275" s="38"/>
      <c r="BW275" s="6">
        <f t="shared" si="249"/>
        <v>4.5378560551852303</v>
      </c>
      <c r="BX275" s="9">
        <f t="shared" ca="1" si="250"/>
        <v>38.625245917090311</v>
      </c>
      <c r="BY275" s="9">
        <f t="shared" ca="1" si="251"/>
        <v>60.355136161966328</v>
      </c>
      <c r="BZ275">
        <f t="shared" ca="1" si="252"/>
        <v>71.65648667975006</v>
      </c>
      <c r="CA275" s="6">
        <f t="shared" ca="1" si="253"/>
        <v>0.53903348750149793</v>
      </c>
      <c r="CB275" s="6">
        <f t="shared" ca="1" si="254"/>
        <v>0.84228433402976954</v>
      </c>
      <c r="CC275" s="6">
        <f t="shared" ca="1" si="255"/>
        <v>1.0015071288711326</v>
      </c>
      <c r="CD275" s="6">
        <f t="shared" ca="1" si="256"/>
        <v>3.6090479833057429</v>
      </c>
      <c r="CE275" s="9">
        <f t="shared" ca="1" si="257"/>
        <v>-141.09990079543167</v>
      </c>
      <c r="CF275">
        <f t="shared" ca="1" si="258"/>
        <v>141.14604929584979</v>
      </c>
      <c r="CG275" s="6">
        <f t="shared" ca="1" si="259"/>
        <v>2.5569599725324101E-2</v>
      </c>
      <c r="CH275" s="6">
        <f t="shared" ca="1" si="260"/>
        <v>-0.99967304433493998</v>
      </c>
      <c r="CI275" s="6">
        <f t="shared" ca="1" si="261"/>
        <v>-1.5452239399965748</v>
      </c>
      <c r="CJ275" s="1">
        <f t="shared" ca="1" si="262"/>
        <v>2.3306221033940231</v>
      </c>
      <c r="CK275" s="38"/>
    </row>
    <row r="276" spans="55:89" x14ac:dyDescent="0.25">
      <c r="BC276">
        <v>4.7822021504644336</v>
      </c>
      <c r="BD276">
        <v>153.59455433642432</v>
      </c>
      <c r="BE276">
        <v>-115.91289318306748</v>
      </c>
      <c r="BF276" s="6">
        <f t="shared" si="245"/>
        <v>5.636703374290855</v>
      </c>
      <c r="BG276" s="6">
        <f t="shared" si="246"/>
        <v>0.85450122382642135</v>
      </c>
      <c r="BH276" s="6">
        <f t="shared" si="247"/>
        <v>1.4318800962861797</v>
      </c>
      <c r="BI276" s="6">
        <f t="shared" si="248"/>
        <v>1.4318800962861797</v>
      </c>
      <c r="BJ276">
        <v>170.66061592936035</v>
      </c>
      <c r="BK276">
        <v>-128.79210353674165</v>
      </c>
      <c r="BV276" s="38"/>
      <c r="BW276" s="6">
        <f t="shared" si="249"/>
        <v>4.5553093477051734</v>
      </c>
      <c r="BX276" s="9">
        <f t="shared" ca="1" si="250"/>
        <v>30.584850717807676</v>
      </c>
      <c r="BY276" s="9">
        <f t="shared" ca="1" si="251"/>
        <v>64.673760744880212</v>
      </c>
      <c r="BZ276">
        <f t="shared" ca="1" si="252"/>
        <v>71.541096037987771</v>
      </c>
      <c r="CA276" s="6">
        <f t="shared" ca="1" si="253"/>
        <v>0.42751442753361446</v>
      </c>
      <c r="CB276" s="6">
        <f t="shared" ca="1" si="254"/>
        <v>0.90400852554088551</v>
      </c>
      <c r="CC276" s="6">
        <f t="shared" ca="1" si="255"/>
        <v>1.1290548443370663</v>
      </c>
      <c r="CD276" s="6">
        <f t="shared" ca="1" si="256"/>
        <v>11.649443182588378</v>
      </c>
      <c r="CE276" s="9">
        <f t="shared" ca="1" si="257"/>
        <v>-145.41852537834558</v>
      </c>
      <c r="CF276">
        <f t="shared" ca="1" si="258"/>
        <v>145.88439618299446</v>
      </c>
      <c r="CG276" s="6">
        <f t="shared" ca="1" si="259"/>
        <v>7.9853935632537079E-2</v>
      </c>
      <c r="CH276" s="6">
        <f t="shared" ca="1" si="260"/>
        <v>-0.99680657550198515</v>
      </c>
      <c r="CI276" s="6">
        <f t="shared" ca="1" si="261"/>
        <v>-1.490857279929142</v>
      </c>
      <c r="CJ276" s="1">
        <f t="shared" ca="1" si="262"/>
        <v>2.2762554433265905</v>
      </c>
      <c r="CK276" s="38"/>
    </row>
    <row r="277" spans="55:89" x14ac:dyDescent="0.25">
      <c r="BC277">
        <v>4.7996554429843767</v>
      </c>
      <c r="BD277">
        <v>159.83451031426344</v>
      </c>
      <c r="BE277">
        <v>-115.24066553201149</v>
      </c>
      <c r="BF277" s="6">
        <f t="shared" si="245"/>
        <v>5.6585040459839213</v>
      </c>
      <c r="BG277" s="6">
        <f t="shared" si="246"/>
        <v>0.85884860299954457</v>
      </c>
      <c r="BH277" s="6">
        <f t="shared" si="247"/>
        <v>1.4100794245931134</v>
      </c>
      <c r="BI277" s="6">
        <f t="shared" si="248"/>
        <v>1.4100794245931134</v>
      </c>
      <c r="BJ277">
        <v>177.59390034918161</v>
      </c>
      <c r="BK277">
        <v>-128.04518392445721</v>
      </c>
      <c r="BV277" s="38"/>
      <c r="BW277" s="6">
        <f t="shared" si="249"/>
        <v>4.5727626402251165</v>
      </c>
      <c r="BX277" s="9">
        <f t="shared" ca="1" si="250"/>
        <v>23.144099806370974</v>
      </c>
      <c r="BY277" s="9">
        <f t="shared" ca="1" si="251"/>
        <v>68.803437895768496</v>
      </c>
      <c r="BZ277">
        <f t="shared" ca="1" si="252"/>
        <v>72.591751749934602</v>
      </c>
      <c r="CA277" s="6">
        <f t="shared" ca="1" si="253"/>
        <v>0.3188254760141096</v>
      </c>
      <c r="CB277" s="6">
        <f t="shared" ca="1" si="254"/>
        <v>0.94781343936682838</v>
      </c>
      <c r="CC277" s="6">
        <f t="shared" ca="1" si="255"/>
        <v>1.2463062914158503</v>
      </c>
      <c r="CD277" s="6">
        <f t="shared" ca="1" si="256"/>
        <v>19.09019409402508</v>
      </c>
      <c r="CE277" s="9">
        <f t="shared" ca="1" si="257"/>
        <v>-149.54820252923383</v>
      </c>
      <c r="CF277">
        <f t="shared" ca="1" si="258"/>
        <v>150.76173383943384</v>
      </c>
      <c r="CG277" s="6">
        <f t="shared" ca="1" si="259"/>
        <v>0.12662493066282163</v>
      </c>
      <c r="CH277" s="6">
        <f t="shared" ca="1" si="260"/>
        <v>-0.99195066759120409</v>
      </c>
      <c r="CI277" s="6">
        <f t="shared" ca="1" si="261"/>
        <v>-1.4438305497253496</v>
      </c>
      <c r="CJ277" s="1">
        <f t="shared" ca="1" si="262"/>
        <v>2.2292287131227981</v>
      </c>
      <c r="CK277" s="38"/>
    </row>
    <row r="278" spans="55:89" x14ac:dyDescent="0.25">
      <c r="BC278">
        <v>4.8171087355043198</v>
      </c>
      <c r="BD278">
        <v>165.88392056654763</v>
      </c>
      <c r="BE278">
        <v>-114.49455673613528</v>
      </c>
      <c r="BF278" s="6">
        <f t="shared" si="245"/>
        <v>5.6790608277252943</v>
      </c>
      <c r="BG278" s="6">
        <f t="shared" si="246"/>
        <v>0.86195209222097446</v>
      </c>
      <c r="BH278" s="6">
        <f t="shared" si="247"/>
        <v>1.3895226428517404</v>
      </c>
      <c r="BI278" s="6">
        <f t="shared" si="248"/>
        <v>1.3895226428517404</v>
      </c>
      <c r="BJ278">
        <v>184.31546729616403</v>
      </c>
      <c r="BK278">
        <v>-127.21617415126141</v>
      </c>
      <c r="BV278" s="38"/>
      <c r="BW278" s="6">
        <f t="shared" si="249"/>
        <v>4.5902159327450596</v>
      </c>
      <c r="BX278" s="9">
        <f t="shared" ca="1" si="250"/>
        <v>15.477634153316544</v>
      </c>
      <c r="BY278" s="9">
        <f t="shared" ca="1" si="251"/>
        <v>73.143822494523391</v>
      </c>
      <c r="BZ278">
        <f t="shared" ca="1" si="252"/>
        <v>74.763466533422971</v>
      </c>
      <c r="CA278" s="6">
        <f t="shared" ca="1" si="253"/>
        <v>0.20702135509456715</v>
      </c>
      <c r="CB278" s="6">
        <f t="shared" ca="1" si="254"/>
        <v>0.97833642400495813</v>
      </c>
      <c r="CC278" s="6">
        <f t="shared" ca="1" si="255"/>
        <v>1.3622669549982886</v>
      </c>
      <c r="CD278" s="6">
        <f t="shared" ca="1" si="256"/>
        <v>26.75665974707951</v>
      </c>
      <c r="CE278" s="9">
        <f t="shared" ca="1" si="257"/>
        <v>-153.88858712798873</v>
      </c>
      <c r="CF278">
        <f t="shared" ca="1" si="258"/>
        <v>156.19736261880212</v>
      </c>
      <c r="CG278" s="6">
        <f t="shared" ca="1" si="259"/>
        <v>0.17130032990620228</v>
      </c>
      <c r="CH278" s="6">
        <f t="shared" ca="1" si="260"/>
        <v>-0.9852188573987134</v>
      </c>
      <c r="CI278" s="6">
        <f t="shared" ca="1" si="261"/>
        <v>-1.3986469700576682</v>
      </c>
      <c r="CJ278" s="1">
        <f t="shared" ca="1" si="262"/>
        <v>2.1840451334551165</v>
      </c>
      <c r="CK278" s="38"/>
    </row>
    <row r="279" spans="55:89" x14ac:dyDescent="0.25">
      <c r="BC279">
        <v>4.8345620280242629</v>
      </c>
      <c r="BD279">
        <v>171.71126434222694</v>
      </c>
      <c r="BE279">
        <v>-113.68955701727464</v>
      </c>
      <c r="BF279" s="6">
        <f t="shared" si="245"/>
        <v>5.6983528165352668</v>
      </c>
      <c r="BG279" s="6">
        <f t="shared" si="246"/>
        <v>0.86379078851100388</v>
      </c>
      <c r="BH279" s="6">
        <f t="shared" si="247"/>
        <v>1.3702306540417679</v>
      </c>
      <c r="BI279" s="6">
        <f t="shared" si="248"/>
        <v>1.3702306540417679</v>
      </c>
      <c r="BJ279">
        <v>190.7902937135855</v>
      </c>
      <c r="BK279">
        <v>-126.32173001919404</v>
      </c>
      <c r="BV279" s="38"/>
      <c r="BW279" s="6">
        <f t="shared" si="249"/>
        <v>4.6076692252650027</v>
      </c>
      <c r="BX279" s="9">
        <f t="shared" ca="1" si="250"/>
        <v>6.7948010214588379</v>
      </c>
      <c r="BY279" s="9">
        <f t="shared" ca="1" si="251"/>
        <v>78.030160968474107</v>
      </c>
      <c r="BZ279">
        <f t="shared" ca="1" si="252"/>
        <v>78.325445046212138</v>
      </c>
      <c r="CA279" s="6">
        <f t="shared" ca="1" si="253"/>
        <v>8.6750876646151123E-2</v>
      </c>
      <c r="CB279" s="6">
        <f t="shared" ca="1" si="254"/>
        <v>0.99623003638774332</v>
      </c>
      <c r="CC279" s="6">
        <f t="shared" ca="1" si="255"/>
        <v>1.4839362696055609</v>
      </c>
      <c r="CD279" s="6">
        <f t="shared" ca="1" si="256"/>
        <v>35.439492878937216</v>
      </c>
      <c r="CE279" s="9">
        <f t="shared" ca="1" si="257"/>
        <v>-158.77492560193946</v>
      </c>
      <c r="CF279">
        <f t="shared" ca="1" si="258"/>
        <v>162.68200470678264</v>
      </c>
      <c r="CG279" s="6">
        <f t="shared" ca="1" si="259"/>
        <v>0.21784519402015737</v>
      </c>
      <c r="CH279" s="6">
        <f t="shared" ca="1" si="260"/>
        <v>-0.9759833356376123</v>
      </c>
      <c r="CI279" s="6">
        <f t="shared" ca="1" si="261"/>
        <v>-1.3511902330812864</v>
      </c>
      <c r="CJ279" s="1">
        <f t="shared" ca="1" si="262"/>
        <v>2.1365883964787349</v>
      </c>
      <c r="CK279" s="38"/>
    </row>
    <row r="280" spans="55:89" x14ac:dyDescent="0.25">
      <c r="BC280">
        <v>4.852015320544206</v>
      </c>
      <c r="BD280">
        <v>177.29918926273749</v>
      </c>
      <c r="BE280">
        <v>-112.83727682061216</v>
      </c>
      <c r="BF280" s="6">
        <f t="shared" si="245"/>
        <v>5.7164138583540671</v>
      </c>
      <c r="BG280" s="6">
        <f t="shared" si="246"/>
        <v>0.86439853780986109</v>
      </c>
      <c r="BH280" s="6">
        <f t="shared" si="247"/>
        <v>1.3521696122229676</v>
      </c>
      <c r="BI280" s="6">
        <f t="shared" si="248"/>
        <v>1.3521696122229676</v>
      </c>
      <c r="BJ280">
        <v>196.99909918081943</v>
      </c>
      <c r="BK280">
        <v>-125.3747520229024</v>
      </c>
      <c r="BV280" s="38"/>
      <c r="BW280" s="6">
        <f t="shared" si="249"/>
        <v>4.6251225177849458</v>
      </c>
      <c r="BX280" s="9">
        <f t="shared" ca="1" si="250"/>
        <v>-3.1013419228476238</v>
      </c>
      <c r="BY280" s="9">
        <f t="shared" ca="1" si="251"/>
        <v>83.576196295523999</v>
      </c>
      <c r="BZ280">
        <f t="shared" ca="1" si="252"/>
        <v>83.633718732042354</v>
      </c>
      <c r="CA280" s="6">
        <f t="shared" ca="1" si="253"/>
        <v>-3.7082434810583348E-2</v>
      </c>
      <c r="CB280" s="6">
        <f t="shared" ca="1" si="254"/>
        <v>0.99931220998670822</v>
      </c>
      <c r="CC280" s="6">
        <f t="shared" ca="1" si="255"/>
        <v>1.6078872655878846</v>
      </c>
      <c r="CD280" s="6">
        <f t="shared" ca="1" si="256"/>
        <v>45.335635823243678</v>
      </c>
      <c r="CE280" s="9">
        <f t="shared" ca="1" si="257"/>
        <v>-164.32096092898934</v>
      </c>
      <c r="CF280">
        <f t="shared" ca="1" si="258"/>
        <v>170.46025365499202</v>
      </c>
      <c r="CG280" s="6">
        <f t="shared" ca="1" si="259"/>
        <v>0.26596015699355968</v>
      </c>
      <c r="CH280" s="6">
        <f t="shared" ca="1" si="260"/>
        <v>-0.96398402211445444</v>
      </c>
      <c r="CI280" s="6">
        <f t="shared" ca="1" si="261"/>
        <v>-1.3015965111406593</v>
      </c>
      <c r="CJ280" s="1">
        <f t="shared" ca="1" si="262"/>
        <v>2.0869946745381078</v>
      </c>
      <c r="CK280" s="38"/>
    </row>
    <row r="281" spans="55:89" x14ac:dyDescent="0.25">
      <c r="BC281">
        <v>4.8694686130641491</v>
      </c>
      <c r="BD281">
        <v>182.63732604555312</v>
      </c>
      <c r="BE281">
        <v>-111.94724373622516</v>
      </c>
      <c r="BF281" s="6">
        <f t="shared" si="245"/>
        <v>5.7332993386513529</v>
      </c>
      <c r="BG281" s="6">
        <f t="shared" si="246"/>
        <v>0.86383072558720375</v>
      </c>
      <c r="BH281" s="6">
        <f t="shared" si="247"/>
        <v>1.3352841319256818</v>
      </c>
      <c r="BI281" s="6">
        <f t="shared" si="248"/>
        <v>1.3352841319256818</v>
      </c>
      <c r="BJ281">
        <v>202.93036227283679</v>
      </c>
      <c r="BK281">
        <v>-124.38582637358351</v>
      </c>
      <c r="BV281" s="38"/>
      <c r="BW281" s="6">
        <f t="shared" si="249"/>
        <v>4.6425758103048889</v>
      </c>
      <c r="BX281" s="9">
        <f t="shared" ca="1" si="250"/>
        <v>-10.1311517631584</v>
      </c>
      <c r="BY281" s="9">
        <f t="shared" ca="1" si="251"/>
        <v>85.168128549681484</v>
      </c>
      <c r="BZ281">
        <f t="shared" ca="1" si="252"/>
        <v>85.768586071493672</v>
      </c>
      <c r="CA281" s="6">
        <f t="shared" ca="1" si="253"/>
        <v>-0.11812193982903517</v>
      </c>
      <c r="CB281" s="6">
        <f t="shared" ca="1" si="254"/>
        <v>0.99299909734653113</v>
      </c>
      <c r="CC281" s="6">
        <f t="shared" ca="1" si="255"/>
        <v>1.6891946942769573</v>
      </c>
      <c r="CD281" s="6">
        <f t="shared" ca="1" si="256"/>
        <v>52.365445663554453</v>
      </c>
      <c r="CE281" s="9">
        <f t="shared" ca="1" si="257"/>
        <v>-165.91289318314682</v>
      </c>
      <c r="CF281">
        <f t="shared" ca="1" si="258"/>
        <v>173.98053921040986</v>
      </c>
      <c r="CG281" s="6">
        <f t="shared" ca="1" si="259"/>
        <v>0.30098450034244545</v>
      </c>
      <c r="CH281" s="6">
        <f t="shared" ca="1" si="260"/>
        <v>-0.95362903193726667</v>
      </c>
      <c r="CI281" s="6">
        <f t="shared" ca="1" si="261"/>
        <v>-1.2650714682818354</v>
      </c>
      <c r="CJ281" s="1">
        <f t="shared" ca="1" si="262"/>
        <v>2.0504696316792836</v>
      </c>
      <c r="CK281" s="38"/>
    </row>
    <row r="282" spans="55:89" x14ac:dyDescent="0.25">
      <c r="BC282">
        <v>4.8869219055840922</v>
      </c>
      <c r="BD282">
        <v>187.2680750961901</v>
      </c>
      <c r="BE282">
        <v>-110.76812502075376</v>
      </c>
      <c r="BF282" s="6">
        <f t="shared" si="245"/>
        <v>5.7490429744020961</v>
      </c>
      <c r="BG282" s="6">
        <f t="shared" si="246"/>
        <v>0.86212106881800388</v>
      </c>
      <c r="BH282" s="6">
        <f t="shared" si="247"/>
        <v>1.3195404961749386</v>
      </c>
      <c r="BI282" s="6">
        <f t="shared" si="248"/>
        <v>1.3195404961749386</v>
      </c>
      <c r="BJ282">
        <v>208.57739579973901</v>
      </c>
      <c r="BK282">
        <v>-123.37248109471685</v>
      </c>
      <c r="BV282" s="38"/>
      <c r="BW282" s="6">
        <f t="shared" si="249"/>
        <v>4.660029102824832</v>
      </c>
      <c r="BX282" s="9">
        <f t="shared" ca="1" si="250"/>
        <v>-16.504340581679216</v>
      </c>
      <c r="BY282" s="9">
        <f t="shared" ca="1" si="251"/>
        <v>85.746663414971323</v>
      </c>
      <c r="BZ282">
        <f t="shared" ca="1" si="252"/>
        <v>87.320579159992093</v>
      </c>
      <c r="CA282" s="6">
        <f t="shared" ca="1" si="253"/>
        <v>-0.18900860187195201</v>
      </c>
      <c r="CB282" s="6">
        <f t="shared" ca="1" si="254"/>
        <v>0.98197543167760049</v>
      </c>
      <c r="CC282" s="6">
        <f t="shared" ca="1" si="255"/>
        <v>1.7609487793866341</v>
      </c>
      <c r="CD282" s="6">
        <f t="shared" ca="1" si="256"/>
        <v>58.73863448207527</v>
      </c>
      <c r="CE282" s="9">
        <f t="shared" ca="1" si="257"/>
        <v>-166.49142804843666</v>
      </c>
      <c r="CF282">
        <f t="shared" ca="1" si="258"/>
        <v>176.54920785556249</v>
      </c>
      <c r="CG282" s="6">
        <f t="shared" ca="1" si="259"/>
        <v>0.33270403869571713</v>
      </c>
      <c r="CH282" s="6">
        <f t="shared" ca="1" si="260"/>
        <v>-0.9430312946215299</v>
      </c>
      <c r="CI282" s="6">
        <f t="shared" ca="1" si="261"/>
        <v>-1.2316268064109706</v>
      </c>
      <c r="CJ282" s="1">
        <f t="shared" ca="1" si="262"/>
        <v>2.0170249698084186</v>
      </c>
      <c r="CK282" s="38"/>
    </row>
    <row r="283" spans="55:89" x14ac:dyDescent="0.25">
      <c r="BC283">
        <v>4.9043751981040353</v>
      </c>
      <c r="BD283">
        <v>189.50654674857259</v>
      </c>
      <c r="BE283">
        <v>-108.39618225693877</v>
      </c>
      <c r="BF283" s="6">
        <f t="shared" si="245"/>
        <v>5.7636147421690245</v>
      </c>
      <c r="BG283" s="6">
        <f t="shared" si="246"/>
        <v>0.85923954406498915</v>
      </c>
      <c r="BH283" s="6">
        <f t="shared" si="247"/>
        <v>1.3049687284080103</v>
      </c>
      <c r="BI283" s="6">
        <f t="shared" si="248"/>
        <v>1.3049687284080103</v>
      </c>
      <c r="BJ283">
        <v>213.94138693539429</v>
      </c>
      <c r="BK283">
        <v>-122.37270937831563</v>
      </c>
      <c r="BV283" s="38"/>
      <c r="BW283" s="6">
        <f t="shared" si="249"/>
        <v>4.6774823953447751</v>
      </c>
      <c r="BX283" s="9">
        <f t="shared" ca="1" si="250"/>
        <v>-22.922799542223814</v>
      </c>
      <c r="BY283" s="9">
        <f t="shared" ca="1" si="251"/>
        <v>86.208622914778402</v>
      </c>
      <c r="BZ283">
        <f t="shared" ca="1" si="252"/>
        <v>89.204155753616277</v>
      </c>
      <c r="CA283" s="6">
        <f t="shared" ca="1" si="253"/>
        <v>-0.25697008562624662</v>
      </c>
      <c r="CB283" s="6">
        <f t="shared" ca="1" si="254"/>
        <v>0.9664193577806891</v>
      </c>
      <c r="CC283" s="6">
        <f t="shared" ca="1" si="255"/>
        <v>1.8306820203666985</v>
      </c>
      <c r="CD283" s="6">
        <f t="shared" ca="1" si="256"/>
        <v>65.157093442619868</v>
      </c>
      <c r="CE283" s="9">
        <f t="shared" ca="1" si="257"/>
        <v>-166.95338754824377</v>
      </c>
      <c r="CF283">
        <f t="shared" ca="1" si="258"/>
        <v>179.21741109536308</v>
      </c>
      <c r="CG283" s="6">
        <f t="shared" ca="1" si="259"/>
        <v>0.36356452782341131</v>
      </c>
      <c r="CH283" s="6">
        <f t="shared" ca="1" si="260"/>
        <v>-0.93156901736185938</v>
      </c>
      <c r="CI283" s="6">
        <f t="shared" ca="1" si="261"/>
        <v>-1.1987049067066102</v>
      </c>
      <c r="CJ283" s="1">
        <f t="shared" ca="1" si="262"/>
        <v>1.9841030701040583</v>
      </c>
      <c r="CK283" s="38"/>
    </row>
    <row r="284" spans="55:89" x14ac:dyDescent="0.25">
      <c r="BC284">
        <v>4.9218284906239784</v>
      </c>
      <c r="BD284">
        <v>191.72875431063156</v>
      </c>
      <c r="BE284">
        <v>-106.23627573064887</v>
      </c>
      <c r="BF284" s="6">
        <f t="shared" si="245"/>
        <v>5.7772022563824805</v>
      </c>
      <c r="BG284" s="6">
        <f t="shared" si="246"/>
        <v>0.8553737657585021</v>
      </c>
      <c r="BH284" s="6">
        <f t="shared" si="247"/>
        <v>1.2913812141945542</v>
      </c>
      <c r="BI284" s="6">
        <f t="shared" si="248"/>
        <v>1.2913812141945542</v>
      </c>
      <c r="BJ284">
        <v>219.00633999088336</v>
      </c>
      <c r="BK284">
        <v>-121.35069674701145</v>
      </c>
      <c r="BV284" s="38"/>
      <c r="BW284" s="6">
        <f t="shared" si="249"/>
        <v>4.6949356878647182</v>
      </c>
      <c r="BX284" s="9">
        <f t="shared" ca="1" si="250"/>
        <v>-29.336206257952043</v>
      </c>
      <c r="BY284" s="9">
        <f t="shared" ca="1" si="251"/>
        <v>86.543157934040366</v>
      </c>
      <c r="BZ284">
        <f t="shared" ca="1" si="252"/>
        <v>91.380146546202027</v>
      </c>
      <c r="CA284" s="6">
        <f t="shared" ca="1" si="253"/>
        <v>-0.32103479110880595</v>
      </c>
      <c r="CB284" s="6">
        <f t="shared" ca="1" si="254"/>
        <v>0.94706740145447166</v>
      </c>
      <c r="CC284" s="6">
        <f t="shared" ca="1" si="255"/>
        <v>1.8976182387183438</v>
      </c>
      <c r="CD284" s="6">
        <f t="shared" ca="1" si="256"/>
        <v>71.570500158348096</v>
      </c>
      <c r="CE284" s="9">
        <f t="shared" ca="1" si="257"/>
        <v>-167.28792256750572</v>
      </c>
      <c r="CF284">
        <f t="shared" ca="1" si="258"/>
        <v>181.9548997138244</v>
      </c>
      <c r="CG284" s="6">
        <f t="shared" ca="1" si="259"/>
        <v>0.39334197798967202</v>
      </c>
      <c r="CH284" s="6">
        <f t="shared" ca="1" si="260"/>
        <v>-0.91939223857457719</v>
      </c>
      <c r="CI284" s="6">
        <f t="shared" ca="1" si="261"/>
        <v>-1.1665325621228453</v>
      </c>
      <c r="CJ284" s="1">
        <f t="shared" ca="1" si="262"/>
        <v>1.9519307255202936</v>
      </c>
      <c r="CK284" s="38"/>
    </row>
    <row r="285" spans="55:89" x14ac:dyDescent="0.25">
      <c r="BC285">
        <v>4.9392817831439215</v>
      </c>
      <c r="BD285">
        <v>193.91311057361992</v>
      </c>
      <c r="BE285">
        <v>-104.26711730592994</v>
      </c>
      <c r="BF285" s="6">
        <f t="shared" si="245"/>
        <v>5.7898343418796641</v>
      </c>
      <c r="BG285" s="6">
        <f t="shared" si="246"/>
        <v>0.85055255873574254</v>
      </c>
      <c r="BH285" s="6">
        <f t="shared" si="247"/>
        <v>1.2787491286973707</v>
      </c>
      <c r="BI285" s="6">
        <f t="shared" si="248"/>
        <v>1.2787491286973707</v>
      </c>
      <c r="BJ285">
        <v>223.76035776710148</v>
      </c>
      <c r="BK285">
        <v>-120.31598793244859</v>
      </c>
      <c r="BV285" s="38"/>
      <c r="BW285" s="6">
        <f t="shared" si="249"/>
        <v>4.7123889803846613</v>
      </c>
      <c r="BX285" s="9">
        <f t="shared" ca="1" si="250"/>
        <v>-35.74570609959342</v>
      </c>
      <c r="BY285" s="9">
        <f t="shared" ca="1" si="251"/>
        <v>86.750291360087161</v>
      </c>
      <c r="BZ285">
        <f t="shared" ca="1" si="252"/>
        <v>93.826267940372233</v>
      </c>
      <c r="CA285" s="6">
        <f t="shared" ca="1" si="253"/>
        <v>-0.38097759704468115</v>
      </c>
      <c r="CB285" s="6">
        <f t="shared" ca="1" si="254"/>
        <v>0.92458426903666313</v>
      </c>
      <c r="CC285" s="6">
        <f t="shared" ca="1" si="255"/>
        <v>1.9616497301149236</v>
      </c>
      <c r="CD285" s="6">
        <f t="shared" ca="1" si="256"/>
        <v>77.979999999989474</v>
      </c>
      <c r="CE285" s="9">
        <f t="shared" ca="1" si="257"/>
        <v>-167.49505599355251</v>
      </c>
      <c r="CF285">
        <f t="shared" ca="1" si="258"/>
        <v>184.75787989225697</v>
      </c>
      <c r="CG285" s="6">
        <f t="shared" ca="1" si="259"/>
        <v>0.4220658953516036</v>
      </c>
      <c r="CH285" s="6">
        <f t="shared" ca="1" si="260"/>
        <v>-0.9065651548460536</v>
      </c>
      <c r="CI285" s="6">
        <f t="shared" ca="1" si="261"/>
        <v>-1.1350733961300026</v>
      </c>
      <c r="CJ285" s="1">
        <f t="shared" ca="1" si="262"/>
        <v>1.9204715595274506</v>
      </c>
      <c r="CK285" s="38"/>
    </row>
    <row r="286" spans="55:89" x14ac:dyDescent="0.25">
      <c r="BC286">
        <v>4.9567350756638646</v>
      </c>
      <c r="BD286">
        <v>196.03879053083628</v>
      </c>
      <c r="BE286">
        <v>-102.47399711329867</v>
      </c>
      <c r="BF286" s="6">
        <f t="shared" si="245"/>
        <v>5.801524935690253</v>
      </c>
      <c r="BG286" s="6">
        <f t="shared" si="246"/>
        <v>0.84478986002638834</v>
      </c>
      <c r="BH286" s="6">
        <f t="shared" si="247"/>
        <v>1.2670585348867818</v>
      </c>
      <c r="BI286" s="6">
        <f t="shared" si="248"/>
        <v>1.2670585348867818</v>
      </c>
      <c r="BJ286">
        <v>228.18761319950875</v>
      </c>
      <c r="BK286">
        <v>-119.27892818038404</v>
      </c>
      <c r="BV286" s="38"/>
      <c r="BW286" s="6">
        <f t="shared" si="249"/>
        <v>4.7298422729046044</v>
      </c>
      <c r="BX286" s="9">
        <f t="shared" ca="1" si="250"/>
        <v>-42.155205941234883</v>
      </c>
      <c r="BY286" s="9">
        <f t="shared" ca="1" si="251"/>
        <v>86.543157934551388</v>
      </c>
      <c r="BZ286">
        <f t="shared" ca="1" si="252"/>
        <v>96.264113631366442</v>
      </c>
      <c r="CA286" s="6">
        <f t="shared" ca="1" si="253"/>
        <v>-0.43791195234668573</v>
      </c>
      <c r="CB286" s="6">
        <f t="shared" ca="1" si="254"/>
        <v>0.89901786522399763</v>
      </c>
      <c r="CC286" s="6">
        <f t="shared" ca="1" si="255"/>
        <v>2.0240710953015384</v>
      </c>
      <c r="CD286" s="6">
        <f t="shared" ca="1" si="256"/>
        <v>84.389499841630936</v>
      </c>
      <c r="CE286" s="9">
        <f t="shared" ca="1" si="257"/>
        <v>-167.28792256801674</v>
      </c>
      <c r="CF286">
        <f t="shared" ca="1" si="258"/>
        <v>187.36818492114233</v>
      </c>
      <c r="CG286" s="6">
        <f t="shared" ca="1" si="259"/>
        <v>0.45039396564122108</v>
      </c>
      <c r="CH286" s="6">
        <f t="shared" ca="1" si="260"/>
        <v>-0.89282992541355533</v>
      </c>
      <c r="CI286" s="6">
        <f t="shared" ca="1" si="261"/>
        <v>-1.1035897818635321</v>
      </c>
      <c r="CJ286" s="1">
        <f t="shared" ca="1" si="262"/>
        <v>1.8889879452609801</v>
      </c>
      <c r="CK286" s="38"/>
    </row>
    <row r="287" spans="55:89" x14ac:dyDescent="0.25">
      <c r="BC287">
        <v>4.9741883681838077</v>
      </c>
      <c r="BD287">
        <v>198.08447483180194</v>
      </c>
      <c r="BE287">
        <v>-100.84823798082901</v>
      </c>
      <c r="BF287" s="6">
        <f t="shared" si="245"/>
        <v>5.8122704695335381</v>
      </c>
      <c r="BG287" s="6">
        <f t="shared" si="246"/>
        <v>0.83808210134973038</v>
      </c>
      <c r="BH287" s="6">
        <f t="shared" si="247"/>
        <v>1.2563130010434966</v>
      </c>
      <c r="BI287" s="6">
        <f t="shared" si="248"/>
        <v>1.2563130010434966</v>
      </c>
      <c r="BJ287">
        <v>232.26702933568589</v>
      </c>
      <c r="BK287">
        <v>-118.25116869676465</v>
      </c>
      <c r="BV287" s="38"/>
      <c r="BW287" s="6">
        <f t="shared" si="249"/>
        <v>4.7472955654245474</v>
      </c>
      <c r="BX287" s="9">
        <f t="shared" ca="1" si="250"/>
        <v>-48.568612656963055</v>
      </c>
      <c r="BY287" s="9">
        <f t="shared" ca="1" si="251"/>
        <v>86.208622914765357</v>
      </c>
      <c r="BZ287">
        <f t="shared" ca="1" si="252"/>
        <v>98.948657395046638</v>
      </c>
      <c r="CA287" s="6">
        <f t="shared" ca="1" si="253"/>
        <v>-0.49084660606415054</v>
      </c>
      <c r="CB287" s="6">
        <f t="shared" ca="1" si="254"/>
        <v>0.8712460096409651</v>
      </c>
      <c r="CC287" s="6">
        <f t="shared" ca="1" si="255"/>
        <v>2.0838575327707782</v>
      </c>
      <c r="CD287" s="6">
        <f t="shared" ca="1" si="256"/>
        <v>90.802906557359108</v>
      </c>
      <c r="CE287" s="9">
        <f t="shared" ca="1" si="257"/>
        <v>-166.95338754823069</v>
      </c>
      <c r="CF287">
        <f t="shared" ca="1" si="258"/>
        <v>190.04894488813719</v>
      </c>
      <c r="CG287" s="6">
        <f t="shared" ca="1" si="259"/>
        <v>0.477786954359603</v>
      </c>
      <c r="CH287" s="6">
        <f t="shared" ca="1" si="260"/>
        <v>-0.87847574027048381</v>
      </c>
      <c r="CI287" s="6">
        <f t="shared" ca="1" si="261"/>
        <v>-1.0726625333633482</v>
      </c>
      <c r="CJ287" s="1">
        <f t="shared" ca="1" si="262"/>
        <v>1.8580606967607962</v>
      </c>
      <c r="CK287" s="38"/>
    </row>
    <row r="288" spans="55:89" x14ac:dyDescent="0.25">
      <c r="BC288">
        <v>4.9916416607037508</v>
      </c>
      <c r="BD288">
        <v>200.03721979204522</v>
      </c>
      <c r="BE288">
        <v>-99.381041633985447</v>
      </c>
      <c r="BF288" s="6">
        <f t="shared" si="245"/>
        <v>5.8220907460510229</v>
      </c>
      <c r="BG288" s="6">
        <f t="shared" si="246"/>
        <v>0.83044908534727213</v>
      </c>
      <c r="BH288" s="6">
        <f t="shared" si="247"/>
        <v>1.2464927245260118</v>
      </c>
      <c r="BI288" s="6">
        <f t="shared" si="248"/>
        <v>1.2464927245260118</v>
      </c>
      <c r="BJ288">
        <v>235.98956326712607</v>
      </c>
      <c r="BK288">
        <v>-117.24262433069937</v>
      </c>
      <c r="BV288" s="38"/>
      <c r="BW288" s="6">
        <f t="shared" si="249"/>
        <v>4.7647488579444905</v>
      </c>
      <c r="BX288" s="9">
        <f t="shared" ca="1" si="250"/>
        <v>-54.987071617507624</v>
      </c>
      <c r="BY288" s="9">
        <f t="shared" ca="1" si="251"/>
        <v>85.746663414978613</v>
      </c>
      <c r="BZ288">
        <f t="shared" ca="1" si="252"/>
        <v>101.86298803721863</v>
      </c>
      <c r="CA288" s="6">
        <f t="shared" ca="1" si="253"/>
        <v>-0.53981404509179021</v>
      </c>
      <c r="CB288" s="6">
        <f t="shared" ca="1" si="254"/>
        <v>0.84178429346337802</v>
      </c>
      <c r="CC288" s="6">
        <f t="shared" ca="1" si="255"/>
        <v>2.1410125148919281</v>
      </c>
      <c r="CD288" s="6">
        <f t="shared" ca="1" si="256"/>
        <v>97.221365517903678</v>
      </c>
      <c r="CE288" s="9">
        <f t="shared" ca="1" si="257"/>
        <v>-166.49142804844396</v>
      </c>
      <c r="CF288">
        <f t="shared" ca="1" si="258"/>
        <v>192.79883175677188</v>
      </c>
      <c r="CG288" s="6">
        <f t="shared" ca="1" si="259"/>
        <v>0.50426325010389417</v>
      </c>
      <c r="CH288" s="6">
        <f t="shared" ca="1" si="260"/>
        <v>-0.86354998384265946</v>
      </c>
      <c r="CI288" s="6">
        <f t="shared" ca="1" si="261"/>
        <v>-1.0422677383648218</v>
      </c>
      <c r="CJ288" s="1">
        <f t="shared" ca="1" si="262"/>
        <v>1.8276659017622701</v>
      </c>
      <c r="CK288" s="38"/>
    </row>
    <row r="289" spans="55:89" x14ac:dyDescent="0.25">
      <c r="BC289">
        <v>5.0090949532236939</v>
      </c>
      <c r="BD289">
        <v>201.91274225156107</v>
      </c>
      <c r="BE289">
        <v>-98.050219448990248</v>
      </c>
      <c r="BF289" s="6">
        <f t="shared" si="245"/>
        <v>5.8311183415006962</v>
      </c>
      <c r="BG289" s="6">
        <f t="shared" si="246"/>
        <v>0.82202338827700228</v>
      </c>
      <c r="BH289" s="6">
        <f t="shared" si="247"/>
        <v>1.2374651290763385</v>
      </c>
      <c r="BI289" s="6">
        <f t="shared" si="248"/>
        <v>1.2374651290763385</v>
      </c>
      <c r="BJ289">
        <v>239.39747288711854</v>
      </c>
      <c r="BK289">
        <v>-116.25306303289626</v>
      </c>
      <c r="BV289" s="38"/>
      <c r="BW289" s="6">
        <f t="shared" si="249"/>
        <v>4.7822021504644336</v>
      </c>
      <c r="BX289" s="9">
        <f t="shared" ca="1" si="250"/>
        <v>-61.36026043602827</v>
      </c>
      <c r="BY289" s="9">
        <f t="shared" ca="1" si="251"/>
        <v>85.16812854960213</v>
      </c>
      <c r="BZ289">
        <f t="shared" ca="1" si="252"/>
        <v>104.96995608943908</v>
      </c>
      <c r="CA289" s="6">
        <f t="shared" ca="1" si="253"/>
        <v>-0.58455069166406615</v>
      </c>
      <c r="CB289" s="6">
        <f t="shared" ca="1" si="254"/>
        <v>0.81135718945176172</v>
      </c>
      <c r="CC289" s="6">
        <f t="shared" ca="1" si="255"/>
        <v>2.1951225002358656</v>
      </c>
      <c r="CD289" s="6">
        <f t="shared" ca="1" si="256"/>
        <v>103.59455433642432</v>
      </c>
      <c r="CE289" s="9">
        <f t="shared" ca="1" si="257"/>
        <v>-165.91289318306747</v>
      </c>
      <c r="CF289">
        <f t="shared" ca="1" si="258"/>
        <v>195.59887477319066</v>
      </c>
      <c r="CG289" s="6">
        <f t="shared" ca="1" si="259"/>
        <v>0.52962755770731706</v>
      </c>
      <c r="CH289" s="6">
        <f t="shared" ca="1" si="260"/>
        <v>-0.84823030488009721</v>
      </c>
      <c r="CI289" s="6">
        <f t="shared" ca="1" si="261"/>
        <v>-1.0126349032401925</v>
      </c>
      <c r="CJ289" s="1">
        <f t="shared" ca="1" si="262"/>
        <v>1.7980330666376405</v>
      </c>
      <c r="CK289" s="38"/>
    </row>
    <row r="290" spans="55:89" x14ac:dyDescent="0.25">
      <c r="BC290">
        <v>5.026548245743637</v>
      </c>
      <c r="BD290">
        <v>203.72813934620407</v>
      </c>
      <c r="BE290">
        <v>-96.834901771763811</v>
      </c>
      <c r="BF290" s="6">
        <f t="shared" si="245"/>
        <v>5.8394805460794785</v>
      </c>
      <c r="BG290" s="6">
        <f t="shared" si="246"/>
        <v>0.81293230033584152</v>
      </c>
      <c r="BH290" s="6">
        <f t="shared" si="247"/>
        <v>1.2291029244975562</v>
      </c>
      <c r="BI290" s="6">
        <f t="shared" si="248"/>
        <v>1.2291029244975562</v>
      </c>
      <c r="BJ290">
        <v>242.53490998649244</v>
      </c>
      <c r="BK290">
        <v>-115.28031552310532</v>
      </c>
      <c r="BV290" s="38"/>
      <c r="BW290" s="6">
        <f t="shared" si="249"/>
        <v>4.7996554429843767</v>
      </c>
      <c r="BX290" s="9">
        <f t="shared" ca="1" si="250"/>
        <v>-67.600216413867386</v>
      </c>
      <c r="BY290" s="9">
        <f t="shared" ca="1" si="251"/>
        <v>84.49590089854614</v>
      </c>
      <c r="BZ290">
        <f t="shared" ca="1" si="252"/>
        <v>108.20973397924345</v>
      </c>
      <c r="CA290" s="6">
        <f t="shared" ca="1" si="253"/>
        <v>-0.62471474541129823</v>
      </c>
      <c r="CB290" s="6">
        <f t="shared" ca="1" si="254"/>
        <v>0.7808530507500735</v>
      </c>
      <c r="CC290" s="6">
        <f t="shared" ca="1" si="255"/>
        <v>2.2455624948379436</v>
      </c>
      <c r="CD290" s="6">
        <f t="shared" ca="1" si="256"/>
        <v>109.83451031426344</v>
      </c>
      <c r="CE290" s="9">
        <f t="shared" ca="1" si="257"/>
        <v>-165.24066553201149</v>
      </c>
      <c r="CF290">
        <f t="shared" ca="1" si="258"/>
        <v>198.41395414999454</v>
      </c>
      <c r="CG290" s="6">
        <f t="shared" ca="1" si="259"/>
        <v>0.55356242853379201</v>
      </c>
      <c r="CH290" s="6">
        <f t="shared" ca="1" si="260"/>
        <v>-0.83280768351148771</v>
      </c>
      <c r="CI290" s="6">
        <f t="shared" ca="1" si="261"/>
        <v>-0.98416052753868333</v>
      </c>
      <c r="CJ290" s="1">
        <f t="shared" ca="1" si="262"/>
        <v>1.7695586909361314</v>
      </c>
      <c r="CK290" s="38"/>
    </row>
    <row r="291" spans="55:89" x14ac:dyDescent="0.25">
      <c r="BC291">
        <v>5.0440015382635801</v>
      </c>
      <c r="BD291">
        <v>205.49661074564418</v>
      </c>
      <c r="BE291">
        <v>-95.718201614527246</v>
      </c>
      <c r="BF291" s="6">
        <f t="shared" si="245"/>
        <v>5.8472785384149306</v>
      </c>
      <c r="BG291" s="6">
        <f t="shared" si="246"/>
        <v>0.80327700015135051</v>
      </c>
      <c r="BH291" s="6">
        <f t="shared" si="247"/>
        <v>1.2213049321621041</v>
      </c>
      <c r="BI291" s="6">
        <f t="shared" si="248"/>
        <v>1.2213049321621041</v>
      </c>
      <c r="BJ291">
        <v>245.43788348574054</v>
      </c>
      <c r="BK291">
        <v>-114.3224344678343</v>
      </c>
      <c r="BV291" s="38"/>
      <c r="BW291" s="6">
        <f t="shared" si="249"/>
        <v>4.8171087355043198</v>
      </c>
      <c r="BX291" s="9">
        <f t="shared" ca="1" si="250"/>
        <v>-73.649626666151576</v>
      </c>
      <c r="BY291" s="9">
        <f t="shared" ca="1" si="251"/>
        <v>83.749792102669929</v>
      </c>
      <c r="BZ291">
        <f t="shared" ca="1" si="252"/>
        <v>111.52710515970519</v>
      </c>
      <c r="CA291" s="6">
        <f t="shared" ca="1" si="253"/>
        <v>-0.66037423423378905</v>
      </c>
      <c r="CB291" s="6">
        <f t="shared" ca="1" si="254"/>
        <v>0.75093666228260336</v>
      </c>
      <c r="CC291" s="6">
        <f t="shared" ca="1" si="255"/>
        <v>2.2921133351190504</v>
      </c>
      <c r="CD291" s="6">
        <f t="shared" ca="1" si="256"/>
        <v>115.88392056654763</v>
      </c>
      <c r="CE291" s="9">
        <f t="shared" ca="1" si="257"/>
        <v>-164.49455673613528</v>
      </c>
      <c r="CF291">
        <f t="shared" ca="1" si="258"/>
        <v>201.21516404508768</v>
      </c>
      <c r="CG291" s="6">
        <f t="shared" ca="1" si="259"/>
        <v>0.57592041393351801</v>
      </c>
      <c r="CH291" s="6">
        <f t="shared" ca="1" si="260"/>
        <v>-0.81750576561553701</v>
      </c>
      <c r="CI291" s="6">
        <f t="shared" ca="1" si="261"/>
        <v>-0.95706674399693425</v>
      </c>
      <c r="CJ291" s="1">
        <f t="shared" ca="1" si="262"/>
        <v>1.7424649073943823</v>
      </c>
      <c r="CK291" s="38"/>
    </row>
    <row r="292" spans="55:89" x14ac:dyDescent="0.25">
      <c r="BC292">
        <v>5.0614548307835232</v>
      </c>
      <c r="BD292">
        <v>207.22854476850438</v>
      </c>
      <c r="BE292">
        <v>-94.686289218756443</v>
      </c>
      <c r="BF292" s="6">
        <f t="shared" si="245"/>
        <v>5.8545939354601604</v>
      </c>
      <c r="BG292" s="6">
        <f t="shared" si="246"/>
        <v>0.79313910467663717</v>
      </c>
      <c r="BH292" s="6">
        <f t="shared" si="247"/>
        <v>1.2139895351168744</v>
      </c>
      <c r="BI292" s="6">
        <f t="shared" si="248"/>
        <v>1.2139895351168744</v>
      </c>
      <c r="BJ292">
        <v>248.13609969206817</v>
      </c>
      <c r="BK292">
        <v>-113.37765522266143</v>
      </c>
      <c r="BV292" s="38"/>
      <c r="BW292" s="6">
        <f t="shared" si="249"/>
        <v>4.8345620280242629</v>
      </c>
      <c r="BX292" s="9">
        <f t="shared" ca="1" si="250"/>
        <v>-79.476970441830886</v>
      </c>
      <c r="BY292" s="9">
        <f t="shared" ca="1" si="251"/>
        <v>82.944792383809286</v>
      </c>
      <c r="BZ292">
        <f t="shared" ca="1" si="252"/>
        <v>114.87570419459847</v>
      </c>
      <c r="CA292" s="6">
        <f t="shared" ca="1" si="253"/>
        <v>-0.69185186719027703</v>
      </c>
      <c r="CB292" s="6">
        <f t="shared" ca="1" si="254"/>
        <v>0.72203946835704713</v>
      </c>
      <c r="CC292" s="6">
        <f t="shared" ca="1" si="255"/>
        <v>2.3348470113426458</v>
      </c>
      <c r="CD292" s="6">
        <f t="shared" ca="1" si="256"/>
        <v>121.71126434222694</v>
      </c>
      <c r="CE292" s="9">
        <f t="shared" ca="1" si="257"/>
        <v>-163.68955701727464</v>
      </c>
      <c r="CF292">
        <f t="shared" ca="1" si="258"/>
        <v>203.98015330981357</v>
      </c>
      <c r="CG292" s="6">
        <f t="shared" ca="1" si="259"/>
        <v>0.59668189462220278</v>
      </c>
      <c r="CH292" s="6">
        <f t="shared" ca="1" si="260"/>
        <v>-0.8024778605233035</v>
      </c>
      <c r="CI292" s="6">
        <f t="shared" ca="1" si="261"/>
        <v>-0.9314364304545395</v>
      </c>
      <c r="CJ292" s="1">
        <f t="shared" ca="1" si="262"/>
        <v>1.7168345938519876</v>
      </c>
      <c r="CK292" s="38"/>
    </row>
    <row r="293" spans="55:89" x14ac:dyDescent="0.25">
      <c r="BC293">
        <v>5.0789081233034663</v>
      </c>
      <c r="BD293">
        <v>208.93226995673237</v>
      </c>
      <c r="BE293">
        <v>-93.727714495523969</v>
      </c>
      <c r="BF293" s="6">
        <f t="shared" si="245"/>
        <v>5.8614934500764395</v>
      </c>
      <c r="BG293" s="6">
        <f t="shared" si="246"/>
        <v>0.78258532677297321</v>
      </c>
      <c r="BH293" s="6">
        <f t="shared" si="247"/>
        <v>1.2070900205005952</v>
      </c>
      <c r="BI293" s="6">
        <f t="shared" si="248"/>
        <v>1.2070900205005952</v>
      </c>
      <c r="BJ293">
        <v>250.65431777910854</v>
      </c>
      <c r="BK293">
        <v>-112.44436457200136</v>
      </c>
      <c r="BV293" s="38"/>
      <c r="BW293" s="6">
        <f t="shared" si="249"/>
        <v>4.852015320544206</v>
      </c>
      <c r="BX293" s="9">
        <f t="shared" ca="1" si="250"/>
        <v>-85.064895362341431</v>
      </c>
      <c r="BY293" s="9">
        <f t="shared" ca="1" si="251"/>
        <v>82.092512187146809</v>
      </c>
      <c r="BZ293">
        <f t="shared" ca="1" si="252"/>
        <v>118.21682190028179</v>
      </c>
      <c r="CA293" s="6">
        <f t="shared" ca="1" si="253"/>
        <v>-0.719566758731641</v>
      </c>
      <c r="CB293" s="6">
        <f t="shared" ca="1" si="254"/>
        <v>0.69442327130392201</v>
      </c>
      <c r="CC293" s="6">
        <f t="shared" ca="1" si="255"/>
        <v>2.3739745574448117</v>
      </c>
      <c r="CD293" s="6">
        <f t="shared" ca="1" si="256"/>
        <v>127.29918926273749</v>
      </c>
      <c r="CE293" s="9">
        <f t="shared" ca="1" si="257"/>
        <v>-162.83727682061215</v>
      </c>
      <c r="CF293">
        <f t="shared" ca="1" si="258"/>
        <v>206.69074074399882</v>
      </c>
      <c r="CG293" s="6">
        <f t="shared" ca="1" si="259"/>
        <v>0.61589207530300827</v>
      </c>
      <c r="CH293" s="6">
        <f t="shared" ca="1" si="260"/>
        <v>-0.78783053480996368</v>
      </c>
      <c r="CI293" s="6">
        <f t="shared" ca="1" si="261"/>
        <v>-0.90727854200064639</v>
      </c>
      <c r="CJ293" s="1">
        <f t="shared" ca="1" si="262"/>
        <v>1.6926767053980944</v>
      </c>
      <c r="CK293" s="38"/>
    </row>
    <row r="294" spans="55:89" x14ac:dyDescent="0.25">
      <c r="BC294">
        <v>5.0963614158234094</v>
      </c>
      <c r="BD294">
        <v>210.61458526345666</v>
      </c>
      <c r="BE294">
        <v>-92.832902643874064</v>
      </c>
      <c r="BF294" s="6">
        <f t="shared" si="245"/>
        <v>5.8680322685176627</v>
      </c>
      <c r="BG294" s="6">
        <f t="shared" si="246"/>
        <v>0.77167085269425328</v>
      </c>
      <c r="BH294" s="6">
        <f t="shared" si="247"/>
        <v>1.200551202059372</v>
      </c>
      <c r="BI294" s="6">
        <f t="shared" si="248"/>
        <v>1.200551202059372</v>
      </c>
      <c r="BJ294">
        <v>253.01336473292693</v>
      </c>
      <c r="BK294">
        <v>-111.52107545861477</v>
      </c>
      <c r="BV294" s="38"/>
      <c r="BW294" s="6">
        <f t="shared" si="249"/>
        <v>4.8694686130641491</v>
      </c>
      <c r="BX294" s="9">
        <f t="shared" ca="1" si="250"/>
        <v>-90.40303214515707</v>
      </c>
      <c r="BY294" s="9">
        <f t="shared" ca="1" si="251"/>
        <v>81.20247910275981</v>
      </c>
      <c r="BZ294">
        <f t="shared" ca="1" si="252"/>
        <v>121.51769761426706</v>
      </c>
      <c r="CA294" s="6">
        <f t="shared" ca="1" si="253"/>
        <v>-0.74394951451534985</v>
      </c>
      <c r="CB294" s="6">
        <f t="shared" ca="1" si="254"/>
        <v>0.66823582652561753</v>
      </c>
      <c r="CC294" s="6">
        <f t="shared" ca="1" si="255"/>
        <v>2.4097577611095367</v>
      </c>
      <c r="CD294" s="6">
        <f t="shared" ca="1" si="256"/>
        <v>132.63732604555312</v>
      </c>
      <c r="CE294" s="9">
        <f t="shared" ca="1" si="257"/>
        <v>-161.94724373622518</v>
      </c>
      <c r="CF294">
        <f t="shared" ca="1" si="258"/>
        <v>209.33124471582039</v>
      </c>
      <c r="CG294" s="6">
        <f t="shared" ca="1" si="259"/>
        <v>0.63362412154772296</v>
      </c>
      <c r="CH294" s="6">
        <f t="shared" ca="1" si="260"/>
        <v>-0.77364104893217533</v>
      </c>
      <c r="CI294" s="6">
        <f t="shared" ca="1" si="261"/>
        <v>-0.88456755032283774</v>
      </c>
      <c r="CJ294" s="1">
        <f t="shared" ca="1" si="262"/>
        <v>1.6699657137202857</v>
      </c>
      <c r="CK294" s="38"/>
    </row>
    <row r="295" spans="55:89" x14ac:dyDescent="0.25">
      <c r="BC295">
        <v>5.1138147083433525</v>
      </c>
      <c r="BD295">
        <v>212.2811407039527</v>
      </c>
      <c r="BE295">
        <v>-91.993773023255017</v>
      </c>
      <c r="BF295" s="6">
        <f t="shared" si="245"/>
        <v>5.8742565429893112</v>
      </c>
      <c r="BG295" s="6">
        <f t="shared" si="246"/>
        <v>0.76044183464595871</v>
      </c>
      <c r="BH295" s="6">
        <f t="shared" si="247"/>
        <v>1.1943269275877235</v>
      </c>
      <c r="BI295" s="6">
        <f t="shared" si="248"/>
        <v>1.1943269275877235</v>
      </c>
      <c r="BJ295">
        <v>255.2309066028435</v>
      </c>
      <c r="BK295">
        <v>-110.60640626237407</v>
      </c>
      <c r="BV295" s="38"/>
      <c r="BW295" s="6">
        <f t="shared" si="249"/>
        <v>4.8869219055840922</v>
      </c>
      <c r="BX295" s="9">
        <f t="shared" ca="1" si="250"/>
        <v>-95.033781195794049</v>
      </c>
      <c r="BY295" s="9">
        <f t="shared" ca="1" si="251"/>
        <v>80.023360387288406</v>
      </c>
      <c r="BZ295">
        <f t="shared" ca="1" si="252"/>
        <v>124.23831042011115</v>
      </c>
      <c r="CA295" s="6">
        <f t="shared" ca="1" si="253"/>
        <v>-0.76493137160701763</v>
      </c>
      <c r="CB295" s="6">
        <f t="shared" ca="1" si="254"/>
        <v>0.64411178900203858</v>
      </c>
      <c r="CC295" s="6">
        <f t="shared" ca="1" si="255"/>
        <v>2.4417311031464193</v>
      </c>
      <c r="CD295" s="6">
        <f t="shared" ca="1" si="256"/>
        <v>137.2680750961901</v>
      </c>
      <c r="CE295" s="9">
        <f t="shared" ca="1" si="257"/>
        <v>-160.76812502075376</v>
      </c>
      <c r="CF295">
        <f t="shared" ca="1" si="258"/>
        <v>211.39752709836034</v>
      </c>
      <c r="CG295" s="6">
        <f t="shared" ca="1" si="259"/>
        <v>0.64933623860378065</v>
      </c>
      <c r="CH295" s="6">
        <f t="shared" ca="1" si="260"/>
        <v>-0.76050144591308566</v>
      </c>
      <c r="CI295" s="6">
        <f t="shared" ca="1" si="261"/>
        <v>-0.86408501002365912</v>
      </c>
      <c r="CJ295" s="1">
        <f t="shared" ca="1" si="262"/>
        <v>1.6494831734211071</v>
      </c>
      <c r="CK295" s="38"/>
    </row>
    <row r="296" spans="55:89" x14ac:dyDescent="0.25">
      <c r="BC296">
        <v>5.1312680008632956</v>
      </c>
      <c r="BD296">
        <v>213.93671513128436</v>
      </c>
      <c r="BE296">
        <v>-91.203447220385925</v>
      </c>
      <c r="BF296" s="6">
        <f t="shared" si="245"/>
        <v>5.8802052604773074</v>
      </c>
      <c r="BG296" s="6">
        <f t="shared" si="246"/>
        <v>0.74893725961401181</v>
      </c>
      <c r="BH296" s="6">
        <f t="shared" si="247"/>
        <v>1.1883782100997273</v>
      </c>
      <c r="BI296" s="6">
        <f t="shared" si="248"/>
        <v>1.1883782100997273</v>
      </c>
      <c r="BJ296">
        <v>257.32204241368561</v>
      </c>
      <c r="BK296">
        <v>-109.69906357362134</v>
      </c>
      <c r="BV296" s="38"/>
      <c r="BW296" s="6">
        <f t="shared" si="249"/>
        <v>4.9043751981040353</v>
      </c>
      <c r="BX296" s="9">
        <f t="shared" ca="1" si="250"/>
        <v>-97.272252848176535</v>
      </c>
      <c r="BY296" s="9">
        <f t="shared" ca="1" si="251"/>
        <v>77.651417623473421</v>
      </c>
      <c r="BZ296">
        <f t="shared" ca="1" si="252"/>
        <v>124.46539210999444</v>
      </c>
      <c r="CA296" s="6">
        <f t="shared" ca="1" si="253"/>
        <v>-0.78152047889917564</v>
      </c>
      <c r="CB296" s="6">
        <f t="shared" ca="1" si="254"/>
        <v>0.62387958859158321</v>
      </c>
      <c r="CC296" s="6">
        <f t="shared" ca="1" si="255"/>
        <v>2.4678955727071736</v>
      </c>
      <c r="CD296" s="6">
        <f t="shared" ca="1" si="256"/>
        <v>139.50654674857259</v>
      </c>
      <c r="CE296" s="9">
        <f t="shared" ca="1" si="257"/>
        <v>-158.39618225693877</v>
      </c>
      <c r="CF296">
        <f t="shared" ca="1" si="258"/>
        <v>211.07208991073415</v>
      </c>
      <c r="CG296" s="6">
        <f t="shared" ca="1" si="259"/>
        <v>0.6609426514304767</v>
      </c>
      <c r="CH296" s="6">
        <f t="shared" ca="1" si="260"/>
        <v>-0.75043641404189021</v>
      </c>
      <c r="CI296" s="6">
        <f t="shared" ca="1" si="261"/>
        <v>-0.84872212203703412</v>
      </c>
      <c r="CJ296" s="1">
        <f t="shared" ca="1" si="262"/>
        <v>1.6341202854344823</v>
      </c>
      <c r="CK296" s="38"/>
    </row>
    <row r="297" spans="55:89" x14ac:dyDescent="0.25">
      <c r="BC297">
        <v>5.1487212933832387</v>
      </c>
      <c r="BD297">
        <v>215.58542205661408</v>
      </c>
      <c r="BE297">
        <v>-90.456022639916768</v>
      </c>
      <c r="BF297" s="6">
        <f t="shared" si="245"/>
        <v>5.8859116641877378</v>
      </c>
      <c r="BG297" s="6">
        <f t="shared" si="246"/>
        <v>0.73719037080449912</v>
      </c>
      <c r="BH297" s="6">
        <f t="shared" si="247"/>
        <v>1.1826718063892969</v>
      </c>
      <c r="BI297" s="6">
        <f t="shared" si="248"/>
        <v>1.1826718063892969</v>
      </c>
      <c r="BJ297">
        <v>259.29976708178106</v>
      </c>
      <c r="BK297">
        <v>-108.79782769131414</v>
      </c>
      <c r="BV297" s="38"/>
      <c r="BW297" s="6">
        <f t="shared" si="249"/>
        <v>4.9218284906239784</v>
      </c>
      <c r="BX297" s="9">
        <f t="shared" ca="1" si="250"/>
        <v>-99.494460410235504</v>
      </c>
      <c r="BY297" s="9">
        <f t="shared" ca="1" si="251"/>
        <v>75.491511097183519</v>
      </c>
      <c r="BZ297">
        <f t="shared" ca="1" si="252"/>
        <v>124.89241730409458</v>
      </c>
      <c r="CA297" s="6">
        <f t="shared" ca="1" si="253"/>
        <v>-0.79664132185047865</v>
      </c>
      <c r="CB297" s="6">
        <f t="shared" ca="1" si="254"/>
        <v>0.60445231765650631</v>
      </c>
      <c r="CC297" s="6">
        <f t="shared" ca="1" si="255"/>
        <v>2.4925144548700651</v>
      </c>
      <c r="CD297" s="6">
        <f t="shared" ca="1" si="256"/>
        <v>141.72875431063156</v>
      </c>
      <c r="CE297" s="9">
        <f t="shared" ca="1" si="257"/>
        <v>-156.23627573064886</v>
      </c>
      <c r="CF297">
        <f t="shared" ca="1" si="258"/>
        <v>210.94267859450989</v>
      </c>
      <c r="CG297" s="6">
        <f t="shared" ca="1" si="259"/>
        <v>0.6718827847212151</v>
      </c>
      <c r="CH297" s="6">
        <f t="shared" ca="1" si="260"/>
        <v>-0.7406574941194245</v>
      </c>
      <c r="CI297" s="6">
        <f t="shared" ca="1" si="261"/>
        <v>-0.83404841580051159</v>
      </c>
      <c r="CJ297" s="1">
        <f t="shared" ca="1" si="262"/>
        <v>1.6194465791979595</v>
      </c>
      <c r="CK297" s="38"/>
    </row>
    <row r="298" spans="55:89" x14ac:dyDescent="0.25">
      <c r="BC298">
        <v>5.1661745859031818</v>
      </c>
      <c r="BD298">
        <v>217.23086439798305</v>
      </c>
      <c r="BE298">
        <v>-89.746394886112682</v>
      </c>
      <c r="BF298" s="6">
        <f t="shared" si="245"/>
        <v>5.891404348995481</v>
      </c>
      <c r="BG298" s="6">
        <f t="shared" si="246"/>
        <v>0.72522976309229925</v>
      </c>
      <c r="BH298" s="6">
        <f t="shared" si="247"/>
        <v>1.1771791215815537</v>
      </c>
      <c r="BI298" s="6">
        <f t="shared" si="248"/>
        <v>1.1771791215815537</v>
      </c>
      <c r="BJ298">
        <v>261.17533620688596</v>
      </c>
      <c r="BK298">
        <v>-107.90154024703159</v>
      </c>
      <c r="BV298" s="38"/>
      <c r="BW298" s="6">
        <f t="shared" si="249"/>
        <v>4.9392817831439215</v>
      </c>
      <c r="BX298" s="9">
        <f t="shared" ca="1" si="250"/>
        <v>-101.67881667322386</v>
      </c>
      <c r="BY298" s="9">
        <f t="shared" ca="1" si="251"/>
        <v>73.522352672464592</v>
      </c>
      <c r="BZ298">
        <f t="shared" ca="1" si="252"/>
        <v>125.47556775150025</v>
      </c>
      <c r="CA298" s="6">
        <f t="shared" ca="1" si="253"/>
        <v>-0.81034753215538358</v>
      </c>
      <c r="CB298" s="6">
        <f t="shared" ca="1" si="254"/>
        <v>0.58594955169338547</v>
      </c>
      <c r="CC298" s="6">
        <f t="shared" ca="1" si="255"/>
        <v>2.5155413082803095</v>
      </c>
      <c r="CD298" s="6">
        <f t="shared" ca="1" si="256"/>
        <v>143.91311057361992</v>
      </c>
      <c r="CE298" s="9">
        <f t="shared" ca="1" si="257"/>
        <v>-154.26711730592996</v>
      </c>
      <c r="CF298">
        <f t="shared" ca="1" si="258"/>
        <v>210.97233675734955</v>
      </c>
      <c r="CG298" s="6">
        <f t="shared" ca="1" si="259"/>
        <v>0.68214208926899267</v>
      </c>
      <c r="CH298" s="6">
        <f t="shared" ca="1" si="260"/>
        <v>-0.73121964555647279</v>
      </c>
      <c r="CI298" s="6">
        <f t="shared" ca="1" si="261"/>
        <v>-0.82010820553395303</v>
      </c>
      <c r="CJ298" s="1">
        <f t="shared" ca="1" si="262"/>
        <v>1.6055063689314011</v>
      </c>
      <c r="CK298" s="38"/>
    </row>
    <row r="299" spans="55:89" x14ac:dyDescent="0.25">
      <c r="BC299">
        <v>5.1836278784231249</v>
      </c>
      <c r="BD299">
        <v>218.87625249158654</v>
      </c>
      <c r="BE299">
        <v>-89.070116926569881</v>
      </c>
      <c r="BF299" s="6">
        <f t="shared" si="245"/>
        <v>5.896708115916419</v>
      </c>
      <c r="BG299" s="6">
        <f t="shared" si="246"/>
        <v>0.71308023749329408</v>
      </c>
      <c r="BH299" s="6">
        <f t="shared" si="247"/>
        <v>1.1718753546606158</v>
      </c>
      <c r="BI299" s="6">
        <f t="shared" si="248"/>
        <v>1.1718753546606158</v>
      </c>
      <c r="BJ299">
        <v>262.95855645923223</v>
      </c>
      <c r="BK299">
        <v>-107.00909351308525</v>
      </c>
      <c r="BV299" s="38"/>
      <c r="BW299" s="6">
        <f t="shared" si="249"/>
        <v>4.9567350756638646</v>
      </c>
      <c r="BX299" s="9">
        <f t="shared" ca="1" si="250"/>
        <v>-103.80449663044023</v>
      </c>
      <c r="BY299" s="9">
        <f t="shared" ca="1" si="251"/>
        <v>71.729232479833314</v>
      </c>
      <c r="BZ299">
        <f t="shared" ca="1" si="252"/>
        <v>126.17629061295568</v>
      </c>
      <c r="CA299" s="6">
        <f t="shared" ca="1" si="253"/>
        <v>-0.82269415376030763</v>
      </c>
      <c r="CB299" s="6">
        <f t="shared" ca="1" si="254"/>
        <v>0.56848423845222962</v>
      </c>
      <c r="CC299" s="6">
        <f t="shared" ca="1" si="255"/>
        <v>2.5369304100170815</v>
      </c>
      <c r="CD299" s="6">
        <f t="shared" ca="1" si="256"/>
        <v>146.03879053083628</v>
      </c>
      <c r="CE299" s="9">
        <f t="shared" ca="1" si="257"/>
        <v>-152.47399711329865</v>
      </c>
      <c r="CF299">
        <f t="shared" ca="1" si="258"/>
        <v>211.12945823692078</v>
      </c>
      <c r="CG299" s="6">
        <f t="shared" ca="1" si="259"/>
        <v>0.69170257788923784</v>
      </c>
      <c r="CH299" s="6">
        <f t="shared" ca="1" si="260"/>
        <v>-0.72218248645434691</v>
      </c>
      <c r="CI299" s="6">
        <f t="shared" ca="1" si="261"/>
        <v>-0.8069523823538326</v>
      </c>
      <c r="CJ299" s="1">
        <f t="shared" ca="1" si="262"/>
        <v>1.5923505457512805</v>
      </c>
      <c r="CK299" s="38"/>
    </row>
    <row r="300" spans="55:89" x14ac:dyDescent="0.25">
      <c r="BC300">
        <v>5.201081170943068</v>
      </c>
      <c r="BD300">
        <v>220.52449536914565</v>
      </c>
      <c r="BE300">
        <v>-88.423286294451387</v>
      </c>
      <c r="BF300" s="6">
        <f t="shared" si="245"/>
        <v>5.9018446461220329</v>
      </c>
      <c r="BG300" s="6">
        <f t="shared" si="246"/>
        <v>0.70076347517896487</v>
      </c>
      <c r="BH300" s="6">
        <f t="shared" si="247"/>
        <v>1.1667388244550019</v>
      </c>
      <c r="BI300" s="6">
        <f t="shared" si="248"/>
        <v>1.1667388244550019</v>
      </c>
      <c r="BJ300">
        <v>264.65801888365286</v>
      </c>
      <c r="BK300">
        <v>-106.11942104072401</v>
      </c>
      <c r="BV300" s="38"/>
      <c r="BW300" s="6">
        <f t="shared" si="249"/>
        <v>4.9741883681838077</v>
      </c>
      <c r="BX300" s="9">
        <f t="shared" ca="1" si="250"/>
        <v>-105.85018093140589</v>
      </c>
      <c r="BY300" s="9">
        <f t="shared" ca="1" si="251"/>
        <v>70.103473347363661</v>
      </c>
      <c r="BZ300">
        <f t="shared" ca="1" si="252"/>
        <v>126.95966988999258</v>
      </c>
      <c r="CA300" s="6">
        <f t="shared" ca="1" si="253"/>
        <v>-0.83373075105757954</v>
      </c>
      <c r="CB300" s="6">
        <f t="shared" ca="1" si="254"/>
        <v>0.55217120057185554</v>
      </c>
      <c r="CC300" s="6">
        <f t="shared" ca="1" si="255"/>
        <v>2.5566264559580003</v>
      </c>
      <c r="CD300" s="6">
        <f t="shared" ca="1" si="256"/>
        <v>148.08447483180194</v>
      </c>
      <c r="CE300" s="9">
        <f t="shared" ca="1" si="257"/>
        <v>-150.84823798082903</v>
      </c>
      <c r="CF300">
        <f t="shared" ca="1" si="258"/>
        <v>211.38638222016908</v>
      </c>
      <c r="CG300" s="6">
        <f t="shared" ca="1" si="259"/>
        <v>0.70053933123073575</v>
      </c>
      <c r="CH300" s="6">
        <f t="shared" ca="1" si="260"/>
        <v>-0.71361379288715643</v>
      </c>
      <c r="CI300" s="6">
        <f t="shared" ca="1" si="261"/>
        <v>-0.79464333559692657</v>
      </c>
      <c r="CJ300" s="1">
        <f t="shared" ca="1" si="262"/>
        <v>1.5800414989943745</v>
      </c>
      <c r="CK300" s="38"/>
    </row>
    <row r="301" spans="55:89" x14ac:dyDescent="0.25">
      <c r="BC301">
        <v>5.2185344634630111</v>
      </c>
      <c r="BD301">
        <v>222.17827238147433</v>
      </c>
      <c r="BE301">
        <v>-87.802453880672999</v>
      </c>
      <c r="BF301" s="6">
        <f t="shared" si="245"/>
        <v>5.9068330382012135</v>
      </c>
      <c r="BG301" s="6">
        <f t="shared" si="246"/>
        <v>0.68829857473820244</v>
      </c>
      <c r="BH301" s="6">
        <f t="shared" si="247"/>
        <v>1.1617504323758212</v>
      </c>
      <c r="BI301" s="6">
        <f t="shared" si="248"/>
        <v>1.1617504323758212</v>
      </c>
      <c r="BJ301">
        <v>266.28128794686938</v>
      </c>
      <c r="BK301">
        <v>-105.23148935147941</v>
      </c>
      <c r="BV301" s="38"/>
      <c r="BW301" s="6">
        <f t="shared" si="249"/>
        <v>4.9916416607037508</v>
      </c>
      <c r="BX301" s="9">
        <f t="shared" ca="1" si="250"/>
        <v>-107.80292589164917</v>
      </c>
      <c r="BY301" s="9">
        <f t="shared" ca="1" si="251"/>
        <v>68.636277000520096</v>
      </c>
      <c r="BZ301">
        <f t="shared" ca="1" si="252"/>
        <v>127.7983151347956</v>
      </c>
      <c r="CA301" s="6">
        <f t="shared" ca="1" si="253"/>
        <v>-0.84353949250382332</v>
      </c>
      <c r="CB301" s="6">
        <f t="shared" ca="1" si="254"/>
        <v>0.53706715090982071</v>
      </c>
      <c r="CC301" s="6">
        <f t="shared" ca="1" si="255"/>
        <v>2.5746362447380666</v>
      </c>
      <c r="CD301" s="6">
        <f t="shared" ca="1" si="256"/>
        <v>150.03721979204522</v>
      </c>
      <c r="CE301" s="9">
        <f t="shared" ca="1" si="257"/>
        <v>-149.38104163398543</v>
      </c>
      <c r="CF301">
        <f t="shared" ca="1" si="258"/>
        <v>211.72119148205493</v>
      </c>
      <c r="CG301" s="6">
        <f t="shared" ca="1" si="259"/>
        <v>0.70865471114053347</v>
      </c>
      <c r="CH301" s="6">
        <f t="shared" ca="1" si="260"/>
        <v>-0.70555545521123086</v>
      </c>
      <c r="CI301" s="6">
        <f t="shared" ca="1" si="261"/>
        <v>-0.78320665675901424</v>
      </c>
      <c r="CJ301" s="1">
        <f t="shared" ca="1" si="262"/>
        <v>1.5686048201564624</v>
      </c>
      <c r="CK301" s="38"/>
    </row>
    <row r="302" spans="55:89" x14ac:dyDescent="0.25">
      <c r="BC302">
        <v>5.2359877559829542</v>
      </c>
      <c r="BD302">
        <v>223.84009024894803</v>
      </c>
      <c r="BE302">
        <v>-87.20454950146663</v>
      </c>
      <c r="BF302" s="6">
        <f t="shared" si="245"/>
        <v>5.9116902406626943</v>
      </c>
      <c r="BG302" s="6">
        <f t="shared" si="246"/>
        <v>0.67570248467974015</v>
      </c>
      <c r="BH302" s="6">
        <f t="shared" si="247"/>
        <v>1.1568932299143404</v>
      </c>
      <c r="BI302" s="6">
        <f t="shared" si="248"/>
        <v>1.1568932299143404</v>
      </c>
      <c r="BJ302">
        <v>267.83505594607072</v>
      </c>
      <c r="BK302">
        <v>-104.34429046423679</v>
      </c>
      <c r="BV302" s="38"/>
      <c r="BW302" s="6">
        <f t="shared" si="249"/>
        <v>5.0090949532236939</v>
      </c>
      <c r="BX302" s="9">
        <f t="shared" ca="1" si="250"/>
        <v>-109.67844835116502</v>
      </c>
      <c r="BY302" s="9">
        <f t="shared" ca="1" si="251"/>
        <v>67.305454815524897</v>
      </c>
      <c r="BZ302">
        <f t="shared" ca="1" si="252"/>
        <v>128.68327894735913</v>
      </c>
      <c r="CA302" s="6">
        <f t="shared" ca="1" si="253"/>
        <v>-0.85231313072175852</v>
      </c>
      <c r="CB302" s="6">
        <f t="shared" ca="1" si="254"/>
        <v>0.52303186059672713</v>
      </c>
      <c r="CC302" s="6">
        <f t="shared" ca="1" si="255"/>
        <v>2.5911883550798307</v>
      </c>
      <c r="CD302" s="6">
        <f t="shared" ca="1" si="256"/>
        <v>151.91274225156107</v>
      </c>
      <c r="CE302" s="9">
        <f t="shared" ca="1" si="257"/>
        <v>-148.05021944899025</v>
      </c>
      <c r="CF302">
        <f t="shared" ca="1" si="258"/>
        <v>212.12342807262803</v>
      </c>
      <c r="CG302" s="6">
        <f t="shared" ca="1" si="259"/>
        <v>0.71615258923473701</v>
      </c>
      <c r="CH302" s="6">
        <f t="shared" ca="1" si="260"/>
        <v>-0.69794374338651533</v>
      </c>
      <c r="CI302" s="6">
        <f t="shared" ca="1" si="261"/>
        <v>-0.77252220923904669</v>
      </c>
      <c r="CJ302" s="1">
        <f t="shared" ca="1" si="262"/>
        <v>1.557920372636495</v>
      </c>
      <c r="CK302" s="38"/>
    </row>
    <row r="303" spans="55:89" x14ac:dyDescent="0.25">
      <c r="BC303">
        <v>5.2534410485028973</v>
      </c>
      <c r="BD303">
        <v>225.51232923641751</v>
      </c>
      <c r="BE303">
        <v>-86.626820605227906</v>
      </c>
      <c r="BF303" s="6">
        <f t="shared" si="245"/>
        <v>5.9164314033987466</v>
      </c>
      <c r="BG303" s="6">
        <f t="shared" si="246"/>
        <v>0.66299035489584934</v>
      </c>
      <c r="BH303" s="6">
        <f t="shared" si="247"/>
        <v>1.1521520671782881</v>
      </c>
      <c r="BI303" s="6">
        <f t="shared" si="248"/>
        <v>1.1521520671782881</v>
      </c>
      <c r="BJ303">
        <v>269.32527005188035</v>
      </c>
      <c r="BK303">
        <v>-103.4568350752113</v>
      </c>
      <c r="BV303" s="38"/>
      <c r="BW303" s="6">
        <f t="shared" si="249"/>
        <v>5.026548245743637</v>
      </c>
      <c r="BX303" s="9">
        <f t="shared" ca="1" si="250"/>
        <v>-111.49384544580802</v>
      </c>
      <c r="BY303" s="9">
        <f t="shared" ca="1" si="251"/>
        <v>66.090137138298459</v>
      </c>
      <c r="BZ303">
        <f t="shared" ca="1" si="252"/>
        <v>129.61012228700667</v>
      </c>
      <c r="CA303" s="6">
        <f t="shared" ca="1" si="253"/>
        <v>-0.86022483027149499</v>
      </c>
      <c r="CB303" s="6">
        <f t="shared" ca="1" si="254"/>
        <v>0.50991493543960609</v>
      </c>
      <c r="CC303" s="6">
        <f t="shared" ca="1" si="255"/>
        <v>2.6065067526403243</v>
      </c>
      <c r="CD303" s="6">
        <f t="shared" ca="1" si="256"/>
        <v>153.72813934620407</v>
      </c>
      <c r="CE303" s="9">
        <f t="shared" ca="1" si="257"/>
        <v>-146.83490177176381</v>
      </c>
      <c r="CF303">
        <f t="shared" ca="1" si="258"/>
        <v>212.5860512949273</v>
      </c>
      <c r="CG303" s="6">
        <f t="shared" ca="1" si="259"/>
        <v>0.7231337070790792</v>
      </c>
      <c r="CH303" s="6">
        <f t="shared" ca="1" si="260"/>
        <v>-0.69070807269501955</v>
      </c>
      <c r="CI303" s="6">
        <f t="shared" ca="1" si="261"/>
        <v>-0.7624677680144617</v>
      </c>
      <c r="CJ303" s="1">
        <f t="shared" ca="1" si="262"/>
        <v>1.5478659314119101</v>
      </c>
      <c r="CK303" s="38"/>
    </row>
    <row r="304" spans="55:89" x14ac:dyDescent="0.25">
      <c r="BC304">
        <v>5.2708943410228404</v>
      </c>
      <c r="BD304">
        <v>227.19728117693026</v>
      </c>
      <c r="BE304">
        <v>-86.066781342910559</v>
      </c>
      <c r="BF304" s="6">
        <f t="shared" si="245"/>
        <v>5.9210701658995974</v>
      </c>
      <c r="BG304" s="6">
        <f t="shared" si="246"/>
        <v>0.65017582487675707</v>
      </c>
      <c r="BH304" s="6">
        <f t="shared" si="247"/>
        <v>1.1475133046774373</v>
      </c>
      <c r="BI304" s="6">
        <f t="shared" si="248"/>
        <v>1.1475133046774373</v>
      </c>
      <c r="BJ304">
        <v>270.75723755148749</v>
      </c>
      <c r="BK304">
        <v>-102.56814624118216</v>
      </c>
      <c r="BV304" s="38"/>
      <c r="BW304" s="6">
        <f t="shared" si="249"/>
        <v>5.0440015382635801</v>
      </c>
      <c r="BX304" s="9">
        <f t="shared" ca="1" si="250"/>
        <v>-113.26231684524812</v>
      </c>
      <c r="BY304" s="9">
        <f t="shared" ca="1" si="251"/>
        <v>64.973436981061894</v>
      </c>
      <c r="BZ304">
        <f t="shared" ca="1" si="252"/>
        <v>130.57526538470216</v>
      </c>
      <c r="CA304" s="6">
        <f t="shared" ca="1" si="253"/>
        <v>-0.86741019833697863</v>
      </c>
      <c r="CB304" s="6">
        <f t="shared" ca="1" si="254"/>
        <v>0.49759375781957249</v>
      </c>
      <c r="CC304" s="6">
        <f t="shared" ca="1" si="255"/>
        <v>2.6207701456900931</v>
      </c>
      <c r="CD304" s="6">
        <f t="shared" ca="1" si="256"/>
        <v>155.49661074564418</v>
      </c>
      <c r="CE304" s="9">
        <f t="shared" ca="1" si="257"/>
        <v>-145.71820161452723</v>
      </c>
      <c r="CF304">
        <f t="shared" ca="1" si="258"/>
        <v>213.10323844361068</v>
      </c>
      <c r="CG304" s="6">
        <f t="shared" ca="1" si="259"/>
        <v>0.72967737084291273</v>
      </c>
      <c r="CH304" s="6">
        <f t="shared" ca="1" si="260"/>
        <v>-0.68379158702032483</v>
      </c>
      <c r="CI304" s="6">
        <f t="shared" ca="1" si="261"/>
        <v>-0.75294631883661634</v>
      </c>
      <c r="CJ304" s="1">
        <f t="shared" ca="1" si="262"/>
        <v>1.5383444822340646</v>
      </c>
      <c r="CK304" s="38"/>
    </row>
    <row r="305" spans="55:89" x14ac:dyDescent="0.25">
      <c r="BC305">
        <v>5.2883476335427835</v>
      </c>
      <c r="BD305">
        <v>228.89718137821333</v>
      </c>
      <c r="BE305">
        <v>-85.522169859897133</v>
      </c>
      <c r="BF305" s="6">
        <f t="shared" si="245"/>
        <v>5.9256188957106266</v>
      </c>
      <c r="BG305" s="6">
        <f t="shared" si="246"/>
        <v>0.63727126216784313</v>
      </c>
      <c r="BH305" s="6">
        <f t="shared" si="247"/>
        <v>1.1429645748664081</v>
      </c>
      <c r="BI305" s="6">
        <f t="shared" si="248"/>
        <v>1.1429645748664081</v>
      </c>
      <c r="BJ305">
        <v>272.13571360373078</v>
      </c>
      <c r="BK305">
        <v>-101.67725344466731</v>
      </c>
      <c r="BV305" s="38"/>
      <c r="BW305" s="6">
        <f t="shared" si="249"/>
        <v>5.0614548307835232</v>
      </c>
      <c r="BX305" s="9">
        <f t="shared" ca="1" si="250"/>
        <v>-114.99425086810832</v>
      </c>
      <c r="BY305" s="9">
        <f t="shared" ca="1" si="251"/>
        <v>63.941524585291091</v>
      </c>
      <c r="BZ305">
        <f t="shared" ca="1" si="252"/>
        <v>131.57581958326847</v>
      </c>
      <c r="CA305" s="6">
        <f t="shared" ca="1" si="253"/>
        <v>-0.87397708205293445</v>
      </c>
      <c r="CB305" s="6">
        <f t="shared" ca="1" si="254"/>
        <v>0.48596713885430409</v>
      </c>
      <c r="CC305" s="6">
        <f t="shared" ca="1" si="255"/>
        <v>2.6341232307146303</v>
      </c>
      <c r="CD305" s="6">
        <f t="shared" ca="1" si="256"/>
        <v>157.22854476850438</v>
      </c>
      <c r="CE305" s="9">
        <f t="shared" ca="1" si="257"/>
        <v>-144.68628921875643</v>
      </c>
      <c r="CF305">
        <f t="shared" ca="1" si="258"/>
        <v>213.6701607101825</v>
      </c>
      <c r="CG305" s="6">
        <f t="shared" ca="1" si="259"/>
        <v>0.73584699073524684</v>
      </c>
      <c r="CH305" s="6">
        <f t="shared" ca="1" si="260"/>
        <v>-0.67714784665232564</v>
      </c>
      <c r="CI305" s="6">
        <f t="shared" ca="1" si="261"/>
        <v>-0.74387967343617567</v>
      </c>
      <c r="CJ305" s="1">
        <f t="shared" ca="1" si="262"/>
        <v>1.5292778368336239</v>
      </c>
      <c r="CK305" s="38"/>
    </row>
    <row r="306" spans="55:89" x14ac:dyDescent="0.25">
      <c r="BC306">
        <v>5.3058009260627266</v>
      </c>
      <c r="BD306">
        <v>230.61423595409082</v>
      </c>
      <c r="BE306">
        <v>-84.990912140402386</v>
      </c>
      <c r="BF306" s="6">
        <f t="shared" si="245"/>
        <v>5.9300888874717144</v>
      </c>
      <c r="BG306" s="6">
        <f t="shared" si="246"/>
        <v>0.62428796140898779</v>
      </c>
      <c r="BH306" s="6">
        <f t="shared" si="247"/>
        <v>1.1384945831053204</v>
      </c>
      <c r="BI306" s="6">
        <f t="shared" si="248"/>
        <v>1.1384945831053204</v>
      </c>
      <c r="BJ306">
        <v>273.46497483756008</v>
      </c>
      <c r="BK306">
        <v>-100.78318692573382</v>
      </c>
      <c r="BV306" s="38"/>
      <c r="BW306" s="6">
        <f t="shared" si="249"/>
        <v>5.0789081233034663</v>
      </c>
      <c r="BX306" s="9">
        <f t="shared" ca="1" si="250"/>
        <v>-116.69797605633632</v>
      </c>
      <c r="BY306" s="9">
        <f t="shared" ca="1" si="251"/>
        <v>62.982949862058618</v>
      </c>
      <c r="BZ306">
        <f t="shared" ca="1" si="252"/>
        <v>132.60946266753302</v>
      </c>
      <c r="CA306" s="6">
        <f t="shared" ca="1" si="253"/>
        <v>-0.8800124343231176</v>
      </c>
      <c r="CB306" s="6">
        <f t="shared" ca="1" si="254"/>
        <v>0.47495064526401126</v>
      </c>
      <c r="CC306" s="6">
        <f t="shared" ca="1" si="255"/>
        <v>2.6466847068565582</v>
      </c>
      <c r="CD306" s="6">
        <f t="shared" ca="1" si="256"/>
        <v>158.93226995673237</v>
      </c>
      <c r="CE306" s="9">
        <f t="shared" ca="1" si="257"/>
        <v>-143.72771449552397</v>
      </c>
      <c r="CF306">
        <f t="shared" ca="1" si="258"/>
        <v>214.28280926781437</v>
      </c>
      <c r="CG306" s="6">
        <f t="shared" ca="1" si="259"/>
        <v>0.74169398142478182</v>
      </c>
      <c r="CH306" s="6">
        <f t="shared" ca="1" si="260"/>
        <v>-0.67073842734575395</v>
      </c>
      <c r="CI306" s="6">
        <f t="shared" ca="1" si="261"/>
        <v>-0.73520393553781038</v>
      </c>
      <c r="CJ306" s="1">
        <f t="shared" ca="1" si="262"/>
        <v>1.5206020989352587</v>
      </c>
      <c r="CK306" s="38"/>
    </row>
    <row r="307" spans="55:89" x14ac:dyDescent="0.25">
      <c r="BC307">
        <v>5.3232542185826697</v>
      </c>
      <c r="BD307">
        <v>232.35064576417733</v>
      </c>
      <c r="BE307">
        <v>-84.471091088558623</v>
      </c>
      <c r="BF307" s="6">
        <f t="shared" si="245"/>
        <v>5.9344905305442834</v>
      </c>
      <c r="BG307" s="6">
        <f t="shared" si="246"/>
        <v>0.61123631196161377</v>
      </c>
      <c r="BH307" s="6">
        <f t="shared" si="247"/>
        <v>1.1340929400327513</v>
      </c>
      <c r="BI307" s="6">
        <f t="shared" si="248"/>
        <v>1.1340929400327513</v>
      </c>
      <c r="BJ307">
        <v>274.74888144456406</v>
      </c>
      <c r="BK307">
        <v>-99.884972192151793</v>
      </c>
      <c r="BV307" s="38"/>
      <c r="BW307" s="6">
        <f t="shared" si="249"/>
        <v>5.0963614158234094</v>
      </c>
      <c r="BX307" s="9">
        <f t="shared" ca="1" si="250"/>
        <v>-118.38029136306061</v>
      </c>
      <c r="BY307" s="9">
        <f t="shared" ca="1" si="251"/>
        <v>62.088138010408713</v>
      </c>
      <c r="BZ307">
        <f t="shared" ca="1" si="252"/>
        <v>133.67434407844567</v>
      </c>
      <c r="CA307" s="6">
        <f t="shared" ca="1" si="253"/>
        <v>-0.88558722452821703</v>
      </c>
      <c r="CB307" s="6">
        <f t="shared" ca="1" si="254"/>
        <v>0.46447310767407102</v>
      </c>
      <c r="CC307" s="6">
        <f t="shared" ca="1" si="255"/>
        <v>2.6585530990477362</v>
      </c>
      <c r="CD307" s="6">
        <f t="shared" ca="1" si="256"/>
        <v>160.61458526345666</v>
      </c>
      <c r="CE307" s="9">
        <f t="shared" ca="1" si="257"/>
        <v>-142.83290264387406</v>
      </c>
      <c r="CF307">
        <f t="shared" ca="1" si="258"/>
        <v>214.93785864064665</v>
      </c>
      <c r="CG307" s="6">
        <f t="shared" ca="1" si="259"/>
        <v>0.7472605630262058</v>
      </c>
      <c r="CH307" s="6">
        <f t="shared" ca="1" si="260"/>
        <v>-0.664531151222994</v>
      </c>
      <c r="CI307" s="6">
        <f t="shared" ca="1" si="261"/>
        <v>-0.72686621940494445</v>
      </c>
      <c r="CJ307" s="1">
        <f t="shared" ca="1" si="262"/>
        <v>1.5122643828023927</v>
      </c>
      <c r="CK307" s="38"/>
    </row>
    <row r="308" spans="55:89" x14ac:dyDescent="0.25">
      <c r="BC308">
        <v>5.3407075111026128</v>
      </c>
      <c r="BD308">
        <v>234.10862788885092</v>
      </c>
      <c r="BE308">
        <v>-83.960919799337219</v>
      </c>
      <c r="BF308" s="6">
        <f t="shared" si="245"/>
        <v>5.9388334514840704</v>
      </c>
      <c r="BG308" s="6">
        <f t="shared" si="246"/>
        <v>0.59812594038145761</v>
      </c>
      <c r="BH308" s="6">
        <f t="shared" si="247"/>
        <v>1.1297500190929644</v>
      </c>
      <c r="BI308" s="6">
        <f t="shared" si="248"/>
        <v>1.1297500190929644</v>
      </c>
      <c r="BJ308">
        <v>275.99092983542437</v>
      </c>
      <c r="BK308">
        <v>-98.981624616835092</v>
      </c>
      <c r="BV308" s="38"/>
      <c r="BW308" s="6">
        <f t="shared" si="249"/>
        <v>5.1138147083433525</v>
      </c>
      <c r="BX308" s="9">
        <f t="shared" ca="1" si="250"/>
        <v>-120.04684680355665</v>
      </c>
      <c r="BY308" s="9">
        <f t="shared" ca="1" si="251"/>
        <v>61.249008389789665</v>
      </c>
      <c r="BZ308">
        <f t="shared" ca="1" si="252"/>
        <v>134.76901148338635</v>
      </c>
      <c r="CA308" s="6">
        <f t="shared" ca="1" si="253"/>
        <v>-0.89076001583906717</v>
      </c>
      <c r="CB308" s="6">
        <f t="shared" ca="1" si="254"/>
        <v>0.45447397525313254</v>
      </c>
      <c r="CC308" s="6">
        <f t="shared" ca="1" si="255"/>
        <v>2.6698110632391066</v>
      </c>
      <c r="CD308" s="6">
        <f t="shared" ca="1" si="256"/>
        <v>162.2811407039527</v>
      </c>
      <c r="CE308" s="9">
        <f t="shared" ca="1" si="257"/>
        <v>-141.99377302325502</v>
      </c>
      <c r="CF308">
        <f t="shared" ca="1" si="258"/>
        <v>215.63255831519453</v>
      </c>
      <c r="CG308" s="6">
        <f t="shared" ca="1" si="259"/>
        <v>0.75258180847969647</v>
      </c>
      <c r="CH308" s="6">
        <f t="shared" ca="1" si="260"/>
        <v>-0.65849876351093428</v>
      </c>
      <c r="CI308" s="6">
        <f t="shared" ca="1" si="261"/>
        <v>-0.71882223385134669</v>
      </c>
      <c r="CJ308" s="1">
        <f t="shared" ca="1" si="262"/>
        <v>1.5042203972487949</v>
      </c>
      <c r="CK308" s="38"/>
    </row>
    <row r="309" spans="55:89" x14ac:dyDescent="0.25">
      <c r="BC309">
        <v>5.3581608036225559</v>
      </c>
      <c r="BD309">
        <v>235.89043537761569</v>
      </c>
      <c r="BE309">
        <v>-83.458718175331526</v>
      </c>
      <c r="BF309" s="6">
        <f t="shared" si="245"/>
        <v>5.9431266363019146</v>
      </c>
      <c r="BG309" s="6">
        <f t="shared" si="246"/>
        <v>0.58496583267935875</v>
      </c>
      <c r="BH309" s="6">
        <f t="shared" si="247"/>
        <v>1.1254568342751201</v>
      </c>
      <c r="BI309" s="6">
        <f t="shared" si="248"/>
        <v>1.1254568342751201</v>
      </c>
      <c r="BJ309">
        <v>277.1942975261212</v>
      </c>
      <c r="BK309">
        <v>-98.072144044365203</v>
      </c>
      <c r="BV309" s="38"/>
      <c r="BW309" s="6">
        <f t="shared" si="249"/>
        <v>5.1312680008632956</v>
      </c>
      <c r="BX309" s="9">
        <f t="shared" ca="1" si="250"/>
        <v>-121.70242123088831</v>
      </c>
      <c r="BY309" s="9">
        <f t="shared" ca="1" si="251"/>
        <v>60.458682586920574</v>
      </c>
      <c r="BZ309">
        <f t="shared" ca="1" si="252"/>
        <v>135.89235310938795</v>
      </c>
      <c r="CA309" s="6">
        <f t="shared" ca="1" si="253"/>
        <v>-0.89557961464485558</v>
      </c>
      <c r="CB309" s="6">
        <f t="shared" ca="1" si="254"/>
        <v>0.44490128549215519</v>
      </c>
      <c r="CC309" s="6">
        <f t="shared" ca="1" si="255"/>
        <v>2.6805286199299467</v>
      </c>
      <c r="CD309" s="6">
        <f t="shared" ca="1" si="256"/>
        <v>163.93671513128436</v>
      </c>
      <c r="CE309" s="9">
        <f t="shared" ca="1" si="257"/>
        <v>-141.20344722038593</v>
      </c>
      <c r="CF309">
        <f t="shared" ca="1" si="258"/>
        <v>216.36464608377264</v>
      </c>
      <c r="CG309" s="6">
        <f t="shared" ca="1" si="259"/>
        <v>0.75768716423204785</v>
      </c>
      <c r="CH309" s="6">
        <f t="shared" ca="1" si="260"/>
        <v>-0.6526179289277898</v>
      </c>
      <c r="CI309" s="6">
        <f t="shared" ca="1" si="261"/>
        <v>-0.71103447555523425</v>
      </c>
      <c r="CJ309" s="1">
        <f t="shared" ca="1" si="262"/>
        <v>1.4964326389526825</v>
      </c>
      <c r="CK309" s="38"/>
    </row>
    <row r="310" spans="55:89" x14ac:dyDescent="0.25">
      <c r="BC310">
        <v>5.375614096142499</v>
      </c>
      <c r="BD310">
        <v>237.69837587338438</v>
      </c>
      <c r="BE310">
        <v>-82.962892200579475</v>
      </c>
      <c r="BF310" s="6">
        <f t="shared" si="245"/>
        <v>5.9473785364554717</v>
      </c>
      <c r="BG310" s="6">
        <f t="shared" si="246"/>
        <v>0.57176444031297269</v>
      </c>
      <c r="BH310" s="6">
        <f t="shared" si="247"/>
        <v>1.1212049341215631</v>
      </c>
      <c r="BI310" s="6">
        <f t="shared" si="248"/>
        <v>1.1212049341215631</v>
      </c>
      <c r="BJ310">
        <v>278.36188158815759</v>
      </c>
      <c r="BK310">
        <v>-97.155509330237038</v>
      </c>
      <c r="BV310" s="38"/>
      <c r="BW310" s="6">
        <f t="shared" si="249"/>
        <v>5.1487212933832387</v>
      </c>
      <c r="BX310" s="9">
        <f t="shared" ca="1" si="250"/>
        <v>-123.35112815621802</v>
      </c>
      <c r="BY310" s="9">
        <f t="shared" ca="1" si="251"/>
        <v>59.711258006451416</v>
      </c>
      <c r="BZ310">
        <f t="shared" ca="1" si="252"/>
        <v>137.04355201951213</v>
      </c>
      <c r="CA310" s="6">
        <f t="shared" ca="1" si="253"/>
        <v>-0.90008706238623615</v>
      </c>
      <c r="CB310" s="6">
        <f t="shared" ca="1" si="254"/>
        <v>0.43571008724255617</v>
      </c>
      <c r="CC310" s="6">
        <f t="shared" ca="1" si="255"/>
        <v>2.6907656178095585</v>
      </c>
      <c r="CD310" s="6">
        <f t="shared" ca="1" si="256"/>
        <v>165.58542205661408</v>
      </c>
      <c r="CE310" s="9">
        <f t="shared" ca="1" si="257"/>
        <v>-140.45602263991677</v>
      </c>
      <c r="CF310">
        <f t="shared" ca="1" si="258"/>
        <v>217.132278331647</v>
      </c>
      <c r="CG310" s="6">
        <f t="shared" ca="1" si="259"/>
        <v>0.76260159626612278</v>
      </c>
      <c r="CH310" s="6">
        <f t="shared" ca="1" si="260"/>
        <v>-0.64686846064123538</v>
      </c>
      <c r="CI310" s="6">
        <f t="shared" ca="1" si="261"/>
        <v>-0.70347085866067993</v>
      </c>
      <c r="CJ310" s="1">
        <f t="shared" ca="1" si="262"/>
        <v>1.4888690220581282</v>
      </c>
      <c r="CK310" s="38"/>
    </row>
    <row r="311" spans="55:89" x14ac:dyDescent="0.25">
      <c r="BC311">
        <v>5.3930673886624421</v>
      </c>
      <c r="BD311">
        <v>239.53482961764107</v>
      </c>
      <c r="BE311">
        <v>-82.47191530132524</v>
      </c>
      <c r="BF311" s="6">
        <f t="shared" si="245"/>
        <v>5.9515971617489267</v>
      </c>
      <c r="BG311" s="6">
        <f t="shared" si="246"/>
        <v>0.55852977308648466</v>
      </c>
      <c r="BH311" s="6">
        <f t="shared" si="247"/>
        <v>1.116986308828108</v>
      </c>
      <c r="BI311" s="6">
        <f t="shared" si="248"/>
        <v>1.116986308828108</v>
      </c>
      <c r="BJ311">
        <v>279.49633173541258</v>
      </c>
      <c r="BK311">
        <v>-96.230672736439658</v>
      </c>
      <c r="BV311" s="38"/>
      <c r="BW311" s="6">
        <f t="shared" si="249"/>
        <v>5.1661745859031818</v>
      </c>
      <c r="BX311" s="9">
        <f t="shared" ca="1" si="250"/>
        <v>-124.996570497587</v>
      </c>
      <c r="BY311" s="9">
        <f t="shared" ca="1" si="251"/>
        <v>59.001630252647331</v>
      </c>
      <c r="BZ311">
        <f t="shared" ca="1" si="252"/>
        <v>138.2220496470384</v>
      </c>
      <c r="CA311" s="6">
        <f t="shared" ca="1" si="253"/>
        <v>-0.90431715357120102</v>
      </c>
      <c r="CB311" s="6">
        <f t="shared" ca="1" si="254"/>
        <v>0.42686120198125366</v>
      </c>
      <c r="CC311" s="6">
        <f t="shared" ca="1" si="255"/>
        <v>2.700573635598948</v>
      </c>
      <c r="CD311" s="6">
        <f t="shared" ca="1" si="256"/>
        <v>167.23086439798305</v>
      </c>
      <c r="CE311" s="9">
        <f t="shared" ca="1" si="257"/>
        <v>-139.74639488611268</v>
      </c>
      <c r="CF311">
        <f t="shared" ca="1" si="258"/>
        <v>217.93397369607598</v>
      </c>
      <c r="CG311" s="6">
        <f t="shared" ca="1" si="259"/>
        <v>0.76734646536201867</v>
      </c>
      <c r="CH311" s="6">
        <f t="shared" ca="1" si="260"/>
        <v>-0.64123272070007176</v>
      </c>
      <c r="CI311" s="6">
        <f t="shared" ca="1" si="261"/>
        <v>-0.69610366157441728</v>
      </c>
      <c r="CJ311" s="1">
        <f t="shared" ca="1" si="262"/>
        <v>1.4815018249718657</v>
      </c>
      <c r="CK311" s="38"/>
    </row>
    <row r="312" spans="55:89" x14ac:dyDescent="0.25">
      <c r="BC312">
        <v>5.4105206811823852</v>
      </c>
      <c r="BD312">
        <v>241.40226727324136</v>
      </c>
      <c r="BE312">
        <v>-81.984311312741198</v>
      </c>
      <c r="BF312" s="6">
        <f t="shared" si="245"/>
        <v>5.9557901627340666</v>
      </c>
      <c r="BG312" s="6">
        <f t="shared" si="246"/>
        <v>0.54526948155168142</v>
      </c>
      <c r="BH312" s="6">
        <f t="shared" si="247"/>
        <v>1.1127933078429681</v>
      </c>
      <c r="BI312" s="6">
        <f t="shared" si="248"/>
        <v>1.1127933078429681</v>
      </c>
      <c r="BJ312">
        <v>280.60007892685599</v>
      </c>
      <c r="BK312">
        <v>-95.296554108500359</v>
      </c>
      <c r="BV312" s="38"/>
      <c r="BW312" s="6">
        <f t="shared" si="249"/>
        <v>5.1836278784231249</v>
      </c>
      <c r="BX312" s="9">
        <f t="shared" ca="1" si="250"/>
        <v>-126.64195859119049</v>
      </c>
      <c r="BY312" s="9">
        <f t="shared" ca="1" si="251"/>
        <v>58.32535229310453</v>
      </c>
      <c r="BZ312">
        <f t="shared" ca="1" si="252"/>
        <v>139.42751663831484</v>
      </c>
      <c r="CA312" s="6">
        <f t="shared" ca="1" si="253"/>
        <v>-0.9082996071694297</v>
      </c>
      <c r="CB312" s="6">
        <f t="shared" ca="1" si="254"/>
        <v>0.41832024050463978</v>
      </c>
      <c r="CC312" s="6">
        <f t="shared" ca="1" si="255"/>
        <v>2.7099974679856493</v>
      </c>
      <c r="CD312" s="6">
        <f t="shared" ca="1" si="256"/>
        <v>168.87625249158654</v>
      </c>
      <c r="CE312" s="9">
        <f t="shared" ca="1" si="257"/>
        <v>-139.07011692656988</v>
      </c>
      <c r="CF312">
        <f t="shared" ca="1" si="258"/>
        <v>218.76856738931193</v>
      </c>
      <c r="CG312" s="6">
        <f t="shared" ca="1" si="259"/>
        <v>0.77194020378193096</v>
      </c>
      <c r="CH312" s="6">
        <f t="shared" ca="1" si="260"/>
        <v>-0.6356951484674952</v>
      </c>
      <c r="CI312" s="6">
        <f t="shared" ca="1" si="261"/>
        <v>-0.68890870763274092</v>
      </c>
      <c r="CJ312" s="1">
        <f t="shared" ca="1" si="262"/>
        <v>1.4743068710301892</v>
      </c>
      <c r="CK312" s="38"/>
    </row>
    <row r="313" spans="55:89" x14ac:dyDescent="0.25">
      <c r="BC313">
        <v>5.4279739737023283</v>
      </c>
      <c r="BD313">
        <v>243.30326795644683</v>
      </c>
      <c r="BE313">
        <v>-81.498638637918745</v>
      </c>
      <c r="BF313" s="6">
        <f t="shared" si="245"/>
        <v>5.9599649047558056</v>
      </c>
      <c r="BG313" s="6">
        <f t="shared" si="246"/>
        <v>0.53199093105347739</v>
      </c>
      <c r="BH313" s="6">
        <f t="shared" si="247"/>
        <v>1.1086185658212291</v>
      </c>
      <c r="BI313" s="6">
        <f t="shared" si="248"/>
        <v>1.1086185658212291</v>
      </c>
      <c r="BJ313">
        <v>281.67536020240863</v>
      </c>
      <c r="BK313">
        <v>-94.352034755451911</v>
      </c>
      <c r="BV313" s="38"/>
      <c r="BW313" s="6">
        <f t="shared" si="249"/>
        <v>5.201081170943068</v>
      </c>
      <c r="BX313" s="9">
        <f t="shared" ca="1" si="250"/>
        <v>-128.29020146874961</v>
      </c>
      <c r="BY313" s="9">
        <f t="shared" ca="1" si="251"/>
        <v>57.678521660986036</v>
      </c>
      <c r="BZ313">
        <f t="shared" ca="1" si="252"/>
        <v>140.65982956725492</v>
      </c>
      <c r="CA313" s="6">
        <f t="shared" ca="1" si="253"/>
        <v>-0.91205998090171936</v>
      </c>
      <c r="CB313" s="6">
        <f t="shared" ca="1" si="254"/>
        <v>0.41005681464591637</v>
      </c>
      <c r="CC313" s="6">
        <f t="shared" ca="1" si="255"/>
        <v>2.7190762996112938</v>
      </c>
      <c r="CD313" s="6">
        <f t="shared" ca="1" si="256"/>
        <v>170.52449536914565</v>
      </c>
      <c r="CE313" s="9">
        <f t="shared" ca="1" si="257"/>
        <v>-138.42328629445137</v>
      </c>
      <c r="CF313">
        <f t="shared" ca="1" si="258"/>
        <v>219.63517411711956</v>
      </c>
      <c r="CG313" s="6">
        <f t="shared" ca="1" si="259"/>
        <v>0.77639884437733164</v>
      </c>
      <c r="CH313" s="6">
        <f t="shared" ca="1" si="260"/>
        <v>-0.63024188566735539</v>
      </c>
      <c r="CI313" s="6">
        <f t="shared" ca="1" si="261"/>
        <v>-0.68186472038927215</v>
      </c>
      <c r="CJ313" s="1">
        <f t="shared" ca="1" si="262"/>
        <v>1.4672628837867205</v>
      </c>
      <c r="CK313" s="38"/>
    </row>
    <row r="314" spans="55:89" x14ac:dyDescent="0.25">
      <c r="BC314">
        <v>5.4454272662222714</v>
      </c>
      <c r="BD314">
        <v>245.24053784282304</v>
      </c>
      <c r="BE314">
        <v>-81.013475234800097</v>
      </c>
      <c r="BF314" s="6">
        <f t="shared" si="245"/>
        <v>5.9641285354390474</v>
      </c>
      <c r="BG314" s="6">
        <f t="shared" si="246"/>
        <v>0.51870126921677606</v>
      </c>
      <c r="BH314" s="6">
        <f t="shared" si="247"/>
        <v>1.1044549351379873</v>
      </c>
      <c r="BI314" s="6">
        <f t="shared" si="248"/>
        <v>1.1044549351379873</v>
      </c>
      <c r="BJ314">
        <v>282.72424033993684</v>
      </c>
      <c r="BK314">
        <v>-93.395950948928487</v>
      </c>
      <c r="BV314" s="38"/>
      <c r="BW314" s="6">
        <f t="shared" si="249"/>
        <v>5.2185344634630111</v>
      </c>
      <c r="BX314" s="9">
        <f t="shared" ca="1" si="250"/>
        <v>-129.94397848107826</v>
      </c>
      <c r="BY314" s="9">
        <f t="shared" ca="1" si="251"/>
        <v>57.057689247207648</v>
      </c>
      <c r="BZ314">
        <f t="shared" ca="1" si="252"/>
        <v>141.91905244089619</v>
      </c>
      <c r="CA314" s="6">
        <f t="shared" ca="1" si="253"/>
        <v>-0.91562039237258086</v>
      </c>
      <c r="CB314" s="6">
        <f t="shared" ca="1" si="254"/>
        <v>0.40204389943323482</v>
      </c>
      <c r="CC314" s="6">
        <f t="shared" ca="1" si="255"/>
        <v>2.7278446422505755</v>
      </c>
      <c r="CD314" s="6">
        <f t="shared" ca="1" si="256"/>
        <v>172.1782723814743</v>
      </c>
      <c r="CE314" s="9">
        <f t="shared" ca="1" si="257"/>
        <v>-137.802453880673</v>
      </c>
      <c r="CF314">
        <f t="shared" ca="1" si="258"/>
        <v>220.53315799626179</v>
      </c>
      <c r="CG314" s="6">
        <f t="shared" ca="1" si="259"/>
        <v>0.78073643866466946</v>
      </c>
      <c r="CH314" s="6">
        <f t="shared" ca="1" si="260"/>
        <v>-0.62486047509920872</v>
      </c>
      <c r="CI314" s="6">
        <f t="shared" ca="1" si="261"/>
        <v>-0.67495281080476555</v>
      </c>
      <c r="CJ314" s="1">
        <f t="shared" ca="1" si="262"/>
        <v>1.4603509742022138</v>
      </c>
      <c r="CK314" s="38"/>
    </row>
    <row r="315" spans="55:89" x14ac:dyDescent="0.25">
      <c r="BC315">
        <v>5.4628805587422145</v>
      </c>
      <c r="BD315">
        <v>247.21692969950286</v>
      </c>
      <c r="BE315">
        <v>-80.527404102165235</v>
      </c>
      <c r="BF315" s="6">
        <f t="shared" si="245"/>
        <v>5.96828804714524</v>
      </c>
      <c r="BG315" s="6">
        <f t="shared" si="246"/>
        <v>0.50540748840302552</v>
      </c>
      <c r="BH315" s="6">
        <f t="shared" si="247"/>
        <v>1.1002954234317948</v>
      </c>
      <c r="BI315" s="6">
        <f t="shared" si="248"/>
        <v>1.1002954234317948</v>
      </c>
      <c r="BJ315">
        <v>283.74863081059755</v>
      </c>
      <c r="BK315">
        <v>-92.427086949486664</v>
      </c>
      <c r="BV315" s="38"/>
      <c r="BW315" s="6">
        <f t="shared" si="249"/>
        <v>5.2359877559829542</v>
      </c>
      <c r="BX315" s="9">
        <f t="shared" ca="1" si="250"/>
        <v>-131.60579634855196</v>
      </c>
      <c r="BY315" s="9">
        <f t="shared" ca="1" si="251"/>
        <v>56.459784868001279</v>
      </c>
      <c r="BZ315">
        <f t="shared" ca="1" si="252"/>
        <v>143.20542217345513</v>
      </c>
      <c r="CA315" s="6">
        <f t="shared" ca="1" si="253"/>
        <v>-0.91900009337039401</v>
      </c>
      <c r="CB315" s="6">
        <f t="shared" ca="1" si="254"/>
        <v>0.39425731240549905</v>
      </c>
      <c r="CC315" s="6">
        <f t="shared" ca="1" si="255"/>
        <v>2.7363330902252825</v>
      </c>
      <c r="CD315" s="6">
        <f t="shared" ca="1" si="256"/>
        <v>173.840090248948</v>
      </c>
      <c r="CE315" s="9">
        <f t="shared" ca="1" si="257"/>
        <v>-137.20454950146663</v>
      </c>
      <c r="CF315">
        <f t="shared" ca="1" si="258"/>
        <v>221.46210822996966</v>
      </c>
      <c r="CG315" s="6">
        <f t="shared" ca="1" si="259"/>
        <v>0.78496539041536528</v>
      </c>
      <c r="CH315" s="6">
        <f t="shared" ca="1" si="260"/>
        <v>-0.61953961604569985</v>
      </c>
      <c r="CI315" s="6">
        <f t="shared" ca="1" si="261"/>
        <v>-0.66815606512657244</v>
      </c>
      <c r="CJ315" s="1">
        <f t="shared" ca="1" si="262"/>
        <v>1.4535542285240206</v>
      </c>
      <c r="CK315" s="38"/>
    </row>
    <row r="316" spans="55:89" x14ac:dyDescent="0.25">
      <c r="BC316">
        <v>5.4803338512621576</v>
      </c>
      <c r="BD316">
        <v>249.23478023608837</v>
      </c>
      <c r="BE316">
        <v>-80.039296043165848</v>
      </c>
      <c r="BF316" s="6">
        <f t="shared" si="245"/>
        <v>5.9724484568664362</v>
      </c>
      <c r="BG316" s="6">
        <f t="shared" si="246"/>
        <v>0.49211460560427867</v>
      </c>
      <c r="BH316" s="6">
        <f t="shared" si="247"/>
        <v>1.0961350137105985</v>
      </c>
      <c r="BI316" s="6">
        <f t="shared" si="248"/>
        <v>1.0961350137105985</v>
      </c>
      <c r="BJ316">
        <v>284.74996110510665</v>
      </c>
      <c r="BK316">
        <v>-91.444646744658087</v>
      </c>
      <c r="BV316" s="38"/>
      <c r="BW316" s="6">
        <f t="shared" si="249"/>
        <v>5.2534410485028973</v>
      </c>
      <c r="BX316" s="9">
        <f t="shared" ca="1" si="250"/>
        <v>-133.27803533602145</v>
      </c>
      <c r="BY316" s="9">
        <f t="shared" ca="1" si="251"/>
        <v>55.882055971762554</v>
      </c>
      <c r="BZ316">
        <f t="shared" ca="1" si="252"/>
        <v>144.51933740043575</v>
      </c>
      <c r="CA316" s="6">
        <f t="shared" ca="1" si="253"/>
        <v>-0.92221593133058188</v>
      </c>
      <c r="CB316" s="6">
        <f t="shared" ca="1" si="254"/>
        <v>0.38667528496151315</v>
      </c>
      <c r="CC316" s="6">
        <f t="shared" ca="1" si="255"/>
        <v>2.7445689348902818</v>
      </c>
      <c r="CD316" s="6">
        <f t="shared" ca="1" si="256"/>
        <v>175.51232923641749</v>
      </c>
      <c r="CE316" s="9">
        <f t="shared" ca="1" si="257"/>
        <v>-136.62682060522792</v>
      </c>
      <c r="CF316">
        <f t="shared" ca="1" si="258"/>
        <v>222.4218195741725</v>
      </c>
      <c r="CG316" s="6">
        <f t="shared" ca="1" si="259"/>
        <v>0.78909672428917532</v>
      </c>
      <c r="CH316" s="6">
        <f t="shared" ca="1" si="260"/>
        <v>-0.61426896366013251</v>
      </c>
      <c r="CI316" s="6">
        <f t="shared" ca="1" si="261"/>
        <v>-0.66145921036056232</v>
      </c>
      <c r="CJ316" s="1">
        <f t="shared" ca="1" si="262"/>
        <v>1.4468573737580106</v>
      </c>
      <c r="CK316" s="38"/>
    </row>
    <row r="317" spans="55:89" x14ac:dyDescent="0.25">
      <c r="BC317">
        <v>5.4977871437821006</v>
      </c>
      <c r="BD317">
        <v>251.29189099032908</v>
      </c>
      <c r="BE317">
        <v>-79.550071448145957</v>
      </c>
      <c r="BF317" s="6">
        <f t="shared" si="245"/>
        <v>5.9766019195515296</v>
      </c>
      <c r="BG317" s="6">
        <f t="shared" si="246"/>
        <v>0.47881477576942899</v>
      </c>
      <c r="BH317" s="6">
        <f t="shared" si="247"/>
        <v>1.0919815510255051</v>
      </c>
      <c r="BI317" s="6">
        <f t="shared" si="248"/>
        <v>1.0919815510255051</v>
      </c>
      <c r="BJ317">
        <v>285.72724116924206</v>
      </c>
      <c r="BK317">
        <v>-90.451078067495544</v>
      </c>
      <c r="BV317" s="38"/>
      <c r="BW317" s="6">
        <f t="shared" si="249"/>
        <v>5.2708943410228404</v>
      </c>
      <c r="BX317" s="9">
        <f t="shared" ca="1" si="250"/>
        <v>-134.96298727653419</v>
      </c>
      <c r="BY317" s="9">
        <f t="shared" ca="1" si="251"/>
        <v>55.322016709445208</v>
      </c>
      <c r="BZ317">
        <f t="shared" ca="1" si="252"/>
        <v>145.86135014940066</v>
      </c>
      <c r="CA317" s="6">
        <f t="shared" ca="1" si="253"/>
        <v>-0.92528272320457983</v>
      </c>
      <c r="CB317" s="6">
        <f t="shared" ca="1" si="254"/>
        <v>0.37927810659081934</v>
      </c>
      <c r="CC317" s="6">
        <f t="shared" ca="1" si="255"/>
        <v>2.7525766688332101</v>
      </c>
      <c r="CD317" s="6">
        <f t="shared" ca="1" si="256"/>
        <v>177.19728117693023</v>
      </c>
      <c r="CE317" s="9">
        <f t="shared" ca="1" si="257"/>
        <v>-136.06678134291056</v>
      </c>
      <c r="CF317">
        <f t="shared" ca="1" si="258"/>
        <v>223.41227683705188</v>
      </c>
      <c r="CG317" s="6">
        <f t="shared" ca="1" si="259"/>
        <v>0.79314030404054725</v>
      </c>
      <c r="CH317" s="6">
        <f t="shared" ca="1" si="260"/>
        <v>-0.6090389627162357</v>
      </c>
      <c r="CI317" s="6">
        <f t="shared" ca="1" si="261"/>
        <v>-0.65484834005131143</v>
      </c>
      <c r="CJ317" s="1">
        <f t="shared" ca="1" si="262"/>
        <v>1.4402465034487597</v>
      </c>
      <c r="CK317" s="38"/>
    </row>
    <row r="318" spans="55:89" x14ac:dyDescent="0.25">
      <c r="BC318">
        <v>5.5152404363020437</v>
      </c>
      <c r="BD318">
        <v>253.3849317229247</v>
      </c>
      <c r="BE318">
        <v>-79.061257367658627</v>
      </c>
      <c r="BF318" s="6">
        <f t="shared" si="245"/>
        <v>5.9807374667446762</v>
      </c>
      <c r="BG318" s="6">
        <f t="shared" si="246"/>
        <v>0.46549703044263246</v>
      </c>
      <c r="BH318" s="6">
        <f t="shared" si="247"/>
        <v>1.0878460038323585</v>
      </c>
      <c r="BI318" s="6">
        <f t="shared" si="248"/>
        <v>1.0878460038323585</v>
      </c>
      <c r="BJ318">
        <v>286.67898312910097</v>
      </c>
      <c r="BK318">
        <v>-89.449679240803533</v>
      </c>
      <c r="BV318" s="38"/>
      <c r="BW318" s="6">
        <f t="shared" si="249"/>
        <v>5.2883476335427835</v>
      </c>
      <c r="BX318" s="9">
        <f t="shared" ca="1" si="250"/>
        <v>-136.66288747781726</v>
      </c>
      <c r="BY318" s="9">
        <f t="shared" ca="1" si="251"/>
        <v>54.777405226431782</v>
      </c>
      <c r="BZ318">
        <f t="shared" ca="1" si="252"/>
        <v>147.23215999609343</v>
      </c>
      <c r="CA318" s="6">
        <f t="shared" ca="1" si="253"/>
        <v>-0.92821356068839445</v>
      </c>
      <c r="CB318" s="6">
        <f t="shared" ca="1" si="254"/>
        <v>0.37204782724022534</v>
      </c>
      <c r="CC318" s="6">
        <f t="shared" ca="1" si="255"/>
        <v>2.7603784030363694</v>
      </c>
      <c r="CD318" s="6">
        <f t="shared" ca="1" si="256"/>
        <v>178.8971813782133</v>
      </c>
      <c r="CE318" s="9">
        <f t="shared" ca="1" si="257"/>
        <v>-135.52216985989713</v>
      </c>
      <c r="CF318">
        <f t="shared" ca="1" si="258"/>
        <v>224.43364281810372</v>
      </c>
      <c r="CG318" s="6">
        <f t="shared" ca="1" si="259"/>
        <v>0.79710501122687627</v>
      </c>
      <c r="CH318" s="6">
        <f t="shared" ca="1" si="260"/>
        <v>-0.6038407083635563</v>
      </c>
      <c r="CI318" s="6">
        <f t="shared" ca="1" si="261"/>
        <v>-0.64831068729054686</v>
      </c>
      <c r="CJ318" s="1">
        <f t="shared" ca="1" si="262"/>
        <v>1.4337088506879951</v>
      </c>
      <c r="CK318" s="38"/>
    </row>
    <row r="319" spans="55:89" x14ac:dyDescent="0.25">
      <c r="BC319">
        <v>5.5326937288219868</v>
      </c>
      <c r="BD319">
        <v>255.51158521478769</v>
      </c>
      <c r="BE319">
        <v>-78.574045706442803</v>
      </c>
      <c r="BF319" s="6">
        <f t="shared" si="245"/>
        <v>5.9848469243318769</v>
      </c>
      <c r="BG319" s="6">
        <f t="shared" si="246"/>
        <v>0.45215319550989008</v>
      </c>
      <c r="BH319" s="6">
        <f t="shared" si="247"/>
        <v>1.0837365462451578</v>
      </c>
      <c r="BI319" s="6">
        <f t="shared" si="248"/>
        <v>1.0837365462451578</v>
      </c>
      <c r="BJ319">
        <v>287.60428242281125</v>
      </c>
      <c r="BK319">
        <v>-88.443081801798428</v>
      </c>
      <c r="BV319" s="38"/>
      <c r="BW319" s="6">
        <f t="shared" si="249"/>
        <v>5.3058009260627266</v>
      </c>
      <c r="BX319" s="9">
        <f t="shared" ca="1" si="250"/>
        <v>-138.37994205369478</v>
      </c>
      <c r="BY319" s="9">
        <f t="shared" ca="1" si="251"/>
        <v>54.246147506937035</v>
      </c>
      <c r="BZ319">
        <f t="shared" ca="1" si="252"/>
        <v>148.6326104262732</v>
      </c>
      <c r="CA319" s="6">
        <f t="shared" ca="1" si="253"/>
        <v>-0.93102006118863068</v>
      </c>
      <c r="CB319" s="6">
        <f t="shared" ca="1" si="254"/>
        <v>0.36496800635715776</v>
      </c>
      <c r="CC319" s="6">
        <f t="shared" ca="1" si="255"/>
        <v>2.7679942148205874</v>
      </c>
      <c r="CD319" s="6">
        <f t="shared" ca="1" si="256"/>
        <v>180.61423595409082</v>
      </c>
      <c r="CE319" s="9">
        <f t="shared" ca="1" si="257"/>
        <v>-134.99091214040237</v>
      </c>
      <c r="CF319">
        <f t="shared" ca="1" si="258"/>
        <v>225.48624922548564</v>
      </c>
      <c r="CG319" s="6">
        <f t="shared" ca="1" si="259"/>
        <v>0.80099889272395086</v>
      </c>
      <c r="CH319" s="6">
        <f t="shared" ca="1" si="260"/>
        <v>-0.59866582820051184</v>
      </c>
      <c r="CI319" s="6">
        <f t="shared" ca="1" si="261"/>
        <v>-0.64183443494770853</v>
      </c>
      <c r="CJ319" s="1">
        <f t="shared" ca="1" si="262"/>
        <v>1.4272325983451568</v>
      </c>
      <c r="CK319" s="38"/>
    </row>
    <row r="320" spans="55:89" x14ac:dyDescent="0.25">
      <c r="BC320">
        <v>5.5501470213419299</v>
      </c>
      <c r="BD320">
        <v>257.67035179971572</v>
      </c>
      <c r="BE320">
        <v>-78.089361846795939</v>
      </c>
      <c r="BF320" s="6">
        <f t="shared" si="245"/>
        <v>5.9889243070679132</v>
      </c>
      <c r="BG320" s="6">
        <f t="shared" si="246"/>
        <v>0.43877728572598329</v>
      </c>
      <c r="BH320" s="6">
        <f t="shared" si="247"/>
        <v>1.0796591635091215</v>
      </c>
      <c r="BI320" s="6">
        <f t="shared" si="248"/>
        <v>1.0796591635091215</v>
      </c>
      <c r="BJ320">
        <v>288.50267323677292</v>
      </c>
      <c r="BK320">
        <v>-87.433379458672931</v>
      </c>
      <c r="BV320" s="38"/>
      <c r="BW320" s="6">
        <f t="shared" si="249"/>
        <v>5.3232542185826697</v>
      </c>
      <c r="BX320" s="9">
        <f t="shared" ca="1" si="250"/>
        <v>-140.11635186378129</v>
      </c>
      <c r="BY320" s="9">
        <f t="shared" ca="1" si="251"/>
        <v>53.726326455093272</v>
      </c>
      <c r="BZ320">
        <f t="shared" ca="1" si="252"/>
        <v>150.0636871930522</v>
      </c>
      <c r="CA320" s="6">
        <f t="shared" ca="1" si="253"/>
        <v>-0.93371257553818476</v>
      </c>
      <c r="CB320" s="6">
        <f t="shared" ca="1" si="254"/>
        <v>0.35802349962237062</v>
      </c>
      <c r="CC320" s="6">
        <f t="shared" ca="1" si="255"/>
        <v>2.7754424403661599</v>
      </c>
      <c r="CD320" s="6">
        <f t="shared" ca="1" si="256"/>
        <v>182.35064576417733</v>
      </c>
      <c r="CE320" s="9">
        <f t="shared" ca="1" si="257"/>
        <v>-134.47109108855864</v>
      </c>
      <c r="CF320">
        <f t="shared" ca="1" si="258"/>
        <v>226.57059021232195</v>
      </c>
      <c r="CG320" s="6">
        <f t="shared" ca="1" si="259"/>
        <v>0.80482928341800408</v>
      </c>
      <c r="CH320" s="6">
        <f t="shared" ca="1" si="260"/>
        <v>-0.59350638122337152</v>
      </c>
      <c r="CI320" s="6">
        <f t="shared" ca="1" si="261"/>
        <v>-0.63540855539202956</v>
      </c>
      <c r="CJ320" s="1">
        <f t="shared" ca="1" si="262"/>
        <v>1.420806718789478</v>
      </c>
      <c r="CK320" s="38"/>
    </row>
    <row r="321" spans="55:89" x14ac:dyDescent="0.25">
      <c r="BC321">
        <v>5.567600313861873</v>
      </c>
      <c r="BD321">
        <v>259.86039351614482</v>
      </c>
      <c r="BE321">
        <v>-77.607920914939868</v>
      </c>
      <c r="BF321" s="6">
        <f t="shared" si="245"/>
        <v>5.9929653338347251</v>
      </c>
      <c r="BG321" s="6">
        <f t="shared" si="246"/>
        <v>0.42536501997285203</v>
      </c>
      <c r="BH321" s="6">
        <f t="shared" si="247"/>
        <v>1.0756181367423097</v>
      </c>
      <c r="BI321" s="6">
        <f t="shared" si="248"/>
        <v>1.0756181367423097</v>
      </c>
      <c r="BJ321">
        <v>289.3740155983582</v>
      </c>
      <c r="BK321">
        <v>-86.422233929237422</v>
      </c>
      <c r="BV321" s="38"/>
      <c r="BW321" s="6">
        <f t="shared" si="249"/>
        <v>5.3407075111026128</v>
      </c>
      <c r="BX321" s="9">
        <f t="shared" ca="1" si="250"/>
        <v>-141.87433398845485</v>
      </c>
      <c r="BY321" s="9">
        <f t="shared" ca="1" si="251"/>
        <v>53.216155165871868</v>
      </c>
      <c r="BZ321">
        <f t="shared" ca="1" si="252"/>
        <v>151.52651852169569</v>
      </c>
      <c r="CA321" s="6">
        <f t="shared" ca="1" si="253"/>
        <v>-0.93630036097042091</v>
      </c>
      <c r="CB321" s="6">
        <f t="shared" ca="1" si="254"/>
        <v>0.35120027626221961</v>
      </c>
      <c r="CC321" s="6">
        <f t="shared" ca="1" si="255"/>
        <v>2.7827399225888909</v>
      </c>
      <c r="CD321" s="6">
        <f t="shared" ca="1" si="256"/>
        <v>184.10862788885089</v>
      </c>
      <c r="CE321" s="9">
        <f t="shared" ca="1" si="257"/>
        <v>-133.9609197993372</v>
      </c>
      <c r="CF321">
        <f t="shared" ca="1" si="258"/>
        <v>227.68731826037177</v>
      </c>
      <c r="CG321" s="6">
        <f t="shared" ca="1" si="259"/>
        <v>0.80860290900485521</v>
      </c>
      <c r="CH321" s="6">
        <f t="shared" ca="1" si="260"/>
        <v>-0.58835477014203419</v>
      </c>
      <c r="CI321" s="6">
        <f t="shared" ca="1" si="261"/>
        <v>-0.6290226736687714</v>
      </c>
      <c r="CJ321" s="1">
        <f t="shared" ca="1" si="262"/>
        <v>1.4144208370662197</v>
      </c>
      <c r="CK321" s="38"/>
    </row>
    <row r="322" spans="55:89" x14ac:dyDescent="0.25">
      <c r="BC322">
        <v>5.5850536063818161</v>
      </c>
      <c r="BD322">
        <v>261.21673478557994</v>
      </c>
      <c r="BE322">
        <v>-76.871472380042135</v>
      </c>
      <c r="BF322" s="6">
        <f t="shared" si="245"/>
        <v>5.9969822902947447</v>
      </c>
      <c r="BG322" s="6">
        <f t="shared" si="246"/>
        <v>0.41192868391292858</v>
      </c>
      <c r="BH322" s="6">
        <f t="shared" si="247"/>
        <v>1.07160118028229</v>
      </c>
      <c r="BI322" s="6">
        <f t="shared" si="248"/>
        <v>1.07160118028229</v>
      </c>
      <c r="BJ322">
        <v>290.24081642842214</v>
      </c>
      <c r="BK322">
        <v>-85.412747088935703</v>
      </c>
      <c r="BV322" s="38"/>
      <c r="BW322" s="6">
        <f t="shared" si="249"/>
        <v>5.3581608036225559</v>
      </c>
      <c r="BX322" s="9">
        <f t="shared" ca="1" si="250"/>
        <v>-143.65614147721965</v>
      </c>
      <c r="BY322" s="9">
        <f t="shared" ca="1" si="251"/>
        <v>52.713953541866175</v>
      </c>
      <c r="BZ322">
        <f t="shared" ca="1" si="252"/>
        <v>153.02237706341177</v>
      </c>
      <c r="CA322" s="6">
        <f t="shared" ca="1" si="253"/>
        <v>-0.93879172598194061</v>
      </c>
      <c r="CB322" s="6">
        <f t="shared" ca="1" si="254"/>
        <v>0.3444852612635978</v>
      </c>
      <c r="CC322" s="6">
        <f t="shared" ca="1" si="255"/>
        <v>2.7899022228721124</v>
      </c>
      <c r="CD322" s="6">
        <f t="shared" ca="1" si="256"/>
        <v>185.89043537761569</v>
      </c>
      <c r="CE322" s="9">
        <f t="shared" ca="1" si="257"/>
        <v>-133.45871817533151</v>
      </c>
      <c r="CF322">
        <f t="shared" ca="1" si="258"/>
        <v>228.83724220913447</v>
      </c>
      <c r="CG322" s="6">
        <f t="shared" ca="1" si="259"/>
        <v>0.81232597274411444</v>
      </c>
      <c r="CH322" s="6">
        <f t="shared" ca="1" si="260"/>
        <v>-0.58320366425917469</v>
      </c>
      <c r="CI322" s="6">
        <f t="shared" ca="1" si="261"/>
        <v>-0.62266694936669065</v>
      </c>
      <c r="CJ322" s="1">
        <f t="shared" ca="1" si="262"/>
        <v>1.408065112764139</v>
      </c>
      <c r="CK322" s="38"/>
    </row>
    <row r="323" spans="55:89" x14ac:dyDescent="0.25">
      <c r="BC323">
        <v>5.6025068989017592</v>
      </c>
      <c r="BD323">
        <v>261.98715668829237</v>
      </c>
      <c r="BE323">
        <v>-75.964498906760085</v>
      </c>
      <c r="BF323" s="6">
        <f t="shared" ref="BF323:BF362" si="263">IF(BC323&lt;&gt;"",IF(AND(BD323=0,BE323=0),0,MOD(ATAN2(BD323,BE323),2*PI())),NA())</f>
        <v>6.0009693494012453</v>
      </c>
      <c r="BG323" s="6">
        <f t="shared" ref="BG323:BG362" si="264">ABS(BC323-BF323)</f>
        <v>0.39846245049948603</v>
      </c>
      <c r="BH323" s="6">
        <f t="shared" ref="BH323:BH362" si="265">ATAN2(COS($U$13-BF323),SIN($U$13-BF323))</f>
        <v>1.0676141211757895</v>
      </c>
      <c r="BI323" s="6">
        <f t="shared" ref="BI323:BI362" si="266">ABS(BH323)</f>
        <v>1.0676141211757895</v>
      </c>
      <c r="BJ323">
        <v>291.0968407647693</v>
      </c>
      <c r="BK323">
        <v>-84.404998785288981</v>
      </c>
      <c r="BV323" s="38"/>
      <c r="BW323" s="6">
        <f t="shared" si="249"/>
        <v>5.375614096142499</v>
      </c>
      <c r="BX323" s="9">
        <f t="shared" ca="1" si="250"/>
        <v>-145.46408197298831</v>
      </c>
      <c r="BY323" s="9">
        <f t="shared" ca="1" si="251"/>
        <v>52.218127567114124</v>
      </c>
      <c r="BZ323">
        <f t="shared" ca="1" si="252"/>
        <v>154.55268354467245</v>
      </c>
      <c r="CA323" s="6">
        <f t="shared" ca="1" si="253"/>
        <v>-0.9411941522901015</v>
      </c>
      <c r="CB323" s="6">
        <f t="shared" ca="1" si="254"/>
        <v>0.33786619791704109</v>
      </c>
      <c r="CC323" s="6">
        <f t="shared" ca="1" si="255"/>
        <v>2.7969438034213523</v>
      </c>
      <c r="CD323" s="6">
        <f t="shared" ca="1" si="256"/>
        <v>187.69837587338435</v>
      </c>
      <c r="CE323" s="9">
        <f t="shared" ca="1" si="257"/>
        <v>-132.96289220057946</v>
      </c>
      <c r="CF323">
        <f t="shared" ca="1" si="258"/>
        <v>230.02132728912159</v>
      </c>
      <c r="CG323" s="6">
        <f t="shared" ca="1" si="259"/>
        <v>0.81600422919679927</v>
      </c>
      <c r="CH323" s="6">
        <f t="shared" ca="1" si="260"/>
        <v>-0.57804593064300469</v>
      </c>
      <c r="CI323" s="6">
        <f t="shared" ca="1" si="261"/>
        <v>-0.61633197337611545</v>
      </c>
      <c r="CJ323" s="1">
        <f t="shared" ca="1" si="262"/>
        <v>1.4017301367735637</v>
      </c>
      <c r="CK323" s="38"/>
    </row>
    <row r="324" spans="55:89" x14ac:dyDescent="0.25">
      <c r="BC324">
        <v>5.6199601914217023</v>
      </c>
      <c r="BD324">
        <v>262.7350355576437</v>
      </c>
      <c r="BE324">
        <v>-75.058690058743281</v>
      </c>
      <c r="BF324" s="6">
        <f t="shared" si="263"/>
        <v>6.0049154284072115</v>
      </c>
      <c r="BG324" s="6">
        <f t="shared" si="264"/>
        <v>0.38495523698550915</v>
      </c>
      <c r="BH324" s="6">
        <f t="shared" si="265"/>
        <v>1.0636680421698232</v>
      </c>
      <c r="BI324" s="6">
        <f t="shared" si="266"/>
        <v>1.0636680421698232</v>
      </c>
      <c r="BJ324">
        <v>291.92781728627079</v>
      </c>
      <c r="BK324">
        <v>-83.398544509714753</v>
      </c>
      <c r="BV324" s="38"/>
      <c r="BW324" s="6">
        <f t="shared" si="249"/>
        <v>5.3930673886624421</v>
      </c>
      <c r="BX324" s="9">
        <f t="shared" ca="1" si="250"/>
        <v>-147.300535717245</v>
      </c>
      <c r="BY324" s="9">
        <f t="shared" ca="1" si="251"/>
        <v>51.727150667859888</v>
      </c>
      <c r="BZ324">
        <f t="shared" ca="1" si="252"/>
        <v>156.11901209911252</v>
      </c>
      <c r="CA324" s="6">
        <f t="shared" ca="1" si="253"/>
        <v>-0.94351439800125625</v>
      </c>
      <c r="CB324" s="6">
        <f t="shared" ca="1" si="254"/>
        <v>0.33133152697008345</v>
      </c>
      <c r="CC324" s="6">
        <f t="shared" ca="1" si="255"/>
        <v>2.8038781856743511</v>
      </c>
      <c r="CD324" s="6">
        <f t="shared" ca="1" si="256"/>
        <v>189.53482961764104</v>
      </c>
      <c r="CE324" s="9">
        <f t="shared" ca="1" si="257"/>
        <v>-132.47191530132523</v>
      </c>
      <c r="CF324">
        <f t="shared" ca="1" si="258"/>
        <v>231.24069707080045</v>
      </c>
      <c r="CG324" s="6">
        <f t="shared" ca="1" si="259"/>
        <v>0.8196430473465055</v>
      </c>
      <c r="CH324" s="6">
        <f t="shared" ca="1" si="260"/>
        <v>-0.57287457173148659</v>
      </c>
      <c r="CI324" s="6">
        <f t="shared" ca="1" si="261"/>
        <v>-0.61000867647137991</v>
      </c>
      <c r="CJ324" s="1">
        <f t="shared" ca="1" si="262"/>
        <v>1.3954068398688282</v>
      </c>
      <c r="CK324" s="38"/>
    </row>
    <row r="325" spans="55:89" x14ac:dyDescent="0.25">
      <c r="BC325">
        <v>5.6374134839416454</v>
      </c>
      <c r="BD325">
        <v>263.46075833407406</v>
      </c>
      <c r="BE325">
        <v>-74.154623924618946</v>
      </c>
      <c r="BF325" s="6">
        <f t="shared" si="263"/>
        <v>6.0088198879727317</v>
      </c>
      <c r="BG325" s="6">
        <f t="shared" si="264"/>
        <v>0.37140640403108627</v>
      </c>
      <c r="BH325" s="6">
        <f t="shared" si="265"/>
        <v>1.059763582604303</v>
      </c>
      <c r="BI325" s="6">
        <f t="shared" si="266"/>
        <v>1.059763582604303</v>
      </c>
      <c r="BJ325">
        <v>292.73417592674895</v>
      </c>
      <c r="BK325">
        <v>-82.394026582909945</v>
      </c>
      <c r="BV325" s="38"/>
      <c r="BW325" s="6">
        <f t="shared" si="249"/>
        <v>5.4105206811823852</v>
      </c>
      <c r="BX325" s="9">
        <f t="shared" ca="1" si="250"/>
        <v>-149.16797337284532</v>
      </c>
      <c r="BY325" s="9">
        <f t="shared" ca="1" si="251"/>
        <v>51.239546679275847</v>
      </c>
      <c r="BZ325">
        <f t="shared" ca="1" si="252"/>
        <v>157.72309730682943</v>
      </c>
      <c r="CA325" s="6">
        <f t="shared" ca="1" si="253"/>
        <v>-0.9457585852670567</v>
      </c>
      <c r="CB325" s="6">
        <f t="shared" ca="1" si="254"/>
        <v>0.32487027933262103</v>
      </c>
      <c r="CC325" s="6">
        <f t="shared" ca="1" si="255"/>
        <v>2.810718089176135</v>
      </c>
      <c r="CD325" s="6">
        <f t="shared" ca="1" si="256"/>
        <v>191.40226727324136</v>
      </c>
      <c r="CE325" s="9">
        <f t="shared" ca="1" si="257"/>
        <v>-131.9843113127412</v>
      </c>
      <c r="CF325">
        <f t="shared" ca="1" si="258"/>
        <v>232.49663728758725</v>
      </c>
      <c r="CG325" s="6">
        <f t="shared" ca="1" si="259"/>
        <v>0.82324746502241186</v>
      </c>
      <c r="CH325" s="6">
        <f t="shared" ca="1" si="260"/>
        <v>-0.56768266781202048</v>
      </c>
      <c r="CI325" s="6">
        <f t="shared" ca="1" si="261"/>
        <v>-0.60368824720772141</v>
      </c>
      <c r="CJ325" s="1">
        <f t="shared" ca="1" si="262"/>
        <v>1.3890864106051697</v>
      </c>
      <c r="CK325" s="38"/>
    </row>
    <row r="326" spans="55:89" x14ac:dyDescent="0.25">
      <c r="BC326">
        <v>5.6548667764615885</v>
      </c>
      <c r="BD326">
        <v>264.16477122430388</v>
      </c>
      <c r="BE326">
        <v>-73.252736674048961</v>
      </c>
      <c r="BF326" s="6">
        <f t="shared" si="263"/>
        <v>6.0126826071785056</v>
      </c>
      <c r="BG326" s="6">
        <f t="shared" si="264"/>
        <v>0.35781583071691703</v>
      </c>
      <c r="BH326" s="6">
        <f t="shared" si="265"/>
        <v>1.0559008633985292</v>
      </c>
      <c r="BI326" s="6">
        <f t="shared" si="266"/>
        <v>1.0559008633985292</v>
      </c>
      <c r="BJ326">
        <v>293.51641247144875</v>
      </c>
      <c r="BK326">
        <v>-81.391929637832177</v>
      </c>
      <c r="BV326" s="38"/>
      <c r="BW326" s="6">
        <f t="shared" si="249"/>
        <v>5.4279739737023283</v>
      </c>
      <c r="BX326" s="9">
        <f t="shared" ca="1" si="250"/>
        <v>-151.06897405605076</v>
      </c>
      <c r="BY326" s="9">
        <f t="shared" ca="1" si="251"/>
        <v>50.753874004453394</v>
      </c>
      <c r="BZ326">
        <f t="shared" ca="1" si="252"/>
        <v>159.36684300320337</v>
      </c>
      <c r="CA326" s="6">
        <f t="shared" ca="1" si="253"/>
        <v>-0.94793227505306221</v>
      </c>
      <c r="CB326" s="6">
        <f t="shared" ca="1" si="254"/>
        <v>0.31847197979214037</v>
      </c>
      <c r="CC326" s="6">
        <f t="shared" ca="1" si="255"/>
        <v>2.8174755545335701</v>
      </c>
      <c r="CD326" s="6">
        <f t="shared" ca="1" si="256"/>
        <v>193.3032679564468</v>
      </c>
      <c r="CE326" s="9">
        <f t="shared" ca="1" si="257"/>
        <v>-131.49863863791876</v>
      </c>
      <c r="CF326">
        <f t="shared" ca="1" si="258"/>
        <v>233.79060153536503</v>
      </c>
      <c r="CG326" s="6">
        <f t="shared" ca="1" si="259"/>
        <v>0.82682223616763406</v>
      </c>
      <c r="CH326" s="6">
        <f t="shared" ca="1" si="260"/>
        <v>-0.56246332305204849</v>
      </c>
      <c r="CI326" s="6">
        <f t="shared" ca="1" si="261"/>
        <v>-0.59736205704813639</v>
      </c>
      <c r="CJ326" s="1">
        <f t="shared" ca="1" si="262"/>
        <v>1.3827602204455847</v>
      </c>
      <c r="CK326" s="38"/>
    </row>
    <row r="327" spans="55:89" x14ac:dyDescent="0.25">
      <c r="BC327">
        <v>5.6723200689815316</v>
      </c>
      <c r="BD327">
        <v>264.84755781862839</v>
      </c>
      <c r="BE327">
        <v>-72.353348010668867</v>
      </c>
      <c r="BF327" s="6">
        <f t="shared" si="263"/>
        <v>6.0165038682378409</v>
      </c>
      <c r="BG327" s="6">
        <f t="shared" si="264"/>
        <v>0.34418379925630926</v>
      </c>
      <c r="BH327" s="6">
        <f t="shared" si="265"/>
        <v>1.0520796023391938</v>
      </c>
      <c r="BI327" s="6">
        <f t="shared" si="266"/>
        <v>1.0520796023391938</v>
      </c>
      <c r="BJ327">
        <v>294.27506424292045</v>
      </c>
      <c r="BK327">
        <v>-80.392608900743184</v>
      </c>
      <c r="BV327" s="38"/>
      <c r="BW327" s="6">
        <f t="shared" si="249"/>
        <v>5.4454272662222714</v>
      </c>
      <c r="BX327" s="9">
        <f t="shared" ca="1" si="250"/>
        <v>-153.00624394242698</v>
      </c>
      <c r="BY327" s="9">
        <f t="shared" ca="1" si="251"/>
        <v>50.268710601334746</v>
      </c>
      <c r="BZ327">
        <f t="shared" ca="1" si="252"/>
        <v>161.05233295699327</v>
      </c>
      <c r="CA327" s="6">
        <f t="shared" ca="1" si="253"/>
        <v>-0.95004053113148701</v>
      </c>
      <c r="CB327" s="6">
        <f t="shared" ca="1" si="254"/>
        <v>0.31212655959947061</v>
      </c>
      <c r="CC327" s="6">
        <f t="shared" ca="1" si="255"/>
        <v>2.8241620534448137</v>
      </c>
      <c r="CD327" s="6">
        <f t="shared" ca="1" si="256"/>
        <v>195.24053784282302</v>
      </c>
      <c r="CE327" s="9">
        <f t="shared" ca="1" si="257"/>
        <v>-131.0134752348001</v>
      </c>
      <c r="CF327">
        <f t="shared" ca="1" si="258"/>
        <v>235.12421889344873</v>
      </c>
      <c r="CG327" s="6">
        <f t="shared" ca="1" si="259"/>
        <v>0.83037187220300857</v>
      </c>
      <c r="CH327" s="6">
        <f t="shared" ca="1" si="260"/>
        <v>-0.55720961392825075</v>
      </c>
      <c r="CI327" s="6">
        <f t="shared" ca="1" si="261"/>
        <v>-0.59102159095950835</v>
      </c>
      <c r="CJ327" s="1">
        <f t="shared" ca="1" si="262"/>
        <v>1.3764197543569567</v>
      </c>
      <c r="CK327" s="38"/>
    </row>
    <row r="328" spans="55:89" x14ac:dyDescent="0.25">
      <c r="BC328">
        <v>5.6897733615014747</v>
      </c>
      <c r="BD328">
        <v>265.50962200021161</v>
      </c>
      <c r="BE328">
        <v>-71.456682111265081</v>
      </c>
      <c r="BF328" s="6">
        <f t="shared" si="263"/>
        <v>6.0202842641698417</v>
      </c>
      <c r="BG328" s="6">
        <f t="shared" si="264"/>
        <v>0.33051090266836702</v>
      </c>
      <c r="BH328" s="6">
        <f t="shared" si="265"/>
        <v>1.048299206407193</v>
      </c>
      <c r="BI328" s="6">
        <f t="shared" si="266"/>
        <v>1.048299206407193</v>
      </c>
      <c r="BJ328">
        <v>295.0106911113462</v>
      </c>
      <c r="BK328">
        <v>-79.396313456961195</v>
      </c>
      <c r="BV328" s="38"/>
      <c r="BW328" s="6">
        <f t="shared" si="249"/>
        <v>5.4628805587422145</v>
      </c>
      <c r="BX328" s="9">
        <f t="shared" ca="1" si="250"/>
        <v>-154.98263579910679</v>
      </c>
      <c r="BY328" s="9">
        <f t="shared" ca="1" si="251"/>
        <v>49.782639468699884</v>
      </c>
      <c r="BZ328">
        <f t="shared" ca="1" si="252"/>
        <v>162.7818435566729</v>
      </c>
      <c r="CA328" s="6">
        <f t="shared" ca="1" si="253"/>
        <v>-0.95208797500287068</v>
      </c>
      <c r="CB328" s="6">
        <f t="shared" ca="1" si="254"/>
        <v>0.30582427610465007</v>
      </c>
      <c r="CC328" s="6">
        <f t="shared" ca="1" si="255"/>
        <v>2.8307885883112718</v>
      </c>
      <c r="CD328" s="6">
        <f t="shared" ca="1" si="256"/>
        <v>197.21692969950283</v>
      </c>
      <c r="CE328" s="9">
        <f t="shared" ca="1" si="257"/>
        <v>-130.52740410216524</v>
      </c>
      <c r="CF328">
        <f t="shared" ca="1" si="258"/>
        <v>236.49930355446838</v>
      </c>
      <c r="CG328" s="6">
        <f t="shared" ca="1" si="259"/>
        <v>0.83390067850276606</v>
      </c>
      <c r="CH328" s="6">
        <f t="shared" ca="1" si="260"/>
        <v>-0.55191453902993559</v>
      </c>
      <c r="CI328" s="6">
        <f t="shared" ca="1" si="261"/>
        <v>-0.58465838196540065</v>
      </c>
      <c r="CJ328" s="1">
        <f t="shared" ca="1" si="262"/>
        <v>1.370056545362849</v>
      </c>
      <c r="CK328" s="38"/>
    </row>
    <row r="329" spans="55:89" x14ac:dyDescent="0.25">
      <c r="BC329">
        <v>5.7072266540214178</v>
      </c>
      <c r="BD329">
        <v>266.15147451659806</v>
      </c>
      <c r="BE329">
        <v>-70.562884984044047</v>
      </c>
      <c r="BF329" s="6">
        <f t="shared" si="263"/>
        <v>6.024024624387331</v>
      </c>
      <c r="BG329" s="6">
        <f t="shared" si="264"/>
        <v>0.31679797036591317</v>
      </c>
      <c r="BH329" s="6">
        <f t="shared" si="265"/>
        <v>1.0445588461897037</v>
      </c>
      <c r="BI329" s="6">
        <f t="shared" si="266"/>
        <v>1.0445588461897037</v>
      </c>
      <c r="BJ329">
        <v>295.72386057399785</v>
      </c>
      <c r="BK329">
        <v>-78.403205537826722</v>
      </c>
      <c r="BV329" s="38"/>
      <c r="BW329" s="6">
        <f t="shared" si="249"/>
        <v>5.4803338512621576</v>
      </c>
      <c r="BX329" s="9">
        <f t="shared" ca="1" si="250"/>
        <v>-157.0004863356923</v>
      </c>
      <c r="BY329" s="9">
        <f t="shared" ca="1" si="251"/>
        <v>49.294531409700497</v>
      </c>
      <c r="BZ329">
        <f t="shared" ca="1" si="252"/>
        <v>164.55729560413252</v>
      </c>
      <c r="CA329" s="6">
        <f t="shared" ca="1" si="253"/>
        <v>-0.95407794445881466</v>
      </c>
      <c r="CB329" s="6">
        <f t="shared" ca="1" si="254"/>
        <v>0.29955846824492033</v>
      </c>
      <c r="CC329" s="6">
        <f t="shared" ca="1" si="255"/>
        <v>2.8373628169533198</v>
      </c>
      <c r="CD329" s="6">
        <f t="shared" ca="1" si="256"/>
        <v>199.23478023608834</v>
      </c>
      <c r="CE329" s="9">
        <f t="shared" ca="1" si="257"/>
        <v>-130.03929604316585</v>
      </c>
      <c r="CF329">
        <f t="shared" ca="1" si="258"/>
        <v>237.91745663385976</v>
      </c>
      <c r="CG329" s="6">
        <f t="shared" ca="1" si="259"/>
        <v>0.83741135709389469</v>
      </c>
      <c r="CH329" s="6">
        <f t="shared" ca="1" si="260"/>
        <v>-0.54657315979671162</v>
      </c>
      <c r="CI329" s="6">
        <f t="shared" ca="1" si="261"/>
        <v>-0.57826656411914812</v>
      </c>
      <c r="CJ329" s="1">
        <f t="shared" ca="1" si="262"/>
        <v>1.3636647275165963</v>
      </c>
      <c r="CK329" s="38"/>
    </row>
    <row r="330" spans="55:89" x14ac:dyDescent="0.25">
      <c r="BC330">
        <v>5.7246799465413609</v>
      </c>
      <c r="BD330">
        <v>266.77362240067208</v>
      </c>
      <c r="BE330">
        <v>-69.672038981394621</v>
      </c>
      <c r="BF330" s="6">
        <f t="shared" si="263"/>
        <v>6.0277259543314345</v>
      </c>
      <c r="BG330" s="6">
        <f t="shared" si="264"/>
        <v>0.30304600779007362</v>
      </c>
      <c r="BH330" s="6">
        <f t="shared" si="265"/>
        <v>1.0408575162456002</v>
      </c>
      <c r="BI330" s="6">
        <f t="shared" si="266"/>
        <v>1.0408575162456002</v>
      </c>
      <c r="BJ330">
        <v>296.41513600074677</v>
      </c>
      <c r="BK330">
        <v>-77.41337664599402</v>
      </c>
      <c r="BV330" s="38"/>
      <c r="BW330" s="6">
        <f t="shared" si="249"/>
        <v>5.4977871437821006</v>
      </c>
      <c r="BX330" s="9">
        <f t="shared" ca="1" si="250"/>
        <v>-159.05759708993304</v>
      </c>
      <c r="BY330" s="9">
        <f t="shared" ca="1" si="251"/>
        <v>48.805306814680605</v>
      </c>
      <c r="BZ330">
        <f t="shared" ca="1" si="252"/>
        <v>166.37691295759331</v>
      </c>
      <c r="CA330" s="6">
        <f t="shared" ca="1" si="253"/>
        <v>-0.95600762306771592</v>
      </c>
      <c r="CB330" s="6">
        <f t="shared" ca="1" si="254"/>
        <v>0.29334182217409133</v>
      </c>
      <c r="CC330" s="6">
        <f t="shared" ca="1" si="255"/>
        <v>2.8438720793929759</v>
      </c>
      <c r="CD330" s="6">
        <f t="shared" ca="1" si="256"/>
        <v>201.29189099032908</v>
      </c>
      <c r="CE330" s="9">
        <f t="shared" ca="1" si="257"/>
        <v>-129.55007144814596</v>
      </c>
      <c r="CF330">
        <f t="shared" ca="1" si="258"/>
        <v>239.37762299488699</v>
      </c>
      <c r="CG330" s="6">
        <f t="shared" ca="1" si="259"/>
        <v>0.8408968577427498</v>
      </c>
      <c r="CH330" s="6">
        <f t="shared" ca="1" si="260"/>
        <v>-0.5411954126176326</v>
      </c>
      <c r="CI330" s="6">
        <f t="shared" ca="1" si="261"/>
        <v>-0.57185805258756484</v>
      </c>
      <c r="CJ330" s="1">
        <f t="shared" ca="1" si="262"/>
        <v>1.357256215985013</v>
      </c>
      <c r="CK330" s="38"/>
    </row>
    <row r="331" spans="55:89" x14ac:dyDescent="0.25">
      <c r="BC331">
        <v>5.742133239061304</v>
      </c>
      <c r="BD331">
        <v>267.37656056218748</v>
      </c>
      <c r="BE331">
        <v>-68.784175048253857</v>
      </c>
      <c r="BF331" s="6">
        <f t="shared" si="263"/>
        <v>6.0313893860884757</v>
      </c>
      <c r="BG331" s="6">
        <f t="shared" si="264"/>
        <v>0.28925614702717173</v>
      </c>
      <c r="BH331" s="6">
        <f t="shared" si="265"/>
        <v>1.037194084488559</v>
      </c>
      <c r="BI331" s="6">
        <f t="shared" si="266"/>
        <v>1.037194084488559</v>
      </c>
      <c r="BJ331">
        <v>297.08506729131943</v>
      </c>
      <c r="BK331">
        <v>-76.426861164726503</v>
      </c>
      <c r="BV331" s="38"/>
      <c r="BW331" s="6">
        <f t="shared" si="249"/>
        <v>5.5152404363020437</v>
      </c>
      <c r="BX331" s="9">
        <f t="shared" ca="1" si="250"/>
        <v>-161.15063782252867</v>
      </c>
      <c r="BY331" s="9">
        <f t="shared" ca="1" si="251"/>
        <v>48.316492734193275</v>
      </c>
      <c r="BZ331">
        <f t="shared" ca="1" si="252"/>
        <v>168.23796105737003</v>
      </c>
      <c r="CA331" s="6">
        <f t="shared" ca="1" si="253"/>
        <v>-0.95787322201067004</v>
      </c>
      <c r="CB331" s="6">
        <f t="shared" ca="1" si="254"/>
        <v>0.28719138314875975</v>
      </c>
      <c r="CC331" s="6">
        <f t="shared" ca="1" si="255"/>
        <v>2.8502992484291405</v>
      </c>
      <c r="CD331" s="6">
        <f t="shared" ca="1" si="256"/>
        <v>203.3849317229247</v>
      </c>
      <c r="CE331" s="9">
        <f t="shared" ca="1" si="257"/>
        <v>-129.06125736765864</v>
      </c>
      <c r="CF331">
        <f t="shared" ca="1" si="258"/>
        <v>240.87805754210939</v>
      </c>
      <c r="CG331" s="6">
        <f t="shared" ca="1" si="259"/>
        <v>0.84434810625027445</v>
      </c>
      <c r="CH331" s="6">
        <f t="shared" ca="1" si="260"/>
        <v>-0.53579499388439167</v>
      </c>
      <c r="CI331" s="6">
        <f t="shared" ca="1" si="261"/>
        <v>-0.56544901370825729</v>
      </c>
      <c r="CJ331" s="1">
        <f t="shared" ca="1" si="262"/>
        <v>1.3508471771057056</v>
      </c>
      <c r="CK331" s="38"/>
    </row>
    <row r="332" spans="55:89" x14ac:dyDescent="0.25">
      <c r="BC332">
        <v>5.7595865315812471</v>
      </c>
      <c r="BD332">
        <v>267.96076503839123</v>
      </c>
      <c r="BE332">
        <v>-67.899283174032448</v>
      </c>
      <c r="BF332" s="6">
        <f t="shared" si="263"/>
        <v>6.0350161375839386</v>
      </c>
      <c r="BG332" s="6">
        <f t="shared" si="264"/>
        <v>0.27542960600269151</v>
      </c>
      <c r="BH332" s="6">
        <f t="shared" si="265"/>
        <v>1.0335673329930961</v>
      </c>
      <c r="BI332" s="6">
        <f t="shared" si="266"/>
        <v>1.0335673329930961</v>
      </c>
      <c r="BJ332">
        <v>297.73418337599026</v>
      </c>
      <c r="BK332">
        <v>-75.443647971147158</v>
      </c>
      <c r="BV332" s="38"/>
      <c r="BW332" s="6">
        <f t="shared" si="249"/>
        <v>5.5326937288219868</v>
      </c>
      <c r="BX332" s="9">
        <f t="shared" ca="1" si="250"/>
        <v>-163.27729131439162</v>
      </c>
      <c r="BY332" s="9">
        <f t="shared" ca="1" si="251"/>
        <v>47.829281072977452</v>
      </c>
      <c r="BZ332">
        <f t="shared" ca="1" si="252"/>
        <v>170.13851411988583</v>
      </c>
      <c r="CA332" s="6">
        <f t="shared" ca="1" si="253"/>
        <v>-0.95967272406846382</v>
      </c>
      <c r="CB332" s="6">
        <f t="shared" ca="1" si="254"/>
        <v>0.28111965900486935</v>
      </c>
      <c r="CC332" s="6">
        <f t="shared" ca="1" si="255"/>
        <v>2.8566320342114064</v>
      </c>
      <c r="CD332" s="6">
        <f t="shared" ca="1" si="256"/>
        <v>205.51158521478766</v>
      </c>
      <c r="CE332" s="9">
        <f t="shared" ca="1" si="257"/>
        <v>-128.5740457064428</v>
      </c>
      <c r="CF332">
        <f t="shared" ca="1" si="258"/>
        <v>242.41760845041222</v>
      </c>
      <c r="CG332" s="6">
        <f t="shared" ca="1" si="259"/>
        <v>0.84775848804244813</v>
      </c>
      <c r="CH332" s="6">
        <f t="shared" ca="1" si="260"/>
        <v>-0.53038245253023064</v>
      </c>
      <c r="CI332" s="6">
        <f t="shared" ca="1" si="261"/>
        <v>-0.55905163553748471</v>
      </c>
      <c r="CJ332" s="1">
        <f t="shared" ca="1" si="262"/>
        <v>1.3444497989349329</v>
      </c>
      <c r="CK332" s="38"/>
    </row>
    <row r="333" spans="55:89" x14ac:dyDescent="0.25">
      <c r="BC333">
        <v>5.7770398241011902</v>
      </c>
      <c r="BD333">
        <v>268.5266875246071</v>
      </c>
      <c r="BE333">
        <v>-67.017321429419468</v>
      </c>
      <c r="BF333" s="6">
        <f t="shared" si="263"/>
        <v>6.0386074784526311</v>
      </c>
      <c r="BG333" s="6">
        <f t="shared" si="264"/>
        <v>0.26156765435144091</v>
      </c>
      <c r="BH333" s="6">
        <f t="shared" si="265"/>
        <v>1.0299759921244036</v>
      </c>
      <c r="BI333" s="6">
        <f t="shared" si="266"/>
        <v>1.0299759921244036</v>
      </c>
      <c r="BJ333">
        <v>298.3629861384523</v>
      </c>
      <c r="BK333">
        <v>-74.463690477132744</v>
      </c>
      <c r="BV333" s="38"/>
      <c r="BW333" s="6">
        <f t="shared" si="249"/>
        <v>5.5501470213419299</v>
      </c>
      <c r="BX333" s="9">
        <f t="shared" ca="1" si="250"/>
        <v>-165.43605789931968</v>
      </c>
      <c r="BY333" s="9">
        <f t="shared" ca="1" si="251"/>
        <v>47.344597213330587</v>
      </c>
      <c r="BZ333">
        <f t="shared" ca="1" si="252"/>
        <v>172.07730861028585</v>
      </c>
      <c r="CA333" s="6">
        <f t="shared" ca="1" si="253"/>
        <v>-0.96140542431421316</v>
      </c>
      <c r="CB333" s="6">
        <f t="shared" ca="1" si="254"/>
        <v>0.27513562128377328</v>
      </c>
      <c r="CC333" s="6">
        <f t="shared" ca="1" si="255"/>
        <v>2.8628618883922017</v>
      </c>
      <c r="CD333" s="6">
        <f t="shared" ca="1" si="256"/>
        <v>207.67035179971572</v>
      </c>
      <c r="CE333" s="9">
        <f t="shared" ca="1" si="257"/>
        <v>-128.08936184679595</v>
      </c>
      <c r="CF333">
        <f t="shared" ca="1" si="258"/>
        <v>243.995613966598</v>
      </c>
      <c r="CG333" s="6">
        <f t="shared" ca="1" si="259"/>
        <v>0.85112329858578906</v>
      </c>
      <c r="CH333" s="6">
        <f t="shared" ca="1" si="260"/>
        <v>-0.52496583755940329</v>
      </c>
      <c r="CI333" s="6">
        <f t="shared" ca="1" si="261"/>
        <v>-0.55267497453689418</v>
      </c>
      <c r="CJ333" s="1">
        <f t="shared" ca="1" si="262"/>
        <v>1.3380731379343425</v>
      </c>
      <c r="CK333" s="38"/>
    </row>
    <row r="334" spans="55:89" x14ac:dyDescent="0.25">
      <c r="BC334">
        <v>5.7944931166211333</v>
      </c>
      <c r="BD334">
        <v>269.07475083352557</v>
      </c>
      <c r="BE334">
        <v>-66.138223901150695</v>
      </c>
      <c r="BF334" s="6">
        <f t="shared" si="263"/>
        <v>6.0421647010099422</v>
      </c>
      <c r="BG334" s="6">
        <f t="shared" si="264"/>
        <v>0.24767158438880887</v>
      </c>
      <c r="BH334" s="6">
        <f t="shared" si="265"/>
        <v>1.0264187695670925</v>
      </c>
      <c r="BI334" s="6">
        <f t="shared" si="266"/>
        <v>1.0264187695670925</v>
      </c>
      <c r="BJ334">
        <v>298.97194537058397</v>
      </c>
      <c r="BK334">
        <v>-73.486915445723</v>
      </c>
      <c r="BV334" s="38"/>
      <c r="BW334" s="6">
        <f t="shared" si="249"/>
        <v>5.567600313861873</v>
      </c>
      <c r="BX334" s="9">
        <f t="shared" ca="1" si="250"/>
        <v>-167.62609961574879</v>
      </c>
      <c r="BY334" s="9">
        <f t="shared" ca="1" si="251"/>
        <v>46.863156281474517</v>
      </c>
      <c r="BZ334">
        <f t="shared" ca="1" si="252"/>
        <v>174.05362590032661</v>
      </c>
      <c r="CA334" s="6">
        <f t="shared" ca="1" si="253"/>
        <v>-0.96307157491646511</v>
      </c>
      <c r="CB334" s="6">
        <f t="shared" ca="1" si="254"/>
        <v>0.26924550430400762</v>
      </c>
      <c r="CC334" s="6">
        <f t="shared" ca="1" si="255"/>
        <v>2.8689831344142522</v>
      </c>
      <c r="CD334" s="6">
        <f t="shared" ca="1" si="256"/>
        <v>209.86039351614482</v>
      </c>
      <c r="CE334" s="9">
        <f t="shared" ca="1" si="257"/>
        <v>-127.60792091493987</v>
      </c>
      <c r="CF334">
        <f t="shared" ca="1" si="258"/>
        <v>245.61182025094945</v>
      </c>
      <c r="CG334" s="6">
        <f t="shared" ca="1" si="259"/>
        <v>0.85443930712179794</v>
      </c>
      <c r="CH334" s="6">
        <f t="shared" ca="1" si="260"/>
        <v>-0.51955122023263689</v>
      </c>
      <c r="CI334" s="6">
        <f t="shared" ca="1" si="261"/>
        <v>-0.54632563371742571</v>
      </c>
      <c r="CJ334" s="1">
        <f t="shared" ca="1" si="262"/>
        <v>1.3317237971148739</v>
      </c>
      <c r="CK334" s="38"/>
    </row>
    <row r="335" spans="55:89" x14ac:dyDescent="0.25">
      <c r="BC335">
        <v>5.8119464091410764</v>
      </c>
      <c r="BD335">
        <v>269.60534505902314</v>
      </c>
      <c r="BE335">
        <v>-65.261907789538398</v>
      </c>
      <c r="BF335" s="6">
        <f t="shared" si="263"/>
        <v>6.0456890950798137</v>
      </c>
      <c r="BG335" s="6">
        <f t="shared" si="264"/>
        <v>0.23374268593873726</v>
      </c>
      <c r="BH335" s="6">
        <f t="shared" si="265"/>
        <v>1.0228943754972211</v>
      </c>
      <c r="BI335" s="6">
        <f t="shared" si="266"/>
        <v>1.0228943754972211</v>
      </c>
      <c r="BJ335">
        <v>299.56149451002568</v>
      </c>
      <c r="BK335">
        <v>-72.513230877264888</v>
      </c>
      <c r="BV335" s="38"/>
      <c r="BW335" s="6">
        <f t="shared" ref="BW335:BW375" si="267">BC322</f>
        <v>5.5850536063818161</v>
      </c>
      <c r="BX335" s="9">
        <f t="shared" ca="1" si="250"/>
        <v>-168.98244088518391</v>
      </c>
      <c r="BY335" s="9">
        <f t="shared" ca="1" si="251"/>
        <v>46.126707746576784</v>
      </c>
      <c r="BZ335">
        <f t="shared" ca="1" si="252"/>
        <v>175.16488944720851</v>
      </c>
      <c r="CA335" s="6">
        <f t="shared" ca="1" si="253"/>
        <v>-0.96470497836903624</v>
      </c>
      <c r="CB335" s="6">
        <f t="shared" ca="1" si="254"/>
        <v>0.2633330680146293</v>
      </c>
      <c r="CC335" s="6">
        <f t="shared" ca="1" si="255"/>
        <v>2.8751170587441499</v>
      </c>
      <c r="CD335" s="6">
        <f t="shared" ca="1" si="256"/>
        <v>211.21673478557994</v>
      </c>
      <c r="CE335" s="9">
        <f t="shared" ca="1" si="257"/>
        <v>-126.87147238004214</v>
      </c>
      <c r="CF335">
        <f t="shared" ca="1" si="258"/>
        <v>246.39171974188136</v>
      </c>
      <c r="CG335" s="6">
        <f t="shared" ca="1" si="259"/>
        <v>0.85723958177997805</v>
      </c>
      <c r="CH335" s="6">
        <f t="shared" ca="1" si="260"/>
        <v>-0.51491775987014499</v>
      </c>
      <c r="CI335" s="6">
        <f t="shared" ca="1" si="261"/>
        <v>-0.54091171049259201</v>
      </c>
      <c r="CJ335" s="1">
        <f t="shared" ca="1" si="262"/>
        <v>1.3263098738900403</v>
      </c>
      <c r="CK335" s="38"/>
    </row>
    <row r="336" spans="55:89" x14ac:dyDescent="0.25">
      <c r="BC336">
        <v>5.8293997016610195</v>
      </c>
      <c r="BD336">
        <v>270.11882422498502</v>
      </c>
      <c r="BE336">
        <v>-64.388279894008349</v>
      </c>
      <c r="BF336" s="6">
        <f t="shared" si="263"/>
        <v>6.0491819256129418</v>
      </c>
      <c r="BG336" s="6">
        <f t="shared" si="264"/>
        <v>0.21978222395192226</v>
      </c>
      <c r="BH336" s="6">
        <f t="shared" si="265"/>
        <v>1.019401544964093</v>
      </c>
      <c r="BI336" s="6">
        <f t="shared" si="266"/>
        <v>1.019401544964093</v>
      </c>
      <c r="BJ336">
        <v>300.13202691665003</v>
      </c>
      <c r="BK336">
        <v>-71.542533215564831</v>
      </c>
      <c r="BV336" s="38"/>
      <c r="BW336" s="6">
        <f t="shared" si="267"/>
        <v>5.6025068989017592</v>
      </c>
      <c r="BX336" s="9">
        <f t="shared" ref="BX336:BX375" ca="1" si="268">$BW$5-BD323</f>
        <v>-169.75286278789633</v>
      </c>
      <c r="BY336" s="9">
        <f t="shared" ref="BY336:BY375" ca="1" si="269">$BX$5-BE323</f>
        <v>45.219734273294733</v>
      </c>
      <c r="BZ336">
        <f t="shared" ref="BZ336:BZ375" ca="1" si="270">SQRT(POWER(BX336,2)+POWER(BY336,2))</f>
        <v>175.67258975843029</v>
      </c>
      <c r="CA336" s="6">
        <f t="shared" ref="CA336:CA375" ca="1" si="271">BX336/BZ336</f>
        <v>-0.96630250069931656</v>
      </c>
      <c r="CB336" s="6">
        <f t="shared" ref="CB336:CB375" ca="1" si="272">BY336/BZ336</f>
        <v>0.25740916289488869</v>
      </c>
      <c r="CC336" s="6">
        <f t="shared" ref="CC336:CC375" ca="1" si="273">ATAN2(CA336,CB336)</f>
        <v>2.8812525984561743</v>
      </c>
      <c r="CD336" s="6">
        <f t="shared" ref="CD336:CD375" ca="1" si="274">$BW$9-BX336</f>
        <v>211.98715668829237</v>
      </c>
      <c r="CE336" s="9">
        <f t="shared" ref="CE336:CE375" ca="1" si="275">$BX$9-BY336</f>
        <v>-125.96449890676008</v>
      </c>
      <c r="CF336">
        <f t="shared" ref="CF336:CF375" ca="1" si="276">SQRT(POWER(CD336,2)+POWER(CE336,2))</f>
        <v>246.58793479328583</v>
      </c>
      <c r="CG336" s="6">
        <f t="shared" ref="CG336:CG375" ca="1" si="277">CD336/CF336</f>
        <v>0.85968178802422257</v>
      </c>
      <c r="CH336" s="6">
        <f t="shared" ref="CH336:CH375" ca="1" si="278">CE336/CF336</f>
        <v>-0.5108299358294065</v>
      </c>
      <c r="CI336" s="6">
        <f t="shared" ref="CI336:CI375" ca="1" si="279">ATAN2(CG336,CH336)</f>
        <v>-0.53614991255770694</v>
      </c>
      <c r="CJ336" s="1">
        <f t="shared" ref="CJ336:CJ375" ca="1" si="280">ATAN2(COS($U$13-CI336),SIN($U$13-CI336))</f>
        <v>1.3215480759551552</v>
      </c>
      <c r="CK336" s="38"/>
    </row>
    <row r="337" spans="55:89" x14ac:dyDescent="0.25">
      <c r="BC337">
        <v>5.8468529941809626</v>
      </c>
      <c r="BD337">
        <v>270.61550325679065</v>
      </c>
      <c r="BE337">
        <v>-63.51724268409248</v>
      </c>
      <c r="BF337" s="6">
        <f t="shared" si="263"/>
        <v>6.0526444122046703</v>
      </c>
      <c r="BG337" s="6">
        <f t="shared" si="264"/>
        <v>0.20579141802370771</v>
      </c>
      <c r="BH337" s="6">
        <f t="shared" si="265"/>
        <v>1.0159390583723644</v>
      </c>
      <c r="BI337" s="6">
        <f t="shared" si="266"/>
        <v>1.0159390583723644</v>
      </c>
      <c r="BJ337">
        <v>300.68389250754518</v>
      </c>
      <c r="BK337">
        <v>-70.574714093436086</v>
      </c>
      <c r="BV337" s="38"/>
      <c r="BW337" s="6">
        <f t="shared" si="267"/>
        <v>5.6199601914217023</v>
      </c>
      <c r="BX337" s="9">
        <f t="shared" ca="1" si="268"/>
        <v>-170.50074165724766</v>
      </c>
      <c r="BY337" s="9">
        <f t="shared" ca="1" si="269"/>
        <v>44.31392542527793</v>
      </c>
      <c r="BZ337">
        <f t="shared" ca="1" si="270"/>
        <v>176.16533964508625</v>
      </c>
      <c r="CA337" s="6">
        <f t="shared" ca="1" si="271"/>
        <v>-0.96784499153323322</v>
      </c>
      <c r="CB337" s="6">
        <f t="shared" ca="1" si="272"/>
        <v>0.25154735610623263</v>
      </c>
      <c r="CC337" s="6">
        <f t="shared" ca="1" si="273"/>
        <v>2.8873139654048736</v>
      </c>
      <c r="CD337" s="6">
        <f t="shared" ca="1" si="274"/>
        <v>212.7350355576437</v>
      </c>
      <c r="CE337" s="9">
        <f t="shared" ca="1" si="275"/>
        <v>-125.05869005874328</v>
      </c>
      <c r="CF337">
        <f t="shared" ca="1" si="276"/>
        <v>246.7708883011137</v>
      </c>
      <c r="CG337" s="6">
        <f t="shared" ca="1" si="277"/>
        <v>0.862075089254698</v>
      </c>
      <c r="CH337" s="6">
        <f t="shared" ca="1" si="278"/>
        <v>-0.50678056443248165</v>
      </c>
      <c r="CI337" s="6">
        <f t="shared" ca="1" si="279"/>
        <v>-0.5314461544554846</v>
      </c>
      <c r="CJ337" s="1">
        <f t="shared" ca="1" si="280"/>
        <v>1.316844317852933</v>
      </c>
      <c r="CK337" s="38"/>
    </row>
    <row r="338" spans="55:89" x14ac:dyDescent="0.25">
      <c r="BC338">
        <v>5.8643062867009057</v>
      </c>
      <c r="BD338">
        <v>271.09565514270332</v>
      </c>
      <c r="BE338">
        <v>-62.648700132145514</v>
      </c>
      <c r="BF338" s="6">
        <f t="shared" si="263"/>
        <v>6.0560777097428469</v>
      </c>
      <c r="BG338" s="6">
        <f t="shared" si="264"/>
        <v>0.19177142304194117</v>
      </c>
      <c r="BH338" s="6">
        <f t="shared" si="265"/>
        <v>1.0125057608341879</v>
      </c>
      <c r="BI338" s="6">
        <f t="shared" si="266"/>
        <v>1.0125057608341879</v>
      </c>
      <c r="BJ338">
        <v>301.2173946030037</v>
      </c>
      <c r="BK338">
        <v>-69.609666813495011</v>
      </c>
      <c r="BV338" s="38"/>
      <c r="BW338" s="6">
        <f t="shared" si="267"/>
        <v>5.6374134839416454</v>
      </c>
      <c r="BX338" s="9">
        <f t="shared" ca="1" si="268"/>
        <v>-171.22646443367802</v>
      </c>
      <c r="BY338" s="9">
        <f t="shared" ca="1" si="269"/>
        <v>43.409859291153595</v>
      </c>
      <c r="BZ338">
        <f t="shared" ca="1" si="270"/>
        <v>176.64347711176703</v>
      </c>
      <c r="CA338" s="6">
        <f t="shared" ca="1" si="271"/>
        <v>-0.96933363876968115</v>
      </c>
      <c r="CB338" s="6">
        <f t="shared" ca="1" si="272"/>
        <v>0.24574844200834556</v>
      </c>
      <c r="CC338" s="6">
        <f t="shared" ca="1" si="273"/>
        <v>2.8933009164129126</v>
      </c>
      <c r="CD338" s="6">
        <f t="shared" ca="1" si="274"/>
        <v>213.46075833407406</v>
      </c>
      <c r="CE338" s="9">
        <f t="shared" ca="1" si="275"/>
        <v>-124.15462392461895</v>
      </c>
      <c r="CF338">
        <f t="shared" ca="1" si="276"/>
        <v>246.94101722966465</v>
      </c>
      <c r="CG338" s="6">
        <f t="shared" ca="1" si="277"/>
        <v>0.86442001709075056</v>
      </c>
      <c r="CH338" s="6">
        <f t="shared" ca="1" si="278"/>
        <v>-0.50277035916293467</v>
      </c>
      <c r="CI338" s="6">
        <f t="shared" ca="1" si="279"/>
        <v>-0.52680067582891676</v>
      </c>
      <c r="CJ338" s="1">
        <f t="shared" ca="1" si="280"/>
        <v>1.312198839226365</v>
      </c>
      <c r="CK338" s="38"/>
    </row>
    <row r="339" spans="55:89" x14ac:dyDescent="0.25">
      <c r="BC339">
        <v>5.8817595792208488</v>
      </c>
      <c r="BD339">
        <v>271.55950819618897</v>
      </c>
      <c r="BE339">
        <v>-61.782563468469064</v>
      </c>
      <c r="BF339" s="6">
        <f t="shared" si="263"/>
        <v>6.0594828895228749</v>
      </c>
      <c r="BG339" s="6">
        <f t="shared" si="264"/>
        <v>0.17772331030202615</v>
      </c>
      <c r="BH339" s="6">
        <f t="shared" si="265"/>
        <v>1.0091005810541598</v>
      </c>
      <c r="BI339" s="6">
        <f t="shared" si="266"/>
        <v>1.0091005810541598</v>
      </c>
      <c r="BJ339">
        <v>301.73278688465439</v>
      </c>
      <c r="BK339">
        <v>-68.647292742743403</v>
      </c>
      <c r="BV339" s="38"/>
      <c r="BW339" s="6">
        <f t="shared" si="267"/>
        <v>5.6548667764615885</v>
      </c>
      <c r="BX339" s="9">
        <f t="shared" ca="1" si="268"/>
        <v>-171.93047732390784</v>
      </c>
      <c r="BY339" s="9">
        <f t="shared" ca="1" si="269"/>
        <v>42.50797204058361</v>
      </c>
      <c r="BZ339">
        <f t="shared" ca="1" si="270"/>
        <v>177.10735930454675</v>
      </c>
      <c r="CA339" s="6">
        <f t="shared" ca="1" si="271"/>
        <v>-0.97076980877041397</v>
      </c>
      <c r="CB339" s="6">
        <f t="shared" ca="1" si="272"/>
        <v>0.24001245463486698</v>
      </c>
      <c r="CC339" s="6">
        <f t="shared" ca="1" si="273"/>
        <v>2.8992139729232478</v>
      </c>
      <c r="CD339" s="6">
        <f t="shared" ca="1" si="274"/>
        <v>214.16477122430388</v>
      </c>
      <c r="CE339" s="9">
        <f t="shared" ca="1" si="275"/>
        <v>-123.25273667404896</v>
      </c>
      <c r="CF339">
        <f t="shared" ca="1" si="276"/>
        <v>247.09873802025146</v>
      </c>
      <c r="CG339" s="6">
        <f t="shared" ca="1" si="277"/>
        <v>0.8667173816434125</v>
      </c>
      <c r="CH339" s="6">
        <f t="shared" ca="1" si="278"/>
        <v>-0.49879953925117798</v>
      </c>
      <c r="CI339" s="6">
        <f t="shared" ca="1" si="279"/>
        <v>-0.5222131567207019</v>
      </c>
      <c r="CJ339" s="1">
        <f t="shared" ca="1" si="280"/>
        <v>1.3076113201181503</v>
      </c>
      <c r="CK339" s="38"/>
    </row>
    <row r="340" spans="55:89" x14ac:dyDescent="0.25">
      <c r="BC340">
        <v>5.8992128717407919</v>
      </c>
      <c r="BD340">
        <v>272.00724331350904</v>
      </c>
      <c r="BE340">
        <v>-60.918757006293937</v>
      </c>
      <c r="BF340" s="6">
        <f t="shared" si="263"/>
        <v>6.0628609202117172</v>
      </c>
      <c r="BG340" s="6">
        <f t="shared" si="264"/>
        <v>0.16364804847092529</v>
      </c>
      <c r="BH340" s="6">
        <f t="shared" si="265"/>
        <v>1.0057225503653175</v>
      </c>
      <c r="BI340" s="6">
        <f t="shared" si="266"/>
        <v>1.0057225503653175</v>
      </c>
      <c r="BJ340">
        <v>302.23027034834337</v>
      </c>
      <c r="BK340">
        <v>-67.687507784771043</v>
      </c>
      <c r="BV340" s="38"/>
      <c r="BW340" s="6">
        <f t="shared" si="267"/>
        <v>5.6723200689815316</v>
      </c>
      <c r="BX340" s="9">
        <f t="shared" ca="1" si="268"/>
        <v>-172.61326391823235</v>
      </c>
      <c r="BY340" s="9">
        <f t="shared" ca="1" si="269"/>
        <v>41.608583377203516</v>
      </c>
      <c r="BZ340">
        <f t="shared" ca="1" si="270"/>
        <v>177.55735155482307</v>
      </c>
      <c r="CA340" s="6">
        <f t="shared" ca="1" si="271"/>
        <v>-0.97215498207595097</v>
      </c>
      <c r="CB340" s="6">
        <f t="shared" ca="1" si="272"/>
        <v>0.23433883763667393</v>
      </c>
      <c r="CC340" s="6">
        <f t="shared" ca="1" si="273"/>
        <v>2.9050542410574103</v>
      </c>
      <c r="CD340" s="6">
        <f t="shared" ca="1" si="274"/>
        <v>214.84755781862839</v>
      </c>
      <c r="CE340" s="9">
        <f t="shared" ca="1" si="275"/>
        <v>-122.35334801066887</v>
      </c>
      <c r="CF340">
        <f t="shared" ca="1" si="276"/>
        <v>247.24444355748165</v>
      </c>
      <c r="CG340" s="6">
        <f t="shared" ca="1" si="277"/>
        <v>0.86896819490577826</v>
      </c>
      <c r="CH340" s="6">
        <f t="shared" ca="1" si="278"/>
        <v>-0.494867938183707</v>
      </c>
      <c r="CI340" s="6">
        <f t="shared" ca="1" si="279"/>
        <v>-0.51768284962321376</v>
      </c>
      <c r="CJ340" s="1">
        <f t="shared" ca="1" si="280"/>
        <v>1.303081013020662</v>
      </c>
      <c r="CK340" s="38"/>
    </row>
    <row r="341" spans="55:89" x14ac:dyDescent="0.25">
      <c r="BC341">
        <v>5.916666164260735</v>
      </c>
      <c r="BD341">
        <v>272.43899121758039</v>
      </c>
      <c r="BE341">
        <v>-60.057224172826253</v>
      </c>
      <c r="BF341" s="6">
        <f t="shared" si="263"/>
        <v>6.0662126481680012</v>
      </c>
      <c r="BG341" s="6">
        <f t="shared" si="264"/>
        <v>0.14954648390726621</v>
      </c>
      <c r="BH341" s="6">
        <f t="shared" si="265"/>
        <v>1.0023708224090335</v>
      </c>
      <c r="BI341" s="6">
        <f t="shared" si="266"/>
        <v>1.0023708224090335</v>
      </c>
      <c r="BJ341">
        <v>302.70999024175597</v>
      </c>
      <c r="BK341">
        <v>-66.730249080918057</v>
      </c>
      <c r="BV341" s="38"/>
      <c r="BW341" s="6">
        <f t="shared" si="267"/>
        <v>5.6897733615014747</v>
      </c>
      <c r="BX341" s="9">
        <f t="shared" ca="1" si="268"/>
        <v>-173.27532809981557</v>
      </c>
      <c r="BY341" s="9">
        <f t="shared" ca="1" si="269"/>
        <v>40.71191747779973</v>
      </c>
      <c r="BZ341">
        <f t="shared" ca="1" si="270"/>
        <v>177.99381886126807</v>
      </c>
      <c r="CA341" s="6">
        <f t="shared" ca="1" si="271"/>
        <v>-0.97349070438715524</v>
      </c>
      <c r="CB341" s="6">
        <f t="shared" ca="1" si="272"/>
        <v>0.22872658016024372</v>
      </c>
      <c r="CC341" s="6">
        <f t="shared" ca="1" si="273"/>
        <v>2.910823268738064</v>
      </c>
      <c r="CD341" s="6">
        <f t="shared" ca="1" si="274"/>
        <v>215.50962200021161</v>
      </c>
      <c r="CE341" s="9">
        <f t="shared" ca="1" si="275"/>
        <v>-121.45668211126508</v>
      </c>
      <c r="CF341">
        <f t="shared" ca="1" si="276"/>
        <v>247.37850109528716</v>
      </c>
      <c r="CG341" s="6">
        <f t="shared" ca="1" si="277"/>
        <v>0.87117361066554422</v>
      </c>
      <c r="CH341" s="6">
        <f t="shared" ca="1" si="278"/>
        <v>-0.49097509109929266</v>
      </c>
      <c r="CI341" s="6">
        <f t="shared" ca="1" si="279"/>
        <v>-0.51320868484195048</v>
      </c>
      <c r="CJ341" s="1">
        <f t="shared" ca="1" si="280"/>
        <v>1.2986068482393986</v>
      </c>
      <c r="CK341" s="38"/>
    </row>
    <row r="342" spans="55:89" x14ac:dyDescent="0.25">
      <c r="BC342">
        <v>5.9341194567806781</v>
      </c>
      <c r="BD342">
        <v>272.85482964845369</v>
      </c>
      <c r="BE342">
        <v>-59.197933865641637</v>
      </c>
      <c r="BF342" s="6">
        <f t="shared" si="263"/>
        <v>6.0695387766619211</v>
      </c>
      <c r="BG342" s="6">
        <f t="shared" si="264"/>
        <v>0.13541931988124301</v>
      </c>
      <c r="BH342" s="6">
        <f t="shared" si="265"/>
        <v>0.99904469391511375</v>
      </c>
      <c r="BI342" s="6">
        <f t="shared" si="266"/>
        <v>0.99904469391511375</v>
      </c>
      <c r="BJ342">
        <v>303.17203294272633</v>
      </c>
      <c r="BK342">
        <v>-65.775482072935148</v>
      </c>
      <c r="BV342" s="38"/>
      <c r="BW342" s="6">
        <f t="shared" si="267"/>
        <v>5.7072266540214178</v>
      </c>
      <c r="BX342" s="9">
        <f t="shared" ca="1" si="268"/>
        <v>-173.91718061620202</v>
      </c>
      <c r="BY342" s="9">
        <f t="shared" ca="1" si="269"/>
        <v>39.818120350578695</v>
      </c>
      <c r="BZ342">
        <f t="shared" ca="1" si="270"/>
        <v>178.41711919471686</v>
      </c>
      <c r="CA342" s="6">
        <f t="shared" ca="1" si="271"/>
        <v>-0.974778549284815</v>
      </c>
      <c r="CB342" s="6">
        <f t="shared" ca="1" si="272"/>
        <v>0.22317432615377503</v>
      </c>
      <c r="CC342" s="6">
        <f t="shared" ca="1" si="273"/>
        <v>2.9165229316209498</v>
      </c>
      <c r="CD342" s="6">
        <f t="shared" ca="1" si="274"/>
        <v>216.15147451659806</v>
      </c>
      <c r="CE342" s="9">
        <f t="shared" ca="1" si="275"/>
        <v>-120.56288498404405</v>
      </c>
      <c r="CF342">
        <f t="shared" ca="1" si="276"/>
        <v>247.50125084810253</v>
      </c>
      <c r="CG342" s="6">
        <f t="shared" ca="1" si="277"/>
        <v>0.8733348772013092</v>
      </c>
      <c r="CH342" s="6">
        <f t="shared" ca="1" si="278"/>
        <v>-0.48712030573953097</v>
      </c>
      <c r="CI342" s="6">
        <f t="shared" ca="1" si="279"/>
        <v>-0.50878935514220514</v>
      </c>
      <c r="CJ342" s="1">
        <f t="shared" ca="1" si="280"/>
        <v>1.2941875185396534</v>
      </c>
      <c r="CK342" s="38"/>
    </row>
    <row r="343" spans="55:89" x14ac:dyDescent="0.25">
      <c r="BC343">
        <v>5.9515727493006212</v>
      </c>
      <c r="BD343">
        <v>273.25478055786994</v>
      </c>
      <c r="BE343">
        <v>-58.340887227671878</v>
      </c>
      <c r="BF343" s="6">
        <f t="shared" si="263"/>
        <v>6.0728398437049034</v>
      </c>
      <c r="BG343" s="6">
        <f t="shared" si="264"/>
        <v>0.12126709440428218</v>
      </c>
      <c r="BH343" s="6">
        <f t="shared" si="265"/>
        <v>0.99574362687213147</v>
      </c>
      <c r="BI343" s="6">
        <f t="shared" si="266"/>
        <v>0.99574362687213147</v>
      </c>
      <c r="BJ343">
        <v>303.61642284207772</v>
      </c>
      <c r="BK343">
        <v>-64.823208030746528</v>
      </c>
      <c r="BV343" s="38"/>
      <c r="BW343" s="6">
        <f t="shared" si="267"/>
        <v>5.7246799465413609</v>
      </c>
      <c r="BX343" s="9">
        <f t="shared" ca="1" si="268"/>
        <v>-174.53932850027604</v>
      </c>
      <c r="BY343" s="9">
        <f t="shared" ca="1" si="269"/>
        <v>38.92727434792927</v>
      </c>
      <c r="BZ343">
        <f t="shared" ca="1" si="270"/>
        <v>178.82759820980158</v>
      </c>
      <c r="CA343" s="6">
        <f t="shared" ca="1" si="271"/>
        <v>-0.97602009000593681</v>
      </c>
      <c r="CB343" s="6">
        <f t="shared" ca="1" si="272"/>
        <v>0.21768046284589454</v>
      </c>
      <c r="CC343" s="6">
        <f t="shared" ca="1" si="273"/>
        <v>2.9221553415204236</v>
      </c>
      <c r="CD343" s="6">
        <f t="shared" ca="1" si="274"/>
        <v>216.77362240067208</v>
      </c>
      <c r="CE343" s="9">
        <f t="shared" ca="1" si="275"/>
        <v>-119.67203898139462</v>
      </c>
      <c r="CF343">
        <f t="shared" ca="1" si="276"/>
        <v>247.61300507581097</v>
      </c>
      <c r="CG343" s="6">
        <f t="shared" ca="1" si="277"/>
        <v>0.87545329993593479</v>
      </c>
      <c r="CH343" s="6">
        <f t="shared" ca="1" si="278"/>
        <v>-0.48330272048818668</v>
      </c>
      <c r="CI343" s="6">
        <f t="shared" ca="1" si="279"/>
        <v>-0.50442338419488053</v>
      </c>
      <c r="CJ343" s="1">
        <f t="shared" ca="1" si="280"/>
        <v>1.2898215475923287</v>
      </c>
      <c r="CK343" s="38"/>
    </row>
    <row r="344" spans="55:89" x14ac:dyDescent="0.25">
      <c r="BC344">
        <v>5.9690260418205643</v>
      </c>
      <c r="BD344">
        <v>273.63880743943923</v>
      </c>
      <c r="BE344">
        <v>-57.486124884261223</v>
      </c>
      <c r="BF344" s="6">
        <f t="shared" si="263"/>
        <v>6.0761161984198475</v>
      </c>
      <c r="BG344" s="6">
        <f t="shared" si="264"/>
        <v>0.10709015659928323</v>
      </c>
      <c r="BH344" s="6">
        <f t="shared" si="265"/>
        <v>0.99246727215718722</v>
      </c>
      <c r="BI344" s="6">
        <f t="shared" si="266"/>
        <v>0.99246727215718722</v>
      </c>
      <c r="BJ344">
        <v>304.04311937715471</v>
      </c>
      <c r="BK344">
        <v>-63.873472093623576</v>
      </c>
      <c r="BV344" s="38"/>
      <c r="BW344" s="6">
        <f t="shared" si="267"/>
        <v>5.742133239061304</v>
      </c>
      <c r="BX344" s="9">
        <f t="shared" ca="1" si="268"/>
        <v>-175.14226666179144</v>
      </c>
      <c r="BY344" s="9">
        <f t="shared" ca="1" si="269"/>
        <v>38.039410414788506</v>
      </c>
      <c r="BZ344">
        <f t="shared" ca="1" si="270"/>
        <v>179.22558499314428</v>
      </c>
      <c r="CA344" s="6">
        <f t="shared" ca="1" si="271"/>
        <v>-0.97721687820681946</v>
      </c>
      <c r="CB344" s="6">
        <f t="shared" ca="1" si="272"/>
        <v>0.21224319293611782</v>
      </c>
      <c r="CC344" s="6">
        <f t="shared" ca="1" si="273"/>
        <v>2.9277227723582158</v>
      </c>
      <c r="CD344" s="6">
        <f t="shared" ca="1" si="274"/>
        <v>217.37656056218748</v>
      </c>
      <c r="CE344" s="9">
        <f t="shared" ca="1" si="275"/>
        <v>-118.78417504825386</v>
      </c>
      <c r="CF344">
        <f t="shared" ca="1" si="276"/>
        <v>247.71404748972265</v>
      </c>
      <c r="CG344" s="6">
        <f t="shared" ca="1" si="277"/>
        <v>0.87753021181088309</v>
      </c>
      <c r="CH344" s="6">
        <f t="shared" ca="1" si="278"/>
        <v>-0.47952135234955567</v>
      </c>
      <c r="CI344" s="6">
        <f t="shared" ca="1" si="279"/>
        <v>-0.50010918243738312</v>
      </c>
      <c r="CJ344" s="1">
        <f t="shared" ca="1" si="280"/>
        <v>1.2855073458348314</v>
      </c>
      <c r="CK344" s="38"/>
    </row>
    <row r="345" spans="55:89" x14ac:dyDescent="0.25">
      <c r="BC345">
        <v>5.9864793343405074</v>
      </c>
      <c r="BD345">
        <v>274.00681302344333</v>
      </c>
      <c r="BE345">
        <v>-56.633734590915019</v>
      </c>
      <c r="BF345" s="6">
        <f t="shared" si="263"/>
        <v>6.0793679762697286</v>
      </c>
      <c r="BG345" s="6">
        <f t="shared" si="264"/>
        <v>9.2888641929221194E-2</v>
      </c>
      <c r="BH345" s="6">
        <f t="shared" si="265"/>
        <v>0.98921549430730615</v>
      </c>
      <c r="BI345" s="6">
        <f t="shared" si="266"/>
        <v>0.98921549430730615</v>
      </c>
      <c r="BJ345">
        <v>304.4520144704926</v>
      </c>
      <c r="BK345">
        <v>-62.926371767683349</v>
      </c>
      <c r="BV345" s="38"/>
      <c r="BW345" s="6">
        <f t="shared" si="267"/>
        <v>5.7595865315812471</v>
      </c>
      <c r="BX345" s="9">
        <f t="shared" ca="1" si="268"/>
        <v>-175.72647113799519</v>
      </c>
      <c r="BY345" s="9">
        <f t="shared" ca="1" si="269"/>
        <v>37.154518540567096</v>
      </c>
      <c r="BZ345">
        <f t="shared" ca="1" si="270"/>
        <v>179.61138857709997</v>
      </c>
      <c r="CA345" s="6">
        <f t="shared" ca="1" si="271"/>
        <v>-0.97837042812328601</v>
      </c>
      <c r="CB345" s="6">
        <f t="shared" ca="1" si="272"/>
        <v>0.20686059405758755</v>
      </c>
      <c r="CC345" s="6">
        <f t="shared" ca="1" si="273"/>
        <v>2.9332275997506176</v>
      </c>
      <c r="CD345" s="6">
        <f t="shared" ca="1" si="274"/>
        <v>217.96076503839123</v>
      </c>
      <c r="CE345" s="9">
        <f t="shared" ca="1" si="275"/>
        <v>-117.89928317403245</v>
      </c>
      <c r="CF345">
        <f t="shared" ca="1" si="276"/>
        <v>247.80463286442301</v>
      </c>
      <c r="CG345" s="6">
        <f t="shared" ca="1" si="277"/>
        <v>0.87956694965279469</v>
      </c>
      <c r="CH345" s="6">
        <f t="shared" ca="1" si="278"/>
        <v>-0.47577513709574837</v>
      </c>
      <c r="CI345" s="6">
        <f t="shared" ca="1" si="279"/>
        <v>-0.49584509316596032</v>
      </c>
      <c r="CJ345" s="1">
        <f t="shared" ca="1" si="280"/>
        <v>1.2812432565634087</v>
      </c>
      <c r="CK345" s="38"/>
    </row>
    <row r="346" spans="55:89" x14ac:dyDescent="0.25">
      <c r="BC346">
        <v>6.0039326268604505</v>
      </c>
      <c r="BD346">
        <v>274.35863779840855</v>
      </c>
      <c r="BE346">
        <v>-55.783859059067453</v>
      </c>
      <c r="BF346" s="6">
        <f t="shared" si="263"/>
        <v>6.0825950742380606</v>
      </c>
      <c r="BG346" s="6">
        <f t="shared" si="264"/>
        <v>7.8662447377610079E-2</v>
      </c>
      <c r="BH346" s="6">
        <f t="shared" si="265"/>
        <v>0.98598839633897428</v>
      </c>
      <c r="BI346" s="6">
        <f t="shared" si="266"/>
        <v>0.98598839633897428</v>
      </c>
      <c r="BJ346">
        <v>304.84293088712059</v>
      </c>
      <c r="BK346">
        <v>-61.982065621186059</v>
      </c>
      <c r="BV346" s="38"/>
      <c r="BW346" s="6">
        <f t="shared" si="267"/>
        <v>5.7770398241011902</v>
      </c>
      <c r="BX346" s="9">
        <f t="shared" ca="1" si="268"/>
        <v>-176.29239362421106</v>
      </c>
      <c r="BY346" s="9">
        <f t="shared" ca="1" si="269"/>
        <v>36.272556795954117</v>
      </c>
      <c r="BZ346">
        <f t="shared" ca="1" si="270"/>
        <v>179.98529502787022</v>
      </c>
      <c r="CA346" s="6">
        <f t="shared" ca="1" si="271"/>
        <v>-0.97948220490408766</v>
      </c>
      <c r="CB346" s="6">
        <f t="shared" ca="1" si="272"/>
        <v>0.20153066832675087</v>
      </c>
      <c r="CC346" s="6">
        <f t="shared" ca="1" si="273"/>
        <v>2.9386722511754737</v>
      </c>
      <c r="CD346" s="6">
        <f t="shared" ca="1" si="274"/>
        <v>218.5266875246071</v>
      </c>
      <c r="CE346" s="9">
        <f t="shared" ca="1" si="275"/>
        <v>-117.01732142941947</v>
      </c>
      <c r="CF346">
        <f t="shared" ca="1" si="276"/>
        <v>247.88498678821463</v>
      </c>
      <c r="CG346" s="6">
        <f t="shared" ca="1" si="277"/>
        <v>0.88156483519233708</v>
      </c>
      <c r="CH346" s="6">
        <f t="shared" ca="1" si="278"/>
        <v>-0.47206296333466735</v>
      </c>
      <c r="CI346" s="6">
        <f t="shared" ca="1" si="279"/>
        <v>-0.49162943106122337</v>
      </c>
      <c r="CJ346" s="1">
        <f t="shared" ca="1" si="280"/>
        <v>1.2770275944586715</v>
      </c>
      <c r="CK346" s="38"/>
    </row>
    <row r="347" spans="55:89" x14ac:dyDescent="0.25">
      <c r="BC347">
        <v>6.0213859193803936</v>
      </c>
      <c r="BD347">
        <v>274.69406015287007</v>
      </c>
      <c r="BE347">
        <v>-54.936703378667218</v>
      </c>
      <c r="BF347" s="6">
        <f t="shared" si="263"/>
        <v>6.0857971284609258</v>
      </c>
      <c r="BG347" s="6">
        <f t="shared" si="264"/>
        <v>6.4411209080532217E-2</v>
      </c>
      <c r="BH347" s="6">
        <f t="shared" si="265"/>
        <v>0.98278634211610905</v>
      </c>
      <c r="BI347" s="6">
        <f t="shared" si="266"/>
        <v>0.98278634211610905</v>
      </c>
      <c r="BJ347">
        <v>305.21562239207782</v>
      </c>
      <c r="BK347">
        <v>-61.04078153185246</v>
      </c>
      <c r="BV347" s="38"/>
      <c r="BW347" s="6">
        <f t="shared" si="267"/>
        <v>5.7944931166211333</v>
      </c>
      <c r="BX347" s="9">
        <f t="shared" ca="1" si="268"/>
        <v>-176.84045693312953</v>
      </c>
      <c r="BY347" s="9">
        <f t="shared" ca="1" si="269"/>
        <v>35.393459267685344</v>
      </c>
      <c r="BZ347">
        <f t="shared" ca="1" si="270"/>
        <v>180.34756490524441</v>
      </c>
      <c r="CA347" s="6">
        <f t="shared" ca="1" si="271"/>
        <v>-0.98055361615801395</v>
      </c>
      <c r="CB347" s="6">
        <f t="shared" ca="1" si="272"/>
        <v>0.19625138429942904</v>
      </c>
      <c r="CC347" s="6">
        <f t="shared" ca="1" si="273"/>
        <v>2.9440591642145426</v>
      </c>
      <c r="CD347" s="6">
        <f t="shared" ca="1" si="274"/>
        <v>219.07475083352557</v>
      </c>
      <c r="CE347" s="9">
        <f t="shared" ca="1" si="275"/>
        <v>-116.1382239011507</v>
      </c>
      <c r="CF347">
        <f t="shared" ca="1" si="276"/>
        <v>247.95530545581218</v>
      </c>
      <c r="CG347" s="6">
        <f t="shared" ca="1" si="277"/>
        <v>0.88352515962828071</v>
      </c>
      <c r="CH347" s="6">
        <f t="shared" ca="1" si="278"/>
        <v>-0.46838370200490648</v>
      </c>
      <c r="CI347" s="6">
        <f t="shared" ca="1" si="279"/>
        <v>-0.48746051501524118</v>
      </c>
      <c r="CJ347" s="1">
        <f t="shared" ca="1" si="280"/>
        <v>1.2728586784126894</v>
      </c>
      <c r="CK347" s="38"/>
    </row>
    <row r="348" spans="55:89" x14ac:dyDescent="0.25">
      <c r="BC348">
        <v>6.0388392119003367</v>
      </c>
      <c r="BD348">
        <v>275.01279946025653</v>
      </c>
      <c r="BE348">
        <v>-54.092540782709676</v>
      </c>
      <c r="BF348" s="6">
        <f t="shared" si="263"/>
        <v>6.08897349946026</v>
      </c>
      <c r="BG348" s="6">
        <f t="shared" si="264"/>
        <v>5.013428755992333E-2</v>
      </c>
      <c r="BH348" s="6">
        <f t="shared" si="265"/>
        <v>0.97960997111677472</v>
      </c>
      <c r="BI348" s="6">
        <f t="shared" si="266"/>
        <v>0.97960997111677472</v>
      </c>
      <c r="BJ348">
        <v>305.56977717806279</v>
      </c>
      <c r="BK348">
        <v>-60.102823091899637</v>
      </c>
      <c r="BV348" s="38"/>
      <c r="BW348" s="6">
        <f t="shared" si="267"/>
        <v>5.8119464091410764</v>
      </c>
      <c r="BX348" s="9">
        <f t="shared" ca="1" si="268"/>
        <v>-177.3710511586271</v>
      </c>
      <c r="BY348" s="9">
        <f t="shared" ca="1" si="269"/>
        <v>34.517143156073047</v>
      </c>
      <c r="BZ348">
        <f t="shared" ca="1" si="270"/>
        <v>180.6984309859196</v>
      </c>
      <c r="CA348" s="6">
        <f t="shared" ca="1" si="271"/>
        <v>-0.98158600598169121</v>
      </c>
      <c r="CB348" s="6">
        <f t="shared" ca="1" si="272"/>
        <v>0.1910207131724497</v>
      </c>
      <c r="CC348" s="6">
        <f t="shared" ca="1" si="273"/>
        <v>2.9493907508941501</v>
      </c>
      <c r="CD348" s="6">
        <f t="shared" ca="1" si="274"/>
        <v>219.60534505902314</v>
      </c>
      <c r="CE348" s="9">
        <f t="shared" ca="1" si="275"/>
        <v>-115.2619077895384</v>
      </c>
      <c r="CF348">
        <f t="shared" ca="1" si="276"/>
        <v>248.01575547891443</v>
      </c>
      <c r="CG348" s="6">
        <f t="shared" ca="1" si="277"/>
        <v>0.88544917090032749</v>
      </c>
      <c r="CH348" s="6">
        <f t="shared" ca="1" si="278"/>
        <v>-0.46473623245010992</v>
      </c>
      <c r="CI348" s="6">
        <f t="shared" ca="1" si="279"/>
        <v>-0.48333669668411805</v>
      </c>
      <c r="CJ348" s="1">
        <f t="shared" ca="1" si="280"/>
        <v>1.2687348600815662</v>
      </c>
      <c r="CK348" s="38"/>
    </row>
    <row r="349" spans="55:89" x14ac:dyDescent="0.25">
      <c r="BC349">
        <v>6.0562925044202798</v>
      </c>
      <c r="BD349">
        <v>275.31452449045133</v>
      </c>
      <c r="BE349">
        <v>-53.251714176937028</v>
      </c>
      <c r="BF349" s="6">
        <f t="shared" si="263"/>
        <v>6.0921232753614731</v>
      </c>
      <c r="BG349" s="6">
        <f t="shared" si="264"/>
        <v>3.5830770941193357E-2</v>
      </c>
      <c r="BH349" s="6">
        <f t="shared" si="265"/>
        <v>0.9764601952155616</v>
      </c>
      <c r="BI349" s="6">
        <f t="shared" si="266"/>
        <v>0.9764601952155616</v>
      </c>
      <c r="BJ349">
        <v>305.90502721161261</v>
      </c>
      <c r="BK349">
        <v>-59.168571307707808</v>
      </c>
      <c r="BV349" s="38"/>
      <c r="BW349" s="6">
        <f t="shared" si="267"/>
        <v>5.8293997016610195</v>
      </c>
      <c r="BX349" s="9">
        <f t="shared" ca="1" si="268"/>
        <v>-177.88453032458898</v>
      </c>
      <c r="BY349" s="9">
        <f t="shared" ca="1" si="269"/>
        <v>33.643515260542998</v>
      </c>
      <c r="BZ349">
        <f t="shared" ca="1" si="270"/>
        <v>181.03809612312543</v>
      </c>
      <c r="CA349" s="6">
        <f t="shared" ca="1" si="271"/>
        <v>-0.98258065089023205</v>
      </c>
      <c r="CB349" s="6">
        <f t="shared" ca="1" si="272"/>
        <v>0.18583666079686223</v>
      </c>
      <c r="CC349" s="6">
        <f t="shared" ca="1" si="273"/>
        <v>2.9546693664537509</v>
      </c>
      <c r="CD349" s="6">
        <f t="shared" ca="1" si="274"/>
        <v>220.11882422498502</v>
      </c>
      <c r="CE349" s="9">
        <f t="shared" ca="1" si="275"/>
        <v>-114.38827989400835</v>
      </c>
      <c r="CF349">
        <f t="shared" ca="1" si="276"/>
        <v>248.06647366240335</v>
      </c>
      <c r="CG349" s="6">
        <f t="shared" ca="1" si="277"/>
        <v>0.88733806296028284</v>
      </c>
      <c r="CH349" s="6">
        <f t="shared" ca="1" si="278"/>
        <v>-0.46111946610601129</v>
      </c>
      <c r="CI349" s="6">
        <f t="shared" ca="1" si="279"/>
        <v>-0.47925638602181869</v>
      </c>
      <c r="CJ349" s="1">
        <f t="shared" ca="1" si="280"/>
        <v>1.2646545494192669</v>
      </c>
      <c r="CK349" s="38"/>
    </row>
    <row r="350" spans="55:89" x14ac:dyDescent="0.25">
      <c r="BC350">
        <v>6.0737457969402229</v>
      </c>
      <c r="BD350">
        <v>275.59887119879022</v>
      </c>
      <c r="BE350">
        <v>-52.414628201772537</v>
      </c>
      <c r="BF350" s="6">
        <f t="shared" si="263"/>
        <v>6.0952453136994134</v>
      </c>
      <c r="BG350" s="6">
        <f t="shared" si="264"/>
        <v>2.1499516759190485E-2</v>
      </c>
      <c r="BH350" s="6">
        <f t="shared" si="265"/>
        <v>0.97333815687762137</v>
      </c>
      <c r="BI350" s="6">
        <f t="shared" si="266"/>
        <v>0.97333815687762137</v>
      </c>
      <c r="BJ350">
        <v>306.22096799865579</v>
      </c>
      <c r="BK350">
        <v>-58.238475779747262</v>
      </c>
      <c r="BV350" s="38"/>
      <c r="BW350" s="6">
        <f t="shared" si="267"/>
        <v>5.8468529941809626</v>
      </c>
      <c r="BX350" s="9">
        <f t="shared" ca="1" si="268"/>
        <v>-178.38120935639461</v>
      </c>
      <c r="BY350" s="9">
        <f t="shared" ca="1" si="269"/>
        <v>32.772478050627129</v>
      </c>
      <c r="BZ350">
        <f t="shared" ca="1" si="270"/>
        <v>181.36673115273572</v>
      </c>
      <c r="CA350" s="6">
        <f t="shared" ca="1" si="271"/>
        <v>-0.98353875720554895</v>
      </c>
      <c r="CB350" s="6">
        <f t="shared" ca="1" si="272"/>
        <v>0.18069729681034058</v>
      </c>
      <c r="CC350" s="6">
        <f t="shared" ca="1" si="273"/>
        <v>2.9598972811571866</v>
      </c>
      <c r="CD350" s="6">
        <f t="shared" ca="1" si="274"/>
        <v>220.61550325679065</v>
      </c>
      <c r="CE350" s="9">
        <f t="shared" ca="1" si="275"/>
        <v>-113.51724268409248</v>
      </c>
      <c r="CF350">
        <f t="shared" ca="1" si="276"/>
        <v>248.10756672025576</v>
      </c>
      <c r="CG350" s="6">
        <f t="shared" ca="1" si="277"/>
        <v>0.88919296647464707</v>
      </c>
      <c r="CH350" s="6">
        <f t="shared" ca="1" si="278"/>
        <v>-0.45753236866042268</v>
      </c>
      <c r="CI350" s="6">
        <f t="shared" ca="1" si="279"/>
        <v>-0.47521807482848644</v>
      </c>
      <c r="CJ350" s="1">
        <f t="shared" ca="1" si="280"/>
        <v>1.2606162382259347</v>
      </c>
      <c r="CK350" s="38"/>
    </row>
    <row r="351" spans="55:89" x14ac:dyDescent="0.25">
      <c r="BC351">
        <v>6.091199089460166</v>
      </c>
      <c r="BD351">
        <v>275.86547723921336</v>
      </c>
      <c r="BE351">
        <v>-51.581721085314186</v>
      </c>
      <c r="BF351" s="6">
        <f t="shared" si="263"/>
        <v>6.0983383635685184</v>
      </c>
      <c r="BG351" s="6">
        <f t="shared" si="264"/>
        <v>7.1392741083524669E-3</v>
      </c>
      <c r="BH351" s="6">
        <f t="shared" si="265"/>
        <v>0.97024510700851629</v>
      </c>
      <c r="BI351" s="6">
        <f t="shared" si="266"/>
        <v>0.97024510700851629</v>
      </c>
      <c r="BJ351">
        <v>306.51719693245929</v>
      </c>
      <c r="BK351">
        <v>-57.313023428126868</v>
      </c>
      <c r="BV351" s="38"/>
      <c r="BW351" s="6">
        <f t="shared" si="267"/>
        <v>5.8643062867009057</v>
      </c>
      <c r="BX351" s="9">
        <f t="shared" ca="1" si="268"/>
        <v>-178.86136124230728</v>
      </c>
      <c r="BY351" s="9">
        <f t="shared" ca="1" si="269"/>
        <v>31.903935498680163</v>
      </c>
      <c r="BZ351">
        <f t="shared" ca="1" si="270"/>
        <v>181.68447277011617</v>
      </c>
      <c r="CA351" s="6">
        <f t="shared" ca="1" si="271"/>
        <v>-0.98446145955807163</v>
      </c>
      <c r="CB351" s="6">
        <f t="shared" ca="1" si="272"/>
        <v>0.1756007820164574</v>
      </c>
      <c r="CC351" s="6">
        <f t="shared" ca="1" si="273"/>
        <v>2.965076653961364</v>
      </c>
      <c r="CD351" s="6">
        <f t="shared" ca="1" si="274"/>
        <v>221.09565514270332</v>
      </c>
      <c r="CE351" s="9">
        <f t="shared" ca="1" si="275"/>
        <v>-112.64870013214551</v>
      </c>
      <c r="CF351">
        <f t="shared" ca="1" si="276"/>
        <v>248.13911091249449</v>
      </c>
      <c r="CG351" s="6">
        <f t="shared" ca="1" si="277"/>
        <v>0.89101494048905516</v>
      </c>
      <c r="CH351" s="6">
        <f t="shared" ca="1" si="278"/>
        <v>-0.45397398144088108</v>
      </c>
      <c r="CI351" s="6">
        <f t="shared" ca="1" si="279"/>
        <v>-0.47122035920603333</v>
      </c>
      <c r="CJ351" s="1">
        <f t="shared" ca="1" si="280"/>
        <v>1.2566185226034816</v>
      </c>
      <c r="CK351" s="38"/>
    </row>
    <row r="352" spans="55:89" x14ac:dyDescent="0.25">
      <c r="BC352">
        <v>6.1086523819801091</v>
      </c>
      <c r="BD352">
        <v>276.11404667603404</v>
      </c>
      <c r="BE352">
        <v>-50.753393643935745</v>
      </c>
      <c r="BF352" s="6">
        <f t="shared" si="263"/>
        <v>6.1014013550131256</v>
      </c>
      <c r="BG352" s="6">
        <f t="shared" si="264"/>
        <v>7.2510269669834315E-3</v>
      </c>
      <c r="BH352" s="6">
        <f t="shared" si="265"/>
        <v>0.9671821155639091</v>
      </c>
      <c r="BI352" s="6">
        <f t="shared" si="266"/>
        <v>0.9671821155639091</v>
      </c>
      <c r="BJ352">
        <v>306.79338519559337</v>
      </c>
      <c r="BK352">
        <v>-56.392659604373051</v>
      </c>
      <c r="BV352" s="38"/>
      <c r="BW352" s="6">
        <f t="shared" si="267"/>
        <v>5.8817595792208488</v>
      </c>
      <c r="BX352" s="9">
        <f t="shared" ca="1" si="268"/>
        <v>-179.32521429579293</v>
      </c>
      <c r="BY352" s="9">
        <f t="shared" ca="1" si="269"/>
        <v>31.037798835003713</v>
      </c>
      <c r="BZ352">
        <f t="shared" ca="1" si="270"/>
        <v>181.99142133285903</v>
      </c>
      <c r="CA352" s="6">
        <f t="shared" ca="1" si="271"/>
        <v>-0.98534982024130879</v>
      </c>
      <c r="CB352" s="6">
        <f t="shared" ca="1" si="272"/>
        <v>0.17054539498450391</v>
      </c>
      <c r="CC352" s="6">
        <f t="shared" ca="1" si="273"/>
        <v>2.9702095070266439</v>
      </c>
      <c r="CD352" s="6">
        <f t="shared" ca="1" si="274"/>
        <v>221.55950819618897</v>
      </c>
      <c r="CE352" s="9">
        <f t="shared" ca="1" si="275"/>
        <v>-111.78256346846906</v>
      </c>
      <c r="CF352">
        <f t="shared" ca="1" si="276"/>
        <v>248.16115160862597</v>
      </c>
      <c r="CG352" s="6">
        <f t="shared" ca="1" si="277"/>
        <v>0.8928049646771854</v>
      </c>
      <c r="CH352" s="6">
        <f t="shared" ca="1" si="278"/>
        <v>-0.45044344267373859</v>
      </c>
      <c r="CI352" s="6">
        <f t="shared" ca="1" si="279"/>
        <v>-0.46726196167168421</v>
      </c>
      <c r="CJ352" s="1">
        <f t="shared" ca="1" si="280"/>
        <v>1.2526601250691325</v>
      </c>
      <c r="CK352" s="38"/>
    </row>
    <row r="353" spans="55:89" x14ac:dyDescent="0.25">
      <c r="BC353">
        <v>6.1261056745000522</v>
      </c>
      <c r="BD353">
        <v>276.34447062260585</v>
      </c>
      <c r="BE353">
        <v>-49.929845810898293</v>
      </c>
      <c r="BF353" s="6">
        <f t="shared" si="263"/>
        <v>6.1044340439966254</v>
      </c>
      <c r="BG353" s="6">
        <f t="shared" si="264"/>
        <v>2.1671630503426798E-2</v>
      </c>
      <c r="BH353" s="6">
        <f t="shared" si="265"/>
        <v>0.96414942658040947</v>
      </c>
      <c r="BI353" s="6">
        <f t="shared" si="266"/>
        <v>0.96414942658040947</v>
      </c>
      <c r="BJ353">
        <v>307.04941180289541</v>
      </c>
      <c r="BK353">
        <v>-55.477606456553659</v>
      </c>
      <c r="BV353" s="38"/>
      <c r="BW353" s="6">
        <f t="shared" si="267"/>
        <v>5.8992128717407919</v>
      </c>
      <c r="BX353" s="9">
        <f t="shared" ca="1" si="268"/>
        <v>-179.772949413113</v>
      </c>
      <c r="BY353" s="9">
        <f t="shared" ca="1" si="269"/>
        <v>30.173992372828586</v>
      </c>
      <c r="BZ353">
        <f t="shared" ca="1" si="270"/>
        <v>182.28763851782492</v>
      </c>
      <c r="CA353" s="6">
        <f t="shared" ca="1" si="271"/>
        <v>-0.98620482921848795</v>
      </c>
      <c r="CB353" s="6">
        <f t="shared" ca="1" si="272"/>
        <v>0.1655295587686163</v>
      </c>
      <c r="CC353" s="6">
        <f t="shared" ca="1" si="273"/>
        <v>2.9752977001393348</v>
      </c>
      <c r="CD353" s="6">
        <f t="shared" ca="1" si="274"/>
        <v>222.00724331350904</v>
      </c>
      <c r="CE353" s="9">
        <f t="shared" ca="1" si="275"/>
        <v>-110.91875700629393</v>
      </c>
      <c r="CF353">
        <f t="shared" ca="1" si="276"/>
        <v>248.17370275572085</v>
      </c>
      <c r="CG353" s="6">
        <f t="shared" ca="1" si="277"/>
        <v>0.89456393182815319</v>
      </c>
      <c r="CH353" s="6">
        <f t="shared" ca="1" si="278"/>
        <v>-0.44694000925421196</v>
      </c>
      <c r="CI353" s="6">
        <f t="shared" ca="1" si="279"/>
        <v>-0.46334175366131097</v>
      </c>
      <c r="CJ353" s="1">
        <f t="shared" ca="1" si="280"/>
        <v>1.2487399170587592</v>
      </c>
      <c r="CK353" s="38"/>
    </row>
    <row r="354" spans="55:89" x14ac:dyDescent="0.25">
      <c r="BC354">
        <v>6.1435589670199953</v>
      </c>
      <c r="BD354">
        <v>276.5569781161779</v>
      </c>
      <c r="BE354">
        <v>-49.110824312841871</v>
      </c>
      <c r="BF354" s="6">
        <f t="shared" si="263"/>
        <v>6.1074379811754795</v>
      </c>
      <c r="BG354" s="6">
        <f t="shared" si="264"/>
        <v>3.6120985844515729E-2</v>
      </c>
      <c r="BH354" s="6">
        <f t="shared" si="265"/>
        <v>0.96114548940155531</v>
      </c>
      <c r="BI354" s="6">
        <f t="shared" si="266"/>
        <v>0.96114548940155531</v>
      </c>
      <c r="BJ354">
        <v>307.28553124019766</v>
      </c>
      <c r="BK354">
        <v>-54.567582569824296</v>
      </c>
      <c r="BV354" s="38"/>
      <c r="BW354" s="6">
        <f t="shared" si="267"/>
        <v>5.916666164260735</v>
      </c>
      <c r="BX354" s="9">
        <f t="shared" ca="1" si="268"/>
        <v>-180.20469731718435</v>
      </c>
      <c r="BY354" s="9">
        <f t="shared" ca="1" si="269"/>
        <v>29.312459539360901</v>
      </c>
      <c r="BZ354">
        <f t="shared" ca="1" si="270"/>
        <v>182.57314484727675</v>
      </c>
      <c r="CA354" s="6">
        <f t="shared" ca="1" si="271"/>
        <v>-0.98702740464884031</v>
      </c>
      <c r="CB354" s="6">
        <f t="shared" ca="1" si="272"/>
        <v>0.1605518684792383</v>
      </c>
      <c r="CC354" s="6">
        <f t="shared" ca="1" si="273"/>
        <v>2.9803429042925957</v>
      </c>
      <c r="CD354" s="6">
        <f t="shared" ca="1" si="274"/>
        <v>222.43899121758039</v>
      </c>
      <c r="CE354" s="9">
        <f t="shared" ca="1" si="275"/>
        <v>-110.05722417282625</v>
      </c>
      <c r="CF354">
        <f t="shared" ca="1" si="276"/>
        <v>248.1767463049722</v>
      </c>
      <c r="CG354" s="6">
        <f t="shared" ca="1" si="277"/>
        <v>0.89629264034365275</v>
      </c>
      <c r="CH354" s="6">
        <f t="shared" ca="1" si="278"/>
        <v>-0.44346307948441849</v>
      </c>
      <c r="CI354" s="6">
        <f t="shared" ca="1" si="279"/>
        <v>-0.4594587789382592</v>
      </c>
      <c r="CJ354" s="1">
        <f t="shared" ca="1" si="280"/>
        <v>1.2448569423357074</v>
      </c>
      <c r="CK354" s="38"/>
    </row>
    <row r="355" spans="55:89" x14ac:dyDescent="0.25">
      <c r="BC355">
        <v>6.1610122595399384</v>
      </c>
      <c r="BD355">
        <v>276.75195690141186</v>
      </c>
      <c r="BE355">
        <v>-48.295811345445429</v>
      </c>
      <c r="BF355" s="6">
        <f t="shared" si="263"/>
        <v>6.1104157253315616</v>
      </c>
      <c r="BG355" s="6">
        <f t="shared" si="264"/>
        <v>5.0596534208376731E-2</v>
      </c>
      <c r="BH355" s="6">
        <f t="shared" si="265"/>
        <v>0.95816774524547321</v>
      </c>
      <c r="BI355" s="6">
        <f t="shared" si="266"/>
        <v>0.95816774524547321</v>
      </c>
      <c r="BJ355">
        <v>307.50217433490207</v>
      </c>
      <c r="BK355">
        <v>-53.662012606050475</v>
      </c>
      <c r="BV355" s="38"/>
      <c r="BW355" s="6">
        <f t="shared" si="267"/>
        <v>5.9341194567806781</v>
      </c>
      <c r="BX355" s="9">
        <f t="shared" ca="1" si="268"/>
        <v>-180.62053574805765</v>
      </c>
      <c r="BY355" s="9">
        <f t="shared" ca="1" si="269"/>
        <v>28.453169232176286</v>
      </c>
      <c r="BZ355">
        <f t="shared" ca="1" si="270"/>
        <v>182.84791706024501</v>
      </c>
      <c r="CA355" s="6">
        <f t="shared" ca="1" si="271"/>
        <v>-0.98781839384337378</v>
      </c>
      <c r="CB355" s="6">
        <f t="shared" ca="1" si="272"/>
        <v>0.15561112037607458</v>
      </c>
      <c r="CC355" s="6">
        <f t="shared" ca="1" si="273"/>
        <v>2.9853465737422233</v>
      </c>
      <c r="CD355" s="6">
        <f t="shared" ca="1" si="274"/>
        <v>222.85482964845369</v>
      </c>
      <c r="CE355" s="9">
        <f t="shared" ca="1" si="275"/>
        <v>-109.19793386564163</v>
      </c>
      <c r="CF355">
        <f t="shared" ca="1" si="276"/>
        <v>248.17023161162251</v>
      </c>
      <c r="CG355" s="6">
        <f t="shared" ca="1" si="277"/>
        <v>0.89799178652987466</v>
      </c>
      <c r="CH355" s="6">
        <f t="shared" ca="1" si="278"/>
        <v>-0.44001221724502587</v>
      </c>
      <c r="CI355" s="6">
        <f t="shared" ca="1" si="279"/>
        <v>-0.45561227842483043</v>
      </c>
      <c r="CJ355" s="1">
        <f t="shared" ca="1" si="280"/>
        <v>1.2410104418222787</v>
      </c>
      <c r="CK355" s="38"/>
    </row>
    <row r="356" spans="55:89" x14ac:dyDescent="0.25">
      <c r="BC356">
        <v>6.1784655520598815</v>
      </c>
      <c r="BD356">
        <v>276.92975890512457</v>
      </c>
      <c r="BE356">
        <v>-47.484284398696637</v>
      </c>
      <c r="BF356" s="6">
        <f t="shared" si="263"/>
        <v>6.1133698092086064</v>
      </c>
      <c r="BG356" s="6">
        <f t="shared" si="264"/>
        <v>6.5095742851275062E-2</v>
      </c>
      <c r="BH356" s="6">
        <f t="shared" si="265"/>
        <v>0.95521366136842834</v>
      </c>
      <c r="BI356" s="6">
        <f t="shared" si="266"/>
        <v>0.95521366136842834</v>
      </c>
      <c r="BJ356">
        <v>307.69973211680508</v>
      </c>
      <c r="BK356">
        <v>-52.760315998551818</v>
      </c>
      <c r="BV356" s="38"/>
      <c r="BW356" s="6">
        <f t="shared" si="267"/>
        <v>5.9515727493006212</v>
      </c>
      <c r="BX356" s="9">
        <f t="shared" ca="1" si="268"/>
        <v>-181.0204866574739</v>
      </c>
      <c r="BY356" s="9">
        <f t="shared" ca="1" si="269"/>
        <v>27.596122594206527</v>
      </c>
      <c r="BZ356">
        <f t="shared" ca="1" si="270"/>
        <v>183.11188539235559</v>
      </c>
      <c r="CA356" s="6">
        <f t="shared" ca="1" si="271"/>
        <v>-0.98857857462173782</v>
      </c>
      <c r="CB356" s="6">
        <f t="shared" ca="1" si="272"/>
        <v>0.15070634292840168</v>
      </c>
      <c r="CC356" s="6">
        <f t="shared" ca="1" si="273"/>
        <v>2.9903099160837909</v>
      </c>
      <c r="CD356" s="6">
        <f t="shared" ca="1" si="274"/>
        <v>223.25478055786994</v>
      </c>
      <c r="CE356" s="9">
        <f t="shared" ca="1" si="275"/>
        <v>-108.34088722767189</v>
      </c>
      <c r="CF356">
        <f t="shared" ca="1" si="276"/>
        <v>248.15407489546041</v>
      </c>
      <c r="CG356" s="6">
        <f t="shared" ca="1" si="277"/>
        <v>0.8996619565966032</v>
      </c>
      <c r="CH356" s="6">
        <f t="shared" ca="1" si="278"/>
        <v>-0.43658717783825446</v>
      </c>
      <c r="CI356" s="6">
        <f t="shared" ca="1" si="279"/>
        <v>-0.45180171671297675</v>
      </c>
      <c r="CJ356" s="1">
        <f t="shared" ca="1" si="280"/>
        <v>1.2371998801104249</v>
      </c>
      <c r="CK356" s="38"/>
    </row>
    <row r="357" spans="55:89" x14ac:dyDescent="0.25">
      <c r="BC357">
        <v>6.1959188445798246</v>
      </c>
      <c r="BD357">
        <v>277.0906914115746</v>
      </c>
      <c r="BE357">
        <v>-46.675729655842005</v>
      </c>
      <c r="BF357" s="6">
        <f t="shared" si="263"/>
        <v>6.1163026904448907</v>
      </c>
      <c r="BG357" s="6">
        <f t="shared" si="264"/>
        <v>7.9616154134933836E-2</v>
      </c>
      <c r="BH357" s="6">
        <f t="shared" si="265"/>
        <v>0.95228078013214401</v>
      </c>
      <c r="BI357" s="6">
        <f t="shared" si="266"/>
        <v>0.95228078013214401</v>
      </c>
      <c r="BJ357">
        <v>307.87854601286068</v>
      </c>
      <c r="BK357">
        <v>-51.861921839824447</v>
      </c>
      <c r="BV357" s="38"/>
      <c r="BW357" s="6">
        <f t="shared" si="267"/>
        <v>5.9690260418205643</v>
      </c>
      <c r="BX357" s="9">
        <f t="shared" ca="1" si="268"/>
        <v>-181.40451353904319</v>
      </c>
      <c r="BY357" s="9">
        <f t="shared" ca="1" si="269"/>
        <v>26.741360250795871</v>
      </c>
      <c r="BZ357">
        <f t="shared" ca="1" si="270"/>
        <v>183.36493089028704</v>
      </c>
      <c r="CA357" s="6">
        <f t="shared" ca="1" si="271"/>
        <v>-0.98930865710403026</v>
      </c>
      <c r="CB357" s="6">
        <f t="shared" ca="1" si="272"/>
        <v>0.14583682998138867</v>
      </c>
      <c r="CC357" s="6">
        <f t="shared" ca="1" si="273"/>
        <v>2.9952338602099924</v>
      </c>
      <c r="CD357" s="6">
        <f t="shared" ca="1" si="274"/>
        <v>223.63880743943923</v>
      </c>
      <c r="CE357" s="9">
        <f t="shared" ca="1" si="275"/>
        <v>-107.48612488426122</v>
      </c>
      <c r="CF357">
        <f t="shared" ca="1" si="276"/>
        <v>248.12815889287853</v>
      </c>
      <c r="CG357" s="6">
        <f t="shared" ca="1" si="277"/>
        <v>0.90130361840950179</v>
      </c>
      <c r="CH357" s="6">
        <f t="shared" ca="1" si="278"/>
        <v>-0.43318793547597695</v>
      </c>
      <c r="CI357" s="6">
        <f t="shared" ca="1" si="279"/>
        <v>-0.44802681021518026</v>
      </c>
      <c r="CJ357" s="1">
        <f t="shared" ca="1" si="280"/>
        <v>1.2334249736126286</v>
      </c>
      <c r="CK357" s="38"/>
    </row>
    <row r="358" spans="55:89" x14ac:dyDescent="0.25">
      <c r="BC358">
        <v>6.2133721370997677</v>
      </c>
      <c r="BD358">
        <v>277.23501857245776</v>
      </c>
      <c r="BE358">
        <v>-45.869640668209264</v>
      </c>
      <c r="BF358" s="6">
        <f t="shared" si="263"/>
        <v>6.1192167605330647</v>
      </c>
      <c r="BG358" s="6">
        <f t="shared" si="264"/>
        <v>9.415537656670292E-2</v>
      </c>
      <c r="BH358" s="6">
        <f t="shared" si="265"/>
        <v>0.94936671004397</v>
      </c>
      <c r="BI358" s="6">
        <f t="shared" si="266"/>
        <v>0.94936671004397</v>
      </c>
      <c r="BJ358">
        <v>308.03890952495306</v>
      </c>
      <c r="BK358">
        <v>-50.9662674091214</v>
      </c>
      <c r="BV358" s="38"/>
      <c r="BW358" s="6">
        <f t="shared" si="267"/>
        <v>5.9864793343405074</v>
      </c>
      <c r="BX358" s="9">
        <f t="shared" ca="1" si="268"/>
        <v>-181.77251912304729</v>
      </c>
      <c r="BY358" s="9">
        <f t="shared" ca="1" si="269"/>
        <v>25.888969957449667</v>
      </c>
      <c r="BZ358">
        <f t="shared" ca="1" si="270"/>
        <v>183.60688296955624</v>
      </c>
      <c r="CA358" s="6">
        <f t="shared" ca="1" si="271"/>
        <v>-0.99000928605267424</v>
      </c>
      <c r="CB358" s="6">
        <f t="shared" ca="1" si="272"/>
        <v>0.14100217561964876</v>
      </c>
      <c r="CC358" s="6">
        <f t="shared" ca="1" si="273"/>
        <v>3.0001190225595873</v>
      </c>
      <c r="CD358" s="6">
        <f t="shared" ca="1" si="274"/>
        <v>224.00681302344333</v>
      </c>
      <c r="CE358" s="9">
        <f t="shared" ca="1" si="275"/>
        <v>-106.63373459091503</v>
      </c>
      <c r="CF358">
        <f t="shared" ca="1" si="276"/>
        <v>248.09233287976801</v>
      </c>
      <c r="CG358" s="6">
        <f t="shared" ca="1" si="277"/>
        <v>0.90291711325074619</v>
      </c>
      <c r="CH358" s="6">
        <f t="shared" ca="1" si="278"/>
        <v>-0.42981471193868981</v>
      </c>
      <c r="CI358" s="6">
        <f t="shared" ca="1" si="279"/>
        <v>-0.44428755642242596</v>
      </c>
      <c r="CJ358" s="1">
        <f t="shared" ca="1" si="280"/>
        <v>1.2296857198198743</v>
      </c>
      <c r="CK358" s="38"/>
    </row>
    <row r="359" spans="55:89" x14ac:dyDescent="0.25">
      <c r="BC359">
        <v>6.2308254296197108</v>
      </c>
      <c r="BD359">
        <v>277.36296267727693</v>
      </c>
      <c r="BE359">
        <v>-45.065517069093694</v>
      </c>
      <c r="BF359" s="6">
        <f t="shared" si="263"/>
        <v>6.1221143533163458</v>
      </c>
      <c r="BG359" s="6">
        <f t="shared" si="264"/>
        <v>0.10871107630336496</v>
      </c>
      <c r="BH359" s="6">
        <f t="shared" si="265"/>
        <v>0.94646911726068894</v>
      </c>
      <c r="BI359" s="6">
        <f t="shared" si="266"/>
        <v>0.94646911726068894</v>
      </c>
      <c r="BJ359">
        <v>308.18106964141879</v>
      </c>
      <c r="BK359">
        <v>-50.072796743437436</v>
      </c>
      <c r="BV359" s="38"/>
      <c r="BW359" s="6">
        <f t="shared" si="267"/>
        <v>6.0039326268604505</v>
      </c>
      <c r="BX359" s="9">
        <f t="shared" ca="1" si="268"/>
        <v>-182.12434389801251</v>
      </c>
      <c r="BY359" s="9">
        <f t="shared" ca="1" si="269"/>
        <v>25.039094425602102</v>
      </c>
      <c r="BZ359">
        <f t="shared" ca="1" si="270"/>
        <v>183.83751763428418</v>
      </c>
      <c r="CA359" s="6">
        <f t="shared" ca="1" si="271"/>
        <v>-0.99068104400930956</v>
      </c>
      <c r="CB359" s="6">
        <f t="shared" ca="1" si="272"/>
        <v>0.13620230923381724</v>
      </c>
      <c r="CC359" s="6">
        <f t="shared" ca="1" si="273"/>
        <v>3.0049656731613803</v>
      </c>
      <c r="CD359" s="6">
        <f t="shared" ca="1" si="274"/>
        <v>224.35863779840855</v>
      </c>
      <c r="CE359" s="9">
        <f t="shared" ca="1" si="275"/>
        <v>-105.78385905906745</v>
      </c>
      <c r="CF359">
        <f t="shared" ca="1" si="276"/>
        <v>248.04641338303227</v>
      </c>
      <c r="CG359" s="6">
        <f t="shared" ca="1" si="277"/>
        <v>0.90450264826830951</v>
      </c>
      <c r="CH359" s="6">
        <f t="shared" ca="1" si="278"/>
        <v>-0.42646800498468179</v>
      </c>
      <c r="CI359" s="6">
        <f t="shared" ca="1" si="279"/>
        <v>-0.44058426269904766</v>
      </c>
      <c r="CJ359" s="1">
        <f t="shared" ca="1" si="280"/>
        <v>1.225982426096496</v>
      </c>
      <c r="CK359" s="38"/>
    </row>
    <row r="360" spans="55:89" x14ac:dyDescent="0.25">
      <c r="BC360">
        <v>6.2482787221396539</v>
      </c>
      <c r="BD360">
        <v>277.4747051922634</v>
      </c>
      <c r="BE360">
        <v>-44.262863319673329</v>
      </c>
      <c r="BF360" s="6">
        <f t="shared" si="263"/>
        <v>6.1249977530870989</v>
      </c>
      <c r="BG360" s="6">
        <f t="shared" si="264"/>
        <v>0.12328096905255492</v>
      </c>
      <c r="BH360" s="6">
        <f t="shared" si="265"/>
        <v>0.9435857174899358</v>
      </c>
      <c r="BI360" s="6">
        <f t="shared" si="266"/>
        <v>0.9435857174899358</v>
      </c>
      <c r="BJ360">
        <v>308.3052279914038</v>
      </c>
      <c r="BK360">
        <v>-49.180959244081478</v>
      </c>
      <c r="BV360" s="38"/>
      <c r="BW360" s="6">
        <f t="shared" si="267"/>
        <v>6.0213859193803936</v>
      </c>
      <c r="BX360" s="9">
        <f t="shared" ca="1" si="268"/>
        <v>-182.45976625247403</v>
      </c>
      <c r="BY360" s="9">
        <f t="shared" ca="1" si="269"/>
        <v>24.191938745201867</v>
      </c>
      <c r="BZ360">
        <f t="shared" ca="1" si="270"/>
        <v>184.05655707189314</v>
      </c>
      <c r="CA360" s="6">
        <f t="shared" ca="1" si="271"/>
        <v>-0.99132445567372318</v>
      </c>
      <c r="CB360" s="6">
        <f t="shared" ca="1" si="272"/>
        <v>0.13143752730174352</v>
      </c>
      <c r="CC360" s="6">
        <f t="shared" ca="1" si="273"/>
        <v>3.0097737049794651</v>
      </c>
      <c r="CD360" s="6">
        <f t="shared" ca="1" si="274"/>
        <v>224.69406015287007</v>
      </c>
      <c r="CE360" s="9">
        <f t="shared" ca="1" si="275"/>
        <v>-104.93670337866722</v>
      </c>
      <c r="CF360">
        <f t="shared" ca="1" si="276"/>
        <v>247.99018606381176</v>
      </c>
      <c r="CG360" s="6">
        <f t="shared" ca="1" si="277"/>
        <v>0.90606029101108365</v>
      </c>
      <c r="CH360" s="6">
        <f t="shared" ca="1" si="278"/>
        <v>-0.42314861343611943</v>
      </c>
      <c r="CI360" s="6">
        <f t="shared" ca="1" si="279"/>
        <v>-0.43691757124353331</v>
      </c>
      <c r="CJ360" s="1">
        <f t="shared" ca="1" si="280"/>
        <v>1.2223157346409816</v>
      </c>
      <c r="CK360" s="38"/>
    </row>
    <row r="361" spans="55:89" x14ac:dyDescent="0.25">
      <c r="BC361">
        <v>6.2657320146595969</v>
      </c>
      <c r="BD361">
        <v>277.570387596194</v>
      </c>
      <c r="BE361">
        <v>-43.461187480207343</v>
      </c>
      <c r="BF361" s="6">
        <f t="shared" si="263"/>
        <v>6.1278692023615209</v>
      </c>
      <c r="BG361" s="6">
        <f t="shared" si="264"/>
        <v>0.13786281229807607</v>
      </c>
      <c r="BH361" s="6">
        <f t="shared" si="265"/>
        <v>0.94071426821551385</v>
      </c>
      <c r="BI361" s="6">
        <f t="shared" si="266"/>
        <v>0.94071426821551385</v>
      </c>
      <c r="BJ361">
        <v>308.41154177354889</v>
      </c>
      <c r="BK361">
        <v>-48.290208311341488</v>
      </c>
      <c r="BV361" s="38"/>
      <c r="BW361" s="6">
        <f t="shared" si="267"/>
        <v>6.0388392119003367</v>
      </c>
      <c r="BX361" s="9">
        <f t="shared" ca="1" si="268"/>
        <v>-182.77850555986049</v>
      </c>
      <c r="BY361" s="9">
        <f t="shared" ca="1" si="269"/>
        <v>23.347776149244325</v>
      </c>
      <c r="BZ361">
        <f t="shared" ca="1" si="270"/>
        <v>184.26367180160926</v>
      </c>
      <c r="CA361" s="6">
        <f t="shared" ca="1" si="271"/>
        <v>-0.99193999431777413</v>
      </c>
      <c r="CB361" s="6">
        <f t="shared" ca="1" si="272"/>
        <v>0.12670851460282481</v>
      </c>
      <c r="CC361" s="6">
        <f t="shared" ca="1" si="273"/>
        <v>3.0145426138725524</v>
      </c>
      <c r="CD361" s="6">
        <f t="shared" ca="1" si="274"/>
        <v>225.01279946025653</v>
      </c>
      <c r="CE361" s="9">
        <f t="shared" ca="1" si="275"/>
        <v>-104.09254078270968</v>
      </c>
      <c r="CF361">
        <f t="shared" ca="1" si="276"/>
        <v>247.92340947869707</v>
      </c>
      <c r="CG361" s="6">
        <f t="shared" ca="1" si="277"/>
        <v>0.90758996874633924</v>
      </c>
      <c r="CH361" s="6">
        <f t="shared" ca="1" si="278"/>
        <v>-0.41985765281940379</v>
      </c>
      <c r="CI361" s="6">
        <f t="shared" ca="1" si="279"/>
        <v>-0.43328847353069239</v>
      </c>
      <c r="CJ361" s="1">
        <f t="shared" ca="1" si="280"/>
        <v>1.2186866369281406</v>
      </c>
      <c r="CK361" s="38"/>
    </row>
    <row r="362" spans="55:89" x14ac:dyDescent="0.25">
      <c r="BC362">
        <v>6.28318530717954</v>
      </c>
      <c r="BD362">
        <v>277.65011198788631</v>
      </c>
      <c r="BE362">
        <v>-42.660000000002178</v>
      </c>
      <c r="BF362" s="6">
        <f t="shared" si="263"/>
        <v>6.1307309093707536</v>
      </c>
      <c r="BG362" s="6">
        <f t="shared" si="264"/>
        <v>0.15245439780878645</v>
      </c>
      <c r="BH362" s="6">
        <f t="shared" si="265"/>
        <v>0.93785256120628124</v>
      </c>
      <c r="BI362" s="6">
        <f t="shared" si="266"/>
        <v>0.93785256120628124</v>
      </c>
      <c r="BJ362">
        <v>308.50012443098478</v>
      </c>
      <c r="BK362">
        <v>-47.400000000002422</v>
      </c>
      <c r="BV362" s="38"/>
      <c r="BW362" s="6">
        <f t="shared" si="267"/>
        <v>6.0562925044202798</v>
      </c>
      <c r="BX362" s="9">
        <f t="shared" ca="1" si="268"/>
        <v>-183.08023059005529</v>
      </c>
      <c r="BY362" s="9">
        <f t="shared" ca="1" si="269"/>
        <v>22.506949543471677</v>
      </c>
      <c r="BZ362">
        <f t="shared" ca="1" si="270"/>
        <v>184.4584874996545</v>
      </c>
      <c r="CA362" s="6">
        <f t="shared" ca="1" si="271"/>
        <v>-0.99252809166831213</v>
      </c>
      <c r="CB362" s="6">
        <f t="shared" ca="1" si="272"/>
        <v>0.12201634009122965</v>
      </c>
      <c r="CC362" s="6">
        <f t="shared" ca="1" si="273"/>
        <v>3.0192715039975213</v>
      </c>
      <c r="CD362" s="6">
        <f t="shared" ca="1" si="274"/>
        <v>225.31452449045133</v>
      </c>
      <c r="CE362" s="9">
        <f t="shared" ca="1" si="275"/>
        <v>-103.25171417693703</v>
      </c>
      <c r="CF362">
        <f t="shared" ca="1" si="276"/>
        <v>247.84582188698298</v>
      </c>
      <c r="CG362" s="6">
        <f t="shared" ca="1" si="277"/>
        <v>0.90909147781879551</v>
      </c>
      <c r="CH362" s="6">
        <f t="shared" ca="1" si="278"/>
        <v>-0.41659654938229917</v>
      </c>
      <c r="CI362" s="6">
        <f t="shared" ca="1" si="279"/>
        <v>-0.42969830097679662</v>
      </c>
      <c r="CJ362" s="1">
        <f t="shared" ca="1" si="280"/>
        <v>1.2150964643742448</v>
      </c>
      <c r="CK362" s="38"/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67"/>
        <v>6.0737457969402229</v>
      </c>
      <c r="BX363" s="9">
        <f t="shared" ca="1" si="268"/>
        <v>-183.36457729839418</v>
      </c>
      <c r="BY363" s="9">
        <f t="shared" ca="1" si="269"/>
        <v>21.669863568307186</v>
      </c>
      <c r="BZ363">
        <f t="shared" ca="1" si="270"/>
        <v>184.64060007183639</v>
      </c>
      <c r="CA363" s="6">
        <f t="shared" ca="1" si="271"/>
        <v>-0.9930891538862755</v>
      </c>
      <c r="CB363" s="6">
        <f t="shared" ca="1" si="272"/>
        <v>0.11736239786848772</v>
      </c>
      <c r="CC363" s="6">
        <f t="shared" ca="1" si="273"/>
        <v>3.0239591483166977</v>
      </c>
      <c r="CD363" s="6">
        <f t="shared" ca="1" si="274"/>
        <v>225.59887119879022</v>
      </c>
      <c r="CE363" s="9">
        <f t="shared" ca="1" si="275"/>
        <v>-102.41462820177253</v>
      </c>
      <c r="CF363">
        <f t="shared" ca="1" si="276"/>
        <v>247.757152784487</v>
      </c>
      <c r="CG363" s="6">
        <f t="shared" ca="1" si="277"/>
        <v>0.91056451312640285</v>
      </c>
      <c r="CH363" s="6">
        <f t="shared" ca="1" si="278"/>
        <v>-0.41336698880640788</v>
      </c>
      <c r="CI363" s="6">
        <f t="shared" ca="1" si="279"/>
        <v>-0.4261486660997128</v>
      </c>
      <c r="CJ363" s="1">
        <f t="shared" ca="1" si="280"/>
        <v>1.211546829497161</v>
      </c>
      <c r="CK363" s="38"/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67"/>
        <v>6.091199089460166</v>
      </c>
      <c r="BX364" s="9">
        <f t="shared" ca="1" si="268"/>
        <v>-183.63118333881732</v>
      </c>
      <c r="BY364" s="9">
        <f t="shared" ca="1" si="269"/>
        <v>20.836956451848835</v>
      </c>
      <c r="BZ364">
        <f t="shared" ca="1" si="270"/>
        <v>184.80960540131724</v>
      </c>
      <c r="CA364" s="6">
        <f t="shared" ca="1" si="271"/>
        <v>-0.99362358866607092</v>
      </c>
      <c r="CB364" s="6">
        <f t="shared" ca="1" si="272"/>
        <v>0.11274823300770014</v>
      </c>
      <c r="CC364" s="6">
        <f t="shared" ca="1" si="273"/>
        <v>3.0286041646450474</v>
      </c>
      <c r="CD364" s="6">
        <f t="shared" ca="1" si="274"/>
        <v>225.86547723921336</v>
      </c>
      <c r="CE364" s="9">
        <f t="shared" ca="1" si="275"/>
        <v>-101.58172108531419</v>
      </c>
      <c r="CF364">
        <f t="shared" ca="1" si="276"/>
        <v>247.65714176488464</v>
      </c>
      <c r="CG364" s="6">
        <f t="shared" ca="1" si="277"/>
        <v>0.91200873768316615</v>
      </c>
      <c r="CH364" s="6">
        <f t="shared" ca="1" si="278"/>
        <v>-0.4101707722273224</v>
      </c>
      <c r="CI364" s="6">
        <f t="shared" ca="1" si="279"/>
        <v>-0.42264130275931749</v>
      </c>
      <c r="CJ364" s="1">
        <f t="shared" ca="1" si="280"/>
        <v>1.2080394661567657</v>
      </c>
      <c r="CK364" s="38"/>
    </row>
    <row r="365" spans="55:89" x14ac:dyDescent="0.25">
      <c r="BW365" s="6">
        <f t="shared" si="267"/>
        <v>6.1086523819801091</v>
      </c>
      <c r="BX365" s="9">
        <f t="shared" ca="1" si="268"/>
        <v>-183.879752775638</v>
      </c>
      <c r="BY365" s="9">
        <f t="shared" ca="1" si="269"/>
        <v>20.008629010470393</v>
      </c>
      <c r="BZ365">
        <f t="shared" ca="1" si="270"/>
        <v>184.96515540962949</v>
      </c>
      <c r="CA365" s="6">
        <f t="shared" ca="1" si="271"/>
        <v>-0.99413185347484656</v>
      </c>
      <c r="CB365" s="6">
        <f t="shared" ca="1" si="272"/>
        <v>0.10817512609960872</v>
      </c>
      <c r="CC365" s="6">
        <f t="shared" ca="1" si="273"/>
        <v>3.0332054337375887</v>
      </c>
      <c r="CD365" s="6">
        <f t="shared" ca="1" si="274"/>
        <v>226.11404667603404</v>
      </c>
      <c r="CE365" s="9">
        <f t="shared" ca="1" si="275"/>
        <v>-100.75339364393574</v>
      </c>
      <c r="CF365">
        <f t="shared" ca="1" si="276"/>
        <v>247.54556840101495</v>
      </c>
      <c r="CG365" s="6">
        <f t="shared" ca="1" si="277"/>
        <v>0.9134239329614553</v>
      </c>
      <c r="CH365" s="6">
        <f t="shared" ca="1" si="278"/>
        <v>-0.40700948231365164</v>
      </c>
      <c r="CI365" s="6">
        <f t="shared" ca="1" si="279"/>
        <v>-0.41917770007034583</v>
      </c>
      <c r="CJ365" s="1">
        <f t="shared" ca="1" si="280"/>
        <v>1.2045758634677941</v>
      </c>
      <c r="CK365" s="38"/>
    </row>
    <row r="366" spans="55:89" x14ac:dyDescent="0.25">
      <c r="BW366" s="6">
        <f t="shared" si="267"/>
        <v>6.1261056745000522</v>
      </c>
      <c r="BX366" s="9">
        <f t="shared" ca="1" si="268"/>
        <v>-184.11017672220981</v>
      </c>
      <c r="BY366" s="9">
        <f t="shared" ca="1" si="269"/>
        <v>19.185081177432942</v>
      </c>
      <c r="BZ366">
        <f t="shared" ca="1" si="270"/>
        <v>185.10706229765526</v>
      </c>
      <c r="CA366" s="6">
        <f t="shared" ca="1" si="271"/>
        <v>-0.9946145459656075</v>
      </c>
      <c r="CB366" s="6">
        <f t="shared" ca="1" si="272"/>
        <v>0.10364316163465989</v>
      </c>
      <c r="CC366" s="6">
        <f t="shared" ca="1" si="273"/>
        <v>3.03776303507026</v>
      </c>
      <c r="CD366" s="6">
        <f t="shared" ca="1" si="274"/>
        <v>226.34447062260585</v>
      </c>
      <c r="CE366" s="9">
        <f t="shared" ca="1" si="275"/>
        <v>-99.929845810898286</v>
      </c>
      <c r="CF366">
        <f t="shared" ca="1" si="276"/>
        <v>247.42229783351701</v>
      </c>
      <c r="CG366" s="6">
        <f t="shared" ca="1" si="277"/>
        <v>0.91481031663082446</v>
      </c>
      <c r="CH366" s="6">
        <f t="shared" ca="1" si="278"/>
        <v>-0.40388375132680265</v>
      </c>
      <c r="CI366" s="6">
        <f t="shared" ca="1" si="279"/>
        <v>-0.41575830461599145</v>
      </c>
      <c r="CJ366" s="1">
        <f t="shared" ca="1" si="280"/>
        <v>1.2011564680134397</v>
      </c>
      <c r="CK366" s="38"/>
    </row>
    <row r="367" spans="55:89" x14ac:dyDescent="0.25">
      <c r="BW367" s="6">
        <f t="shared" si="267"/>
        <v>6.1435589670199953</v>
      </c>
      <c r="BX367" s="9">
        <f t="shared" ca="1" si="268"/>
        <v>-184.32268421578186</v>
      </c>
      <c r="BY367" s="9">
        <f t="shared" ca="1" si="269"/>
        <v>18.366059679376519</v>
      </c>
      <c r="BZ367">
        <f t="shared" ca="1" si="270"/>
        <v>185.23542875124417</v>
      </c>
      <c r="CA367" s="6">
        <f t="shared" ca="1" si="271"/>
        <v>-0.99507251640997874</v>
      </c>
      <c r="CB367" s="6">
        <f t="shared" ca="1" si="272"/>
        <v>9.9149821409383929E-2</v>
      </c>
      <c r="CC367" s="6">
        <f t="shared" ca="1" si="273"/>
        <v>3.0422796574794901</v>
      </c>
      <c r="CD367" s="6">
        <f t="shared" ca="1" si="274"/>
        <v>226.5569781161779</v>
      </c>
      <c r="CE367" s="9">
        <f t="shared" ca="1" si="275"/>
        <v>-99.110824312841871</v>
      </c>
      <c r="CF367">
        <f t="shared" ca="1" si="276"/>
        <v>247.28732241889256</v>
      </c>
      <c r="CG367" s="6">
        <f t="shared" ca="1" si="277"/>
        <v>0.91616899685783948</v>
      </c>
      <c r="CH367" s="6">
        <f t="shared" ca="1" si="278"/>
        <v>-0.40079217706499731</v>
      </c>
      <c r="CI367" s="6">
        <f t="shared" ca="1" si="279"/>
        <v>-0.41238134530133291</v>
      </c>
      <c r="CJ367" s="1">
        <f t="shared" ca="1" si="280"/>
        <v>1.1977795086987812</v>
      </c>
      <c r="CK367" s="38"/>
    </row>
    <row r="368" spans="55:89" x14ac:dyDescent="0.25">
      <c r="BW368" s="6">
        <f t="shared" si="267"/>
        <v>6.1610122595399384</v>
      </c>
      <c r="BX368" s="9">
        <f t="shared" ca="1" si="268"/>
        <v>-184.51766300101582</v>
      </c>
      <c r="BY368" s="9">
        <f t="shared" ca="1" si="269"/>
        <v>17.551046711980078</v>
      </c>
      <c r="BZ368">
        <f t="shared" ca="1" si="270"/>
        <v>185.35049824600566</v>
      </c>
      <c r="CA368" s="6">
        <f t="shared" ca="1" si="271"/>
        <v>-0.99550670080268977</v>
      </c>
      <c r="CB368" s="6">
        <f t="shared" ca="1" si="272"/>
        <v>9.4691122376620349E-2</v>
      </c>
      <c r="CC368" s="6">
        <f t="shared" ca="1" si="273"/>
        <v>3.0467594506347413</v>
      </c>
      <c r="CD368" s="6">
        <f t="shared" ca="1" si="274"/>
        <v>226.75195690141186</v>
      </c>
      <c r="CE368" s="9">
        <f t="shared" ca="1" si="275"/>
        <v>-98.295811345445429</v>
      </c>
      <c r="CF368">
        <f t="shared" ca="1" si="276"/>
        <v>247.14068156958527</v>
      </c>
      <c r="CG368" s="6">
        <f t="shared" ca="1" si="277"/>
        <v>0.91750154390331429</v>
      </c>
      <c r="CH368" s="6">
        <f t="shared" ca="1" si="278"/>
        <v>-0.39773221762265443</v>
      </c>
      <c r="CI368" s="6">
        <f t="shared" ca="1" si="279"/>
        <v>-0.40904382470109069</v>
      </c>
      <c r="CJ368" s="1">
        <f t="shared" ca="1" si="280"/>
        <v>1.1944419880985389</v>
      </c>
      <c r="CK368" s="38"/>
    </row>
    <row r="369" spans="75:89" x14ac:dyDescent="0.25">
      <c r="BW369" s="6">
        <f t="shared" si="267"/>
        <v>6.1784655520598815</v>
      </c>
      <c r="BX369" s="9">
        <f t="shared" ca="1" si="268"/>
        <v>-184.69546500472853</v>
      </c>
      <c r="BY369" s="9">
        <f t="shared" ca="1" si="269"/>
        <v>16.739519765231286</v>
      </c>
      <c r="BZ369">
        <f t="shared" ca="1" si="270"/>
        <v>185.45249072278179</v>
      </c>
      <c r="CA369" s="6">
        <f t="shared" ca="1" si="271"/>
        <v>-0.99591795335235012</v>
      </c>
      <c r="CB369" s="6">
        <f t="shared" ca="1" si="272"/>
        <v>9.0263116445569155E-2</v>
      </c>
      <c r="CC369" s="6">
        <f t="shared" ca="1" si="273"/>
        <v>3.0512065168336147</v>
      </c>
      <c r="CD369" s="6">
        <f t="shared" ca="1" si="274"/>
        <v>226.92975890512457</v>
      </c>
      <c r="CE369" s="9">
        <f t="shared" ca="1" si="275"/>
        <v>-97.484284398696644</v>
      </c>
      <c r="CF369">
        <f t="shared" ca="1" si="276"/>
        <v>246.98239042786821</v>
      </c>
      <c r="CG369" s="6">
        <f t="shared" ca="1" si="277"/>
        <v>0.91880946861027302</v>
      </c>
      <c r="CH369" s="6">
        <f t="shared" ca="1" si="278"/>
        <v>-0.39470135595423012</v>
      </c>
      <c r="CI369" s="6">
        <f t="shared" ca="1" si="279"/>
        <v>-0.4057427946516648</v>
      </c>
      <c r="CJ369" s="1">
        <f t="shared" ca="1" si="280"/>
        <v>1.191140958049113</v>
      </c>
      <c r="CK369" s="38"/>
    </row>
    <row r="370" spans="75:89" x14ac:dyDescent="0.25">
      <c r="BW370" s="6">
        <f t="shared" si="267"/>
        <v>6.1959188445798246</v>
      </c>
      <c r="BX370" s="9">
        <f t="shared" ca="1" si="268"/>
        <v>-184.85639751117856</v>
      </c>
      <c r="BY370" s="9">
        <f t="shared" ca="1" si="269"/>
        <v>15.930965022376654</v>
      </c>
      <c r="BZ370">
        <f t="shared" ca="1" si="270"/>
        <v>185.54159465563254</v>
      </c>
      <c r="CA370" s="6">
        <f t="shared" ca="1" si="271"/>
        <v>-0.9963070429262737</v>
      </c>
      <c r="CB370" s="6">
        <f t="shared" ca="1" si="272"/>
        <v>8.5861960235626519E-2</v>
      </c>
      <c r="CC370" s="6">
        <f t="shared" ca="1" si="273"/>
        <v>3.0556248421315715</v>
      </c>
      <c r="CD370" s="6">
        <f t="shared" ca="1" si="274"/>
        <v>227.0906914115746</v>
      </c>
      <c r="CE370" s="9">
        <f t="shared" ca="1" si="275"/>
        <v>-96.675729655842005</v>
      </c>
      <c r="CF370">
        <f t="shared" ca="1" si="276"/>
        <v>246.81243653891602</v>
      </c>
      <c r="CG370" s="6">
        <f t="shared" ca="1" si="277"/>
        <v>0.92009420026031874</v>
      </c>
      <c r="CH370" s="6">
        <f t="shared" ca="1" si="278"/>
        <v>-0.39169715680270717</v>
      </c>
      <c r="CI370" s="6">
        <f t="shared" ca="1" si="279"/>
        <v>-0.40247541688772515</v>
      </c>
      <c r="CJ370" s="1">
        <f t="shared" ca="1" si="280"/>
        <v>1.1878735802851734</v>
      </c>
      <c r="CK370" s="38"/>
    </row>
    <row r="371" spans="75:89" x14ac:dyDescent="0.25">
      <c r="BW371" s="6">
        <f t="shared" si="267"/>
        <v>6.2133721370997677</v>
      </c>
      <c r="BX371" s="9">
        <f t="shared" ca="1" si="268"/>
        <v>-185.00072467206172</v>
      </c>
      <c r="BY371" s="9">
        <f t="shared" ca="1" si="269"/>
        <v>15.124876034743913</v>
      </c>
      <c r="BZ371">
        <f t="shared" ca="1" si="270"/>
        <v>185.61796789172743</v>
      </c>
      <c r="CA371" s="6">
        <f t="shared" ca="1" si="271"/>
        <v>-0.99667465802650235</v>
      </c>
      <c r="CB371" s="6">
        <f t="shared" ca="1" si="272"/>
        <v>8.1483900543326632E-2</v>
      </c>
      <c r="CC371" s="6">
        <f t="shared" ca="1" si="273"/>
        <v>3.0600183121246824</v>
      </c>
      <c r="CD371" s="6">
        <f t="shared" ca="1" si="274"/>
        <v>227.23501857245776</v>
      </c>
      <c r="CE371" s="9">
        <f t="shared" ca="1" si="275"/>
        <v>-95.869640668209257</v>
      </c>
      <c r="CF371">
        <f t="shared" ca="1" si="276"/>
        <v>246.63078004879438</v>
      </c>
      <c r="CG371" s="6">
        <f t="shared" ca="1" si="277"/>
        <v>0.92135709309073555</v>
      </c>
      <c r="CH371" s="6">
        <f t="shared" ca="1" si="278"/>
        <v>-0.38871725844293253</v>
      </c>
      <c r="CI371" s="6">
        <f t="shared" ca="1" si="279"/>
        <v>-0.39923895250834701</v>
      </c>
      <c r="CJ371" s="1">
        <f t="shared" ca="1" si="280"/>
        <v>1.1846371159057953</v>
      </c>
      <c r="CK371" s="38"/>
    </row>
    <row r="372" spans="75:89" x14ac:dyDescent="0.25">
      <c r="BW372" s="6">
        <f t="shared" si="267"/>
        <v>6.2308254296197108</v>
      </c>
      <c r="BX372" s="9">
        <f t="shared" ca="1" si="268"/>
        <v>-185.12866877688089</v>
      </c>
      <c r="BY372" s="9">
        <f t="shared" ca="1" si="269"/>
        <v>14.320752435628343</v>
      </c>
      <c r="BZ372">
        <f t="shared" ca="1" si="270"/>
        <v>185.68173834123436</v>
      </c>
      <c r="CA372" s="6">
        <f t="shared" ca="1" si="271"/>
        <v>-0.99702141110216724</v>
      </c>
      <c r="CB372" s="6">
        <f t="shared" ca="1" si="272"/>
        <v>7.7125260478284371E-2</v>
      </c>
      <c r="CC372" s="6">
        <f t="shared" ca="1" si="273"/>
        <v>3.0643907269460655</v>
      </c>
      <c r="CD372" s="6">
        <f t="shared" ca="1" si="274"/>
        <v>227.36296267727693</v>
      </c>
      <c r="CE372" s="9">
        <f t="shared" ca="1" si="275"/>
        <v>-95.065517069093687</v>
      </c>
      <c r="CF372">
        <f t="shared" ca="1" si="276"/>
        <v>246.43735376968112</v>
      </c>
      <c r="CG372" s="6">
        <f t="shared" ca="1" si="277"/>
        <v>0.9225994322669484</v>
      </c>
      <c r="CH372" s="6">
        <f t="shared" ca="1" si="278"/>
        <v>-0.38575936486455437</v>
      </c>
      <c r="CI372" s="6">
        <f t="shared" ca="1" si="279"/>
        <v>-0.39603075209724276</v>
      </c>
      <c r="CJ372" s="1">
        <f t="shared" ca="1" si="280"/>
        <v>1.1814289154946911</v>
      </c>
      <c r="CK372" s="38"/>
    </row>
    <row r="373" spans="75:89" x14ac:dyDescent="0.25">
      <c r="BW373" s="6">
        <f t="shared" si="267"/>
        <v>6.2482787221396539</v>
      </c>
      <c r="BX373" s="9">
        <f t="shared" ca="1" si="268"/>
        <v>-185.24041129186736</v>
      </c>
      <c r="BY373" s="9">
        <f t="shared" ca="1" si="269"/>
        <v>13.518098686207978</v>
      </c>
      <c r="BZ373">
        <f t="shared" ca="1" si="270"/>
        <v>185.73300451904137</v>
      </c>
      <c r="CA373" s="6">
        <f t="shared" ca="1" si="271"/>
        <v>-0.99734784225103346</v>
      </c>
      <c r="CB373" s="6">
        <f t="shared" ca="1" si="272"/>
        <v>7.2782426156370608E-2</v>
      </c>
      <c r="CC373" s="6">
        <f t="shared" ca="1" si="273"/>
        <v>3.0687458156042684</v>
      </c>
      <c r="CD373" s="6">
        <f t="shared" ca="1" si="274"/>
        <v>227.4747051922634</v>
      </c>
      <c r="CE373" s="9">
        <f t="shared" ca="1" si="275"/>
        <v>-94.262863319673329</v>
      </c>
      <c r="CF373">
        <f t="shared" ca="1" si="276"/>
        <v>246.23206311025086</v>
      </c>
      <c r="CG373" s="6">
        <f t="shared" ca="1" si="277"/>
        <v>0.9238224393644916</v>
      </c>
      <c r="CH373" s="6">
        <f t="shared" ca="1" si="278"/>
        <v>-0.38282123834322485</v>
      </c>
      <c r="CI373" s="6">
        <f t="shared" ca="1" si="279"/>
        <v>-0.39284824642331406</v>
      </c>
      <c r="CJ373" s="1">
        <f t="shared" ca="1" si="280"/>
        <v>1.1782464098207623</v>
      </c>
      <c r="CK373" s="38"/>
    </row>
    <row r="374" spans="75:89" x14ac:dyDescent="0.25">
      <c r="BW374" s="6">
        <f t="shared" si="267"/>
        <v>6.2657320146595969</v>
      </c>
      <c r="BX374" s="9">
        <f t="shared" ca="1" si="268"/>
        <v>-185.33609369579796</v>
      </c>
      <c r="BY374" s="9">
        <f t="shared" ca="1" si="269"/>
        <v>12.716422846741992</v>
      </c>
      <c r="BZ374">
        <f t="shared" ca="1" si="270"/>
        <v>185.77183596130698</v>
      </c>
      <c r="CA374" s="6">
        <f t="shared" ca="1" si="271"/>
        <v>-0.99765442235495927</v>
      </c>
      <c r="CB374" s="6">
        <f t="shared" ca="1" si="272"/>
        <v>6.8451833836591897E-2</v>
      </c>
      <c r="CC374" s="6">
        <f t="shared" ca="1" si="273"/>
        <v>3.0730872497917594</v>
      </c>
      <c r="CD374" s="6">
        <f t="shared" ca="1" si="274"/>
        <v>227.570387596194</v>
      </c>
      <c r="CE374" s="9">
        <f t="shared" ca="1" si="275"/>
        <v>-93.461187480207343</v>
      </c>
      <c r="CF374">
        <f t="shared" ca="1" si="276"/>
        <v>246.01478588876</v>
      </c>
      <c r="CG374" s="6">
        <f t="shared" ca="1" si="277"/>
        <v>0.92502727742182955</v>
      </c>
      <c r="CH374" s="6">
        <f t="shared" ca="1" si="278"/>
        <v>-0.37990069232045059</v>
      </c>
      <c r="CI374" s="6">
        <f t="shared" ca="1" si="279"/>
        <v>-0.3896889376195356</v>
      </c>
      <c r="CJ374" s="1">
        <f t="shared" ca="1" si="280"/>
        <v>1.1750871010169839</v>
      </c>
      <c r="CK374" s="38"/>
    </row>
    <row r="375" spans="75:89" x14ac:dyDescent="0.25">
      <c r="BW375" s="6">
        <f t="shared" si="267"/>
        <v>6.28318530717954</v>
      </c>
      <c r="BX375" s="9">
        <f t="shared" ca="1" si="268"/>
        <v>-185.41581808749027</v>
      </c>
      <c r="BY375" s="9">
        <f t="shared" ca="1" si="269"/>
        <v>11.915235366536827</v>
      </c>
      <c r="BZ375">
        <f t="shared" ca="1" si="270"/>
        <v>185.79827348738539</v>
      </c>
      <c r="CA375" s="6">
        <f t="shared" ca="1" si="271"/>
        <v>-0.99794155568447152</v>
      </c>
      <c r="CB375" s="6">
        <f t="shared" ca="1" si="272"/>
        <v>6.4129957415055325E-2</v>
      </c>
      <c r="CC375" s="6">
        <f t="shared" ca="1" si="273"/>
        <v>3.0774186572631796</v>
      </c>
      <c r="CD375" s="6">
        <f t="shared" ca="1" si="274"/>
        <v>227.65011198788631</v>
      </c>
      <c r="CE375" s="9">
        <f t="shared" ca="1" si="275"/>
        <v>-92.660000000002185</v>
      </c>
      <c r="CF375">
        <f t="shared" ca="1" si="276"/>
        <v>245.78537199780135</v>
      </c>
      <c r="CG375" s="6">
        <f t="shared" ca="1" si="277"/>
        <v>0.92621505558891737</v>
      </c>
      <c r="CH375" s="6">
        <f t="shared" ca="1" si="278"/>
        <v>-0.3769955845900832</v>
      </c>
      <c r="CI375" s="6">
        <f t="shared" ca="1" si="279"/>
        <v>-0.38655039082440279</v>
      </c>
      <c r="CJ375" s="1">
        <f t="shared" ca="1" si="280"/>
        <v>1.1719485542218511</v>
      </c>
      <c r="CK375" s="38"/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2020-11-13T18:15:12Z</dcterms:modified>
</cp:coreProperties>
</file>