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162888" documentId="114_{4C9766C2-934B-FE43-8898-95272A9847CE}" xr6:coauthVersionLast="45" xr6:coauthVersionMax="45" xr10:uidLastSave="{D667F555-BD55-4685-8B1B-096BF780A605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3" i="1" l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2" i="1"/>
  <c r="I3" i="1" l="1"/>
  <c r="I2" i="1"/>
  <c r="AZ3" i="1" l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2" i="1"/>
  <c r="B130" i="1"/>
  <c r="C125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B91" i="1" l="1"/>
  <c r="A97" i="1"/>
  <c r="A98" i="1"/>
  <c r="B98" i="1"/>
  <c r="B90" i="1"/>
  <c r="A90" i="1"/>
  <c r="AE46" i="1" l="1"/>
  <c r="AE41" i="1"/>
  <c r="AE37" i="1"/>
  <c r="AD37" i="1" s="1"/>
  <c r="U13" i="1"/>
  <c r="AV3" i="1"/>
  <c r="BA3" i="1" s="1"/>
  <c r="AV4" i="1"/>
  <c r="BA4" i="1" s="1"/>
  <c r="AV5" i="1"/>
  <c r="BA5" i="1" s="1"/>
  <c r="AV6" i="1"/>
  <c r="BA6" i="1" s="1"/>
  <c r="AV7" i="1"/>
  <c r="BA7" i="1" s="1"/>
  <c r="AV8" i="1"/>
  <c r="BA8" i="1" s="1"/>
  <c r="AV9" i="1"/>
  <c r="BA9" i="1" s="1"/>
  <c r="AV10" i="1"/>
  <c r="BA10" i="1" s="1"/>
  <c r="AV11" i="1"/>
  <c r="BA11" i="1" s="1"/>
  <c r="AV12" i="1"/>
  <c r="BA12" i="1" s="1"/>
  <c r="AV13" i="1"/>
  <c r="BA13" i="1" s="1"/>
  <c r="AV14" i="1"/>
  <c r="BA14" i="1" s="1"/>
  <c r="AV15" i="1"/>
  <c r="BA15" i="1" s="1"/>
  <c r="AV16" i="1"/>
  <c r="BA16" i="1" s="1"/>
  <c r="AV17" i="1"/>
  <c r="BA17" i="1" s="1"/>
  <c r="AV18" i="1"/>
  <c r="BA18" i="1" s="1"/>
  <c r="AV19" i="1"/>
  <c r="BA19" i="1" s="1"/>
  <c r="AV20" i="1"/>
  <c r="BA20" i="1" s="1"/>
  <c r="AV21" i="1"/>
  <c r="BA21" i="1" s="1"/>
  <c r="AV22" i="1"/>
  <c r="BA22" i="1" s="1"/>
  <c r="AV23" i="1"/>
  <c r="BA23" i="1" s="1"/>
  <c r="AV24" i="1"/>
  <c r="BA24" i="1" s="1"/>
  <c r="AV25" i="1"/>
  <c r="BA25" i="1" s="1"/>
  <c r="AV26" i="1"/>
  <c r="BA26" i="1" s="1"/>
  <c r="AV27" i="1"/>
  <c r="BA27" i="1" s="1"/>
  <c r="AV28" i="1"/>
  <c r="BA28" i="1" s="1"/>
  <c r="AV29" i="1"/>
  <c r="BA29" i="1" s="1"/>
  <c r="AV30" i="1"/>
  <c r="BA30" i="1" s="1"/>
  <c r="AV31" i="1"/>
  <c r="BA31" i="1" s="1"/>
  <c r="AV32" i="1"/>
  <c r="BA32" i="1" s="1"/>
  <c r="AV33" i="1"/>
  <c r="BA33" i="1" s="1"/>
  <c r="AV34" i="1"/>
  <c r="BA34" i="1" s="1"/>
  <c r="AV35" i="1"/>
  <c r="BA35" i="1" s="1"/>
  <c r="AV36" i="1"/>
  <c r="BA36" i="1" s="1"/>
  <c r="AV37" i="1"/>
  <c r="BA37" i="1" s="1"/>
  <c r="AV38" i="1"/>
  <c r="BA38" i="1" s="1"/>
  <c r="AV39" i="1"/>
  <c r="BA39" i="1" s="1"/>
  <c r="AV40" i="1"/>
  <c r="BA40" i="1" s="1"/>
  <c r="AV41" i="1"/>
  <c r="BA41" i="1" s="1"/>
  <c r="AV42" i="1"/>
  <c r="BA42" i="1" s="1"/>
  <c r="AV43" i="1"/>
  <c r="BA43" i="1" s="1"/>
  <c r="AV44" i="1"/>
  <c r="BA44" i="1" s="1"/>
  <c r="AV45" i="1"/>
  <c r="BA45" i="1" s="1"/>
  <c r="AV46" i="1"/>
  <c r="BA46" i="1" s="1"/>
  <c r="AV47" i="1"/>
  <c r="BA47" i="1" s="1"/>
  <c r="AV48" i="1"/>
  <c r="BA48" i="1" s="1"/>
  <c r="AV49" i="1"/>
  <c r="BA49" i="1" s="1"/>
  <c r="AV50" i="1"/>
  <c r="BA50" i="1" s="1"/>
  <c r="AV51" i="1"/>
  <c r="BA51" i="1" s="1"/>
  <c r="AV52" i="1"/>
  <c r="BA52" i="1" s="1"/>
  <c r="AV53" i="1"/>
  <c r="BA53" i="1" s="1"/>
  <c r="AV54" i="1"/>
  <c r="BA54" i="1" s="1"/>
  <c r="AV55" i="1"/>
  <c r="BA55" i="1" s="1"/>
  <c r="AV56" i="1"/>
  <c r="BA56" i="1" s="1"/>
  <c r="AV57" i="1"/>
  <c r="BA57" i="1" s="1"/>
  <c r="AV58" i="1"/>
  <c r="BA58" i="1" s="1"/>
  <c r="AV59" i="1"/>
  <c r="BA59" i="1" s="1"/>
  <c r="AV60" i="1"/>
  <c r="BA60" i="1" s="1"/>
  <c r="AV61" i="1"/>
  <c r="BA61" i="1" s="1"/>
  <c r="AV62" i="1"/>
  <c r="BA62" i="1" s="1"/>
  <c r="AV63" i="1"/>
  <c r="BA63" i="1" s="1"/>
  <c r="AV64" i="1"/>
  <c r="BA64" i="1" s="1"/>
  <c r="AV65" i="1"/>
  <c r="BA65" i="1" s="1"/>
  <c r="AV66" i="1"/>
  <c r="BA66" i="1" s="1"/>
  <c r="AV67" i="1"/>
  <c r="BA67" i="1" s="1"/>
  <c r="AV68" i="1"/>
  <c r="BA68" i="1" s="1"/>
  <c r="AV69" i="1"/>
  <c r="BA69" i="1" s="1"/>
  <c r="AV70" i="1"/>
  <c r="BA70" i="1" s="1"/>
  <c r="AV71" i="1"/>
  <c r="BA71" i="1" s="1"/>
  <c r="AV72" i="1"/>
  <c r="BA72" i="1" s="1"/>
  <c r="AV73" i="1"/>
  <c r="BA73" i="1" s="1"/>
  <c r="AV74" i="1"/>
  <c r="BA74" i="1" s="1"/>
  <c r="AV75" i="1"/>
  <c r="BA75" i="1" s="1"/>
  <c r="AV76" i="1"/>
  <c r="BA76" i="1" s="1"/>
  <c r="AV77" i="1"/>
  <c r="BA77" i="1" s="1"/>
  <c r="AV78" i="1"/>
  <c r="BA78" i="1" s="1"/>
  <c r="AV79" i="1"/>
  <c r="BA79" i="1" s="1"/>
  <c r="AV80" i="1"/>
  <c r="BA80" i="1" s="1"/>
  <c r="AV81" i="1"/>
  <c r="BA81" i="1" s="1"/>
  <c r="AV82" i="1"/>
  <c r="BA82" i="1" s="1"/>
  <c r="AV83" i="1"/>
  <c r="BA83" i="1" s="1"/>
  <c r="AV84" i="1"/>
  <c r="BA84" i="1" s="1"/>
  <c r="AV85" i="1"/>
  <c r="BA85" i="1" s="1"/>
  <c r="AV86" i="1"/>
  <c r="BA86" i="1" s="1"/>
  <c r="AV87" i="1"/>
  <c r="BA87" i="1" s="1"/>
  <c r="AV88" i="1"/>
  <c r="BA88" i="1" s="1"/>
  <c r="AV89" i="1"/>
  <c r="BA89" i="1" s="1"/>
  <c r="AV90" i="1"/>
  <c r="BA90" i="1" s="1"/>
  <c r="AV91" i="1"/>
  <c r="BA91" i="1" s="1"/>
  <c r="AV92" i="1"/>
  <c r="BA92" i="1" s="1"/>
  <c r="AV93" i="1"/>
  <c r="BA93" i="1" s="1"/>
  <c r="AV94" i="1"/>
  <c r="BA94" i="1" s="1"/>
  <c r="AV95" i="1"/>
  <c r="BA95" i="1" s="1"/>
  <c r="AV96" i="1"/>
  <c r="BA96" i="1" s="1"/>
  <c r="AV97" i="1"/>
  <c r="BA97" i="1" s="1"/>
  <c r="AV98" i="1"/>
  <c r="BA98" i="1" s="1"/>
  <c r="AV99" i="1"/>
  <c r="BA99" i="1" s="1"/>
  <c r="AV100" i="1"/>
  <c r="BA100" i="1" s="1"/>
  <c r="AV101" i="1"/>
  <c r="BA101" i="1" s="1"/>
  <c r="AV102" i="1"/>
  <c r="BA102" i="1" s="1"/>
  <c r="AV103" i="1"/>
  <c r="BA103" i="1" s="1"/>
  <c r="AV104" i="1"/>
  <c r="BA104" i="1" s="1"/>
  <c r="AV105" i="1"/>
  <c r="BA105" i="1" s="1"/>
  <c r="AV106" i="1"/>
  <c r="BA106" i="1" s="1"/>
  <c r="AV107" i="1"/>
  <c r="BA107" i="1" s="1"/>
  <c r="AV108" i="1"/>
  <c r="BA108" i="1" s="1"/>
  <c r="AV109" i="1"/>
  <c r="BA109" i="1" s="1"/>
  <c r="AV110" i="1"/>
  <c r="BA110" i="1" s="1"/>
  <c r="AV111" i="1"/>
  <c r="BA111" i="1" s="1"/>
  <c r="AV112" i="1"/>
  <c r="BA112" i="1" s="1"/>
  <c r="AV113" i="1"/>
  <c r="BA113" i="1" s="1"/>
  <c r="AV114" i="1"/>
  <c r="BA114" i="1" s="1"/>
  <c r="AV115" i="1"/>
  <c r="BA115" i="1" s="1"/>
  <c r="AV116" i="1"/>
  <c r="BA116" i="1" s="1"/>
  <c r="AV117" i="1"/>
  <c r="BA117" i="1" s="1"/>
  <c r="AV118" i="1"/>
  <c r="BA118" i="1" s="1"/>
  <c r="AV119" i="1"/>
  <c r="BA119" i="1" s="1"/>
  <c r="AV120" i="1"/>
  <c r="BA120" i="1" s="1"/>
  <c r="AV121" i="1"/>
  <c r="BA121" i="1" s="1"/>
  <c r="AV122" i="1"/>
  <c r="BA122" i="1" s="1"/>
  <c r="AV123" i="1"/>
  <c r="BA123" i="1" s="1"/>
  <c r="AV124" i="1"/>
  <c r="BA124" i="1" s="1"/>
  <c r="AV125" i="1"/>
  <c r="BA125" i="1" s="1"/>
  <c r="AV126" i="1"/>
  <c r="BA126" i="1" s="1"/>
  <c r="AV127" i="1"/>
  <c r="BA127" i="1" s="1"/>
  <c r="AV128" i="1"/>
  <c r="BA128" i="1" s="1"/>
  <c r="AV129" i="1"/>
  <c r="BA129" i="1" s="1"/>
  <c r="AV130" i="1"/>
  <c r="BA130" i="1" s="1"/>
  <c r="AV131" i="1"/>
  <c r="BA131" i="1" s="1"/>
  <c r="AV132" i="1"/>
  <c r="BA132" i="1" s="1"/>
  <c r="AV133" i="1"/>
  <c r="BA133" i="1" s="1"/>
  <c r="AV134" i="1"/>
  <c r="BA134" i="1" s="1"/>
  <c r="AV135" i="1"/>
  <c r="BA135" i="1" s="1"/>
  <c r="AV136" i="1"/>
  <c r="BA136" i="1" s="1"/>
  <c r="AV137" i="1"/>
  <c r="BA137" i="1" s="1"/>
  <c r="AV138" i="1"/>
  <c r="BA138" i="1" s="1"/>
  <c r="AV139" i="1"/>
  <c r="BA139" i="1" s="1"/>
  <c r="AV140" i="1"/>
  <c r="BA140" i="1" s="1"/>
  <c r="AV141" i="1"/>
  <c r="BA141" i="1" s="1"/>
  <c r="AV142" i="1"/>
  <c r="BA142" i="1" s="1"/>
  <c r="AV143" i="1"/>
  <c r="BA143" i="1" s="1"/>
  <c r="AV144" i="1"/>
  <c r="BA144" i="1" s="1"/>
  <c r="AV145" i="1"/>
  <c r="BA145" i="1" s="1"/>
  <c r="AV146" i="1"/>
  <c r="BA146" i="1" s="1"/>
  <c r="AV147" i="1"/>
  <c r="BA147" i="1" s="1"/>
  <c r="AV148" i="1"/>
  <c r="BA148" i="1" s="1"/>
  <c r="AV149" i="1"/>
  <c r="BA149" i="1" s="1"/>
  <c r="AV150" i="1"/>
  <c r="BA150" i="1" s="1"/>
  <c r="AV151" i="1"/>
  <c r="BA151" i="1" s="1"/>
  <c r="AV152" i="1"/>
  <c r="BA152" i="1" s="1"/>
  <c r="AV153" i="1"/>
  <c r="BA153" i="1" s="1"/>
  <c r="AV154" i="1"/>
  <c r="BA154" i="1" s="1"/>
  <c r="AV155" i="1"/>
  <c r="BA155" i="1" s="1"/>
  <c r="AV156" i="1"/>
  <c r="BA156" i="1" s="1"/>
  <c r="AV157" i="1"/>
  <c r="BA157" i="1" s="1"/>
  <c r="AV158" i="1"/>
  <c r="BA158" i="1" s="1"/>
  <c r="AV159" i="1"/>
  <c r="BA159" i="1" s="1"/>
  <c r="AV160" i="1"/>
  <c r="BA160" i="1" s="1"/>
  <c r="AV161" i="1"/>
  <c r="BA161" i="1" s="1"/>
  <c r="AV162" i="1"/>
  <c r="BA162" i="1" s="1"/>
  <c r="AV163" i="1"/>
  <c r="BA163" i="1" s="1"/>
  <c r="AV164" i="1"/>
  <c r="BA164" i="1" s="1"/>
  <c r="AV165" i="1"/>
  <c r="BA165" i="1" s="1"/>
  <c r="AV166" i="1"/>
  <c r="BA166" i="1" s="1"/>
  <c r="AV167" i="1"/>
  <c r="BA167" i="1" s="1"/>
  <c r="AV168" i="1"/>
  <c r="BA168" i="1" s="1"/>
  <c r="AV169" i="1"/>
  <c r="BA169" i="1" s="1"/>
  <c r="AV170" i="1"/>
  <c r="BA170" i="1" s="1"/>
  <c r="AV171" i="1"/>
  <c r="BA171" i="1" s="1"/>
  <c r="AV172" i="1"/>
  <c r="BA172" i="1" s="1"/>
  <c r="AV173" i="1"/>
  <c r="BA173" i="1" s="1"/>
  <c r="AV174" i="1"/>
  <c r="BA174" i="1" s="1"/>
  <c r="AV175" i="1"/>
  <c r="BA175" i="1" s="1"/>
  <c r="AV176" i="1"/>
  <c r="BA176" i="1" s="1"/>
  <c r="AV177" i="1"/>
  <c r="BA177" i="1" s="1"/>
  <c r="AV178" i="1"/>
  <c r="BA178" i="1" s="1"/>
  <c r="AV179" i="1"/>
  <c r="BA179" i="1" s="1"/>
  <c r="AV180" i="1"/>
  <c r="BA180" i="1" s="1"/>
  <c r="AV181" i="1"/>
  <c r="BA181" i="1" s="1"/>
  <c r="AV182" i="1"/>
  <c r="BA182" i="1" s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2" i="1"/>
  <c r="BA2" i="1" s="1"/>
  <c r="AX362" i="1" l="1"/>
  <c r="AW362" i="1"/>
  <c r="AX361" i="1"/>
  <c r="AW361" i="1"/>
  <c r="AX360" i="1"/>
  <c r="AW360" i="1"/>
  <c r="AX359" i="1"/>
  <c r="AW359" i="1"/>
  <c r="AX358" i="1"/>
  <c r="AW358" i="1"/>
  <c r="AX357" i="1"/>
  <c r="AW357" i="1"/>
  <c r="AX356" i="1"/>
  <c r="AW356" i="1"/>
  <c r="AX355" i="1"/>
  <c r="AW355" i="1"/>
  <c r="AX354" i="1"/>
  <c r="AW354" i="1"/>
  <c r="AX353" i="1"/>
  <c r="AW353" i="1"/>
  <c r="AX352" i="1"/>
  <c r="AW352" i="1"/>
  <c r="AX351" i="1"/>
  <c r="AW351" i="1"/>
  <c r="AX350" i="1"/>
  <c r="AW350" i="1"/>
  <c r="AX349" i="1"/>
  <c r="AW349" i="1"/>
  <c r="AX348" i="1"/>
  <c r="AW348" i="1"/>
  <c r="AX347" i="1"/>
  <c r="AW347" i="1"/>
  <c r="AX346" i="1"/>
  <c r="AW346" i="1"/>
  <c r="AX345" i="1"/>
  <c r="AW345" i="1"/>
  <c r="AX344" i="1"/>
  <c r="AW344" i="1"/>
  <c r="AX343" i="1"/>
  <c r="AW343" i="1"/>
  <c r="AX342" i="1"/>
  <c r="AW342" i="1"/>
  <c r="AX341" i="1"/>
  <c r="AW341" i="1"/>
  <c r="AX340" i="1"/>
  <c r="AW340" i="1"/>
  <c r="AX339" i="1"/>
  <c r="AW339" i="1"/>
  <c r="AX338" i="1"/>
  <c r="AW338" i="1"/>
  <c r="AX337" i="1"/>
  <c r="AW337" i="1"/>
  <c r="AX336" i="1"/>
  <c r="AW336" i="1"/>
  <c r="AX335" i="1"/>
  <c r="AW335" i="1"/>
  <c r="AX334" i="1"/>
  <c r="AW334" i="1"/>
  <c r="AX333" i="1"/>
  <c r="AW333" i="1"/>
  <c r="AX332" i="1"/>
  <c r="AW332" i="1"/>
  <c r="AX331" i="1"/>
  <c r="AW331" i="1"/>
  <c r="AX330" i="1"/>
  <c r="AW330" i="1"/>
  <c r="AX329" i="1"/>
  <c r="AW329" i="1"/>
  <c r="AX328" i="1"/>
  <c r="AW328" i="1"/>
  <c r="AX327" i="1"/>
  <c r="AW327" i="1"/>
  <c r="AX326" i="1"/>
  <c r="AW326" i="1"/>
  <c r="AX325" i="1"/>
  <c r="AW325" i="1"/>
  <c r="AX324" i="1"/>
  <c r="AW324" i="1"/>
  <c r="AX323" i="1"/>
  <c r="AW323" i="1"/>
  <c r="AX322" i="1"/>
  <c r="AW322" i="1"/>
  <c r="AX321" i="1"/>
  <c r="AW321" i="1"/>
  <c r="AX320" i="1"/>
  <c r="AW320" i="1"/>
  <c r="AX319" i="1"/>
  <c r="AW319" i="1"/>
  <c r="AX318" i="1"/>
  <c r="AW318" i="1"/>
  <c r="AX317" i="1"/>
  <c r="AW317" i="1"/>
  <c r="AX316" i="1"/>
  <c r="AW316" i="1"/>
  <c r="AX315" i="1"/>
  <c r="AW315" i="1"/>
  <c r="AX314" i="1"/>
  <c r="AW314" i="1"/>
  <c r="AX313" i="1"/>
  <c r="AW313" i="1"/>
  <c r="AX312" i="1"/>
  <c r="AW312" i="1"/>
  <c r="AX311" i="1"/>
  <c r="AW311" i="1"/>
  <c r="AX310" i="1"/>
  <c r="AW310" i="1"/>
  <c r="AX309" i="1"/>
  <c r="AW309" i="1"/>
  <c r="AX308" i="1"/>
  <c r="AW308" i="1"/>
  <c r="AX307" i="1"/>
  <c r="AW307" i="1"/>
  <c r="AX306" i="1"/>
  <c r="AW306" i="1"/>
  <c r="AX305" i="1"/>
  <c r="AW305" i="1"/>
  <c r="AX304" i="1"/>
  <c r="AW304" i="1"/>
  <c r="AX303" i="1"/>
  <c r="AW303" i="1"/>
  <c r="AX302" i="1"/>
  <c r="AW302" i="1"/>
  <c r="AX301" i="1"/>
  <c r="AW301" i="1"/>
  <c r="AX300" i="1"/>
  <c r="AW300" i="1"/>
  <c r="AX299" i="1"/>
  <c r="AW299" i="1"/>
  <c r="AX298" i="1"/>
  <c r="AW298" i="1"/>
  <c r="AX297" i="1"/>
  <c r="AW297" i="1"/>
  <c r="AX296" i="1"/>
  <c r="AW296" i="1"/>
  <c r="AX295" i="1"/>
  <c r="AW295" i="1"/>
  <c r="AX294" i="1"/>
  <c r="AW294" i="1"/>
  <c r="AX293" i="1"/>
  <c r="AW293" i="1"/>
  <c r="AX292" i="1"/>
  <c r="AW292" i="1"/>
  <c r="AX291" i="1"/>
  <c r="AW291" i="1"/>
  <c r="AX290" i="1"/>
  <c r="AW290" i="1"/>
  <c r="AX289" i="1"/>
  <c r="AW289" i="1"/>
  <c r="AX288" i="1"/>
  <c r="AW288" i="1"/>
  <c r="AX287" i="1"/>
  <c r="AW287" i="1"/>
  <c r="AX286" i="1"/>
  <c r="AW286" i="1"/>
  <c r="AX285" i="1"/>
  <c r="AW285" i="1"/>
  <c r="AX284" i="1"/>
  <c r="AW284" i="1"/>
  <c r="AX283" i="1"/>
  <c r="AW283" i="1"/>
  <c r="AX282" i="1"/>
  <c r="AW282" i="1"/>
  <c r="AX281" i="1"/>
  <c r="AW281" i="1"/>
  <c r="AX280" i="1"/>
  <c r="AW280" i="1"/>
  <c r="AX279" i="1"/>
  <c r="AW279" i="1"/>
  <c r="AX278" i="1"/>
  <c r="AW278" i="1"/>
  <c r="AX277" i="1"/>
  <c r="AW277" i="1"/>
  <c r="AX276" i="1"/>
  <c r="AW276" i="1"/>
  <c r="AX275" i="1"/>
  <c r="AW275" i="1"/>
  <c r="AX274" i="1"/>
  <c r="AW274" i="1"/>
  <c r="AX273" i="1"/>
  <c r="AW273" i="1"/>
  <c r="AX272" i="1"/>
  <c r="AW272" i="1"/>
  <c r="AX271" i="1"/>
  <c r="AW271" i="1"/>
  <c r="AX270" i="1"/>
  <c r="AW270" i="1"/>
  <c r="AX269" i="1"/>
  <c r="AW269" i="1"/>
  <c r="AX268" i="1"/>
  <c r="AW268" i="1"/>
  <c r="AX267" i="1"/>
  <c r="AW267" i="1"/>
  <c r="AX266" i="1"/>
  <c r="AW266" i="1"/>
  <c r="AX265" i="1"/>
  <c r="AW265" i="1"/>
  <c r="AX264" i="1"/>
  <c r="AW264" i="1"/>
  <c r="AX263" i="1"/>
  <c r="AW263" i="1"/>
  <c r="AX262" i="1"/>
  <c r="AW262" i="1"/>
  <c r="AX261" i="1"/>
  <c r="AW261" i="1"/>
  <c r="AX260" i="1"/>
  <c r="AW260" i="1"/>
  <c r="AX259" i="1"/>
  <c r="AW259" i="1"/>
  <c r="AX258" i="1"/>
  <c r="AW258" i="1"/>
  <c r="AX257" i="1"/>
  <c r="AW257" i="1"/>
  <c r="AX256" i="1"/>
  <c r="AW256" i="1"/>
  <c r="AX255" i="1"/>
  <c r="AW255" i="1"/>
  <c r="AX254" i="1"/>
  <c r="AW254" i="1"/>
  <c r="AX253" i="1"/>
  <c r="AW253" i="1"/>
  <c r="AX252" i="1"/>
  <c r="AW252" i="1"/>
  <c r="AX251" i="1"/>
  <c r="AW251" i="1"/>
  <c r="AX250" i="1"/>
  <c r="AW250" i="1"/>
  <c r="AX249" i="1"/>
  <c r="AW249" i="1"/>
  <c r="AX248" i="1"/>
  <c r="AW248" i="1"/>
  <c r="AX247" i="1"/>
  <c r="AW247" i="1"/>
  <c r="AX246" i="1"/>
  <c r="AW246" i="1"/>
  <c r="AX245" i="1"/>
  <c r="AW245" i="1"/>
  <c r="AX244" i="1"/>
  <c r="AW244" i="1"/>
  <c r="AX243" i="1"/>
  <c r="AW243" i="1"/>
  <c r="AX242" i="1"/>
  <c r="AW242" i="1"/>
  <c r="AX241" i="1"/>
  <c r="AW241" i="1"/>
  <c r="AX240" i="1"/>
  <c r="AW240" i="1"/>
  <c r="AX239" i="1"/>
  <c r="AW239" i="1"/>
  <c r="AX238" i="1"/>
  <c r="AW238" i="1"/>
  <c r="AX237" i="1"/>
  <c r="AW237" i="1"/>
  <c r="AX236" i="1"/>
  <c r="AW236" i="1"/>
  <c r="AX235" i="1"/>
  <c r="AW235" i="1"/>
  <c r="AX234" i="1"/>
  <c r="AW234" i="1"/>
  <c r="AX233" i="1"/>
  <c r="AW233" i="1"/>
  <c r="AX232" i="1"/>
  <c r="AW232" i="1"/>
  <c r="AX231" i="1"/>
  <c r="AW231" i="1"/>
  <c r="AX230" i="1"/>
  <c r="AW230" i="1"/>
  <c r="AX229" i="1"/>
  <c r="AW229" i="1"/>
  <c r="AX228" i="1"/>
  <c r="AW228" i="1"/>
  <c r="AX227" i="1"/>
  <c r="AW227" i="1"/>
  <c r="AX226" i="1"/>
  <c r="AW226" i="1"/>
  <c r="AX225" i="1"/>
  <c r="AW225" i="1"/>
  <c r="AX224" i="1"/>
  <c r="AW224" i="1"/>
  <c r="AX223" i="1"/>
  <c r="AW223" i="1"/>
  <c r="AX222" i="1"/>
  <c r="AW222" i="1"/>
  <c r="AX221" i="1"/>
  <c r="AW221" i="1"/>
  <c r="AX220" i="1"/>
  <c r="AW220" i="1"/>
  <c r="AX219" i="1"/>
  <c r="AW219" i="1"/>
  <c r="AX218" i="1"/>
  <c r="AW218" i="1"/>
  <c r="AX217" i="1"/>
  <c r="AW217" i="1"/>
  <c r="AX216" i="1"/>
  <c r="AW216" i="1"/>
  <c r="AX215" i="1"/>
  <c r="AW215" i="1"/>
  <c r="AX214" i="1"/>
  <c r="AW214" i="1"/>
  <c r="AX213" i="1"/>
  <c r="AW213" i="1"/>
  <c r="AX212" i="1"/>
  <c r="AW212" i="1"/>
  <c r="AX211" i="1"/>
  <c r="AW211" i="1"/>
  <c r="AX210" i="1"/>
  <c r="AW210" i="1"/>
  <c r="AX209" i="1"/>
  <c r="AW209" i="1"/>
  <c r="AX208" i="1"/>
  <c r="AW208" i="1"/>
  <c r="AX207" i="1"/>
  <c r="AW207" i="1"/>
  <c r="AX206" i="1"/>
  <c r="AW206" i="1"/>
  <c r="AX205" i="1"/>
  <c r="AW205" i="1"/>
  <c r="AX204" i="1"/>
  <c r="AW204" i="1"/>
  <c r="AX203" i="1"/>
  <c r="AW203" i="1"/>
  <c r="AX202" i="1"/>
  <c r="AW202" i="1"/>
  <c r="AX201" i="1"/>
  <c r="AW201" i="1"/>
  <c r="AX200" i="1"/>
  <c r="AW200" i="1"/>
  <c r="AX199" i="1"/>
  <c r="AW199" i="1"/>
  <c r="AX198" i="1"/>
  <c r="AW198" i="1"/>
  <c r="AX197" i="1"/>
  <c r="AW197" i="1"/>
  <c r="AX196" i="1"/>
  <c r="AW196" i="1"/>
  <c r="AX195" i="1"/>
  <c r="AW195" i="1"/>
  <c r="AX194" i="1"/>
  <c r="AW194" i="1"/>
  <c r="AX193" i="1"/>
  <c r="AW193" i="1"/>
  <c r="AX192" i="1"/>
  <c r="AW192" i="1"/>
  <c r="AX191" i="1"/>
  <c r="AW191" i="1"/>
  <c r="AX190" i="1"/>
  <c r="AW190" i="1"/>
  <c r="AX189" i="1"/>
  <c r="AW189" i="1"/>
  <c r="AX188" i="1"/>
  <c r="AW188" i="1"/>
  <c r="AX187" i="1"/>
  <c r="AW187" i="1"/>
  <c r="AX186" i="1"/>
  <c r="AW186" i="1"/>
  <c r="AX185" i="1"/>
  <c r="AW185" i="1"/>
  <c r="AX184" i="1"/>
  <c r="AW184" i="1"/>
  <c r="AX183" i="1"/>
  <c r="AW183" i="1"/>
  <c r="AX182" i="1"/>
  <c r="BC182" i="1" s="1"/>
  <c r="AW182" i="1"/>
  <c r="BB182" i="1" s="1"/>
  <c r="AX181" i="1"/>
  <c r="BC181" i="1" s="1"/>
  <c r="AW181" i="1"/>
  <c r="BB181" i="1" s="1"/>
  <c r="AX180" i="1"/>
  <c r="BC180" i="1" s="1"/>
  <c r="AW180" i="1"/>
  <c r="BB180" i="1" s="1"/>
  <c r="AX179" i="1"/>
  <c r="BC179" i="1" s="1"/>
  <c r="AW179" i="1"/>
  <c r="BB179" i="1" s="1"/>
  <c r="AX178" i="1"/>
  <c r="BC178" i="1" s="1"/>
  <c r="AW178" i="1"/>
  <c r="BB178" i="1" s="1"/>
  <c r="AX177" i="1"/>
  <c r="BC177" i="1" s="1"/>
  <c r="AW177" i="1"/>
  <c r="BB177" i="1" s="1"/>
  <c r="AX176" i="1"/>
  <c r="BC176" i="1" s="1"/>
  <c r="AW176" i="1"/>
  <c r="BB176" i="1" s="1"/>
  <c r="AX175" i="1"/>
  <c r="BC175" i="1" s="1"/>
  <c r="AW175" i="1"/>
  <c r="BB175" i="1" s="1"/>
  <c r="AX174" i="1"/>
  <c r="BC174" i="1" s="1"/>
  <c r="AW174" i="1"/>
  <c r="BB174" i="1" s="1"/>
  <c r="AX173" i="1"/>
  <c r="BC173" i="1" s="1"/>
  <c r="AW173" i="1"/>
  <c r="BB173" i="1" s="1"/>
  <c r="AX172" i="1"/>
  <c r="BC172" i="1" s="1"/>
  <c r="AW172" i="1"/>
  <c r="BB172" i="1" s="1"/>
  <c r="AX171" i="1"/>
  <c r="BC171" i="1" s="1"/>
  <c r="AW171" i="1"/>
  <c r="BB171" i="1" s="1"/>
  <c r="AX170" i="1"/>
  <c r="BC170" i="1" s="1"/>
  <c r="AW170" i="1"/>
  <c r="BB170" i="1" s="1"/>
  <c r="AX169" i="1"/>
  <c r="BC169" i="1" s="1"/>
  <c r="AW169" i="1"/>
  <c r="BB169" i="1" s="1"/>
  <c r="AX168" i="1"/>
  <c r="BC168" i="1" s="1"/>
  <c r="AW168" i="1"/>
  <c r="BB168" i="1" s="1"/>
  <c r="AX167" i="1"/>
  <c r="BC167" i="1" s="1"/>
  <c r="AW167" i="1"/>
  <c r="BB167" i="1" s="1"/>
  <c r="AX166" i="1"/>
  <c r="BC166" i="1" s="1"/>
  <c r="AW166" i="1"/>
  <c r="BB166" i="1" s="1"/>
  <c r="AX165" i="1"/>
  <c r="BC165" i="1" s="1"/>
  <c r="AW165" i="1"/>
  <c r="BB165" i="1" s="1"/>
  <c r="AX164" i="1"/>
  <c r="BC164" i="1" s="1"/>
  <c r="AW164" i="1"/>
  <c r="BB164" i="1" s="1"/>
  <c r="AX163" i="1"/>
  <c r="BC163" i="1" s="1"/>
  <c r="AW163" i="1"/>
  <c r="BB163" i="1" s="1"/>
  <c r="AX162" i="1"/>
  <c r="BC162" i="1" s="1"/>
  <c r="AW162" i="1"/>
  <c r="BB162" i="1" s="1"/>
  <c r="AX161" i="1"/>
  <c r="BC161" i="1" s="1"/>
  <c r="AW161" i="1"/>
  <c r="BB161" i="1" s="1"/>
  <c r="AX160" i="1"/>
  <c r="BC160" i="1" s="1"/>
  <c r="AW160" i="1"/>
  <c r="BB160" i="1" s="1"/>
  <c r="AX159" i="1"/>
  <c r="BC159" i="1" s="1"/>
  <c r="AW159" i="1"/>
  <c r="BB159" i="1" s="1"/>
  <c r="AX158" i="1"/>
  <c r="BC158" i="1" s="1"/>
  <c r="AW158" i="1"/>
  <c r="BB158" i="1" s="1"/>
  <c r="AX157" i="1"/>
  <c r="BC157" i="1" s="1"/>
  <c r="AW157" i="1"/>
  <c r="BB157" i="1" s="1"/>
  <c r="AX156" i="1"/>
  <c r="BC156" i="1" s="1"/>
  <c r="AW156" i="1"/>
  <c r="BB156" i="1" s="1"/>
  <c r="AX155" i="1"/>
  <c r="BC155" i="1" s="1"/>
  <c r="AW155" i="1"/>
  <c r="BB155" i="1" s="1"/>
  <c r="AX154" i="1"/>
  <c r="BC154" i="1" s="1"/>
  <c r="AW154" i="1"/>
  <c r="BB154" i="1" s="1"/>
  <c r="AX153" i="1"/>
  <c r="BC153" i="1" s="1"/>
  <c r="AW153" i="1"/>
  <c r="BB153" i="1" s="1"/>
  <c r="AX152" i="1"/>
  <c r="BC152" i="1" s="1"/>
  <c r="AW152" i="1"/>
  <c r="BB152" i="1" s="1"/>
  <c r="AX151" i="1"/>
  <c r="BC151" i="1" s="1"/>
  <c r="AW151" i="1"/>
  <c r="BB151" i="1" s="1"/>
  <c r="AX150" i="1"/>
  <c r="BC150" i="1" s="1"/>
  <c r="AW150" i="1"/>
  <c r="BB150" i="1" s="1"/>
  <c r="AX149" i="1"/>
  <c r="BC149" i="1" s="1"/>
  <c r="AW149" i="1"/>
  <c r="BB149" i="1" s="1"/>
  <c r="AX148" i="1"/>
  <c r="BC148" i="1" s="1"/>
  <c r="AW148" i="1"/>
  <c r="BB148" i="1" s="1"/>
  <c r="AX147" i="1"/>
  <c r="BC147" i="1" s="1"/>
  <c r="AW147" i="1"/>
  <c r="BB147" i="1" s="1"/>
  <c r="AX146" i="1"/>
  <c r="BC146" i="1" s="1"/>
  <c r="AW146" i="1"/>
  <c r="BB146" i="1" s="1"/>
  <c r="AX145" i="1"/>
  <c r="BC145" i="1" s="1"/>
  <c r="AW145" i="1"/>
  <c r="BB145" i="1" s="1"/>
  <c r="AX144" i="1"/>
  <c r="BC144" i="1" s="1"/>
  <c r="AW144" i="1"/>
  <c r="BB144" i="1" s="1"/>
  <c r="AX143" i="1"/>
  <c r="BC143" i="1" s="1"/>
  <c r="AW143" i="1"/>
  <c r="BB143" i="1" s="1"/>
  <c r="AX142" i="1"/>
  <c r="BC142" i="1" s="1"/>
  <c r="AW142" i="1"/>
  <c r="BB142" i="1" s="1"/>
  <c r="AX141" i="1"/>
  <c r="BC141" i="1" s="1"/>
  <c r="AW141" i="1"/>
  <c r="BB141" i="1" s="1"/>
  <c r="AX140" i="1"/>
  <c r="BC140" i="1" s="1"/>
  <c r="AW140" i="1"/>
  <c r="BB140" i="1" s="1"/>
  <c r="AX139" i="1"/>
  <c r="BC139" i="1" s="1"/>
  <c r="AW139" i="1"/>
  <c r="BB139" i="1" s="1"/>
  <c r="AX138" i="1"/>
  <c r="BC138" i="1" s="1"/>
  <c r="AW138" i="1"/>
  <c r="BB138" i="1" s="1"/>
  <c r="AX137" i="1"/>
  <c r="BC137" i="1" s="1"/>
  <c r="AW137" i="1"/>
  <c r="BB137" i="1" s="1"/>
  <c r="AX136" i="1"/>
  <c r="BC136" i="1" s="1"/>
  <c r="AW136" i="1"/>
  <c r="BB136" i="1" s="1"/>
  <c r="AX135" i="1"/>
  <c r="BC135" i="1" s="1"/>
  <c r="AW135" i="1"/>
  <c r="BB135" i="1" s="1"/>
  <c r="AX134" i="1"/>
  <c r="BC134" i="1" s="1"/>
  <c r="AW134" i="1"/>
  <c r="BB134" i="1" s="1"/>
  <c r="AX133" i="1"/>
  <c r="BC133" i="1" s="1"/>
  <c r="AW133" i="1"/>
  <c r="BB133" i="1" s="1"/>
  <c r="AX132" i="1"/>
  <c r="BC132" i="1" s="1"/>
  <c r="AW132" i="1"/>
  <c r="BB132" i="1" s="1"/>
  <c r="AX131" i="1"/>
  <c r="BC131" i="1" s="1"/>
  <c r="AW131" i="1"/>
  <c r="BB131" i="1" s="1"/>
  <c r="AX130" i="1"/>
  <c r="BC130" i="1" s="1"/>
  <c r="AW130" i="1"/>
  <c r="BB130" i="1" s="1"/>
  <c r="AX129" i="1"/>
  <c r="BC129" i="1" s="1"/>
  <c r="AW129" i="1"/>
  <c r="BB129" i="1" s="1"/>
  <c r="AX128" i="1"/>
  <c r="BC128" i="1" s="1"/>
  <c r="AW128" i="1"/>
  <c r="BB128" i="1" s="1"/>
  <c r="AX127" i="1"/>
  <c r="BC127" i="1" s="1"/>
  <c r="AW127" i="1"/>
  <c r="BB127" i="1" s="1"/>
  <c r="AX126" i="1"/>
  <c r="BC126" i="1" s="1"/>
  <c r="AW126" i="1"/>
  <c r="BB126" i="1" s="1"/>
  <c r="AX125" i="1"/>
  <c r="BC125" i="1" s="1"/>
  <c r="AW125" i="1"/>
  <c r="BB125" i="1" s="1"/>
  <c r="AX124" i="1"/>
  <c r="BC124" i="1" s="1"/>
  <c r="AW124" i="1"/>
  <c r="BB124" i="1" s="1"/>
  <c r="AX123" i="1"/>
  <c r="BC123" i="1" s="1"/>
  <c r="AW123" i="1"/>
  <c r="BB123" i="1" s="1"/>
  <c r="AX122" i="1"/>
  <c r="BC122" i="1" s="1"/>
  <c r="AW122" i="1"/>
  <c r="BB122" i="1" s="1"/>
  <c r="AX121" i="1"/>
  <c r="BC121" i="1" s="1"/>
  <c r="AW121" i="1"/>
  <c r="BB121" i="1" s="1"/>
  <c r="AX120" i="1"/>
  <c r="BC120" i="1" s="1"/>
  <c r="AW120" i="1"/>
  <c r="BB120" i="1" s="1"/>
  <c r="AX119" i="1"/>
  <c r="BC119" i="1" s="1"/>
  <c r="AW119" i="1"/>
  <c r="BB119" i="1" s="1"/>
  <c r="AX118" i="1"/>
  <c r="BC118" i="1" s="1"/>
  <c r="AW118" i="1"/>
  <c r="BB118" i="1" s="1"/>
  <c r="AX117" i="1"/>
  <c r="BC117" i="1" s="1"/>
  <c r="AW117" i="1"/>
  <c r="BB117" i="1" s="1"/>
  <c r="AX116" i="1"/>
  <c r="BC116" i="1" s="1"/>
  <c r="AW116" i="1"/>
  <c r="BB116" i="1" s="1"/>
  <c r="AX115" i="1"/>
  <c r="BC115" i="1" s="1"/>
  <c r="AW115" i="1"/>
  <c r="BB115" i="1" s="1"/>
  <c r="AX114" i="1"/>
  <c r="BC114" i="1" s="1"/>
  <c r="AW114" i="1"/>
  <c r="BB114" i="1" s="1"/>
  <c r="AX113" i="1"/>
  <c r="BC113" i="1" s="1"/>
  <c r="AW113" i="1"/>
  <c r="BB113" i="1" s="1"/>
  <c r="AX112" i="1"/>
  <c r="BC112" i="1" s="1"/>
  <c r="AW112" i="1"/>
  <c r="BB112" i="1" s="1"/>
  <c r="AX111" i="1"/>
  <c r="BC111" i="1" s="1"/>
  <c r="AW111" i="1"/>
  <c r="BB111" i="1" s="1"/>
  <c r="AX110" i="1"/>
  <c r="BC110" i="1" s="1"/>
  <c r="AW110" i="1"/>
  <c r="BB110" i="1" s="1"/>
  <c r="AX109" i="1"/>
  <c r="BC109" i="1" s="1"/>
  <c r="AW109" i="1"/>
  <c r="BB109" i="1" s="1"/>
  <c r="AX108" i="1"/>
  <c r="BC108" i="1" s="1"/>
  <c r="AW108" i="1"/>
  <c r="BB108" i="1" s="1"/>
  <c r="AX107" i="1"/>
  <c r="BC107" i="1" s="1"/>
  <c r="AW107" i="1"/>
  <c r="BB107" i="1" s="1"/>
  <c r="AX106" i="1"/>
  <c r="BC106" i="1" s="1"/>
  <c r="AW106" i="1"/>
  <c r="BB106" i="1" s="1"/>
  <c r="AX105" i="1"/>
  <c r="BC105" i="1" s="1"/>
  <c r="AW105" i="1"/>
  <c r="BB105" i="1" s="1"/>
  <c r="AX104" i="1"/>
  <c r="BC104" i="1" s="1"/>
  <c r="AW104" i="1"/>
  <c r="BB104" i="1" s="1"/>
  <c r="AX103" i="1"/>
  <c r="BC103" i="1" s="1"/>
  <c r="AW103" i="1"/>
  <c r="BB103" i="1" s="1"/>
  <c r="AX102" i="1"/>
  <c r="BC102" i="1" s="1"/>
  <c r="AW102" i="1"/>
  <c r="BB102" i="1" s="1"/>
  <c r="AX101" i="1"/>
  <c r="BC101" i="1" s="1"/>
  <c r="AW101" i="1"/>
  <c r="BB101" i="1" s="1"/>
  <c r="AX100" i="1"/>
  <c r="BC100" i="1" s="1"/>
  <c r="AW100" i="1"/>
  <c r="BB100" i="1" s="1"/>
  <c r="AX99" i="1"/>
  <c r="BC99" i="1" s="1"/>
  <c r="AW99" i="1"/>
  <c r="BB99" i="1" s="1"/>
  <c r="AX98" i="1"/>
  <c r="BC98" i="1" s="1"/>
  <c r="AW98" i="1"/>
  <c r="BB98" i="1" s="1"/>
  <c r="AX97" i="1"/>
  <c r="BC97" i="1" s="1"/>
  <c r="AW97" i="1"/>
  <c r="BB97" i="1" s="1"/>
  <c r="AX96" i="1"/>
  <c r="BC96" i="1" s="1"/>
  <c r="AW96" i="1"/>
  <c r="BB96" i="1" s="1"/>
  <c r="AX95" i="1"/>
  <c r="BC95" i="1" s="1"/>
  <c r="AW95" i="1"/>
  <c r="BB95" i="1" s="1"/>
  <c r="AX94" i="1"/>
  <c r="BC94" i="1" s="1"/>
  <c r="AW94" i="1"/>
  <c r="BB94" i="1" s="1"/>
  <c r="AX93" i="1"/>
  <c r="BC93" i="1" s="1"/>
  <c r="AW93" i="1"/>
  <c r="BB93" i="1" s="1"/>
  <c r="AX92" i="1"/>
  <c r="BC92" i="1" s="1"/>
  <c r="AW92" i="1"/>
  <c r="BB92" i="1" s="1"/>
  <c r="AX91" i="1"/>
  <c r="BC91" i="1" s="1"/>
  <c r="AW91" i="1"/>
  <c r="BB91" i="1" s="1"/>
  <c r="AX90" i="1"/>
  <c r="BC90" i="1" s="1"/>
  <c r="AW90" i="1"/>
  <c r="BB90" i="1" s="1"/>
  <c r="AX89" i="1"/>
  <c r="BC89" i="1" s="1"/>
  <c r="AW89" i="1"/>
  <c r="BB89" i="1" s="1"/>
  <c r="AX88" i="1"/>
  <c r="BC88" i="1" s="1"/>
  <c r="AW88" i="1"/>
  <c r="BB88" i="1" s="1"/>
  <c r="AX87" i="1"/>
  <c r="BC87" i="1" s="1"/>
  <c r="AW87" i="1"/>
  <c r="BB87" i="1" s="1"/>
  <c r="AX86" i="1"/>
  <c r="BC86" i="1" s="1"/>
  <c r="AW86" i="1"/>
  <c r="BB86" i="1" s="1"/>
  <c r="AX85" i="1"/>
  <c r="BC85" i="1" s="1"/>
  <c r="AW85" i="1"/>
  <c r="BB85" i="1" s="1"/>
  <c r="AX84" i="1"/>
  <c r="BC84" i="1" s="1"/>
  <c r="AW84" i="1"/>
  <c r="BB84" i="1" s="1"/>
  <c r="AX83" i="1"/>
  <c r="BC83" i="1" s="1"/>
  <c r="AW83" i="1"/>
  <c r="BB83" i="1" s="1"/>
  <c r="AX82" i="1"/>
  <c r="BC82" i="1" s="1"/>
  <c r="AW82" i="1"/>
  <c r="BB82" i="1" s="1"/>
  <c r="AX81" i="1"/>
  <c r="BC81" i="1" s="1"/>
  <c r="AW81" i="1"/>
  <c r="BB81" i="1" s="1"/>
  <c r="AX80" i="1"/>
  <c r="BC80" i="1" s="1"/>
  <c r="AW80" i="1"/>
  <c r="BB80" i="1" s="1"/>
  <c r="AX79" i="1"/>
  <c r="BC79" i="1" s="1"/>
  <c r="AW79" i="1"/>
  <c r="BB79" i="1" s="1"/>
  <c r="AX78" i="1"/>
  <c r="BC78" i="1" s="1"/>
  <c r="AW78" i="1"/>
  <c r="BB78" i="1" s="1"/>
  <c r="AX77" i="1"/>
  <c r="BC77" i="1" s="1"/>
  <c r="AW77" i="1"/>
  <c r="BB77" i="1" s="1"/>
  <c r="AX76" i="1"/>
  <c r="BC76" i="1" s="1"/>
  <c r="AW76" i="1"/>
  <c r="BB76" i="1" s="1"/>
  <c r="AX75" i="1"/>
  <c r="BC75" i="1" s="1"/>
  <c r="AW75" i="1"/>
  <c r="BB75" i="1" s="1"/>
  <c r="AX74" i="1"/>
  <c r="BC74" i="1" s="1"/>
  <c r="AW74" i="1"/>
  <c r="BB74" i="1" s="1"/>
  <c r="AX73" i="1"/>
  <c r="BC73" i="1" s="1"/>
  <c r="AW73" i="1"/>
  <c r="BB73" i="1" s="1"/>
  <c r="AX72" i="1"/>
  <c r="BC72" i="1" s="1"/>
  <c r="AW72" i="1"/>
  <c r="BB72" i="1" s="1"/>
  <c r="AX71" i="1"/>
  <c r="BC71" i="1" s="1"/>
  <c r="AW71" i="1"/>
  <c r="BB71" i="1" s="1"/>
  <c r="AX70" i="1"/>
  <c r="BC70" i="1" s="1"/>
  <c r="AW70" i="1"/>
  <c r="BB70" i="1" s="1"/>
  <c r="AX69" i="1"/>
  <c r="BC69" i="1" s="1"/>
  <c r="AW69" i="1"/>
  <c r="BB69" i="1" s="1"/>
  <c r="AX68" i="1"/>
  <c r="BC68" i="1" s="1"/>
  <c r="AW68" i="1"/>
  <c r="BB68" i="1" s="1"/>
  <c r="AX67" i="1"/>
  <c r="BC67" i="1" s="1"/>
  <c r="AW67" i="1"/>
  <c r="BB67" i="1" s="1"/>
  <c r="AX66" i="1"/>
  <c r="BC66" i="1" s="1"/>
  <c r="AW66" i="1"/>
  <c r="BB66" i="1" s="1"/>
  <c r="AX65" i="1"/>
  <c r="BC65" i="1" s="1"/>
  <c r="AW65" i="1"/>
  <c r="BB65" i="1" s="1"/>
  <c r="AX64" i="1"/>
  <c r="BC64" i="1" s="1"/>
  <c r="AW64" i="1"/>
  <c r="BB64" i="1" s="1"/>
  <c r="AX63" i="1"/>
  <c r="BC63" i="1" s="1"/>
  <c r="AW63" i="1"/>
  <c r="BB63" i="1" s="1"/>
  <c r="AX62" i="1"/>
  <c r="BC62" i="1" s="1"/>
  <c r="AW62" i="1"/>
  <c r="BB62" i="1" s="1"/>
  <c r="AX61" i="1"/>
  <c r="BC61" i="1" s="1"/>
  <c r="AW61" i="1"/>
  <c r="BB61" i="1" s="1"/>
  <c r="AX60" i="1"/>
  <c r="BC60" i="1" s="1"/>
  <c r="AW60" i="1"/>
  <c r="BB60" i="1" s="1"/>
  <c r="AX59" i="1"/>
  <c r="BC59" i="1" s="1"/>
  <c r="AW59" i="1"/>
  <c r="BB59" i="1" s="1"/>
  <c r="AX58" i="1"/>
  <c r="BC58" i="1" s="1"/>
  <c r="AW58" i="1"/>
  <c r="BB58" i="1" s="1"/>
  <c r="AX57" i="1"/>
  <c r="BC57" i="1" s="1"/>
  <c r="AW57" i="1"/>
  <c r="BB57" i="1" s="1"/>
  <c r="AX56" i="1"/>
  <c r="BC56" i="1" s="1"/>
  <c r="AW56" i="1"/>
  <c r="BB56" i="1" s="1"/>
  <c r="AX55" i="1"/>
  <c r="BC55" i="1" s="1"/>
  <c r="AW55" i="1"/>
  <c r="BB55" i="1" s="1"/>
  <c r="AX54" i="1"/>
  <c r="BC54" i="1" s="1"/>
  <c r="AW54" i="1"/>
  <c r="BB54" i="1" s="1"/>
  <c r="AX53" i="1"/>
  <c r="BC53" i="1" s="1"/>
  <c r="AW53" i="1"/>
  <c r="BB53" i="1" s="1"/>
  <c r="AX52" i="1"/>
  <c r="BC52" i="1" s="1"/>
  <c r="AW52" i="1"/>
  <c r="BB52" i="1" s="1"/>
  <c r="AX51" i="1"/>
  <c r="BC51" i="1" s="1"/>
  <c r="AW51" i="1"/>
  <c r="BB51" i="1" s="1"/>
  <c r="AX50" i="1"/>
  <c r="BC50" i="1" s="1"/>
  <c r="AW50" i="1"/>
  <c r="BB50" i="1" s="1"/>
  <c r="AX49" i="1"/>
  <c r="BC49" i="1" s="1"/>
  <c r="AW49" i="1"/>
  <c r="BB49" i="1" s="1"/>
  <c r="AX48" i="1"/>
  <c r="BC48" i="1" s="1"/>
  <c r="AW48" i="1"/>
  <c r="BB48" i="1" s="1"/>
  <c r="AX47" i="1"/>
  <c r="BC47" i="1" s="1"/>
  <c r="AW47" i="1"/>
  <c r="BB47" i="1" s="1"/>
  <c r="AX46" i="1"/>
  <c r="BC46" i="1" s="1"/>
  <c r="AW46" i="1"/>
  <c r="BB46" i="1" s="1"/>
  <c r="AX45" i="1"/>
  <c r="BC45" i="1" s="1"/>
  <c r="AW45" i="1"/>
  <c r="BB45" i="1" s="1"/>
  <c r="AX44" i="1"/>
  <c r="BC44" i="1" s="1"/>
  <c r="AW44" i="1"/>
  <c r="BB44" i="1" s="1"/>
  <c r="AX43" i="1"/>
  <c r="BC43" i="1" s="1"/>
  <c r="AW43" i="1"/>
  <c r="BB43" i="1" s="1"/>
  <c r="AX42" i="1"/>
  <c r="BC42" i="1" s="1"/>
  <c r="AW42" i="1"/>
  <c r="BB42" i="1" s="1"/>
  <c r="AX41" i="1"/>
  <c r="BC41" i="1" s="1"/>
  <c r="AW41" i="1"/>
  <c r="BB41" i="1" s="1"/>
  <c r="AX40" i="1"/>
  <c r="BC40" i="1" s="1"/>
  <c r="AW40" i="1"/>
  <c r="BB40" i="1" s="1"/>
  <c r="AX39" i="1"/>
  <c r="BC39" i="1" s="1"/>
  <c r="AW39" i="1"/>
  <c r="BB39" i="1" s="1"/>
  <c r="AX38" i="1"/>
  <c r="BC38" i="1" s="1"/>
  <c r="AW38" i="1"/>
  <c r="BB38" i="1" s="1"/>
  <c r="AX37" i="1"/>
  <c r="BC37" i="1" s="1"/>
  <c r="AW37" i="1"/>
  <c r="BB37" i="1" s="1"/>
  <c r="AX36" i="1"/>
  <c r="BC36" i="1" s="1"/>
  <c r="AW36" i="1"/>
  <c r="BB36" i="1" s="1"/>
  <c r="AX35" i="1"/>
  <c r="BC35" i="1" s="1"/>
  <c r="AW35" i="1"/>
  <c r="BB35" i="1" s="1"/>
  <c r="AX34" i="1"/>
  <c r="BC34" i="1" s="1"/>
  <c r="AW34" i="1"/>
  <c r="BB34" i="1" s="1"/>
  <c r="AX33" i="1"/>
  <c r="BC33" i="1" s="1"/>
  <c r="AW33" i="1"/>
  <c r="BB33" i="1" s="1"/>
  <c r="AX32" i="1"/>
  <c r="BC32" i="1" s="1"/>
  <c r="AW32" i="1"/>
  <c r="BB32" i="1" s="1"/>
  <c r="AX31" i="1"/>
  <c r="BC31" i="1" s="1"/>
  <c r="AW31" i="1"/>
  <c r="BB31" i="1" s="1"/>
  <c r="AX30" i="1"/>
  <c r="BC30" i="1" s="1"/>
  <c r="AW30" i="1"/>
  <c r="BB30" i="1" s="1"/>
  <c r="AX29" i="1"/>
  <c r="BC29" i="1" s="1"/>
  <c r="AW29" i="1"/>
  <c r="BB29" i="1" s="1"/>
  <c r="AX28" i="1"/>
  <c r="BC28" i="1" s="1"/>
  <c r="AW28" i="1"/>
  <c r="BB28" i="1" s="1"/>
  <c r="AX27" i="1"/>
  <c r="BC27" i="1" s="1"/>
  <c r="AW27" i="1"/>
  <c r="BB27" i="1" s="1"/>
  <c r="AX26" i="1"/>
  <c r="BC26" i="1" s="1"/>
  <c r="AW26" i="1"/>
  <c r="BB26" i="1" s="1"/>
  <c r="AX25" i="1"/>
  <c r="BC25" i="1" s="1"/>
  <c r="AW25" i="1"/>
  <c r="BB25" i="1" s="1"/>
  <c r="AX24" i="1"/>
  <c r="BC24" i="1" s="1"/>
  <c r="AW24" i="1"/>
  <c r="BB24" i="1" s="1"/>
  <c r="AX23" i="1"/>
  <c r="BC23" i="1" s="1"/>
  <c r="AW23" i="1"/>
  <c r="BB23" i="1" s="1"/>
  <c r="AX22" i="1"/>
  <c r="BC22" i="1" s="1"/>
  <c r="AW22" i="1"/>
  <c r="BB22" i="1" s="1"/>
  <c r="AX21" i="1"/>
  <c r="BC21" i="1" s="1"/>
  <c r="AW21" i="1"/>
  <c r="BB21" i="1" s="1"/>
  <c r="AX20" i="1"/>
  <c r="BC20" i="1" s="1"/>
  <c r="AW20" i="1"/>
  <c r="BB20" i="1" s="1"/>
  <c r="AX19" i="1"/>
  <c r="BC19" i="1" s="1"/>
  <c r="AW19" i="1"/>
  <c r="BB19" i="1" s="1"/>
  <c r="AX18" i="1"/>
  <c r="BC18" i="1" s="1"/>
  <c r="AW18" i="1"/>
  <c r="BB18" i="1" s="1"/>
  <c r="AX17" i="1"/>
  <c r="BC17" i="1" s="1"/>
  <c r="AW17" i="1"/>
  <c r="BB17" i="1" s="1"/>
  <c r="AX16" i="1"/>
  <c r="BC16" i="1" s="1"/>
  <c r="AW16" i="1"/>
  <c r="BB16" i="1" s="1"/>
  <c r="AX15" i="1"/>
  <c r="BC15" i="1" s="1"/>
  <c r="AW15" i="1"/>
  <c r="BB15" i="1" s="1"/>
  <c r="AX14" i="1"/>
  <c r="BC14" i="1" s="1"/>
  <c r="AW14" i="1"/>
  <c r="BB14" i="1" s="1"/>
  <c r="AX13" i="1"/>
  <c r="BC13" i="1" s="1"/>
  <c r="AW13" i="1"/>
  <c r="BB13" i="1" s="1"/>
  <c r="AX12" i="1"/>
  <c r="BC12" i="1" s="1"/>
  <c r="AW12" i="1"/>
  <c r="BB12" i="1" s="1"/>
  <c r="AX11" i="1"/>
  <c r="BC11" i="1" s="1"/>
  <c r="AW11" i="1"/>
  <c r="BB11" i="1" s="1"/>
  <c r="AX10" i="1"/>
  <c r="BC10" i="1" s="1"/>
  <c r="AW10" i="1"/>
  <c r="BB10" i="1" s="1"/>
  <c r="AX9" i="1"/>
  <c r="BC9" i="1" s="1"/>
  <c r="AW9" i="1"/>
  <c r="BB9" i="1" s="1"/>
  <c r="AX8" i="1"/>
  <c r="BC8" i="1" s="1"/>
  <c r="AW8" i="1"/>
  <c r="BB8" i="1" s="1"/>
  <c r="AX7" i="1"/>
  <c r="BC7" i="1" s="1"/>
  <c r="AW7" i="1"/>
  <c r="BB7" i="1" s="1"/>
  <c r="AX6" i="1"/>
  <c r="BC6" i="1" s="1"/>
  <c r="AW6" i="1"/>
  <c r="BB6" i="1" s="1"/>
  <c r="AX5" i="1"/>
  <c r="BC5" i="1" s="1"/>
  <c r="AW5" i="1"/>
  <c r="BB5" i="1" s="1"/>
  <c r="AX4" i="1"/>
  <c r="BC4" i="1" s="1"/>
  <c r="AW4" i="1"/>
  <c r="BB4" i="1" s="1"/>
  <c r="AX3" i="1"/>
  <c r="AW3" i="1"/>
  <c r="BB3" i="1" s="1"/>
  <c r="AX2" i="1"/>
  <c r="BC2" i="1" s="1"/>
  <c r="AW2" i="1"/>
  <c r="BB2" i="1" s="1"/>
  <c r="AD46" i="1"/>
  <c r="AD45" i="1"/>
  <c r="AE38" i="1"/>
  <c r="AD38" i="1"/>
  <c r="AD39" i="1" s="1"/>
  <c r="AE39" i="1" s="1"/>
  <c r="AY3" i="1" l="1"/>
  <c r="BD3" i="1" s="1"/>
  <c r="BC3" i="1"/>
  <c r="AE40" i="1"/>
  <c r="AD40" i="1"/>
  <c r="AD41" i="1" s="1"/>
  <c r="AY328" i="1"/>
  <c r="AY264" i="1"/>
  <c r="AY200" i="1"/>
  <c r="AY136" i="1"/>
  <c r="BD136" i="1" s="1"/>
  <c r="AY72" i="1"/>
  <c r="BD72" i="1" s="1"/>
  <c r="AY360" i="1"/>
  <c r="AY320" i="1"/>
  <c r="AY256" i="1"/>
  <c r="AY192" i="1"/>
  <c r="AY128" i="1"/>
  <c r="BD128" i="1" s="1"/>
  <c r="AY64" i="1"/>
  <c r="BD64" i="1" s="1"/>
  <c r="AY359" i="1"/>
  <c r="AY312" i="1"/>
  <c r="AY248" i="1"/>
  <c r="AY184" i="1"/>
  <c r="AY120" i="1"/>
  <c r="BD120" i="1" s="1"/>
  <c r="AY56" i="1"/>
  <c r="BD56" i="1" s="1"/>
  <c r="AY352" i="1"/>
  <c r="AY304" i="1"/>
  <c r="AY240" i="1"/>
  <c r="AY176" i="1"/>
  <c r="BD176" i="1" s="1"/>
  <c r="AY112" i="1"/>
  <c r="BD112" i="1" s="1"/>
  <c r="AY48" i="1"/>
  <c r="BD48" i="1" s="1"/>
  <c r="AY351" i="1"/>
  <c r="AY296" i="1"/>
  <c r="AY232" i="1"/>
  <c r="AY168" i="1"/>
  <c r="BD168" i="1" s="1"/>
  <c r="AY104" i="1"/>
  <c r="BD104" i="1" s="1"/>
  <c r="AY40" i="1"/>
  <c r="BD40" i="1" s="1"/>
  <c r="AY344" i="1"/>
  <c r="AY288" i="1"/>
  <c r="AY224" i="1"/>
  <c r="AY160" i="1"/>
  <c r="BD160" i="1" s="1"/>
  <c r="AY96" i="1"/>
  <c r="BD96" i="1" s="1"/>
  <c r="AY32" i="1"/>
  <c r="BD32" i="1" s="1"/>
  <c r="AY336" i="1"/>
  <c r="AY280" i="1"/>
  <c r="AY216" i="1"/>
  <c r="AY152" i="1"/>
  <c r="BD152" i="1" s="1"/>
  <c r="AY88" i="1"/>
  <c r="BD88" i="1" s="1"/>
  <c r="AY24" i="1"/>
  <c r="BD24" i="1" s="1"/>
  <c r="AY335" i="1"/>
  <c r="AY272" i="1"/>
  <c r="AY208" i="1"/>
  <c r="AY144" i="1"/>
  <c r="BD144" i="1" s="1"/>
  <c r="AY80" i="1"/>
  <c r="BD80" i="1" s="1"/>
  <c r="AY16" i="1"/>
  <c r="BD16" i="1" s="1"/>
  <c r="AY287" i="1"/>
  <c r="AY239" i="1"/>
  <c r="AY207" i="1"/>
  <c r="AY167" i="1"/>
  <c r="BD167" i="1" s="1"/>
  <c r="AY151" i="1"/>
  <c r="BD151" i="1" s="1"/>
  <c r="AY119" i="1"/>
  <c r="BD119" i="1" s="1"/>
  <c r="AY95" i="1"/>
  <c r="BD95" i="1" s="1"/>
  <c r="AY63" i="1"/>
  <c r="BD63" i="1" s="1"/>
  <c r="AY47" i="1"/>
  <c r="BD47" i="1" s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BD178" i="1" s="1"/>
  <c r="AY170" i="1"/>
  <c r="BD170" i="1" s="1"/>
  <c r="AY162" i="1"/>
  <c r="BD162" i="1" s="1"/>
  <c r="AY154" i="1"/>
  <c r="BD154" i="1" s="1"/>
  <c r="AY146" i="1"/>
  <c r="BD146" i="1" s="1"/>
  <c r="AY138" i="1"/>
  <c r="BD138" i="1" s="1"/>
  <c r="AY130" i="1"/>
  <c r="BD130" i="1" s="1"/>
  <c r="AY122" i="1"/>
  <c r="BD122" i="1" s="1"/>
  <c r="AY114" i="1"/>
  <c r="BD114" i="1" s="1"/>
  <c r="AY106" i="1"/>
  <c r="BD106" i="1" s="1"/>
  <c r="AY98" i="1"/>
  <c r="BD98" i="1" s="1"/>
  <c r="AY90" i="1"/>
  <c r="BD90" i="1" s="1"/>
  <c r="AY82" i="1"/>
  <c r="BD82" i="1" s="1"/>
  <c r="AY74" i="1"/>
  <c r="BD74" i="1" s="1"/>
  <c r="AY66" i="1"/>
  <c r="BD66" i="1" s="1"/>
  <c r="AY58" i="1"/>
  <c r="BD58" i="1" s="1"/>
  <c r="AY50" i="1"/>
  <c r="BD50" i="1" s="1"/>
  <c r="AY42" i="1"/>
  <c r="BD42" i="1" s="1"/>
  <c r="AY34" i="1"/>
  <c r="BD34" i="1" s="1"/>
  <c r="AY26" i="1"/>
  <c r="BD26" i="1" s="1"/>
  <c r="AY18" i="1"/>
  <c r="BD18" i="1" s="1"/>
  <c r="AY10" i="1"/>
  <c r="BD10" i="1" s="1"/>
  <c r="AY311" i="1"/>
  <c r="AY295" i="1"/>
  <c r="AY247" i="1"/>
  <c r="AY215" i="1"/>
  <c r="AY175" i="1"/>
  <c r="BD175" i="1" s="1"/>
  <c r="AY143" i="1"/>
  <c r="BD143" i="1" s="1"/>
  <c r="AY111" i="1"/>
  <c r="BD111" i="1" s="1"/>
  <c r="AY87" i="1"/>
  <c r="BD87" i="1" s="1"/>
  <c r="AY55" i="1"/>
  <c r="BD55" i="1" s="1"/>
  <c r="AY39" i="1"/>
  <c r="BD39" i="1" s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BD177" i="1" s="1"/>
  <c r="AY169" i="1"/>
  <c r="BD169" i="1" s="1"/>
  <c r="AY161" i="1"/>
  <c r="BD161" i="1" s="1"/>
  <c r="AY153" i="1"/>
  <c r="BD153" i="1" s="1"/>
  <c r="AY145" i="1"/>
  <c r="BD145" i="1" s="1"/>
  <c r="AY137" i="1"/>
  <c r="BD137" i="1" s="1"/>
  <c r="AY129" i="1"/>
  <c r="BD129" i="1" s="1"/>
  <c r="AY121" i="1"/>
  <c r="BD121" i="1" s="1"/>
  <c r="AY113" i="1"/>
  <c r="BD113" i="1" s="1"/>
  <c r="AY105" i="1"/>
  <c r="BD105" i="1" s="1"/>
  <c r="AY97" i="1"/>
  <c r="BD97" i="1" s="1"/>
  <c r="AY89" i="1"/>
  <c r="BD89" i="1" s="1"/>
  <c r="AY81" i="1"/>
  <c r="BD81" i="1" s="1"/>
  <c r="AY73" i="1"/>
  <c r="BD73" i="1" s="1"/>
  <c r="AY65" i="1"/>
  <c r="BD65" i="1" s="1"/>
  <c r="AY57" i="1"/>
  <c r="BD57" i="1" s="1"/>
  <c r="AY49" i="1"/>
  <c r="BD49" i="1" s="1"/>
  <c r="AY41" i="1"/>
  <c r="BD41" i="1" s="1"/>
  <c r="AY33" i="1"/>
  <c r="BD33" i="1" s="1"/>
  <c r="AY25" i="1"/>
  <c r="BD25" i="1" s="1"/>
  <c r="AY17" i="1"/>
  <c r="BD17" i="1" s="1"/>
  <c r="AY9" i="1"/>
  <c r="BD9" i="1" s="1"/>
  <c r="AY8" i="1"/>
  <c r="BD8" i="1" s="1"/>
  <c r="AY7" i="1"/>
  <c r="BD7" i="1" s="1"/>
  <c r="AY327" i="1"/>
  <c r="AY271" i="1"/>
  <c r="AY231" i="1"/>
  <c r="AY183" i="1"/>
  <c r="AY127" i="1"/>
  <c r="BD127" i="1" s="1"/>
  <c r="AY71" i="1"/>
  <c r="BD71" i="1" s="1"/>
  <c r="AY23" i="1"/>
  <c r="BD23" i="1" s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BD182" i="1" s="1"/>
  <c r="AY174" i="1"/>
  <c r="BD174" i="1" s="1"/>
  <c r="AY166" i="1"/>
  <c r="BD166" i="1" s="1"/>
  <c r="AY158" i="1"/>
  <c r="BD158" i="1" s="1"/>
  <c r="AY150" i="1"/>
  <c r="BD150" i="1" s="1"/>
  <c r="AY142" i="1"/>
  <c r="BD142" i="1" s="1"/>
  <c r="AY134" i="1"/>
  <c r="BD134" i="1" s="1"/>
  <c r="AY126" i="1"/>
  <c r="BD126" i="1" s="1"/>
  <c r="AY118" i="1"/>
  <c r="BD118" i="1" s="1"/>
  <c r="AY110" i="1"/>
  <c r="BD110" i="1" s="1"/>
  <c r="AY102" i="1"/>
  <c r="BD102" i="1" s="1"/>
  <c r="AY94" i="1"/>
  <c r="BD94" i="1" s="1"/>
  <c r="AY86" i="1"/>
  <c r="BD86" i="1" s="1"/>
  <c r="AY78" i="1"/>
  <c r="BD78" i="1" s="1"/>
  <c r="AY70" i="1"/>
  <c r="BD70" i="1" s="1"/>
  <c r="AY62" i="1"/>
  <c r="BD62" i="1" s="1"/>
  <c r="AY54" i="1"/>
  <c r="BD54" i="1" s="1"/>
  <c r="AY46" i="1"/>
  <c r="BD46" i="1" s="1"/>
  <c r="AY38" i="1"/>
  <c r="BD38" i="1" s="1"/>
  <c r="AY30" i="1"/>
  <c r="BD30" i="1" s="1"/>
  <c r="AY22" i="1"/>
  <c r="BD22" i="1" s="1"/>
  <c r="AY14" i="1"/>
  <c r="BD14" i="1" s="1"/>
  <c r="AY6" i="1"/>
  <c r="BD6" i="1" s="1"/>
  <c r="AY343" i="1"/>
  <c r="AY303" i="1"/>
  <c r="AY279" i="1"/>
  <c r="AY255" i="1"/>
  <c r="AY199" i="1"/>
  <c r="AY135" i="1"/>
  <c r="BD135" i="1" s="1"/>
  <c r="AY79" i="1"/>
  <c r="BD79" i="1" s="1"/>
  <c r="AY31" i="1"/>
  <c r="BD31" i="1" s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BD181" i="1" s="1"/>
  <c r="AY173" i="1"/>
  <c r="BD173" i="1" s="1"/>
  <c r="AY165" i="1"/>
  <c r="BD165" i="1" s="1"/>
  <c r="AY157" i="1"/>
  <c r="BD157" i="1" s="1"/>
  <c r="AY149" i="1"/>
  <c r="BD149" i="1" s="1"/>
  <c r="AY141" i="1"/>
  <c r="BD141" i="1" s="1"/>
  <c r="AY133" i="1"/>
  <c r="BD133" i="1" s="1"/>
  <c r="AY125" i="1"/>
  <c r="BD125" i="1" s="1"/>
  <c r="AY117" i="1"/>
  <c r="BD117" i="1" s="1"/>
  <c r="AY109" i="1"/>
  <c r="BD109" i="1" s="1"/>
  <c r="AY101" i="1"/>
  <c r="BD101" i="1" s="1"/>
  <c r="AY93" i="1"/>
  <c r="BD93" i="1" s="1"/>
  <c r="AY85" i="1"/>
  <c r="BD85" i="1" s="1"/>
  <c r="AY77" i="1"/>
  <c r="BD77" i="1" s="1"/>
  <c r="AY69" i="1"/>
  <c r="BD69" i="1" s="1"/>
  <c r="AY61" i="1"/>
  <c r="BD61" i="1" s="1"/>
  <c r="AY53" i="1"/>
  <c r="BD53" i="1" s="1"/>
  <c r="AY45" i="1"/>
  <c r="BD45" i="1" s="1"/>
  <c r="AY37" i="1"/>
  <c r="BD37" i="1" s="1"/>
  <c r="AY29" i="1"/>
  <c r="BD29" i="1" s="1"/>
  <c r="AY21" i="1"/>
  <c r="BD21" i="1" s="1"/>
  <c r="AY13" i="1"/>
  <c r="BD13" i="1" s="1"/>
  <c r="AY5" i="1"/>
  <c r="BD5" i="1" s="1"/>
  <c r="AY319" i="1"/>
  <c r="AY263" i="1"/>
  <c r="AY223" i="1"/>
  <c r="AY191" i="1"/>
  <c r="AY159" i="1"/>
  <c r="BD159" i="1" s="1"/>
  <c r="AY103" i="1"/>
  <c r="BD103" i="1" s="1"/>
  <c r="AY15" i="1"/>
  <c r="BD15" i="1" s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BD180" i="1" s="1"/>
  <c r="AY172" i="1"/>
  <c r="BD172" i="1" s="1"/>
  <c r="AY164" i="1"/>
  <c r="BD164" i="1" s="1"/>
  <c r="AY156" i="1"/>
  <c r="BD156" i="1" s="1"/>
  <c r="AY148" i="1"/>
  <c r="BD148" i="1" s="1"/>
  <c r="AY140" i="1"/>
  <c r="BD140" i="1" s="1"/>
  <c r="AY132" i="1"/>
  <c r="BD132" i="1" s="1"/>
  <c r="AY124" i="1"/>
  <c r="BD124" i="1" s="1"/>
  <c r="AY116" i="1"/>
  <c r="BD116" i="1" s="1"/>
  <c r="AY108" i="1"/>
  <c r="BD108" i="1" s="1"/>
  <c r="AY100" i="1"/>
  <c r="BD100" i="1" s="1"/>
  <c r="AY92" i="1"/>
  <c r="BD92" i="1" s="1"/>
  <c r="AY84" i="1"/>
  <c r="BD84" i="1" s="1"/>
  <c r="AY76" i="1"/>
  <c r="BD76" i="1" s="1"/>
  <c r="AY68" i="1"/>
  <c r="BD68" i="1" s="1"/>
  <c r="AY60" i="1"/>
  <c r="BD60" i="1" s="1"/>
  <c r="AY52" i="1"/>
  <c r="BD52" i="1" s="1"/>
  <c r="AY44" i="1"/>
  <c r="BD44" i="1" s="1"/>
  <c r="AY36" i="1"/>
  <c r="BD36" i="1" s="1"/>
  <c r="AY28" i="1"/>
  <c r="BD28" i="1" s="1"/>
  <c r="AY20" i="1"/>
  <c r="BD20" i="1" s="1"/>
  <c r="AY12" i="1"/>
  <c r="BD12" i="1" s="1"/>
  <c r="AY4" i="1"/>
  <c r="BD4" i="1" s="1"/>
  <c r="AY2" i="1"/>
  <c r="BD2" i="1" s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BD179" i="1" s="1"/>
  <c r="AY171" i="1"/>
  <c r="BD171" i="1" s="1"/>
  <c r="AY163" i="1"/>
  <c r="BD163" i="1" s="1"/>
  <c r="AY155" i="1"/>
  <c r="BD155" i="1" s="1"/>
  <c r="AY147" i="1"/>
  <c r="BD147" i="1" s="1"/>
  <c r="AY139" i="1"/>
  <c r="BD139" i="1" s="1"/>
  <c r="AY131" i="1"/>
  <c r="BD131" i="1" s="1"/>
  <c r="AY123" i="1"/>
  <c r="BD123" i="1" s="1"/>
  <c r="AY115" i="1"/>
  <c r="BD115" i="1" s="1"/>
  <c r="AY107" i="1"/>
  <c r="BD107" i="1" s="1"/>
  <c r="AY99" i="1"/>
  <c r="BD99" i="1" s="1"/>
  <c r="AY91" i="1"/>
  <c r="BD91" i="1" s="1"/>
  <c r="AY83" i="1"/>
  <c r="BD83" i="1" s="1"/>
  <c r="AY75" i="1"/>
  <c r="BD75" i="1" s="1"/>
  <c r="AY67" i="1"/>
  <c r="BD67" i="1" s="1"/>
  <c r="AY59" i="1"/>
  <c r="BD59" i="1" s="1"/>
  <c r="AY51" i="1"/>
  <c r="BD51" i="1" s="1"/>
  <c r="AY43" i="1"/>
  <c r="BD43" i="1" s="1"/>
  <c r="AY35" i="1"/>
  <c r="BD35" i="1" s="1"/>
  <c r="AY27" i="1"/>
  <c r="BD27" i="1" s="1"/>
  <c r="AY19" i="1"/>
  <c r="BD19" i="1" s="1"/>
  <c r="AY11" i="1"/>
  <c r="BD11" i="1" s="1"/>
  <c r="AB6" i="1"/>
  <c r="U14" i="1"/>
  <c r="AA6" i="1" s="1"/>
  <c r="U15" i="1" l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F28" i="1"/>
  <c r="H27" i="1" s="1"/>
  <c r="I27" i="1" s="1"/>
  <c r="C17" i="1"/>
  <c r="C106" i="1" s="1"/>
  <c r="J106" i="1" s="1"/>
  <c r="C18" i="1"/>
  <c r="C107" i="1" s="1"/>
  <c r="J107" i="1" s="1"/>
  <c r="C19" i="1"/>
  <c r="C108" i="1" s="1"/>
  <c r="J108" i="1" s="1"/>
  <c r="C20" i="1"/>
  <c r="C109" i="1" s="1"/>
  <c r="J109" i="1" s="1"/>
  <c r="C21" i="1"/>
  <c r="C110" i="1" s="1"/>
  <c r="J110" i="1" s="1"/>
  <c r="C22" i="1"/>
  <c r="C111" i="1" s="1"/>
  <c r="J111" i="1" s="1"/>
  <c r="C23" i="1"/>
  <c r="C112" i="1" s="1"/>
  <c r="J112" i="1" s="1"/>
  <c r="C24" i="1"/>
  <c r="C113" i="1" s="1"/>
  <c r="J113" i="1" s="1"/>
  <c r="K110" i="1" l="1"/>
  <c r="L110" i="1"/>
  <c r="K113" i="1"/>
  <c r="L113" i="1"/>
  <c r="L106" i="1"/>
  <c r="K106" i="1"/>
  <c r="K109" i="1"/>
  <c r="L109" i="1"/>
  <c r="L111" i="1"/>
  <c r="K111" i="1"/>
  <c r="L107" i="1"/>
  <c r="K107" i="1"/>
  <c r="K105" i="1"/>
  <c r="L105" i="1"/>
  <c r="K112" i="1"/>
  <c r="L112" i="1"/>
  <c r="K108" i="1"/>
  <c r="L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F105" i="1"/>
  <c r="F107" i="1"/>
  <c r="F106" i="1"/>
  <c r="F113" i="1"/>
  <c r="F112" i="1"/>
  <c r="F109" i="1"/>
  <c r="F111" i="1"/>
  <c r="F110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F5" i="1"/>
  <c r="B92" i="1" s="1"/>
  <c r="E4" i="1"/>
  <c r="A91" i="1" s="1"/>
  <c r="B4" i="1"/>
  <c r="B29" i="1" s="1"/>
  <c r="B3" i="1"/>
  <c r="G112" i="1" l="1"/>
  <c r="H112" i="1"/>
  <c r="G113" i="1"/>
  <c r="H113" i="1"/>
  <c r="G106" i="1"/>
  <c r="H106" i="1"/>
  <c r="F8" i="1"/>
  <c r="B95" i="1" s="1"/>
  <c r="B94" i="1"/>
  <c r="G107" i="1"/>
  <c r="H107" i="1"/>
  <c r="E92" i="1"/>
  <c r="H105" i="1"/>
  <c r="G105" i="1"/>
  <c r="H109" i="1"/>
  <c r="G109" i="1"/>
  <c r="D91" i="1"/>
  <c r="C91" i="1"/>
  <c r="E91" i="1"/>
  <c r="G110" i="1"/>
  <c r="H110" i="1"/>
  <c r="G108" i="1"/>
  <c r="H108" i="1"/>
  <c r="G111" i="1"/>
  <c r="H111" i="1"/>
  <c r="E5" i="1"/>
  <c r="A92" i="1" s="1"/>
  <c r="G4" i="1"/>
  <c r="F6" i="1"/>
  <c r="G5" i="1"/>
  <c r="E7" i="1"/>
  <c r="E8" i="1" l="1"/>
  <c r="A95" i="1" s="1"/>
  <c r="A94" i="1"/>
  <c r="F9" i="1"/>
  <c r="B93" i="1"/>
  <c r="E93" i="1" s="1"/>
  <c r="E95" i="1"/>
  <c r="C94" i="1"/>
  <c r="D92" i="1"/>
  <c r="C92" i="1"/>
  <c r="G7" i="1"/>
  <c r="G6" i="1"/>
  <c r="E94" i="1" l="1"/>
  <c r="G8" i="1"/>
  <c r="E9" i="1"/>
  <c r="D93" i="1"/>
  <c r="C93" i="1"/>
  <c r="F10" i="1"/>
  <c r="B96" i="1"/>
  <c r="G9" i="1"/>
  <c r="D94" i="1"/>
  <c r="C95" i="1"/>
  <c r="A96" i="1"/>
  <c r="D95" i="1"/>
  <c r="E96" i="1" l="1"/>
  <c r="D96" i="1"/>
  <c r="B97" i="1"/>
  <c r="D97" i="1" s="1"/>
  <c r="G11" i="1"/>
  <c r="X4" i="1" a="1"/>
  <c r="X4" i="1" s="1"/>
  <c r="C96" i="1"/>
  <c r="G10" i="1"/>
  <c r="G12" i="1" s="1"/>
  <c r="E97" i="1" l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D99" i="1"/>
  <c r="B102" i="1" s="1"/>
  <c r="E99" i="1"/>
  <c r="B101" i="1" s="1"/>
  <c r="J104" i="1"/>
  <c r="J114" i="1" s="1"/>
  <c r="J115" i="1" s="1"/>
  <c r="D127" i="1" s="1"/>
  <c r="F104" i="1"/>
  <c r="F114" i="1" s="1"/>
  <c r="B115" i="1" s="1"/>
  <c r="C62" i="1"/>
  <c r="C25" i="1"/>
  <c r="D25" i="1" s="1"/>
  <c r="B127" i="1" l="1"/>
  <c r="F127" i="1"/>
  <c r="K104" i="1"/>
  <c r="K114" i="1" s="1"/>
  <c r="J116" i="1" s="1"/>
  <c r="L104" i="1"/>
  <c r="L114" i="1" s="1"/>
  <c r="J117" i="1" s="1"/>
  <c r="H104" i="1"/>
  <c r="H114" i="1" s="1"/>
  <c r="B117" i="1" s="1"/>
  <c r="G104" i="1"/>
  <c r="G114" i="1" s="1"/>
  <c r="B116" i="1" s="1"/>
  <c r="B131" i="1" l="1"/>
  <c r="J119" i="1"/>
  <c r="D125" i="1" s="1"/>
  <c r="B119" i="1"/>
  <c r="F125" i="1" s="1"/>
  <c r="J120" i="1"/>
  <c r="D126" i="1" s="1"/>
  <c r="B120" i="1"/>
  <c r="F126" i="1" s="1"/>
  <c r="B126" i="1" l="1"/>
  <c r="B133" i="1" s="1"/>
  <c r="B125" i="1"/>
  <c r="B132" i="1" s="1"/>
  <c r="G71" i="1" l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F65" i="1" l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Q70" i="1" s="1"/>
  <c r="A37" i="1"/>
  <c r="C37" i="1" s="1"/>
  <c r="B49" i="1" s="1"/>
  <c r="F71" i="1"/>
  <c r="I71" i="1" s="1"/>
  <c r="R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Q69" i="1" s="1"/>
  <c r="H65" i="1"/>
  <c r="Q65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R69" i="1" s="1"/>
  <c r="D43" i="1"/>
  <c r="E54" i="1" s="1"/>
  <c r="C55" i="1" s="1"/>
  <c r="I65" i="1"/>
  <c r="R65" i="1" s="1"/>
  <c r="D45" i="1" l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F56" i="1" l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G41" i="1" l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J62" i="1"/>
  <c r="K62" i="1" s="1"/>
  <c r="L62" i="1" s="1"/>
  <c r="M62" i="1" s="1"/>
  <c r="N62" i="1" s="1"/>
  <c r="K71" i="1" l="1"/>
  <c r="L71" i="1" s="1"/>
  <c r="M71" i="1" s="1"/>
  <c r="K70" i="1"/>
  <c r="L70" i="1" s="1"/>
  <c r="M70" i="1" s="1"/>
  <c r="K69" i="1"/>
  <c r="L69" i="1" s="1"/>
  <c r="M69" i="1" s="1"/>
  <c r="H54" i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K72" i="1" l="1"/>
  <c r="U3" i="1" s="1"/>
  <c r="N71" i="1"/>
  <c r="O71" i="1"/>
  <c r="N70" i="1"/>
  <c r="O70" i="1"/>
  <c r="N69" i="1"/>
  <c r="O69" i="1"/>
  <c r="M72" i="1"/>
  <c r="N34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O72" i="1" l="1"/>
  <c r="N72" i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P57" i="1" l="1"/>
  <c r="B77" i="1" s="1"/>
  <c r="N57" i="1"/>
  <c r="B75" i="1" s="1"/>
  <c r="U4" i="1" s="1"/>
  <c r="W4" i="1" s="1"/>
  <c r="O57" i="1"/>
  <c r="B76" i="1" s="1"/>
  <c r="B80" i="1" l="1"/>
  <c r="U6" i="1" s="1"/>
  <c r="W6" i="1" s="1"/>
  <c r="AB7" i="1"/>
  <c r="O58" i="1"/>
  <c r="B79" i="1"/>
  <c r="U5" i="1" s="1"/>
  <c r="P58" i="1"/>
  <c r="AB9" i="1" l="1"/>
  <c r="S58" i="1"/>
  <c r="T58" i="1"/>
  <c r="B83" i="1"/>
  <c r="U8" i="1"/>
  <c r="AA7" i="1" s="1"/>
  <c r="AA9" i="1"/>
  <c r="U7" i="1"/>
  <c r="W7" i="1" s="1"/>
  <c r="U18" i="1"/>
  <c r="AC9" i="1" l="1"/>
  <c r="V19" i="1"/>
  <c r="V21" i="1" s="1"/>
  <c r="U19" i="1"/>
  <c r="U21" i="1" s="1"/>
  <c r="W19" i="1"/>
  <c r="W21" i="1" s="1"/>
  <c r="U23" i="1" l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<sst xmlns="http://schemas.openxmlformats.org/spreadsheetml/2006/main" count="206" uniqueCount="140">
  <si>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</si>
  <si>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</si>
  <si>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</si>
  <si>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</si>
  <si>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</si>
  <si>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</si>
  <si>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</si>
  <si>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</si>
  <si>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</si>
  <si>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</si>
  <si>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</si>
  <si>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</si>
  <si>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</si>
  <si>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</si>
  <si>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</si>
  <si>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</si>
  <si>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</si>
  <si>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</si>
  <si>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</si>
  <si>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</si>
  <si>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</si>
  <si>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</si>
  <si>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</si>
  <si>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</si>
  <si>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</si>
  <si>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</si>
  <si>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</si>
  <si>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</si>
  <si>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</si>
  <si>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</si>
  <si>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</si>
  <si>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</si>
  <si>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</si>
  <si>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</si>
  <si>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</si>
  <si>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</si>
  <si>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</si>
  <si>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</si>
  <si>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</si>
  <si>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</si>
  <si>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</si>
  <si>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</si>
  <si>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</si>
  <si>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</si>
  <si>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</si>
  <si>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</si>
  <si>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</si>
  <si>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</si>
  <si>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</si>
  <si>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</si>
  <si>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</si>
  <si>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</si>
  <si>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</si>
  <si>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</si>
  <si>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</si>
  <si>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</si>
  <si>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</si>
  <si>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</si>
  <si>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</si>
  <si>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</si>
  <si>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</si>
  <si>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</si>
  <si>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</si>
  <si>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</si>
  <si>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</si>
  <si>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</si>
  <si>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</si>
  <si>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</si>
  <si>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</si>
  <si>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</si>
  <si>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</si>
  <si>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</si>
  <si>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</si>
  <si>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</si>
  <si>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</si>
  <si>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</si>
  <si>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</si>
  <si>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</si>
  <si>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</si>
  <si>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</si>
  <si>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</si>
  <si>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</si>
  <si>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</si>
  <si>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</si>
  <si>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</si>
  <si>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</si>
  <si>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</si>
  <si>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</si>
  <si>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</si>
  <si>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</si>
  <si>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</si>
  <si>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</si>
  <si>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</si>
  <si>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</si>
  <si>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</si>
  <si>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</si>
  <si>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</si>
  <si>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</si>
  <si>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</si>
  <si>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</si>
  <si>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</si>
  <si>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</si>
  <si>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</si>
  <si>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</si>
  <si>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</si>
  <si>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</si>
  <si>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</si>
  <si>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</si>
  <si>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</si>
  <si>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</si>
  <si>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</si>
  <si>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</si>
  <si>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</si>
  <si>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</si>
  <si>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</si>
  <si>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</si>
  <si>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</si>
  <si>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</si>
  <si>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</si>
  <si>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</si>
  <si>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</si>
  <si>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</si>
  <si>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</si>
  <si>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</si>
  <si>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</si>
  <si>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</si>
  <si>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</si>
  <si>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</si>
  <si>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</si>
  <si>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</si>
  <si>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</si>
  <si>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</si>
  <si>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</si>
  <si>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</si>
  <si>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x=</t>
  </si>
  <si>
    <t>y=</t>
  </si>
  <si>
    <t xml:space="preserve">x = </t>
  </si>
  <si>
    <t xml:space="preserve">y = </t>
  </si>
  <si>
    <t>Alpha Search Window</t>
  </si>
  <si>
    <t>Pi bounds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</si>
</sst>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36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12</c:v>
                </c:pt>
                <c:pt idx="4">
                  <c:v>24</c:v>
                </c:pt>
                <c:pt idx="5">
                  <c:v>24</c:v>
                </c:pt>
                <c:pt idx="6">
                  <c:v>12</c:v>
                </c:pt>
                <c:pt idx="7">
                  <c:v>12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3</c:v>
                </c:pt>
                <c:pt idx="1">
                  <c:v>13</c:v>
                </c:pt>
                <c:pt idx="2">
                  <c:v>23</c:v>
                </c:pt>
                <c:pt idx="3">
                  <c:v>33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39.469128791051325</c:v>
                </c:pt>
                <c:pt idx="1">
                  <c:v>-18.96267737118642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18.828670171257357</c:v>
                </c:pt>
                <c:pt idx="1">
                  <c:v>-7.9411176934232799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39.942002749070738</c:v>
                </c:pt>
                <c:pt idx="1">
                  <c:v>-18.489803413167007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17.796503626126977</c:v>
                </c:pt>
                <c:pt idx="1">
                  <c:v>-8.97328423855366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18.000000000136268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6.2094451360808485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10.452882733585902</c:v>
                </c:pt>
                <c:pt idx="1">
                  <c:v>-0.45670518802782301</c:v>
                </c:pt>
                <c:pt idx="2">
                  <c:v>-5.454793960806863</c:v>
                </c:pt>
                <c:pt idx="3">
                  <c:v>-27.273969804034316</c:v>
                </c:pt>
                <c:pt idx="4">
                  <c:v>-32.272058576813357</c:v>
                </c:pt>
                <c:pt idx="5">
                  <c:v>0.45670518802782301</c:v>
                </c:pt>
                <c:pt idx="6">
                  <c:v>5.454793960806863</c:v>
                </c:pt>
                <c:pt idx="7">
                  <c:v>5.454793960806863</c:v>
                </c:pt>
                <c:pt idx="8">
                  <c:v>10.452882733585902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8.4105435352242068</c:v>
                </c:pt>
                <c:pt idx="1">
                  <c:v>13.408632308003245</c:v>
                </c:pt>
                <c:pt idx="2">
                  <c:v>2.49904438638952</c:v>
                </c:pt>
                <c:pt idx="3">
                  <c:v>12.495221931947601</c:v>
                </c:pt>
                <c:pt idx="4">
                  <c:v>1.5856340103338749</c:v>
                </c:pt>
                <c:pt idx="5">
                  <c:v>-13.408632308003245</c:v>
                </c:pt>
                <c:pt idx="6">
                  <c:v>-2.49904438638952</c:v>
                </c:pt>
                <c:pt idx="7">
                  <c:v>-2.49904438638952</c:v>
                </c:pt>
                <c:pt idx="8">
                  <c:v>8.4105435352242068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-1.4376769969124354</c:v>
                </c:pt>
                <c:pt idx="1">
                  <c:v>-10.529000264923873</c:v>
                </c:pt>
                <c:pt idx="2">
                  <c:v>-19.620323532935313</c:v>
                </c:pt>
                <c:pt idx="3">
                  <c:v>-28.711646800946752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-10.340845461206198</c:v>
                </c:pt>
                <c:pt idx="1">
                  <c:v>-6.1757714838903315</c:v>
                </c:pt>
                <c:pt idx="2">
                  <c:v>-2.0106975065744646</c:v>
                </c:pt>
                <c:pt idx="3">
                  <c:v>2.1543764707414024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-33.272058576813357</c:v>
                </c:pt>
                <c:pt idx="1">
                  <c:v>31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7.7319749353513458</c:v>
                </c:pt>
                <c:pt idx="1">
                  <c:v>7.7319749353513458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-33.272058576813357</c:v>
                </c:pt>
                <c:pt idx="1">
                  <c:v>31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8.867306409881726</c:v>
                </c:pt>
                <c:pt idx="1">
                  <c:v>8.867306409881726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9.4558826867791019</c:v>
                </c:pt>
                <c:pt idx="1">
                  <c:v>-0.45670518802782301</c:v>
                </c:pt>
                <c:pt idx="2">
                  <c:v>-19.355130191636228</c:v>
                </c:pt>
                <c:pt idx="3">
                  <c:v>-27.273969804034316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8.867306409881726</c:v>
                </c:pt>
                <c:pt idx="1">
                  <c:v>13.408632308003245</c:v>
                </c:pt>
                <c:pt idx="2">
                  <c:v>8.867306409881726</c:v>
                </c:pt>
                <c:pt idx="3">
                  <c:v>12.495221931947601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-0.45670518802782301</c:v>
                </c:pt>
                <c:pt idx="1">
                  <c:v>-2.5372558145059694</c:v>
                </c:pt>
                <c:pt idx="2">
                  <c:v>-27.273969804034316</c:v>
                </c:pt>
                <c:pt idx="3">
                  <c:v>-28.936053098995842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13.408632308003245</c:v>
                </c:pt>
                <c:pt idx="1">
                  <c:v>8.867306409881726</c:v>
                </c:pt>
                <c:pt idx="2">
                  <c:v>12.495221931947601</c:v>
                </c:pt>
                <c:pt idx="3">
                  <c:v>8.867306409881726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224.54169016050608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-9.1686018777181744E-9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100</c:v>
                </c:pt>
                <c:pt idx="1">
                  <c:v>224.54169016050608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-9.1686018777181744E-9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General</c:formatCode>
                <c:ptCount val="361"/>
                <c:pt idx="0">
                  <c:v>-286.40752941242613</c:v>
                </c:pt>
                <c:pt idx="1">
                  <c:v>-286.40053702815283</c:v>
                </c:pt>
                <c:pt idx="2">
                  <c:v>-286.37954280523235</c:v>
                </c:pt>
                <c:pt idx="3">
                  <c:v>-286.34449550587101</c:v>
                </c:pt>
                <c:pt idx="4">
                  <c:v>-286.29530944651327</c:v>
                </c:pt>
                <c:pt idx="5">
                  <c:v>-286.23186400022291</c:v>
                </c:pt>
                <c:pt idx="6">
                  <c:v>-286.1540030531304</c:v>
                </c:pt>
                <c:pt idx="7">
                  <c:v>-286.06153409760259</c:v>
                </c:pt>
                <c:pt idx="8">
                  <c:v>-285.95422729482675</c:v>
                </c:pt>
                <c:pt idx="9">
                  <c:v>-285.83181417983332</c:v>
                </c:pt>
                <c:pt idx="10">
                  <c:v>-285.6939862833579</c:v>
                </c:pt>
                <c:pt idx="11">
                  <c:v>-285.54039339831667</c:v>
                </c:pt>
                <c:pt idx="12">
                  <c:v>-285.37064171691122</c:v>
                </c:pt>
                <c:pt idx="13">
                  <c:v>-285.18429162060573</c:v>
                </c:pt>
                <c:pt idx="14">
                  <c:v>-284.98085521089587</c:v>
                </c:pt>
                <c:pt idx="15">
                  <c:v>-284.75979354361476</c:v>
                </c:pt>
                <c:pt idx="16">
                  <c:v>-284.08274538029252</c:v>
                </c:pt>
                <c:pt idx="17">
                  <c:v>-281.38153551658297</c:v>
                </c:pt>
                <c:pt idx="18">
                  <c:v>-277.11455552018481</c:v>
                </c:pt>
                <c:pt idx="19">
                  <c:v>-271.63932242999931</c:v>
                </c:pt>
                <c:pt idx="20">
                  <c:v>-265.14288919801191</c:v>
                </c:pt>
                <c:pt idx="21">
                  <c:v>-257.72842071494131</c:v>
                </c:pt>
                <c:pt idx="22">
                  <c:v>-249.45237684731728</c:v>
                </c:pt>
                <c:pt idx="23">
                  <c:v>-240.34262324052557</c:v>
                </c:pt>
                <c:pt idx="24">
                  <c:v>-230.60720740770728</c:v>
                </c:pt>
                <c:pt idx="25">
                  <c:v>-220.71423907042856</c:v>
                </c:pt>
                <c:pt idx="26">
                  <c:v>-210.75921733120072</c:v>
                </c:pt>
                <c:pt idx="27">
                  <c:v>-200.8117697064576</c:v>
                </c:pt>
                <c:pt idx="28">
                  <c:v>-190.93300242395259</c:v>
                </c:pt>
                <c:pt idx="29">
                  <c:v>-180.25190744551213</c:v>
                </c:pt>
                <c:pt idx="30">
                  <c:v>-166.36897995318776</c:v>
                </c:pt>
                <c:pt idx="31">
                  <c:v>-153.49496743194379</c:v>
                </c:pt>
                <c:pt idx="32">
                  <c:v>-141.60311378573167</c:v>
                </c:pt>
                <c:pt idx="33">
                  <c:v>-130.69351623118243</c:v>
                </c:pt>
                <c:pt idx="34">
                  <c:v>-120.79300159305708</c:v>
                </c:pt>
                <c:pt idx="35">
                  <c:v>-111.9566784797246</c:v>
                </c:pt>
                <c:pt idx="36">
                  <c:v>-104.27143945850597</c:v>
                </c:pt>
                <c:pt idx="37">
                  <c:v>-97.861986563620079</c:v>
                </c:pt>
                <c:pt idx="38">
                  <c:v>-92.900434104165896</c:v>
                </c:pt>
                <c:pt idx="39">
                  <c:v>-89.621388634488568</c:v>
                </c:pt>
                <c:pt idx="40">
                  <c:v>-88.226613899691927</c:v>
                </c:pt>
                <c:pt idx="41">
                  <c:v>-87.342053697272775</c:v>
                </c:pt>
                <c:pt idx="42">
                  <c:v>-86.467280355894104</c:v>
                </c:pt>
                <c:pt idx="43">
                  <c:v>-85.600831762501883</c:v>
                </c:pt>
                <c:pt idx="44">
                  <c:v>-84.741291438842069</c:v>
                </c:pt>
                <c:pt idx="45">
                  <c:v>-83.887277259835329</c:v>
                </c:pt>
                <c:pt idx="46">
                  <c:v>-83.03743070075339</c:v>
                </c:pt>
                <c:pt idx="47">
                  <c:v>-82.190406311218368</c:v>
                </c:pt>
                <c:pt idx="48">
                  <c:v>-81.34486127476967</c:v>
                </c:pt>
                <c:pt idx="49">
                  <c:v>-80.499444783467595</c:v>
                </c:pt>
                <c:pt idx="50">
                  <c:v>-79.652787154442109</c:v>
                </c:pt>
                <c:pt idx="51">
                  <c:v>-78.80348837420847</c:v>
                </c:pt>
                <c:pt idx="52">
                  <c:v>-77.950105826192242</c:v>
                </c:pt>
                <c:pt idx="53">
                  <c:v>-77.091141086234359</c:v>
                </c:pt>
                <c:pt idx="54">
                  <c:v>-76.225025250999238</c:v>
                </c:pt>
                <c:pt idx="55">
                  <c:v>-75.350102660435709</c:v>
                </c:pt>
                <c:pt idx="56">
                  <c:v>-74.464612427617425</c:v>
                </c:pt>
                <c:pt idx="57">
                  <c:v>-73.566667324114889</c:v>
                </c:pt>
                <c:pt idx="58">
                  <c:v>-72.654229392809526</c:v>
                </c:pt>
                <c:pt idx="59">
                  <c:v>-71.725081428911281</c:v>
                </c:pt>
                <c:pt idx="60">
                  <c:v>-70.776793380456411</c:v>
                </c:pt>
                <c:pt idx="61">
                  <c:v>-69.806682377471802</c:v>
                </c:pt>
                <c:pt idx="62">
                  <c:v>-68.811764840388719</c:v>
                </c:pt>
                <c:pt idx="63">
                  <c:v>-67.788698405385077</c:v>
                </c:pt>
                <c:pt idx="64">
                  <c:v>-66.733711176674603</c:v>
                </c:pt>
                <c:pt idx="65">
                  <c:v>-65.658381336514623</c:v>
                </c:pt>
                <c:pt idx="66">
                  <c:v>-64.595622046003456</c:v>
                </c:pt>
                <c:pt idx="67">
                  <c:v>-63.545657517109341</c:v>
                </c:pt>
                <c:pt idx="68">
                  <c:v>-62.507433848961178</c:v>
                </c:pt>
                <c:pt idx="69">
                  <c:v>-61.479929863947952</c:v>
                </c:pt>
                <c:pt idx="70">
                  <c:v>-60.462152493753479</c:v>
                </c:pt>
                <c:pt idx="71">
                  <c:v>-59.453132229538511</c:v>
                </c:pt>
                <c:pt idx="72">
                  <c:v>-58.45191867376198</c:v>
                </c:pt>
                <c:pt idx="73">
                  <c:v>-57.457576101283621</c:v>
                </c:pt>
                <c:pt idx="74">
                  <c:v>-56.469178964591919</c:v>
                </c:pt>
                <c:pt idx="75">
                  <c:v>-55.485807323073296</c:v>
                </c:pt>
                <c:pt idx="76">
                  <c:v>-54.506542074709429</c:v>
                </c:pt>
                <c:pt idx="77">
                  <c:v>-53.53045999095341</c:v>
                </c:pt>
                <c:pt idx="78">
                  <c:v>-52.556628316490929</c:v>
                </c:pt>
                <c:pt idx="79">
                  <c:v>-51.584099014393857</c:v>
                </c:pt>
                <c:pt idx="80">
                  <c:v>-50.611902394534368</c:v>
                </c:pt>
                <c:pt idx="81">
                  <c:v>-49.639039997401682</c:v>
                </c:pt>
                <c:pt idx="82">
                  <c:v>-48.664476638913314</c:v>
                </c:pt>
                <c:pt idx="83">
                  <c:v>-47.687131129883269</c:v>
                </c:pt>
                <c:pt idx="84">
                  <c:v>-46.705865715257431</c:v>
                </c:pt>
                <c:pt idx="85">
                  <c:v>-45.719473491083967</c:v>
                </c:pt>
                <c:pt idx="86">
                  <c:v>-44.726663616014704</c:v>
                </c:pt>
                <c:pt idx="87">
                  <c:v>-43.726043336160707</c:v>
                </c:pt>
                <c:pt idx="88">
                  <c:v>-42.716096194688134</c:v>
                </c:pt>
                <c:pt idx="89">
                  <c:v>-41.695155127318856</c:v>
                </c:pt>
                <c:pt idx="90">
                  <c:v>-40.661368752192729</c:v>
                </c:pt>
                <c:pt idx="91">
                  <c:v>-39.512850054443945</c:v>
                </c:pt>
                <c:pt idx="92">
                  <c:v>-38.377910448021431</c:v>
                </c:pt>
                <c:pt idx="93">
                  <c:v>-37.255248260962745</c:v>
                </c:pt>
                <c:pt idx="94">
                  <c:v>-36.143608548772036</c:v>
                </c:pt>
                <c:pt idx="95">
                  <c:v>-35.04177938791247</c:v>
                </c:pt>
                <c:pt idx="96">
                  <c:v>-33.948587930677704</c:v>
                </c:pt>
                <c:pt idx="97">
                  <c:v>-33.622683390187461</c:v>
                </c:pt>
                <c:pt idx="98">
                  <c:v>-32.55132703786056</c:v>
                </c:pt>
                <c:pt idx="99">
                  <c:v>-31.484984961458526</c:v>
                </c:pt>
                <c:pt idx="100">
                  <c:v>-30.422616929944446</c:v>
                </c:pt>
                <c:pt idx="101">
                  <c:v>-29.363202964373457</c:v>
                </c:pt>
                <c:pt idx="102">
                  <c:v>-28.305739645481765</c:v>
                </c:pt>
                <c:pt idx="103">
                  <c:v>-27.249236702929753</c:v>
                </c:pt>
                <c:pt idx="104">
                  <c:v>-26.192713416330385</c:v>
                </c:pt>
                <c:pt idx="105">
                  <c:v>-25.135195229857686</c:v>
                </c:pt>
                <c:pt idx="106">
                  <c:v>-24.075710215428593</c:v>
                </c:pt>
                <c:pt idx="107">
                  <c:v>-23.013285650913392</c:v>
                </c:pt>
                <c:pt idx="108">
                  <c:v>-21.946944490272589</c:v>
                </c:pt>
                <c:pt idx="109">
                  <c:v>-20.875701823743547</c:v>
                </c:pt>
                <c:pt idx="110">
                  <c:v>-19.798561271026415</c:v>
                </c:pt>
                <c:pt idx="111">
                  <c:v>-18.714511232011525</c:v>
                </c:pt>
                <c:pt idx="112">
                  <c:v>-17.632020886245421</c:v>
                </c:pt>
                <c:pt idx="113">
                  <c:v>-16.615142645650316</c:v>
                </c:pt>
                <c:pt idx="114">
                  <c:v>-15.668331232043153</c:v>
                </c:pt>
                <c:pt idx="115">
                  <c:v>-14.783475707163127</c:v>
                </c:pt>
                <c:pt idx="116">
                  <c:v>-13.953665398783665</c:v>
                </c:pt>
                <c:pt idx="117">
                  <c:v>-13.172972920492969</c:v>
                </c:pt>
                <c:pt idx="118">
                  <c:v>-12.436282693340196</c:v>
                </c:pt>
                <c:pt idx="119">
                  <c:v>-11.739154321164801</c:v>
                </c:pt>
                <c:pt idx="120">
                  <c:v>-11.077712607260695</c:v>
                </c:pt>
                <c:pt idx="121">
                  <c:v>-10.448558442594607</c:v>
                </c:pt>
                <c:pt idx="122">
                  <c:v>-9.8486960653242193</c:v>
                </c:pt>
                <c:pt idx="123">
                  <c:v>-9.2754731838321511</c:v>
                </c:pt>
                <c:pt idx="124">
                  <c:v>-8.726531449605563</c:v>
                </c:pt>
                <c:pt idx="125">
                  <c:v>-8.1997651886565741</c:v>
                </c:pt>
                <c:pt idx="126">
                  <c:v>-7.6932868236569512</c:v>
                </c:pt>
                <c:pt idx="127">
                  <c:v>-7.2053977619381051</c:v>
                </c:pt>
                <c:pt idx="128">
                  <c:v>-6.7345637090930035</c:v>
                </c:pt>
                <c:pt idx="129">
                  <c:v>-6.2793936762651521</c:v>
                </c:pt>
                <c:pt idx="130">
                  <c:v>-5.8386219693850361</c:v>
                </c:pt>
                <c:pt idx="131">
                  <c:v>-5.4110927823376649</c:v>
                </c:pt>
                <c:pt idx="132">
                  <c:v>-4.9957467722637485</c:v>
                </c:pt>
                <c:pt idx="133">
                  <c:v>-4.522816289026105</c:v>
                </c:pt>
                <c:pt idx="134">
                  <c:v>-4.0211076542394775</c:v>
                </c:pt>
                <c:pt idx="135">
                  <c:v>-3.5401525378406067</c:v>
                </c:pt>
                <c:pt idx="136">
                  <c:v>-3.0784766529985572</c:v>
                </c:pt>
                <c:pt idx="137">
                  <c:v>-2.6347300977984105</c:v>
                </c:pt>
                <c:pt idx="138">
                  <c:v>-2.2076735294429795</c:v>
                </c:pt>
                <c:pt idx="139">
                  <c:v>-1.796165859101535</c:v>
                </c:pt>
                <c:pt idx="140">
                  <c:v>-1.3991534493266728</c:v>
                </c:pt>
                <c:pt idx="141">
                  <c:v>-1.015660416254093</c:v>
                </c:pt>
                <c:pt idx="142">
                  <c:v>-0.64477992863677391</c:v>
                </c:pt>
                <c:pt idx="143">
                  <c:v>-0.28566641925667113</c:v>
                </c:pt>
                <c:pt idx="144">
                  <c:v>6.2471625563028967E-2</c:v>
                </c:pt>
                <c:pt idx="145">
                  <c:v>0.40037819917273509</c:v>
                </c:pt>
                <c:pt idx="146">
                  <c:v>0.7287559401184921</c:v>
                </c:pt>
                <c:pt idx="147">
                  <c:v>1.0482718953438224</c:v>
                </c:pt>
                <c:pt idx="148">
                  <c:v>1.3595631303817071</c:v>
                </c:pt>
                <c:pt idx="149">
                  <c:v>1.663242110058752</c:v>
                </c:pt>
                <c:pt idx="150">
                  <c:v>1.959902185976631</c:v>
                </c:pt>
                <c:pt idx="151">
                  <c:v>2.2501231500811683</c:v>
                </c:pt>
                <c:pt idx="152">
                  <c:v>2.5344770178102349</c:v>
                </c:pt>
                <c:pt idx="153">
                  <c:v>2.8135343754069257</c:v>
                </c:pt>
                <c:pt idx="154">
                  <c:v>3.0878711973791781</c:v>
                </c:pt>
                <c:pt idx="155">
                  <c:v>3.3580767069561261</c:v>
                </c:pt>
                <c:pt idx="156">
                  <c:v>3.6247623622290033</c:v>
                </c:pt>
                <c:pt idx="157">
                  <c:v>3.8885725595473559</c:v>
                </c:pt>
                <c:pt idx="158">
                  <c:v>4.150197523419294</c:v>
                </c:pt>
                <c:pt idx="159">
                  <c:v>4.410389043441981</c:v>
                </c:pt>
                <c:pt idx="160">
                  <c:v>4.6699803997784439</c:v>
                </c:pt>
                <c:pt idx="161">
                  <c:v>4.9299114342448318</c:v>
                </c:pt>
                <c:pt idx="162">
                  <c:v>5.1912612370967164</c:v>
                </c:pt>
                <c:pt idx="163">
                  <c:v>5.4039590271095328</c:v>
                </c:pt>
                <c:pt idx="164">
                  <c:v>5.5866053152397406</c:v>
                </c:pt>
                <c:pt idx="165">
                  <c:v>5.7648791885751196</c:v>
                </c:pt>
                <c:pt idx="166">
                  <c:v>5.940088072995767</c:v>
                </c:pt>
                <c:pt idx="167">
                  <c:v>6.1138682438713667</c:v>
                </c:pt>
                <c:pt idx="168">
                  <c:v>6.2883287330957511</c:v>
                </c:pt>
                <c:pt idx="169">
                  <c:v>6.4662701220816228</c:v>
                </c:pt>
                <c:pt idx="170">
                  <c:v>6.6515280714817573</c:v>
                </c:pt>
                <c:pt idx="171">
                  <c:v>6.8495339049125317</c:v>
                </c:pt>
                <c:pt idx="172">
                  <c:v>7.046766385546996</c:v>
                </c:pt>
                <c:pt idx="173">
                  <c:v>7.2309350942228328</c:v>
                </c:pt>
                <c:pt idx="174">
                  <c:v>7.4920722657500356</c:v>
                </c:pt>
                <c:pt idx="175">
                  <c:v>7.8343125413562671</c:v>
                </c:pt>
                <c:pt idx="176">
                  <c:v>8.3265655640214113</c:v>
                </c:pt>
                <c:pt idx="177">
                  <c:v>9.1220117795259394</c:v>
                </c:pt>
                <c:pt idx="178">
                  <c:v>10.47804500626884</c:v>
                </c:pt>
                <c:pt idx="179">
                  <c:v>11.599413380864926</c:v>
                </c:pt>
                <c:pt idx="180">
                  <c:v>12.599109831985482</c:v>
                </c:pt>
                <c:pt idx="181">
                  <c:v>11.599413382764315</c:v>
                </c:pt>
                <c:pt idx="182">
                  <c:v>10.478045003222727</c:v>
                </c:pt>
                <c:pt idx="183">
                  <c:v>9.1220117903351365</c:v>
                </c:pt>
                <c:pt idx="184">
                  <c:v>8.3265655597050454</c:v>
                </c:pt>
                <c:pt idx="185">
                  <c:v>7.8343125447267257</c:v>
                </c:pt>
                <c:pt idx="186">
                  <c:v>7.4920722729874223</c:v>
                </c:pt>
                <c:pt idx="187">
                  <c:v>7.2309350964027459</c:v>
                </c:pt>
                <c:pt idx="188">
                  <c:v>7.0467663842023187</c:v>
                </c:pt>
                <c:pt idx="189">
                  <c:v>6.8495339041182461</c:v>
                </c:pt>
                <c:pt idx="190">
                  <c:v>6.651528057140867</c:v>
                </c:pt>
                <c:pt idx="191">
                  <c:v>6.4662701204915862</c:v>
                </c:pt>
                <c:pt idx="192">
                  <c:v>6.2883287199070397</c:v>
                </c:pt>
                <c:pt idx="193">
                  <c:v>6.1138682502227697</c:v>
                </c:pt>
                <c:pt idx="194">
                  <c:v>5.9400880719614264</c:v>
                </c:pt>
                <c:pt idx="195">
                  <c:v>5.7648791931216934</c:v>
                </c:pt>
                <c:pt idx="196">
                  <c:v>5.5866053157681872</c:v>
                </c:pt>
                <c:pt idx="197">
                  <c:v>5.4039590241596827</c:v>
                </c:pt>
                <c:pt idx="198">
                  <c:v>5.1912612265915072</c:v>
                </c:pt>
                <c:pt idx="199">
                  <c:v>4.9299114272842903</c:v>
                </c:pt>
                <c:pt idx="200">
                  <c:v>4.6699803870876764</c:v>
                </c:pt>
                <c:pt idx="201">
                  <c:v>4.4103890414356162</c:v>
                </c:pt>
                <c:pt idx="202">
                  <c:v>4.1501975223817968</c:v>
                </c:pt>
                <c:pt idx="203">
                  <c:v>3.8885725649860601</c:v>
                </c:pt>
                <c:pt idx="204">
                  <c:v>3.6247623584706279</c:v>
                </c:pt>
                <c:pt idx="205">
                  <c:v>3.3580767056621768</c:v>
                </c:pt>
                <c:pt idx="206">
                  <c:v>3.087871204974459</c:v>
                </c:pt>
                <c:pt idx="207">
                  <c:v>2.813534382763669</c:v>
                </c:pt>
                <c:pt idx="208">
                  <c:v>2.5344770191797465</c:v>
                </c:pt>
                <c:pt idx="209">
                  <c:v>2.2501231441663947</c:v>
                </c:pt>
                <c:pt idx="210">
                  <c:v>1.9599021810112502</c:v>
                </c:pt>
                <c:pt idx="211">
                  <c:v>1.663242109241247</c:v>
                </c:pt>
                <c:pt idx="212">
                  <c:v>1.359563126753079</c:v>
                </c:pt>
                <c:pt idx="213">
                  <c:v>1.0482718943177587</c:v>
                </c:pt>
                <c:pt idx="214">
                  <c:v>0.72875593447412834</c:v>
                </c:pt>
                <c:pt idx="215">
                  <c:v>0.40037820566417393</c:v>
                </c:pt>
                <c:pt idx="216">
                  <c:v>6.2471627327437315E-2</c:v>
                </c:pt>
                <c:pt idx="217">
                  <c:v>-0.28566641466376264</c:v>
                </c:pt>
                <c:pt idx="218">
                  <c:v>-0.64477992352461788</c:v>
                </c:pt>
                <c:pt idx="219">
                  <c:v>-1.0156604128328979</c:v>
                </c:pt>
                <c:pt idx="220">
                  <c:v>-1.3991534494265863</c:v>
                </c:pt>
                <c:pt idx="221">
                  <c:v>-1.7961658595547023</c:v>
                </c:pt>
                <c:pt idx="222">
                  <c:v>-2.2076735213909671</c:v>
                </c:pt>
                <c:pt idx="223">
                  <c:v>-2.6347300976027954</c:v>
                </c:pt>
                <c:pt idx="224">
                  <c:v>-3.0784766501418859</c:v>
                </c:pt>
                <c:pt idx="225">
                  <c:v>-3.5401525497983752</c:v>
                </c:pt>
                <c:pt idx="226">
                  <c:v>-4.0211076607584744</c:v>
                </c:pt>
                <c:pt idx="227">
                  <c:v>-4.5228162884515539</c:v>
                </c:pt>
                <c:pt idx="228">
                  <c:v>-4.9957467760459906</c:v>
                </c:pt>
                <c:pt idx="229">
                  <c:v>-5.4110927857895543</c:v>
                </c:pt>
                <c:pt idx="230">
                  <c:v>-5.8386219767078105</c:v>
                </c:pt>
                <c:pt idx="231">
                  <c:v>-6.2793936688629799</c:v>
                </c:pt>
                <c:pt idx="232">
                  <c:v>-6.7345637137189955</c:v>
                </c:pt>
                <c:pt idx="233">
                  <c:v>-7.2053977701678953</c:v>
                </c:pt>
                <c:pt idx="234">
                  <c:v>-7.693286824904721</c:v>
                </c:pt>
                <c:pt idx="235">
                  <c:v>-8.1997651880290725</c:v>
                </c:pt>
                <c:pt idx="236">
                  <c:v>-8.7265314534346317</c:v>
                </c:pt>
                <c:pt idx="237">
                  <c:v>-9.2754731809367339</c:v>
                </c:pt>
                <c:pt idx="238">
                  <c:v>-9.8486960605513829</c:v>
                </c:pt>
                <c:pt idx="239">
                  <c:v>-10.448558441519872</c:v>
                </c:pt>
                <c:pt idx="240">
                  <c:v>-11.07771260813236</c:v>
                </c:pt>
                <c:pt idx="241">
                  <c:v>-11.739154324998715</c:v>
                </c:pt>
                <c:pt idx="242">
                  <c:v>-12.436282693199047</c:v>
                </c:pt>
                <c:pt idx="243">
                  <c:v>-13.172972916765007</c:v>
                </c:pt>
                <c:pt idx="244">
                  <c:v>-13.953665406459317</c:v>
                </c:pt>
                <c:pt idx="245">
                  <c:v>-14.783475709989306</c:v>
                </c:pt>
                <c:pt idx="246">
                  <c:v>-15.668331235547429</c:v>
                </c:pt>
                <c:pt idx="247">
                  <c:v>-16.615142649486494</c:v>
                </c:pt>
                <c:pt idx="248">
                  <c:v>-17.632020885433917</c:v>
                </c:pt>
                <c:pt idx="249">
                  <c:v>-18.728554623749126</c:v>
                </c:pt>
                <c:pt idx="250">
                  <c:v>-19.916168881102379</c:v>
                </c:pt>
                <c:pt idx="251">
                  <c:v>-21.208594108565485</c:v>
                </c:pt>
                <c:pt idx="252">
                  <c:v>-22.622487782193577</c:v>
                </c:pt>
                <c:pt idx="253">
                  <c:v>-24.178270037751691</c:v>
                </c:pt>
                <c:pt idx="254">
                  <c:v>-25.901265153536905</c:v>
                </c:pt>
                <c:pt idx="255">
                  <c:v>-27.823288516003686</c:v>
                </c:pt>
                <c:pt idx="256">
                  <c:v>-29.984897510118905</c:v>
                </c:pt>
                <c:pt idx="257">
                  <c:v>-32.438656291180465</c:v>
                </c:pt>
                <c:pt idx="258">
                  <c:v>-35.253994153545733</c:v>
                </c:pt>
                <c:pt idx="259">
                  <c:v>-38.524650657481203</c:v>
                </c:pt>
                <c:pt idx="260">
                  <c:v>-40.854849512121866</c:v>
                </c:pt>
                <c:pt idx="261">
                  <c:v>-45.364564790969709</c:v>
                </c:pt>
                <c:pt idx="262">
                  <c:v>-50.89774149018875</c:v>
                </c:pt>
                <c:pt idx="263">
                  <c:v>-57.872619786294798</c:v>
                </c:pt>
                <c:pt idx="264">
                  <c:v>-66.698303705291778</c:v>
                </c:pt>
                <c:pt idx="265">
                  <c:v>-76.100936550657906</c:v>
                </c:pt>
                <c:pt idx="266">
                  <c:v>-85.808580907920316</c:v>
                </c:pt>
                <c:pt idx="267">
                  <c:v>-95.867380902418347</c:v>
                </c:pt>
                <c:pt idx="268">
                  <c:v>-106.32710829753678</c:v>
                </c:pt>
                <c:pt idx="269">
                  <c:v>-117.24033629292116</c:v>
                </c:pt>
                <c:pt idx="270">
                  <c:v>-128.66105356561897</c:v>
                </c:pt>
                <c:pt idx="271">
                  <c:v>-135.22055658397235</c:v>
                </c:pt>
                <c:pt idx="272">
                  <c:v>-141.7633786057952</c:v>
                </c:pt>
                <c:pt idx="273">
                  <c:v>-148.29749281715243</c:v>
                </c:pt>
                <c:pt idx="274">
                  <c:v>-154.82988643444742</c:v>
                </c:pt>
                <c:pt idx="275">
                  <c:v>-161.36686489360736</c:v>
                </c:pt>
                <c:pt idx="276">
                  <c:v>-167.9142579250298</c:v>
                </c:pt>
                <c:pt idx="277">
                  <c:v>-174.47756401422191</c:v>
                </c:pt>
                <c:pt idx="278">
                  <c:v>-181.06205489038692</c:v>
                </c:pt>
                <c:pt idx="279">
                  <c:v>-187.24565780520018</c:v>
                </c:pt>
                <c:pt idx="280">
                  <c:v>-192.71493855328242</c:v>
                </c:pt>
                <c:pt idx="281">
                  <c:v>-197.65071195006954</c:v>
                </c:pt>
                <c:pt idx="282">
                  <c:v>-202.1750790612096</c:v>
                </c:pt>
                <c:pt idx="283">
                  <c:v>-206.37378860844746</c:v>
                </c:pt>
                <c:pt idx="284">
                  <c:v>-210.30917419199514</c:v>
                </c:pt>
                <c:pt idx="285">
                  <c:v>-214.02789938478909</c:v>
                </c:pt>
                <c:pt idx="286">
                  <c:v>-217.56579499479</c:v>
                </c:pt>
                <c:pt idx="287">
                  <c:v>-220.95099146403052</c:v>
                </c:pt>
                <c:pt idx="288">
                  <c:v>-224.20601173856804</c:v>
                </c:pt>
                <c:pt idx="289">
                  <c:v>-227.34920842746124</c:v>
                </c:pt>
                <c:pt idx="290">
                  <c:v>-230.39577486607462</c:v>
                </c:pt>
                <c:pt idx="291">
                  <c:v>-233.35847195593783</c:v>
                </c:pt>
                <c:pt idx="292">
                  <c:v>-236.24816093633717</c:v>
                </c:pt>
                <c:pt idx="293">
                  <c:v>-239.07420085390174</c:v>
                </c:pt>
                <c:pt idx="294">
                  <c:v>-241.84474994922664</c:v>
                </c:pt>
                <c:pt idx="295">
                  <c:v>-244.56699758452322</c:v>
                </c:pt>
                <c:pt idx="296">
                  <c:v>-247.24734528432671</c:v>
                </c:pt>
                <c:pt idx="297">
                  <c:v>-249.89154988249823</c:v>
                </c:pt>
                <c:pt idx="298">
                  <c:v>-251.43823446480181</c:v>
                </c:pt>
                <c:pt idx="299">
                  <c:v>-252.70295890753789</c:v>
                </c:pt>
                <c:pt idx="300">
                  <c:v>-253.9151677743445</c:v>
                </c:pt>
                <c:pt idx="301">
                  <c:v>-255.07946987251478</c:v>
                </c:pt>
                <c:pt idx="302">
                  <c:v>-256.19997597621841</c:v>
                </c:pt>
                <c:pt idx="303">
                  <c:v>-257.28036809137859</c:v>
                </c:pt>
                <c:pt idx="304">
                  <c:v>-258.32395741778407</c:v>
                </c:pt>
                <c:pt idx="305">
                  <c:v>-259.33373329066728</c:v>
                </c:pt>
                <c:pt idx="306">
                  <c:v>-260.31240454448698</c:v>
                </c:pt>
                <c:pt idx="307">
                  <c:v>-261.26243478821527</c:v>
                </c:pt>
                <c:pt idx="308">
                  <c:v>-262.18607258932445</c:v>
                </c:pt>
                <c:pt idx="309">
                  <c:v>-263.08537740522922</c:v>
                </c:pt>
                <c:pt idx="310">
                  <c:v>-263.9622421088834</c:v>
                </c:pt>
                <c:pt idx="311">
                  <c:v>-264.81841237607728</c:v>
                </c:pt>
                <c:pt idx="312">
                  <c:v>-265.65550378786548</c:v>
                </c:pt>
                <c:pt idx="313">
                  <c:v>-266.47501669680025</c:v>
                </c:pt>
                <c:pt idx="314">
                  <c:v>-267.2783493812704</c:v>
                </c:pt>
                <c:pt idx="315">
                  <c:v>-268.06680970161352</c:v>
                </c:pt>
                <c:pt idx="316">
                  <c:v>-268.84162543458689</c:v>
                </c:pt>
                <c:pt idx="317">
                  <c:v>-269.6039536056993</c:v>
                </c:pt>
                <c:pt idx="318">
                  <c:v>-270.3548887803924</c:v>
                </c:pt>
                <c:pt idx="319">
                  <c:v>-271.0954707504161</c:v>
                </c:pt>
                <c:pt idx="320">
                  <c:v>-271.82669138223645</c:v>
                </c:pt>
                <c:pt idx="321">
                  <c:v>-272.54950104699151</c:v>
                </c:pt>
                <c:pt idx="322">
                  <c:v>-273.26481458986945</c:v>
                </c:pt>
                <c:pt idx="323">
                  <c:v>-273.97351684050199</c:v>
                </c:pt>
                <c:pt idx="324">
                  <c:v>-274.67646801505236</c:v>
                </c:pt>
                <c:pt idx="325">
                  <c:v>-275.37450870792065</c:v>
                </c:pt>
                <c:pt idx="326">
                  <c:v>-276.06846497785796</c:v>
                </c:pt>
                <c:pt idx="327">
                  <c:v>-276.75915316443542</c:v>
                </c:pt>
                <c:pt idx="328">
                  <c:v>-277.44738490371844</c:v>
                </c:pt>
                <c:pt idx="329">
                  <c:v>-278.12181096567366</c:v>
                </c:pt>
                <c:pt idx="330">
                  <c:v>-278.75752940775237</c:v>
                </c:pt>
                <c:pt idx="331">
                  <c:v>-279.35594627204591</c:v>
                </c:pt>
                <c:pt idx="332">
                  <c:v>-279.91922200100726</c:v>
                </c:pt>
                <c:pt idx="333">
                  <c:v>-280.44933799969942</c:v>
                </c:pt>
                <c:pt idx="334">
                  <c:v>-280.9481127749757</c:v>
                </c:pt>
                <c:pt idx="335">
                  <c:v>-281.41721641816713</c:v>
                </c:pt>
                <c:pt idx="336">
                  <c:v>-281.85818345286646</c:v>
                </c:pt>
                <c:pt idx="337">
                  <c:v>-282.27242435852884</c:v>
                </c:pt>
                <c:pt idx="338">
                  <c:v>-282.66123587184427</c:v>
                </c:pt>
                <c:pt idx="339">
                  <c:v>-283.02581024967753</c:v>
                </c:pt>
                <c:pt idx="340">
                  <c:v>-283.36724350329905</c:v>
                </c:pt>
                <c:pt idx="341">
                  <c:v>-283.68654286487151</c:v>
                </c:pt>
                <c:pt idx="342">
                  <c:v>-283.98463344151457</c:v>
                </c:pt>
                <c:pt idx="343">
                  <c:v>-284.26236423371688</c:v>
                </c:pt>
                <c:pt idx="344">
                  <c:v>-284.52051348735296</c:v>
                </c:pt>
                <c:pt idx="345">
                  <c:v>-284.75979354273682</c:v>
                </c:pt>
                <c:pt idx="346">
                  <c:v>-284.98085520953975</c:v>
                </c:pt>
                <c:pt idx="347">
                  <c:v>-285.18429161980555</c:v>
                </c:pt>
                <c:pt idx="348">
                  <c:v>-285.37064171715201</c:v>
                </c:pt>
                <c:pt idx="349">
                  <c:v>-285.5403933902777</c:v>
                </c:pt>
                <c:pt idx="350">
                  <c:v>-285.69398627622928</c:v>
                </c:pt>
                <c:pt idx="351">
                  <c:v>-285.83181417806338</c:v>
                </c:pt>
                <c:pt idx="352">
                  <c:v>-285.9542272951893</c:v>
                </c:pt>
                <c:pt idx="353">
                  <c:v>-286.06153410043328</c:v>
                </c:pt>
                <c:pt idx="354">
                  <c:v>-286.15400304826198</c:v>
                </c:pt>
                <c:pt idx="355">
                  <c:v>-286.23186399539287</c:v>
                </c:pt>
                <c:pt idx="356">
                  <c:v>-286.29530943724103</c:v>
                </c:pt>
                <c:pt idx="357">
                  <c:v>-286.34449551094713</c:v>
                </c:pt>
                <c:pt idx="358">
                  <c:v>-286.37954280081647</c:v>
                </c:pt>
                <c:pt idx="359">
                  <c:v>-286.40053702708838</c:v>
                </c:pt>
                <c:pt idx="360">
                  <c:v>-286.40752941242579</c:v>
                </c:pt>
              </c:numCache>
            </c:numRef>
          </c:xVal>
          <c:yVal>
            <c:numRef>
              <c:f>L_Section_Capacity!$AU$2:$AU$362</c:f>
              <c:numCache>
                <c:formatCode>General</c:formatCode>
                <c:ptCount val="361"/>
                <c:pt idx="0">
                  <c:v>170.64</c:v>
                </c:pt>
                <c:pt idx="1">
                  <c:v>169.83881251979483</c:v>
                </c:pt>
                <c:pt idx="2">
                  <c:v>169.03713668032884</c:v>
                </c:pt>
                <c:pt idx="3">
                  <c:v>168.23448293090848</c:v>
                </c:pt>
                <c:pt idx="4">
                  <c:v>167.43035933179289</c:v>
                </c:pt>
                <c:pt idx="5">
                  <c:v>166.62427034416021</c:v>
                </c:pt>
                <c:pt idx="6">
                  <c:v>165.8157156013055</c:v>
                </c:pt>
                <c:pt idx="7">
                  <c:v>165.00418865455674</c:v>
                </c:pt>
                <c:pt idx="8">
                  <c:v>164.18917568716031</c:v>
                </c:pt>
                <c:pt idx="9">
                  <c:v>163.37015418910386</c:v>
                </c:pt>
                <c:pt idx="10">
                  <c:v>162.54659158548156</c:v>
                </c:pt>
                <c:pt idx="11">
                  <c:v>161.71794381057884</c:v>
                </c:pt>
                <c:pt idx="12">
                  <c:v>160.88365381934614</c:v>
                </c:pt>
                <c:pt idx="13">
                  <c:v>160.04315002733676</c:v>
                </c:pt>
                <c:pt idx="14">
                  <c:v>159.19584466949817</c:v>
                </c:pt>
                <c:pt idx="15">
                  <c:v>158.34113206741159</c:v>
                </c:pt>
                <c:pt idx="16">
                  <c:v>155.93188739583917</c:v>
                </c:pt>
                <c:pt idx="17">
                  <c:v>146.84304144717521</c:v>
                </c:pt>
                <c:pt idx="18">
                  <c:v>133.32773200127571</c:v>
                </c:pt>
                <c:pt idx="19">
                  <c:v>116.9756761268779</c:v>
                </c:pt>
                <c:pt idx="20">
                  <c:v>98.638654113405948</c:v>
                </c:pt>
                <c:pt idx="21">
                  <c:v>78.81413146608142</c:v>
                </c:pt>
                <c:pt idx="22">
                  <c:v>57.809334839093772</c:v>
                </c:pt>
                <c:pt idx="23">
                  <c:v>35.820840578644685</c:v>
                </c:pt>
                <c:pt idx="24">
                  <c:v>13.429696532069693</c:v>
                </c:pt>
                <c:pt idx="25">
                  <c:v>-8.2807945583012721</c:v>
                </c:pt>
                <c:pt idx="26">
                  <c:v>-29.154591818636636</c:v>
                </c:pt>
                <c:pt idx="27">
                  <c:v>-49.108916291123059</c:v>
                </c:pt>
                <c:pt idx="28">
                  <c:v>-68.088775764176773</c:v>
                </c:pt>
                <c:pt idx="29">
                  <c:v>-86.927027865899518</c:v>
                </c:pt>
                <c:pt idx="30">
                  <c:v>-107.73919158680741</c:v>
                </c:pt>
                <c:pt idx="31">
                  <c:v>-126.53719807044077</c:v>
                </c:pt>
                <c:pt idx="32">
                  <c:v>-143.42959275909601</c:v>
                </c:pt>
                <c:pt idx="33">
                  <c:v>-158.4882629862567</c:v>
                </c:pt>
                <c:pt idx="34">
                  <c:v>-171.75143591150675</c:v>
                </c:pt>
                <c:pt idx="35">
                  <c:v>-183.22463045370722</c:v>
                </c:pt>
                <c:pt idx="36">
                  <c:v>-192.8795366685581</c:v>
                </c:pt>
                <c:pt idx="37">
                  <c:v>-200.65049974806507</c:v>
                </c:pt>
                <c:pt idx="38">
                  <c:v>-206.42786335141773</c:v>
                </c:pt>
                <c:pt idx="39">
                  <c:v>-210.04672865612105</c:v>
                </c:pt>
                <c:pt idx="40">
                  <c:v>-211.40321612728565</c:v>
                </c:pt>
                <c:pt idx="41">
                  <c:v>-212.15506523087961</c:v>
                </c:pt>
                <c:pt idx="42">
                  <c:v>-212.88033705495312</c:v>
                </c:pt>
                <c:pt idx="43">
                  <c:v>-213.58106824391609</c:v>
                </c:pt>
                <c:pt idx="44">
                  <c:v>-214.25912410484608</c:v>
                </c:pt>
                <c:pt idx="45">
                  <c:v>-214.91621889839604</c:v>
                </c:pt>
                <c:pt idx="46">
                  <c:v>-215.55393327210675</c:v>
                </c:pt>
                <c:pt idx="47">
                  <c:v>-216.17372973347838</c:v>
                </c:pt>
                <c:pt idx="48">
                  <c:v>-216.77696625323847</c:v>
                </c:pt>
                <c:pt idx="49">
                  <c:v>-217.36490864380755</c:v>
                </c:pt>
                <c:pt idx="50">
                  <c:v>-217.93874136258606</c:v>
                </c:pt>
                <c:pt idx="51">
                  <c:v>-218.49957742149149</c:v>
                </c:pt>
                <c:pt idx="52">
                  <c:v>-219.04846762150137</c:v>
                </c:pt>
                <c:pt idx="53">
                  <c:v>-219.58640859477288</c:v>
                </c:pt>
                <c:pt idx="54">
                  <c:v>-220.11435084204641</c:v>
                </c:pt>
                <c:pt idx="55">
                  <c:v>-220.63320589928281</c:v>
                </c:pt>
                <c:pt idx="56">
                  <c:v>-221.14385346741452</c:v>
                </c:pt>
                <c:pt idx="57">
                  <c:v>-221.6471483134568</c:v>
                </c:pt>
                <c:pt idx="58">
                  <c:v>-222.1439270192684</c:v>
                </c:pt>
                <c:pt idx="59">
                  <c:v>-222.63501498862297</c:v>
                </c:pt>
                <c:pt idx="60">
                  <c:v>-223.12123364333641</c:v>
                </c:pt>
                <c:pt idx="61">
                  <c:v>-223.60340809109209</c:v>
                </c:pt>
                <c:pt idx="62">
                  <c:v>-224.08237518571801</c:v>
                </c:pt>
                <c:pt idx="63">
                  <c:v>-224.55899295028135</c:v>
                </c:pt>
                <c:pt idx="64">
                  <c:v>-225.03415070775625</c:v>
                </c:pt>
                <c:pt idx="65">
                  <c:v>-225.5000752096696</c:v>
                </c:pt>
                <c:pt idx="66">
                  <c:v>-225.93840808158225</c:v>
                </c:pt>
                <c:pt idx="67">
                  <c:v>-226.34980282506973</c:v>
                </c:pt>
                <c:pt idx="68">
                  <c:v>-226.7355414067631</c:v>
                </c:pt>
                <c:pt idx="69">
                  <c:v>-227.09679985768278</c:v>
                </c:pt>
                <c:pt idx="70">
                  <c:v>-227.43465621224038</c:v>
                </c:pt>
                <c:pt idx="71">
                  <c:v>-227.75009780563349</c:v>
                </c:pt>
                <c:pt idx="72">
                  <c:v>-228.04402765960526</c:v>
                </c:pt>
                <c:pt idx="73">
                  <c:v>-228.31727018142172</c:v>
                </c:pt>
                <c:pt idx="74">
                  <c:v>-228.57057626873291</c:v>
                </c:pt>
                <c:pt idx="75">
                  <c:v>-228.80462770745385</c:v>
                </c:pt>
                <c:pt idx="76">
                  <c:v>-229.02004111172758</c:v>
                </c:pt>
                <c:pt idx="77">
                  <c:v>-229.21737113083793</c:v>
                </c:pt>
                <c:pt idx="78">
                  <c:v>-229.39711352348596</c:v>
                </c:pt>
                <c:pt idx="79">
                  <c:v>-229.5597073839885</c:v>
                </c:pt>
                <c:pt idx="80">
                  <c:v>-229.7055370489193</c:v>
                </c:pt>
                <c:pt idx="81">
                  <c:v>-229.83493356816092</c:v>
                </c:pt>
                <c:pt idx="82">
                  <c:v>-229.94817534467441</c:v>
                </c:pt>
                <c:pt idx="83">
                  <c:v>-230.04548885723926</c:v>
                </c:pt>
                <c:pt idx="84">
                  <c:v>-230.12704806579677</c:v>
                </c:pt>
                <c:pt idx="85">
                  <c:v>-230.19297377613691</c:v>
                </c:pt>
                <c:pt idx="86">
                  <c:v>-230.24333161333755</c:v>
                </c:pt>
                <c:pt idx="87">
                  <c:v>-230.27812965819783</c:v>
                </c:pt>
                <c:pt idx="88">
                  <c:v>-230.29731454561104</c:v>
                </c:pt>
                <c:pt idx="89">
                  <c:v>-230.30076611464088</c:v>
                </c:pt>
                <c:pt idx="90">
                  <c:v>-230.2882903724026</c:v>
                </c:pt>
                <c:pt idx="91">
                  <c:v>-230.25058130732674</c:v>
                </c:pt>
                <c:pt idx="92">
                  <c:v>-230.19826145045786</c:v>
                </c:pt>
                <c:pt idx="93">
                  <c:v>-230.13142645711895</c:v>
                </c:pt>
                <c:pt idx="94">
                  <c:v>-230.05011709109306</c:v>
                </c:pt>
                <c:pt idx="95">
                  <c:v>-229.95432084374991</c:v>
                </c:pt>
                <c:pt idx="96">
                  <c:v>-229.84397404072246</c:v>
                </c:pt>
                <c:pt idx="97">
                  <c:v>-229.80613221625464</c:v>
                </c:pt>
                <c:pt idx="98">
                  <c:v>-229.67046982663493</c:v>
                </c:pt>
                <c:pt idx="99">
                  <c:v>-229.5196814577387</c:v>
                </c:pt>
                <c:pt idx="100">
                  <c:v>-229.35350686355167</c:v>
                </c:pt>
                <c:pt idx="101">
                  <c:v>-229.17163619779342</c:v>
                </c:pt>
                <c:pt idx="102">
                  <c:v>-228.97370954847</c:v>
                </c:pt>
                <c:pt idx="103">
                  <c:v>-228.75931515016649</c:v>
                </c:pt>
                <c:pt idx="104">
                  <c:v>-228.52798809480396</c:v>
                </c:pt>
                <c:pt idx="105">
                  <c:v>-228.27920786892605</c:v>
                </c:pt>
                <c:pt idx="106">
                  <c:v>-228.0123961065766</c:v>
                </c:pt>
                <c:pt idx="107">
                  <c:v>-227.72691339395863</c:v>
                </c:pt>
                <c:pt idx="108">
                  <c:v>-227.42205592641088</c:v>
                </c:pt>
                <c:pt idx="109">
                  <c:v>-227.09705150566884</c:v>
                </c:pt>
                <c:pt idx="110">
                  <c:v>-226.75105497984498</c:v>
                </c:pt>
                <c:pt idx="111">
                  <c:v>-226.38314329466053</c:v>
                </c:pt>
                <c:pt idx="112">
                  <c:v>-225.99590320634036</c:v>
                </c:pt>
                <c:pt idx="113">
                  <c:v>-225.61400869149182</c:v>
                </c:pt>
                <c:pt idx="114">
                  <c:v>-225.24125085893763</c:v>
                </c:pt>
                <c:pt idx="115">
                  <c:v>-224.87643467436558</c:v>
                </c:pt>
                <c:pt idx="116">
                  <c:v>-224.51849339010894</c:v>
                </c:pt>
                <c:pt idx="117">
                  <c:v>-224.16646628999717</c:v>
                </c:pt>
                <c:pt idx="118">
                  <c:v>-223.81948077019757</c:v>
                </c:pt>
                <c:pt idx="119">
                  <c:v>-223.476737166459</c:v>
                </c:pt>
                <c:pt idx="120">
                  <c:v>-223.13749652442439</c:v>
                </c:pt>
                <c:pt idx="121">
                  <c:v>-222.80107011004907</c:v>
                </c:pt>
                <c:pt idx="122">
                  <c:v>-222.46681033950986</c:v>
                </c:pt>
                <c:pt idx="123">
                  <c:v>-222.13410315781599</c:v>
                </c:pt>
                <c:pt idx="124">
                  <c:v>-221.80236123083921</c:v>
                </c:pt>
                <c:pt idx="125">
                  <c:v>-221.47101796904337</c:v>
                </c:pt>
                <c:pt idx="126">
                  <c:v>-221.13952215211947</c:v>
                </c:pt>
                <c:pt idx="127">
                  <c:v>-220.80733293922552</c:v>
                </c:pt>
                <c:pt idx="128">
                  <c:v>-220.47391531975566</c:v>
                </c:pt>
                <c:pt idx="129">
                  <c:v>-220.13873570687838</c:v>
                </c:pt>
                <c:pt idx="130">
                  <c:v>-219.80125783805909</c:v>
                </c:pt>
                <c:pt idx="131">
                  <c:v>-219.4609384566287</c:v>
                </c:pt>
                <c:pt idx="132">
                  <c:v>-219.11722336082769</c:v>
                </c:pt>
                <c:pt idx="133">
                  <c:v>-218.34428002005848</c:v>
                </c:pt>
                <c:pt idx="134">
                  <c:v>-217.28260201758746</c:v>
                </c:pt>
                <c:pt idx="135">
                  <c:v>-216.23507249771524</c:v>
                </c:pt>
                <c:pt idx="136">
                  <c:v>-215.20013798925757</c:v>
                </c:pt>
                <c:pt idx="137">
                  <c:v>-214.17630345979492</c:v>
                </c:pt>
                <c:pt idx="138">
                  <c:v>-213.16212137573888</c:v>
                </c:pt>
                <c:pt idx="139">
                  <c:v>-212.15618154590953</c:v>
                </c:pt>
                <c:pt idx="140">
                  <c:v>-211.15710097259779</c:v>
                </c:pt>
                <c:pt idx="141">
                  <c:v>-210.16351401371139</c:v>
                </c:pt>
                <c:pt idx="142">
                  <c:v>-209.17406248055204</c:v>
                </c:pt>
                <c:pt idx="143">
                  <c:v>-208.18738529472708</c:v>
                </c:pt>
                <c:pt idx="144">
                  <c:v>-207.2021079842923</c:v>
                </c:pt>
                <c:pt idx="145">
                  <c:v>-206.21683121782536</c:v>
                </c:pt>
                <c:pt idx="146">
                  <c:v>-205.23011859211286</c:v>
                </c:pt>
                <c:pt idx="147">
                  <c:v>-204.2404829953839</c:v>
                </c:pt>
                <c:pt idx="148">
                  <c:v>-203.2463715146402</c:v>
                </c:pt>
                <c:pt idx="149">
                  <c:v>-202.24614796512515</c:v>
                </c:pt>
                <c:pt idx="150">
                  <c:v>-201.23807300317822</c:v>
                </c:pt>
                <c:pt idx="151">
                  <c:v>-200.2202806828941</c:v>
                </c:pt>
                <c:pt idx="152">
                  <c:v>-199.19075057607762</c:v>
                </c:pt>
                <c:pt idx="153">
                  <c:v>-198.14727464487729</c:v>
                </c:pt>
                <c:pt idx="154">
                  <c:v>-197.0874165773136</c:v>
                </c:pt>
                <c:pt idx="155">
                  <c:v>-196.00846226060744</c:v>
                </c:pt>
                <c:pt idx="156">
                  <c:v>-194.90735802898485</c:v>
                </c:pt>
                <c:pt idx="157">
                  <c:v>-193.78063331234162</c:v>
                </c:pt>
                <c:pt idx="158">
                  <c:v>-192.62430229796274</c:v>
                </c:pt>
                <c:pt idx="159">
                  <c:v>-191.43373720339343</c:v>
                </c:pt>
                <c:pt idx="160">
                  <c:v>-190.2035037331855</c:v>
                </c:pt>
                <c:pt idx="161">
                  <c:v>-188.92714309151506</c:v>
                </c:pt>
                <c:pt idx="162">
                  <c:v>-187.59688038625293</c:v>
                </c:pt>
                <c:pt idx="163">
                  <c:v>-184.45113739166462</c:v>
                </c:pt>
                <c:pt idx="164">
                  <c:v>-180.31592495949261</c:v>
                </c:pt>
                <c:pt idx="165">
                  <c:v>-176.06485600665499</c:v>
                </c:pt>
                <c:pt idx="166">
                  <c:v>-171.67940753754911</c:v>
                </c:pt>
                <c:pt idx="167">
                  <c:v>-167.13693281376999</c:v>
                </c:pt>
                <c:pt idx="168">
                  <c:v>-162.40907862183832</c:v>
                </c:pt>
                <c:pt idx="169">
                  <c:v>-157.45934548462637</c:v>
                </c:pt>
                <c:pt idx="170">
                  <c:v>-152.23916914962729</c:v>
                </c:pt>
                <c:pt idx="171">
                  <c:v>-146.68132074896809</c:v>
                </c:pt>
                <c:pt idx="172">
                  <c:v>-139.67618490852462</c:v>
                </c:pt>
                <c:pt idx="173">
                  <c:v>-134.80104212556512</c:v>
                </c:pt>
                <c:pt idx="174">
                  <c:v>-126.39223751829277</c:v>
                </c:pt>
                <c:pt idx="175">
                  <c:v>-116.87933448542789</c:v>
                </c:pt>
                <c:pt idx="176">
                  <c:v>-105.47463510360245</c:v>
                </c:pt>
                <c:pt idx="177">
                  <c:v>-90.154221434950728</c:v>
                </c:pt>
                <c:pt idx="178">
                  <c:v>-65.929879593857663</c:v>
                </c:pt>
                <c:pt idx="179">
                  <c:v>-36.972625897372694</c:v>
                </c:pt>
                <c:pt idx="180">
                  <c:v>-2.0292165702320709E-9</c:v>
                </c:pt>
                <c:pt idx="181">
                  <c:v>36.972625881442539</c:v>
                </c:pt>
                <c:pt idx="182">
                  <c:v>65.929879594152908</c:v>
                </c:pt>
                <c:pt idx="183">
                  <c:v>90.154221438139302</c:v>
                </c:pt>
                <c:pt idx="184">
                  <c:v>105.47463511328854</c:v>
                </c:pt>
                <c:pt idx="185">
                  <c:v>116.87933450146542</c:v>
                </c:pt>
                <c:pt idx="186">
                  <c:v>126.39223752050484</c:v>
                </c:pt>
                <c:pt idx="187">
                  <c:v>134.8010421353157</c:v>
                </c:pt>
                <c:pt idx="188">
                  <c:v>139.67618490942127</c:v>
                </c:pt>
                <c:pt idx="189">
                  <c:v>146.68132074712582</c:v>
                </c:pt>
                <c:pt idx="190">
                  <c:v>152.23916914306309</c:v>
                </c:pt>
                <c:pt idx="191">
                  <c:v>157.45934547610773</c:v>
                </c:pt>
                <c:pt idx="192">
                  <c:v>162.40907861870048</c:v>
                </c:pt>
                <c:pt idx="193">
                  <c:v>167.1369328090168</c:v>
                </c:pt>
                <c:pt idx="194">
                  <c:v>171.67940755224097</c:v>
                </c:pt>
                <c:pt idx="195">
                  <c:v>176.06485600030589</c:v>
                </c:pt>
                <c:pt idx="196">
                  <c:v>180.31592496574572</c:v>
                </c:pt>
                <c:pt idx="197">
                  <c:v>184.45113739995094</c:v>
                </c:pt>
                <c:pt idx="198">
                  <c:v>187.59688037781439</c:v>
                </c:pt>
                <c:pt idx="199">
                  <c:v>188.92714309507622</c:v>
                </c:pt>
                <c:pt idx="200">
                  <c:v>190.20350372230411</c:v>
                </c:pt>
                <c:pt idx="201">
                  <c:v>191.43373720505775</c:v>
                </c:pt>
                <c:pt idx="202">
                  <c:v>192.62430228073515</c:v>
                </c:pt>
                <c:pt idx="203">
                  <c:v>193.78063331632467</c:v>
                </c:pt>
                <c:pt idx="204">
                  <c:v>194.90735801374322</c:v>
                </c:pt>
                <c:pt idx="205">
                  <c:v>196.00846224670843</c:v>
                </c:pt>
                <c:pt idx="206">
                  <c:v>197.08741658183877</c:v>
                </c:pt>
                <c:pt idx="207">
                  <c:v>198.14727465263888</c:v>
                </c:pt>
                <c:pt idx="208">
                  <c:v>199.19075058795215</c:v>
                </c:pt>
                <c:pt idx="209">
                  <c:v>200.22028066907424</c:v>
                </c:pt>
                <c:pt idx="210">
                  <c:v>201.23807299870441</c:v>
                </c:pt>
                <c:pt idx="211">
                  <c:v>202.24614794932467</c:v>
                </c:pt>
                <c:pt idx="212">
                  <c:v>203.24637149722378</c:v>
                </c:pt>
                <c:pt idx="213">
                  <c:v>204.24048299058416</c:v>
                </c:pt>
                <c:pt idx="214">
                  <c:v>205.23011857811269</c:v>
                </c:pt>
                <c:pt idx="215">
                  <c:v>206.21683121536307</c:v>
                </c:pt>
                <c:pt idx="216">
                  <c:v>207.20210798576818</c:v>
                </c:pt>
                <c:pt idx="217">
                  <c:v>208.18738530396928</c:v>
                </c:pt>
                <c:pt idx="218">
                  <c:v>209.17406248250177</c:v>
                </c:pt>
                <c:pt idx="219">
                  <c:v>210.16351402603061</c:v>
                </c:pt>
                <c:pt idx="220">
                  <c:v>211.15710097191692</c:v>
                </c:pt>
                <c:pt idx="221">
                  <c:v>212.15618155118014</c:v>
                </c:pt>
                <c:pt idx="222">
                  <c:v>213.16212138886169</c:v>
                </c:pt>
                <c:pt idx="223">
                  <c:v>214.17630346261939</c:v>
                </c:pt>
                <c:pt idx="224">
                  <c:v>215.2001379969511</c:v>
                </c:pt>
                <c:pt idx="225">
                  <c:v>216.23507248512081</c:v>
                </c:pt>
                <c:pt idx="226">
                  <c:v>217.28260200346688</c:v>
                </c:pt>
                <c:pt idx="227">
                  <c:v>218.34428000857784</c:v>
                </c:pt>
                <c:pt idx="228">
                  <c:v>219.11722334577973</c:v>
                </c:pt>
                <c:pt idx="229">
                  <c:v>219.46093844437979</c:v>
                </c:pt>
                <c:pt idx="230">
                  <c:v>219.80125782136781</c:v>
                </c:pt>
                <c:pt idx="231">
                  <c:v>220.13873571161565</c:v>
                </c:pt>
                <c:pt idx="232">
                  <c:v>220.47391530743914</c:v>
                </c:pt>
                <c:pt idx="233">
                  <c:v>220.80733293010192</c:v>
                </c:pt>
                <c:pt idx="234">
                  <c:v>221.13952214666736</c:v>
                </c:pt>
                <c:pt idx="235">
                  <c:v>221.47101796859806</c:v>
                </c:pt>
                <c:pt idx="236">
                  <c:v>221.80236122505897</c:v>
                </c:pt>
                <c:pt idx="237">
                  <c:v>222.13410315734748</c:v>
                </c:pt>
                <c:pt idx="238">
                  <c:v>222.46681034345411</c:v>
                </c:pt>
                <c:pt idx="239">
                  <c:v>222.80107011115348</c:v>
                </c:pt>
                <c:pt idx="240">
                  <c:v>223.13749652741947</c:v>
                </c:pt>
                <c:pt idx="241">
                  <c:v>223.47673715382814</c:v>
                </c:pt>
                <c:pt idx="242">
                  <c:v>223.81948076747886</c:v>
                </c:pt>
                <c:pt idx="243">
                  <c:v>224.16646631005813</c:v>
                </c:pt>
                <c:pt idx="244">
                  <c:v>224.51849337858178</c:v>
                </c:pt>
                <c:pt idx="245">
                  <c:v>224.87643466229036</c:v>
                </c:pt>
                <c:pt idx="246">
                  <c:v>225.24125084239907</c:v>
                </c:pt>
                <c:pt idx="247">
                  <c:v>225.61400868985439</c:v>
                </c:pt>
                <c:pt idx="248">
                  <c:v>225.99590322073709</c:v>
                </c:pt>
                <c:pt idx="249">
                  <c:v>226.38828513364311</c:v>
                </c:pt>
                <c:pt idx="250">
                  <c:v>226.79269522476733</c:v>
                </c:pt>
                <c:pt idx="251">
                  <c:v>227.2109079988966</c:v>
                </c:pt>
                <c:pt idx="252">
                  <c:v>227.64498770082221</c:v>
                </c:pt>
                <c:pt idx="253">
                  <c:v>228.0973612656046</c:v>
                </c:pt>
                <c:pt idx="254">
                  <c:v>228.57091466919249</c:v>
                </c:pt>
                <c:pt idx="255">
                  <c:v>229.06912240517968</c:v>
                </c:pt>
                <c:pt idx="256">
                  <c:v>229.59622450193754</c:v>
                </c:pt>
                <c:pt idx="257">
                  <c:v>230.15747372001675</c:v>
                </c:pt>
                <c:pt idx="258">
                  <c:v>230.75948858207175</c:v>
                </c:pt>
                <c:pt idx="259">
                  <c:v>231.41077132630011</c:v>
                </c:pt>
                <c:pt idx="260">
                  <c:v>231.8420590389203</c:v>
                </c:pt>
                <c:pt idx="261">
                  <c:v>232.61493023744382</c:v>
                </c:pt>
                <c:pt idx="262">
                  <c:v>233.4837127195326</c:v>
                </c:pt>
                <c:pt idx="263">
                  <c:v>234.47864424410355</c:v>
                </c:pt>
                <c:pt idx="264">
                  <c:v>235.61346658931041</c:v>
                </c:pt>
                <c:pt idx="265">
                  <c:v>236.70713071197306</c:v>
                </c:pt>
                <c:pt idx="266">
                  <c:v>237.72438172960534</c:v>
                </c:pt>
                <c:pt idx="267">
                  <c:v>238.66862096860316</c:v>
                </c:pt>
                <c:pt idx="268">
                  <c:v>239.54220566596143</c:v>
                </c:pt>
                <c:pt idx="269">
                  <c:v>240.34601696858832</c:v>
                </c:pt>
                <c:pt idx="270">
                  <c:v>241.07892606363635</c:v>
                </c:pt>
                <c:pt idx="271">
                  <c:v>241.04274500027907</c:v>
                </c:pt>
                <c:pt idx="272">
                  <c:v>240.89181387615386</c:v>
                </c:pt>
                <c:pt idx="273">
                  <c:v>240.62626586658433</c:v>
                </c:pt>
                <c:pt idx="274">
                  <c:v>240.24582301645762</c:v>
                </c:pt>
                <c:pt idx="275">
                  <c:v>239.74983257447036</c:v>
                </c:pt>
                <c:pt idx="276">
                  <c:v>239.13728855135133</c:v>
                </c:pt>
                <c:pt idx="277">
                  <c:v>238.40684325964256</c:v>
                </c:pt>
                <c:pt idx="278">
                  <c:v>237.55681188736116</c:v>
                </c:pt>
                <c:pt idx="279">
                  <c:v>236.67770486415253</c:v>
                </c:pt>
                <c:pt idx="280">
                  <c:v>235.85783533297553</c:v>
                </c:pt>
                <c:pt idx="281">
                  <c:v>235.08113203011024</c:v>
                </c:pt>
                <c:pt idx="282">
                  <c:v>234.33626196700004</c:v>
                </c:pt>
                <c:pt idx="283">
                  <c:v>233.61498807662258</c:v>
                </c:pt>
                <c:pt idx="284">
                  <c:v>232.91113926955694</c:v>
                </c:pt>
                <c:pt idx="285">
                  <c:v>232.21996510554243</c:v>
                </c:pt>
                <c:pt idx="286">
                  <c:v>231.53771649779367</c:v>
                </c:pt>
                <c:pt idx="287">
                  <c:v>230.86136472477563</c:v>
                </c:pt>
                <c:pt idx="288">
                  <c:v>230.18840783946192</c:v>
                </c:pt>
                <c:pt idx="289">
                  <c:v>229.51673416097768</c:v>
                </c:pt>
                <c:pt idx="290">
                  <c:v>228.84452379316818</c:v>
                </c:pt>
                <c:pt idx="291">
                  <c:v>228.1701761831348</c:v>
                </c:pt>
                <c:pt idx="292">
                  <c:v>227.49225578218275</c:v>
                </c:pt>
                <c:pt idx="293">
                  <c:v>226.80945051339023</c:v>
                </c:pt>
                <c:pt idx="294">
                  <c:v>226.12053948906387</c:v>
                </c:pt>
                <c:pt idx="295">
                  <c:v>225.4243673329444</c:v>
                </c:pt>
                <c:pt idx="296">
                  <c:v>224.71982347009089</c:v>
                </c:pt>
                <c:pt idx="297">
                  <c:v>224.00582495907884</c:v>
                </c:pt>
                <c:pt idx="298">
                  <c:v>223.31210214420884</c:v>
                </c:pt>
                <c:pt idx="299">
                  <c:v>222.62549379493709</c:v>
                </c:pt>
                <c:pt idx="300">
                  <c:v>221.9397322522766</c:v>
                </c:pt>
                <c:pt idx="301">
                  <c:v>221.25397211225334</c:v>
                </c:pt>
                <c:pt idx="302">
                  <c:v>220.56738489731143</c:v>
                </c:pt>
                <c:pt idx="303">
                  <c:v>219.87915316242362</c:v>
                </c:pt>
                <c:pt idx="304">
                  <c:v>219.18846497326251</c:v>
                </c:pt>
                <c:pt idx="305">
                  <c:v>218.49450870876012</c:v>
                </c:pt>
                <c:pt idx="306">
                  <c:v>217.7964680089932</c:v>
                </c:pt>
                <c:pt idx="307">
                  <c:v>217.09351684209656</c:v>
                </c:pt>
                <c:pt idx="308">
                  <c:v>216.38481458610278</c:v>
                </c:pt>
                <c:pt idx="309">
                  <c:v>215.6695010467771</c:v>
                </c:pt>
                <c:pt idx="310">
                  <c:v>214.94669137783171</c:v>
                </c:pt>
                <c:pt idx="311">
                  <c:v>214.21547074814148</c:v>
                </c:pt>
                <c:pt idx="312">
                  <c:v>213.47488878167692</c:v>
                </c:pt>
                <c:pt idx="313">
                  <c:v>212.72395360093248</c:v>
                </c:pt>
                <c:pt idx="314">
                  <c:v>211.96162543822882</c:v>
                </c:pt>
                <c:pt idx="315">
                  <c:v>211.18680970238546</c:v>
                </c:pt>
                <c:pt idx="316">
                  <c:v>210.39834938369654</c:v>
                </c:pt>
                <c:pt idx="317">
                  <c:v>209.59501669709522</c:v>
                </c:pt>
                <c:pt idx="318">
                  <c:v>208.77550378661107</c:v>
                </c:pt>
                <c:pt idx="319">
                  <c:v>207.93841237407213</c:v>
                </c:pt>
                <c:pt idx="320">
                  <c:v>207.08224210452309</c:v>
                </c:pt>
                <c:pt idx="321">
                  <c:v>206.20537740819955</c:v>
                </c:pt>
                <c:pt idx="322">
                  <c:v>205.30607258613</c:v>
                </c:pt>
                <c:pt idx="323">
                  <c:v>204.38243479206724</c:v>
                </c:pt>
                <c:pt idx="324">
                  <c:v>203.43240454783353</c:v>
                </c:pt>
                <c:pt idx="325">
                  <c:v>202.45373329087482</c:v>
                </c:pt>
                <c:pt idx="326">
                  <c:v>201.44395741648191</c:v>
                </c:pt>
                <c:pt idx="327">
                  <c:v>200.40036808848825</c:v>
                </c:pt>
                <c:pt idx="328">
                  <c:v>199.31997598097797</c:v>
                </c:pt>
                <c:pt idx="329">
                  <c:v>198.21950241336597</c:v>
                </c:pt>
                <c:pt idx="330">
                  <c:v>197.14037735580473</c:v>
                </c:pt>
                <c:pt idx="331">
                  <c:v>196.08278546168302</c:v>
                </c:pt>
                <c:pt idx="332">
                  <c:v>195.04546291326278</c:v>
                </c:pt>
                <c:pt idx="333">
                  <c:v>194.02721813179519</c:v>
                </c:pt>
                <c:pt idx="334">
                  <c:v>193.026925815174</c:v>
                </c:pt>
                <c:pt idx="335">
                  <c:v>192.04352150931538</c:v>
                </c:pt>
                <c:pt idx="336">
                  <c:v>191.07599665566275</c:v>
                </c:pt>
                <c:pt idx="337">
                  <c:v>190.1233940640218</c:v>
                </c:pt>
                <c:pt idx="338">
                  <c:v>189.1848037658346</c:v>
                </c:pt>
                <c:pt idx="339">
                  <c:v>188.25935920812651</c:v>
                </c:pt>
                <c:pt idx="340">
                  <c:v>187.34623375281959</c:v>
                </c:pt>
                <c:pt idx="341">
                  <c:v>186.44463744999649</c:v>
                </c:pt>
                <c:pt idx="342">
                  <c:v>185.55381405709136</c:v>
                </c:pt>
                <c:pt idx="343">
                  <c:v>184.67303827895341</c:v>
                </c:pt>
                <c:pt idx="344">
                  <c:v>183.80161320633022</c:v>
                </c:pt>
                <c:pt idx="345">
                  <c:v>182.93886793258946</c:v>
                </c:pt>
                <c:pt idx="346">
                  <c:v>182.08415533050288</c:v>
                </c:pt>
                <c:pt idx="347">
                  <c:v>181.23684997266426</c:v>
                </c:pt>
                <c:pt idx="348">
                  <c:v>180.39634618065492</c:v>
                </c:pt>
                <c:pt idx="349">
                  <c:v>179.56205618942218</c:v>
                </c:pt>
                <c:pt idx="350">
                  <c:v>178.73340841451946</c:v>
                </c:pt>
                <c:pt idx="351">
                  <c:v>177.90984581089711</c:v>
                </c:pt>
                <c:pt idx="352">
                  <c:v>177.09082431284071</c:v>
                </c:pt>
                <c:pt idx="353">
                  <c:v>176.27581134544428</c:v>
                </c:pt>
                <c:pt idx="354">
                  <c:v>175.4642843986955</c:v>
                </c:pt>
                <c:pt idx="355">
                  <c:v>174.65572965584084</c:v>
                </c:pt>
                <c:pt idx="356">
                  <c:v>173.84964066820808</c:v>
                </c:pt>
                <c:pt idx="357">
                  <c:v>173.04551706909254</c:v>
                </c:pt>
                <c:pt idx="358">
                  <c:v>172.24286331967215</c:v>
                </c:pt>
                <c:pt idx="359">
                  <c:v>171.44118748020611</c:v>
                </c:pt>
                <c:pt idx="360">
                  <c:v>170.64000000000095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-224.54169016050608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7.230892151710578E-9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General</c:formatCode>
                <c:ptCount val="1"/>
                <c:pt idx="0">
                  <c:v>-100</c:v>
                </c:pt>
              </c:numCache>
            </c:numRef>
          </c:xVal>
          <c:yVal>
            <c:numRef>
              <c:f>L_Section_Capacity!$U$12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L_Section_Capacity!$AV$2:$AV$362</c:f>
              <c:numCache>
                <c:formatCode>General</c:formatCode>
                <c:ptCount val="361"/>
                <c:pt idx="0">
                  <c:v>2.6042712501206964</c:v>
                </c:pt>
                <c:pt idx="1">
                  <c:v>2.6063276015759103</c:v>
                </c:pt>
                <c:pt idx="2">
                  <c:v>2.6083689442079514</c:v>
                </c:pt>
                <c:pt idx="3">
                  <c:v>2.6103966227650242</c:v>
                </c:pt>
                <c:pt idx="4">
                  <c:v>2.612411947632622</c:v>
                </c:pt>
                <c:pt idx="5">
                  <c:v>2.6144161982154284</c:v>
                </c:pt>
                <c:pt idx="6">
                  <c:v>2.6164106263633338</c:v>
                </c:pt>
                <c:pt idx="7">
                  <c:v>2.6183964593851998</c:v>
                </c:pt>
                <c:pt idx="8">
                  <c:v>2.6203749031844179</c:v>
                </c:pt>
                <c:pt idx="9">
                  <c:v>2.6223471450495084</c:v>
                </c:pt>
                <c:pt idx="10">
                  <c:v>2.6243143565470395</c:v>
                </c:pt>
                <c:pt idx="11">
                  <c:v>2.6262776961390051</c:v>
                </c:pt>
                <c:pt idx="12">
                  <c:v>2.6282383119020705</c:v>
                </c:pt>
                <c:pt idx="13">
                  <c:v>2.6301973440598259</c:v>
                </c:pt>
                <c:pt idx="14">
                  <c:v>2.6321559275036019</c:v>
                </c:pt>
                <c:pt idx="15">
                  <c:v>2.6341151942924901</c:v>
                </c:pt>
                <c:pt idx="16">
                  <c:v>2.6395974255947552</c:v>
                </c:pt>
                <c:pt idx="17">
                  <c:v>2.660606814037386</c:v>
                </c:pt>
                <c:pt idx="18">
                  <c:v>2.6931558376706297</c:v>
                </c:pt>
                <c:pt idx="19">
                  <c:v>2.7349641608155113</c:v>
                </c:pt>
                <c:pt idx="20">
                  <c:v>2.7854364913180429</c:v>
                </c:pt>
                <c:pt idx="21">
                  <c:v>2.8448205197832159</c:v>
                </c:pt>
                <c:pt idx="22">
                  <c:v>2.9138675949528512</c:v>
                </c:pt>
                <c:pt idx="23">
                  <c:v>2.9936409968322519</c:v>
                </c:pt>
                <c:pt idx="24">
                  <c:v>3.0834221158563011</c:v>
                </c:pt>
                <c:pt idx="25">
                  <c:v>-3.1040920714514457</c:v>
                </c:pt>
                <c:pt idx="26">
                  <c:v>-3.0041337298205697</c:v>
                </c:pt>
                <c:pt idx="27">
                  <c:v>-2.9017480730731764</c:v>
                </c:pt>
                <c:pt idx="28">
                  <c:v>-2.7990406390112428</c:v>
                </c:pt>
                <c:pt idx="29">
                  <c:v>-2.6922431552974011</c:v>
                </c:pt>
                <c:pt idx="30">
                  <c:v>-2.5669122127097119</c:v>
                </c:pt>
                <c:pt idx="31">
                  <c:v>-2.4521654451198147</c:v>
                </c:pt>
                <c:pt idx="32">
                  <c:v>-2.3497866151224907</c:v>
                </c:pt>
                <c:pt idx="33">
                  <c:v>-2.2603736963028687</c:v>
                </c:pt>
                <c:pt idx="34">
                  <c:v>-2.1837344685896083</c:v>
                </c:pt>
                <c:pt idx="35">
                  <c:v>-2.1192903768539226</c:v>
                </c:pt>
                <c:pt idx="36">
                  <c:v>-2.0663970707626751</c:v>
                </c:pt>
                <c:pt idx="37">
                  <c:v>-2.0245746810515142</c:v>
                </c:pt>
                <c:pt idx="38">
                  <c:v>-1.9936820601176879</c:v>
                </c:pt>
                <c:pt idx="39">
                  <c:v>-1.9740836529000063</c:v>
                </c:pt>
                <c:pt idx="40">
                  <c:v>-1.9661594082749816</c:v>
                </c:pt>
                <c:pt idx="41">
                  <c:v>-1.9613392306616542</c:v>
                </c:pt>
                <c:pt idx="42">
                  <c:v>-1.9566170764439577</c:v>
                </c:pt>
                <c:pt idx="43">
                  <c:v>-1.951982243440042</c:v>
                </c:pt>
                <c:pt idx="44">
                  <c:v>-1.9474246805178661</c:v>
                </c:pt>
                <c:pt idx="45">
                  <c:v>-1.942934883581845</c:v>
                </c:pt>
                <c:pt idx="46">
                  <c:v>-1.9385038023229866</c:v>
                </c:pt>
                <c:pt idx="47">
                  <c:v>-1.9341227543660517</c:v>
                </c:pt>
                <c:pt idx="48">
                  <c:v>-1.9297833455370286</c:v>
                </c:pt>
                <c:pt idx="49">
                  <c:v>-1.9254773936925014</c:v>
                </c:pt>
                <c:pt idx="50">
                  <c:v>-1.9211968559666666</c:v>
                </c:pt>
                <c:pt idx="51">
                  <c:v>-1.9169337567918578</c:v>
                </c:pt>
                <c:pt idx="52">
                  <c:v>-1.9126801151260528</c:v>
                </c:pt>
                <c:pt idx="53">
                  <c:v>-1.9084278709449438</c:v>
                </c:pt>
                <c:pt idx="54">
                  <c:v>-1.9041688068977796</c:v>
                </c:pt>
                <c:pt idx="55">
                  <c:v>-1.8998944656635708</c:v>
                </c:pt>
                <c:pt idx="56">
                  <c:v>-1.895596059280835</c:v>
                </c:pt>
                <c:pt idx="57">
                  <c:v>-1.891264368777549</c:v>
                </c:pt>
                <c:pt idx="58">
                  <c:v>-1.8868896313241301</c:v>
                </c:pt>
                <c:pt idx="59">
                  <c:v>-1.8824614107568136</c:v>
                </c:pt>
                <c:pt idx="60">
                  <c:v>-1.8779684476219132</c:v>
                </c:pt>
                <c:pt idx="61">
                  <c:v>-1.8733984830208716</c:v>
                </c:pt>
                <c:pt idx="62">
                  <c:v>-1.8687380499504282</c:v>
                </c:pt>
                <c:pt idx="63">
                  <c:v>-1.8639722215804977</c:v>
                </c:pt>
                <c:pt idx="64">
                  <c:v>-1.8590843070533167</c:v>
                </c:pt>
                <c:pt idx="65">
                  <c:v>-1.8541307028153815</c:v>
                </c:pt>
                <c:pt idx="66">
                  <c:v>-1.8492669847354488</c:v>
                </c:pt>
                <c:pt idx="67">
                  <c:v>-1.8444919755792748</c:v>
                </c:pt>
                <c:pt idx="68">
                  <c:v>-1.8397986343971291</c:v>
                </c:pt>
                <c:pt idx="69">
                  <c:v>-1.8351802839907463</c:v>
                </c:pt>
                <c:pt idx="70">
                  <c:v>-1.8306305680185013</c:v>
                </c:pt>
                <c:pt idx="71">
                  <c:v>-1.8261434107501731</c:v>
                </c:pt>
                <c:pt idx="72">
                  <c:v>-1.8217129796765346</c:v>
                </c:pt>
                <c:pt idx="73">
                  <c:v>-1.817333650114932</c:v>
                </c:pt>
                <c:pt idx="74">
                  <c:v>-1.8129999712483347</c:v>
                </c:pt>
                <c:pt idx="75">
                  <c:v>-1.8087066334536681</c:v>
                </c:pt>
                <c:pt idx="76">
                  <c:v>-1.8044484359958366</c:v>
                </c:pt>
                <c:pt idx="77">
                  <c:v>-1.8002202552175031</c:v>
                </c:pt>
                <c:pt idx="78">
                  <c:v>-1.7960170115034308</c:v>
                </c:pt>
                <c:pt idx="79">
                  <c:v>-1.7918336359259044</c:v>
                </c:pt>
                <c:pt idx="80">
                  <c:v>-1.7876650348254821</c:v>
                </c:pt>
                <c:pt idx="81">
                  <c:v>-1.7835060517821808</c:v>
                </c:pt>
                <c:pt idx="82">
                  <c:v>-1.779351426795865</c:v>
                </c:pt>
                <c:pt idx="83">
                  <c:v>-1.7751957496690904</c:v>
                </c:pt>
                <c:pt idx="84">
                  <c:v>-1.77103340886126</c:v>
                </c:pt>
                <c:pt idx="85">
                  <c:v>-1.7668585313741811</c:v>
                </c:pt>
                <c:pt idx="86">
                  <c:v>-1.7626649138301111</c:v>
                </c:pt>
                <c:pt idx="87">
                  <c:v>-1.7584459394329304</c:v>
                </c:pt>
                <c:pt idx="88">
                  <c:v>-1.7541944788086934</c:v>
                </c:pt>
                <c:pt idx="89">
                  <c:v>-1.7499027686868651</c:v>
                </c:pt>
                <c:pt idx="90">
                  <c:v>-1.7455622608649397</c:v>
                </c:pt>
                <c:pt idx="91">
                  <c:v>-1.7407489366651816</c:v>
                </c:pt>
                <c:pt idx="92">
                  <c:v>-1.7359937523237428</c:v>
                </c:pt>
                <c:pt idx="93">
                  <c:v>-1.7312907832304307</c:v>
                </c:pt>
                <c:pt idx="94">
                  <c:v>-1.7266343065744298</c:v>
                </c:pt>
                <c:pt idx="95">
                  <c:v>-1.7220187810812166</c:v>
                </c:pt>
                <c:pt idx="96">
                  <c:v>-1.7174388253242763</c:v>
                </c:pt>
                <c:pt idx="97">
                  <c:v>-1.7160744607605181</c:v>
                </c:pt>
                <c:pt idx="98">
                  <c:v>-1.7115891681567055</c:v>
                </c:pt>
                <c:pt idx="99">
                  <c:v>-1.7071231685892141</c:v>
                </c:pt>
                <c:pt idx="100">
                  <c:v>-1.7026715781896129</c:v>
                </c:pt>
                <c:pt idx="101">
                  <c:v>-1.6982295721005454</c:v>
                </c:pt>
                <c:pt idx="102">
                  <c:v>-1.6937923637275769</c:v>
                </c:pt>
                <c:pt idx="103">
                  <c:v>-1.689355185409418</c:v>
                </c:pt>
                <c:pt idx="104">
                  <c:v>-1.6849132673860103</c:v>
                </c:pt>
                <c:pt idx="105">
                  <c:v>-1.6804618176093551</c:v>
                </c:pt>
                <c:pt idx="106">
                  <c:v>-1.6759959999885894</c:v>
                </c:pt>
                <c:pt idx="107">
                  <c:v>-1.6715109126972503</c:v>
                </c:pt>
                <c:pt idx="108">
                  <c:v>-1.6670015650478396</c:v>
                </c:pt>
                <c:pt idx="109">
                  <c:v>-1.6624628534586459</c:v>
                </c:pt>
                <c:pt idx="110">
                  <c:v>-1.6578895360392123</c:v>
                </c:pt>
                <c:pt idx="111">
                  <c:v>-1.6532762052091612</c:v>
                </c:pt>
                <c:pt idx="112">
                  <c:v>-1.6486578073800473</c:v>
                </c:pt>
                <c:pt idx="113">
                  <c:v>-1.6443077321795612</c:v>
                </c:pt>
                <c:pt idx="114">
                  <c:v>-1.6402468898066436</c:v>
                </c:pt>
                <c:pt idx="115">
                  <c:v>-1.6364423055830994</c:v>
                </c:pt>
                <c:pt idx="116">
                  <c:v>-1.6328657857718847</c:v>
                </c:pt>
                <c:pt idx="117">
                  <c:v>-1.6294930683207585</c:v>
                </c:pt>
                <c:pt idx="118">
                  <c:v>-1.6263031483373975</c:v>
                </c:pt>
                <c:pt idx="119">
                  <c:v>-1.6232777384101893</c:v>
                </c:pt>
                <c:pt idx="120">
                  <c:v>-1.620400832193067</c:v>
                </c:pt>
                <c:pt idx="121">
                  <c:v>-1.6176583495015022</c:v>
                </c:pt>
                <c:pt idx="122">
                  <c:v>-1.6150378455847416</c:v>
                </c:pt>
                <c:pt idx="123">
                  <c:v>-1.6125282708955699</c:v>
                </c:pt>
                <c:pt idx="124">
                  <c:v>-1.6101197717542377</c:v>
                </c:pt>
                <c:pt idx="125">
                  <c:v>-1.6078035236734434</c:v>
                </c:pt>
                <c:pt idx="126">
                  <c:v>-1.60557159123464</c:v>
                </c:pt>
                <c:pt idx="127">
                  <c:v>-1.6034168097289625</c:v>
                </c:pt>
                <c:pt idx="128">
                  <c:v>-1.6013326844025064</c:v>
                </c:pt>
                <c:pt idx="129">
                  <c:v>-1.5993133044717034</c:v>
                </c:pt>
                <c:pt idx="130">
                  <c:v>-1.5973532689995233</c:v>
                </c:pt>
                <c:pt idx="131">
                  <c:v>-1.5954476232554311</c:v>
                </c:pt>
                <c:pt idx="132">
                  <c:v>-1.593591802870054</c:v>
                </c:pt>
                <c:pt idx="133">
                  <c:v>-1.5915075154632601</c:v>
                </c:pt>
                <c:pt idx="134">
                  <c:v>-1.5893005634660691</c:v>
                </c:pt>
                <c:pt idx="135">
                  <c:v>-1.5871666419928749</c:v>
                </c:pt>
                <c:pt idx="136">
                  <c:v>-1.5851005308547395</c:v>
                </c:pt>
                <c:pt idx="137">
                  <c:v>-1.583097394473215</c:v>
                </c:pt>
                <c:pt idx="138">
                  <c:v>-1.5811527380861485</c:v>
                </c:pt>
                <c:pt idx="139">
                  <c:v>-1.5792623678647368</c:v>
                </c:pt>
                <c:pt idx="140">
                  <c:v>-1.5774223553137552</c:v>
                </c:pt>
                <c:pt idx="141">
                  <c:v>-1.5756290044086523</c:v>
                </c:pt>
                <c:pt idx="142">
                  <c:v>-1.5738788212438031</c:v>
                </c:pt>
                <c:pt idx="143">
                  <c:v>-1.5721684860136984</c:v>
                </c:pt>
                <c:pt idx="144">
                  <c:v>-1.5704948258870255</c:v>
                </c:pt>
                <c:pt idx="145">
                  <c:v>-1.5688547893669189</c:v>
                </c:pt>
                <c:pt idx="146">
                  <c:v>-1.5672454207087432</c:v>
                </c:pt>
                <c:pt idx="147">
                  <c:v>-1.5656638345717031</c:v>
                </c:pt>
                <c:pt idx="148">
                  <c:v>-1.5641071896530778</c:v>
                </c:pt>
                <c:pt idx="149">
                  <c:v>-1.5625726615615165</c:v>
                </c:pt>
                <c:pt idx="150">
                  <c:v>-1.5610574131137578</c:v>
                </c:pt>
                <c:pt idx="151">
                  <c:v>-1.5595585619645478</c:v>
                </c:pt>
                <c:pt idx="152">
                  <c:v>-1.5580731443722373</c:v>
                </c:pt>
                <c:pt idx="153">
                  <c:v>-1.5565980729082922</c:v>
                </c:pt>
                <c:pt idx="154">
                  <c:v>-1.5551300877876153</c:v>
                </c:pt>
                <c:pt idx="155">
                  <c:v>-1.5536656979614174</c:v>
                </c:pt>
                <c:pt idx="156">
                  <c:v>-1.5522011100897866</c:v>
                </c:pt>
                <c:pt idx="157">
                  <c:v>-1.550732140454437</c:v>
                </c:pt>
                <c:pt idx="158">
                  <c:v>-1.5492541046366095</c:v>
                </c:pt>
                <c:pt idx="159">
                  <c:v>-1.5477616776430894</c:v>
                </c:pt>
                <c:pt idx="160">
                  <c:v>-1.5462487120044406</c:v>
                </c:pt>
                <c:pt idx="161">
                  <c:v>-1.5447080005279197</c:v>
                </c:pt>
                <c:pt idx="162">
                  <c:v>-1.5431309586796598</c:v>
                </c:pt>
                <c:pt idx="163">
                  <c:v>-1.5415071950107142</c:v>
                </c:pt>
                <c:pt idx="164">
                  <c:v>-1.5398239165081666</c:v>
                </c:pt>
                <c:pt idx="165">
                  <c:v>-1.5380650908804037</c:v>
                </c:pt>
                <c:pt idx="166">
                  <c:v>-1.5362102371589732</c:v>
                </c:pt>
                <c:pt idx="167">
                  <c:v>-1.5342326340953982</c:v>
                </c:pt>
                <c:pt idx="168">
                  <c:v>-1.5320965866525929</c:v>
                </c:pt>
                <c:pt idx="169">
                  <c:v>-1.5297531052289646</c:v>
                </c:pt>
                <c:pt idx="170">
                  <c:v>-1.5271327905616301</c:v>
                </c:pt>
                <c:pt idx="171">
                  <c:v>-1.5241335225812809</c:v>
                </c:pt>
                <c:pt idx="172">
                  <c:v>-1.5203883288460116</c:v>
                </c:pt>
                <c:pt idx="173">
                  <c:v>-1.5172061507571986</c:v>
                </c:pt>
                <c:pt idx="174">
                  <c:v>-1.5115892430949525</c:v>
                </c:pt>
                <c:pt idx="175">
                  <c:v>-1.5038673766309525</c:v>
                </c:pt>
                <c:pt idx="176">
                  <c:v>-1.4920159397758535</c:v>
                </c:pt>
                <c:pt idx="177">
                  <c:v>-1.4699572144976121</c:v>
                </c:pt>
                <c:pt idx="178">
                  <c:v>-1.4131873522037322</c:v>
                </c:pt>
                <c:pt idx="179">
                  <c:v>-1.2667914920861556</c:v>
                </c:pt>
                <c:pt idx="180">
                  <c:v>-1.6106031277546919E-10</c:v>
                </c:pt>
                <c:pt idx="181">
                  <c:v>1.2667914919163241</c:v>
                </c:pt>
                <c:pt idx="182">
                  <c:v>1.4131873522494904</c:v>
                </c:pt>
                <c:pt idx="183">
                  <c:v>1.4699572143824726</c:v>
                </c:pt>
                <c:pt idx="184">
                  <c:v>1.4920159398237278</c:v>
                </c:pt>
                <c:pt idx="185">
                  <c:v>1.5038673766114006</c:v>
                </c:pt>
                <c:pt idx="186">
                  <c:v>1.5115892430389255</c:v>
                </c:pt>
                <c:pt idx="187">
                  <c:v>1.5172061507449426</c:v>
                </c:pt>
                <c:pt idx="188">
                  <c:v>1.5203883288559372</c:v>
                </c:pt>
                <c:pt idx="189">
                  <c:v>1.524133522586099</c:v>
                </c:pt>
                <c:pt idx="190">
                  <c:v>1.5271327906537699</c:v>
                </c:pt>
                <c:pt idx="191">
                  <c:v>1.5297531052368278</c:v>
                </c:pt>
                <c:pt idx="192">
                  <c:v>1.532096586732931</c:v>
                </c:pt>
                <c:pt idx="193">
                  <c:v>1.534232634056409</c:v>
                </c:pt>
                <c:pt idx="194">
                  <c:v>1.5362102371679482</c:v>
                </c:pt>
                <c:pt idx="195">
                  <c:v>1.5380650908534286</c:v>
                </c:pt>
                <c:pt idx="196">
                  <c:v>1.5398239165063121</c:v>
                </c:pt>
                <c:pt idx="197">
                  <c:v>1.5415071950280079</c:v>
                </c:pt>
                <c:pt idx="198">
                  <c:v>1.543130958734372</c:v>
                </c:pt>
                <c:pt idx="199">
                  <c:v>1.5447080005652287</c:v>
                </c:pt>
                <c:pt idx="200">
                  <c:v>1.5462487120697186</c:v>
                </c:pt>
                <c:pt idx="201">
                  <c:v>1.5477616776537646</c:v>
                </c:pt>
                <c:pt idx="202">
                  <c:v>1.549254104640067</c:v>
                </c:pt>
                <c:pt idx="203">
                  <c:v>1.5507321404267942</c:v>
                </c:pt>
                <c:pt idx="204">
                  <c:v>1.552201110107609</c:v>
                </c:pt>
                <c:pt idx="205">
                  <c:v>1.5536656979668024</c:v>
                </c:pt>
                <c:pt idx="206">
                  <c:v>1.5551300877494467</c:v>
                </c:pt>
                <c:pt idx="207">
                  <c:v>1.5565980728717281</c:v>
                </c:pt>
                <c:pt idx="208">
                  <c:v>1.5580731443661215</c:v>
                </c:pt>
                <c:pt idx="209">
                  <c:v>1.5595585619933097</c:v>
                </c:pt>
                <c:pt idx="210">
                  <c:v>1.5610574131382131</c:v>
                </c:pt>
                <c:pt idx="211">
                  <c:v>1.562572661564916</c:v>
                </c:pt>
                <c:pt idx="212">
                  <c:v>1.5641071896703571</c:v>
                </c:pt>
                <c:pt idx="213">
                  <c:v>1.5656638345766061</c:v>
                </c:pt>
                <c:pt idx="214">
                  <c:v>1.5672454207360031</c:v>
                </c:pt>
                <c:pt idx="215">
                  <c:v>1.568854789335417</c:v>
                </c:pt>
                <c:pt idx="216">
                  <c:v>1.5704948258785123</c:v>
                </c:pt>
                <c:pt idx="217">
                  <c:v>1.5721684859915761</c:v>
                </c:pt>
                <c:pt idx="218">
                  <c:v>1.5738788212193346</c:v>
                </c:pt>
                <c:pt idx="219">
                  <c:v>1.5756290043920906</c:v>
                </c:pt>
                <c:pt idx="220">
                  <c:v>1.5774223553142497</c:v>
                </c:pt>
                <c:pt idx="221">
                  <c:v>1.5792623678666624</c:v>
                </c:pt>
                <c:pt idx="222">
                  <c:v>1.581152738047741</c:v>
                </c:pt>
                <c:pt idx="223">
                  <c:v>1.5830973944721396</c:v>
                </c:pt>
                <c:pt idx="224">
                  <c:v>1.5851005308409565</c:v>
                </c:pt>
                <c:pt idx="225">
                  <c:v>1.5871666420491133</c:v>
                </c:pt>
                <c:pt idx="226">
                  <c:v>1.5893005634972635</c:v>
                </c:pt>
                <c:pt idx="227">
                  <c:v>1.5915075154617184</c:v>
                </c:pt>
                <c:pt idx="228">
                  <c:v>1.5935918028888714</c:v>
                </c:pt>
                <c:pt idx="229">
                  <c:v>1.5954476232725257</c:v>
                </c:pt>
                <c:pt idx="230">
                  <c:v>1.5973532690348311</c:v>
                </c:pt>
                <c:pt idx="231">
                  <c:v>1.5993133044374923</c:v>
                </c:pt>
                <c:pt idx="232">
                  <c:v>1.6013326844251738</c:v>
                </c:pt>
                <c:pt idx="233">
                  <c:v>1.6034168097675412</c:v>
                </c:pt>
                <c:pt idx="234">
                  <c:v>1.6055715912411324</c:v>
                </c:pt>
                <c:pt idx="235">
                  <c:v>1.6078035236706882</c:v>
                </c:pt>
                <c:pt idx="236">
                  <c:v>1.6101197717724982</c:v>
                </c:pt>
                <c:pt idx="237">
                  <c:v>1.6125282708826461</c:v>
                </c:pt>
                <c:pt idx="238">
                  <c:v>1.615037845562546</c:v>
                </c:pt>
                <c:pt idx="239">
                  <c:v>1.6176583494964571</c:v>
                </c:pt>
                <c:pt idx="240">
                  <c:v>1.620400832196299</c:v>
                </c:pt>
                <c:pt idx="241">
                  <c:v>1.6232777384302586</c:v>
                </c:pt>
                <c:pt idx="242">
                  <c:v>1.6263031483374417</c:v>
                </c:pt>
                <c:pt idx="243">
                  <c:v>1.6294930682989446</c:v>
                </c:pt>
                <c:pt idx="244">
                  <c:v>1.6328657858091189</c:v>
                </c:pt>
                <c:pt idx="245">
                  <c:v>1.636442305599128</c:v>
                </c:pt>
                <c:pt idx="246">
                  <c:v>1.6402468898272096</c:v>
                </c:pt>
                <c:pt idx="247">
                  <c:v>1.6443077321970043</c:v>
                </c:pt>
                <c:pt idx="248">
                  <c:v>1.6486578073715383</c:v>
                </c:pt>
                <c:pt idx="249">
                  <c:v>1.6533359513558141</c:v>
                </c:pt>
                <c:pt idx="250">
                  <c:v>1.6583882495304125</c:v>
                </c:pt>
                <c:pt idx="251">
                  <c:v>1.6638698408138217</c:v>
                </c:pt>
                <c:pt idx="252">
                  <c:v>1.6698472911610451</c:v>
                </c:pt>
                <c:pt idx="253">
                  <c:v>1.6764017587376661</c:v>
                </c:pt>
                <c:pt idx="254">
                  <c:v>1.6836332783713404</c:v>
                </c:pt>
                <c:pt idx="255">
                  <c:v>1.6916666563577782</c:v>
                </c:pt>
                <c:pt idx="256">
                  <c:v>1.7006597320667716</c:v>
                </c:pt>
                <c:pt idx="257">
                  <c:v>1.7108151951512105</c:v>
                </c:pt>
                <c:pt idx="258">
                  <c:v>1.7223978856675226</c:v>
                </c:pt>
                <c:pt idx="259">
                  <c:v>1.7357607930298187</c:v>
                </c:pt>
                <c:pt idx="260">
                  <c:v>1.745223997052193</c:v>
                </c:pt>
                <c:pt idx="261">
                  <c:v>1.7633988760803894</c:v>
                </c:pt>
                <c:pt idx="262">
                  <c:v>1.7854311813621628</c:v>
                </c:pt>
                <c:pt idx="263">
                  <c:v>1.8127741920209952</c:v>
                </c:pt>
                <c:pt idx="264">
                  <c:v>1.8466621377678887</c:v>
                </c:pt>
                <c:pt idx="265">
                  <c:v>1.8818577915183363</c:v>
                </c:pt>
                <c:pt idx="266">
                  <c:v>1.9171999725678013</c:v>
                </c:pt>
                <c:pt idx="267">
                  <c:v>1.9527464214293762</c:v>
                </c:pt>
                <c:pt idx="268">
                  <c:v>1.9885461276845358</c:v>
                </c:pt>
                <c:pt idx="269">
                  <c:v>2.0246348728366224</c:v>
                </c:pt>
                <c:pt idx="270">
                  <c:v>2.0610301362249599</c:v>
                </c:pt>
                <c:pt idx="271">
                  <c:v>2.0820316327568813</c:v>
                </c:pt>
                <c:pt idx="272">
                  <c:v>2.1027125466000212</c:v>
                </c:pt>
                <c:pt idx="273">
                  <c:v>2.1231135564207442</c:v>
                </c:pt>
                <c:pt idx="274">
                  <c:v>2.1432702586611314</c:v>
                </c:pt>
                <c:pt idx="275">
                  <c:v>2.163214452117848</c:v>
                </c:pt>
                <c:pt idx="276">
                  <c:v>2.182975020638616</c:v>
                </c:pt>
                <c:pt idx="277">
                  <c:v>2.2025785612473658</c:v>
                </c:pt>
                <c:pt idx="278">
                  <c:v>2.2220498448425596</c:v>
                </c:pt>
                <c:pt idx="279">
                  <c:v>2.2401126239765299</c:v>
                </c:pt>
                <c:pt idx="280">
                  <c:v>2.2558660366268133</c:v>
                </c:pt>
                <c:pt idx="281">
                  <c:v>2.2699112936601917</c:v>
                </c:pt>
                <c:pt idx="282">
                  <c:v>2.2826496038154818</c:v>
                </c:pt>
                <c:pt idx="283">
                  <c:v>2.2943600227339989</c:v>
                </c:pt>
                <c:pt idx="284">
                  <c:v>2.3052437486817707</c:v>
                </c:pt>
                <c:pt idx="285">
                  <c:v>2.3154503225488869</c:v>
                </c:pt>
                <c:pt idx="286">
                  <c:v>2.3250938283865841</c:v>
                </c:pt>
                <c:pt idx="287">
                  <c:v>2.334263296443412</c:v>
                </c:pt>
                <c:pt idx="288">
                  <c:v>2.3430296047365782</c:v>
                </c:pt>
                <c:pt idx="289">
                  <c:v>2.351450189361544</c:v>
                </c:pt>
                <c:pt idx="290">
                  <c:v>2.3595723409113916</c:v>
                </c:pt>
                <c:pt idx="291">
                  <c:v>2.3674355632175699</c:v>
                </c:pt>
                <c:pt idx="292">
                  <c:v>2.3750732951987636</c:v>
                </c:pt>
                <c:pt idx="293">
                  <c:v>2.3825141906883518</c:v>
                </c:pt>
                <c:pt idx="294">
                  <c:v>2.389783085439805</c:v>
                </c:pt>
                <c:pt idx="295">
                  <c:v>2.3969017390642735</c:v>
                </c:pt>
                <c:pt idx="296">
                  <c:v>2.4038894122177883</c:v>
                </c:pt>
                <c:pt idx="297">
                  <c:v>2.4107633217398461</c:v>
                </c:pt>
                <c:pt idx="298">
                  <c:v>2.4153693723169218</c:v>
                </c:pt>
                <c:pt idx="299">
                  <c:v>2.4193874626438294</c:v>
                </c:pt>
                <c:pt idx="300">
                  <c:v>2.423289395720464</c:v>
                </c:pt>
                <c:pt idx="301">
                  <c:v>2.4270877101737525</c:v>
                </c:pt>
                <c:pt idx="302">
                  <c:v>2.4307936983349707</c:v>
                </c:pt>
                <c:pt idx="303">
                  <c:v>2.4344175957491392</c:v>
                </c:pt>
                <c:pt idx="304">
                  <c:v>2.4379687400813954</c:v>
                </c:pt>
                <c:pt idx="305">
                  <c:v>2.4414557056317268</c:v>
                </c:pt>
                <c:pt idx="306">
                  <c:v>2.4448864179540069</c:v>
                </c:pt>
                <c:pt idx="307">
                  <c:v>2.4482682525281936</c:v>
                </c:pt>
                <c:pt idx="308">
                  <c:v>2.4516081204399249</c:v>
                </c:pt>
                <c:pt idx="309">
                  <c:v>2.454912543495003</c:v>
                </c:pt>
                <c:pt idx="310">
                  <c:v>2.4581877209702867</c:v>
                </c:pt>
                <c:pt idx="311">
                  <c:v>2.4614395892917553</c:v>
                </c:pt>
                <c:pt idx="312">
                  <c:v>2.4646738765333724</c:v>
                </c:pt>
                <c:pt idx="313">
                  <c:v>2.4678961525098404</c:v>
                </c:pt>
                <c:pt idx="314">
                  <c:v>2.4711118757717463</c:v>
                </c:pt>
                <c:pt idx="315">
                  <c:v>2.47432643837129</c:v>
                </c:pt>
                <c:pt idx="316">
                  <c:v>2.4775452091857564</c:v>
                </c:pt>
                <c:pt idx="317">
                  <c:v>2.4807735767862393</c:v>
                </c:pt>
                <c:pt idx="318">
                  <c:v>2.4840169923523989</c:v>
                </c:pt>
                <c:pt idx="319">
                  <c:v>2.4872810138485399</c:v>
                </c:pt>
                <c:pt idx="320">
                  <c:v>2.4905713517700621</c:v>
                </c:pt>
                <c:pt idx="321">
                  <c:v>2.4938939177934918</c:v>
                </c:pt>
                <c:pt idx="322">
                  <c:v>2.4972548771041279</c:v>
                </c:pt>
                <c:pt idx="323">
                  <c:v>2.5006607053593828</c:v>
                </c:pt>
                <c:pt idx="324">
                  <c:v>2.5041182519683618</c:v>
                </c:pt>
                <c:pt idx="325">
                  <c:v>2.5076348105788648</c:v>
                </c:pt>
                <c:pt idx="326">
                  <c:v>2.5112181992131921</c:v>
                </c:pt>
                <c:pt idx="327">
                  <c:v>2.5148768514811928</c:v>
                </c:pt>
                <c:pt idx="328">
                  <c:v>2.5186199220968826</c:v>
                </c:pt>
                <c:pt idx="329">
                  <c:v>2.5223889773100527</c:v>
                </c:pt>
                <c:pt idx="330">
                  <c:v>2.5260435020624508</c:v>
                </c:pt>
                <c:pt idx="331">
                  <c:v>2.5295858323102296</c:v>
                </c:pt>
                <c:pt idx="332">
                  <c:v>2.5330229836899605</c:v>
                </c:pt>
                <c:pt idx="333">
                  <c:v>2.5363614505113494</c:v>
                </c:pt>
                <c:pt idx="334">
                  <c:v>2.5396072546771502</c:v>
                </c:pt>
                <c:pt idx="335">
                  <c:v>2.5427659894540064</c:v>
                </c:pt>
                <c:pt idx="336">
                  <c:v>2.5458428584408845</c:v>
                </c:pt>
                <c:pt idx="337">
                  <c:v>2.54884271052115</c:v>
                </c:pt>
                <c:pt idx="338">
                  <c:v>2.5517700711976743</c:v>
                </c:pt>
                <c:pt idx="339">
                  <c:v>2.5546291708141569</c:v>
                </c:pt>
                <c:pt idx="340">
                  <c:v>2.5574239698534331</c:v>
                </c:pt>
                <c:pt idx="341">
                  <c:v>2.5601581818916852</c:v>
                </c:pt>
                <c:pt idx="342">
                  <c:v>2.5628352942674382</c:v>
                </c:pt>
                <c:pt idx="343">
                  <c:v>2.5654585868691773</c:v>
                </c:pt>
                <c:pt idx="344">
                  <c:v>2.5680311490940997</c:v>
                </c:pt>
                <c:pt idx="345">
                  <c:v>2.5705558953322885</c:v>
                </c:pt>
                <c:pt idx="346">
                  <c:v>2.5730355791012789</c:v>
                </c:pt>
                <c:pt idx="347">
                  <c:v>2.5754728058262617</c:v>
                </c:pt>
                <c:pt idx="348">
                  <c:v>2.5778700445825726</c:v>
                </c:pt>
                <c:pt idx="349">
                  <c:v>2.5802296388690928</c:v>
                </c:pt>
                <c:pt idx="350">
                  <c:v>2.5825538165036912</c:v>
                </c:pt>
                <c:pt idx="351">
                  <c:v>2.5848446986001581</c:v>
                </c:pt>
                <c:pt idx="352">
                  <c:v>2.5871043079815594</c:v>
                </c:pt>
                <c:pt idx="353">
                  <c:v>2.5893345768066296</c:v>
                </c:pt>
                <c:pt idx="354">
                  <c:v>2.591537353734529</c:v>
                </c:pt>
                <c:pt idx="355">
                  <c:v>2.5937144104741781</c:v>
                </c:pt>
                <c:pt idx="356">
                  <c:v>2.5958674479107762</c:v>
                </c:pt>
                <c:pt idx="357">
                  <c:v>2.5979981017613323</c:v>
                </c:pt>
                <c:pt idx="358">
                  <c:v>2.6001079478426017</c:v>
                </c:pt>
                <c:pt idx="359">
                  <c:v>2.6021985071021811</c:v>
                </c:pt>
                <c:pt idx="360">
                  <c:v>2.6042712501206933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3.5711928900154444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3.1415926535575904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+/- pi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3.1415926535897931</c:v>
                </c:pt>
                <c:pt idx="1">
                  <c:v>-3.1415926535897931</c:v>
                </c:pt>
                <c:pt idx="2">
                  <c:v>-3.1415926535897931</c:v>
                </c:pt>
                <c:pt idx="3">
                  <c:v>3.1415926535897931</c:v>
                </c:pt>
                <c:pt idx="4">
                  <c:v>3.1415926535897931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phase_2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L_Section_Capacity!$BA$2:$BA$182</c:f>
              <c:numCache>
                <c:formatCode>General</c:formatCode>
                <c:ptCount val="181"/>
                <c:pt idx="0">
                  <c:v>2.6042712501206964</c:v>
                </c:pt>
                <c:pt idx="1">
                  <c:v>2.6063276015759103</c:v>
                </c:pt>
                <c:pt idx="2">
                  <c:v>2.6083689442079514</c:v>
                </c:pt>
                <c:pt idx="3">
                  <c:v>2.6103966227650242</c:v>
                </c:pt>
                <c:pt idx="4">
                  <c:v>2.612411947632622</c:v>
                </c:pt>
                <c:pt idx="5">
                  <c:v>2.6144161982154284</c:v>
                </c:pt>
                <c:pt idx="6">
                  <c:v>2.6164106263633338</c:v>
                </c:pt>
                <c:pt idx="7">
                  <c:v>2.6183964593851998</c:v>
                </c:pt>
                <c:pt idx="8">
                  <c:v>2.6203749031844179</c:v>
                </c:pt>
                <c:pt idx="9">
                  <c:v>2.6223471450495084</c:v>
                </c:pt>
                <c:pt idx="10">
                  <c:v>2.6243143565470395</c:v>
                </c:pt>
                <c:pt idx="11">
                  <c:v>2.6262776961390051</c:v>
                </c:pt>
                <c:pt idx="12">
                  <c:v>2.6282383119020705</c:v>
                </c:pt>
                <c:pt idx="13">
                  <c:v>2.6301973440598259</c:v>
                </c:pt>
                <c:pt idx="14">
                  <c:v>2.6321559275036019</c:v>
                </c:pt>
                <c:pt idx="15">
                  <c:v>2.6341151942924901</c:v>
                </c:pt>
                <c:pt idx="16">
                  <c:v>2.6395974255947552</c:v>
                </c:pt>
                <c:pt idx="17">
                  <c:v>2.660606814037386</c:v>
                </c:pt>
                <c:pt idx="18">
                  <c:v>2.6931558376706297</c:v>
                </c:pt>
                <c:pt idx="19">
                  <c:v>2.7349641608155113</c:v>
                </c:pt>
                <c:pt idx="20">
                  <c:v>2.7854364913180429</c:v>
                </c:pt>
                <c:pt idx="21">
                  <c:v>2.8448205197832159</c:v>
                </c:pt>
                <c:pt idx="22">
                  <c:v>2.9138675949528512</c:v>
                </c:pt>
                <c:pt idx="23">
                  <c:v>2.9936409968322519</c:v>
                </c:pt>
                <c:pt idx="24">
                  <c:v>3.0834221158563011</c:v>
                </c:pt>
                <c:pt idx="25">
                  <c:v>-3.1040920714514457</c:v>
                </c:pt>
                <c:pt idx="26">
                  <c:v>-3.0041337298205697</c:v>
                </c:pt>
                <c:pt idx="27">
                  <c:v>-2.9017480730731764</c:v>
                </c:pt>
                <c:pt idx="28">
                  <c:v>-2.7990406390112428</c:v>
                </c:pt>
                <c:pt idx="29">
                  <c:v>-2.6922431552974011</c:v>
                </c:pt>
                <c:pt idx="30">
                  <c:v>-2.5669122127097119</c:v>
                </c:pt>
                <c:pt idx="31">
                  <c:v>-2.4521654451198147</c:v>
                </c:pt>
                <c:pt idx="32">
                  <c:v>-2.3497866151224907</c:v>
                </c:pt>
                <c:pt idx="33">
                  <c:v>-2.2603736963028687</c:v>
                </c:pt>
                <c:pt idx="34">
                  <c:v>-2.1837344685896083</c:v>
                </c:pt>
                <c:pt idx="35">
                  <c:v>-2.1192903768539226</c:v>
                </c:pt>
                <c:pt idx="36">
                  <c:v>-2.0663970707626751</c:v>
                </c:pt>
                <c:pt idx="37">
                  <c:v>-2.0245746810515142</c:v>
                </c:pt>
                <c:pt idx="38">
                  <c:v>-1.9936820601176879</c:v>
                </c:pt>
                <c:pt idx="39">
                  <c:v>-1.9740836529000063</c:v>
                </c:pt>
                <c:pt idx="40">
                  <c:v>-1.9661594082749816</c:v>
                </c:pt>
                <c:pt idx="41">
                  <c:v>-1.9613392306616542</c:v>
                </c:pt>
                <c:pt idx="42">
                  <c:v>-1.9566170764439577</c:v>
                </c:pt>
                <c:pt idx="43">
                  <c:v>-1.951982243440042</c:v>
                </c:pt>
                <c:pt idx="44">
                  <c:v>-1.9474246805178661</c:v>
                </c:pt>
                <c:pt idx="45">
                  <c:v>-1.942934883581845</c:v>
                </c:pt>
                <c:pt idx="46">
                  <c:v>-1.9385038023229866</c:v>
                </c:pt>
                <c:pt idx="47">
                  <c:v>-1.9341227543660517</c:v>
                </c:pt>
                <c:pt idx="48">
                  <c:v>-1.9297833455370286</c:v>
                </c:pt>
                <c:pt idx="49">
                  <c:v>-1.9254773936925014</c:v>
                </c:pt>
                <c:pt idx="50">
                  <c:v>-1.9211968559666666</c:v>
                </c:pt>
                <c:pt idx="51">
                  <c:v>-1.9169337567918578</c:v>
                </c:pt>
                <c:pt idx="52">
                  <c:v>-1.9126801151260528</c:v>
                </c:pt>
                <c:pt idx="53">
                  <c:v>-1.9084278709449438</c:v>
                </c:pt>
                <c:pt idx="54">
                  <c:v>-1.9041688068977796</c:v>
                </c:pt>
                <c:pt idx="55">
                  <c:v>-1.8998944656635708</c:v>
                </c:pt>
                <c:pt idx="56">
                  <c:v>-1.895596059280835</c:v>
                </c:pt>
                <c:pt idx="57">
                  <c:v>-1.891264368777549</c:v>
                </c:pt>
                <c:pt idx="58">
                  <c:v>-1.8868896313241301</c:v>
                </c:pt>
                <c:pt idx="59">
                  <c:v>-1.8824614107568136</c:v>
                </c:pt>
                <c:pt idx="60">
                  <c:v>-1.8779684476219132</c:v>
                </c:pt>
                <c:pt idx="61">
                  <c:v>-1.8733984830208716</c:v>
                </c:pt>
                <c:pt idx="62">
                  <c:v>-1.8687380499504282</c:v>
                </c:pt>
                <c:pt idx="63">
                  <c:v>-1.8639722215804977</c:v>
                </c:pt>
                <c:pt idx="64">
                  <c:v>-1.8590843070533167</c:v>
                </c:pt>
                <c:pt idx="65">
                  <c:v>-1.8541307028153815</c:v>
                </c:pt>
                <c:pt idx="66">
                  <c:v>-1.8492669847354488</c:v>
                </c:pt>
                <c:pt idx="67">
                  <c:v>-1.8444919755792748</c:v>
                </c:pt>
                <c:pt idx="68">
                  <c:v>-1.8397986343971291</c:v>
                </c:pt>
                <c:pt idx="69">
                  <c:v>-1.8351802839907463</c:v>
                </c:pt>
                <c:pt idx="70">
                  <c:v>-1.8306305680185013</c:v>
                </c:pt>
                <c:pt idx="71">
                  <c:v>-1.8261434107501731</c:v>
                </c:pt>
                <c:pt idx="72">
                  <c:v>-1.8217129796765346</c:v>
                </c:pt>
                <c:pt idx="73">
                  <c:v>-1.817333650114932</c:v>
                </c:pt>
                <c:pt idx="74">
                  <c:v>-1.8129999712483347</c:v>
                </c:pt>
                <c:pt idx="75">
                  <c:v>-1.8087066334536681</c:v>
                </c:pt>
                <c:pt idx="76">
                  <c:v>-1.8044484359958366</c:v>
                </c:pt>
                <c:pt idx="77">
                  <c:v>-1.8002202552175031</c:v>
                </c:pt>
                <c:pt idx="78">
                  <c:v>-1.7960170115034308</c:v>
                </c:pt>
                <c:pt idx="79">
                  <c:v>-1.7918336359259044</c:v>
                </c:pt>
                <c:pt idx="80">
                  <c:v>-1.7876650348254821</c:v>
                </c:pt>
                <c:pt idx="81">
                  <c:v>-1.7835060517821808</c:v>
                </c:pt>
                <c:pt idx="82">
                  <c:v>-1.779351426795865</c:v>
                </c:pt>
                <c:pt idx="83">
                  <c:v>-1.7751957496690904</c:v>
                </c:pt>
                <c:pt idx="84">
                  <c:v>-1.77103340886126</c:v>
                </c:pt>
                <c:pt idx="85">
                  <c:v>-1.7668585313741811</c:v>
                </c:pt>
                <c:pt idx="86">
                  <c:v>-1.7626649138301111</c:v>
                </c:pt>
                <c:pt idx="87">
                  <c:v>-1.7584459394329304</c:v>
                </c:pt>
                <c:pt idx="88">
                  <c:v>-1.7541944788086934</c:v>
                </c:pt>
                <c:pt idx="89">
                  <c:v>-1.7499027686868651</c:v>
                </c:pt>
                <c:pt idx="90">
                  <c:v>-1.7455622608649397</c:v>
                </c:pt>
                <c:pt idx="91">
                  <c:v>-1.7407489366651816</c:v>
                </c:pt>
                <c:pt idx="92">
                  <c:v>-1.7359937523237428</c:v>
                </c:pt>
                <c:pt idx="93">
                  <c:v>-1.7312907832304307</c:v>
                </c:pt>
                <c:pt idx="94">
                  <c:v>-1.7266343065744298</c:v>
                </c:pt>
                <c:pt idx="95">
                  <c:v>-1.7220187810812166</c:v>
                </c:pt>
                <c:pt idx="96">
                  <c:v>-1.7174388253242763</c:v>
                </c:pt>
                <c:pt idx="97">
                  <c:v>-1.7160744607605181</c:v>
                </c:pt>
                <c:pt idx="98">
                  <c:v>-1.7115891681567055</c:v>
                </c:pt>
                <c:pt idx="99">
                  <c:v>-1.7071231685892141</c:v>
                </c:pt>
                <c:pt idx="100">
                  <c:v>-1.7026715781896129</c:v>
                </c:pt>
                <c:pt idx="101">
                  <c:v>-1.6982295721005454</c:v>
                </c:pt>
                <c:pt idx="102">
                  <c:v>-1.6937923637275769</c:v>
                </c:pt>
                <c:pt idx="103">
                  <c:v>-1.689355185409418</c:v>
                </c:pt>
                <c:pt idx="104">
                  <c:v>-1.6849132673860103</c:v>
                </c:pt>
                <c:pt idx="105">
                  <c:v>-1.6804618176093551</c:v>
                </c:pt>
                <c:pt idx="106">
                  <c:v>-1.6759959999885894</c:v>
                </c:pt>
                <c:pt idx="107">
                  <c:v>-1.6715109126972503</c:v>
                </c:pt>
                <c:pt idx="108">
                  <c:v>-1.6670015650478396</c:v>
                </c:pt>
                <c:pt idx="109">
                  <c:v>-1.6624628534586459</c:v>
                </c:pt>
                <c:pt idx="110">
                  <c:v>-1.6578895360392123</c:v>
                </c:pt>
                <c:pt idx="111">
                  <c:v>-1.6532762052091612</c:v>
                </c:pt>
                <c:pt idx="112">
                  <c:v>-1.6486578073800473</c:v>
                </c:pt>
                <c:pt idx="113">
                  <c:v>-1.6443077321795612</c:v>
                </c:pt>
                <c:pt idx="114">
                  <c:v>-1.6402468898066436</c:v>
                </c:pt>
                <c:pt idx="115">
                  <c:v>-1.6364423055830994</c:v>
                </c:pt>
                <c:pt idx="116">
                  <c:v>-1.6328657857718847</c:v>
                </c:pt>
                <c:pt idx="117">
                  <c:v>-1.6294930683207585</c:v>
                </c:pt>
                <c:pt idx="118">
                  <c:v>-1.6263031483373975</c:v>
                </c:pt>
                <c:pt idx="119">
                  <c:v>-1.6232777384101893</c:v>
                </c:pt>
                <c:pt idx="120">
                  <c:v>-1.620400832193067</c:v>
                </c:pt>
                <c:pt idx="121">
                  <c:v>-1.6176583495015022</c:v>
                </c:pt>
                <c:pt idx="122">
                  <c:v>-1.6150378455847416</c:v>
                </c:pt>
                <c:pt idx="123">
                  <c:v>-1.6125282708955699</c:v>
                </c:pt>
                <c:pt idx="124">
                  <c:v>-1.6101197717542377</c:v>
                </c:pt>
                <c:pt idx="125">
                  <c:v>-1.6078035236734434</c:v>
                </c:pt>
                <c:pt idx="126">
                  <c:v>-1.60557159123464</c:v>
                </c:pt>
                <c:pt idx="127">
                  <c:v>-1.6034168097289625</c:v>
                </c:pt>
                <c:pt idx="128">
                  <c:v>-1.6013326844025064</c:v>
                </c:pt>
                <c:pt idx="129">
                  <c:v>-1.5993133044717034</c:v>
                </c:pt>
                <c:pt idx="130">
                  <c:v>-1.5973532689995233</c:v>
                </c:pt>
                <c:pt idx="131">
                  <c:v>-1.5954476232554311</c:v>
                </c:pt>
                <c:pt idx="132">
                  <c:v>-1.593591802870054</c:v>
                </c:pt>
                <c:pt idx="133">
                  <c:v>-1.5915075154632601</c:v>
                </c:pt>
                <c:pt idx="134">
                  <c:v>-1.5893005634660691</c:v>
                </c:pt>
                <c:pt idx="135">
                  <c:v>-1.5871666419928749</c:v>
                </c:pt>
                <c:pt idx="136">
                  <c:v>-1.5851005308547395</c:v>
                </c:pt>
                <c:pt idx="137">
                  <c:v>-1.583097394473215</c:v>
                </c:pt>
                <c:pt idx="138">
                  <c:v>-1.5811527380861485</c:v>
                </c:pt>
                <c:pt idx="139">
                  <c:v>-1.5792623678647368</c:v>
                </c:pt>
                <c:pt idx="140">
                  <c:v>-1.5774223553137552</c:v>
                </c:pt>
                <c:pt idx="141">
                  <c:v>-1.5756290044086523</c:v>
                </c:pt>
                <c:pt idx="142">
                  <c:v>-1.5738788212438031</c:v>
                </c:pt>
                <c:pt idx="143">
                  <c:v>-1.5721684860136984</c:v>
                </c:pt>
                <c:pt idx="144">
                  <c:v>-1.5704948258870255</c:v>
                </c:pt>
                <c:pt idx="145">
                  <c:v>-1.5688547893669189</c:v>
                </c:pt>
                <c:pt idx="146">
                  <c:v>-1.5672454207087432</c:v>
                </c:pt>
                <c:pt idx="147">
                  <c:v>-1.5656638345717031</c:v>
                </c:pt>
                <c:pt idx="148">
                  <c:v>-1.5641071896530778</c:v>
                </c:pt>
                <c:pt idx="149">
                  <c:v>-1.5625726615615165</c:v>
                </c:pt>
                <c:pt idx="150">
                  <c:v>-1.5610574131137578</c:v>
                </c:pt>
                <c:pt idx="151">
                  <c:v>-1.5595585619645478</c:v>
                </c:pt>
                <c:pt idx="152">
                  <c:v>-1.5580731443722373</c:v>
                </c:pt>
                <c:pt idx="153">
                  <c:v>-1.5565980729082922</c:v>
                </c:pt>
                <c:pt idx="154">
                  <c:v>-1.5551300877876153</c:v>
                </c:pt>
                <c:pt idx="155">
                  <c:v>-1.5536656979614174</c:v>
                </c:pt>
                <c:pt idx="156">
                  <c:v>-1.5522011100897866</c:v>
                </c:pt>
                <c:pt idx="157">
                  <c:v>-1.550732140454437</c:v>
                </c:pt>
                <c:pt idx="158">
                  <c:v>-1.5492541046366095</c:v>
                </c:pt>
                <c:pt idx="159">
                  <c:v>-1.5477616776430894</c:v>
                </c:pt>
                <c:pt idx="160">
                  <c:v>-1.5462487120044406</c:v>
                </c:pt>
                <c:pt idx="161">
                  <c:v>-1.5447080005279197</c:v>
                </c:pt>
                <c:pt idx="162">
                  <c:v>-1.5431309586796598</c:v>
                </c:pt>
                <c:pt idx="163">
                  <c:v>-1.5415071950107142</c:v>
                </c:pt>
                <c:pt idx="164">
                  <c:v>-1.5398239165081666</c:v>
                </c:pt>
                <c:pt idx="165">
                  <c:v>-1.5380650908804037</c:v>
                </c:pt>
                <c:pt idx="166">
                  <c:v>-1.5362102371589732</c:v>
                </c:pt>
                <c:pt idx="167">
                  <c:v>-1.5342326340953982</c:v>
                </c:pt>
                <c:pt idx="168">
                  <c:v>-1.5320965866525929</c:v>
                </c:pt>
                <c:pt idx="169">
                  <c:v>-1.5297531052289646</c:v>
                </c:pt>
                <c:pt idx="170">
                  <c:v>-1.5271327905616301</c:v>
                </c:pt>
                <c:pt idx="171">
                  <c:v>-1.5241335225812809</c:v>
                </c:pt>
                <c:pt idx="172">
                  <c:v>-1.5203883288460116</c:v>
                </c:pt>
                <c:pt idx="173">
                  <c:v>-1.5172061507571986</c:v>
                </c:pt>
                <c:pt idx="174">
                  <c:v>-1.5115892430949525</c:v>
                </c:pt>
                <c:pt idx="175">
                  <c:v>-1.5038673766309525</c:v>
                </c:pt>
                <c:pt idx="176">
                  <c:v>-1.4920159397758535</c:v>
                </c:pt>
                <c:pt idx="177">
                  <c:v>-1.4699572144976121</c:v>
                </c:pt>
                <c:pt idx="178">
                  <c:v>-1.4131873522037322</c:v>
                </c:pt>
                <c:pt idx="179">
                  <c:v>-1.2667914920861556</c:v>
                </c:pt>
                <c:pt idx="180">
                  <c:v>-1.6106031277546919E-10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0-4B1E-89A1-C308E3F1D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an-1 @ alpha = tan-1(my/mx)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L_Section_Capacity!$AY$3:$AY$363</c:f>
              <c:numCache>
                <c:formatCode>General</c:formatCode>
                <c:ptCount val="361"/>
                <c:pt idx="0">
                  <c:v>0.53526505201388286</c:v>
                </c:pt>
                <c:pt idx="1">
                  <c:v>0.53322370938184172</c:v>
                </c:pt>
                <c:pt idx="2">
                  <c:v>0.53119603082476896</c:v>
                </c:pt>
                <c:pt idx="3">
                  <c:v>0.52918070595717115</c:v>
                </c:pt>
                <c:pt idx="4">
                  <c:v>0.52717645537436475</c:v>
                </c:pt>
                <c:pt idx="5">
                  <c:v>0.52518202722645935</c:v>
                </c:pt>
                <c:pt idx="6">
                  <c:v>0.52319619420459329</c:v>
                </c:pt>
                <c:pt idx="7">
                  <c:v>0.52121775040537521</c:v>
                </c:pt>
                <c:pt idx="8">
                  <c:v>0.51924550854028473</c:v>
                </c:pt>
                <c:pt idx="9">
                  <c:v>0.51727829704275363</c:v>
                </c:pt>
                <c:pt idx="10">
                  <c:v>0.51531495745078804</c:v>
                </c:pt>
                <c:pt idx="11">
                  <c:v>0.51335434168772265</c:v>
                </c:pt>
                <c:pt idx="12">
                  <c:v>0.51139530952996726</c:v>
                </c:pt>
                <c:pt idx="13">
                  <c:v>0.50943672608619117</c:v>
                </c:pt>
                <c:pt idx="14">
                  <c:v>0.50747745929730304</c:v>
                </c:pt>
                <c:pt idx="15">
                  <c:v>0.50199522799503793</c:v>
                </c:pt>
                <c:pt idx="16">
                  <c:v>0.48098583955240715</c:v>
                </c:pt>
                <c:pt idx="17">
                  <c:v>0.4484368159191634</c:v>
                </c:pt>
                <c:pt idx="18">
                  <c:v>0.40662849277428181</c:v>
                </c:pt>
                <c:pt idx="19">
                  <c:v>0.35615616227175018</c:v>
                </c:pt>
                <c:pt idx="20">
                  <c:v>0.29677213380657719</c:v>
                </c:pt>
                <c:pt idx="21">
                  <c:v>0.22772505863694192</c:v>
                </c:pt>
                <c:pt idx="22">
                  <c:v>0.14795165675754118</c:v>
                </c:pt>
                <c:pt idx="23">
                  <c:v>5.8170537733492012E-2</c:v>
                </c:pt>
                <c:pt idx="24">
                  <c:v>6.2456847250412384</c:v>
                </c:pt>
                <c:pt idx="25">
                  <c:v>6.1457263834103628</c:v>
                </c:pt>
                <c:pt idx="26">
                  <c:v>6.0433407266629695</c:v>
                </c:pt>
                <c:pt idx="27">
                  <c:v>5.9406332926010359</c:v>
                </c:pt>
                <c:pt idx="28">
                  <c:v>5.8338358088871942</c:v>
                </c:pt>
                <c:pt idx="29">
                  <c:v>5.7085048662995046</c:v>
                </c:pt>
                <c:pt idx="30">
                  <c:v>5.5937580987096078</c:v>
                </c:pt>
                <c:pt idx="31">
                  <c:v>5.4913792687122838</c:v>
                </c:pt>
                <c:pt idx="32">
                  <c:v>5.4019663498926622</c:v>
                </c:pt>
                <c:pt idx="33">
                  <c:v>5.3253271221794014</c:v>
                </c:pt>
                <c:pt idx="34">
                  <c:v>5.2608830304437157</c:v>
                </c:pt>
                <c:pt idx="35">
                  <c:v>5.2079897243524682</c:v>
                </c:pt>
                <c:pt idx="36">
                  <c:v>5.1661673346413073</c:v>
                </c:pt>
                <c:pt idx="37">
                  <c:v>5.1352747137074815</c:v>
                </c:pt>
                <c:pt idx="38">
                  <c:v>5.1156763064897994</c:v>
                </c:pt>
                <c:pt idx="39">
                  <c:v>5.1077520618647743</c:v>
                </c:pt>
                <c:pt idx="40">
                  <c:v>5.1029318842514471</c:v>
                </c:pt>
                <c:pt idx="41">
                  <c:v>5.0982097300337506</c:v>
                </c:pt>
                <c:pt idx="42">
                  <c:v>5.0935748970298356</c:v>
                </c:pt>
                <c:pt idx="43">
                  <c:v>5.089017334107659</c:v>
                </c:pt>
                <c:pt idx="44">
                  <c:v>5.0845275371716383</c:v>
                </c:pt>
                <c:pt idx="45">
                  <c:v>5.0800964559127797</c:v>
                </c:pt>
                <c:pt idx="46">
                  <c:v>5.0757154079558449</c:v>
                </c:pt>
                <c:pt idx="47">
                  <c:v>5.0713759991268219</c:v>
                </c:pt>
                <c:pt idx="48">
                  <c:v>5.0670700472822947</c:v>
                </c:pt>
                <c:pt idx="49">
                  <c:v>5.0627895095564597</c:v>
                </c:pt>
                <c:pt idx="50">
                  <c:v>5.058526410381651</c:v>
                </c:pt>
                <c:pt idx="51">
                  <c:v>5.0542727687158457</c:v>
                </c:pt>
                <c:pt idx="52">
                  <c:v>5.0500205245347374</c:v>
                </c:pt>
                <c:pt idx="53">
                  <c:v>5.0457614604875722</c:v>
                </c:pt>
                <c:pt idx="54">
                  <c:v>5.0414871192533637</c:v>
                </c:pt>
                <c:pt idx="55">
                  <c:v>5.0371887128706279</c:v>
                </c:pt>
                <c:pt idx="56">
                  <c:v>5.0328570223673417</c:v>
                </c:pt>
                <c:pt idx="57">
                  <c:v>5.028482284913923</c:v>
                </c:pt>
                <c:pt idx="58">
                  <c:v>5.0240540643466067</c:v>
                </c:pt>
                <c:pt idx="59">
                  <c:v>5.0195611012117061</c:v>
                </c:pt>
                <c:pt idx="60">
                  <c:v>5.0149911366106643</c:v>
                </c:pt>
                <c:pt idx="61">
                  <c:v>5.0103307035402214</c:v>
                </c:pt>
                <c:pt idx="62">
                  <c:v>5.0055648751702906</c:v>
                </c:pt>
                <c:pt idx="63">
                  <c:v>5.0006769606431103</c:v>
                </c:pt>
                <c:pt idx="64">
                  <c:v>4.9957233564051746</c:v>
                </c:pt>
                <c:pt idx="65">
                  <c:v>4.9908596383252419</c:v>
                </c:pt>
                <c:pt idx="66">
                  <c:v>4.9860846291690679</c:v>
                </c:pt>
                <c:pt idx="67">
                  <c:v>4.9813912879869218</c:v>
                </c:pt>
                <c:pt idx="68">
                  <c:v>4.9767729375805398</c:v>
                </c:pt>
                <c:pt idx="69">
                  <c:v>4.972223221608294</c:v>
                </c:pt>
                <c:pt idx="70">
                  <c:v>4.9677360643399666</c:v>
                </c:pt>
                <c:pt idx="71">
                  <c:v>4.9633056332663275</c:v>
                </c:pt>
                <c:pt idx="72">
                  <c:v>4.9589263037047253</c:v>
                </c:pt>
                <c:pt idx="73">
                  <c:v>4.9545926248381278</c:v>
                </c:pt>
                <c:pt idx="74">
                  <c:v>4.9502992870434612</c:v>
                </c:pt>
                <c:pt idx="75">
                  <c:v>4.9460410895856297</c:v>
                </c:pt>
                <c:pt idx="76">
                  <c:v>4.9418129088072966</c:v>
                </c:pt>
                <c:pt idx="77">
                  <c:v>4.9376096650932242</c:v>
                </c:pt>
                <c:pt idx="78">
                  <c:v>4.9334262895156975</c:v>
                </c:pt>
                <c:pt idx="79">
                  <c:v>4.9292576884152748</c:v>
                </c:pt>
                <c:pt idx="80">
                  <c:v>4.9250987053719744</c:v>
                </c:pt>
                <c:pt idx="81">
                  <c:v>4.9209440803856577</c:v>
                </c:pt>
                <c:pt idx="82">
                  <c:v>4.9167884032588836</c:v>
                </c:pt>
                <c:pt idx="83">
                  <c:v>4.9126260624510536</c:v>
                </c:pt>
                <c:pt idx="84">
                  <c:v>4.9084511849639743</c:v>
                </c:pt>
                <c:pt idx="85">
                  <c:v>4.9042575674199043</c:v>
                </c:pt>
                <c:pt idx="86">
                  <c:v>4.9000385930227237</c:v>
                </c:pt>
                <c:pt idx="87">
                  <c:v>4.8957871323984863</c:v>
                </c:pt>
                <c:pt idx="88">
                  <c:v>4.891495422276658</c:v>
                </c:pt>
                <c:pt idx="89">
                  <c:v>4.887154914454733</c:v>
                </c:pt>
                <c:pt idx="90">
                  <c:v>4.8823415902549749</c:v>
                </c:pt>
                <c:pt idx="91">
                  <c:v>4.8775864059135356</c:v>
                </c:pt>
                <c:pt idx="92">
                  <c:v>4.8728834368202243</c:v>
                </c:pt>
                <c:pt idx="93">
                  <c:v>4.8682269601642227</c:v>
                </c:pt>
                <c:pt idx="94">
                  <c:v>4.86361143467101</c:v>
                </c:pt>
                <c:pt idx="95">
                  <c:v>4.8590314789140692</c:v>
                </c:pt>
                <c:pt idx="96">
                  <c:v>4.8576671143503116</c:v>
                </c:pt>
                <c:pt idx="97">
                  <c:v>4.8531818217464986</c:v>
                </c:pt>
                <c:pt idx="98">
                  <c:v>4.848715822179007</c:v>
                </c:pt>
                <c:pt idx="99">
                  <c:v>4.8442642317794062</c:v>
                </c:pt>
                <c:pt idx="100">
                  <c:v>4.8398222256903383</c:v>
                </c:pt>
                <c:pt idx="101">
                  <c:v>4.8353850173173702</c:v>
                </c:pt>
                <c:pt idx="102">
                  <c:v>4.8309478389992115</c:v>
                </c:pt>
                <c:pt idx="103">
                  <c:v>4.8265059209758032</c:v>
                </c:pt>
                <c:pt idx="104">
                  <c:v>4.8220544711991487</c:v>
                </c:pt>
                <c:pt idx="105">
                  <c:v>4.8175886535783823</c:v>
                </c:pt>
                <c:pt idx="106">
                  <c:v>4.8131035662870438</c:v>
                </c:pt>
                <c:pt idx="107">
                  <c:v>4.8085942186376327</c:v>
                </c:pt>
                <c:pt idx="108">
                  <c:v>4.8040555070484388</c:v>
                </c:pt>
                <c:pt idx="109">
                  <c:v>4.7994821896290052</c:v>
                </c:pt>
                <c:pt idx="110">
                  <c:v>4.7948688587989547</c:v>
                </c:pt>
                <c:pt idx="111">
                  <c:v>4.7902504609698404</c:v>
                </c:pt>
                <c:pt idx="112">
                  <c:v>4.7859003857693541</c:v>
                </c:pt>
                <c:pt idx="113">
                  <c:v>4.7818395433964369</c:v>
                </c:pt>
                <c:pt idx="114">
                  <c:v>4.7780349591728921</c:v>
                </c:pt>
                <c:pt idx="115">
                  <c:v>4.7744584393616778</c:v>
                </c:pt>
                <c:pt idx="116">
                  <c:v>4.771085721910552</c:v>
                </c:pt>
                <c:pt idx="117">
                  <c:v>4.7678958019271906</c:v>
                </c:pt>
                <c:pt idx="118">
                  <c:v>4.7648703919999829</c:v>
                </c:pt>
                <c:pt idx="119">
                  <c:v>4.7619934857828596</c:v>
                </c:pt>
                <c:pt idx="120">
                  <c:v>4.7592510030912951</c:v>
                </c:pt>
                <c:pt idx="121">
                  <c:v>4.756630499174535</c:v>
                </c:pt>
                <c:pt idx="122">
                  <c:v>4.7541209244853633</c:v>
                </c:pt>
                <c:pt idx="123">
                  <c:v>4.7517124253440306</c:v>
                </c:pt>
                <c:pt idx="124">
                  <c:v>4.749396177263236</c:v>
                </c:pt>
                <c:pt idx="125">
                  <c:v>4.7471642448244333</c:v>
                </c:pt>
                <c:pt idx="126">
                  <c:v>4.7450094633187554</c:v>
                </c:pt>
                <c:pt idx="127">
                  <c:v>4.7429253379922995</c:v>
                </c:pt>
                <c:pt idx="128">
                  <c:v>4.7409059580614965</c:v>
                </c:pt>
                <c:pt idx="129">
                  <c:v>4.7389459225893162</c:v>
                </c:pt>
                <c:pt idx="130">
                  <c:v>4.7370402768452244</c:v>
                </c:pt>
                <c:pt idx="131">
                  <c:v>4.7351844564598471</c:v>
                </c:pt>
                <c:pt idx="132">
                  <c:v>4.7331001690530528</c:v>
                </c:pt>
                <c:pt idx="133">
                  <c:v>4.7308932170558622</c:v>
                </c:pt>
                <c:pt idx="134">
                  <c:v>4.7287592955826678</c:v>
                </c:pt>
                <c:pt idx="135">
                  <c:v>4.7266931844445326</c:v>
                </c:pt>
                <c:pt idx="136">
                  <c:v>4.7246900480630085</c:v>
                </c:pt>
                <c:pt idx="137">
                  <c:v>4.7227453916759412</c:v>
                </c:pt>
                <c:pt idx="138">
                  <c:v>4.72085502145453</c:v>
                </c:pt>
                <c:pt idx="139">
                  <c:v>4.7190150089035487</c:v>
                </c:pt>
                <c:pt idx="140">
                  <c:v>4.7172216579984454</c:v>
                </c:pt>
                <c:pt idx="141">
                  <c:v>4.7154714748335964</c:v>
                </c:pt>
                <c:pt idx="142">
                  <c:v>4.7137611396034913</c:v>
                </c:pt>
                <c:pt idx="143">
                  <c:v>4.7120874794768186</c:v>
                </c:pt>
                <c:pt idx="144">
                  <c:v>4.7104474429567116</c:v>
                </c:pt>
                <c:pt idx="145">
                  <c:v>4.7088380742985363</c:v>
                </c:pt>
                <c:pt idx="146">
                  <c:v>4.7072564881614962</c:v>
                </c:pt>
                <c:pt idx="147">
                  <c:v>4.7056998432428712</c:v>
                </c:pt>
                <c:pt idx="148">
                  <c:v>4.7041653151513092</c:v>
                </c:pt>
                <c:pt idx="149">
                  <c:v>4.7026500667035513</c:v>
                </c:pt>
                <c:pt idx="150">
                  <c:v>4.7011512155543409</c:v>
                </c:pt>
                <c:pt idx="151">
                  <c:v>4.6996657979620302</c:v>
                </c:pt>
                <c:pt idx="152">
                  <c:v>4.6981907264980851</c:v>
                </c:pt>
                <c:pt idx="153">
                  <c:v>4.6967227413774086</c:v>
                </c:pt>
                <c:pt idx="154">
                  <c:v>4.6952583515512103</c:v>
                </c:pt>
                <c:pt idx="155">
                  <c:v>4.6937937636795795</c:v>
                </c:pt>
                <c:pt idx="156">
                  <c:v>4.6923247940442305</c:v>
                </c:pt>
                <c:pt idx="157">
                  <c:v>4.6908467582264031</c:v>
                </c:pt>
                <c:pt idx="158">
                  <c:v>4.6893543312328827</c:v>
                </c:pt>
                <c:pt idx="159">
                  <c:v>4.6878413655942337</c:v>
                </c:pt>
                <c:pt idx="160">
                  <c:v>4.686300654117713</c:v>
                </c:pt>
                <c:pt idx="161">
                  <c:v>4.6847236122694529</c:v>
                </c:pt>
                <c:pt idx="162">
                  <c:v>4.6830998486005075</c:v>
                </c:pt>
                <c:pt idx="163">
                  <c:v>4.6814165700979595</c:v>
                </c:pt>
                <c:pt idx="164">
                  <c:v>4.6796577444701963</c:v>
                </c:pt>
                <c:pt idx="165">
                  <c:v>4.6778028907487661</c:v>
                </c:pt>
                <c:pt idx="166">
                  <c:v>4.6758252876851909</c:v>
                </c:pt>
                <c:pt idx="167">
                  <c:v>4.6736892402423855</c:v>
                </c:pt>
                <c:pt idx="168">
                  <c:v>4.6713457588187577</c:v>
                </c:pt>
                <c:pt idx="169">
                  <c:v>4.6687254441514234</c:v>
                </c:pt>
                <c:pt idx="170">
                  <c:v>4.6657261761710735</c:v>
                </c:pt>
                <c:pt idx="171">
                  <c:v>4.6619809824358045</c:v>
                </c:pt>
                <c:pt idx="172">
                  <c:v>4.6587988043469917</c:v>
                </c:pt>
                <c:pt idx="173">
                  <c:v>4.653181896684746</c:v>
                </c:pt>
                <c:pt idx="174">
                  <c:v>4.6454600302207458</c:v>
                </c:pt>
                <c:pt idx="175">
                  <c:v>4.633608593365647</c:v>
                </c:pt>
                <c:pt idx="176">
                  <c:v>4.6115498680874047</c:v>
                </c:pt>
                <c:pt idx="177">
                  <c:v>4.5547800057935248</c:v>
                </c:pt>
                <c:pt idx="178">
                  <c:v>4.4083841456759485</c:v>
                </c:pt>
                <c:pt idx="179">
                  <c:v>3.1415926537508536</c:v>
                </c:pt>
                <c:pt idx="180">
                  <c:v>1.874801161673469</c:v>
                </c:pt>
                <c:pt idx="181">
                  <c:v>1.7284053013403027</c:v>
                </c:pt>
                <c:pt idx="182">
                  <c:v>1.6716354392073205</c:v>
                </c:pt>
                <c:pt idx="183">
                  <c:v>1.6495767137660653</c:v>
                </c:pt>
                <c:pt idx="184">
                  <c:v>1.6377252769783925</c:v>
                </c:pt>
                <c:pt idx="185">
                  <c:v>1.6300034105508676</c:v>
                </c:pt>
                <c:pt idx="186">
                  <c:v>1.6243865028448505</c:v>
                </c:pt>
                <c:pt idx="187">
                  <c:v>1.6212043247338559</c:v>
                </c:pt>
                <c:pt idx="188">
                  <c:v>1.6174591310036941</c:v>
                </c:pt>
                <c:pt idx="189">
                  <c:v>1.6144598629360232</c:v>
                </c:pt>
                <c:pt idx="190">
                  <c:v>1.6118395483529653</c:v>
                </c:pt>
                <c:pt idx="191">
                  <c:v>1.6094960668568621</c:v>
                </c:pt>
                <c:pt idx="192">
                  <c:v>1.6073600195333841</c:v>
                </c:pt>
                <c:pt idx="193">
                  <c:v>1.6053824164218449</c:v>
                </c:pt>
                <c:pt idx="194">
                  <c:v>1.6035275627363645</c:v>
                </c:pt>
                <c:pt idx="195">
                  <c:v>1.601768737083481</c:v>
                </c:pt>
                <c:pt idx="196">
                  <c:v>1.6000854585617852</c:v>
                </c:pt>
                <c:pt idx="197">
                  <c:v>1.5984616948554211</c:v>
                </c:pt>
                <c:pt idx="198">
                  <c:v>1.5968846530245644</c:v>
                </c:pt>
                <c:pt idx="199">
                  <c:v>1.5953439415200745</c:v>
                </c:pt>
                <c:pt idx="200">
                  <c:v>1.5938309759360285</c:v>
                </c:pt>
                <c:pt idx="201">
                  <c:v>1.5923385489497262</c:v>
                </c:pt>
                <c:pt idx="202">
                  <c:v>1.5908605131629989</c:v>
                </c:pt>
                <c:pt idx="203">
                  <c:v>1.5893915434821841</c:v>
                </c:pt>
                <c:pt idx="204">
                  <c:v>1.5879269556229907</c:v>
                </c:pt>
                <c:pt idx="205">
                  <c:v>1.5864625658403464</c:v>
                </c:pt>
                <c:pt idx="206">
                  <c:v>1.584994580718065</c:v>
                </c:pt>
                <c:pt idx="207">
                  <c:v>1.5835195092236716</c:v>
                </c:pt>
                <c:pt idx="208">
                  <c:v>1.5820340915964834</c:v>
                </c:pt>
                <c:pt idx="209">
                  <c:v>1.58053524045158</c:v>
                </c:pt>
                <c:pt idx="210">
                  <c:v>1.5790199920248771</c:v>
                </c:pt>
                <c:pt idx="211">
                  <c:v>1.577485463919436</c:v>
                </c:pt>
                <c:pt idx="212">
                  <c:v>1.575928819013187</c:v>
                </c:pt>
                <c:pt idx="213">
                  <c:v>1.57434723285379</c:v>
                </c:pt>
                <c:pt idx="214">
                  <c:v>1.5727378642543761</c:v>
                </c:pt>
                <c:pt idx="215">
                  <c:v>1.5710978277112808</c:v>
                </c:pt>
                <c:pt idx="216">
                  <c:v>1.569424167598217</c:v>
                </c:pt>
                <c:pt idx="217">
                  <c:v>1.5677138323704585</c:v>
                </c:pt>
                <c:pt idx="218">
                  <c:v>1.5659636491977025</c:v>
                </c:pt>
                <c:pt idx="219">
                  <c:v>1.5641702982755434</c:v>
                </c:pt>
                <c:pt idx="220">
                  <c:v>1.5623302857231307</c:v>
                </c:pt>
                <c:pt idx="221">
                  <c:v>1.5604399155420521</c:v>
                </c:pt>
                <c:pt idx="222">
                  <c:v>1.5584952591176535</c:v>
                </c:pt>
                <c:pt idx="223">
                  <c:v>1.5564921227488366</c:v>
                </c:pt>
                <c:pt idx="224">
                  <c:v>1.5544260115406798</c:v>
                </c:pt>
                <c:pt idx="225">
                  <c:v>1.5522920900925297</c:v>
                </c:pt>
                <c:pt idx="226">
                  <c:v>1.5500851381280747</c:v>
                </c:pt>
                <c:pt idx="227">
                  <c:v>1.5480008507009217</c:v>
                </c:pt>
                <c:pt idx="228">
                  <c:v>1.5461450303172675</c:v>
                </c:pt>
                <c:pt idx="229">
                  <c:v>1.544239384554962</c:v>
                </c:pt>
                <c:pt idx="230">
                  <c:v>1.5422793491523008</c:v>
                </c:pt>
                <c:pt idx="231">
                  <c:v>1.5402599691646193</c:v>
                </c:pt>
                <c:pt idx="232">
                  <c:v>1.5381758438222519</c:v>
                </c:pt>
                <c:pt idx="233">
                  <c:v>1.5360210623486608</c:v>
                </c:pt>
                <c:pt idx="234">
                  <c:v>1.5337891299191049</c:v>
                </c:pt>
                <c:pt idx="235">
                  <c:v>1.5314728818172949</c:v>
                </c:pt>
                <c:pt idx="236">
                  <c:v>1.5290643827071471</c:v>
                </c:pt>
                <c:pt idx="237">
                  <c:v>1.5265548080272471</c:v>
                </c:pt>
                <c:pt idx="238">
                  <c:v>1.523934304093336</c:v>
                </c:pt>
                <c:pt idx="239">
                  <c:v>1.5211918213934941</c:v>
                </c:pt>
                <c:pt idx="240">
                  <c:v>1.5183149151595345</c:v>
                </c:pt>
                <c:pt idx="241">
                  <c:v>1.5152895052523514</c:v>
                </c:pt>
                <c:pt idx="242">
                  <c:v>1.5120995852908485</c:v>
                </c:pt>
                <c:pt idx="243">
                  <c:v>1.5087268677806742</c:v>
                </c:pt>
                <c:pt idx="244">
                  <c:v>1.5051503479906652</c:v>
                </c:pt>
                <c:pt idx="245">
                  <c:v>1.5013457637625836</c:v>
                </c:pt>
                <c:pt idx="246">
                  <c:v>1.4972849213927888</c:v>
                </c:pt>
                <c:pt idx="247">
                  <c:v>1.4929348462182548</c:v>
                </c:pt>
                <c:pt idx="248">
                  <c:v>1.488256702233979</c:v>
                </c:pt>
                <c:pt idx="249">
                  <c:v>1.4832044040593806</c:v>
                </c:pt>
                <c:pt idx="250">
                  <c:v>1.4777228127759714</c:v>
                </c:pt>
                <c:pt idx="251">
                  <c:v>1.471745362428748</c:v>
                </c:pt>
                <c:pt idx="252">
                  <c:v>1.4651908948521271</c:v>
                </c:pt>
                <c:pt idx="253">
                  <c:v>1.4579593752184528</c:v>
                </c:pt>
                <c:pt idx="254">
                  <c:v>1.4499259972320149</c:v>
                </c:pt>
                <c:pt idx="255">
                  <c:v>1.4409329215230215</c:v>
                </c:pt>
                <c:pt idx="256">
                  <c:v>1.4307774584385826</c:v>
                </c:pt>
                <c:pt idx="257">
                  <c:v>1.4191947679222705</c:v>
                </c:pt>
                <c:pt idx="258">
                  <c:v>1.4058318605599744</c:v>
                </c:pt>
                <c:pt idx="259">
                  <c:v>1.3963686565376001</c:v>
                </c:pt>
                <c:pt idx="260">
                  <c:v>1.3781937775094038</c:v>
                </c:pt>
                <c:pt idx="261">
                  <c:v>1.3561614722276303</c:v>
                </c:pt>
                <c:pt idx="262">
                  <c:v>1.3288184615687979</c:v>
                </c:pt>
                <c:pt idx="263">
                  <c:v>1.2949305158219044</c:v>
                </c:pt>
                <c:pt idx="264">
                  <c:v>1.2597348620714568</c:v>
                </c:pt>
                <c:pt idx="265">
                  <c:v>1.2243926810219918</c:v>
                </c:pt>
                <c:pt idx="266">
                  <c:v>1.188846232160417</c:v>
                </c:pt>
                <c:pt idx="267">
                  <c:v>1.1530465259052574</c:v>
                </c:pt>
                <c:pt idx="268">
                  <c:v>1.1169577807531708</c:v>
                </c:pt>
                <c:pt idx="269">
                  <c:v>1.0805625173648332</c:v>
                </c:pt>
                <c:pt idx="270">
                  <c:v>1.0595610208329118</c:v>
                </c:pt>
                <c:pt idx="271">
                  <c:v>1.038880106989772</c:v>
                </c:pt>
                <c:pt idx="272">
                  <c:v>1.0184790971690489</c:v>
                </c:pt>
                <c:pt idx="273">
                  <c:v>0.9983223949286617</c:v>
                </c:pt>
                <c:pt idx="274">
                  <c:v>0.9783782014719451</c:v>
                </c:pt>
                <c:pt idx="275">
                  <c:v>0.95861763295117708</c:v>
                </c:pt>
                <c:pt idx="276">
                  <c:v>0.93901409234242728</c:v>
                </c:pt>
                <c:pt idx="277">
                  <c:v>0.91954280874723349</c:v>
                </c:pt>
                <c:pt idx="278">
                  <c:v>0.90148002961326323</c:v>
                </c:pt>
                <c:pt idx="279">
                  <c:v>0.88572661696297983</c:v>
                </c:pt>
                <c:pt idx="280">
                  <c:v>0.87168135992960138</c:v>
                </c:pt>
                <c:pt idx="281">
                  <c:v>0.85894304977431135</c:v>
                </c:pt>
                <c:pt idx="282">
                  <c:v>0.84723263085579426</c:v>
                </c:pt>
                <c:pt idx="283">
                  <c:v>0.83634890490802238</c:v>
                </c:pt>
                <c:pt idx="284">
                  <c:v>0.82614233104090617</c:v>
                </c:pt>
                <c:pt idx="285">
                  <c:v>0.81649882520320904</c:v>
                </c:pt>
                <c:pt idx="286">
                  <c:v>0.8073293571463811</c:v>
                </c:pt>
                <c:pt idx="287">
                  <c:v>0.79856304885321494</c:v>
                </c:pt>
                <c:pt idx="288">
                  <c:v>0.79014246422824908</c:v>
                </c:pt>
                <c:pt idx="289">
                  <c:v>0.78202031267840155</c:v>
                </c:pt>
                <c:pt idx="290">
                  <c:v>0.77415709037222324</c:v>
                </c:pt>
                <c:pt idx="291">
                  <c:v>0.76651935839102947</c:v>
                </c:pt>
                <c:pt idx="292">
                  <c:v>0.75907846290144132</c:v>
                </c:pt>
                <c:pt idx="293">
                  <c:v>0.75180956814998812</c:v>
                </c:pt>
                <c:pt idx="294">
                  <c:v>0.74469091452551961</c:v>
                </c:pt>
                <c:pt idx="295">
                  <c:v>0.73770324137200483</c:v>
                </c:pt>
                <c:pt idx="296">
                  <c:v>0.73082933184994703</c:v>
                </c:pt>
                <c:pt idx="297">
                  <c:v>0.72622328127287128</c:v>
                </c:pt>
                <c:pt idx="298">
                  <c:v>0.72220519094596369</c:v>
                </c:pt>
                <c:pt idx="299">
                  <c:v>0.71830325786932914</c:v>
                </c:pt>
                <c:pt idx="300">
                  <c:v>0.71450494341604065</c:v>
                </c:pt>
                <c:pt idx="301">
                  <c:v>0.7107989552548224</c:v>
                </c:pt>
                <c:pt idx="302">
                  <c:v>0.70717505784065393</c:v>
                </c:pt>
                <c:pt idx="303">
                  <c:v>0.7036239135083977</c:v>
                </c:pt>
                <c:pt idx="304">
                  <c:v>0.70013694795806636</c:v>
                </c:pt>
                <c:pt idx="305">
                  <c:v>0.69670623563578626</c:v>
                </c:pt>
                <c:pt idx="306">
                  <c:v>0.69332440106159954</c:v>
                </c:pt>
                <c:pt idx="307">
                  <c:v>0.68998453314986818</c:v>
                </c:pt>
                <c:pt idx="308">
                  <c:v>0.68668011009479013</c:v>
                </c:pt>
                <c:pt idx="309">
                  <c:v>0.68340493261950641</c:v>
                </c:pt>
                <c:pt idx="310">
                  <c:v>0.68015306429803779</c:v>
                </c:pt>
                <c:pt idx="311">
                  <c:v>0.67691877705642067</c:v>
                </c:pt>
                <c:pt idx="312">
                  <c:v>0.67369650107995271</c:v>
                </c:pt>
                <c:pt idx="313">
                  <c:v>0.67048077781804682</c:v>
                </c:pt>
                <c:pt idx="314">
                  <c:v>0.66726621521850316</c:v>
                </c:pt>
                <c:pt idx="315">
                  <c:v>0.66404744440403674</c:v>
                </c:pt>
                <c:pt idx="316">
                  <c:v>0.66081907680355378</c:v>
                </c:pt>
                <c:pt idx="317">
                  <c:v>0.65757566123739419</c:v>
                </c:pt>
                <c:pt idx="318">
                  <c:v>0.65431163974125317</c:v>
                </c:pt>
                <c:pt idx="319">
                  <c:v>0.65102130181973106</c:v>
                </c:pt>
                <c:pt idx="320">
                  <c:v>0.64769873579630133</c:v>
                </c:pt>
                <c:pt idx="321">
                  <c:v>0.64433777648566526</c:v>
                </c:pt>
                <c:pt idx="322">
                  <c:v>0.64093194823041033</c:v>
                </c:pt>
                <c:pt idx="323">
                  <c:v>0.63747440162143132</c:v>
                </c:pt>
                <c:pt idx="324">
                  <c:v>0.63395784301092828</c:v>
                </c:pt>
                <c:pt idx="325">
                  <c:v>0.630374454376601</c:v>
                </c:pt>
                <c:pt idx="326">
                  <c:v>0.62671580210860034</c:v>
                </c:pt>
                <c:pt idx="327">
                  <c:v>0.62297273149291055</c:v>
                </c:pt>
                <c:pt idx="328">
                  <c:v>0.61920367627974038</c:v>
                </c:pt>
                <c:pt idx="329">
                  <c:v>0.61554915152734235</c:v>
                </c:pt>
                <c:pt idx="330">
                  <c:v>0.61200682127956352</c:v>
                </c:pt>
                <c:pt idx="331">
                  <c:v>0.60856966989983263</c:v>
                </c:pt>
                <c:pt idx="332">
                  <c:v>0.60523120307844369</c:v>
                </c:pt>
                <c:pt idx="333">
                  <c:v>0.60198539891264291</c:v>
                </c:pt>
                <c:pt idx="334">
                  <c:v>0.59882666413578667</c:v>
                </c:pt>
                <c:pt idx="335">
                  <c:v>0.59574979514890858</c:v>
                </c:pt>
                <c:pt idx="336">
                  <c:v>0.59274994306864315</c:v>
                </c:pt>
                <c:pt idx="337">
                  <c:v>0.58982258239211882</c:v>
                </c:pt>
                <c:pt idx="338">
                  <c:v>0.58696348277563626</c:v>
                </c:pt>
                <c:pt idx="339">
                  <c:v>0.58416868373635999</c:v>
                </c:pt>
                <c:pt idx="340">
                  <c:v>0.58143447169810791</c:v>
                </c:pt>
                <c:pt idx="341">
                  <c:v>0.57875735932235495</c:v>
                </c:pt>
                <c:pt idx="342">
                  <c:v>0.57613406672061585</c:v>
                </c:pt>
                <c:pt idx="343">
                  <c:v>0.57356150449569343</c:v>
                </c:pt>
                <c:pt idx="344">
                  <c:v>0.57103675825750466</c:v>
                </c:pt>
                <c:pt idx="345">
                  <c:v>0.56855707448851422</c:v>
                </c:pt>
                <c:pt idx="346">
                  <c:v>0.56611984776353141</c:v>
                </c:pt>
                <c:pt idx="347">
                  <c:v>0.56372260900722049</c:v>
                </c:pt>
                <c:pt idx="348">
                  <c:v>0.56136301472070027</c:v>
                </c:pt>
                <c:pt idx="349">
                  <c:v>0.55903883708610191</c:v>
                </c:pt>
                <c:pt idx="350">
                  <c:v>0.55674795498963503</c:v>
                </c:pt>
                <c:pt idx="351">
                  <c:v>0.55448834560823368</c:v>
                </c:pt>
                <c:pt idx="352">
                  <c:v>0.55225807678316352</c:v>
                </c:pt>
                <c:pt idx="353">
                  <c:v>0.55005529985526413</c:v>
                </c:pt>
                <c:pt idx="354">
                  <c:v>0.54787824311561506</c:v>
                </c:pt>
                <c:pt idx="355">
                  <c:v>0.54572520567901694</c:v>
                </c:pt>
                <c:pt idx="356">
                  <c:v>0.54359455182846084</c:v>
                </c:pt>
                <c:pt idx="357">
                  <c:v>0.54148470574719143</c:v>
                </c:pt>
                <c:pt idx="358">
                  <c:v>0.53939414648761197</c:v>
                </c:pt>
                <c:pt idx="359">
                  <c:v>0.53732140346909985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L_Section_Capacity!$AX$2:$AX$362</c:f>
              <c:numCache>
                <c:formatCode>0.000E+00</c:formatCode>
                <c:ptCount val="361"/>
                <c:pt idx="0">
                  <c:v>-0.53732140346909674</c:v>
                </c:pt>
                <c:pt idx="1">
                  <c:v>-0.53526505201388286</c:v>
                </c:pt>
                <c:pt idx="2">
                  <c:v>-0.53322370938184172</c:v>
                </c:pt>
                <c:pt idx="3">
                  <c:v>-0.53119603082476896</c:v>
                </c:pt>
                <c:pt idx="4">
                  <c:v>-0.52918070595717115</c:v>
                </c:pt>
                <c:pt idx="5">
                  <c:v>-0.52717645537436475</c:v>
                </c:pt>
                <c:pt idx="6">
                  <c:v>-0.52518202722645935</c:v>
                </c:pt>
                <c:pt idx="7">
                  <c:v>-0.52319619420459329</c:v>
                </c:pt>
                <c:pt idx="8">
                  <c:v>-0.52121775040537521</c:v>
                </c:pt>
                <c:pt idx="9">
                  <c:v>-0.51924550854028473</c:v>
                </c:pt>
                <c:pt idx="10">
                  <c:v>-0.51727829704275363</c:v>
                </c:pt>
                <c:pt idx="11">
                  <c:v>-0.51531495745078804</c:v>
                </c:pt>
                <c:pt idx="12">
                  <c:v>-0.51335434168772265</c:v>
                </c:pt>
                <c:pt idx="13">
                  <c:v>-0.51139530952996726</c:v>
                </c:pt>
                <c:pt idx="14">
                  <c:v>-0.50943672608619117</c:v>
                </c:pt>
                <c:pt idx="15">
                  <c:v>-0.50747745929730304</c:v>
                </c:pt>
                <c:pt idx="16">
                  <c:v>-0.50199522799503793</c:v>
                </c:pt>
                <c:pt idx="17">
                  <c:v>-0.48098583955240715</c:v>
                </c:pt>
                <c:pt idx="18">
                  <c:v>-0.4484368159191634</c:v>
                </c:pt>
                <c:pt idx="19">
                  <c:v>-0.40662849277428181</c:v>
                </c:pt>
                <c:pt idx="20">
                  <c:v>-0.35615616227175018</c:v>
                </c:pt>
                <c:pt idx="21">
                  <c:v>-0.29677213380657719</c:v>
                </c:pt>
                <c:pt idx="22">
                  <c:v>-0.22772505863694192</c:v>
                </c:pt>
                <c:pt idx="23">
                  <c:v>-0.14795165675754118</c:v>
                </c:pt>
                <c:pt idx="24">
                  <c:v>-5.8170537733492012E-2</c:v>
                </c:pt>
                <c:pt idx="25">
                  <c:v>-6.2456847250412384</c:v>
                </c:pt>
                <c:pt idx="26">
                  <c:v>-6.1457263834103628</c:v>
                </c:pt>
                <c:pt idx="27">
                  <c:v>-6.0433407266629695</c:v>
                </c:pt>
                <c:pt idx="28">
                  <c:v>-5.9406332926010359</c:v>
                </c:pt>
                <c:pt idx="29">
                  <c:v>-5.8338358088871942</c:v>
                </c:pt>
                <c:pt idx="30">
                  <c:v>-5.7085048662995046</c:v>
                </c:pt>
                <c:pt idx="31">
                  <c:v>-5.5937580987096078</c:v>
                </c:pt>
                <c:pt idx="32">
                  <c:v>-5.4913792687122838</c:v>
                </c:pt>
                <c:pt idx="33">
                  <c:v>-5.4019663498926622</c:v>
                </c:pt>
                <c:pt idx="34">
                  <c:v>-5.3253271221794014</c:v>
                </c:pt>
                <c:pt idx="35">
                  <c:v>-5.2608830304437157</c:v>
                </c:pt>
                <c:pt idx="36">
                  <c:v>-5.2079897243524682</c:v>
                </c:pt>
                <c:pt idx="37">
                  <c:v>-5.1661673346413073</c:v>
                </c:pt>
                <c:pt idx="38">
                  <c:v>-5.1352747137074815</c:v>
                </c:pt>
                <c:pt idx="39">
                  <c:v>-5.1156763064897994</c:v>
                </c:pt>
                <c:pt idx="40">
                  <c:v>-5.1077520618647743</c:v>
                </c:pt>
                <c:pt idx="41">
                  <c:v>-5.1029318842514471</c:v>
                </c:pt>
                <c:pt idx="42">
                  <c:v>-5.0982097300337506</c:v>
                </c:pt>
                <c:pt idx="43">
                  <c:v>-5.0935748970298356</c:v>
                </c:pt>
                <c:pt idx="44">
                  <c:v>-5.089017334107659</c:v>
                </c:pt>
                <c:pt idx="45">
                  <c:v>-5.0845275371716383</c:v>
                </c:pt>
                <c:pt idx="46">
                  <c:v>-5.0800964559127797</c:v>
                </c:pt>
                <c:pt idx="47">
                  <c:v>-5.0757154079558449</c:v>
                </c:pt>
                <c:pt idx="48">
                  <c:v>-5.0713759991268219</c:v>
                </c:pt>
                <c:pt idx="49">
                  <c:v>-5.0670700472822947</c:v>
                </c:pt>
                <c:pt idx="50">
                  <c:v>-5.0627895095564597</c:v>
                </c:pt>
                <c:pt idx="51">
                  <c:v>-5.058526410381651</c:v>
                </c:pt>
                <c:pt idx="52">
                  <c:v>-5.0542727687158457</c:v>
                </c:pt>
                <c:pt idx="53">
                  <c:v>-5.0500205245347374</c:v>
                </c:pt>
                <c:pt idx="54">
                  <c:v>-5.0457614604875722</c:v>
                </c:pt>
                <c:pt idx="55">
                  <c:v>-5.0414871192533637</c:v>
                </c:pt>
                <c:pt idx="56">
                  <c:v>-5.0371887128706279</c:v>
                </c:pt>
                <c:pt idx="57">
                  <c:v>-5.0328570223673417</c:v>
                </c:pt>
                <c:pt idx="58">
                  <c:v>-5.028482284913923</c:v>
                </c:pt>
                <c:pt idx="59">
                  <c:v>-5.0240540643466067</c:v>
                </c:pt>
                <c:pt idx="60">
                  <c:v>-5.0195611012117061</c:v>
                </c:pt>
                <c:pt idx="61">
                  <c:v>-5.0149911366106643</c:v>
                </c:pt>
                <c:pt idx="62">
                  <c:v>-5.0103307035402214</c:v>
                </c:pt>
                <c:pt idx="63">
                  <c:v>-5.0055648751702906</c:v>
                </c:pt>
                <c:pt idx="64">
                  <c:v>-5.0006769606431103</c:v>
                </c:pt>
                <c:pt idx="65">
                  <c:v>-4.9957233564051746</c:v>
                </c:pt>
                <c:pt idx="66">
                  <c:v>-4.9908596383252419</c:v>
                </c:pt>
                <c:pt idx="67">
                  <c:v>-4.9860846291690679</c:v>
                </c:pt>
                <c:pt idx="68">
                  <c:v>-4.9813912879869218</c:v>
                </c:pt>
                <c:pt idx="69">
                  <c:v>-4.9767729375805398</c:v>
                </c:pt>
                <c:pt idx="70">
                  <c:v>-4.972223221608294</c:v>
                </c:pt>
                <c:pt idx="71">
                  <c:v>-4.9677360643399666</c:v>
                </c:pt>
                <c:pt idx="72">
                  <c:v>-4.9633056332663275</c:v>
                </c:pt>
                <c:pt idx="73">
                  <c:v>-4.9589263037047253</c:v>
                </c:pt>
                <c:pt idx="74">
                  <c:v>-4.9545926248381278</c:v>
                </c:pt>
                <c:pt idx="75">
                  <c:v>-4.9502992870434612</c:v>
                </c:pt>
                <c:pt idx="76">
                  <c:v>-4.9460410895856297</c:v>
                </c:pt>
                <c:pt idx="77">
                  <c:v>-4.9418129088072966</c:v>
                </c:pt>
                <c:pt idx="78">
                  <c:v>-4.9376096650932242</c:v>
                </c:pt>
                <c:pt idx="79">
                  <c:v>-4.9334262895156975</c:v>
                </c:pt>
                <c:pt idx="80">
                  <c:v>-4.9292576884152748</c:v>
                </c:pt>
                <c:pt idx="81">
                  <c:v>-4.9250987053719744</c:v>
                </c:pt>
                <c:pt idx="82">
                  <c:v>-4.9209440803856577</c:v>
                </c:pt>
                <c:pt idx="83">
                  <c:v>-4.9167884032588836</c:v>
                </c:pt>
                <c:pt idx="84">
                  <c:v>-4.9126260624510536</c:v>
                </c:pt>
                <c:pt idx="85">
                  <c:v>-4.9084511849639743</c:v>
                </c:pt>
                <c:pt idx="86">
                  <c:v>-4.9042575674199043</c:v>
                </c:pt>
                <c:pt idx="87">
                  <c:v>-4.9000385930227237</c:v>
                </c:pt>
                <c:pt idx="88">
                  <c:v>-4.8957871323984863</c:v>
                </c:pt>
                <c:pt idx="89">
                  <c:v>-4.891495422276658</c:v>
                </c:pt>
                <c:pt idx="90">
                  <c:v>-4.887154914454733</c:v>
                </c:pt>
                <c:pt idx="91">
                  <c:v>-4.8823415902549749</c:v>
                </c:pt>
                <c:pt idx="92">
                  <c:v>-4.8775864059135356</c:v>
                </c:pt>
                <c:pt idx="93">
                  <c:v>-4.8728834368202243</c:v>
                </c:pt>
                <c:pt idx="94">
                  <c:v>-4.8682269601642227</c:v>
                </c:pt>
                <c:pt idx="95">
                  <c:v>-4.86361143467101</c:v>
                </c:pt>
                <c:pt idx="96">
                  <c:v>-4.8590314789140692</c:v>
                </c:pt>
                <c:pt idx="97">
                  <c:v>-4.8576671143503116</c:v>
                </c:pt>
                <c:pt idx="98">
                  <c:v>-4.8531818217464986</c:v>
                </c:pt>
                <c:pt idx="99">
                  <c:v>-4.848715822179007</c:v>
                </c:pt>
                <c:pt idx="100">
                  <c:v>-4.8442642317794062</c:v>
                </c:pt>
                <c:pt idx="101">
                  <c:v>-4.8398222256903383</c:v>
                </c:pt>
                <c:pt idx="102">
                  <c:v>-4.8353850173173702</c:v>
                </c:pt>
                <c:pt idx="103">
                  <c:v>-4.8309478389992115</c:v>
                </c:pt>
                <c:pt idx="104">
                  <c:v>-4.8265059209758032</c:v>
                </c:pt>
                <c:pt idx="105">
                  <c:v>-4.8220544711991487</c:v>
                </c:pt>
                <c:pt idx="106">
                  <c:v>-4.8175886535783823</c:v>
                </c:pt>
                <c:pt idx="107">
                  <c:v>-4.8131035662870438</c:v>
                </c:pt>
                <c:pt idx="108">
                  <c:v>-4.8085942186376327</c:v>
                </c:pt>
                <c:pt idx="109">
                  <c:v>-4.8040555070484388</c:v>
                </c:pt>
                <c:pt idx="110">
                  <c:v>-4.7994821896290052</c:v>
                </c:pt>
                <c:pt idx="111">
                  <c:v>-4.7948688587989547</c:v>
                </c:pt>
                <c:pt idx="112">
                  <c:v>-4.7902504609698404</c:v>
                </c:pt>
                <c:pt idx="113">
                  <c:v>-4.7859003857693541</c:v>
                </c:pt>
                <c:pt idx="114">
                  <c:v>-4.7818395433964369</c:v>
                </c:pt>
                <c:pt idx="115">
                  <c:v>-4.7780349591728921</c:v>
                </c:pt>
                <c:pt idx="116">
                  <c:v>-4.7744584393616778</c:v>
                </c:pt>
                <c:pt idx="117">
                  <c:v>-4.771085721910552</c:v>
                </c:pt>
                <c:pt idx="118">
                  <c:v>-4.7678958019271906</c:v>
                </c:pt>
                <c:pt idx="119">
                  <c:v>-4.7648703919999829</c:v>
                </c:pt>
                <c:pt idx="120">
                  <c:v>-4.7619934857828596</c:v>
                </c:pt>
                <c:pt idx="121">
                  <c:v>-4.7592510030912951</c:v>
                </c:pt>
                <c:pt idx="122">
                  <c:v>-4.756630499174535</c:v>
                </c:pt>
                <c:pt idx="123">
                  <c:v>-4.7541209244853633</c:v>
                </c:pt>
                <c:pt idx="124">
                  <c:v>-4.7517124253440306</c:v>
                </c:pt>
                <c:pt idx="125">
                  <c:v>-4.749396177263236</c:v>
                </c:pt>
                <c:pt idx="126">
                  <c:v>-4.7471642448244333</c:v>
                </c:pt>
                <c:pt idx="127">
                  <c:v>-4.7450094633187554</c:v>
                </c:pt>
                <c:pt idx="128">
                  <c:v>-4.7429253379922995</c:v>
                </c:pt>
                <c:pt idx="129">
                  <c:v>-4.7409059580614965</c:v>
                </c:pt>
                <c:pt idx="130">
                  <c:v>-4.7389459225893162</c:v>
                </c:pt>
                <c:pt idx="131">
                  <c:v>-4.7370402768452244</c:v>
                </c:pt>
                <c:pt idx="132">
                  <c:v>-4.7351844564598471</c:v>
                </c:pt>
                <c:pt idx="133">
                  <c:v>-4.7331001690530528</c:v>
                </c:pt>
                <c:pt idx="134">
                  <c:v>-4.7308932170558622</c:v>
                </c:pt>
                <c:pt idx="135">
                  <c:v>-4.7287592955826678</c:v>
                </c:pt>
                <c:pt idx="136">
                  <c:v>-4.7266931844445326</c:v>
                </c:pt>
                <c:pt idx="137">
                  <c:v>-4.7246900480630085</c:v>
                </c:pt>
                <c:pt idx="138">
                  <c:v>-4.7227453916759412</c:v>
                </c:pt>
                <c:pt idx="139">
                  <c:v>-4.72085502145453</c:v>
                </c:pt>
                <c:pt idx="140">
                  <c:v>-4.7190150089035487</c:v>
                </c:pt>
                <c:pt idx="141">
                  <c:v>-4.7172216579984454</c:v>
                </c:pt>
                <c:pt idx="142">
                  <c:v>-4.7154714748335964</c:v>
                </c:pt>
                <c:pt idx="143">
                  <c:v>-4.7137611396034913</c:v>
                </c:pt>
                <c:pt idx="144">
                  <c:v>-4.7120874794768186</c:v>
                </c:pt>
                <c:pt idx="145">
                  <c:v>-4.7104474429567116</c:v>
                </c:pt>
                <c:pt idx="146">
                  <c:v>-4.7088380742985363</c:v>
                </c:pt>
                <c:pt idx="147">
                  <c:v>-4.7072564881614962</c:v>
                </c:pt>
                <c:pt idx="148">
                  <c:v>-4.7056998432428712</c:v>
                </c:pt>
                <c:pt idx="149">
                  <c:v>-4.7041653151513092</c:v>
                </c:pt>
                <c:pt idx="150">
                  <c:v>-4.7026500667035513</c:v>
                </c:pt>
                <c:pt idx="151">
                  <c:v>-4.7011512155543409</c:v>
                </c:pt>
                <c:pt idx="152">
                  <c:v>-4.6996657979620302</c:v>
                </c:pt>
                <c:pt idx="153">
                  <c:v>-4.6981907264980851</c:v>
                </c:pt>
                <c:pt idx="154">
                  <c:v>-4.6967227413774086</c:v>
                </c:pt>
                <c:pt idx="155">
                  <c:v>-4.6952583515512103</c:v>
                </c:pt>
                <c:pt idx="156">
                  <c:v>-4.6937937636795795</c:v>
                </c:pt>
                <c:pt idx="157">
                  <c:v>-4.6923247940442305</c:v>
                </c:pt>
                <c:pt idx="158">
                  <c:v>-4.6908467582264031</c:v>
                </c:pt>
                <c:pt idx="159">
                  <c:v>-4.6893543312328827</c:v>
                </c:pt>
                <c:pt idx="160">
                  <c:v>-4.6878413655942337</c:v>
                </c:pt>
                <c:pt idx="161">
                  <c:v>-4.686300654117713</c:v>
                </c:pt>
                <c:pt idx="162">
                  <c:v>-4.6847236122694529</c:v>
                </c:pt>
                <c:pt idx="163">
                  <c:v>-4.6830998486005075</c:v>
                </c:pt>
                <c:pt idx="164">
                  <c:v>-4.6814165700979595</c:v>
                </c:pt>
                <c:pt idx="165">
                  <c:v>-4.6796577444701963</c:v>
                </c:pt>
                <c:pt idx="166">
                  <c:v>-4.6778028907487661</c:v>
                </c:pt>
                <c:pt idx="167">
                  <c:v>-4.6758252876851909</c:v>
                </c:pt>
                <c:pt idx="168">
                  <c:v>-4.6736892402423855</c:v>
                </c:pt>
                <c:pt idx="169">
                  <c:v>-4.6713457588187577</c:v>
                </c:pt>
                <c:pt idx="170">
                  <c:v>-4.6687254441514234</c:v>
                </c:pt>
                <c:pt idx="171">
                  <c:v>-4.6657261761710735</c:v>
                </c:pt>
                <c:pt idx="172">
                  <c:v>-4.6619809824358045</c:v>
                </c:pt>
                <c:pt idx="173">
                  <c:v>-4.6587988043469917</c:v>
                </c:pt>
                <c:pt idx="174">
                  <c:v>-4.653181896684746</c:v>
                </c:pt>
                <c:pt idx="175">
                  <c:v>-4.6454600302207458</c:v>
                </c:pt>
                <c:pt idx="176">
                  <c:v>-4.633608593365647</c:v>
                </c:pt>
                <c:pt idx="177">
                  <c:v>-4.6115498680874047</c:v>
                </c:pt>
                <c:pt idx="178">
                  <c:v>-4.5547800057935248</c:v>
                </c:pt>
                <c:pt idx="179">
                  <c:v>-4.4083841456759485</c:v>
                </c:pt>
                <c:pt idx="180">
                  <c:v>-3.1415926537508536</c:v>
                </c:pt>
                <c:pt idx="181">
                  <c:v>-1.874801161673469</c:v>
                </c:pt>
                <c:pt idx="182">
                  <c:v>-1.7284053013403027</c:v>
                </c:pt>
                <c:pt idx="183">
                  <c:v>-1.6716354392073205</c:v>
                </c:pt>
                <c:pt idx="184">
                  <c:v>-1.6495767137660653</c:v>
                </c:pt>
                <c:pt idx="185">
                  <c:v>-1.6377252769783925</c:v>
                </c:pt>
                <c:pt idx="186">
                  <c:v>-1.6300034105508676</c:v>
                </c:pt>
                <c:pt idx="187">
                  <c:v>-1.6243865028448505</c:v>
                </c:pt>
                <c:pt idx="188">
                  <c:v>-1.6212043247338559</c:v>
                </c:pt>
                <c:pt idx="189">
                  <c:v>-1.6174591310036941</c:v>
                </c:pt>
                <c:pt idx="190">
                  <c:v>-1.6144598629360232</c:v>
                </c:pt>
                <c:pt idx="191">
                  <c:v>-1.6118395483529653</c:v>
                </c:pt>
                <c:pt idx="192">
                  <c:v>-1.6094960668568621</c:v>
                </c:pt>
                <c:pt idx="193">
                  <c:v>-1.6073600195333841</c:v>
                </c:pt>
                <c:pt idx="194">
                  <c:v>-1.6053824164218449</c:v>
                </c:pt>
                <c:pt idx="195">
                  <c:v>-1.6035275627363645</c:v>
                </c:pt>
                <c:pt idx="196">
                  <c:v>-1.601768737083481</c:v>
                </c:pt>
                <c:pt idx="197">
                  <c:v>-1.6000854585617852</c:v>
                </c:pt>
                <c:pt idx="198">
                  <c:v>-1.5984616948554211</c:v>
                </c:pt>
                <c:pt idx="199">
                  <c:v>-1.5968846530245644</c:v>
                </c:pt>
                <c:pt idx="200">
                  <c:v>-1.5953439415200745</c:v>
                </c:pt>
                <c:pt idx="201">
                  <c:v>-1.5938309759360285</c:v>
                </c:pt>
                <c:pt idx="202">
                  <c:v>-1.5923385489497262</c:v>
                </c:pt>
                <c:pt idx="203">
                  <c:v>-1.5908605131629989</c:v>
                </c:pt>
                <c:pt idx="204">
                  <c:v>-1.5893915434821841</c:v>
                </c:pt>
                <c:pt idx="205">
                  <c:v>-1.5879269556229907</c:v>
                </c:pt>
                <c:pt idx="206">
                  <c:v>-1.5864625658403464</c:v>
                </c:pt>
                <c:pt idx="207">
                  <c:v>-1.584994580718065</c:v>
                </c:pt>
                <c:pt idx="208">
                  <c:v>-1.5835195092236716</c:v>
                </c:pt>
                <c:pt idx="209">
                  <c:v>-1.5820340915964834</c:v>
                </c:pt>
                <c:pt idx="210">
                  <c:v>-1.58053524045158</c:v>
                </c:pt>
                <c:pt idx="211">
                  <c:v>-1.5790199920248771</c:v>
                </c:pt>
                <c:pt idx="212">
                  <c:v>-1.577485463919436</c:v>
                </c:pt>
                <c:pt idx="213">
                  <c:v>-1.575928819013187</c:v>
                </c:pt>
                <c:pt idx="214">
                  <c:v>-1.57434723285379</c:v>
                </c:pt>
                <c:pt idx="215">
                  <c:v>-1.5727378642543761</c:v>
                </c:pt>
                <c:pt idx="216">
                  <c:v>-1.5710978277112808</c:v>
                </c:pt>
                <c:pt idx="217">
                  <c:v>-1.569424167598217</c:v>
                </c:pt>
                <c:pt idx="218">
                  <c:v>-1.5677138323704585</c:v>
                </c:pt>
                <c:pt idx="219">
                  <c:v>-1.5659636491977025</c:v>
                </c:pt>
                <c:pt idx="220">
                  <c:v>-1.5641702982755434</c:v>
                </c:pt>
                <c:pt idx="221">
                  <c:v>-1.5623302857231307</c:v>
                </c:pt>
                <c:pt idx="222">
                  <c:v>-1.5604399155420521</c:v>
                </c:pt>
                <c:pt idx="223">
                  <c:v>-1.5584952591176535</c:v>
                </c:pt>
                <c:pt idx="224">
                  <c:v>-1.5564921227488366</c:v>
                </c:pt>
                <c:pt idx="225">
                  <c:v>-1.5544260115406798</c:v>
                </c:pt>
                <c:pt idx="226">
                  <c:v>-1.5522920900925297</c:v>
                </c:pt>
                <c:pt idx="227">
                  <c:v>-1.5500851381280747</c:v>
                </c:pt>
                <c:pt idx="228">
                  <c:v>-1.5480008507009217</c:v>
                </c:pt>
                <c:pt idx="229">
                  <c:v>-1.5461450303172675</c:v>
                </c:pt>
                <c:pt idx="230">
                  <c:v>-1.544239384554962</c:v>
                </c:pt>
                <c:pt idx="231">
                  <c:v>-1.5422793491523008</c:v>
                </c:pt>
                <c:pt idx="232">
                  <c:v>-1.5402599691646193</c:v>
                </c:pt>
                <c:pt idx="233">
                  <c:v>-1.5381758438222519</c:v>
                </c:pt>
                <c:pt idx="234">
                  <c:v>-1.5360210623486608</c:v>
                </c:pt>
                <c:pt idx="235">
                  <c:v>-1.5337891299191049</c:v>
                </c:pt>
                <c:pt idx="236">
                  <c:v>-1.5314728818172949</c:v>
                </c:pt>
                <c:pt idx="237">
                  <c:v>-1.5290643827071471</c:v>
                </c:pt>
                <c:pt idx="238">
                  <c:v>-1.5265548080272471</c:v>
                </c:pt>
                <c:pt idx="239">
                  <c:v>-1.523934304093336</c:v>
                </c:pt>
                <c:pt idx="240">
                  <c:v>-1.5211918213934941</c:v>
                </c:pt>
                <c:pt idx="241">
                  <c:v>-1.5183149151595345</c:v>
                </c:pt>
                <c:pt idx="242">
                  <c:v>-1.5152895052523514</c:v>
                </c:pt>
                <c:pt idx="243">
                  <c:v>-1.5120995852908485</c:v>
                </c:pt>
                <c:pt idx="244">
                  <c:v>-1.5087268677806742</c:v>
                </c:pt>
                <c:pt idx="245">
                  <c:v>-1.5051503479906652</c:v>
                </c:pt>
                <c:pt idx="246">
                  <c:v>-1.5013457637625836</c:v>
                </c:pt>
                <c:pt idx="247">
                  <c:v>-1.4972849213927888</c:v>
                </c:pt>
                <c:pt idx="248">
                  <c:v>-1.4929348462182548</c:v>
                </c:pt>
                <c:pt idx="249">
                  <c:v>-1.488256702233979</c:v>
                </c:pt>
                <c:pt idx="250">
                  <c:v>-1.4832044040593806</c:v>
                </c:pt>
                <c:pt idx="251">
                  <c:v>-1.4777228127759714</c:v>
                </c:pt>
                <c:pt idx="252">
                  <c:v>-1.471745362428748</c:v>
                </c:pt>
                <c:pt idx="253">
                  <c:v>-1.4651908948521271</c:v>
                </c:pt>
                <c:pt idx="254">
                  <c:v>-1.4579593752184528</c:v>
                </c:pt>
                <c:pt idx="255">
                  <c:v>-1.4499259972320149</c:v>
                </c:pt>
                <c:pt idx="256">
                  <c:v>-1.4409329215230215</c:v>
                </c:pt>
                <c:pt idx="257">
                  <c:v>-1.4307774584385826</c:v>
                </c:pt>
                <c:pt idx="258">
                  <c:v>-1.4191947679222705</c:v>
                </c:pt>
                <c:pt idx="259">
                  <c:v>-1.4058318605599744</c:v>
                </c:pt>
                <c:pt idx="260">
                  <c:v>-1.3963686565376001</c:v>
                </c:pt>
                <c:pt idx="261">
                  <c:v>-1.3781937775094038</c:v>
                </c:pt>
                <c:pt idx="262">
                  <c:v>-1.3561614722276303</c:v>
                </c:pt>
                <c:pt idx="263">
                  <c:v>-1.3288184615687979</c:v>
                </c:pt>
                <c:pt idx="264">
                  <c:v>-1.2949305158219044</c:v>
                </c:pt>
                <c:pt idx="265">
                  <c:v>-1.2597348620714568</c:v>
                </c:pt>
                <c:pt idx="266">
                  <c:v>-1.2243926810219918</c:v>
                </c:pt>
                <c:pt idx="267">
                  <c:v>-1.188846232160417</c:v>
                </c:pt>
                <c:pt idx="268">
                  <c:v>-1.1530465259052574</c:v>
                </c:pt>
                <c:pt idx="269">
                  <c:v>-1.1169577807531708</c:v>
                </c:pt>
                <c:pt idx="270">
                  <c:v>-1.0805625173648332</c:v>
                </c:pt>
                <c:pt idx="271">
                  <c:v>-1.0595610208329118</c:v>
                </c:pt>
                <c:pt idx="272">
                  <c:v>-1.038880106989772</c:v>
                </c:pt>
                <c:pt idx="273">
                  <c:v>-1.0184790971690489</c:v>
                </c:pt>
                <c:pt idx="274">
                  <c:v>-0.9983223949286617</c:v>
                </c:pt>
                <c:pt idx="275">
                  <c:v>-0.9783782014719451</c:v>
                </c:pt>
                <c:pt idx="276">
                  <c:v>-0.95861763295117708</c:v>
                </c:pt>
                <c:pt idx="277">
                  <c:v>-0.93901409234242728</c:v>
                </c:pt>
                <c:pt idx="278">
                  <c:v>-0.91954280874723349</c:v>
                </c:pt>
                <c:pt idx="279">
                  <c:v>-0.90148002961326323</c:v>
                </c:pt>
                <c:pt idx="280">
                  <c:v>-0.88572661696297983</c:v>
                </c:pt>
                <c:pt idx="281">
                  <c:v>-0.87168135992960138</c:v>
                </c:pt>
                <c:pt idx="282">
                  <c:v>-0.85894304977431135</c:v>
                </c:pt>
                <c:pt idx="283">
                  <c:v>-0.84723263085579426</c:v>
                </c:pt>
                <c:pt idx="284">
                  <c:v>-0.83634890490802238</c:v>
                </c:pt>
                <c:pt idx="285">
                  <c:v>-0.82614233104090617</c:v>
                </c:pt>
                <c:pt idx="286">
                  <c:v>-0.81649882520320904</c:v>
                </c:pt>
                <c:pt idx="287">
                  <c:v>-0.8073293571463811</c:v>
                </c:pt>
                <c:pt idx="288">
                  <c:v>-0.79856304885321494</c:v>
                </c:pt>
                <c:pt idx="289">
                  <c:v>-0.79014246422824908</c:v>
                </c:pt>
                <c:pt idx="290">
                  <c:v>-0.78202031267840155</c:v>
                </c:pt>
                <c:pt idx="291">
                  <c:v>-0.77415709037222324</c:v>
                </c:pt>
                <c:pt idx="292">
                  <c:v>-0.76651935839102947</c:v>
                </c:pt>
                <c:pt idx="293">
                  <c:v>-0.75907846290144132</c:v>
                </c:pt>
                <c:pt idx="294">
                  <c:v>-0.75180956814998812</c:v>
                </c:pt>
                <c:pt idx="295">
                  <c:v>-0.74469091452551961</c:v>
                </c:pt>
                <c:pt idx="296">
                  <c:v>-0.73770324137200483</c:v>
                </c:pt>
                <c:pt idx="297">
                  <c:v>-0.73082933184994703</c:v>
                </c:pt>
                <c:pt idx="298">
                  <c:v>-0.72622328127287128</c:v>
                </c:pt>
                <c:pt idx="299">
                  <c:v>-0.72220519094596369</c:v>
                </c:pt>
                <c:pt idx="300">
                  <c:v>-0.71830325786932914</c:v>
                </c:pt>
                <c:pt idx="301">
                  <c:v>-0.71450494341604065</c:v>
                </c:pt>
                <c:pt idx="302">
                  <c:v>-0.7107989552548224</c:v>
                </c:pt>
                <c:pt idx="303">
                  <c:v>-0.70717505784065393</c:v>
                </c:pt>
                <c:pt idx="304">
                  <c:v>-0.7036239135083977</c:v>
                </c:pt>
                <c:pt idx="305">
                  <c:v>-0.70013694795806636</c:v>
                </c:pt>
                <c:pt idx="306">
                  <c:v>-0.69670623563578626</c:v>
                </c:pt>
                <c:pt idx="307">
                  <c:v>-0.69332440106159954</c:v>
                </c:pt>
                <c:pt idx="308">
                  <c:v>-0.68998453314986818</c:v>
                </c:pt>
                <c:pt idx="309">
                  <c:v>-0.68668011009479013</c:v>
                </c:pt>
                <c:pt idx="310">
                  <c:v>-0.68340493261950641</c:v>
                </c:pt>
                <c:pt idx="311">
                  <c:v>-0.68015306429803779</c:v>
                </c:pt>
                <c:pt idx="312">
                  <c:v>-0.67691877705642067</c:v>
                </c:pt>
                <c:pt idx="313">
                  <c:v>-0.67369650107995271</c:v>
                </c:pt>
                <c:pt idx="314">
                  <c:v>-0.67048077781804682</c:v>
                </c:pt>
                <c:pt idx="315">
                  <c:v>-0.66726621521850316</c:v>
                </c:pt>
                <c:pt idx="316">
                  <c:v>-0.66404744440403674</c:v>
                </c:pt>
                <c:pt idx="317">
                  <c:v>-0.66081907680355378</c:v>
                </c:pt>
                <c:pt idx="318">
                  <c:v>-0.65757566123739419</c:v>
                </c:pt>
                <c:pt idx="319">
                  <c:v>-0.65431163974125317</c:v>
                </c:pt>
                <c:pt idx="320">
                  <c:v>-0.65102130181973106</c:v>
                </c:pt>
                <c:pt idx="321">
                  <c:v>-0.64769873579630133</c:v>
                </c:pt>
                <c:pt idx="322">
                  <c:v>-0.64433777648566526</c:v>
                </c:pt>
                <c:pt idx="323">
                  <c:v>-0.64093194823041033</c:v>
                </c:pt>
                <c:pt idx="324">
                  <c:v>-0.63747440162143132</c:v>
                </c:pt>
                <c:pt idx="325">
                  <c:v>-0.63395784301092828</c:v>
                </c:pt>
                <c:pt idx="326">
                  <c:v>-0.630374454376601</c:v>
                </c:pt>
                <c:pt idx="327">
                  <c:v>-0.62671580210860034</c:v>
                </c:pt>
                <c:pt idx="328">
                  <c:v>-0.62297273149291055</c:v>
                </c:pt>
                <c:pt idx="329">
                  <c:v>-0.61920367627974038</c:v>
                </c:pt>
                <c:pt idx="330">
                  <c:v>-0.61554915152734235</c:v>
                </c:pt>
                <c:pt idx="331">
                  <c:v>-0.61200682127956352</c:v>
                </c:pt>
                <c:pt idx="332">
                  <c:v>-0.60856966989983263</c:v>
                </c:pt>
                <c:pt idx="333">
                  <c:v>-0.60523120307844369</c:v>
                </c:pt>
                <c:pt idx="334">
                  <c:v>-0.60198539891264291</c:v>
                </c:pt>
                <c:pt idx="335">
                  <c:v>-0.59882666413578667</c:v>
                </c:pt>
                <c:pt idx="336">
                  <c:v>-0.59574979514890858</c:v>
                </c:pt>
                <c:pt idx="337">
                  <c:v>-0.59274994306864315</c:v>
                </c:pt>
                <c:pt idx="338">
                  <c:v>-0.58982258239211882</c:v>
                </c:pt>
                <c:pt idx="339">
                  <c:v>-0.58696348277563626</c:v>
                </c:pt>
                <c:pt idx="340">
                  <c:v>-0.58416868373635999</c:v>
                </c:pt>
                <c:pt idx="341">
                  <c:v>-0.58143447169810791</c:v>
                </c:pt>
                <c:pt idx="342">
                  <c:v>-0.57875735932235495</c:v>
                </c:pt>
                <c:pt idx="343">
                  <c:v>-0.57613406672061585</c:v>
                </c:pt>
                <c:pt idx="344">
                  <c:v>-0.57356150449569343</c:v>
                </c:pt>
                <c:pt idx="345">
                  <c:v>-0.57103675825750466</c:v>
                </c:pt>
                <c:pt idx="346">
                  <c:v>-0.56855707448851422</c:v>
                </c:pt>
                <c:pt idx="347">
                  <c:v>-0.56611984776353141</c:v>
                </c:pt>
                <c:pt idx="348">
                  <c:v>-0.56372260900722049</c:v>
                </c:pt>
                <c:pt idx="349">
                  <c:v>-0.56136301472070027</c:v>
                </c:pt>
                <c:pt idx="350">
                  <c:v>-0.55903883708610191</c:v>
                </c:pt>
                <c:pt idx="351">
                  <c:v>-0.55674795498963503</c:v>
                </c:pt>
                <c:pt idx="352">
                  <c:v>-0.55448834560823368</c:v>
                </c:pt>
                <c:pt idx="353">
                  <c:v>-0.55225807678316352</c:v>
                </c:pt>
                <c:pt idx="354">
                  <c:v>-0.55005529985526413</c:v>
                </c:pt>
                <c:pt idx="355">
                  <c:v>-0.54787824311561506</c:v>
                </c:pt>
                <c:pt idx="356">
                  <c:v>-0.54572520567901694</c:v>
                </c:pt>
                <c:pt idx="357">
                  <c:v>-0.54359455182846084</c:v>
                </c:pt>
                <c:pt idx="358">
                  <c:v>-0.54148470574719143</c:v>
                </c:pt>
                <c:pt idx="359">
                  <c:v>-0.53939414648761197</c:v>
                </c:pt>
                <c:pt idx="360">
                  <c:v>-0.53732140346909985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3.5711928900154444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-3.2202684963067441E-11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3.1415926535897931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4.7123889803846897</c:v>
                </c:pt>
                <c:pt idx="1">
                  <c:v>1.5707963267948966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5"/>
          <c:tx>
            <c:v>second_phase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L_Section_Capacity!$BC$2:$BC$182</c:f>
              <c:numCache>
                <c:formatCode>General</c:formatCode>
                <c:ptCount val="181"/>
                <c:pt idx="0">
                  <c:v>-0.53732140346909674</c:v>
                </c:pt>
                <c:pt idx="1">
                  <c:v>-0.53526505201388286</c:v>
                </c:pt>
                <c:pt idx="2">
                  <c:v>-0.53322370938184172</c:v>
                </c:pt>
                <c:pt idx="3">
                  <c:v>-0.53119603082476896</c:v>
                </c:pt>
                <c:pt idx="4">
                  <c:v>-0.52918070595717115</c:v>
                </c:pt>
                <c:pt idx="5">
                  <c:v>-0.52717645537436475</c:v>
                </c:pt>
                <c:pt idx="6">
                  <c:v>-0.52518202722645935</c:v>
                </c:pt>
                <c:pt idx="7">
                  <c:v>-0.52319619420459329</c:v>
                </c:pt>
                <c:pt idx="8">
                  <c:v>-0.52121775040537521</c:v>
                </c:pt>
                <c:pt idx="9">
                  <c:v>-0.51924550854028473</c:v>
                </c:pt>
                <c:pt idx="10">
                  <c:v>-0.51727829704275363</c:v>
                </c:pt>
                <c:pt idx="11">
                  <c:v>-0.51531495745078804</c:v>
                </c:pt>
                <c:pt idx="12">
                  <c:v>-0.51335434168772265</c:v>
                </c:pt>
                <c:pt idx="13">
                  <c:v>-0.51139530952996726</c:v>
                </c:pt>
                <c:pt idx="14">
                  <c:v>-0.50943672608619117</c:v>
                </c:pt>
                <c:pt idx="15">
                  <c:v>-0.50747745929730304</c:v>
                </c:pt>
                <c:pt idx="16">
                  <c:v>-0.50199522799503793</c:v>
                </c:pt>
                <c:pt idx="17">
                  <c:v>-0.48098583955240715</c:v>
                </c:pt>
                <c:pt idx="18">
                  <c:v>-0.4484368159191634</c:v>
                </c:pt>
                <c:pt idx="19">
                  <c:v>-0.40662849277428181</c:v>
                </c:pt>
                <c:pt idx="20">
                  <c:v>-0.35615616227175018</c:v>
                </c:pt>
                <c:pt idx="21">
                  <c:v>-0.29677213380657719</c:v>
                </c:pt>
                <c:pt idx="22">
                  <c:v>-0.22772505863694192</c:v>
                </c:pt>
                <c:pt idx="23">
                  <c:v>-0.14795165675754118</c:v>
                </c:pt>
                <c:pt idx="24">
                  <c:v>-5.8170537733492012E-2</c:v>
                </c:pt>
                <c:pt idx="25">
                  <c:v>-6.2456847250412384</c:v>
                </c:pt>
                <c:pt idx="26">
                  <c:v>-6.1457263834103628</c:v>
                </c:pt>
                <c:pt idx="27">
                  <c:v>-6.0433407266629695</c:v>
                </c:pt>
                <c:pt idx="28">
                  <c:v>-5.9406332926010359</c:v>
                </c:pt>
                <c:pt idx="29">
                  <c:v>-5.8338358088871942</c:v>
                </c:pt>
                <c:pt idx="30">
                  <c:v>-5.7085048662995046</c:v>
                </c:pt>
                <c:pt idx="31">
                  <c:v>-5.5937580987096078</c:v>
                </c:pt>
                <c:pt idx="32">
                  <c:v>-5.4913792687122838</c:v>
                </c:pt>
                <c:pt idx="33">
                  <c:v>-5.4019663498926622</c:v>
                </c:pt>
                <c:pt idx="34">
                  <c:v>-5.3253271221794014</c:v>
                </c:pt>
                <c:pt idx="35">
                  <c:v>-5.2608830304437157</c:v>
                </c:pt>
                <c:pt idx="36">
                  <c:v>-5.2079897243524682</c:v>
                </c:pt>
                <c:pt idx="37">
                  <c:v>-5.1661673346413073</c:v>
                </c:pt>
                <c:pt idx="38">
                  <c:v>-5.1352747137074815</c:v>
                </c:pt>
                <c:pt idx="39">
                  <c:v>-5.1156763064897994</c:v>
                </c:pt>
                <c:pt idx="40">
                  <c:v>-5.1077520618647743</c:v>
                </c:pt>
                <c:pt idx="41">
                  <c:v>-5.1029318842514471</c:v>
                </c:pt>
                <c:pt idx="42">
                  <c:v>-5.0982097300337506</c:v>
                </c:pt>
                <c:pt idx="43">
                  <c:v>-5.0935748970298356</c:v>
                </c:pt>
                <c:pt idx="44">
                  <c:v>-5.089017334107659</c:v>
                </c:pt>
                <c:pt idx="45">
                  <c:v>-5.0845275371716383</c:v>
                </c:pt>
                <c:pt idx="46">
                  <c:v>-5.0800964559127797</c:v>
                </c:pt>
                <c:pt idx="47">
                  <c:v>-5.0757154079558449</c:v>
                </c:pt>
                <c:pt idx="48">
                  <c:v>-5.0713759991268219</c:v>
                </c:pt>
                <c:pt idx="49">
                  <c:v>-5.0670700472822947</c:v>
                </c:pt>
                <c:pt idx="50">
                  <c:v>-5.0627895095564597</c:v>
                </c:pt>
                <c:pt idx="51">
                  <c:v>-5.058526410381651</c:v>
                </c:pt>
                <c:pt idx="52">
                  <c:v>-5.0542727687158457</c:v>
                </c:pt>
                <c:pt idx="53">
                  <c:v>-5.0500205245347374</c:v>
                </c:pt>
                <c:pt idx="54">
                  <c:v>-5.0457614604875722</c:v>
                </c:pt>
                <c:pt idx="55">
                  <c:v>-5.0414871192533637</c:v>
                </c:pt>
                <c:pt idx="56">
                  <c:v>-5.0371887128706279</c:v>
                </c:pt>
                <c:pt idx="57">
                  <c:v>-5.0328570223673417</c:v>
                </c:pt>
                <c:pt idx="58">
                  <c:v>-5.028482284913923</c:v>
                </c:pt>
                <c:pt idx="59">
                  <c:v>-5.0240540643466067</c:v>
                </c:pt>
                <c:pt idx="60">
                  <c:v>-5.0195611012117061</c:v>
                </c:pt>
                <c:pt idx="61">
                  <c:v>-5.0149911366106643</c:v>
                </c:pt>
                <c:pt idx="62">
                  <c:v>-5.0103307035402214</c:v>
                </c:pt>
                <c:pt idx="63">
                  <c:v>-5.0055648751702906</c:v>
                </c:pt>
                <c:pt idx="64">
                  <c:v>-5.0006769606431103</c:v>
                </c:pt>
                <c:pt idx="65">
                  <c:v>-4.9957233564051746</c:v>
                </c:pt>
                <c:pt idx="66">
                  <c:v>-4.9908596383252419</c:v>
                </c:pt>
                <c:pt idx="67">
                  <c:v>-4.9860846291690679</c:v>
                </c:pt>
                <c:pt idx="68">
                  <c:v>-4.9813912879869218</c:v>
                </c:pt>
                <c:pt idx="69">
                  <c:v>-4.9767729375805398</c:v>
                </c:pt>
                <c:pt idx="70">
                  <c:v>-4.972223221608294</c:v>
                </c:pt>
                <c:pt idx="71">
                  <c:v>-4.9677360643399666</c:v>
                </c:pt>
                <c:pt idx="72">
                  <c:v>-4.9633056332663275</c:v>
                </c:pt>
                <c:pt idx="73">
                  <c:v>-4.9589263037047253</c:v>
                </c:pt>
                <c:pt idx="74">
                  <c:v>-4.9545926248381278</c:v>
                </c:pt>
                <c:pt idx="75">
                  <c:v>-4.9502992870434612</c:v>
                </c:pt>
                <c:pt idx="76">
                  <c:v>-4.9460410895856297</c:v>
                </c:pt>
                <c:pt idx="77">
                  <c:v>-4.9418129088072966</c:v>
                </c:pt>
                <c:pt idx="78">
                  <c:v>-4.9376096650932242</c:v>
                </c:pt>
                <c:pt idx="79">
                  <c:v>-4.9334262895156975</c:v>
                </c:pt>
                <c:pt idx="80">
                  <c:v>-4.9292576884152748</c:v>
                </c:pt>
                <c:pt idx="81">
                  <c:v>-4.9250987053719744</c:v>
                </c:pt>
                <c:pt idx="82">
                  <c:v>-4.9209440803856577</c:v>
                </c:pt>
                <c:pt idx="83">
                  <c:v>-4.9167884032588836</c:v>
                </c:pt>
                <c:pt idx="84">
                  <c:v>-4.9126260624510536</c:v>
                </c:pt>
                <c:pt idx="85">
                  <c:v>-4.9084511849639743</c:v>
                </c:pt>
                <c:pt idx="86">
                  <c:v>-4.9042575674199043</c:v>
                </c:pt>
                <c:pt idx="87">
                  <c:v>-4.9000385930227237</c:v>
                </c:pt>
                <c:pt idx="88">
                  <c:v>-4.8957871323984863</c:v>
                </c:pt>
                <c:pt idx="89">
                  <c:v>-4.891495422276658</c:v>
                </c:pt>
                <c:pt idx="90">
                  <c:v>-4.887154914454733</c:v>
                </c:pt>
                <c:pt idx="91">
                  <c:v>-4.8823415902549749</c:v>
                </c:pt>
                <c:pt idx="92">
                  <c:v>-4.8775864059135356</c:v>
                </c:pt>
                <c:pt idx="93">
                  <c:v>-4.8728834368202243</c:v>
                </c:pt>
                <c:pt idx="94">
                  <c:v>-4.8682269601642227</c:v>
                </c:pt>
                <c:pt idx="95">
                  <c:v>-4.86361143467101</c:v>
                </c:pt>
                <c:pt idx="96">
                  <c:v>-4.8590314789140692</c:v>
                </c:pt>
                <c:pt idx="97">
                  <c:v>-4.8576671143503116</c:v>
                </c:pt>
                <c:pt idx="98">
                  <c:v>-4.8531818217464986</c:v>
                </c:pt>
                <c:pt idx="99">
                  <c:v>-4.848715822179007</c:v>
                </c:pt>
                <c:pt idx="100">
                  <c:v>-4.8442642317794062</c:v>
                </c:pt>
                <c:pt idx="101">
                  <c:v>-4.8398222256903383</c:v>
                </c:pt>
                <c:pt idx="102">
                  <c:v>-4.8353850173173702</c:v>
                </c:pt>
                <c:pt idx="103">
                  <c:v>-4.8309478389992115</c:v>
                </c:pt>
                <c:pt idx="104">
                  <c:v>-4.8265059209758032</c:v>
                </c:pt>
                <c:pt idx="105">
                  <c:v>-4.8220544711991487</c:v>
                </c:pt>
                <c:pt idx="106">
                  <c:v>-4.8175886535783823</c:v>
                </c:pt>
                <c:pt idx="107">
                  <c:v>-4.8131035662870438</c:v>
                </c:pt>
                <c:pt idx="108">
                  <c:v>-4.8085942186376327</c:v>
                </c:pt>
                <c:pt idx="109">
                  <c:v>-4.8040555070484388</c:v>
                </c:pt>
                <c:pt idx="110">
                  <c:v>-4.7994821896290052</c:v>
                </c:pt>
                <c:pt idx="111">
                  <c:v>-4.7948688587989547</c:v>
                </c:pt>
                <c:pt idx="112">
                  <c:v>-4.7902504609698404</c:v>
                </c:pt>
                <c:pt idx="113">
                  <c:v>-4.7859003857693541</c:v>
                </c:pt>
                <c:pt idx="114">
                  <c:v>-4.7818395433964369</c:v>
                </c:pt>
                <c:pt idx="115">
                  <c:v>-4.7780349591728921</c:v>
                </c:pt>
                <c:pt idx="116">
                  <c:v>-4.7744584393616778</c:v>
                </c:pt>
                <c:pt idx="117">
                  <c:v>-4.771085721910552</c:v>
                </c:pt>
                <c:pt idx="118">
                  <c:v>-4.7678958019271906</c:v>
                </c:pt>
                <c:pt idx="119">
                  <c:v>-4.7648703919999829</c:v>
                </c:pt>
                <c:pt idx="120">
                  <c:v>-4.7619934857828596</c:v>
                </c:pt>
                <c:pt idx="121">
                  <c:v>-4.7592510030912951</c:v>
                </c:pt>
                <c:pt idx="122">
                  <c:v>-4.756630499174535</c:v>
                </c:pt>
                <c:pt idx="123">
                  <c:v>-4.7541209244853633</c:v>
                </c:pt>
                <c:pt idx="124">
                  <c:v>-4.7517124253440306</c:v>
                </c:pt>
                <c:pt idx="125">
                  <c:v>-4.749396177263236</c:v>
                </c:pt>
                <c:pt idx="126">
                  <c:v>-4.7471642448244333</c:v>
                </c:pt>
                <c:pt idx="127">
                  <c:v>-4.7450094633187554</c:v>
                </c:pt>
                <c:pt idx="128">
                  <c:v>-4.7429253379922995</c:v>
                </c:pt>
                <c:pt idx="129">
                  <c:v>-4.7409059580614965</c:v>
                </c:pt>
                <c:pt idx="130">
                  <c:v>-4.7389459225893162</c:v>
                </c:pt>
                <c:pt idx="131">
                  <c:v>-4.7370402768452244</c:v>
                </c:pt>
                <c:pt idx="132">
                  <c:v>-4.7351844564598471</c:v>
                </c:pt>
                <c:pt idx="133">
                  <c:v>-4.7331001690530528</c:v>
                </c:pt>
                <c:pt idx="134">
                  <c:v>-4.7308932170558622</c:v>
                </c:pt>
                <c:pt idx="135">
                  <c:v>-4.7287592955826678</c:v>
                </c:pt>
                <c:pt idx="136">
                  <c:v>-4.7266931844445326</c:v>
                </c:pt>
                <c:pt idx="137">
                  <c:v>-4.7246900480630085</c:v>
                </c:pt>
                <c:pt idx="138">
                  <c:v>-4.7227453916759412</c:v>
                </c:pt>
                <c:pt idx="139">
                  <c:v>-4.72085502145453</c:v>
                </c:pt>
                <c:pt idx="140">
                  <c:v>-4.7190150089035487</c:v>
                </c:pt>
                <c:pt idx="141">
                  <c:v>-4.7172216579984454</c:v>
                </c:pt>
                <c:pt idx="142">
                  <c:v>-4.7154714748335964</c:v>
                </c:pt>
                <c:pt idx="143">
                  <c:v>-4.7137611396034913</c:v>
                </c:pt>
                <c:pt idx="144">
                  <c:v>-4.7120874794768186</c:v>
                </c:pt>
                <c:pt idx="145">
                  <c:v>-4.7104474429567116</c:v>
                </c:pt>
                <c:pt idx="146">
                  <c:v>-4.7088380742985363</c:v>
                </c:pt>
                <c:pt idx="147">
                  <c:v>-4.7072564881614962</c:v>
                </c:pt>
                <c:pt idx="148">
                  <c:v>-4.7056998432428712</c:v>
                </c:pt>
                <c:pt idx="149">
                  <c:v>-4.7041653151513092</c:v>
                </c:pt>
                <c:pt idx="150">
                  <c:v>-4.7026500667035513</c:v>
                </c:pt>
                <c:pt idx="151">
                  <c:v>-4.7011512155543409</c:v>
                </c:pt>
                <c:pt idx="152">
                  <c:v>-4.6996657979620302</c:v>
                </c:pt>
                <c:pt idx="153">
                  <c:v>-4.6981907264980851</c:v>
                </c:pt>
                <c:pt idx="154">
                  <c:v>-4.6967227413774086</c:v>
                </c:pt>
                <c:pt idx="155">
                  <c:v>-4.6952583515512103</c:v>
                </c:pt>
                <c:pt idx="156">
                  <c:v>-4.6937937636795795</c:v>
                </c:pt>
                <c:pt idx="157">
                  <c:v>-4.6923247940442305</c:v>
                </c:pt>
                <c:pt idx="158">
                  <c:v>-4.6908467582264031</c:v>
                </c:pt>
                <c:pt idx="159">
                  <c:v>-4.6893543312328827</c:v>
                </c:pt>
                <c:pt idx="160">
                  <c:v>-4.6878413655942337</c:v>
                </c:pt>
                <c:pt idx="161">
                  <c:v>-4.686300654117713</c:v>
                </c:pt>
                <c:pt idx="162">
                  <c:v>-4.6847236122694529</c:v>
                </c:pt>
                <c:pt idx="163">
                  <c:v>-4.6830998486005075</c:v>
                </c:pt>
                <c:pt idx="164">
                  <c:v>-4.6814165700979595</c:v>
                </c:pt>
                <c:pt idx="165">
                  <c:v>-4.6796577444701963</c:v>
                </c:pt>
                <c:pt idx="166">
                  <c:v>-4.6778028907487661</c:v>
                </c:pt>
                <c:pt idx="167">
                  <c:v>-4.6758252876851909</c:v>
                </c:pt>
                <c:pt idx="168">
                  <c:v>-4.6736892402423855</c:v>
                </c:pt>
                <c:pt idx="169">
                  <c:v>-4.6713457588187577</c:v>
                </c:pt>
                <c:pt idx="170">
                  <c:v>-4.6687254441514234</c:v>
                </c:pt>
                <c:pt idx="171">
                  <c:v>-4.6657261761710735</c:v>
                </c:pt>
                <c:pt idx="172">
                  <c:v>-4.6619809824358045</c:v>
                </c:pt>
                <c:pt idx="173">
                  <c:v>-4.6587988043469917</c:v>
                </c:pt>
                <c:pt idx="174">
                  <c:v>-4.653181896684746</c:v>
                </c:pt>
                <c:pt idx="175">
                  <c:v>-4.6454600302207458</c:v>
                </c:pt>
                <c:pt idx="176">
                  <c:v>-4.633608593365647</c:v>
                </c:pt>
                <c:pt idx="177">
                  <c:v>-4.6115498680874047</c:v>
                </c:pt>
                <c:pt idx="178">
                  <c:v>-4.5547800057935248</c:v>
                </c:pt>
                <c:pt idx="179">
                  <c:v>-4.4083841456759485</c:v>
                </c:pt>
                <c:pt idx="180">
                  <c:v>-3.1415926537508536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1-40B2-91DC-FB8FE007ECD6}"/>
            </c:ext>
          </c:extLst>
        </c:ser>
        <c:ser>
          <c:idx val="6"/>
          <c:order val="6"/>
          <c:tx>
            <c:v>second_phase_absolute</c:v>
          </c:tx>
          <c:spPr>
            <a:ln w="1270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L_Section_Capacity!$BD$2:$BD$182</c:f>
              <c:numCache>
                <c:formatCode>General</c:formatCode>
                <c:ptCount val="181"/>
                <c:pt idx="0">
                  <c:v>0.53732140346909674</c:v>
                </c:pt>
                <c:pt idx="1">
                  <c:v>0.53526505201388286</c:v>
                </c:pt>
                <c:pt idx="2">
                  <c:v>0.53322370938184172</c:v>
                </c:pt>
                <c:pt idx="3">
                  <c:v>0.53119603082476896</c:v>
                </c:pt>
                <c:pt idx="4">
                  <c:v>0.52918070595717115</c:v>
                </c:pt>
                <c:pt idx="5">
                  <c:v>0.52717645537436475</c:v>
                </c:pt>
                <c:pt idx="6">
                  <c:v>0.52518202722645935</c:v>
                </c:pt>
                <c:pt idx="7">
                  <c:v>0.52319619420459329</c:v>
                </c:pt>
                <c:pt idx="8">
                  <c:v>0.52121775040537521</c:v>
                </c:pt>
                <c:pt idx="9">
                  <c:v>0.51924550854028473</c:v>
                </c:pt>
                <c:pt idx="10">
                  <c:v>0.51727829704275363</c:v>
                </c:pt>
                <c:pt idx="11">
                  <c:v>0.51531495745078804</c:v>
                </c:pt>
                <c:pt idx="12">
                  <c:v>0.51335434168772265</c:v>
                </c:pt>
                <c:pt idx="13">
                  <c:v>0.51139530952996726</c:v>
                </c:pt>
                <c:pt idx="14">
                  <c:v>0.50943672608619117</c:v>
                </c:pt>
                <c:pt idx="15">
                  <c:v>0.50747745929730304</c:v>
                </c:pt>
                <c:pt idx="16">
                  <c:v>0.50199522799503793</c:v>
                </c:pt>
                <c:pt idx="17">
                  <c:v>0.48098583955240715</c:v>
                </c:pt>
                <c:pt idx="18">
                  <c:v>0.4484368159191634</c:v>
                </c:pt>
                <c:pt idx="19">
                  <c:v>0.40662849277428181</c:v>
                </c:pt>
                <c:pt idx="20">
                  <c:v>0.35615616227175018</c:v>
                </c:pt>
                <c:pt idx="21">
                  <c:v>0.29677213380657719</c:v>
                </c:pt>
                <c:pt idx="22">
                  <c:v>0.22772505863694192</c:v>
                </c:pt>
                <c:pt idx="23">
                  <c:v>0.14795165675754118</c:v>
                </c:pt>
                <c:pt idx="24">
                  <c:v>5.8170537733492012E-2</c:v>
                </c:pt>
                <c:pt idx="25">
                  <c:v>6.2456847250412384</c:v>
                </c:pt>
                <c:pt idx="26">
                  <c:v>6.1457263834103628</c:v>
                </c:pt>
                <c:pt idx="27">
                  <c:v>6.0433407266629695</c:v>
                </c:pt>
                <c:pt idx="28">
                  <c:v>5.9406332926010359</c:v>
                </c:pt>
                <c:pt idx="29">
                  <c:v>5.8338358088871942</c:v>
                </c:pt>
                <c:pt idx="30">
                  <c:v>5.7085048662995046</c:v>
                </c:pt>
                <c:pt idx="31">
                  <c:v>5.5937580987096078</c:v>
                </c:pt>
                <c:pt idx="32">
                  <c:v>5.4913792687122838</c:v>
                </c:pt>
                <c:pt idx="33">
                  <c:v>5.4019663498926622</c:v>
                </c:pt>
                <c:pt idx="34">
                  <c:v>5.3253271221794014</c:v>
                </c:pt>
                <c:pt idx="35">
                  <c:v>5.2608830304437157</c:v>
                </c:pt>
                <c:pt idx="36">
                  <c:v>5.2079897243524682</c:v>
                </c:pt>
                <c:pt idx="37">
                  <c:v>5.1661673346413073</c:v>
                </c:pt>
                <c:pt idx="38">
                  <c:v>5.1352747137074815</c:v>
                </c:pt>
                <c:pt idx="39">
                  <c:v>5.1156763064897994</c:v>
                </c:pt>
                <c:pt idx="40">
                  <c:v>5.1077520618647743</c:v>
                </c:pt>
                <c:pt idx="41">
                  <c:v>5.1029318842514471</c:v>
                </c:pt>
                <c:pt idx="42">
                  <c:v>5.0982097300337506</c:v>
                </c:pt>
                <c:pt idx="43">
                  <c:v>5.0935748970298356</c:v>
                </c:pt>
                <c:pt idx="44">
                  <c:v>5.089017334107659</c:v>
                </c:pt>
                <c:pt idx="45">
                  <c:v>5.0845275371716383</c:v>
                </c:pt>
                <c:pt idx="46">
                  <c:v>5.0800964559127797</c:v>
                </c:pt>
                <c:pt idx="47">
                  <c:v>5.0757154079558449</c:v>
                </c:pt>
                <c:pt idx="48">
                  <c:v>5.0713759991268219</c:v>
                </c:pt>
                <c:pt idx="49">
                  <c:v>5.0670700472822947</c:v>
                </c:pt>
                <c:pt idx="50">
                  <c:v>5.0627895095564597</c:v>
                </c:pt>
                <c:pt idx="51">
                  <c:v>5.058526410381651</c:v>
                </c:pt>
                <c:pt idx="52">
                  <c:v>5.0542727687158457</c:v>
                </c:pt>
                <c:pt idx="53">
                  <c:v>5.0500205245347374</c:v>
                </c:pt>
                <c:pt idx="54">
                  <c:v>5.0457614604875722</c:v>
                </c:pt>
                <c:pt idx="55">
                  <c:v>5.0414871192533637</c:v>
                </c:pt>
                <c:pt idx="56">
                  <c:v>5.0371887128706279</c:v>
                </c:pt>
                <c:pt idx="57">
                  <c:v>5.0328570223673417</c:v>
                </c:pt>
                <c:pt idx="58">
                  <c:v>5.028482284913923</c:v>
                </c:pt>
                <c:pt idx="59">
                  <c:v>5.0240540643466067</c:v>
                </c:pt>
                <c:pt idx="60">
                  <c:v>5.0195611012117061</c:v>
                </c:pt>
                <c:pt idx="61">
                  <c:v>5.0149911366106643</c:v>
                </c:pt>
                <c:pt idx="62">
                  <c:v>5.0103307035402214</c:v>
                </c:pt>
                <c:pt idx="63">
                  <c:v>5.0055648751702906</c:v>
                </c:pt>
                <c:pt idx="64">
                  <c:v>5.0006769606431103</c:v>
                </c:pt>
                <c:pt idx="65">
                  <c:v>4.9957233564051746</c:v>
                </c:pt>
                <c:pt idx="66">
                  <c:v>4.9908596383252419</c:v>
                </c:pt>
                <c:pt idx="67">
                  <c:v>4.9860846291690679</c:v>
                </c:pt>
                <c:pt idx="68">
                  <c:v>4.9813912879869218</c:v>
                </c:pt>
                <c:pt idx="69">
                  <c:v>4.9767729375805398</c:v>
                </c:pt>
                <c:pt idx="70">
                  <c:v>4.972223221608294</c:v>
                </c:pt>
                <c:pt idx="71">
                  <c:v>4.9677360643399666</c:v>
                </c:pt>
                <c:pt idx="72">
                  <c:v>4.9633056332663275</c:v>
                </c:pt>
                <c:pt idx="73">
                  <c:v>4.9589263037047253</c:v>
                </c:pt>
                <c:pt idx="74">
                  <c:v>4.9545926248381278</c:v>
                </c:pt>
                <c:pt idx="75">
                  <c:v>4.9502992870434612</c:v>
                </c:pt>
                <c:pt idx="76">
                  <c:v>4.9460410895856297</c:v>
                </c:pt>
                <c:pt idx="77">
                  <c:v>4.9418129088072966</c:v>
                </c:pt>
                <c:pt idx="78">
                  <c:v>4.9376096650932242</c:v>
                </c:pt>
                <c:pt idx="79">
                  <c:v>4.9334262895156975</c:v>
                </c:pt>
                <c:pt idx="80">
                  <c:v>4.9292576884152748</c:v>
                </c:pt>
                <c:pt idx="81">
                  <c:v>4.9250987053719744</c:v>
                </c:pt>
                <c:pt idx="82">
                  <c:v>4.9209440803856577</c:v>
                </c:pt>
                <c:pt idx="83">
                  <c:v>4.9167884032588836</c:v>
                </c:pt>
                <c:pt idx="84">
                  <c:v>4.9126260624510536</c:v>
                </c:pt>
                <c:pt idx="85">
                  <c:v>4.9084511849639743</c:v>
                </c:pt>
                <c:pt idx="86">
                  <c:v>4.9042575674199043</c:v>
                </c:pt>
                <c:pt idx="87">
                  <c:v>4.9000385930227237</c:v>
                </c:pt>
                <c:pt idx="88">
                  <c:v>4.8957871323984863</c:v>
                </c:pt>
                <c:pt idx="89">
                  <c:v>4.891495422276658</c:v>
                </c:pt>
                <c:pt idx="90">
                  <c:v>4.887154914454733</c:v>
                </c:pt>
                <c:pt idx="91">
                  <c:v>4.8823415902549749</c:v>
                </c:pt>
                <c:pt idx="92">
                  <c:v>4.8775864059135356</c:v>
                </c:pt>
                <c:pt idx="93">
                  <c:v>4.8728834368202243</c:v>
                </c:pt>
                <c:pt idx="94">
                  <c:v>4.8682269601642227</c:v>
                </c:pt>
                <c:pt idx="95">
                  <c:v>4.86361143467101</c:v>
                </c:pt>
                <c:pt idx="96">
                  <c:v>4.8590314789140692</c:v>
                </c:pt>
                <c:pt idx="97">
                  <c:v>4.8576671143503116</c:v>
                </c:pt>
                <c:pt idx="98">
                  <c:v>4.8531818217464986</c:v>
                </c:pt>
                <c:pt idx="99">
                  <c:v>4.848715822179007</c:v>
                </c:pt>
                <c:pt idx="100">
                  <c:v>4.8442642317794062</c:v>
                </c:pt>
                <c:pt idx="101">
                  <c:v>4.8398222256903383</c:v>
                </c:pt>
                <c:pt idx="102">
                  <c:v>4.8353850173173702</c:v>
                </c:pt>
                <c:pt idx="103">
                  <c:v>4.8309478389992115</c:v>
                </c:pt>
                <c:pt idx="104">
                  <c:v>4.8265059209758032</c:v>
                </c:pt>
                <c:pt idx="105">
                  <c:v>4.8220544711991487</c:v>
                </c:pt>
                <c:pt idx="106">
                  <c:v>4.8175886535783823</c:v>
                </c:pt>
                <c:pt idx="107">
                  <c:v>4.8131035662870438</c:v>
                </c:pt>
                <c:pt idx="108">
                  <c:v>4.8085942186376327</c:v>
                </c:pt>
                <c:pt idx="109">
                  <c:v>4.8040555070484388</c:v>
                </c:pt>
                <c:pt idx="110">
                  <c:v>4.7994821896290052</c:v>
                </c:pt>
                <c:pt idx="111">
                  <c:v>4.7948688587989547</c:v>
                </c:pt>
                <c:pt idx="112">
                  <c:v>4.7902504609698404</c:v>
                </c:pt>
                <c:pt idx="113">
                  <c:v>4.7859003857693541</c:v>
                </c:pt>
                <c:pt idx="114">
                  <c:v>4.7818395433964369</c:v>
                </c:pt>
                <c:pt idx="115">
                  <c:v>4.7780349591728921</c:v>
                </c:pt>
                <c:pt idx="116">
                  <c:v>4.7744584393616778</c:v>
                </c:pt>
                <c:pt idx="117">
                  <c:v>4.771085721910552</c:v>
                </c:pt>
                <c:pt idx="118">
                  <c:v>4.7678958019271906</c:v>
                </c:pt>
                <c:pt idx="119">
                  <c:v>4.7648703919999829</c:v>
                </c:pt>
                <c:pt idx="120">
                  <c:v>4.7619934857828596</c:v>
                </c:pt>
                <c:pt idx="121">
                  <c:v>4.7592510030912951</c:v>
                </c:pt>
                <c:pt idx="122">
                  <c:v>4.756630499174535</c:v>
                </c:pt>
                <c:pt idx="123">
                  <c:v>4.7541209244853633</c:v>
                </c:pt>
                <c:pt idx="124">
                  <c:v>4.7517124253440306</c:v>
                </c:pt>
                <c:pt idx="125">
                  <c:v>4.749396177263236</c:v>
                </c:pt>
                <c:pt idx="126">
                  <c:v>4.7471642448244333</c:v>
                </c:pt>
                <c:pt idx="127">
                  <c:v>4.7450094633187554</c:v>
                </c:pt>
                <c:pt idx="128">
                  <c:v>4.7429253379922995</c:v>
                </c:pt>
                <c:pt idx="129">
                  <c:v>4.7409059580614965</c:v>
                </c:pt>
                <c:pt idx="130">
                  <c:v>4.7389459225893162</c:v>
                </c:pt>
                <c:pt idx="131">
                  <c:v>4.7370402768452244</c:v>
                </c:pt>
                <c:pt idx="132">
                  <c:v>4.7351844564598471</c:v>
                </c:pt>
                <c:pt idx="133">
                  <c:v>4.7331001690530528</c:v>
                </c:pt>
                <c:pt idx="134">
                  <c:v>4.7308932170558622</c:v>
                </c:pt>
                <c:pt idx="135">
                  <c:v>4.7287592955826678</c:v>
                </c:pt>
                <c:pt idx="136">
                  <c:v>4.7266931844445326</c:v>
                </c:pt>
                <c:pt idx="137">
                  <c:v>4.7246900480630085</c:v>
                </c:pt>
                <c:pt idx="138">
                  <c:v>4.7227453916759412</c:v>
                </c:pt>
                <c:pt idx="139">
                  <c:v>4.72085502145453</c:v>
                </c:pt>
                <c:pt idx="140">
                  <c:v>4.7190150089035487</c:v>
                </c:pt>
                <c:pt idx="141">
                  <c:v>4.7172216579984454</c:v>
                </c:pt>
                <c:pt idx="142">
                  <c:v>4.7154714748335964</c:v>
                </c:pt>
                <c:pt idx="143">
                  <c:v>4.7137611396034913</c:v>
                </c:pt>
                <c:pt idx="144">
                  <c:v>4.7120874794768186</c:v>
                </c:pt>
                <c:pt idx="145">
                  <c:v>4.7104474429567116</c:v>
                </c:pt>
                <c:pt idx="146">
                  <c:v>4.7088380742985363</c:v>
                </c:pt>
                <c:pt idx="147">
                  <c:v>4.7072564881614962</c:v>
                </c:pt>
                <c:pt idx="148">
                  <c:v>4.7056998432428712</c:v>
                </c:pt>
                <c:pt idx="149">
                  <c:v>4.7041653151513092</c:v>
                </c:pt>
                <c:pt idx="150">
                  <c:v>4.7026500667035513</c:v>
                </c:pt>
                <c:pt idx="151">
                  <c:v>4.7011512155543409</c:v>
                </c:pt>
                <c:pt idx="152">
                  <c:v>4.6996657979620302</c:v>
                </c:pt>
                <c:pt idx="153">
                  <c:v>4.6981907264980851</c:v>
                </c:pt>
                <c:pt idx="154">
                  <c:v>4.6967227413774086</c:v>
                </c:pt>
                <c:pt idx="155">
                  <c:v>4.6952583515512103</c:v>
                </c:pt>
                <c:pt idx="156">
                  <c:v>4.6937937636795795</c:v>
                </c:pt>
                <c:pt idx="157">
                  <c:v>4.6923247940442305</c:v>
                </c:pt>
                <c:pt idx="158">
                  <c:v>4.6908467582264031</c:v>
                </c:pt>
                <c:pt idx="159">
                  <c:v>4.6893543312328827</c:v>
                </c:pt>
                <c:pt idx="160">
                  <c:v>4.6878413655942337</c:v>
                </c:pt>
                <c:pt idx="161">
                  <c:v>4.686300654117713</c:v>
                </c:pt>
                <c:pt idx="162">
                  <c:v>4.6847236122694529</c:v>
                </c:pt>
                <c:pt idx="163">
                  <c:v>4.6830998486005075</c:v>
                </c:pt>
                <c:pt idx="164">
                  <c:v>4.6814165700979595</c:v>
                </c:pt>
                <c:pt idx="165">
                  <c:v>4.6796577444701963</c:v>
                </c:pt>
                <c:pt idx="166">
                  <c:v>4.6778028907487661</c:v>
                </c:pt>
                <c:pt idx="167">
                  <c:v>4.6758252876851909</c:v>
                </c:pt>
                <c:pt idx="168">
                  <c:v>4.6736892402423855</c:v>
                </c:pt>
                <c:pt idx="169">
                  <c:v>4.6713457588187577</c:v>
                </c:pt>
                <c:pt idx="170">
                  <c:v>4.6687254441514234</c:v>
                </c:pt>
                <c:pt idx="171">
                  <c:v>4.6657261761710735</c:v>
                </c:pt>
                <c:pt idx="172">
                  <c:v>4.6619809824358045</c:v>
                </c:pt>
                <c:pt idx="173">
                  <c:v>4.6587988043469917</c:v>
                </c:pt>
                <c:pt idx="174">
                  <c:v>4.653181896684746</c:v>
                </c:pt>
                <c:pt idx="175">
                  <c:v>4.6454600302207458</c:v>
                </c:pt>
                <c:pt idx="176">
                  <c:v>4.633608593365647</c:v>
                </c:pt>
                <c:pt idx="177">
                  <c:v>4.6115498680874047</c:v>
                </c:pt>
                <c:pt idx="178">
                  <c:v>4.5547800057935248</c:v>
                </c:pt>
                <c:pt idx="179">
                  <c:v>4.4083841456759485</c:v>
                </c:pt>
                <c:pt idx="180">
                  <c:v>3.1415926537508536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01-40B2-91DC-FB8FE007ECD6}"/>
            </c:ext>
          </c:extLst>
        </c:ser>
        <c:ser>
          <c:idx val="7"/>
          <c:order val="7"/>
          <c:tx>
            <c:v>inversion+correction</c:v>
          </c:tx>
          <c:spPr>
            <a:ln w="15875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L_Section_Capacity!$BE$2:$BE$182</c:f>
              <c:numCache>
                <c:formatCode>General</c:formatCode>
                <c:ptCount val="181"/>
                <c:pt idx="0">
                  <c:v>-0.53732140346909674</c:v>
                </c:pt>
                <c:pt idx="1">
                  <c:v>-0.53937775492431062</c:v>
                </c:pt>
                <c:pt idx="2">
                  <c:v>-0.54141909755635176</c:v>
                </c:pt>
                <c:pt idx="3">
                  <c:v>-0.54344677611342451</c:v>
                </c:pt>
                <c:pt idx="4">
                  <c:v>-0.54546210098102232</c:v>
                </c:pt>
                <c:pt idx="5">
                  <c:v>-0.54746635156382872</c:v>
                </c:pt>
                <c:pt idx="6">
                  <c:v>-0.54946077971173413</c:v>
                </c:pt>
                <c:pt idx="7">
                  <c:v>-0.55144661273360018</c:v>
                </c:pt>
                <c:pt idx="8">
                  <c:v>-0.55342505653281826</c:v>
                </c:pt>
                <c:pt idx="9">
                  <c:v>-0.55539729839790875</c:v>
                </c:pt>
                <c:pt idx="10">
                  <c:v>-0.55736450989543984</c:v>
                </c:pt>
                <c:pt idx="11">
                  <c:v>-0.55932784948740544</c:v>
                </c:pt>
                <c:pt idx="12">
                  <c:v>-0.56128846525047082</c:v>
                </c:pt>
                <c:pt idx="13">
                  <c:v>-0.56324749740822622</c:v>
                </c:pt>
                <c:pt idx="14">
                  <c:v>-0.5652060808520023</c:v>
                </c:pt>
                <c:pt idx="15">
                  <c:v>-0.56716534764089044</c:v>
                </c:pt>
                <c:pt idx="16">
                  <c:v>-0.57264757894315554</c:v>
                </c:pt>
                <c:pt idx="17">
                  <c:v>-0.59365696738578633</c:v>
                </c:pt>
                <c:pt idx="18">
                  <c:v>-0.62620599101903007</c:v>
                </c:pt>
                <c:pt idx="19">
                  <c:v>-0.66801431416391166</c:v>
                </c:pt>
                <c:pt idx="20">
                  <c:v>-0.7184866446664433</c:v>
                </c:pt>
                <c:pt idx="21">
                  <c:v>-0.77787067313161629</c:v>
                </c:pt>
                <c:pt idx="22">
                  <c:v>-0.84691774830125155</c:v>
                </c:pt>
                <c:pt idx="23">
                  <c:v>-0.92669115018065229</c:v>
                </c:pt>
                <c:pt idx="24">
                  <c:v>-1.0164722692047015</c:v>
                </c:pt>
                <c:pt idx="25">
                  <c:v>5.1710419181030449</c:v>
                </c:pt>
                <c:pt idx="26">
                  <c:v>5.0710835764721693</c:v>
                </c:pt>
                <c:pt idx="27">
                  <c:v>4.968697919724776</c:v>
                </c:pt>
                <c:pt idx="28">
                  <c:v>4.8659904856628424</c:v>
                </c:pt>
                <c:pt idx="29">
                  <c:v>4.7591930019490007</c:v>
                </c:pt>
                <c:pt idx="30">
                  <c:v>4.6338620593613111</c:v>
                </c:pt>
                <c:pt idx="31">
                  <c:v>4.5191152917714144</c:v>
                </c:pt>
                <c:pt idx="32">
                  <c:v>4.4167364617740903</c:v>
                </c:pt>
                <c:pt idx="33">
                  <c:v>4.3273235429544687</c:v>
                </c:pt>
                <c:pt idx="34">
                  <c:v>4.2506843152412079</c:v>
                </c:pt>
                <c:pt idx="35">
                  <c:v>4.1862402235055223</c:v>
                </c:pt>
                <c:pt idx="36">
                  <c:v>4.1333469174142747</c:v>
                </c:pt>
                <c:pt idx="37">
                  <c:v>4.0915245277031138</c:v>
                </c:pt>
                <c:pt idx="38">
                  <c:v>4.060631906769288</c:v>
                </c:pt>
                <c:pt idx="39">
                  <c:v>4.041033499551606</c:v>
                </c:pt>
                <c:pt idx="40">
                  <c:v>4.0331092549265808</c:v>
                </c:pt>
                <c:pt idx="41">
                  <c:v>4.0282890773132536</c:v>
                </c:pt>
                <c:pt idx="42">
                  <c:v>4.0235669230955571</c:v>
                </c:pt>
                <c:pt idx="43">
                  <c:v>4.0189320900916421</c:v>
                </c:pt>
                <c:pt idx="44">
                  <c:v>4.0143745271694655</c:v>
                </c:pt>
                <c:pt idx="45">
                  <c:v>4.0098847302334448</c:v>
                </c:pt>
                <c:pt idx="46">
                  <c:v>4.0054536489745862</c:v>
                </c:pt>
                <c:pt idx="47">
                  <c:v>4.0010726010176514</c:v>
                </c:pt>
                <c:pt idx="48">
                  <c:v>3.9967331921886284</c:v>
                </c:pt>
                <c:pt idx="49">
                  <c:v>3.9924272403441012</c:v>
                </c:pt>
                <c:pt idx="50">
                  <c:v>3.9881467026182662</c:v>
                </c:pt>
                <c:pt idx="51">
                  <c:v>3.9838836034434575</c:v>
                </c:pt>
                <c:pt idx="52">
                  <c:v>3.9796299617776523</c:v>
                </c:pt>
                <c:pt idx="53">
                  <c:v>3.9753777175965439</c:v>
                </c:pt>
                <c:pt idx="54">
                  <c:v>3.9711186535493788</c:v>
                </c:pt>
                <c:pt idx="55">
                  <c:v>3.9668443123151702</c:v>
                </c:pt>
                <c:pt idx="56">
                  <c:v>3.9625459059324344</c:v>
                </c:pt>
                <c:pt idx="57">
                  <c:v>3.9582142154291482</c:v>
                </c:pt>
                <c:pt idx="58">
                  <c:v>3.9538394779757295</c:v>
                </c:pt>
                <c:pt idx="59">
                  <c:v>3.9494112574084133</c:v>
                </c:pt>
                <c:pt idx="60">
                  <c:v>3.9449182942735126</c:v>
                </c:pt>
                <c:pt idx="61">
                  <c:v>3.9403483296724708</c:v>
                </c:pt>
                <c:pt idx="62">
                  <c:v>3.9356878966020279</c:v>
                </c:pt>
                <c:pt idx="63">
                  <c:v>3.9309220682320971</c:v>
                </c:pt>
                <c:pt idx="64">
                  <c:v>3.9260341537049168</c:v>
                </c:pt>
                <c:pt idx="65">
                  <c:v>3.9210805494669811</c:v>
                </c:pt>
                <c:pt idx="66">
                  <c:v>3.9162168313870485</c:v>
                </c:pt>
                <c:pt idx="67">
                  <c:v>3.9114418222308744</c:v>
                </c:pt>
                <c:pt idx="68">
                  <c:v>3.9067484810487283</c:v>
                </c:pt>
                <c:pt idx="69">
                  <c:v>3.9021301306423464</c:v>
                </c:pt>
                <c:pt idx="70">
                  <c:v>3.8975804146701005</c:v>
                </c:pt>
                <c:pt idx="71">
                  <c:v>3.8930932574017731</c:v>
                </c:pt>
                <c:pt idx="72">
                  <c:v>3.888662826328134</c:v>
                </c:pt>
                <c:pt idx="73">
                  <c:v>3.8842834967665318</c:v>
                </c:pt>
                <c:pt idx="74">
                  <c:v>3.8799498178999343</c:v>
                </c:pt>
                <c:pt idx="75">
                  <c:v>3.8756564801052678</c:v>
                </c:pt>
                <c:pt idx="76">
                  <c:v>3.8713982826474362</c:v>
                </c:pt>
                <c:pt idx="77">
                  <c:v>3.8671701018691031</c:v>
                </c:pt>
                <c:pt idx="78">
                  <c:v>3.8629668581550307</c:v>
                </c:pt>
                <c:pt idx="79">
                  <c:v>3.858783482577504</c:v>
                </c:pt>
                <c:pt idx="80">
                  <c:v>3.8546148814770813</c:v>
                </c:pt>
                <c:pt idx="81">
                  <c:v>3.8504558984337809</c:v>
                </c:pt>
                <c:pt idx="82">
                  <c:v>3.8463012734474642</c:v>
                </c:pt>
                <c:pt idx="83">
                  <c:v>3.8421455963206901</c:v>
                </c:pt>
                <c:pt idx="84">
                  <c:v>3.8379832555128601</c:v>
                </c:pt>
                <c:pt idx="85">
                  <c:v>3.8338083780257808</c:v>
                </c:pt>
                <c:pt idx="86">
                  <c:v>3.8296147604817108</c:v>
                </c:pt>
                <c:pt idx="87">
                  <c:v>3.8253957860845302</c:v>
                </c:pt>
                <c:pt idx="88">
                  <c:v>3.8211443254602928</c:v>
                </c:pt>
                <c:pt idx="89">
                  <c:v>3.8168526153384645</c:v>
                </c:pt>
                <c:pt idx="90">
                  <c:v>3.8125121075165396</c:v>
                </c:pt>
                <c:pt idx="91">
                  <c:v>3.8076987833167815</c:v>
                </c:pt>
                <c:pt idx="92">
                  <c:v>3.8029435989753422</c:v>
                </c:pt>
                <c:pt idx="93">
                  <c:v>3.7982406298820308</c:v>
                </c:pt>
                <c:pt idx="94">
                  <c:v>3.7935841532260293</c:v>
                </c:pt>
                <c:pt idx="95">
                  <c:v>3.7889686277328165</c:v>
                </c:pt>
                <c:pt idx="96">
                  <c:v>3.7843886719758757</c:v>
                </c:pt>
                <c:pt idx="97">
                  <c:v>3.7830243074121181</c:v>
                </c:pt>
                <c:pt idx="98">
                  <c:v>3.7785390148083051</c:v>
                </c:pt>
                <c:pt idx="99">
                  <c:v>3.7740730152408135</c:v>
                </c:pt>
                <c:pt idx="100">
                  <c:v>3.7696214248412128</c:v>
                </c:pt>
                <c:pt idx="101">
                  <c:v>3.7651794187521448</c:v>
                </c:pt>
                <c:pt idx="102">
                  <c:v>3.7607422103791768</c:v>
                </c:pt>
                <c:pt idx="103">
                  <c:v>3.7563050320610181</c:v>
                </c:pt>
                <c:pt idx="104">
                  <c:v>3.7518631140376097</c:v>
                </c:pt>
                <c:pt idx="105">
                  <c:v>3.7474116642609552</c:v>
                </c:pt>
                <c:pt idx="106">
                  <c:v>3.7429458466401888</c:v>
                </c:pt>
                <c:pt idx="107">
                  <c:v>3.7384607593488504</c:v>
                </c:pt>
                <c:pt idx="108">
                  <c:v>3.7339514116994392</c:v>
                </c:pt>
                <c:pt idx="109">
                  <c:v>3.7294127001102453</c:v>
                </c:pt>
                <c:pt idx="110">
                  <c:v>3.7248393826908117</c:v>
                </c:pt>
                <c:pt idx="111">
                  <c:v>3.7202260518607613</c:v>
                </c:pt>
                <c:pt idx="112">
                  <c:v>3.7156076540316469</c:v>
                </c:pt>
                <c:pt idx="113">
                  <c:v>3.7112575788311606</c:v>
                </c:pt>
                <c:pt idx="114">
                  <c:v>3.7071967364582434</c:v>
                </c:pt>
                <c:pt idx="115">
                  <c:v>3.7033921522346986</c:v>
                </c:pt>
                <c:pt idx="116">
                  <c:v>3.6998156324234843</c:v>
                </c:pt>
                <c:pt idx="117">
                  <c:v>3.6964429149723586</c:v>
                </c:pt>
                <c:pt idx="118">
                  <c:v>3.6932529949889972</c:v>
                </c:pt>
                <c:pt idx="119">
                  <c:v>3.6902275850617894</c:v>
                </c:pt>
                <c:pt idx="120">
                  <c:v>3.6873506788446662</c:v>
                </c:pt>
                <c:pt idx="121">
                  <c:v>3.6846081961531016</c:v>
                </c:pt>
                <c:pt idx="122">
                  <c:v>3.6819876922363415</c:v>
                </c:pt>
                <c:pt idx="123">
                  <c:v>3.6794781175471698</c:v>
                </c:pt>
                <c:pt idx="124">
                  <c:v>3.6770696184058371</c:v>
                </c:pt>
                <c:pt idx="125">
                  <c:v>3.6747533703250426</c:v>
                </c:pt>
                <c:pt idx="126">
                  <c:v>3.6725214378862399</c:v>
                </c:pt>
                <c:pt idx="127">
                  <c:v>3.6703666563805619</c:v>
                </c:pt>
                <c:pt idx="128">
                  <c:v>3.6682825310541061</c:v>
                </c:pt>
                <c:pt idx="129">
                  <c:v>3.666263151123303</c:v>
                </c:pt>
                <c:pt idx="130">
                  <c:v>3.6643031156511228</c:v>
                </c:pt>
                <c:pt idx="131">
                  <c:v>3.662397469907031</c:v>
                </c:pt>
                <c:pt idx="132">
                  <c:v>3.6605416495216536</c:v>
                </c:pt>
                <c:pt idx="133">
                  <c:v>3.6584573621148593</c:v>
                </c:pt>
                <c:pt idx="134">
                  <c:v>3.6562504101176687</c:v>
                </c:pt>
                <c:pt idx="135">
                  <c:v>3.6541164886444744</c:v>
                </c:pt>
                <c:pt idx="136">
                  <c:v>3.6520503775063391</c:v>
                </c:pt>
                <c:pt idx="137">
                  <c:v>3.650047241124815</c:v>
                </c:pt>
                <c:pt idx="138">
                  <c:v>3.6481025847377477</c:v>
                </c:pt>
                <c:pt idx="139">
                  <c:v>3.6462122145163365</c:v>
                </c:pt>
                <c:pt idx="140">
                  <c:v>3.6443722019653553</c:v>
                </c:pt>
                <c:pt idx="141">
                  <c:v>3.6425788510602519</c:v>
                </c:pt>
                <c:pt idx="142">
                  <c:v>3.6408286678954029</c:v>
                </c:pt>
                <c:pt idx="143">
                  <c:v>3.6391183326652978</c:v>
                </c:pt>
                <c:pt idx="144">
                  <c:v>3.6374446725386251</c:v>
                </c:pt>
                <c:pt idx="145">
                  <c:v>3.6358046360185181</c:v>
                </c:pt>
                <c:pt idx="146">
                  <c:v>3.6341952673603428</c:v>
                </c:pt>
                <c:pt idx="147">
                  <c:v>3.6326136812233027</c:v>
                </c:pt>
                <c:pt idx="148">
                  <c:v>3.6310570363046777</c:v>
                </c:pt>
                <c:pt idx="149">
                  <c:v>3.6295225082131157</c:v>
                </c:pt>
                <c:pt idx="150">
                  <c:v>3.6280072597653579</c:v>
                </c:pt>
                <c:pt idx="151">
                  <c:v>3.6265084086161474</c:v>
                </c:pt>
                <c:pt idx="152">
                  <c:v>3.6250229910238367</c:v>
                </c:pt>
                <c:pt idx="153">
                  <c:v>3.6235479195598916</c:v>
                </c:pt>
                <c:pt idx="154">
                  <c:v>3.6220799344392152</c:v>
                </c:pt>
                <c:pt idx="155">
                  <c:v>3.6206155446130168</c:v>
                </c:pt>
                <c:pt idx="156">
                  <c:v>3.619150956741386</c:v>
                </c:pt>
                <c:pt idx="157">
                  <c:v>3.6176819871060371</c:v>
                </c:pt>
                <c:pt idx="158">
                  <c:v>3.6162039512882096</c:v>
                </c:pt>
                <c:pt idx="159">
                  <c:v>3.6147115242946892</c:v>
                </c:pt>
                <c:pt idx="160">
                  <c:v>3.6131985586560402</c:v>
                </c:pt>
                <c:pt idx="161">
                  <c:v>3.6116578471795195</c:v>
                </c:pt>
                <c:pt idx="162">
                  <c:v>3.6100808053312594</c:v>
                </c:pt>
                <c:pt idx="163">
                  <c:v>3.6084570416623141</c:v>
                </c:pt>
                <c:pt idx="164">
                  <c:v>3.6067737631597661</c:v>
                </c:pt>
                <c:pt idx="165">
                  <c:v>3.6050149375320029</c:v>
                </c:pt>
                <c:pt idx="166">
                  <c:v>3.6031600838105726</c:v>
                </c:pt>
                <c:pt idx="167">
                  <c:v>3.6011824807469974</c:v>
                </c:pt>
                <c:pt idx="168">
                  <c:v>3.599046433304192</c:v>
                </c:pt>
                <c:pt idx="169">
                  <c:v>3.5967029518805642</c:v>
                </c:pt>
                <c:pt idx="170">
                  <c:v>3.59408263721323</c:v>
                </c:pt>
                <c:pt idx="171">
                  <c:v>3.5910833692328801</c:v>
                </c:pt>
                <c:pt idx="172">
                  <c:v>3.587338175497611</c:v>
                </c:pt>
                <c:pt idx="173">
                  <c:v>3.5841559974087982</c:v>
                </c:pt>
                <c:pt idx="174">
                  <c:v>3.5785390897465525</c:v>
                </c:pt>
                <c:pt idx="175">
                  <c:v>3.5708172232825524</c:v>
                </c:pt>
                <c:pt idx="176">
                  <c:v>3.5589657864274535</c:v>
                </c:pt>
                <c:pt idx="177">
                  <c:v>3.5369070611492113</c:v>
                </c:pt>
                <c:pt idx="178">
                  <c:v>3.4801371988553313</c:v>
                </c:pt>
                <c:pt idx="179">
                  <c:v>3.333741338737755</c:v>
                </c:pt>
                <c:pt idx="180">
                  <c:v>2.0669498468126601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EF-4F3F-B5DE-1D45F2007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88900</xdr:colOff>
      <xdr:row>13</xdr:row>
      <xdr:rowOff>31750</xdr:rowOff>
    </xdr:from>
    <xdr:to>
      <xdr:col>30</xdr:col>
      <xdr:colOff>425450</xdr:colOff>
      <xdr:row>28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BP362"/>
  <sheetViews>
    <sheetView tabSelected="1" zoomScale="80" zoomScaleNormal="80" workbookViewId="0">
      <selection activeCell="Y8" sqref="Y8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3.28515625" bestFit="1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9.42578125" bestFit="1" customWidth="1"/>
    <col min="30" max="30" width="13.7109375" bestFit="1" customWidth="1"/>
    <col min="50" max="50" width="11" bestFit="1" customWidth="1"/>
    <col min="53" max="53" width="8.85546875" customWidth="1"/>
    <col min="54" max="54" width="11" bestFit="1" customWidth="1"/>
    <col min="70" max="70" width="13.7109375" bestFit="1" customWidth="1"/>
  </cols>
  <sheetData>
    <row r="1" spans="1:68" x14ac:dyDescent="0.25">
      <c r="K1" s="8" t="s">
        <v>71</v>
      </c>
      <c r="L1" s="14">
        <v>1E-8</v>
      </c>
      <c r="AS1" t="s">
        <v>111</v>
      </c>
      <c r="AT1" s="1" t="s">
        <v>100</v>
      </c>
      <c r="AU1" s="1" t="s">
        <v>101</v>
      </c>
      <c r="AV1" t="s">
        <v>112</v>
      </c>
      <c r="BK1" t="s">
        <v>113</v>
      </c>
    </row>
    <row r="2" spans="1:68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50</v>
      </c>
      <c r="M2">
        <v>1159</v>
      </c>
      <c r="N2">
        <v>30</v>
      </c>
      <c r="O2">
        <v>1</v>
      </c>
      <c r="AS2">
        <v>-3.1415926535897931</v>
      </c>
      <c r="AT2">
        <v>-286.40752941242613</v>
      </c>
      <c r="AU2">
        <v>170.64</v>
      </c>
      <c r="AV2">
        <f>ATAN2(AT2,AU2)</f>
        <v>2.6042712501206964</v>
      </c>
      <c r="AW2">
        <f>ABS(AS2-AV2)</f>
        <v>5.7458639037104895</v>
      </c>
      <c r="AX2" s="40">
        <f>AV2-$U$13</f>
        <v>-0.53732140346909674</v>
      </c>
      <c r="AY2">
        <f>ABS(AX2)</f>
        <v>0.53732140346909674</v>
      </c>
      <c r="AZ2">
        <f>AS2+(2*PI())</f>
        <v>3.1415926535897931</v>
      </c>
      <c r="BA2">
        <f>AV2</f>
        <v>2.6042712501206964</v>
      </c>
      <c r="BB2">
        <f t="shared" ref="BB2:BD2" si="0">AW2</f>
        <v>5.7458639037104895</v>
      </c>
      <c r="BC2">
        <f t="shared" si="0"/>
        <v>-0.53732140346909674</v>
      </c>
      <c r="BD2">
        <f t="shared" si="0"/>
        <v>0.53732140346909674</v>
      </c>
      <c r="BE2">
        <f>BD2-(2*$BD$2)</f>
        <v>-0.53732140346909674</v>
      </c>
      <c r="BK2" s="1" t="s">
        <v>114</v>
      </c>
      <c r="BL2" s="1" t="s">
        <v>33</v>
      </c>
      <c r="BM2" s="1" t="s">
        <v>115</v>
      </c>
      <c r="BN2" s="1" t="s">
        <v>116</v>
      </c>
      <c r="BO2" s="1" t="s">
        <v>117</v>
      </c>
      <c r="BP2" s="1" t="s">
        <v>118</v>
      </c>
    </row>
    <row r="3" spans="1:68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AS3">
        <v>-3.12413936106985</v>
      </c>
      <c r="AT3">
        <v>-286.40053702815283</v>
      </c>
      <c r="AU3">
        <v>169.83881251979483</v>
      </c>
      <c r="AV3">
        <f t="shared" ref="AV3:AV66" si="1">ATAN2(AT3,AU3)</f>
        <v>2.6063276015759103</v>
      </c>
      <c r="AW3">
        <f t="shared" ref="AW3:AW66" si="2">ABS(AS3-AV3)</f>
        <v>5.7304669626457603</v>
      </c>
      <c r="AX3" s="40">
        <f t="shared" ref="AX3:AX66" si="3">AV3-$U$13</f>
        <v>-0.53526505201388286</v>
      </c>
      <c r="AY3">
        <f t="shared" ref="AY3:AY66" si="4">ABS(AX3)</f>
        <v>0.53526505201388286</v>
      </c>
      <c r="AZ3">
        <f t="shared" ref="AZ3:AZ66" si="5">AS3+(2*PI())</f>
        <v>3.1590459461097362</v>
      </c>
      <c r="BA3">
        <f t="shared" ref="BA3:BA66" si="6">AV3</f>
        <v>2.6063276015759103</v>
      </c>
      <c r="BB3">
        <f t="shared" ref="BB3:BB66" si="7">AW3</f>
        <v>5.7304669626457603</v>
      </c>
      <c r="BC3">
        <f t="shared" ref="BC3:BC66" si="8">AX3</f>
        <v>-0.53526505201388286</v>
      </c>
      <c r="BD3">
        <f t="shared" ref="BD3:BD66" si="9">AY3</f>
        <v>0.53526505201388286</v>
      </c>
      <c r="BE3">
        <f t="shared" ref="BE3:BE66" si="10">BD3-(2*$BD$2)</f>
        <v>-0.53937775492431062</v>
      </c>
    </row>
    <row r="4" spans="1:68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-9.1686018777181744E-9</v>
      </c>
      <c r="V4" s="17" t="s">
        <v>68</v>
      </c>
      <c r="W4" s="31">
        <f ca="1">U4-U10</f>
        <v>-9.1686018777181744E-9</v>
      </c>
      <c r="X4" cm="1">
        <f t="array" ref="X4">MAX(ABS(E3:F11))+10</f>
        <v>46</v>
      </c>
      <c r="Y4">
        <f>X4</f>
        <v>46</v>
      </c>
      <c r="AA4" t="s">
        <v>8</v>
      </c>
      <c r="AB4" t="s">
        <v>9</v>
      </c>
      <c r="AS4">
        <v>-3.1066860685499069</v>
      </c>
      <c r="AT4">
        <v>-286.37954280523235</v>
      </c>
      <c r="AU4">
        <v>169.03713668032884</v>
      </c>
      <c r="AV4">
        <f t="shared" si="1"/>
        <v>2.6083689442079514</v>
      </c>
      <c r="AW4">
        <f t="shared" si="2"/>
        <v>5.7150550127578583</v>
      </c>
      <c r="AX4" s="40">
        <f t="shared" si="3"/>
        <v>-0.53322370938184172</v>
      </c>
      <c r="AY4">
        <f t="shared" si="4"/>
        <v>0.53322370938184172</v>
      </c>
      <c r="AZ4">
        <f t="shared" si="5"/>
        <v>3.1764992386296793</v>
      </c>
      <c r="BA4">
        <f t="shared" si="6"/>
        <v>2.6083689442079514</v>
      </c>
      <c r="BB4">
        <f t="shared" si="7"/>
        <v>5.7150550127578583</v>
      </c>
      <c r="BC4">
        <f t="shared" si="8"/>
        <v>-0.53322370938184172</v>
      </c>
      <c r="BD4">
        <f t="shared" si="9"/>
        <v>0.53322370938184172</v>
      </c>
      <c r="BE4">
        <f t="shared" si="10"/>
        <v>-0.54141909755635176</v>
      </c>
      <c r="BJ4">
        <v>1.0746428069381944</v>
      </c>
      <c r="BK4">
        <v>4.7123889803846897</v>
      </c>
      <c r="BL4">
        <v>1.5707963267948966</v>
      </c>
      <c r="BM4">
        <v>3.1415926535897931</v>
      </c>
      <c r="BN4">
        <v>3.8125121075165103</v>
      </c>
      <c r="BO4">
        <v>-1.0805625173648306</v>
      </c>
      <c r="BP4">
        <v>-0.53732140346909718</v>
      </c>
    </row>
    <row r="5" spans="1:68" x14ac:dyDescent="0.25">
      <c r="A5" s="8" t="s">
        <v>5</v>
      </c>
      <c r="B5" s="46">
        <v>12</v>
      </c>
      <c r="C5" t="s">
        <v>4</v>
      </c>
      <c r="E5" s="5">
        <f>E4</f>
        <v>12</v>
      </c>
      <c r="F5">
        <f>(B8-B9)</f>
        <v>12</v>
      </c>
      <c r="G5">
        <f t="shared" ref="G5:G11" si="11">((E4*F5)-(E5*F4))*0.5</f>
        <v>72</v>
      </c>
      <c r="T5" s="27" t="s">
        <v>77</v>
      </c>
      <c r="U5" s="10">
        <f ca="1">U3*B79*(1/12)</f>
        <v>-224.54169016050608</v>
      </c>
      <c r="V5" s="17" t="s">
        <v>70</v>
      </c>
      <c r="W5" s="32"/>
      <c r="X5">
        <f>X4</f>
        <v>46</v>
      </c>
      <c r="Y5">
        <f>X5</f>
        <v>46</v>
      </c>
      <c r="AA5">
        <v>0</v>
      </c>
      <c r="AB5">
        <v>0</v>
      </c>
      <c r="AS5">
        <v>-3.0892327760299638</v>
      </c>
      <c r="AT5">
        <v>-286.34449550587101</v>
      </c>
      <c r="AU5">
        <v>168.23448293090848</v>
      </c>
      <c r="AV5">
        <f t="shared" si="1"/>
        <v>2.6103966227650242</v>
      </c>
      <c r="AW5">
        <f t="shared" si="2"/>
        <v>5.699629398794988</v>
      </c>
      <c r="AX5" s="40">
        <f t="shared" si="3"/>
        <v>-0.53119603082476896</v>
      </c>
      <c r="AY5">
        <f t="shared" si="4"/>
        <v>0.53119603082476896</v>
      </c>
      <c r="AZ5">
        <f t="shared" si="5"/>
        <v>3.1939525311496224</v>
      </c>
      <c r="BA5">
        <f t="shared" si="6"/>
        <v>2.6103966227650242</v>
      </c>
      <c r="BB5">
        <f t="shared" si="7"/>
        <v>5.699629398794988</v>
      </c>
      <c r="BC5">
        <f t="shared" si="8"/>
        <v>-0.53119603082476896</v>
      </c>
      <c r="BD5">
        <f t="shared" si="9"/>
        <v>0.53119603082476896</v>
      </c>
      <c r="BE5">
        <f t="shared" si="10"/>
        <v>-0.54344677611342451</v>
      </c>
      <c r="BK5">
        <v>4.7123889803846897</v>
      </c>
      <c r="BL5">
        <v>3.1415926535897931</v>
      </c>
      <c r="BM5">
        <v>3.9269908169872414</v>
      </c>
      <c r="BN5">
        <v>3.8125121075165103</v>
      </c>
      <c r="BO5">
        <v>-0.53732140346909718</v>
      </c>
      <c r="BP5">
        <v>4.0098847302334315</v>
      </c>
    </row>
    <row r="6" spans="1:68" x14ac:dyDescent="0.25">
      <c r="A6" s="8" t="s">
        <v>92</v>
      </c>
      <c r="B6" s="46">
        <v>0</v>
      </c>
      <c r="C6" t="s">
        <v>4</v>
      </c>
      <c r="E6" s="5">
        <f>B7+B5</f>
        <v>36</v>
      </c>
      <c r="F6">
        <f>F5</f>
        <v>12</v>
      </c>
      <c r="G6">
        <f t="shared" si="11"/>
        <v>-144</v>
      </c>
      <c r="T6" s="27" t="s">
        <v>76</v>
      </c>
      <c r="U6" s="10">
        <f ca="1">U3*B80*(1/12)</f>
        <v>7.230892151710578E-9</v>
      </c>
      <c r="V6" s="17" t="s">
        <v>70</v>
      </c>
      <c r="W6" s="31">
        <f t="shared" ref="W6" ca="1" si="12">U6</f>
        <v>7.230892151710578E-9</v>
      </c>
      <c r="X6">
        <f>IF(B6=0,0,-1*X5)</f>
        <v>0</v>
      </c>
      <c r="Y6">
        <f>IF(B6=0,0,Y5)</f>
        <v>0</v>
      </c>
      <c r="AA6">
        <f>U14</f>
        <v>100</v>
      </c>
      <c r="AB6">
        <f>U10</f>
        <v>0</v>
      </c>
      <c r="AS6">
        <v>-3.0717794835100207</v>
      </c>
      <c r="AT6">
        <v>-286.29530944651327</v>
      </c>
      <c r="AU6">
        <v>167.43035933179289</v>
      </c>
      <c r="AV6">
        <f t="shared" si="1"/>
        <v>2.612411947632622</v>
      </c>
      <c r="AW6">
        <f t="shared" si="2"/>
        <v>5.6841914311426427</v>
      </c>
      <c r="AX6" s="40">
        <f t="shared" si="3"/>
        <v>-0.52918070595717115</v>
      </c>
      <c r="AY6">
        <f t="shared" si="4"/>
        <v>0.52918070595717115</v>
      </c>
      <c r="AZ6">
        <f t="shared" si="5"/>
        <v>3.2114058236695655</v>
      </c>
      <c r="BA6">
        <f t="shared" si="6"/>
        <v>2.612411947632622</v>
      </c>
      <c r="BB6">
        <f t="shared" si="7"/>
        <v>5.6841914311426427</v>
      </c>
      <c r="BC6">
        <f t="shared" si="8"/>
        <v>-0.52918070595717115</v>
      </c>
      <c r="BD6">
        <f t="shared" si="9"/>
        <v>0.52918070595717115</v>
      </c>
      <c r="BE6">
        <f t="shared" si="10"/>
        <v>-0.54546210098102232</v>
      </c>
      <c r="BK6">
        <v>3.9269908169872414</v>
      </c>
      <c r="BL6">
        <v>3.1415926535897931</v>
      </c>
      <c r="BM6">
        <v>3.5342917352885173</v>
      </c>
      <c r="BN6">
        <v>4.0098847302334315</v>
      </c>
      <c r="BO6">
        <v>-0.53732140346909718</v>
      </c>
      <c r="BP6">
        <v>-0.88538971093637286</v>
      </c>
    </row>
    <row r="7" spans="1:68" ht="15.75" thickBot="1" x14ac:dyDescent="0.3">
      <c r="A7" s="8" t="s">
        <v>91</v>
      </c>
      <c r="B7" s="46">
        <v>24</v>
      </c>
      <c r="C7" t="s">
        <v>4</v>
      </c>
      <c r="E7" s="5">
        <f>E6</f>
        <v>36</v>
      </c>
      <c r="F7">
        <f>B8</f>
        <v>24</v>
      </c>
      <c r="G7">
        <f t="shared" si="11"/>
        <v>216</v>
      </c>
      <c r="T7" s="28" t="s">
        <v>96</v>
      </c>
      <c r="U7" s="29">
        <f ca="1">IF(AND(U5=0,U6=0),0,ATAN2(U5,U6))</f>
        <v>3.1415926535575904</v>
      </c>
      <c r="V7" s="18" t="s">
        <v>97</v>
      </c>
      <c r="W7" s="33">
        <f ca="1">U7-U13</f>
        <v>-3.2202684963067441E-11</v>
      </c>
      <c r="AA7">
        <f ca="1">U8</f>
        <v>224.54169016050608</v>
      </c>
      <c r="AB7" s="9">
        <f ca="1">U4</f>
        <v>-9.1686018777181744E-9</v>
      </c>
      <c r="AS7">
        <v>-3.0543261909900776</v>
      </c>
      <c r="AT7">
        <v>-286.23186400022291</v>
      </c>
      <c r="AU7">
        <v>166.62427034416021</v>
      </c>
      <c r="AV7">
        <f t="shared" si="1"/>
        <v>2.6144161982154284</v>
      </c>
      <c r="AW7">
        <f t="shared" si="2"/>
        <v>5.668742389205506</v>
      </c>
      <c r="AX7" s="40">
        <f t="shared" si="3"/>
        <v>-0.52717645537436475</v>
      </c>
      <c r="AY7">
        <f t="shared" si="4"/>
        <v>0.52717645537436475</v>
      </c>
      <c r="AZ7">
        <f t="shared" si="5"/>
        <v>3.2288591161895086</v>
      </c>
      <c r="BA7">
        <f t="shared" si="6"/>
        <v>2.6144161982154284</v>
      </c>
      <c r="BB7">
        <f t="shared" si="7"/>
        <v>5.668742389205506</v>
      </c>
      <c r="BC7">
        <f t="shared" si="8"/>
        <v>-0.52717645537436475</v>
      </c>
      <c r="BD7">
        <f t="shared" si="9"/>
        <v>0.52717645537436475</v>
      </c>
      <c r="BE7">
        <f t="shared" si="10"/>
        <v>-0.54746635156382872</v>
      </c>
      <c r="BK7">
        <v>3.9269908169872414</v>
      </c>
      <c r="BL7">
        <v>3.5342917352885173</v>
      </c>
      <c r="BM7">
        <v>3.7306412761378791</v>
      </c>
      <c r="BN7">
        <v>4.0098847302334315</v>
      </c>
      <c r="BO7">
        <v>-0.88538971093637286</v>
      </c>
      <c r="BP7">
        <v>4.2686749915902755</v>
      </c>
    </row>
    <row r="8" spans="1:68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11"/>
        <v>432</v>
      </c>
      <c r="T8" s="37" t="s">
        <v>109</v>
      </c>
      <c r="U8" s="6">
        <f ca="1">SQRT(POWER(U5,2)+POWER(U6,2))</f>
        <v>224.54169016050608</v>
      </c>
      <c r="V8" s="42" t="s">
        <v>70</v>
      </c>
      <c r="AS8">
        <v>-3.0368728984701345</v>
      </c>
      <c r="AT8">
        <v>-286.1540030531304</v>
      </c>
      <c r="AU8">
        <v>165.8157156013055</v>
      </c>
      <c r="AV8">
        <f t="shared" si="1"/>
        <v>2.6164106263633338</v>
      </c>
      <c r="AW8">
        <f t="shared" si="2"/>
        <v>5.6532835248334683</v>
      </c>
      <c r="AX8" s="40">
        <f t="shared" si="3"/>
        <v>-0.52518202722645935</v>
      </c>
      <c r="AY8">
        <f t="shared" si="4"/>
        <v>0.52518202722645935</v>
      </c>
      <c r="AZ8">
        <f t="shared" si="5"/>
        <v>3.2463124087094517</v>
      </c>
      <c r="BA8">
        <f t="shared" si="6"/>
        <v>2.6164106263633338</v>
      </c>
      <c r="BB8">
        <f t="shared" si="7"/>
        <v>5.6532835248334683</v>
      </c>
      <c r="BC8">
        <f t="shared" si="8"/>
        <v>-0.52518202722645935</v>
      </c>
      <c r="BD8">
        <f t="shared" si="9"/>
        <v>0.52518202722645935</v>
      </c>
      <c r="BE8">
        <f t="shared" si="10"/>
        <v>-0.54946077971173413</v>
      </c>
      <c r="BK8">
        <v>3.7306412761378791</v>
      </c>
      <c r="BL8">
        <v>3.5342917352885173</v>
      </c>
      <c r="BM8">
        <v>3.6324665057131984</v>
      </c>
      <c r="BN8">
        <v>4.2686749915902755</v>
      </c>
      <c r="BO8">
        <v>-0.88538971093637286</v>
      </c>
      <c r="BP8">
        <v>4.853237630806837</v>
      </c>
    </row>
    <row r="9" spans="1:68" x14ac:dyDescent="0.25">
      <c r="A9" s="8" t="s">
        <v>7</v>
      </c>
      <c r="B9" s="7">
        <v>12</v>
      </c>
      <c r="C9" t="s">
        <v>4</v>
      </c>
      <c r="E9" s="5">
        <f>E8</f>
        <v>0</v>
      </c>
      <c r="F9">
        <f>F6</f>
        <v>12</v>
      </c>
      <c r="G9">
        <f t="shared" si="11"/>
        <v>0</v>
      </c>
      <c r="T9" s="35" t="s">
        <v>98</v>
      </c>
      <c r="U9" s="36"/>
      <c r="V9" s="16"/>
      <c r="AA9" s="9">
        <f ca="1">U5-U11</f>
        <v>-124.54169016050608</v>
      </c>
      <c r="AB9" s="9">
        <f ca="1">U6-U12</f>
        <v>7.230892151710578E-9</v>
      </c>
      <c r="AC9" s="9">
        <f ca="1">AA9+AB9</f>
        <v>-124.54169015327518</v>
      </c>
      <c r="AS9">
        <v>-3.0194196059501914</v>
      </c>
      <c r="AT9">
        <v>-286.06153409760259</v>
      </c>
      <c r="AU9">
        <v>165.00418865455674</v>
      </c>
      <c r="AV9">
        <f t="shared" si="1"/>
        <v>2.6183964593851998</v>
      </c>
      <c r="AW9">
        <f t="shared" si="2"/>
        <v>5.6378160653353913</v>
      </c>
      <c r="AX9" s="40">
        <f t="shared" si="3"/>
        <v>-0.52319619420459329</v>
      </c>
      <c r="AY9">
        <f t="shared" si="4"/>
        <v>0.52319619420459329</v>
      </c>
      <c r="AZ9">
        <f t="shared" si="5"/>
        <v>3.2637657012293948</v>
      </c>
      <c r="BA9">
        <f t="shared" si="6"/>
        <v>2.6183964593851998</v>
      </c>
      <c r="BB9">
        <f t="shared" si="7"/>
        <v>5.6378160653353913</v>
      </c>
      <c r="BC9">
        <f t="shared" si="8"/>
        <v>-0.52319619420459329</v>
      </c>
      <c r="BD9">
        <f t="shared" si="9"/>
        <v>0.52319619420459329</v>
      </c>
      <c r="BE9">
        <f t="shared" si="10"/>
        <v>-0.55144661273360018</v>
      </c>
      <c r="BK9">
        <v>3.6324665057131984</v>
      </c>
      <c r="BL9">
        <v>3.5342917352885173</v>
      </c>
      <c r="BM9">
        <v>3.5833791205008581</v>
      </c>
      <c r="BN9">
        <v>4.853237630806837</v>
      </c>
      <c r="BO9">
        <v>-0.88538971093637286</v>
      </c>
      <c r="BP9">
        <v>5.1401846502712862</v>
      </c>
    </row>
    <row r="10" spans="1:68" x14ac:dyDescent="0.25">
      <c r="E10">
        <v>0</v>
      </c>
      <c r="F10">
        <f>F9</f>
        <v>12</v>
      </c>
      <c r="G10">
        <f t="shared" si="11"/>
        <v>0</v>
      </c>
      <c r="T10" s="37" t="s">
        <v>99</v>
      </c>
      <c r="U10" s="38">
        <v>0</v>
      </c>
      <c r="V10" s="17" t="s">
        <v>68</v>
      </c>
      <c r="W10" t="str">
        <f>"+ Compression"</f>
        <v>+ Compression</v>
      </c>
      <c r="AS10">
        <v>-3.0019663134302483</v>
      </c>
      <c r="AT10">
        <v>-285.95422729482675</v>
      </c>
      <c r="AU10">
        <v>164.18917568716031</v>
      </c>
      <c r="AV10">
        <f t="shared" si="1"/>
        <v>2.6203749031844179</v>
      </c>
      <c r="AW10">
        <f t="shared" si="2"/>
        <v>5.6223412166146662</v>
      </c>
      <c r="AX10" s="40">
        <f t="shared" si="3"/>
        <v>-0.52121775040537521</v>
      </c>
      <c r="AY10">
        <f t="shared" si="4"/>
        <v>0.52121775040537521</v>
      </c>
      <c r="AZ10">
        <f t="shared" si="5"/>
        <v>3.2812189937493379</v>
      </c>
      <c r="BA10">
        <f t="shared" si="6"/>
        <v>2.6203749031844179</v>
      </c>
      <c r="BB10">
        <f t="shared" si="7"/>
        <v>5.6223412166146662</v>
      </c>
      <c r="BC10">
        <f t="shared" si="8"/>
        <v>-0.52121775040537521</v>
      </c>
      <c r="BD10">
        <f t="shared" si="9"/>
        <v>0.52121775040537521</v>
      </c>
      <c r="BE10">
        <f t="shared" si="10"/>
        <v>-0.55342505653281826</v>
      </c>
      <c r="BK10">
        <v>3.5833791205008581</v>
      </c>
      <c r="BL10">
        <v>3.5342917352885173</v>
      </c>
      <c r="BM10">
        <v>3.5588354278946879</v>
      </c>
      <c r="BN10">
        <v>5.1401846502712862</v>
      </c>
      <c r="BO10">
        <v>-0.88538971093637286</v>
      </c>
      <c r="BP10">
        <v>-1.0077795308008657</v>
      </c>
    </row>
    <row r="11" spans="1:68" x14ac:dyDescent="0.25">
      <c r="A11" t="s">
        <v>10</v>
      </c>
      <c r="E11">
        <v>0</v>
      </c>
      <c r="F11">
        <v>0</v>
      </c>
      <c r="G11">
        <f t="shared" si="11"/>
        <v>0</v>
      </c>
      <c r="T11" s="37" t="s">
        <v>100</v>
      </c>
      <c r="U11" s="38">
        <v>-100</v>
      </c>
      <c r="V11" s="17" t="s">
        <v>70</v>
      </c>
      <c r="W11" t="str">
        <f>"+ Puts Top of Section in Compression"</f>
        <v>+ Puts Top of Section in Compression</v>
      </c>
      <c r="AS11">
        <v>-2.9845130209103052</v>
      </c>
      <c r="AT11">
        <v>-285.83181417983332</v>
      </c>
      <c r="AU11">
        <v>163.37015418910386</v>
      </c>
      <c r="AV11">
        <f t="shared" si="1"/>
        <v>2.6223471450495084</v>
      </c>
      <c r="AW11">
        <f t="shared" si="2"/>
        <v>5.6068601659598141</v>
      </c>
      <c r="AX11" s="40">
        <f t="shared" si="3"/>
        <v>-0.51924550854028473</v>
      </c>
      <c r="AY11">
        <f t="shared" si="4"/>
        <v>0.51924550854028473</v>
      </c>
      <c r="AZ11">
        <f t="shared" si="5"/>
        <v>3.298672286269281</v>
      </c>
      <c r="BA11">
        <f t="shared" si="6"/>
        <v>2.6223471450495084</v>
      </c>
      <c r="BB11">
        <f t="shared" si="7"/>
        <v>5.6068601659598141</v>
      </c>
      <c r="BC11">
        <f t="shared" si="8"/>
        <v>-0.51924550854028473</v>
      </c>
      <c r="BD11">
        <f t="shared" si="9"/>
        <v>0.51924550854028473</v>
      </c>
      <c r="BE11">
        <f t="shared" si="10"/>
        <v>-0.55539729839790875</v>
      </c>
      <c r="BK11">
        <v>3.5833791205008581</v>
      </c>
      <c r="BL11">
        <v>3.5588354278946879</v>
      </c>
      <c r="BM11">
        <v>3.571107274197773</v>
      </c>
      <c r="BN11">
        <v>5.1401846502712862</v>
      </c>
      <c r="BO11">
        <v>-1.0077795308008657</v>
      </c>
      <c r="BP11">
        <v>-1.074170433671402</v>
      </c>
    </row>
    <row r="12" spans="1:68" x14ac:dyDescent="0.25">
      <c r="A12" s="8" t="s">
        <v>11</v>
      </c>
      <c r="B12" s="2">
        <v>60</v>
      </c>
      <c r="C12" t="s">
        <v>1</v>
      </c>
      <c r="G12">
        <f>SUM(G4:G11)</f>
        <v>576</v>
      </c>
      <c r="T12" s="37" t="s">
        <v>101</v>
      </c>
      <c r="U12" s="38">
        <v>0</v>
      </c>
      <c r="V12" s="17" t="s">
        <v>70</v>
      </c>
      <c r="W12" t="str">
        <f>"+ Puts Left of Section in Compression"</f>
        <v>+ Puts Left of Section in Compression</v>
      </c>
      <c r="AS12">
        <v>-2.9670597283903621</v>
      </c>
      <c r="AT12">
        <v>-285.6939862833579</v>
      </c>
      <c r="AU12">
        <v>162.54659158548156</v>
      </c>
      <c r="AV12">
        <f t="shared" si="1"/>
        <v>2.6243143565470395</v>
      </c>
      <c r="AW12">
        <f t="shared" si="2"/>
        <v>5.5913740849374012</v>
      </c>
      <c r="AX12" s="40">
        <f t="shared" si="3"/>
        <v>-0.51727829704275363</v>
      </c>
      <c r="AY12">
        <f t="shared" si="4"/>
        <v>0.51727829704275363</v>
      </c>
      <c r="AZ12">
        <f t="shared" si="5"/>
        <v>3.3161255787892241</v>
      </c>
      <c r="BA12">
        <f t="shared" si="6"/>
        <v>2.6243143565470395</v>
      </c>
      <c r="BB12">
        <f t="shared" si="7"/>
        <v>5.5913740849374012</v>
      </c>
      <c r="BC12">
        <f t="shared" si="8"/>
        <v>-0.51727829704275363</v>
      </c>
      <c r="BD12">
        <f t="shared" si="9"/>
        <v>0.51727829704275363</v>
      </c>
      <c r="BE12">
        <f t="shared" si="10"/>
        <v>-0.55736450989543984</v>
      </c>
      <c r="BK12">
        <v>3.5833791205008581</v>
      </c>
      <c r="BL12">
        <v>3.571107274197773</v>
      </c>
      <c r="BM12">
        <v>3.5772431973493157</v>
      </c>
      <c r="BN12">
        <v>5.1401846502712862</v>
      </c>
      <c r="BO12">
        <v>-1.074170433671402</v>
      </c>
      <c r="BP12">
        <v>5.1748704987180068</v>
      </c>
    </row>
    <row r="13" spans="1:68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IF(AND(U11=0,U12=0),0,ATAN2(U11,U12))</f>
        <v>3.1415926535897931</v>
      </c>
      <c r="V13" s="18" t="s">
        <v>97</v>
      </c>
      <c r="AS13">
        <v>-2.949606435870419</v>
      </c>
      <c r="AT13">
        <v>-285.54039339831667</v>
      </c>
      <c r="AU13">
        <v>161.71794381057884</v>
      </c>
      <c r="AV13">
        <f t="shared" si="1"/>
        <v>2.6262776961390051</v>
      </c>
      <c r="AW13">
        <f t="shared" si="2"/>
        <v>5.5758841320094241</v>
      </c>
      <c r="AX13" s="40">
        <f t="shared" si="3"/>
        <v>-0.51531495745078804</v>
      </c>
      <c r="AY13">
        <f t="shared" si="4"/>
        <v>0.51531495745078804</v>
      </c>
      <c r="AZ13">
        <f t="shared" si="5"/>
        <v>3.3335788713091672</v>
      </c>
      <c r="BA13">
        <f t="shared" si="6"/>
        <v>2.6262776961390051</v>
      </c>
      <c r="BB13">
        <f t="shared" si="7"/>
        <v>5.5758841320094241</v>
      </c>
      <c r="BC13">
        <f t="shared" si="8"/>
        <v>-0.51531495745078804</v>
      </c>
      <c r="BD13">
        <f t="shared" si="9"/>
        <v>0.51531495745078804</v>
      </c>
      <c r="BE13">
        <f t="shared" si="10"/>
        <v>-0.55932784948740544</v>
      </c>
      <c r="BK13">
        <v>3.5772431973493157</v>
      </c>
      <c r="BL13">
        <v>3.571107274197773</v>
      </c>
      <c r="BM13">
        <v>3.5741752357735441</v>
      </c>
      <c r="BN13">
        <v>5.1748704987180068</v>
      </c>
      <c r="BO13">
        <v>-1.074170433671402</v>
      </c>
      <c r="BP13">
        <v>5.1920148816788982</v>
      </c>
    </row>
    <row r="14" spans="1:68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3" t="s">
        <v>109</v>
      </c>
      <c r="U14" s="44">
        <f>SQRT(POWER(U11,2)+POWER(U12,2))</f>
        <v>100</v>
      </c>
      <c r="V14" s="45" t="s">
        <v>70</v>
      </c>
      <c r="AS14">
        <v>-2.9321531433504759</v>
      </c>
      <c r="AT14">
        <v>-285.37064171691122</v>
      </c>
      <c r="AU14">
        <v>160.88365381934614</v>
      </c>
      <c r="AV14">
        <f t="shared" si="1"/>
        <v>2.6282383119020705</v>
      </c>
      <c r="AW14">
        <f t="shared" si="2"/>
        <v>5.560391455252546</v>
      </c>
      <c r="AX14" s="40">
        <f t="shared" si="3"/>
        <v>-0.51335434168772265</v>
      </c>
      <c r="AY14">
        <f t="shared" si="4"/>
        <v>0.51335434168772265</v>
      </c>
      <c r="AZ14">
        <f t="shared" si="5"/>
        <v>3.3510321638291103</v>
      </c>
      <c r="BA14">
        <f t="shared" si="6"/>
        <v>2.6282383119020705</v>
      </c>
      <c r="BB14">
        <f t="shared" si="7"/>
        <v>5.560391455252546</v>
      </c>
      <c r="BC14">
        <f t="shared" si="8"/>
        <v>-0.51335434168772265</v>
      </c>
      <c r="BD14">
        <f t="shared" si="9"/>
        <v>0.51335434168772265</v>
      </c>
      <c r="BE14">
        <f t="shared" si="10"/>
        <v>-0.56128846525047082</v>
      </c>
      <c r="BK14">
        <v>3.5741752357735441</v>
      </c>
      <c r="BL14">
        <v>3.571107274197773</v>
      </c>
      <c r="BM14">
        <v>3.5726412549856583</v>
      </c>
      <c r="BN14">
        <v>5.1920148816788982</v>
      </c>
      <c r="BO14">
        <v>-1.074170433671402</v>
      </c>
      <c r="BP14">
        <v>5.2005334698554746</v>
      </c>
    </row>
    <row r="15" spans="1:68" x14ac:dyDescent="0.25">
      <c r="A15">
        <v>1</v>
      </c>
      <c r="B15" s="20">
        <v>8</v>
      </c>
      <c r="C15" s="6">
        <f ca="1">OFFSET($G$14,MATCH(B15,$G$14:$G$29,0)-1,2)</f>
        <v>0.79</v>
      </c>
      <c r="D15" s="2">
        <v>3</v>
      </c>
      <c r="E15" s="2">
        <v>22</v>
      </c>
      <c r="G15" s="1">
        <v>3</v>
      </c>
      <c r="H15" s="6">
        <v>0.375</v>
      </c>
      <c r="I15" s="6">
        <v>0.11</v>
      </c>
      <c r="K15" s="1">
        <f t="shared" ref="K15:K24" si="13">IF($B15=0,NA(),D15)</f>
        <v>3</v>
      </c>
      <c r="L15" s="1">
        <f t="shared" ref="L15:L24" si="14">IF($B15=0,NA(),E15)</f>
        <v>22</v>
      </c>
      <c r="T15" s="39" t="s">
        <v>103</v>
      </c>
      <c r="U15" s="6">
        <f>SQRT(POWER(U12,2)+POWER(U11,2)+POWER(U10,2))</f>
        <v>100</v>
      </c>
      <c r="AS15">
        <v>-2.9146998508305328</v>
      </c>
      <c r="AT15">
        <v>-285.18429162060573</v>
      </c>
      <c r="AU15">
        <v>160.04315002733676</v>
      </c>
      <c r="AV15">
        <f t="shared" si="1"/>
        <v>2.6301973440598259</v>
      </c>
      <c r="AW15">
        <f t="shared" si="2"/>
        <v>5.5448971948903587</v>
      </c>
      <c r="AX15" s="40">
        <f t="shared" si="3"/>
        <v>-0.51139530952996726</v>
      </c>
      <c r="AY15">
        <f t="shared" si="4"/>
        <v>0.51139530952996726</v>
      </c>
      <c r="AZ15">
        <f t="shared" si="5"/>
        <v>3.3684854563490534</v>
      </c>
      <c r="BA15">
        <f t="shared" si="6"/>
        <v>2.6301973440598259</v>
      </c>
      <c r="BB15">
        <f t="shared" si="7"/>
        <v>5.5448971948903587</v>
      </c>
      <c r="BC15">
        <f t="shared" si="8"/>
        <v>-0.51139530952996726</v>
      </c>
      <c r="BD15">
        <f t="shared" si="9"/>
        <v>0.51139530952996726</v>
      </c>
      <c r="BE15">
        <f t="shared" si="10"/>
        <v>-0.56324749740822622</v>
      </c>
      <c r="BK15">
        <v>3.5726412549856583</v>
      </c>
      <c r="BL15">
        <v>3.571107274197773</v>
      </c>
      <c r="BM15">
        <v>3.5718742645917159</v>
      </c>
      <c r="BN15">
        <v>5.2005334698554746</v>
      </c>
      <c r="BO15">
        <v>-1.074170433671402</v>
      </c>
      <c r="BP15">
        <v>5.2047788863582287</v>
      </c>
    </row>
    <row r="16" spans="1:68" x14ac:dyDescent="0.25">
      <c r="A16">
        <v>2</v>
      </c>
      <c r="B16" s="20">
        <v>8</v>
      </c>
      <c r="C16" s="6">
        <f t="shared" ref="C16:C24" ca="1" si="15">OFFSET($G$14,MATCH(B16,$G$14:$G$29,0)-1,2)</f>
        <v>0.79</v>
      </c>
      <c r="D16" s="2">
        <v>13</v>
      </c>
      <c r="E16" s="2">
        <v>22</v>
      </c>
      <c r="G16" s="1">
        <v>4</v>
      </c>
      <c r="H16" s="6">
        <v>0.5</v>
      </c>
      <c r="I16" s="6">
        <v>0.2</v>
      </c>
      <c r="K16" s="1">
        <f t="shared" si="13"/>
        <v>13</v>
      </c>
      <c r="L16" s="1">
        <f t="shared" si="14"/>
        <v>22</v>
      </c>
      <c r="T16" s="39" t="s">
        <v>104</v>
      </c>
      <c r="U16" s="41">
        <f>U10/U15</f>
        <v>0</v>
      </c>
      <c r="V16" s="41">
        <f>U11/U15</f>
        <v>-1</v>
      </c>
      <c r="W16" s="41">
        <f>U12/U15</f>
        <v>0</v>
      </c>
      <c r="X16" s="40"/>
      <c r="AS16">
        <v>-2.8972465583105897</v>
      </c>
      <c r="AT16">
        <v>-284.98085521089587</v>
      </c>
      <c r="AU16">
        <v>159.19584466949817</v>
      </c>
      <c r="AV16">
        <f t="shared" si="1"/>
        <v>2.6321559275036019</v>
      </c>
      <c r="AW16">
        <f t="shared" si="2"/>
        <v>5.5294024858141917</v>
      </c>
      <c r="AX16" s="40">
        <f t="shared" si="3"/>
        <v>-0.50943672608619117</v>
      </c>
      <c r="AY16">
        <f t="shared" si="4"/>
        <v>0.50943672608619117</v>
      </c>
      <c r="AZ16">
        <f t="shared" si="5"/>
        <v>3.3859387488689965</v>
      </c>
      <c r="BA16">
        <f t="shared" si="6"/>
        <v>2.6321559275036019</v>
      </c>
      <c r="BB16">
        <f t="shared" si="7"/>
        <v>5.5294024858141917</v>
      </c>
      <c r="BC16">
        <f t="shared" si="8"/>
        <v>-0.50943672608619117</v>
      </c>
      <c r="BD16">
        <f t="shared" si="9"/>
        <v>0.50943672608619117</v>
      </c>
      <c r="BE16">
        <f t="shared" si="10"/>
        <v>-0.5652060808520023</v>
      </c>
      <c r="BK16">
        <v>3.5718742645917159</v>
      </c>
      <c r="BL16">
        <v>3.571107274197773</v>
      </c>
      <c r="BM16">
        <v>3.5714907693947442</v>
      </c>
      <c r="BN16">
        <v>5.2047788863582287</v>
      </c>
      <c r="BO16">
        <v>-1.074170433671402</v>
      </c>
      <c r="BP16">
        <v>5.2068980668514957</v>
      </c>
    </row>
    <row r="17" spans="1:68" x14ac:dyDescent="0.25">
      <c r="A17">
        <v>3</v>
      </c>
      <c r="B17" s="20">
        <v>8</v>
      </c>
      <c r="C17" s="6">
        <f t="shared" ca="1" si="15"/>
        <v>0.79</v>
      </c>
      <c r="D17" s="2">
        <v>23</v>
      </c>
      <c r="E17" s="2">
        <v>22</v>
      </c>
      <c r="G17" s="1">
        <v>5</v>
      </c>
      <c r="H17" s="6">
        <v>0.625</v>
      </c>
      <c r="I17" s="6">
        <v>0.31</v>
      </c>
      <c r="K17" s="1">
        <f t="shared" si="13"/>
        <v>23</v>
      </c>
      <c r="L17" s="1">
        <f t="shared" si="14"/>
        <v>22</v>
      </c>
      <c r="AS17">
        <v>-2.8797932657906467</v>
      </c>
      <c r="AT17">
        <v>-284.75979354361476</v>
      </c>
      <c r="AU17">
        <v>158.34113206741159</v>
      </c>
      <c r="AV17">
        <f t="shared" si="1"/>
        <v>2.6341151942924901</v>
      </c>
      <c r="AW17">
        <f t="shared" si="2"/>
        <v>5.5139084600831367</v>
      </c>
      <c r="AX17" s="40">
        <f t="shared" si="3"/>
        <v>-0.50747745929730304</v>
      </c>
      <c r="AY17">
        <f t="shared" si="4"/>
        <v>0.50747745929730304</v>
      </c>
      <c r="AZ17">
        <f t="shared" si="5"/>
        <v>3.4033920413889396</v>
      </c>
      <c r="BA17">
        <f t="shared" si="6"/>
        <v>2.6341151942924901</v>
      </c>
      <c r="BB17">
        <f t="shared" si="7"/>
        <v>5.5139084600831367</v>
      </c>
      <c r="BC17">
        <f t="shared" si="8"/>
        <v>-0.50747745929730304</v>
      </c>
      <c r="BD17">
        <f t="shared" si="9"/>
        <v>0.50747745929730304</v>
      </c>
      <c r="BE17">
        <f t="shared" si="10"/>
        <v>-0.56716534764089044</v>
      </c>
      <c r="BK17">
        <v>3.5714907693947442</v>
      </c>
      <c r="BL17">
        <v>3.571107274197773</v>
      </c>
      <c r="BM17">
        <v>3.5712990217962588</v>
      </c>
      <c r="BN17">
        <v>5.2068980668514957</v>
      </c>
      <c r="BO17">
        <v>-1.074170433671402</v>
      </c>
      <c r="BP17">
        <v>5.2079567679406376</v>
      </c>
    </row>
    <row r="18" spans="1:68" x14ac:dyDescent="0.25">
      <c r="A18">
        <v>4</v>
      </c>
      <c r="B18" s="20">
        <v>8</v>
      </c>
      <c r="C18" s="6">
        <f t="shared" ca="1" si="15"/>
        <v>0.79</v>
      </c>
      <c r="D18" s="2">
        <v>33</v>
      </c>
      <c r="E18" s="2">
        <v>22</v>
      </c>
      <c r="G18" s="1">
        <v>6</v>
      </c>
      <c r="H18" s="6">
        <v>0.75</v>
      </c>
      <c r="I18" s="6">
        <v>0.44</v>
      </c>
      <c r="K18" s="1">
        <f t="shared" si="13"/>
        <v>33</v>
      </c>
      <c r="L18" s="1">
        <f t="shared" si="14"/>
        <v>22</v>
      </c>
      <c r="T18" s="8" t="s">
        <v>105</v>
      </c>
      <c r="U18" s="6">
        <f ca="1">SQRT(POWER(U6,2)+POWER(U5,2)+POWER(U4,2))</f>
        <v>224.54169016050608</v>
      </c>
      <c r="AS18">
        <v>-2.8623399732707036</v>
      </c>
      <c r="AT18">
        <v>-284.08274538029252</v>
      </c>
      <c r="AU18">
        <v>155.93188739583917</v>
      </c>
      <c r="AV18">
        <f t="shared" si="1"/>
        <v>2.6395974255947552</v>
      </c>
      <c r="AW18">
        <f t="shared" si="2"/>
        <v>5.5019373988654587</v>
      </c>
      <c r="AX18" s="40">
        <f t="shared" si="3"/>
        <v>-0.50199522799503793</v>
      </c>
      <c r="AY18">
        <f t="shared" si="4"/>
        <v>0.50199522799503793</v>
      </c>
      <c r="AZ18">
        <f t="shared" si="5"/>
        <v>3.4208453339088827</v>
      </c>
      <c r="BA18">
        <f t="shared" si="6"/>
        <v>2.6395974255947552</v>
      </c>
      <c r="BB18">
        <f t="shared" si="7"/>
        <v>5.5019373988654587</v>
      </c>
      <c r="BC18">
        <f t="shared" si="8"/>
        <v>-0.50199522799503793</v>
      </c>
      <c r="BD18">
        <f t="shared" si="9"/>
        <v>0.50199522799503793</v>
      </c>
      <c r="BE18">
        <f t="shared" si="10"/>
        <v>-0.57264757894315554</v>
      </c>
      <c r="BK18">
        <v>3.5712990217962588</v>
      </c>
      <c r="BL18">
        <v>3.571107274197773</v>
      </c>
      <c r="BM18">
        <v>3.5712031479970161</v>
      </c>
      <c r="BN18">
        <v>5.2079567679406376</v>
      </c>
      <c r="BO18">
        <v>-1.074170433671402</v>
      </c>
      <c r="BP18">
        <v>5.2084858952608775</v>
      </c>
    </row>
    <row r="19" spans="1:68" x14ac:dyDescent="0.25">
      <c r="A19">
        <v>5</v>
      </c>
      <c r="B19" s="20">
        <v>0</v>
      </c>
      <c r="C19" s="6">
        <f t="shared" ca="1" si="15"/>
        <v>0</v>
      </c>
      <c r="D19" s="2">
        <v>2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13"/>
        <v>#N/A</v>
      </c>
      <c r="L19" s="1" t="e">
        <f t="shared" si="14"/>
        <v>#N/A</v>
      </c>
      <c r="T19" s="8" t="s">
        <v>106</v>
      </c>
      <c r="U19" s="41">
        <f ca="1">U4/U18</f>
        <v>-4.083251476001765E-11</v>
      </c>
      <c r="V19" s="41">
        <f ca="1">U5/U18</f>
        <v>-1</v>
      </c>
      <c r="W19" s="41">
        <f ca="1">U6/U18</f>
        <v>3.220289357643036E-11</v>
      </c>
      <c r="X19" s="40"/>
      <c r="AS19">
        <v>-2.8448866807507605</v>
      </c>
      <c r="AT19">
        <v>-281.38153551658297</v>
      </c>
      <c r="AU19">
        <v>146.84304144717521</v>
      </c>
      <c r="AV19">
        <f t="shared" si="1"/>
        <v>2.660606814037386</v>
      </c>
      <c r="AW19">
        <f t="shared" si="2"/>
        <v>5.505493494788146</v>
      </c>
      <c r="AX19" s="40">
        <f t="shared" si="3"/>
        <v>-0.48098583955240715</v>
      </c>
      <c r="AY19">
        <f t="shared" si="4"/>
        <v>0.48098583955240715</v>
      </c>
      <c r="AZ19">
        <f t="shared" si="5"/>
        <v>3.4382986264288258</v>
      </c>
      <c r="BA19">
        <f t="shared" si="6"/>
        <v>2.660606814037386</v>
      </c>
      <c r="BB19">
        <f t="shared" si="7"/>
        <v>5.505493494788146</v>
      </c>
      <c r="BC19">
        <f t="shared" si="8"/>
        <v>-0.48098583955240715</v>
      </c>
      <c r="BD19">
        <f t="shared" si="9"/>
        <v>0.48098583955240715</v>
      </c>
      <c r="BE19">
        <f t="shared" si="10"/>
        <v>-0.59365696738578633</v>
      </c>
      <c r="BK19">
        <v>3.5712031479970161</v>
      </c>
      <c r="BL19">
        <v>3.571107274197773</v>
      </c>
      <c r="BM19">
        <v>3.5711552110973948</v>
      </c>
      <c r="BN19">
        <v>5.2084858952608775</v>
      </c>
      <c r="BO19">
        <v>-1.074170433671402</v>
      </c>
      <c r="BP19">
        <v>-1.0744349041514076</v>
      </c>
    </row>
    <row r="20" spans="1:68" x14ac:dyDescent="0.25">
      <c r="A20">
        <v>6</v>
      </c>
      <c r="B20" s="20">
        <v>0</v>
      </c>
      <c r="C20" s="6">
        <f t="shared" ca="1" si="15"/>
        <v>0</v>
      </c>
      <c r="D20" s="2">
        <v>6</v>
      </c>
      <c r="E20" s="2">
        <v>2</v>
      </c>
      <c r="G20" s="1">
        <v>8</v>
      </c>
      <c r="H20" s="6">
        <v>1</v>
      </c>
      <c r="I20" s="6">
        <v>0.79</v>
      </c>
      <c r="K20" s="1" t="e">
        <f t="shared" si="13"/>
        <v>#N/A</v>
      </c>
      <c r="L20" s="1" t="e">
        <f t="shared" si="14"/>
        <v>#N/A</v>
      </c>
      <c r="AS20">
        <v>-2.8274333882308174</v>
      </c>
      <c r="AT20">
        <v>-277.11455552018481</v>
      </c>
      <c r="AU20">
        <v>133.32773200127571</v>
      </c>
      <c r="AV20">
        <f t="shared" si="1"/>
        <v>2.6931558376706297</v>
      </c>
      <c r="AW20">
        <f t="shared" si="2"/>
        <v>5.5205892259014471</v>
      </c>
      <c r="AX20" s="40">
        <f t="shared" si="3"/>
        <v>-0.4484368159191634</v>
      </c>
      <c r="AY20">
        <f t="shared" si="4"/>
        <v>0.4484368159191634</v>
      </c>
      <c r="AZ20">
        <f t="shared" si="5"/>
        <v>3.4557519189487689</v>
      </c>
      <c r="BA20">
        <f t="shared" si="6"/>
        <v>2.6931558376706297</v>
      </c>
      <c r="BB20">
        <f t="shared" si="7"/>
        <v>5.5205892259014471</v>
      </c>
      <c r="BC20">
        <f t="shared" si="8"/>
        <v>-0.4484368159191634</v>
      </c>
      <c r="BD20">
        <f t="shared" si="9"/>
        <v>0.4484368159191634</v>
      </c>
      <c r="BE20">
        <f t="shared" si="10"/>
        <v>-0.62620599101903007</v>
      </c>
      <c r="BK20">
        <v>3.5712031479970161</v>
      </c>
      <c r="BL20">
        <v>3.5711552110973948</v>
      </c>
      <c r="BM20">
        <v>3.5711791795472054</v>
      </c>
      <c r="BN20">
        <v>5.2084858952608775</v>
      </c>
      <c r="BO20">
        <v>-1.0744349041514076</v>
      </c>
      <c r="BP20">
        <v>-1.0745671533267354</v>
      </c>
    </row>
    <row r="21" spans="1:68" x14ac:dyDescent="0.25">
      <c r="A21">
        <v>7</v>
      </c>
      <c r="B21" s="20">
        <v>0</v>
      </c>
      <c r="C21" s="6">
        <f t="shared" ca="1" si="15"/>
        <v>0</v>
      </c>
      <c r="D21" s="2">
        <v>10</v>
      </c>
      <c r="E21" s="2">
        <v>2</v>
      </c>
      <c r="G21" s="1">
        <v>9</v>
      </c>
      <c r="H21" s="6">
        <v>1.1279999999999999</v>
      </c>
      <c r="I21" s="6">
        <v>1</v>
      </c>
      <c r="K21" s="1" t="e">
        <f t="shared" si="13"/>
        <v>#N/A</v>
      </c>
      <c r="L21" s="1" t="e">
        <f t="shared" si="14"/>
        <v>#N/A</v>
      </c>
      <c r="T21" s="8" t="s">
        <v>107</v>
      </c>
      <c r="U21" s="41">
        <f ca="1">U16-U19</f>
        <v>4.083251476001765E-11</v>
      </c>
      <c r="V21" s="41">
        <f t="shared" ref="V21:W21" ca="1" si="16">V16-V19</f>
        <v>0</v>
      </c>
      <c r="W21" s="41">
        <f t="shared" ca="1" si="16"/>
        <v>-3.220289357643036E-11</v>
      </c>
      <c r="AS21">
        <v>-2.8099800957108743</v>
      </c>
      <c r="AT21">
        <v>-271.63932242999931</v>
      </c>
      <c r="AU21">
        <v>116.9756761268779</v>
      </c>
      <c r="AV21">
        <f t="shared" si="1"/>
        <v>2.7349641608155113</v>
      </c>
      <c r="AW21">
        <f t="shared" si="2"/>
        <v>5.5449442565263851</v>
      </c>
      <c r="AX21" s="40">
        <f t="shared" si="3"/>
        <v>-0.40662849277428181</v>
      </c>
      <c r="AY21">
        <f t="shared" si="4"/>
        <v>0.40662849277428181</v>
      </c>
      <c r="AZ21">
        <f t="shared" si="5"/>
        <v>3.473205211468712</v>
      </c>
      <c r="BA21">
        <f t="shared" si="6"/>
        <v>2.7349641608155113</v>
      </c>
      <c r="BB21">
        <f t="shared" si="7"/>
        <v>5.5449442565263851</v>
      </c>
      <c r="BC21">
        <f t="shared" si="8"/>
        <v>-0.40662849277428181</v>
      </c>
      <c r="BD21">
        <f t="shared" si="9"/>
        <v>0.40662849277428181</v>
      </c>
      <c r="BE21">
        <f t="shared" si="10"/>
        <v>-0.66801431416391166</v>
      </c>
      <c r="BK21">
        <v>3.5712031479970161</v>
      </c>
      <c r="BL21">
        <v>3.5711791795472054</v>
      </c>
      <c r="BM21">
        <v>3.5711911637721108</v>
      </c>
      <c r="BN21">
        <v>5.2084858952608775</v>
      </c>
      <c r="BO21">
        <v>-1.0745671533267354</v>
      </c>
      <c r="BP21">
        <v>-1.0746332814758537</v>
      </c>
    </row>
    <row r="22" spans="1:68" x14ac:dyDescent="0.25">
      <c r="A22">
        <v>8</v>
      </c>
      <c r="B22" s="20">
        <v>0</v>
      </c>
      <c r="C22" s="6">
        <f t="shared" ca="1" si="15"/>
        <v>0</v>
      </c>
      <c r="D22" s="2">
        <v>2</v>
      </c>
      <c r="E22" s="2">
        <v>4</v>
      </c>
      <c r="G22" s="1">
        <v>10</v>
      </c>
      <c r="H22" s="6">
        <v>1.27</v>
      </c>
      <c r="I22" s="6">
        <v>1.27</v>
      </c>
      <c r="K22" s="1" t="e">
        <f t="shared" si="13"/>
        <v>#N/A</v>
      </c>
      <c r="L22" s="1" t="e">
        <f t="shared" si="14"/>
        <v>#N/A</v>
      </c>
      <c r="U22" s="1" t="s">
        <v>99</v>
      </c>
      <c r="V22" s="1" t="s">
        <v>100</v>
      </c>
      <c r="W22" s="1" t="s">
        <v>101</v>
      </c>
      <c r="AS22">
        <v>-2.7925268031909312</v>
      </c>
      <c r="AT22">
        <v>-265.14288919801191</v>
      </c>
      <c r="AU22">
        <v>98.638654113405948</v>
      </c>
      <c r="AV22">
        <f t="shared" si="1"/>
        <v>2.7854364913180429</v>
      </c>
      <c r="AW22">
        <f t="shared" si="2"/>
        <v>5.5779632945089741</v>
      </c>
      <c r="AX22" s="40">
        <f t="shared" si="3"/>
        <v>-0.35615616227175018</v>
      </c>
      <c r="AY22">
        <f t="shared" si="4"/>
        <v>0.35615616227175018</v>
      </c>
      <c r="AZ22">
        <f t="shared" si="5"/>
        <v>3.4906585039886551</v>
      </c>
      <c r="BA22">
        <f t="shared" si="6"/>
        <v>2.7854364913180429</v>
      </c>
      <c r="BB22">
        <f t="shared" si="7"/>
        <v>5.5779632945089741</v>
      </c>
      <c r="BC22">
        <f t="shared" si="8"/>
        <v>-0.35615616227175018</v>
      </c>
      <c r="BD22">
        <f t="shared" si="9"/>
        <v>0.35615616227175018</v>
      </c>
      <c r="BE22">
        <f t="shared" si="10"/>
        <v>-0.7184866446664433</v>
      </c>
      <c r="BK22">
        <v>3.5712031479970161</v>
      </c>
      <c r="BL22">
        <v>3.5711911637721108</v>
      </c>
      <c r="BM22">
        <v>3.5711971558845637</v>
      </c>
      <c r="BN22">
        <v>5.2084858952608775</v>
      </c>
      <c r="BO22">
        <v>-1.0746332814758537</v>
      </c>
      <c r="BP22">
        <v>5.2085189608088625</v>
      </c>
    </row>
    <row r="23" spans="1:68" x14ac:dyDescent="0.25">
      <c r="A23">
        <v>9</v>
      </c>
      <c r="B23" s="20">
        <v>0</v>
      </c>
      <c r="C23" s="6">
        <f t="shared" ca="1" si="15"/>
        <v>0</v>
      </c>
      <c r="D23" s="2">
        <v>6</v>
      </c>
      <c r="E23" s="2">
        <v>4</v>
      </c>
      <c r="G23" s="1">
        <v>11</v>
      </c>
      <c r="H23" s="6">
        <v>1.41</v>
      </c>
      <c r="I23" s="6">
        <v>1.56</v>
      </c>
      <c r="K23" s="1" t="e">
        <f t="shared" si="13"/>
        <v>#N/A</v>
      </c>
      <c r="L23" s="1" t="e">
        <f t="shared" si="14"/>
        <v>#N/A</v>
      </c>
      <c r="T23" s="8" t="s">
        <v>108</v>
      </c>
      <c r="U23" s="41">
        <f ca="1">SQRT(POWER(U21,2)+POWER(V21,2)+POWER(W21,2))</f>
        <v>5.2003082757870797E-11</v>
      </c>
      <c r="V23" t="str">
        <f ca="1">IF(ABS(U23)&lt;=L1,"","NG")</f>
        <v/>
      </c>
      <c r="AS23">
        <v>-2.7750735106709881</v>
      </c>
      <c r="AT23">
        <v>-257.72842071494131</v>
      </c>
      <c r="AU23">
        <v>78.81413146608142</v>
      </c>
      <c r="AV23">
        <f t="shared" si="1"/>
        <v>2.8448205197832159</v>
      </c>
      <c r="AW23">
        <f t="shared" si="2"/>
        <v>5.619894030454204</v>
      </c>
      <c r="AX23" s="40">
        <f t="shared" si="3"/>
        <v>-0.29677213380657719</v>
      </c>
      <c r="AY23">
        <f t="shared" si="4"/>
        <v>0.29677213380657719</v>
      </c>
      <c r="AZ23">
        <f t="shared" si="5"/>
        <v>3.5081117965085982</v>
      </c>
      <c r="BA23">
        <f t="shared" si="6"/>
        <v>2.8448205197832159</v>
      </c>
      <c r="BB23">
        <f t="shared" si="7"/>
        <v>5.619894030454204</v>
      </c>
      <c r="BC23">
        <f t="shared" si="8"/>
        <v>-0.29677213380657719</v>
      </c>
      <c r="BD23">
        <f t="shared" si="9"/>
        <v>0.29677213380657719</v>
      </c>
      <c r="BE23">
        <f t="shared" si="10"/>
        <v>-0.77787067313161629</v>
      </c>
      <c r="BK23">
        <v>3.5711971558845637</v>
      </c>
      <c r="BL23">
        <v>3.5711911637721108</v>
      </c>
      <c r="BM23">
        <v>3.5711941598283374</v>
      </c>
      <c r="BN23">
        <v>5.2085189608088625</v>
      </c>
      <c r="BO23">
        <v>-1.0746332814758537</v>
      </c>
      <c r="BP23">
        <v>5.2085354933379397</v>
      </c>
    </row>
    <row r="24" spans="1:68" ht="15.75" thickBot="1" x14ac:dyDescent="0.3">
      <c r="A24">
        <v>10</v>
      </c>
      <c r="B24" s="20">
        <v>0</v>
      </c>
      <c r="C24" s="11">
        <f t="shared" ca="1" si="15"/>
        <v>0</v>
      </c>
      <c r="D24" s="2">
        <v>10</v>
      </c>
      <c r="E24" s="2">
        <v>4</v>
      </c>
      <c r="G24" s="1">
        <v>14</v>
      </c>
      <c r="H24" s="6">
        <v>1.6930000000000001</v>
      </c>
      <c r="I24" s="6">
        <v>2.25</v>
      </c>
      <c r="K24" s="1" t="e">
        <f t="shared" si="13"/>
        <v>#N/A</v>
      </c>
      <c r="L24" s="1" t="e">
        <f t="shared" si="14"/>
        <v>#N/A</v>
      </c>
      <c r="AS24">
        <v>-2.757620218151045</v>
      </c>
      <c r="AT24">
        <v>-249.45237684731728</v>
      </c>
      <c r="AU24">
        <v>57.809334839093772</v>
      </c>
      <c r="AV24">
        <f t="shared" si="1"/>
        <v>2.9138675949528512</v>
      </c>
      <c r="AW24">
        <f t="shared" si="2"/>
        <v>5.6714878131038962</v>
      </c>
      <c r="AX24" s="40">
        <f t="shared" si="3"/>
        <v>-0.22772505863694192</v>
      </c>
      <c r="AY24">
        <f t="shared" si="4"/>
        <v>0.22772505863694192</v>
      </c>
      <c r="AZ24">
        <f t="shared" si="5"/>
        <v>3.5255650890285413</v>
      </c>
      <c r="BA24">
        <f t="shared" si="6"/>
        <v>2.9138675949528512</v>
      </c>
      <c r="BB24">
        <f t="shared" si="7"/>
        <v>5.6714878131038962</v>
      </c>
      <c r="BC24">
        <f t="shared" si="8"/>
        <v>-0.22772505863694192</v>
      </c>
      <c r="BD24">
        <f t="shared" si="9"/>
        <v>0.22772505863694192</v>
      </c>
      <c r="BE24">
        <f t="shared" si="10"/>
        <v>-0.84691774830125155</v>
      </c>
      <c r="BK24">
        <v>3.5711941598283374</v>
      </c>
      <c r="BL24">
        <v>3.5711911637721108</v>
      </c>
      <c r="BM24">
        <v>3.5711926618002243</v>
      </c>
      <c r="BN24">
        <v>5.2085354933379397</v>
      </c>
      <c r="BO24">
        <v>-1.0746332814758537</v>
      </c>
      <c r="BP24">
        <v>-1.0746415476184019</v>
      </c>
    </row>
    <row r="25" spans="1:68" ht="15.75" thickTop="1" x14ac:dyDescent="0.25">
      <c r="C25" s="6">
        <f ca="1">SUM(C15:C24)</f>
        <v>3.16</v>
      </c>
      <c r="D25" s="25">
        <f ca="1">C25/(B5*F27)</f>
        <v>1.196969696969697E-2</v>
      </c>
      <c r="G25" s="1">
        <v>18</v>
      </c>
      <c r="H25" s="6">
        <v>2.2570000000000001</v>
      </c>
      <c r="I25" s="6">
        <v>4</v>
      </c>
      <c r="AS25">
        <v>-2.7401669256311019</v>
      </c>
      <c r="AT25">
        <v>-240.34262324052557</v>
      </c>
      <c r="AU25">
        <v>35.820840578644685</v>
      </c>
      <c r="AV25">
        <f t="shared" si="1"/>
        <v>2.9936409968322519</v>
      </c>
      <c r="AW25">
        <f t="shared" si="2"/>
        <v>5.7338079224633542</v>
      </c>
      <c r="AX25" s="40">
        <f t="shared" si="3"/>
        <v>-0.14795165675754118</v>
      </c>
      <c r="AY25">
        <f t="shared" si="4"/>
        <v>0.14795165675754118</v>
      </c>
      <c r="AZ25">
        <f t="shared" si="5"/>
        <v>3.5430183815484844</v>
      </c>
      <c r="BA25">
        <f t="shared" si="6"/>
        <v>2.9936409968322519</v>
      </c>
      <c r="BB25">
        <f t="shared" si="7"/>
        <v>5.7338079224633542</v>
      </c>
      <c r="BC25">
        <f t="shared" si="8"/>
        <v>-0.14795165675754118</v>
      </c>
      <c r="BD25">
        <f t="shared" si="9"/>
        <v>0.14795165675754118</v>
      </c>
      <c r="BE25">
        <f t="shared" si="10"/>
        <v>-0.92669115018065229</v>
      </c>
      <c r="BK25">
        <v>3.5711941598283374</v>
      </c>
      <c r="BL25">
        <v>3.5711926618002243</v>
      </c>
      <c r="BM25">
        <v>3.5711934108142809</v>
      </c>
      <c r="BN25">
        <v>5.2085354933379397</v>
      </c>
      <c r="BO25">
        <v>-1.0746415476184019</v>
      </c>
      <c r="BP25">
        <v>5.2085396264197703</v>
      </c>
    </row>
    <row r="26" spans="1:68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>
        <v>-2.7227136331111588</v>
      </c>
      <c r="AT26">
        <v>-230.60720740770728</v>
      </c>
      <c r="AU26">
        <v>13.429696532069693</v>
      </c>
      <c r="AV26">
        <f t="shared" si="1"/>
        <v>3.0834221158563011</v>
      </c>
      <c r="AW26">
        <f t="shared" si="2"/>
        <v>5.8061357489674599</v>
      </c>
      <c r="AX26" s="40">
        <f t="shared" si="3"/>
        <v>-5.8170537733492012E-2</v>
      </c>
      <c r="AY26">
        <f t="shared" si="4"/>
        <v>5.8170537733492012E-2</v>
      </c>
      <c r="AZ26">
        <f t="shared" si="5"/>
        <v>3.5604716740684275</v>
      </c>
      <c r="BA26">
        <f t="shared" si="6"/>
        <v>3.0834221158563011</v>
      </c>
      <c r="BB26">
        <f t="shared" si="7"/>
        <v>5.8061357489674599</v>
      </c>
      <c r="BC26">
        <f t="shared" si="8"/>
        <v>-5.8170537733492012E-2</v>
      </c>
      <c r="BD26">
        <f t="shared" si="9"/>
        <v>5.8170537733492012E-2</v>
      </c>
      <c r="BE26">
        <f t="shared" si="10"/>
        <v>-1.0164722692047015</v>
      </c>
      <c r="BK26">
        <v>3.5711934108142809</v>
      </c>
      <c r="BL26">
        <v>3.5711926618002243</v>
      </c>
      <c r="BM26">
        <v>3.5711930363072524</v>
      </c>
      <c r="BN26">
        <v>5.2085396264197703</v>
      </c>
      <c r="BO26">
        <v>-1.0746415476184019</v>
      </c>
      <c r="BP26">
        <v>5.208541692953121</v>
      </c>
    </row>
    <row r="27" spans="1:68" x14ac:dyDescent="0.25">
      <c r="A27" s="8" t="s">
        <v>15</v>
      </c>
      <c r="B27" s="34">
        <v>3.5711928900154444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>
        <v>-2.7052603405912157</v>
      </c>
      <c r="AT27">
        <v>-220.71423907042856</v>
      </c>
      <c r="AU27">
        <v>-8.2807945583012721</v>
      </c>
      <c r="AV27">
        <f t="shared" si="1"/>
        <v>-3.1040920714514457</v>
      </c>
      <c r="AW27">
        <f t="shared" si="2"/>
        <v>0.39883173086023005</v>
      </c>
      <c r="AX27" s="40">
        <f t="shared" si="3"/>
        <v>-6.2456847250412384</v>
      </c>
      <c r="AY27">
        <f t="shared" si="4"/>
        <v>6.2456847250412384</v>
      </c>
      <c r="AZ27">
        <f t="shared" si="5"/>
        <v>3.5779249665883706</v>
      </c>
      <c r="BA27">
        <f t="shared" si="6"/>
        <v>-3.1040920714514457</v>
      </c>
      <c r="BB27">
        <f t="shared" si="7"/>
        <v>0.39883173086023005</v>
      </c>
      <c r="BC27">
        <f t="shared" si="8"/>
        <v>-6.2456847250412384</v>
      </c>
      <c r="BD27">
        <f t="shared" si="9"/>
        <v>6.2456847250412384</v>
      </c>
      <c r="BE27">
        <f t="shared" si="10"/>
        <v>5.1710419181030449</v>
      </c>
      <c r="BK27">
        <v>3.5711930363072524</v>
      </c>
      <c r="BL27">
        <v>3.5711926618002243</v>
      </c>
      <c r="BM27">
        <v>3.5711928490537383</v>
      </c>
      <c r="BN27">
        <v>5.208541692953121</v>
      </c>
      <c r="BO27">
        <v>-1.0746415476184019</v>
      </c>
      <c r="BP27">
        <v>-1.0746425808819229</v>
      </c>
    </row>
    <row r="28" spans="1:68" x14ac:dyDescent="0.25">
      <c r="A28" s="8" t="s">
        <v>17</v>
      </c>
      <c r="B28" s="34">
        <v>5.6766573726518992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>
        <v>-2.6878070480712726</v>
      </c>
      <c r="AT28">
        <v>-210.75921733120072</v>
      </c>
      <c r="AU28">
        <v>-29.154591818636636</v>
      </c>
      <c r="AV28">
        <f t="shared" si="1"/>
        <v>-3.0041337298205697</v>
      </c>
      <c r="AW28">
        <f t="shared" si="2"/>
        <v>0.31632668174929712</v>
      </c>
      <c r="AX28" s="40">
        <f t="shared" si="3"/>
        <v>-6.1457263834103628</v>
      </c>
      <c r="AY28">
        <f t="shared" si="4"/>
        <v>6.1457263834103628</v>
      </c>
      <c r="AZ28">
        <f t="shared" si="5"/>
        <v>3.5953782591083137</v>
      </c>
      <c r="BA28">
        <f t="shared" si="6"/>
        <v>-3.0041337298205697</v>
      </c>
      <c r="BB28">
        <f t="shared" si="7"/>
        <v>0.31632668174929712</v>
      </c>
      <c r="BC28">
        <f t="shared" si="8"/>
        <v>-6.1457263834103628</v>
      </c>
      <c r="BD28">
        <f t="shared" si="9"/>
        <v>6.1457263834103628</v>
      </c>
      <c r="BE28">
        <f t="shared" si="10"/>
        <v>5.0710835764721693</v>
      </c>
      <c r="BK28">
        <v>3.5711930363072524</v>
      </c>
      <c r="BL28">
        <v>3.5711928490537383</v>
      </c>
      <c r="BM28">
        <v>3.5711929426804954</v>
      </c>
      <c r="BN28">
        <v>5.208541692953121</v>
      </c>
      <c r="BO28">
        <v>-1.0746425808819229</v>
      </c>
      <c r="BP28">
        <v>5.2085422096255494</v>
      </c>
    </row>
    <row r="29" spans="1:68" x14ac:dyDescent="0.25">
      <c r="A29" s="8" t="s">
        <v>18</v>
      </c>
      <c r="B29" s="6">
        <f>B28*B4</f>
        <v>4.541325898121519</v>
      </c>
      <c r="C29" t="s">
        <v>4</v>
      </c>
      <c r="G29" s="1" t="s">
        <v>84</v>
      </c>
      <c r="H29" s="22" t="s">
        <v>85</v>
      </c>
      <c r="I29" s="7">
        <v>5</v>
      </c>
      <c r="AS29">
        <v>-2.6703537555513295</v>
      </c>
      <c r="AT29">
        <v>-200.8117697064576</v>
      </c>
      <c r="AU29">
        <v>-49.108916291123059</v>
      </c>
      <c r="AV29">
        <f t="shared" si="1"/>
        <v>-2.9017480730731764</v>
      </c>
      <c r="AW29">
        <f t="shared" si="2"/>
        <v>0.23139431752184692</v>
      </c>
      <c r="AX29" s="40">
        <f t="shared" si="3"/>
        <v>-6.0433407266629695</v>
      </c>
      <c r="AY29">
        <f t="shared" si="4"/>
        <v>6.0433407266629695</v>
      </c>
      <c r="AZ29">
        <f t="shared" si="5"/>
        <v>3.6128315516282568</v>
      </c>
      <c r="BA29">
        <f t="shared" si="6"/>
        <v>-2.9017480730731764</v>
      </c>
      <c r="BB29">
        <f t="shared" si="7"/>
        <v>0.23139431752184692</v>
      </c>
      <c r="BC29">
        <f t="shared" si="8"/>
        <v>-6.0433407266629695</v>
      </c>
      <c r="BD29">
        <f t="shared" si="9"/>
        <v>6.0433407266629695</v>
      </c>
      <c r="BE29">
        <f t="shared" si="10"/>
        <v>4.968697919724776</v>
      </c>
      <c r="BK29">
        <v>3.5711929426804954</v>
      </c>
      <c r="BL29">
        <v>3.5711928490537383</v>
      </c>
      <c r="BM29">
        <v>3.5711928958671169</v>
      </c>
      <c r="BN29">
        <v>5.2085422096255494</v>
      </c>
      <c r="BO29">
        <v>-1.0746425808819229</v>
      </c>
      <c r="BP29">
        <v>5.2085424679616468</v>
      </c>
    </row>
    <row r="30" spans="1:68" x14ac:dyDescent="0.25">
      <c r="A30" s="8" t="s">
        <v>102</v>
      </c>
      <c r="B30" s="1">
        <v>3.0000000000000001E-3</v>
      </c>
      <c r="AS30">
        <v>-2.6529004630313864</v>
      </c>
      <c r="AT30">
        <v>-190.93300242395259</v>
      </c>
      <c r="AU30">
        <v>-68.088775764176773</v>
      </c>
      <c r="AV30">
        <f t="shared" si="1"/>
        <v>-2.7990406390112428</v>
      </c>
      <c r="AW30">
        <f t="shared" si="2"/>
        <v>0.1461401759798564</v>
      </c>
      <c r="AX30" s="40">
        <f t="shared" si="3"/>
        <v>-5.9406332926010359</v>
      </c>
      <c r="AY30">
        <f t="shared" si="4"/>
        <v>5.9406332926010359</v>
      </c>
      <c r="AZ30">
        <f t="shared" si="5"/>
        <v>3.6302848441481999</v>
      </c>
      <c r="BA30">
        <f t="shared" si="6"/>
        <v>-2.7990406390112428</v>
      </c>
      <c r="BB30">
        <f t="shared" si="7"/>
        <v>0.1461401759798564</v>
      </c>
      <c r="BC30">
        <f t="shared" si="8"/>
        <v>-5.9406332926010359</v>
      </c>
      <c r="BD30">
        <f t="shared" si="9"/>
        <v>5.9406332926010359</v>
      </c>
      <c r="BE30">
        <f t="shared" si="10"/>
        <v>4.8659904856628424</v>
      </c>
      <c r="BK30">
        <v>3.5711928958671169</v>
      </c>
      <c r="BL30">
        <v>3.5711928490537383</v>
      </c>
      <c r="BM30">
        <v>3.5711928724604274</v>
      </c>
      <c r="BN30">
        <v>5.2085424679616468</v>
      </c>
      <c r="BO30">
        <v>-1.0746425808819229</v>
      </c>
      <c r="BP30">
        <v>-1.0746427100499196</v>
      </c>
    </row>
    <row r="31" spans="1:68" x14ac:dyDescent="0.25">
      <c r="A31" s="8" t="s">
        <v>49</v>
      </c>
      <c r="B31" s="1">
        <f>B2*0.85</f>
        <v>4.25</v>
      </c>
      <c r="C31" t="s">
        <v>1</v>
      </c>
      <c r="AS31">
        <v>-2.6354471705114433</v>
      </c>
      <c r="AT31">
        <v>-180.25190744551213</v>
      </c>
      <c r="AU31">
        <v>-86.927027865899518</v>
      </c>
      <c r="AV31">
        <f t="shared" si="1"/>
        <v>-2.6922431552974011</v>
      </c>
      <c r="AW31">
        <f t="shared" si="2"/>
        <v>5.679598478595782E-2</v>
      </c>
      <c r="AX31" s="40">
        <f t="shared" si="3"/>
        <v>-5.8338358088871942</v>
      </c>
      <c r="AY31">
        <f t="shared" si="4"/>
        <v>5.8338358088871942</v>
      </c>
      <c r="AZ31">
        <f t="shared" si="5"/>
        <v>3.6477381366681429</v>
      </c>
      <c r="BA31">
        <f t="shared" si="6"/>
        <v>-2.6922431552974011</v>
      </c>
      <c r="BB31">
        <f t="shared" si="7"/>
        <v>5.679598478595782E-2</v>
      </c>
      <c r="BC31">
        <f t="shared" si="8"/>
        <v>-5.8338358088871942</v>
      </c>
      <c r="BD31">
        <f t="shared" si="9"/>
        <v>5.8338358088871942</v>
      </c>
      <c r="BE31">
        <f t="shared" si="10"/>
        <v>4.7591930019490007</v>
      </c>
      <c r="BK31">
        <v>3.5711928958671169</v>
      </c>
      <c r="BL31">
        <v>3.5711928724604274</v>
      </c>
      <c r="BM31">
        <v>3.5711928841637723</v>
      </c>
      <c r="BN31">
        <v>5.2085424679616468</v>
      </c>
      <c r="BO31">
        <v>-1.0746427100499196</v>
      </c>
      <c r="BP31">
        <v>-1.0746427746738099</v>
      </c>
    </row>
    <row r="32" spans="1:68" x14ac:dyDescent="0.25">
      <c r="J32" t="s">
        <v>88</v>
      </c>
      <c r="N32" t="s">
        <v>89</v>
      </c>
      <c r="AS32">
        <v>-2.6179938779915002</v>
      </c>
      <c r="AT32">
        <v>-166.36897995318776</v>
      </c>
      <c r="AU32">
        <v>-107.73919158680741</v>
      </c>
      <c r="AV32">
        <f t="shared" si="1"/>
        <v>-2.5669122127097119</v>
      </c>
      <c r="AW32">
        <f t="shared" si="2"/>
        <v>5.1081665281788258E-2</v>
      </c>
      <c r="AX32" s="40">
        <f t="shared" si="3"/>
        <v>-5.7085048662995046</v>
      </c>
      <c r="AY32">
        <f t="shared" si="4"/>
        <v>5.7085048662995046</v>
      </c>
      <c r="AZ32">
        <f t="shared" si="5"/>
        <v>3.665191429188086</v>
      </c>
      <c r="BA32">
        <f t="shared" si="6"/>
        <v>-2.5669122127097119</v>
      </c>
      <c r="BB32">
        <f t="shared" si="7"/>
        <v>5.1081665281788258E-2</v>
      </c>
      <c r="BC32">
        <f t="shared" si="8"/>
        <v>-5.7085048662995046</v>
      </c>
      <c r="BD32">
        <f t="shared" si="9"/>
        <v>5.7085048662995046</v>
      </c>
      <c r="BE32">
        <f t="shared" si="10"/>
        <v>4.6338620593613111</v>
      </c>
      <c r="BK32">
        <v>3.5711928958671169</v>
      </c>
      <c r="BL32">
        <v>3.5711928841637723</v>
      </c>
      <c r="BM32">
        <v>3.5711928900154444</v>
      </c>
      <c r="BN32">
        <v>5.2085424679616468</v>
      </c>
      <c r="BO32">
        <v>-1.0746427746738099</v>
      </c>
      <c r="BP32">
        <v>-1.0746428069059917</v>
      </c>
    </row>
    <row r="33" spans="1:68" x14ac:dyDescent="0.25">
      <c r="A33" t="s">
        <v>19</v>
      </c>
      <c r="J33">
        <f>(J38*COS(-1*$B$27))+(K38*SIN(-1*$B$27))+$I$2</f>
        <v>39.469128791051325</v>
      </c>
      <c r="K33">
        <f>(-1*J38*SIN(-1*$B$27))+(K38*COS(-1*$B$27))+$I$3</f>
        <v>18.828670171257357</v>
      </c>
      <c r="N33">
        <f>(N38*COS(-1*$B$27))+(O38*SIN(-1*$B$27))+$I$2</f>
        <v>39.942002749070738</v>
      </c>
      <c r="O33">
        <f>(-1*N38*SIN(-1*$B$27))+(O38*COS(-1*$B$27))+$I$3</f>
        <v>17.796503626126977</v>
      </c>
      <c r="AS33">
        <v>-2.6005405854715571</v>
      </c>
      <c r="AT33">
        <v>-153.49496743194379</v>
      </c>
      <c r="AU33">
        <v>-126.53719807044077</v>
      </c>
      <c r="AV33">
        <f t="shared" si="1"/>
        <v>-2.4521654451198147</v>
      </c>
      <c r="AW33">
        <f t="shared" si="2"/>
        <v>0.14837514035174237</v>
      </c>
      <c r="AX33" s="40">
        <f t="shared" si="3"/>
        <v>-5.5937580987096078</v>
      </c>
      <c r="AY33">
        <f t="shared" si="4"/>
        <v>5.5937580987096078</v>
      </c>
      <c r="AZ33">
        <f t="shared" si="5"/>
        <v>3.6826447217080291</v>
      </c>
      <c r="BA33">
        <f t="shared" si="6"/>
        <v>-2.4521654451198147</v>
      </c>
      <c r="BB33">
        <f t="shared" si="7"/>
        <v>0.14837514035174237</v>
      </c>
      <c r="BC33">
        <f t="shared" si="8"/>
        <v>-5.5937580987096078</v>
      </c>
      <c r="BD33">
        <f t="shared" si="9"/>
        <v>5.5937580987096078</v>
      </c>
      <c r="BE33">
        <f t="shared" si="10"/>
        <v>4.5191152917714144</v>
      </c>
      <c r="BK33">
        <v>4.7123889803846897</v>
      </c>
      <c r="BL33">
        <v>4.7123889745330176</v>
      </c>
      <c r="BM33">
        <v>4.7123889774588541</v>
      </c>
      <c r="BN33">
        <v>-4.8871549144547046</v>
      </c>
      <c r="BO33">
        <v>-4.8871549159255254</v>
      </c>
      <c r="BP33">
        <v>-4.8871549151901146</v>
      </c>
    </row>
    <row r="34" spans="1:68" x14ac:dyDescent="0.25">
      <c r="J34">
        <f>(J39*COS(-1*$B$27))+(K39*SIN(-1*$B$27))+$I$2</f>
        <v>-18.96267737118642</v>
      </c>
      <c r="K34">
        <f>(-1*J39*SIN(-1*$B$27))+(K39*COS(-1*$B$27))+$I$3</f>
        <v>-7.9411176934232799</v>
      </c>
      <c r="N34">
        <f>(N39*COS(-1*$B$27))+(O39*SIN(-1*$B$27))+$I$2</f>
        <v>-18.489803413167007</v>
      </c>
      <c r="O34">
        <f>(-1*N39*SIN(-1*$B$27))+(O39*COS(-1*$B$27))+$I$3</f>
        <v>-8.97328423855366</v>
      </c>
      <c r="AS34">
        <v>-2.583087292951614</v>
      </c>
      <c r="AT34">
        <v>-141.60311378573167</v>
      </c>
      <c r="AU34">
        <v>-143.42959275909601</v>
      </c>
      <c r="AV34">
        <f t="shared" si="1"/>
        <v>-2.3497866151224907</v>
      </c>
      <c r="AW34">
        <f t="shared" si="2"/>
        <v>0.23330067782912334</v>
      </c>
      <c r="AX34" s="40">
        <f t="shared" si="3"/>
        <v>-5.4913792687122838</v>
      </c>
      <c r="AY34">
        <f t="shared" si="4"/>
        <v>5.4913792687122838</v>
      </c>
      <c r="AZ34">
        <f t="shared" si="5"/>
        <v>3.7000980142279722</v>
      </c>
      <c r="BA34">
        <f t="shared" si="6"/>
        <v>-2.3497866151224907</v>
      </c>
      <c r="BB34">
        <f t="shared" si="7"/>
        <v>0.23330067782912334</v>
      </c>
      <c r="BC34">
        <f t="shared" si="8"/>
        <v>-5.4913792687122838</v>
      </c>
      <c r="BD34">
        <f t="shared" si="9"/>
        <v>5.4913792687122838</v>
      </c>
      <c r="BE34">
        <f t="shared" si="10"/>
        <v>4.4167364617740903</v>
      </c>
      <c r="BK34">
        <v>4.7123889803846897</v>
      </c>
      <c r="BL34">
        <v>4.7123889774588541</v>
      </c>
      <c r="BM34">
        <v>4.7123889789217719</v>
      </c>
      <c r="BN34">
        <v>-4.8871549144547046</v>
      </c>
      <c r="BO34">
        <v>-4.8871549151901146</v>
      </c>
      <c r="BP34">
        <v>-4.8871549147772395</v>
      </c>
    </row>
    <row r="35" spans="1:68" x14ac:dyDescent="0.25">
      <c r="A35" s="8" t="s">
        <v>20</v>
      </c>
      <c r="AD35" t="s">
        <v>139</v>
      </c>
      <c r="AS35">
        <v>-2.5656340004316709</v>
      </c>
      <c r="AT35">
        <v>-130.69351623118243</v>
      </c>
      <c r="AU35">
        <v>-158.4882629862567</v>
      </c>
      <c r="AV35">
        <f t="shared" si="1"/>
        <v>-2.2603736963028687</v>
      </c>
      <c r="AW35">
        <f t="shared" si="2"/>
        <v>0.30526030412880223</v>
      </c>
      <c r="AX35" s="40">
        <f t="shared" si="3"/>
        <v>-5.4019663498926622</v>
      </c>
      <c r="AY35">
        <f t="shared" si="4"/>
        <v>5.4019663498926622</v>
      </c>
      <c r="AZ35">
        <f t="shared" si="5"/>
        <v>3.7175513067479153</v>
      </c>
      <c r="BA35">
        <f t="shared" si="6"/>
        <v>-2.2603736963028687</v>
      </c>
      <c r="BB35">
        <f t="shared" si="7"/>
        <v>0.30526030412880223</v>
      </c>
      <c r="BC35">
        <f t="shared" si="8"/>
        <v>-5.4019663498926622</v>
      </c>
      <c r="BD35">
        <f t="shared" si="9"/>
        <v>5.4019663498926622</v>
      </c>
      <c r="BE35">
        <f t="shared" si="10"/>
        <v>4.3273235429544687</v>
      </c>
      <c r="BK35">
        <v>4.7123889803846897</v>
      </c>
      <c r="BL35">
        <v>4.7123889789217719</v>
      </c>
      <c r="BM35">
        <v>4.7123889796532303</v>
      </c>
      <c r="BN35">
        <v>-4.8871549144547046</v>
      </c>
      <c r="BO35">
        <v>-4.8871549147772395</v>
      </c>
      <c r="BP35">
        <v>-4.8871549146611439</v>
      </c>
    </row>
    <row r="36" spans="1:68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76.526095034119308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>
        <v>-2.5481807079117278</v>
      </c>
      <c r="AT36">
        <v>-120.79300159305708</v>
      </c>
      <c r="AU36">
        <v>-171.75143591150675</v>
      </c>
      <c r="AV36">
        <f t="shared" si="1"/>
        <v>-2.1837344685896083</v>
      </c>
      <c r="AW36">
        <f t="shared" si="2"/>
        <v>0.3644462393221195</v>
      </c>
      <c r="AX36" s="40">
        <f t="shared" si="3"/>
        <v>-5.3253271221794014</v>
      </c>
      <c r="AY36">
        <f t="shared" si="4"/>
        <v>5.3253271221794014</v>
      </c>
      <c r="AZ36">
        <f t="shared" si="5"/>
        <v>3.7350045992678584</v>
      </c>
      <c r="BA36">
        <f t="shared" si="6"/>
        <v>-2.1837344685896083</v>
      </c>
      <c r="BB36">
        <f t="shared" si="7"/>
        <v>0.3644462393221195</v>
      </c>
      <c r="BC36">
        <f t="shared" si="8"/>
        <v>-5.3253271221794014</v>
      </c>
      <c r="BD36">
        <f t="shared" si="9"/>
        <v>5.3253271221794014</v>
      </c>
      <c r="BE36">
        <f t="shared" si="10"/>
        <v>4.2506843152412079</v>
      </c>
      <c r="BK36">
        <v>4.7123889803846897</v>
      </c>
      <c r="BL36">
        <v>4.7123889796532303</v>
      </c>
      <c r="BM36">
        <v>4.71238898001896</v>
      </c>
      <c r="BN36">
        <v>-4.8871549144547046</v>
      </c>
      <c r="BO36">
        <v>-4.8871549146611439</v>
      </c>
      <c r="BP36">
        <v>-4.8871549145127542</v>
      </c>
    </row>
    <row r="37" spans="1:68" x14ac:dyDescent="0.25">
      <c r="A37" s="3">
        <f t="shared" ref="A37:A43" si="17">E3-$I$2</f>
        <v>-6</v>
      </c>
      <c r="B37" s="6">
        <f t="shared" ref="B37:B43" si="18">F3-$I$3</f>
        <v>-12</v>
      </c>
      <c r="C37" s="6">
        <f>A37*COS($B$27)+B37*SIN($B$27)</f>
        <v>10.452882733585902</v>
      </c>
      <c r="D37" s="6">
        <f>-1*A37*SIN($B$27)+B37*COS($B$27)</f>
        <v>8.4105435352242068</v>
      </c>
      <c r="F37" s="8" t="s">
        <v>23</v>
      </c>
      <c r="G37" s="1">
        <f>MAX(D37:D41)-MIN(D37:D41)</f>
        <v>11.82299829766937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f>-1*AE37</f>
        <v>3.1415926535897931</v>
      </c>
      <c r="AE37">
        <f>-1*PI()</f>
        <v>-3.1415926535897931</v>
      </c>
      <c r="AS37">
        <v>-2.5307274153917847</v>
      </c>
      <c r="AT37">
        <v>-111.9566784797246</v>
      </c>
      <c r="AU37">
        <v>-183.22463045370722</v>
      </c>
      <c r="AV37">
        <f t="shared" si="1"/>
        <v>-2.1192903768539226</v>
      </c>
      <c r="AW37">
        <f t="shared" si="2"/>
        <v>0.41143703853786207</v>
      </c>
      <c r="AX37" s="40">
        <f t="shared" si="3"/>
        <v>-5.2608830304437157</v>
      </c>
      <c r="AY37">
        <f t="shared" si="4"/>
        <v>5.2608830304437157</v>
      </c>
      <c r="AZ37">
        <f t="shared" si="5"/>
        <v>3.7524578917878015</v>
      </c>
      <c r="BA37">
        <f t="shared" si="6"/>
        <v>-2.1192903768539226</v>
      </c>
      <c r="BB37">
        <f t="shared" si="7"/>
        <v>0.41143703853786207</v>
      </c>
      <c r="BC37">
        <f t="shared" si="8"/>
        <v>-5.2608830304437157</v>
      </c>
      <c r="BD37">
        <f t="shared" si="9"/>
        <v>5.2608830304437157</v>
      </c>
      <c r="BE37">
        <f t="shared" si="10"/>
        <v>4.1862402235055223</v>
      </c>
      <c r="BK37">
        <v>4.7123889803846897</v>
      </c>
      <c r="BL37">
        <v>4.71238898001896</v>
      </c>
      <c r="BM37">
        <v>4.7123889802018244</v>
      </c>
      <c r="BN37">
        <v>-4.8871549144547046</v>
      </c>
      <c r="BO37">
        <v>-4.8871549145127542</v>
      </c>
      <c r="BP37">
        <v>-4.8871549144837303</v>
      </c>
    </row>
    <row r="38" spans="1:68" x14ac:dyDescent="0.25">
      <c r="A38" s="3">
        <f t="shared" si="17"/>
        <v>6</v>
      </c>
      <c r="B38" s="6">
        <f t="shared" si="18"/>
        <v>-12</v>
      </c>
      <c r="C38" s="6">
        <f t="shared" ref="C38:C41" si="19">A38*COS($B$27)+B38*SIN($B$27)</f>
        <v>-0.45670518802782301</v>
      </c>
      <c r="D38" s="6">
        <f t="shared" ref="D38:D41" si="20">-1*A38*SIN($B$27)+B38*COS($B$27)</f>
        <v>13.408632308003245</v>
      </c>
      <c r="F38" s="8" t="s">
        <v>24</v>
      </c>
      <c r="G38" s="6">
        <f>MAX(D37:D43)</f>
        <v>13.408632308003245</v>
      </c>
      <c r="H38" t="s">
        <v>4</v>
      </c>
      <c r="J38" s="9">
        <f>MIN(C37:C43,A37:A43)-1</f>
        <v>-33.272058576813357</v>
      </c>
      <c r="K38" s="9">
        <f>G40</f>
        <v>7.7319749353513458</v>
      </c>
      <c r="N38" s="9">
        <f>J38</f>
        <v>-33.272058576813357</v>
      </c>
      <c r="O38" s="9">
        <f>G41</f>
        <v>8.867306409881726</v>
      </c>
      <c r="AD38">
        <f>AE37</f>
        <v>-3.1415926535897931</v>
      </c>
      <c r="AE38">
        <f>AE37</f>
        <v>-3.1415926535897931</v>
      </c>
      <c r="AS38">
        <v>-2.5132741228718416</v>
      </c>
      <c r="AT38">
        <v>-104.27143945850597</v>
      </c>
      <c r="AU38">
        <v>-192.8795366685581</v>
      </c>
      <c r="AV38">
        <f t="shared" si="1"/>
        <v>-2.0663970707626751</v>
      </c>
      <c r="AW38">
        <f t="shared" si="2"/>
        <v>0.44687705210916651</v>
      </c>
      <c r="AX38" s="40">
        <f t="shared" si="3"/>
        <v>-5.2079897243524682</v>
      </c>
      <c r="AY38">
        <f t="shared" si="4"/>
        <v>5.2079897243524682</v>
      </c>
      <c r="AZ38">
        <f t="shared" si="5"/>
        <v>3.7699111843077446</v>
      </c>
      <c r="BA38">
        <f t="shared" si="6"/>
        <v>-2.0663970707626751</v>
      </c>
      <c r="BB38">
        <f t="shared" si="7"/>
        <v>0.44687705210916651</v>
      </c>
      <c r="BC38">
        <f t="shared" si="8"/>
        <v>-5.2079897243524682</v>
      </c>
      <c r="BD38">
        <f t="shared" si="9"/>
        <v>5.2079897243524682</v>
      </c>
      <c r="BE38">
        <f t="shared" si="10"/>
        <v>4.1333469174142747</v>
      </c>
      <c r="BK38">
        <v>4.7123889803846897</v>
      </c>
      <c r="BL38">
        <v>4.7123889802018244</v>
      </c>
      <c r="BM38">
        <v>4.712388980293257</v>
      </c>
      <c r="BN38">
        <v>-4.8871549144547046</v>
      </c>
      <c r="BO38">
        <v>-4.8871549144837303</v>
      </c>
      <c r="BP38">
        <v>-4.8871549144918029</v>
      </c>
    </row>
    <row r="39" spans="1:68" x14ac:dyDescent="0.25">
      <c r="A39" s="3">
        <f t="shared" si="17"/>
        <v>6</v>
      </c>
      <c r="B39" s="6">
        <f t="shared" si="18"/>
        <v>0</v>
      </c>
      <c r="C39" s="6">
        <f t="shared" si="19"/>
        <v>-5.454793960806863</v>
      </c>
      <c r="D39" s="6">
        <f t="shared" si="20"/>
        <v>2.49904438638952</v>
      </c>
      <c r="J39" s="9">
        <f>MAX(C37:C43,A37:A43)+1</f>
        <v>31</v>
      </c>
      <c r="K39" s="9">
        <f>K38</f>
        <v>7.7319749353513458</v>
      </c>
      <c r="N39" s="9">
        <f>J39</f>
        <v>31</v>
      </c>
      <c r="O39" s="9">
        <f>G41</f>
        <v>8.867306409881726</v>
      </c>
      <c r="AD39">
        <f>AD38</f>
        <v>-3.1415926535897931</v>
      </c>
      <c r="AE39">
        <f>-1*(AD39)</f>
        <v>3.1415926535897931</v>
      </c>
      <c r="AS39">
        <v>-2.4958208303518985</v>
      </c>
      <c r="AT39">
        <v>-97.861986563620079</v>
      </c>
      <c r="AU39">
        <v>-200.65049974806507</v>
      </c>
      <c r="AV39">
        <f t="shared" si="1"/>
        <v>-2.0245746810515142</v>
      </c>
      <c r="AW39">
        <f t="shared" si="2"/>
        <v>0.47124614930038433</v>
      </c>
      <c r="AX39" s="40">
        <f t="shared" si="3"/>
        <v>-5.1661673346413073</v>
      </c>
      <c r="AY39">
        <f t="shared" si="4"/>
        <v>5.1661673346413073</v>
      </c>
      <c r="AZ39">
        <f t="shared" si="5"/>
        <v>3.7873644768276877</v>
      </c>
      <c r="BA39">
        <f t="shared" si="6"/>
        <v>-2.0245746810515142</v>
      </c>
      <c r="BB39">
        <f t="shared" si="7"/>
        <v>0.47124614930038433</v>
      </c>
      <c r="BC39">
        <f t="shared" si="8"/>
        <v>-5.1661673346413073</v>
      </c>
      <c r="BD39">
        <f t="shared" si="9"/>
        <v>5.1661673346413073</v>
      </c>
      <c r="BE39">
        <f t="shared" si="10"/>
        <v>4.0915245277031138</v>
      </c>
      <c r="BK39">
        <v>4.7123889803846897</v>
      </c>
      <c r="BL39">
        <v>4.712388980293257</v>
      </c>
      <c r="BM39">
        <v>4.7123889803389734</v>
      </c>
      <c r="BN39">
        <v>-4.8871549144547046</v>
      </c>
      <c r="BO39">
        <v>-4.8871549144918029</v>
      </c>
      <c r="BP39">
        <v>-4.8871549144732542</v>
      </c>
    </row>
    <row r="40" spans="1:68" x14ac:dyDescent="0.25">
      <c r="A40" s="3">
        <f t="shared" si="17"/>
        <v>30</v>
      </c>
      <c r="B40" s="6">
        <f t="shared" si="18"/>
        <v>0</v>
      </c>
      <c r="C40" s="6">
        <f t="shared" si="19"/>
        <v>-27.273969804034316</v>
      </c>
      <c r="D40" s="6">
        <f t="shared" si="20"/>
        <v>12.495221931947601</v>
      </c>
      <c r="F40" s="8" t="s">
        <v>50</v>
      </c>
      <c r="G40" s="9">
        <f>G38-B28</f>
        <v>7.7319749353513458</v>
      </c>
      <c r="AD40">
        <f>AE39</f>
        <v>3.1415926535897931</v>
      </c>
      <c r="AE40">
        <f>AE39</f>
        <v>3.1415926535897931</v>
      </c>
      <c r="AS40">
        <v>-2.4783675378319554</v>
      </c>
      <c r="AT40">
        <v>-92.900434104165896</v>
      </c>
      <c r="AU40">
        <v>-206.42786335141773</v>
      </c>
      <c r="AV40">
        <f t="shared" si="1"/>
        <v>-1.9936820601176879</v>
      </c>
      <c r="AW40">
        <f t="shared" si="2"/>
        <v>0.48468547771426751</v>
      </c>
      <c r="AX40" s="40">
        <f t="shared" si="3"/>
        <v>-5.1352747137074815</v>
      </c>
      <c r="AY40">
        <f t="shared" si="4"/>
        <v>5.1352747137074815</v>
      </c>
      <c r="AZ40">
        <f t="shared" si="5"/>
        <v>3.8048177693476308</v>
      </c>
      <c r="BA40">
        <f t="shared" si="6"/>
        <v>-1.9936820601176879</v>
      </c>
      <c r="BB40">
        <f t="shared" si="7"/>
        <v>0.48468547771426751</v>
      </c>
      <c r="BC40">
        <f t="shared" si="8"/>
        <v>-5.1352747137074815</v>
      </c>
      <c r="BD40">
        <f t="shared" si="9"/>
        <v>5.1352747137074815</v>
      </c>
      <c r="BE40">
        <f t="shared" si="10"/>
        <v>4.060631906769288</v>
      </c>
      <c r="BK40">
        <v>4.7123889803846897</v>
      </c>
      <c r="BL40">
        <v>4.7123889803389734</v>
      </c>
      <c r="BM40">
        <v>4.7123889803618315</v>
      </c>
      <c r="BN40">
        <v>-4.8871549144547046</v>
      </c>
      <c r="BO40">
        <v>-4.8871549144732542</v>
      </c>
      <c r="BP40">
        <v>-4.8871549144188098</v>
      </c>
    </row>
    <row r="41" spans="1:68" x14ac:dyDescent="0.25">
      <c r="A41" s="3">
        <f t="shared" si="17"/>
        <v>30</v>
      </c>
      <c r="B41" s="6">
        <f t="shared" si="18"/>
        <v>12</v>
      </c>
      <c r="C41" s="6">
        <f t="shared" si="19"/>
        <v>-32.272058576813357</v>
      </c>
      <c r="D41" s="6">
        <f t="shared" si="20"/>
        <v>1.5856340103338749</v>
      </c>
      <c r="F41" s="8" t="s">
        <v>51</v>
      </c>
      <c r="G41" s="9">
        <f>G38-B29</f>
        <v>8.867306409881726</v>
      </c>
      <c r="J41" s="9"/>
      <c r="K41" s="9"/>
      <c r="N41" s="9"/>
      <c r="O41" s="9"/>
      <c r="AD41">
        <f>AD40</f>
        <v>3.1415926535897931</v>
      </c>
      <c r="AE41">
        <f>AE37</f>
        <v>-3.1415926535897931</v>
      </c>
      <c r="AS41">
        <v>-2.4609142453120123</v>
      </c>
      <c r="AT41">
        <v>-89.621388634488568</v>
      </c>
      <c r="AU41">
        <v>-210.04672865612105</v>
      </c>
      <c r="AV41">
        <f t="shared" si="1"/>
        <v>-1.9740836529000063</v>
      </c>
      <c r="AW41">
        <f t="shared" si="2"/>
        <v>0.48683059241200599</v>
      </c>
      <c r="AX41" s="40">
        <f t="shared" si="3"/>
        <v>-5.1156763064897994</v>
      </c>
      <c r="AY41">
        <f t="shared" si="4"/>
        <v>5.1156763064897994</v>
      </c>
      <c r="AZ41">
        <f t="shared" si="5"/>
        <v>3.8222710618675739</v>
      </c>
      <c r="BA41">
        <f t="shared" si="6"/>
        <v>-1.9740836529000063</v>
      </c>
      <c r="BB41">
        <f t="shared" si="7"/>
        <v>0.48683059241200599</v>
      </c>
      <c r="BC41">
        <f t="shared" si="8"/>
        <v>-5.1156763064897994</v>
      </c>
      <c r="BD41">
        <f t="shared" si="9"/>
        <v>5.1156763064897994</v>
      </c>
      <c r="BE41">
        <f t="shared" si="10"/>
        <v>4.041033499551606</v>
      </c>
      <c r="BK41">
        <v>4.7123889803846897</v>
      </c>
      <c r="BL41">
        <v>4.7123889803618315</v>
      </c>
      <c r="BM41">
        <v>4.7123889803732606</v>
      </c>
      <c r="BN41">
        <v>-4.8871549144547046</v>
      </c>
      <c r="BO41">
        <v>-4.8871549144188098</v>
      </c>
      <c r="BP41">
        <v>-4.8871549144819273</v>
      </c>
    </row>
    <row r="42" spans="1:68" x14ac:dyDescent="0.25">
      <c r="A42" s="3">
        <f t="shared" si="17"/>
        <v>-6</v>
      </c>
      <c r="B42" s="6">
        <f t="shared" si="18"/>
        <v>12</v>
      </c>
      <c r="C42" s="6">
        <f t="shared" ref="C42:C43" si="21">A42*COS($B$27)+B42*SIN($B$27)</f>
        <v>0.45670518802782301</v>
      </c>
      <c r="D42" s="6">
        <f t="shared" ref="D42:D43" si="22">-1*A42*SIN($B$27)+B42*COS($B$27)</f>
        <v>-13.408632308003245</v>
      </c>
      <c r="J42" s="9"/>
      <c r="K42" s="9"/>
      <c r="N42" s="9"/>
      <c r="O42" s="9"/>
      <c r="AS42">
        <v>-2.4434609527920692</v>
      </c>
      <c r="AT42">
        <v>-88.226613899691927</v>
      </c>
      <c r="AU42">
        <v>-211.40321612728565</v>
      </c>
      <c r="AV42">
        <f t="shared" si="1"/>
        <v>-1.9661594082749816</v>
      </c>
      <c r="AW42">
        <f t="shared" si="2"/>
        <v>0.47730154451708762</v>
      </c>
      <c r="AX42" s="40">
        <f t="shared" si="3"/>
        <v>-5.1077520618647743</v>
      </c>
      <c r="AY42">
        <f t="shared" si="4"/>
        <v>5.1077520618647743</v>
      </c>
      <c r="AZ42">
        <f t="shared" si="5"/>
        <v>3.839724354387517</v>
      </c>
      <c r="BA42">
        <f t="shared" si="6"/>
        <v>-1.9661594082749816</v>
      </c>
      <c r="BB42">
        <f t="shared" si="7"/>
        <v>0.47730154451708762</v>
      </c>
      <c r="BC42">
        <f t="shared" si="8"/>
        <v>-5.1077520618647743</v>
      </c>
      <c r="BD42">
        <f t="shared" si="9"/>
        <v>5.1077520618647743</v>
      </c>
      <c r="BE42">
        <f t="shared" si="10"/>
        <v>4.0331092549265808</v>
      </c>
      <c r="BK42">
        <v>4.7123889803846897</v>
      </c>
      <c r="BL42">
        <v>4.7123889803732606</v>
      </c>
      <c r="BM42">
        <v>4.7123889803789751</v>
      </c>
      <c r="BN42">
        <v>-4.8871549144547046</v>
      </c>
      <c r="BO42">
        <v>-4.8871549144819273</v>
      </c>
      <c r="BP42">
        <v>-4.887154914468316</v>
      </c>
    </row>
    <row r="43" spans="1:68" x14ac:dyDescent="0.25">
      <c r="A43" s="3">
        <f t="shared" si="17"/>
        <v>-6</v>
      </c>
      <c r="B43" s="6">
        <f t="shared" si="18"/>
        <v>0</v>
      </c>
      <c r="C43" s="6">
        <f t="shared" si="21"/>
        <v>5.454793960806863</v>
      </c>
      <c r="D43" s="6">
        <f t="shared" si="22"/>
        <v>-2.49904438638952</v>
      </c>
      <c r="AD43" t="s">
        <v>138</v>
      </c>
      <c r="AS43">
        <v>-2.4260076602721261</v>
      </c>
      <c r="AT43">
        <v>-87.342053697272775</v>
      </c>
      <c r="AU43">
        <v>-212.15506523087961</v>
      </c>
      <c r="AV43">
        <f t="shared" si="1"/>
        <v>-1.9613392306616542</v>
      </c>
      <c r="AW43">
        <f t="shared" si="2"/>
        <v>0.46466842961047194</v>
      </c>
      <c r="AX43" s="40">
        <f t="shared" si="3"/>
        <v>-5.1029318842514471</v>
      </c>
      <c r="AY43">
        <f t="shared" si="4"/>
        <v>5.1029318842514471</v>
      </c>
      <c r="AZ43">
        <f t="shared" si="5"/>
        <v>3.8571776469074601</v>
      </c>
      <c r="BA43">
        <f t="shared" si="6"/>
        <v>-1.9613392306616542</v>
      </c>
      <c r="BB43">
        <f t="shared" si="7"/>
        <v>0.46466842961047194</v>
      </c>
      <c r="BC43">
        <f t="shared" si="8"/>
        <v>-5.1029318842514471</v>
      </c>
      <c r="BD43">
        <f t="shared" si="9"/>
        <v>5.1029318842514471</v>
      </c>
      <c r="BE43">
        <f t="shared" si="10"/>
        <v>4.0282890773132536</v>
      </c>
      <c r="BK43">
        <v>4.7123889803846897</v>
      </c>
      <c r="BL43">
        <v>4.7123889803789751</v>
      </c>
      <c r="BM43">
        <v>4.7123889803818324</v>
      </c>
      <c r="BN43">
        <v>-4.8871549144547046</v>
      </c>
      <c r="BO43">
        <v>-4.887154914468316</v>
      </c>
      <c r="BP43">
        <v>-4.8871549144615107</v>
      </c>
    </row>
    <row r="44" spans="1:68" x14ac:dyDescent="0.25">
      <c r="A44" s="3">
        <f t="shared" ref="A44:A45" si="23">E10-$I$2</f>
        <v>-6</v>
      </c>
      <c r="B44" s="6">
        <f t="shared" ref="B44:B45" si="24">F10-$I$3</f>
        <v>0</v>
      </c>
      <c r="C44" s="6">
        <f t="shared" ref="C44:C45" si="25">A44*COS($B$27)+B44*SIN($B$27)</f>
        <v>5.454793960806863</v>
      </c>
      <c r="D44" s="6">
        <f t="shared" ref="D44:D45" si="26">-1*A44*SIN($B$27)+B44*COS($B$27)</f>
        <v>-2.49904438638952</v>
      </c>
      <c r="AD44" t="s">
        <v>8</v>
      </c>
      <c r="AE44" t="s">
        <v>9</v>
      </c>
      <c r="AS44">
        <v>-2.408554367752183</v>
      </c>
      <c r="AT44">
        <v>-86.467280355894104</v>
      </c>
      <c r="AU44">
        <v>-212.88033705495312</v>
      </c>
      <c r="AV44">
        <f t="shared" si="1"/>
        <v>-1.9566170764439577</v>
      </c>
      <c r="AW44">
        <f t="shared" si="2"/>
        <v>0.45193729130822535</v>
      </c>
      <c r="AX44" s="40">
        <f t="shared" si="3"/>
        <v>-5.0982097300337506</v>
      </c>
      <c r="AY44">
        <f t="shared" si="4"/>
        <v>5.0982097300337506</v>
      </c>
      <c r="AZ44">
        <f t="shared" si="5"/>
        <v>3.8746309394274032</v>
      </c>
      <c r="BA44">
        <f t="shared" si="6"/>
        <v>-1.9566170764439577</v>
      </c>
      <c r="BB44">
        <f t="shared" si="7"/>
        <v>0.45193729130822535</v>
      </c>
      <c r="BC44">
        <f t="shared" si="8"/>
        <v>-5.0982097300337506</v>
      </c>
      <c r="BD44">
        <f t="shared" si="9"/>
        <v>5.0982097300337506</v>
      </c>
      <c r="BE44">
        <f t="shared" si="10"/>
        <v>4.0235669230955571</v>
      </c>
      <c r="BK44">
        <v>4.7123889803846897</v>
      </c>
      <c r="BL44">
        <v>4.7123889803818324</v>
      </c>
      <c r="BM44">
        <v>4.7123889803832615</v>
      </c>
      <c r="BN44">
        <v>-4.8871549144547046</v>
      </c>
      <c r="BO44">
        <v>-4.8871549144615107</v>
      </c>
      <c r="BP44">
        <v>-4.8871549144581063</v>
      </c>
    </row>
    <row r="45" spans="1:68" x14ac:dyDescent="0.25">
      <c r="A45" s="3">
        <f t="shared" si="23"/>
        <v>-6</v>
      </c>
      <c r="B45" s="6">
        <f t="shared" si="24"/>
        <v>-12</v>
      </c>
      <c r="C45" s="6">
        <f t="shared" si="25"/>
        <v>10.452882733585902</v>
      </c>
      <c r="D45" s="6">
        <f t="shared" si="26"/>
        <v>8.4105435352242068</v>
      </c>
      <c r="AD45" s="40">
        <f>U13+PI()/2</f>
        <v>4.7123889803846897</v>
      </c>
      <c r="AE45">
        <v>0</v>
      </c>
      <c r="AS45">
        <v>-2.3911010752322399</v>
      </c>
      <c r="AT45">
        <v>-85.600831762501883</v>
      </c>
      <c r="AU45">
        <v>-213.58106824391609</v>
      </c>
      <c r="AV45">
        <f t="shared" si="1"/>
        <v>-1.951982243440042</v>
      </c>
      <c r="AW45">
        <f t="shared" si="2"/>
        <v>0.43911883179219791</v>
      </c>
      <c r="AX45" s="40">
        <f t="shared" si="3"/>
        <v>-5.0935748970298356</v>
      </c>
      <c r="AY45">
        <f t="shared" si="4"/>
        <v>5.0935748970298356</v>
      </c>
      <c r="AZ45">
        <f t="shared" si="5"/>
        <v>3.8920842319473463</v>
      </c>
      <c r="BA45">
        <f t="shared" si="6"/>
        <v>-1.951982243440042</v>
      </c>
      <c r="BB45">
        <f t="shared" si="7"/>
        <v>0.43911883179219791</v>
      </c>
      <c r="BC45">
        <f t="shared" si="8"/>
        <v>-5.0935748970298356</v>
      </c>
      <c r="BD45">
        <f t="shared" si="9"/>
        <v>5.0935748970298356</v>
      </c>
      <c r="BE45">
        <f t="shared" si="10"/>
        <v>4.0189320900916421</v>
      </c>
      <c r="BK45">
        <v>4.7123889803846897</v>
      </c>
      <c r="BL45">
        <v>4.7123889803832615</v>
      </c>
      <c r="BM45">
        <v>4.7123889803839756</v>
      </c>
      <c r="BN45">
        <v>-4.8871549144547046</v>
      </c>
      <c r="BO45">
        <v>-4.8871549144581063</v>
      </c>
      <c r="BP45">
        <v>-4.8871549144564064</v>
      </c>
    </row>
    <row r="46" spans="1:68" x14ac:dyDescent="0.25">
      <c r="AD46" s="40">
        <f>U13-PI()/2</f>
        <v>1.5707963267948966</v>
      </c>
      <c r="AE46">
        <f>AE45</f>
        <v>0</v>
      </c>
      <c r="AS46">
        <v>-2.3736477827122968</v>
      </c>
      <c r="AT46">
        <v>-84.741291438842069</v>
      </c>
      <c r="AU46">
        <v>-214.25912410484608</v>
      </c>
      <c r="AV46">
        <f t="shared" si="1"/>
        <v>-1.9474246805178661</v>
      </c>
      <c r="AW46">
        <f t="shared" si="2"/>
        <v>0.42622310219443071</v>
      </c>
      <c r="AX46" s="40">
        <f t="shared" si="3"/>
        <v>-5.089017334107659</v>
      </c>
      <c r="AY46">
        <f t="shared" si="4"/>
        <v>5.089017334107659</v>
      </c>
      <c r="AZ46">
        <f t="shared" si="5"/>
        <v>3.9095375244672894</v>
      </c>
      <c r="BA46">
        <f t="shared" si="6"/>
        <v>-1.9474246805178661</v>
      </c>
      <c r="BB46">
        <f t="shared" si="7"/>
        <v>0.42622310219443071</v>
      </c>
      <c r="BC46">
        <f t="shared" si="8"/>
        <v>-5.089017334107659</v>
      </c>
      <c r="BD46">
        <f t="shared" si="9"/>
        <v>5.089017334107659</v>
      </c>
      <c r="BE46">
        <f t="shared" si="10"/>
        <v>4.0143745271694655</v>
      </c>
      <c r="BK46">
        <v>4.7123889803846897</v>
      </c>
      <c r="BL46">
        <v>4.7123889803839756</v>
      </c>
      <c r="BM46">
        <v>4.7123889803843326</v>
      </c>
      <c r="BN46">
        <v>-4.8871549144547046</v>
      </c>
      <c r="BO46">
        <v>-4.8871549144564064</v>
      </c>
      <c r="BP46">
        <v>-4.8871549144555555</v>
      </c>
    </row>
    <row r="47" spans="1:68" x14ac:dyDescent="0.25">
      <c r="A47" t="s">
        <v>27</v>
      </c>
      <c r="AS47">
        <v>-2.3561944901923537</v>
      </c>
      <c r="AT47">
        <v>-83.887277259835329</v>
      </c>
      <c r="AU47">
        <v>-214.91621889839604</v>
      </c>
      <c r="AV47">
        <f t="shared" si="1"/>
        <v>-1.942934883581845</v>
      </c>
      <c r="AW47">
        <f t="shared" si="2"/>
        <v>0.41325960661050876</v>
      </c>
      <c r="AX47" s="40">
        <f t="shared" si="3"/>
        <v>-5.0845275371716383</v>
      </c>
      <c r="AY47">
        <f t="shared" si="4"/>
        <v>5.0845275371716383</v>
      </c>
      <c r="AZ47">
        <f t="shared" si="5"/>
        <v>3.9269908169872325</v>
      </c>
      <c r="BA47">
        <f t="shared" si="6"/>
        <v>-1.942934883581845</v>
      </c>
      <c r="BB47">
        <f t="shared" si="7"/>
        <v>0.41325960661050876</v>
      </c>
      <c r="BC47">
        <f t="shared" si="8"/>
        <v>-5.0845275371716383</v>
      </c>
      <c r="BD47">
        <f t="shared" si="9"/>
        <v>5.0845275371716383</v>
      </c>
      <c r="BE47">
        <f t="shared" si="10"/>
        <v>4.0098847302334448</v>
      </c>
      <c r="BK47">
        <v>4.7123889803846897</v>
      </c>
      <c r="BL47">
        <v>4.7123889803843326</v>
      </c>
      <c r="BM47">
        <v>4.7123889803845112</v>
      </c>
      <c r="BN47">
        <v>-4.8871549144547046</v>
      </c>
      <c r="BO47">
        <v>-4.8871549144555555</v>
      </c>
      <c r="BP47">
        <v>-4.8871549144551301</v>
      </c>
    </row>
    <row r="48" spans="1:68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>
        <v>-2.3387411976724106</v>
      </c>
      <c r="AT48">
        <v>-83.03743070075339</v>
      </c>
      <c r="AU48">
        <v>-215.55393327210675</v>
      </c>
      <c r="AV48">
        <f t="shared" si="1"/>
        <v>-1.9385038023229866</v>
      </c>
      <c r="AW48">
        <f t="shared" si="2"/>
        <v>0.40023739534942404</v>
      </c>
      <c r="AX48" s="40">
        <f t="shared" si="3"/>
        <v>-5.0800964559127797</v>
      </c>
      <c r="AY48">
        <f t="shared" si="4"/>
        <v>5.0800964559127797</v>
      </c>
      <c r="AZ48">
        <f t="shared" si="5"/>
        <v>3.9444441095071756</v>
      </c>
      <c r="BA48">
        <f t="shared" si="6"/>
        <v>-1.9385038023229866</v>
      </c>
      <c r="BB48">
        <f t="shared" si="7"/>
        <v>0.40023739534942404</v>
      </c>
      <c r="BC48">
        <f t="shared" si="8"/>
        <v>-5.0800964559127797</v>
      </c>
      <c r="BD48">
        <f t="shared" si="9"/>
        <v>5.0800964559127797</v>
      </c>
      <c r="BE48">
        <f t="shared" si="10"/>
        <v>4.0054536489745862</v>
      </c>
      <c r="BK48">
        <v>4.7123889803846897</v>
      </c>
      <c r="BL48">
        <v>4.7123889803845112</v>
      </c>
      <c r="BM48">
        <v>4.7123889803846009</v>
      </c>
      <c r="BN48">
        <v>-4.8871549144547046</v>
      </c>
      <c r="BO48">
        <v>-4.8871549144551301</v>
      </c>
      <c r="BP48">
        <v>-4.8871549144549169</v>
      </c>
    </row>
    <row r="49" spans="1:68" x14ac:dyDescent="0.25">
      <c r="A49" t="s">
        <v>43</v>
      </c>
      <c r="B49" s="6">
        <f>C37</f>
        <v>10.452882733585902</v>
      </c>
      <c r="C49" s="6">
        <f>D37</f>
        <v>8.4105435352242068</v>
      </c>
      <c r="D49" s="6">
        <f t="shared" ref="D49:E56" si="27">C38</f>
        <v>-0.45670518802782301</v>
      </c>
      <c r="E49" s="6">
        <f t="shared" si="27"/>
        <v>13.408632308003245</v>
      </c>
      <c r="F49" s="6">
        <f t="shared" ref="F49:F54" si="28">IF(B49=D49,"V",(C49-E49)/(B49-D49))</f>
        <v>-0.45813726500860641</v>
      </c>
      <c r="G49" s="6">
        <f t="shared" ref="G49:G54" si="29">IF(F49="V",0,(-1*B49*F49)+C49)</f>
        <v>13.199398642244937</v>
      </c>
      <c r="H49" s="6">
        <f>IF(AND(C49&lt;$G$41,E49&lt;$G$41),0,IF(AND(C49&lt;$G$41,E49&gt;$G$41),IF(F49="V",B49,($G$41-G49)/F49),B49))</f>
        <v>9.4558826867791019</v>
      </c>
      <c r="I49" s="6">
        <f>IF(AND(C49&lt;$G$41,E49&lt;$G$41),0,IF(AND(C49&lt;$G$41,E49&gt;$G$41),$G$41,C49))</f>
        <v>8.867306409881726</v>
      </c>
      <c r="J49" s="6">
        <f>IF(AND(C49&lt;$G$41,E49&lt;$G$41),0,IF(E49&gt;=$G$41,D49,IF(F49="V",D49,($G$41-G49)/F49)))</f>
        <v>-0.45670518802782301</v>
      </c>
      <c r="K49" s="6">
        <f>IF(AND(C49&lt;$G$41,E49&lt;$G$41),0,IF(E49&gt;=$G$41,E49,$G$41))</f>
        <v>13.408632308003245</v>
      </c>
      <c r="L49" s="6">
        <f>IF(AND(I49=0,K49=0,H49=0,J49=0),0,$B$31)</f>
        <v>4.25</v>
      </c>
      <c r="M49" s="6">
        <f>IF(AND(I49=0,K49=0,H49=0,J49=0),0,$B$31)</f>
        <v>4.25</v>
      </c>
      <c r="N49" s="10">
        <f>(1/6)*(K49-I49)*((L49*((2*H49)+J49))+(M49*(H49+(2*J49))))</f>
        <v>86.844920403352191</v>
      </c>
      <c r="O49" s="10">
        <f>((1/12)*(K49-I49)*(L49*H49*((3*I49)+K49)+L49*J49*(I49+K49)+M49*H49*(I49+K49)+M49*J49*(I49+(3*K49))))</f>
        <v>894.87247704864342</v>
      </c>
      <c r="P49" s="10">
        <f>((-1/24)*(K49-I49)*(H49*H49*((3*L49)+M49)+2*H49*J49*(L49+M49)+J49*J49*(L49+(3*M49))))</f>
        <v>-274.4027463084779</v>
      </c>
      <c r="S49">
        <f>IF(AND(I49=0,K49=0,H49=0,J49=0),NA(),H49)</f>
        <v>9.4558826867791019</v>
      </c>
      <c r="T49">
        <f>IF(AND(I49=0,K49=0,H49=0,J49=0),NA(),I49)</f>
        <v>8.867306409881726</v>
      </c>
      <c r="V49">
        <f>IF(AND(I49=0,K49=0,H49=0,J49=0),NA(),J49)</f>
        <v>-0.45670518802782301</v>
      </c>
      <c r="W49">
        <f>IF(AND(I49=0,K49=0,H49=0,J49=0),NA(),K49)</f>
        <v>13.408632308003245</v>
      </c>
      <c r="AS49">
        <v>-2.3212879051524675</v>
      </c>
      <c r="AT49">
        <v>-82.190406311218368</v>
      </c>
      <c r="AU49">
        <v>-216.17372973347838</v>
      </c>
      <c r="AV49">
        <f t="shared" si="1"/>
        <v>-1.9341227543660517</v>
      </c>
      <c r="AW49">
        <f t="shared" si="2"/>
        <v>0.38716515078641578</v>
      </c>
      <c r="AX49" s="40">
        <f t="shared" si="3"/>
        <v>-5.0757154079558449</v>
      </c>
      <c r="AY49">
        <f t="shared" si="4"/>
        <v>5.0757154079558449</v>
      </c>
      <c r="AZ49">
        <f t="shared" si="5"/>
        <v>3.9618974020271187</v>
      </c>
      <c r="BA49">
        <f t="shared" si="6"/>
        <v>-1.9341227543660517</v>
      </c>
      <c r="BB49">
        <f t="shared" si="7"/>
        <v>0.38716515078641578</v>
      </c>
      <c r="BC49">
        <f t="shared" si="8"/>
        <v>-5.0757154079558449</v>
      </c>
      <c r="BD49">
        <f t="shared" si="9"/>
        <v>5.0757154079558449</v>
      </c>
      <c r="BE49">
        <f t="shared" si="10"/>
        <v>4.0010726010176514</v>
      </c>
      <c r="BK49">
        <v>4.7123889803846897</v>
      </c>
      <c r="BL49">
        <v>4.7123889803846009</v>
      </c>
      <c r="BM49">
        <v>4.7123889803846453</v>
      </c>
      <c r="BN49">
        <v>-4.8871549144547046</v>
      </c>
      <c r="BO49">
        <v>-4.8871549144549169</v>
      </c>
      <c r="BP49">
        <v>-4.8871549144548112</v>
      </c>
    </row>
    <row r="50" spans="1:68" x14ac:dyDescent="0.25">
      <c r="A50" t="s">
        <v>44</v>
      </c>
      <c r="B50" s="6">
        <f t="shared" ref="B50:C54" si="30">D49</f>
        <v>-0.45670518802782301</v>
      </c>
      <c r="C50" s="6">
        <f t="shared" si="30"/>
        <v>13.408632308003245</v>
      </c>
      <c r="D50" s="6">
        <f t="shared" si="27"/>
        <v>-5.454793960806863</v>
      </c>
      <c r="E50" s="6">
        <f t="shared" si="27"/>
        <v>2.49904438638952</v>
      </c>
      <c r="F50" s="6">
        <f t="shared" si="28"/>
        <v>2.1827519313042871</v>
      </c>
      <c r="G50" s="6">
        <f t="shared" si="29"/>
        <v>14.405506439207663</v>
      </c>
      <c r="H50" s="6">
        <f t="shared" ref="H50:H54" si="31">IF(AND(C50&lt;$G$41,E50&lt;$G$41),0,IF(AND(C50&lt;$G$41,E50&gt;$G$41),IF(F50="V",B50,($G$41-G50)/F50),B50))</f>
        <v>-0.45670518802782301</v>
      </c>
      <c r="I50" s="6">
        <f t="shared" ref="I50:I54" si="32">IF(AND(C50&lt;$G$41,E50&lt;$G$41),0,IF(AND(C50&lt;$G$41,E50&gt;$G$41),$G$41,C50))</f>
        <v>13.408632308003245</v>
      </c>
      <c r="J50" s="6">
        <f t="shared" ref="J50:J54" si="33">IF(AND(C50&lt;$G$41,E50&lt;$G$41),0,IF(E50&gt;=$G$41,D50,IF(F50="V",D50,($G$41-G50)/F50)))</f>
        <v>-2.5372558145059694</v>
      </c>
      <c r="K50" s="6">
        <f t="shared" ref="K50:K54" si="34">IF(AND(C50&lt;$G$41,E50&lt;$G$41),0,IF(E50&gt;=$G$41,E50,$G$41))</f>
        <v>8.867306409881726</v>
      </c>
      <c r="L50" s="6">
        <f t="shared" ref="L50:L54" si="35">IF(AND(I50=0,K50=0,H50=0,J50=0),0,$B$31)</f>
        <v>4.25</v>
      </c>
      <c r="M50" s="6">
        <f t="shared" ref="M50:M54" si="36">IF(AND(I50=0,K50=0,H50=0,J50=0),0,$B$31)</f>
        <v>4.25</v>
      </c>
      <c r="N50" s="10">
        <f t="shared" ref="N50:N54" si="37">(1/6)*(K50-I50)*((L50*((2*H50)+J50))+(M50*(H50+(2*J50))))</f>
        <v>28.892674357391726</v>
      </c>
      <c r="O50" s="10">
        <f t="shared" ref="O50:O54" si="38">((1/12)*(K50-I50)*(L50*H50*((3*I50)+K50)+L50*J50*(I50+K50)+M50*H50*(I50+K50)+M50*J50*(I50+(3*K50))))</f>
        <v>306.60895099534804</v>
      </c>
      <c r="P50" s="10">
        <f t="shared" ref="P50:P54" si="39">((-1/24)*(K50-I50)*(H50*H50*((3*L50)+M50)+2*H50*J50*(L50+M50)+J50*J50*(L50+(3*M50))))</f>
        <v>25.106988552862067</v>
      </c>
      <c r="S50">
        <f t="shared" ref="S50:S55" si="40">IF(AND(I50=0,K50=0,H50=0,J50=0),NA(),H50)</f>
        <v>-0.45670518802782301</v>
      </c>
      <c r="T50">
        <f t="shared" ref="T50:T55" si="41">IF(AND(I50=0,K50=0,H50=0,J50=0),NA(),I50)</f>
        <v>13.408632308003245</v>
      </c>
      <c r="V50">
        <f t="shared" ref="V50:V55" si="42">IF(AND(I50=0,K50=0,H50=0,J50=0),NA(),J50)</f>
        <v>-2.5372558145059694</v>
      </c>
      <c r="W50">
        <f t="shared" ref="W50:W55" si="43">IF(AND(I50=0,K50=0,H50=0,J50=0),NA(),K50)</f>
        <v>8.867306409881726</v>
      </c>
      <c r="AS50">
        <v>-2.3038346126325244</v>
      </c>
      <c r="AT50">
        <v>-81.34486127476967</v>
      </c>
      <c r="AU50">
        <v>-216.77696625323847</v>
      </c>
      <c r="AV50">
        <f t="shared" si="1"/>
        <v>-1.9297833455370286</v>
      </c>
      <c r="AW50">
        <f t="shared" si="2"/>
        <v>0.37405126709549585</v>
      </c>
      <c r="AX50" s="40">
        <f t="shared" si="3"/>
        <v>-5.0713759991268219</v>
      </c>
      <c r="AY50">
        <f t="shared" si="4"/>
        <v>5.0713759991268219</v>
      </c>
      <c r="AZ50">
        <f t="shared" si="5"/>
        <v>3.9793506945470618</v>
      </c>
      <c r="BA50">
        <f t="shared" si="6"/>
        <v>-1.9297833455370286</v>
      </c>
      <c r="BB50">
        <f t="shared" si="7"/>
        <v>0.37405126709549585</v>
      </c>
      <c r="BC50">
        <f t="shared" si="8"/>
        <v>-5.0713759991268219</v>
      </c>
      <c r="BD50">
        <f t="shared" si="9"/>
        <v>5.0713759991268219</v>
      </c>
      <c r="BE50">
        <f t="shared" si="10"/>
        <v>3.9967331921886284</v>
      </c>
      <c r="BK50">
        <v>4.7123889803846897</v>
      </c>
      <c r="BL50">
        <v>4.7123889803846453</v>
      </c>
      <c r="BM50">
        <v>4.7123889803846675</v>
      </c>
      <c r="BN50">
        <v>-4.8871549144547046</v>
      </c>
      <c r="BO50">
        <v>-4.8871549144548112</v>
      </c>
      <c r="BP50">
        <v>-4.8871549144547579</v>
      </c>
    </row>
    <row r="51" spans="1:68" x14ac:dyDescent="0.25">
      <c r="A51" t="s">
        <v>45</v>
      </c>
      <c r="B51" s="6">
        <f t="shared" si="30"/>
        <v>-5.454793960806863</v>
      </c>
      <c r="C51" s="6">
        <f t="shared" si="30"/>
        <v>2.49904438638952</v>
      </c>
      <c r="D51" s="6">
        <f t="shared" si="27"/>
        <v>-27.273969804034316</v>
      </c>
      <c r="E51" s="6">
        <f t="shared" si="27"/>
        <v>12.495221931947601</v>
      </c>
      <c r="F51" s="6">
        <f t="shared" si="28"/>
        <v>-0.45813726500860646</v>
      </c>
      <c r="G51" s="6">
        <f t="shared" si="29"/>
        <v>0</v>
      </c>
      <c r="H51" s="6">
        <f t="shared" si="31"/>
        <v>-19.355130191636228</v>
      </c>
      <c r="I51" s="6">
        <f t="shared" si="32"/>
        <v>8.867306409881726</v>
      </c>
      <c r="J51" s="6">
        <f t="shared" si="33"/>
        <v>-27.273969804034316</v>
      </c>
      <c r="K51" s="6">
        <f t="shared" si="34"/>
        <v>12.495221931947601</v>
      </c>
      <c r="L51" s="6">
        <f t="shared" si="35"/>
        <v>4.25</v>
      </c>
      <c r="M51" s="6">
        <f t="shared" si="36"/>
        <v>4.25</v>
      </c>
      <c r="N51" s="10">
        <f t="shared" si="37"/>
        <v>-359.47867576529177</v>
      </c>
      <c r="O51" s="10">
        <f t="shared" si="38"/>
        <v>-3876.6000583124692</v>
      </c>
      <c r="P51" s="10">
        <f t="shared" si="39"/>
        <v>-4230.8281320879287</v>
      </c>
      <c r="S51">
        <f t="shared" si="40"/>
        <v>-19.355130191636228</v>
      </c>
      <c r="T51">
        <f t="shared" si="41"/>
        <v>8.867306409881726</v>
      </c>
      <c r="V51">
        <f t="shared" si="42"/>
        <v>-27.273969804034316</v>
      </c>
      <c r="W51">
        <f t="shared" si="43"/>
        <v>12.495221931947601</v>
      </c>
      <c r="AS51">
        <v>-2.2863813201125813</v>
      </c>
      <c r="AT51">
        <v>-80.499444783467595</v>
      </c>
      <c r="AU51">
        <v>-217.36490864380755</v>
      </c>
      <c r="AV51">
        <f t="shared" si="1"/>
        <v>-1.9254773936925014</v>
      </c>
      <c r="AW51">
        <f t="shared" si="2"/>
        <v>0.36090392642007996</v>
      </c>
      <c r="AX51" s="40">
        <f t="shared" si="3"/>
        <v>-5.0670700472822947</v>
      </c>
      <c r="AY51">
        <f t="shared" si="4"/>
        <v>5.0670700472822947</v>
      </c>
      <c r="AZ51">
        <f t="shared" si="5"/>
        <v>3.9968039870670049</v>
      </c>
      <c r="BA51">
        <f t="shared" si="6"/>
        <v>-1.9254773936925014</v>
      </c>
      <c r="BB51">
        <f t="shared" si="7"/>
        <v>0.36090392642007996</v>
      </c>
      <c r="BC51">
        <f t="shared" si="8"/>
        <v>-5.0670700472822947</v>
      </c>
      <c r="BD51">
        <f t="shared" si="9"/>
        <v>5.0670700472822947</v>
      </c>
      <c r="BE51">
        <f t="shared" si="10"/>
        <v>3.9924272403441012</v>
      </c>
      <c r="BK51">
        <v>4.7123889803846897</v>
      </c>
      <c r="BL51">
        <v>4.7123889803846675</v>
      </c>
      <c r="BM51">
        <v>4.712388980384679</v>
      </c>
      <c r="BN51">
        <v>-4.8871549144547046</v>
      </c>
      <c r="BO51">
        <v>-4.8871549144547579</v>
      </c>
      <c r="BP51">
        <v>-4.8871549144547304</v>
      </c>
    </row>
    <row r="52" spans="1:68" x14ac:dyDescent="0.25">
      <c r="A52" t="s">
        <v>46</v>
      </c>
      <c r="B52" s="6">
        <f t="shared" si="30"/>
        <v>-27.273969804034316</v>
      </c>
      <c r="C52" s="6">
        <f t="shared" si="30"/>
        <v>12.495221931947601</v>
      </c>
      <c r="D52" s="6">
        <f t="shared" si="27"/>
        <v>-32.272058576813357</v>
      </c>
      <c r="E52" s="6">
        <f t="shared" si="27"/>
        <v>1.5856340103338749</v>
      </c>
      <c r="F52" s="6">
        <f t="shared" si="28"/>
        <v>2.1827519313042867</v>
      </c>
      <c r="G52" s="6">
        <f t="shared" si="29"/>
        <v>72.027532196038294</v>
      </c>
      <c r="H52" s="6">
        <f t="shared" si="31"/>
        <v>-27.273969804034316</v>
      </c>
      <c r="I52" s="6">
        <f t="shared" si="32"/>
        <v>12.495221931947601</v>
      </c>
      <c r="J52" s="6">
        <f t="shared" si="33"/>
        <v>-28.936053098995842</v>
      </c>
      <c r="K52" s="6">
        <f t="shared" si="34"/>
        <v>8.867306409881726</v>
      </c>
      <c r="L52" s="6">
        <f t="shared" si="35"/>
        <v>4.25</v>
      </c>
      <c r="M52" s="6">
        <f t="shared" si="36"/>
        <v>4.25</v>
      </c>
      <c r="N52" s="10">
        <f t="shared" si="37"/>
        <v>433.34108099436054</v>
      </c>
      <c r="O52" s="10">
        <f t="shared" si="38"/>
        <v>4620.8828264586909</v>
      </c>
      <c r="P52" s="10">
        <f t="shared" si="39"/>
        <v>6091.3027851128836</v>
      </c>
      <c r="S52">
        <f t="shared" si="40"/>
        <v>-27.273969804034316</v>
      </c>
      <c r="T52">
        <f t="shared" si="41"/>
        <v>12.495221931947601</v>
      </c>
      <c r="V52">
        <f t="shared" si="42"/>
        <v>-28.936053098995842</v>
      </c>
      <c r="W52">
        <f t="shared" si="43"/>
        <v>8.867306409881726</v>
      </c>
      <c r="AS52">
        <v>-2.2689280275926382</v>
      </c>
      <c r="AT52">
        <v>-79.652787154442109</v>
      </c>
      <c r="AU52">
        <v>-217.93874136258606</v>
      </c>
      <c r="AV52">
        <f t="shared" si="1"/>
        <v>-1.9211968559666666</v>
      </c>
      <c r="AW52">
        <f t="shared" si="2"/>
        <v>0.34773117162597167</v>
      </c>
      <c r="AX52" s="40">
        <f t="shared" si="3"/>
        <v>-5.0627895095564597</v>
      </c>
      <c r="AY52">
        <f t="shared" si="4"/>
        <v>5.0627895095564597</v>
      </c>
      <c r="AZ52">
        <f t="shared" si="5"/>
        <v>4.014257279586948</v>
      </c>
      <c r="BA52">
        <f t="shared" si="6"/>
        <v>-1.9211968559666666</v>
      </c>
      <c r="BB52">
        <f t="shared" si="7"/>
        <v>0.34773117162597167</v>
      </c>
      <c r="BC52">
        <f t="shared" si="8"/>
        <v>-5.0627895095564597</v>
      </c>
      <c r="BD52">
        <f t="shared" si="9"/>
        <v>5.0627895095564597</v>
      </c>
      <c r="BE52">
        <f t="shared" si="10"/>
        <v>3.9881467026182662</v>
      </c>
      <c r="BK52">
        <v>4.7123889803846897</v>
      </c>
      <c r="BL52">
        <v>4.712388980384679</v>
      </c>
      <c r="BM52">
        <v>4.7123889803846843</v>
      </c>
      <c r="BN52">
        <v>-4.8871549144547046</v>
      </c>
      <c r="BO52">
        <v>-4.8871549144547304</v>
      </c>
      <c r="BP52">
        <v>-4.8871549144547179</v>
      </c>
    </row>
    <row r="53" spans="1:68" x14ac:dyDescent="0.25">
      <c r="A53" t="s">
        <v>47</v>
      </c>
      <c r="B53" s="6">
        <f t="shared" si="30"/>
        <v>-32.272058576813357</v>
      </c>
      <c r="C53" s="6">
        <f t="shared" si="30"/>
        <v>1.5856340103338749</v>
      </c>
      <c r="D53" s="6">
        <f t="shared" si="27"/>
        <v>0.45670518802782301</v>
      </c>
      <c r="E53" s="6">
        <f t="shared" si="27"/>
        <v>-13.408632308003245</v>
      </c>
      <c r="F53" s="6">
        <f t="shared" si="28"/>
        <v>-0.45813726500860641</v>
      </c>
      <c r="G53" s="6">
        <f t="shared" si="29"/>
        <v>-13.199398642244935</v>
      </c>
      <c r="H53" s="6">
        <f t="shared" si="31"/>
        <v>0</v>
      </c>
      <c r="I53" s="6">
        <f t="shared" si="32"/>
        <v>0</v>
      </c>
      <c r="J53" s="6">
        <f t="shared" si="33"/>
        <v>0</v>
      </c>
      <c r="K53" s="6">
        <f t="shared" si="34"/>
        <v>0</v>
      </c>
      <c r="L53" s="6">
        <f t="shared" si="35"/>
        <v>0</v>
      </c>
      <c r="M53" s="6">
        <f t="shared" si="36"/>
        <v>0</v>
      </c>
      <c r="N53" s="10">
        <f t="shared" si="37"/>
        <v>0</v>
      </c>
      <c r="O53" s="10">
        <f t="shared" si="38"/>
        <v>0</v>
      </c>
      <c r="P53" s="10">
        <f t="shared" si="39"/>
        <v>0</v>
      </c>
      <c r="S53" t="e">
        <f t="shared" si="40"/>
        <v>#N/A</v>
      </c>
      <c r="T53" t="e">
        <f t="shared" si="41"/>
        <v>#N/A</v>
      </c>
      <c r="V53" t="e">
        <f t="shared" si="42"/>
        <v>#N/A</v>
      </c>
      <c r="W53" t="e">
        <f t="shared" si="43"/>
        <v>#N/A</v>
      </c>
      <c r="AS53">
        <v>-2.2514747350726951</v>
      </c>
      <c r="AT53">
        <v>-78.80348837420847</v>
      </c>
      <c r="AU53">
        <v>-218.49957742149149</v>
      </c>
      <c r="AV53">
        <f t="shared" si="1"/>
        <v>-1.9169337567918578</v>
      </c>
      <c r="AW53">
        <f t="shared" si="2"/>
        <v>0.33454097828083729</v>
      </c>
      <c r="AX53" s="40">
        <f t="shared" si="3"/>
        <v>-5.058526410381651</v>
      </c>
      <c r="AY53">
        <f t="shared" si="4"/>
        <v>5.058526410381651</v>
      </c>
      <c r="AZ53">
        <f t="shared" si="5"/>
        <v>4.0317105721068911</v>
      </c>
      <c r="BA53">
        <f t="shared" si="6"/>
        <v>-1.9169337567918578</v>
      </c>
      <c r="BB53">
        <f t="shared" si="7"/>
        <v>0.33454097828083729</v>
      </c>
      <c r="BC53">
        <f t="shared" si="8"/>
        <v>-5.058526410381651</v>
      </c>
      <c r="BD53">
        <f t="shared" si="9"/>
        <v>5.058526410381651</v>
      </c>
      <c r="BE53">
        <f t="shared" si="10"/>
        <v>3.9838836034434575</v>
      </c>
      <c r="BK53">
        <v>4.7123889803846897</v>
      </c>
      <c r="BL53">
        <v>4.7123889803846843</v>
      </c>
      <c r="BM53">
        <v>4.712388980384687</v>
      </c>
      <c r="BN53">
        <v>-4.8871549144547046</v>
      </c>
      <c r="BO53">
        <v>-4.8871549144547179</v>
      </c>
      <c r="BP53">
        <v>-4.8871549144547117</v>
      </c>
    </row>
    <row r="54" spans="1:68" x14ac:dyDescent="0.25">
      <c r="A54" t="s">
        <v>48</v>
      </c>
      <c r="B54" s="6">
        <f t="shared" si="30"/>
        <v>0.45670518802782301</v>
      </c>
      <c r="C54" s="6">
        <f t="shared" si="30"/>
        <v>-13.408632308003245</v>
      </c>
      <c r="D54" s="6">
        <f t="shared" si="27"/>
        <v>5.454793960806863</v>
      </c>
      <c r="E54" s="6">
        <f t="shared" si="27"/>
        <v>-2.49904438638952</v>
      </c>
      <c r="F54" s="6">
        <f t="shared" si="28"/>
        <v>2.1827519313042871</v>
      </c>
      <c r="G54" s="6">
        <f t="shared" si="29"/>
        <v>-14.405506439207663</v>
      </c>
      <c r="H54" s="6">
        <f t="shared" si="31"/>
        <v>0</v>
      </c>
      <c r="I54" s="6">
        <f t="shared" si="32"/>
        <v>0</v>
      </c>
      <c r="J54" s="6">
        <f t="shared" si="33"/>
        <v>0</v>
      </c>
      <c r="K54" s="6">
        <f t="shared" si="34"/>
        <v>0</v>
      </c>
      <c r="L54" s="6">
        <f t="shared" si="35"/>
        <v>0</v>
      </c>
      <c r="M54" s="6">
        <f t="shared" si="36"/>
        <v>0</v>
      </c>
      <c r="N54" s="10">
        <f t="shared" si="37"/>
        <v>0</v>
      </c>
      <c r="O54" s="10">
        <f t="shared" si="38"/>
        <v>0</v>
      </c>
      <c r="P54" s="10">
        <f t="shared" si="39"/>
        <v>0</v>
      </c>
      <c r="S54" t="e">
        <f t="shared" si="40"/>
        <v>#N/A</v>
      </c>
      <c r="T54" t="e">
        <f t="shared" si="41"/>
        <v>#N/A</v>
      </c>
      <c r="V54" t="e">
        <f t="shared" si="42"/>
        <v>#N/A</v>
      </c>
      <c r="W54" t="e">
        <f t="shared" si="43"/>
        <v>#N/A</v>
      </c>
      <c r="AS54">
        <v>-2.234021442552752</v>
      </c>
      <c r="AT54">
        <v>-77.950105826192242</v>
      </c>
      <c r="AU54">
        <v>-219.04846762150137</v>
      </c>
      <c r="AV54">
        <f t="shared" si="1"/>
        <v>-1.9126801151260528</v>
      </c>
      <c r="AW54">
        <f t="shared" si="2"/>
        <v>0.32134132742669919</v>
      </c>
      <c r="AX54" s="40">
        <f t="shared" si="3"/>
        <v>-5.0542727687158457</v>
      </c>
      <c r="AY54">
        <f t="shared" si="4"/>
        <v>5.0542727687158457</v>
      </c>
      <c r="AZ54">
        <f t="shared" si="5"/>
        <v>4.0491638646268342</v>
      </c>
      <c r="BA54">
        <f t="shared" si="6"/>
        <v>-1.9126801151260528</v>
      </c>
      <c r="BB54">
        <f t="shared" si="7"/>
        <v>0.32134132742669919</v>
      </c>
      <c r="BC54">
        <f t="shared" si="8"/>
        <v>-5.0542727687158457</v>
      </c>
      <c r="BD54">
        <f t="shared" si="9"/>
        <v>5.0542727687158457</v>
      </c>
      <c r="BE54">
        <f t="shared" si="10"/>
        <v>3.9796299617776523</v>
      </c>
    </row>
    <row r="55" spans="1:68" x14ac:dyDescent="0.25">
      <c r="A55" t="s">
        <v>93</v>
      </c>
      <c r="B55" s="6">
        <f>D54</f>
        <v>5.454793960806863</v>
      </c>
      <c r="C55" s="6">
        <f>E54</f>
        <v>-2.49904438638952</v>
      </c>
      <c r="D55" s="6">
        <f t="shared" si="27"/>
        <v>5.454793960806863</v>
      </c>
      <c r="E55" s="6">
        <f t="shared" si="27"/>
        <v>-2.49904438638952</v>
      </c>
      <c r="F55" s="6" t="str">
        <f t="shared" ref="F55:F56" si="44">IF(B55=D55,"V",(C55-E55)/(B55-D55))</f>
        <v>V</v>
      </c>
      <c r="G55" s="6">
        <f t="shared" ref="G55:G56" si="45">IF(F55="V",0,(-1*B55*F55)+C55)</f>
        <v>0</v>
      </c>
      <c r="H55" s="6">
        <f t="shared" ref="H55:H56" si="46">IF(AND(C55&lt;$G$41,E55&lt;$G$41),0,IF(AND(C55&lt;$G$41,E55&gt;$G$41),IF(F55="V",B55,($G$41-G55)/F55),B55))</f>
        <v>0</v>
      </c>
      <c r="I55" s="6">
        <f t="shared" ref="I55:I56" si="47">IF(AND(C55&lt;$G$41,E55&lt;$G$41),0,IF(AND(C55&lt;$G$41,E55&gt;$G$41),$G$41,C55))</f>
        <v>0</v>
      </c>
      <c r="J55" s="6">
        <f t="shared" ref="J55:J56" si="48">IF(AND(C55&lt;$G$41,E55&lt;$G$41),0,IF(E55&gt;=$G$41,D55,IF(F55="V",D55,($G$41-G55)/F55)))</f>
        <v>0</v>
      </c>
      <c r="K55" s="6">
        <f t="shared" ref="K55:K56" si="49">IF(AND(C55&lt;$G$41,E55&lt;$G$41),0,IF(E55&gt;=$G$41,E55,$G$41))</f>
        <v>0</v>
      </c>
      <c r="L55" s="6">
        <f t="shared" ref="L55:L56" si="50">IF(AND(I55=0,K55=0,H55=0,J55=0),0,$B$31)</f>
        <v>0</v>
      </c>
      <c r="M55" s="6">
        <f t="shared" ref="M55:M56" si="51">IF(AND(I55=0,K55=0,H55=0,J55=0),0,$B$31)</f>
        <v>0</v>
      </c>
      <c r="N55" s="10">
        <f t="shared" ref="N55:N56" si="52">(1/6)*(K55-I55)*((L55*((2*H55)+J55))+(M55*(H55+(2*J55))))</f>
        <v>0</v>
      </c>
      <c r="O55" s="10">
        <f t="shared" ref="O55:O56" si="53">((1/12)*(K55-I55)*(L55*H55*((3*I55)+K55)+L55*J55*(I55+K55)+M55*H55*(I55+K55)+M55*J55*(I55+(3*K55))))</f>
        <v>0</v>
      </c>
      <c r="P55" s="10">
        <f t="shared" ref="P55:P56" si="54">((-1/24)*(K55-I55)*(H55*H55*((3*L55)+M55)+2*H55*J55*(L55+M55)+J55*J55*(L55+(3*M55))))</f>
        <v>0</v>
      </c>
      <c r="S55" t="e">
        <f t="shared" si="40"/>
        <v>#N/A</v>
      </c>
      <c r="T55" t="e">
        <f t="shared" si="41"/>
        <v>#N/A</v>
      </c>
      <c r="V55" t="e">
        <f t="shared" si="42"/>
        <v>#N/A</v>
      </c>
      <c r="W55" t="e">
        <f t="shared" si="43"/>
        <v>#N/A</v>
      </c>
      <c r="AS55">
        <v>-2.2165681500328089</v>
      </c>
      <c r="AT55">
        <v>-77.091141086234359</v>
      </c>
      <c r="AU55">
        <v>-219.58640859477288</v>
      </c>
      <c r="AV55">
        <f t="shared" si="1"/>
        <v>-1.9084278709449438</v>
      </c>
      <c r="AW55">
        <f t="shared" si="2"/>
        <v>0.30814027908786512</v>
      </c>
      <c r="AX55" s="40">
        <f t="shared" si="3"/>
        <v>-5.0500205245347374</v>
      </c>
      <c r="AY55">
        <f t="shared" si="4"/>
        <v>5.0500205245347374</v>
      </c>
      <c r="AZ55">
        <f t="shared" si="5"/>
        <v>4.0666171571467773</v>
      </c>
      <c r="BA55">
        <f t="shared" si="6"/>
        <v>-1.9084278709449438</v>
      </c>
      <c r="BB55">
        <f t="shared" si="7"/>
        <v>0.30814027908786512</v>
      </c>
      <c r="BC55">
        <f t="shared" si="8"/>
        <v>-5.0500205245347374</v>
      </c>
      <c r="BD55">
        <f t="shared" si="9"/>
        <v>5.0500205245347374</v>
      </c>
      <c r="BE55">
        <f t="shared" si="10"/>
        <v>3.9753777175965439</v>
      </c>
    </row>
    <row r="56" spans="1:68" ht="15.75" thickBot="1" x14ac:dyDescent="0.3">
      <c r="A56" t="s">
        <v>94</v>
      </c>
      <c r="B56" s="6">
        <f>D55</f>
        <v>5.454793960806863</v>
      </c>
      <c r="C56" s="6">
        <f>E55</f>
        <v>-2.49904438638952</v>
      </c>
      <c r="D56" s="6">
        <f t="shared" si="27"/>
        <v>10.452882733585902</v>
      </c>
      <c r="E56" s="6">
        <f t="shared" si="27"/>
        <v>8.4105435352242068</v>
      </c>
      <c r="F56" s="6">
        <f t="shared" si="44"/>
        <v>2.1827519313042885</v>
      </c>
      <c r="G56" s="6">
        <f t="shared" si="45"/>
        <v>-14.40550643920767</v>
      </c>
      <c r="H56" s="6">
        <f t="shared" si="46"/>
        <v>0</v>
      </c>
      <c r="I56" s="6">
        <f t="shared" si="47"/>
        <v>0</v>
      </c>
      <c r="J56" s="6">
        <f t="shared" si="48"/>
        <v>0</v>
      </c>
      <c r="K56" s="6">
        <f t="shared" si="49"/>
        <v>0</v>
      </c>
      <c r="L56" s="6">
        <f t="shared" si="50"/>
        <v>0</v>
      </c>
      <c r="M56" s="6">
        <f t="shared" si="51"/>
        <v>0</v>
      </c>
      <c r="N56" s="11">
        <f t="shared" si="52"/>
        <v>0</v>
      </c>
      <c r="O56" s="11">
        <f t="shared" si="53"/>
        <v>0</v>
      </c>
      <c r="P56" s="11">
        <f t="shared" si="54"/>
        <v>0</v>
      </c>
      <c r="S56" t="e">
        <f t="shared" ref="S56" si="55">IF(AND(I56=0,K56=0,H56=0,J56=0),NA(),H56)</f>
        <v>#N/A</v>
      </c>
      <c r="T56" t="e">
        <f t="shared" ref="T56" si="56">IF(AND(I56=0,K56=0,H56=0,J56=0),NA(),I56)</f>
        <v>#N/A</v>
      </c>
      <c r="V56" t="e">
        <f t="shared" ref="V56" si="57">IF(AND(I56=0,K56=0,H56=0,J56=0),NA(),J56)</f>
        <v>#N/A</v>
      </c>
      <c r="W56" t="e">
        <f t="shared" ref="W56" si="58">IF(AND(I56=0,K56=0,H56=0,J56=0),NA(),K56)</f>
        <v>#N/A</v>
      </c>
      <c r="AS56">
        <v>-2.1991148575128658</v>
      </c>
      <c r="AT56">
        <v>-76.225025250999238</v>
      </c>
      <c r="AU56">
        <v>-220.11435084204641</v>
      </c>
      <c r="AV56">
        <f t="shared" si="1"/>
        <v>-1.9041688068977796</v>
      </c>
      <c r="AW56">
        <f t="shared" si="2"/>
        <v>0.29494605061508627</v>
      </c>
      <c r="AX56" s="40">
        <f t="shared" si="3"/>
        <v>-5.0457614604875722</v>
      </c>
      <c r="AY56">
        <f t="shared" si="4"/>
        <v>5.0457614604875722</v>
      </c>
      <c r="AZ56">
        <f t="shared" si="5"/>
        <v>4.0840704496667204</v>
      </c>
      <c r="BA56">
        <f t="shared" si="6"/>
        <v>-1.9041688068977796</v>
      </c>
      <c r="BB56">
        <f t="shared" si="7"/>
        <v>0.29494605061508627</v>
      </c>
      <c r="BC56">
        <f t="shared" si="8"/>
        <v>-5.0457614604875722</v>
      </c>
      <c r="BD56">
        <f t="shared" si="9"/>
        <v>5.0457614604875722</v>
      </c>
      <c r="BE56">
        <f t="shared" si="10"/>
        <v>3.9711186535493788</v>
      </c>
    </row>
    <row r="57" spans="1:68" ht="15.75" thickTop="1" x14ac:dyDescent="0.25">
      <c r="N57" s="6">
        <f>SUM(N49:N56)</f>
        <v>189.59999998981269</v>
      </c>
      <c r="O57" s="6">
        <f t="shared" ref="O57:P57" si="59">SUM(O49:O56)</f>
        <v>1945.7641961902132</v>
      </c>
      <c r="P57" s="6">
        <f t="shared" si="59"/>
        <v>1611.1788952693387</v>
      </c>
      <c r="AS57">
        <v>-2.1816615649929227</v>
      </c>
      <c r="AT57">
        <v>-75.350102660435709</v>
      </c>
      <c r="AU57">
        <v>-220.63320589928281</v>
      </c>
      <c r="AV57">
        <f t="shared" si="1"/>
        <v>-1.8998944656635708</v>
      </c>
      <c r="AW57">
        <f t="shared" si="2"/>
        <v>0.28176709932935196</v>
      </c>
      <c r="AX57" s="40">
        <f t="shared" si="3"/>
        <v>-5.0414871192533637</v>
      </c>
      <c r="AY57">
        <f t="shared" si="4"/>
        <v>5.0414871192533637</v>
      </c>
      <c r="AZ57">
        <f t="shared" si="5"/>
        <v>4.1015237421866635</v>
      </c>
      <c r="BA57">
        <f t="shared" si="6"/>
        <v>-1.8998944656635708</v>
      </c>
      <c r="BB57">
        <f t="shared" si="7"/>
        <v>0.28176709932935196</v>
      </c>
      <c r="BC57">
        <f t="shared" si="8"/>
        <v>-5.0414871192533637</v>
      </c>
      <c r="BD57">
        <f t="shared" si="9"/>
        <v>5.0414871192533637</v>
      </c>
      <c r="BE57">
        <f t="shared" si="10"/>
        <v>3.9668443123151702</v>
      </c>
    </row>
    <row r="58" spans="1:68" x14ac:dyDescent="0.25">
      <c r="O58" s="6">
        <f>O57/N57</f>
        <v>10.262469389740296</v>
      </c>
      <c r="P58" s="6">
        <f>-1*P57/N57</f>
        <v>-8.4977789839446629</v>
      </c>
      <c r="S58">
        <f>(P58*COS(-1*$B$27))+(O58*SIN(-1*$B$27))+$I$2</f>
        <v>18.000000000136268</v>
      </c>
      <c r="T58">
        <f>(-1*P58*SIN(-1*$B$27))+(O58*COS(-1*$B$27))+$I$3</f>
        <v>6.2094451360808485</v>
      </c>
      <c r="AS58">
        <v>-2.1642082724729796</v>
      </c>
      <c r="AT58">
        <v>-74.464612427617425</v>
      </c>
      <c r="AU58">
        <v>-221.14385346741452</v>
      </c>
      <c r="AV58">
        <f t="shared" si="1"/>
        <v>-1.895596059280835</v>
      </c>
      <c r="AW58">
        <f t="shared" si="2"/>
        <v>0.26861221319214468</v>
      </c>
      <c r="AX58" s="40">
        <f t="shared" si="3"/>
        <v>-5.0371887128706279</v>
      </c>
      <c r="AY58">
        <f t="shared" si="4"/>
        <v>5.0371887128706279</v>
      </c>
      <c r="AZ58">
        <f t="shared" si="5"/>
        <v>4.1189770347066066</v>
      </c>
      <c r="BA58">
        <f t="shared" si="6"/>
        <v>-1.895596059280835</v>
      </c>
      <c r="BB58">
        <f t="shared" si="7"/>
        <v>0.26861221319214468</v>
      </c>
      <c r="BC58">
        <f t="shared" si="8"/>
        <v>-5.0371887128706279</v>
      </c>
      <c r="BD58">
        <f t="shared" si="9"/>
        <v>5.0371887128706279</v>
      </c>
      <c r="BE58">
        <f t="shared" si="10"/>
        <v>3.9625459059324344</v>
      </c>
    </row>
    <row r="59" spans="1:68" x14ac:dyDescent="0.25">
      <c r="A59" t="s">
        <v>54</v>
      </c>
      <c r="AS59">
        <v>-2.1467549799530365</v>
      </c>
      <c r="AT59">
        <v>-73.566667324114889</v>
      </c>
      <c r="AU59">
        <v>-221.6471483134568</v>
      </c>
      <c r="AV59">
        <f t="shared" si="1"/>
        <v>-1.891264368777549</v>
      </c>
      <c r="AW59">
        <f t="shared" si="2"/>
        <v>0.25549061117548755</v>
      </c>
      <c r="AX59" s="40">
        <f t="shared" si="3"/>
        <v>-5.0328570223673417</v>
      </c>
      <c r="AY59">
        <f t="shared" si="4"/>
        <v>5.0328570223673417</v>
      </c>
      <c r="AZ59">
        <f t="shared" si="5"/>
        <v>4.1364303272265497</v>
      </c>
      <c r="BA59">
        <f t="shared" si="6"/>
        <v>-1.891264368777549</v>
      </c>
      <c r="BB59">
        <f t="shared" si="7"/>
        <v>0.25549061117548755</v>
      </c>
      <c r="BC59">
        <f t="shared" si="8"/>
        <v>-5.0328570223673417</v>
      </c>
      <c r="BD59">
        <f t="shared" si="9"/>
        <v>5.0328570223673417</v>
      </c>
      <c r="BE59">
        <f t="shared" si="10"/>
        <v>3.9582142154291482</v>
      </c>
    </row>
    <row r="60" spans="1:68" x14ac:dyDescent="0.25">
      <c r="AS60">
        <v>-2.1293016874330934</v>
      </c>
      <c r="AT60">
        <v>-72.654229392809526</v>
      </c>
      <c r="AU60">
        <v>-222.1439270192684</v>
      </c>
      <c r="AV60">
        <f t="shared" si="1"/>
        <v>-1.8868896313241301</v>
      </c>
      <c r="AW60">
        <f t="shared" si="2"/>
        <v>0.24241205610896333</v>
      </c>
      <c r="AX60" s="40">
        <f t="shared" si="3"/>
        <v>-5.028482284913923</v>
      </c>
      <c r="AY60">
        <f t="shared" si="4"/>
        <v>5.028482284913923</v>
      </c>
      <c r="AZ60">
        <f t="shared" si="5"/>
        <v>4.1538836197464928</v>
      </c>
      <c r="BA60">
        <f t="shared" si="6"/>
        <v>-1.8868896313241301</v>
      </c>
      <c r="BB60">
        <f t="shared" si="7"/>
        <v>0.24241205610896333</v>
      </c>
      <c r="BC60">
        <f t="shared" si="8"/>
        <v>-5.028482284913923</v>
      </c>
      <c r="BD60">
        <f t="shared" si="9"/>
        <v>5.028482284913923</v>
      </c>
      <c r="BE60">
        <f t="shared" si="10"/>
        <v>3.9538394779757295</v>
      </c>
    </row>
    <row r="61" spans="1:68" x14ac:dyDescent="0.25">
      <c r="A61">
        <f t="shared" ref="A61:A71" si="60">A14</f>
        <v>0</v>
      </c>
      <c r="B61" s="1" t="str">
        <f t="shared" ref="B61:D61" si="61">B14</f>
        <v>Bar #</v>
      </c>
      <c r="C61" s="1" t="str">
        <f t="shared" si="61"/>
        <v>As (in^2)</v>
      </c>
      <c r="D61" s="1" t="str">
        <f t="shared" si="61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>
        <v>-2.1118483949131504</v>
      </c>
      <c r="AT61">
        <v>-71.725081428911281</v>
      </c>
      <c r="AU61">
        <v>-222.63501498862297</v>
      </c>
      <c r="AV61">
        <f t="shared" si="1"/>
        <v>-1.8824614107568136</v>
      </c>
      <c r="AW61">
        <f t="shared" si="2"/>
        <v>0.22938698415633674</v>
      </c>
      <c r="AX61" s="40">
        <f t="shared" si="3"/>
        <v>-5.0240540643466067</v>
      </c>
      <c r="AY61">
        <f t="shared" si="4"/>
        <v>5.0240540643466067</v>
      </c>
      <c r="AZ61">
        <f t="shared" si="5"/>
        <v>4.1713369122664359</v>
      </c>
      <c r="BA61">
        <f t="shared" si="6"/>
        <v>-1.8824614107568136</v>
      </c>
      <c r="BB61">
        <f t="shared" si="7"/>
        <v>0.22938698415633674</v>
      </c>
      <c r="BC61">
        <f t="shared" si="8"/>
        <v>-5.0240540643466067</v>
      </c>
      <c r="BD61">
        <f t="shared" si="9"/>
        <v>5.0240540643466067</v>
      </c>
      <c r="BE61">
        <f t="shared" si="10"/>
        <v>3.9494112574084133</v>
      </c>
    </row>
    <row r="62" spans="1:68" x14ac:dyDescent="0.25">
      <c r="A62">
        <f t="shared" si="60"/>
        <v>1</v>
      </c>
      <c r="B62" s="1">
        <f t="shared" ref="B62:D67" si="62">B15</f>
        <v>8</v>
      </c>
      <c r="C62" s="1">
        <f t="shared" ca="1" si="62"/>
        <v>0.79</v>
      </c>
      <c r="D62" s="1">
        <f t="shared" si="62"/>
        <v>3</v>
      </c>
      <c r="E62" s="1">
        <f t="shared" ref="E62" si="63">E15</f>
        <v>22</v>
      </c>
      <c r="F62" s="1">
        <f>D62-$I$2</f>
        <v>-3</v>
      </c>
      <c r="G62" s="1">
        <f>E62-$I$3</f>
        <v>10</v>
      </c>
      <c r="H62" s="6">
        <f>F62*COS($B$27)+G62*SIN($B$27)</f>
        <v>-1.4376769969124354</v>
      </c>
      <c r="I62" s="6">
        <f>-1*F62*SIN($B$27)+G62*COS($B$27)</f>
        <v>-10.340845461206198</v>
      </c>
      <c r="J62" s="6">
        <f>$G$38-I62</f>
        <v>23.749477769209442</v>
      </c>
      <c r="K62">
        <f ca="1">IF($B$28=0,-1,IF(C62=0,0,(($B$28-J62)/$B$28)*$B$30)*IF($B$28&lt;0,-1,1))</f>
        <v>-9.5511244787958739E-3</v>
      </c>
      <c r="L62">
        <f ca="1">IF(AND(K62&gt;0,J62&lt;=$B$29),MIN((K62*B$13),B$12)-$B$31,MAX(K62*B$13,-1*B$12))</f>
        <v>-60</v>
      </c>
      <c r="M62" s="6">
        <f ca="1">L62*C62</f>
        <v>-47.400000000000006</v>
      </c>
      <c r="N62" s="6">
        <f ca="1">M62*I62</f>
        <v>490.15607486117386</v>
      </c>
      <c r="O62" s="6">
        <f ca="1">M62*H62*-1</f>
        <v>-68.145889653649448</v>
      </c>
      <c r="Q62">
        <f>IF($B62=0,NA(),H62)</f>
        <v>-1.4376769969124354</v>
      </c>
      <c r="R62">
        <f>IF($B62=0,NA(),I62)</f>
        <v>-10.340845461206198</v>
      </c>
      <c r="AS62">
        <v>-2.0943951023932073</v>
      </c>
      <c r="AT62">
        <v>-70.776793380456411</v>
      </c>
      <c r="AU62">
        <v>-223.12123364333641</v>
      </c>
      <c r="AV62">
        <f t="shared" si="1"/>
        <v>-1.8779684476219132</v>
      </c>
      <c r="AW62">
        <f t="shared" si="2"/>
        <v>0.21642665477129408</v>
      </c>
      <c r="AX62" s="40">
        <f t="shared" si="3"/>
        <v>-5.0195611012117061</v>
      </c>
      <c r="AY62">
        <f t="shared" si="4"/>
        <v>5.0195611012117061</v>
      </c>
      <c r="AZ62">
        <f t="shared" si="5"/>
        <v>4.188790204786379</v>
      </c>
      <c r="BA62">
        <f t="shared" si="6"/>
        <v>-1.8779684476219132</v>
      </c>
      <c r="BB62">
        <f t="shared" si="7"/>
        <v>0.21642665477129408</v>
      </c>
      <c r="BC62">
        <f t="shared" si="8"/>
        <v>-5.0195611012117061</v>
      </c>
      <c r="BD62">
        <f t="shared" si="9"/>
        <v>5.0195611012117061</v>
      </c>
      <c r="BE62">
        <f t="shared" si="10"/>
        <v>3.9449182942735126</v>
      </c>
    </row>
    <row r="63" spans="1:68" x14ac:dyDescent="0.25">
      <c r="A63">
        <f t="shared" si="60"/>
        <v>2</v>
      </c>
      <c r="B63" s="1">
        <f t="shared" si="62"/>
        <v>8</v>
      </c>
      <c r="C63" s="1">
        <f t="shared" ca="1" si="62"/>
        <v>0.79</v>
      </c>
      <c r="D63" s="1">
        <f t="shared" si="62"/>
        <v>13</v>
      </c>
      <c r="E63" s="1">
        <f t="shared" ref="E63" si="64">E16</f>
        <v>22</v>
      </c>
      <c r="F63" s="1">
        <f t="shared" ref="F63:F71" si="65">D63-$I$2</f>
        <v>7</v>
      </c>
      <c r="G63" s="1">
        <f t="shared" ref="G63:G71" si="66">E63-$I$3</f>
        <v>10</v>
      </c>
      <c r="H63" s="6">
        <f t="shared" ref="H63:H71" si="67">F63*COS($B$27)+G63*SIN($B$27)</f>
        <v>-10.529000264923873</v>
      </c>
      <c r="I63" s="6">
        <f t="shared" ref="I63:I71" si="68">-1*F63*SIN($B$27)+G63*COS($B$27)</f>
        <v>-6.1757714838903315</v>
      </c>
      <c r="J63" s="6">
        <f t="shared" ref="J63:J71" si="69">$G$38-I63</f>
        <v>19.584403791893578</v>
      </c>
      <c r="K63">
        <f t="shared" ref="K63:K71" ca="1" si="70">IF($B$28=0,-1,IF(C63=0,0,(($B$28-J63)/$B$28)*$B$30)*IF($B$28&lt;0,-1,1))</f>
        <v>-7.3499661013068452E-3</v>
      </c>
      <c r="L63">
        <f t="shared" ref="L63:L71" ca="1" si="71">IF(AND(K63&gt;0,J63&lt;=$B$29),MIN((K63*B$13),B$12)-$B$31,MAX(K63*B$13,-1*B$12))</f>
        <v>-60</v>
      </c>
      <c r="M63" s="6">
        <f t="shared" ref="M63:M71" ca="1" si="72">L63*C63</f>
        <v>-47.400000000000006</v>
      </c>
      <c r="N63" s="6">
        <f t="shared" ref="N63:N71" ca="1" si="73">M63*I63</f>
        <v>292.73156833640172</v>
      </c>
      <c r="O63" s="6">
        <f t="shared" ref="O63:O71" ca="1" si="74">M63*H63*-1</f>
        <v>-499.07461255739162</v>
      </c>
      <c r="Q63">
        <f t="shared" ref="Q63:Q71" si="75">IF($B63=0,NA(),H63)</f>
        <v>-10.529000264923873</v>
      </c>
      <c r="R63">
        <f t="shared" ref="R63:R71" si="76">IF($B63=0,NA(),I63)</f>
        <v>-6.1757714838903315</v>
      </c>
      <c r="AS63">
        <v>-2.0769418098732642</v>
      </c>
      <c r="AT63">
        <v>-69.806682377471802</v>
      </c>
      <c r="AU63">
        <v>-223.60340809109209</v>
      </c>
      <c r="AV63">
        <f t="shared" si="1"/>
        <v>-1.8733984830208716</v>
      </c>
      <c r="AW63">
        <f t="shared" si="2"/>
        <v>0.20354332685239251</v>
      </c>
      <c r="AX63" s="40">
        <f t="shared" si="3"/>
        <v>-5.0149911366106643</v>
      </c>
      <c r="AY63">
        <f t="shared" si="4"/>
        <v>5.0149911366106643</v>
      </c>
      <c r="AZ63">
        <f t="shared" si="5"/>
        <v>4.2062434973063221</v>
      </c>
      <c r="BA63">
        <f t="shared" si="6"/>
        <v>-1.8733984830208716</v>
      </c>
      <c r="BB63">
        <f t="shared" si="7"/>
        <v>0.20354332685239251</v>
      </c>
      <c r="BC63">
        <f t="shared" si="8"/>
        <v>-5.0149911366106643</v>
      </c>
      <c r="BD63">
        <f t="shared" si="9"/>
        <v>5.0149911366106643</v>
      </c>
      <c r="BE63">
        <f t="shared" si="10"/>
        <v>3.9403483296724708</v>
      </c>
    </row>
    <row r="64" spans="1:68" x14ac:dyDescent="0.25">
      <c r="A64">
        <f t="shared" si="60"/>
        <v>3</v>
      </c>
      <c r="B64" s="1">
        <f t="shared" si="62"/>
        <v>8</v>
      </c>
      <c r="C64" s="1">
        <f t="shared" ca="1" si="62"/>
        <v>0.79</v>
      </c>
      <c r="D64" s="1">
        <f t="shared" si="62"/>
        <v>23</v>
      </c>
      <c r="E64" s="1">
        <f t="shared" ref="E64" si="77">E17</f>
        <v>22</v>
      </c>
      <c r="F64" s="1">
        <f t="shared" si="65"/>
        <v>17</v>
      </c>
      <c r="G64" s="1">
        <f t="shared" si="66"/>
        <v>10</v>
      </c>
      <c r="H64" s="6">
        <f t="shared" si="67"/>
        <v>-19.620323532935313</v>
      </c>
      <c r="I64" s="6">
        <f t="shared" si="68"/>
        <v>-2.0106975065744646</v>
      </c>
      <c r="J64" s="6">
        <f t="shared" si="69"/>
        <v>15.41932981457771</v>
      </c>
      <c r="K64">
        <f t="shared" ca="1" si="70"/>
        <v>-5.148807723817813E-3</v>
      </c>
      <c r="L64">
        <f t="shared" ca="1" si="71"/>
        <v>-60</v>
      </c>
      <c r="M64" s="6">
        <f t="shared" ca="1" si="72"/>
        <v>-47.400000000000006</v>
      </c>
      <c r="N64" s="6">
        <f t="shared" ca="1" si="73"/>
        <v>95.307061811629637</v>
      </c>
      <c r="O64" s="6">
        <f t="shared" ca="1" si="74"/>
        <v>-930.00333546113393</v>
      </c>
      <c r="Q64">
        <f t="shared" si="75"/>
        <v>-19.620323532935313</v>
      </c>
      <c r="R64">
        <f t="shared" si="76"/>
        <v>-2.0106975065744646</v>
      </c>
      <c r="AS64">
        <v>-2.0594885173533211</v>
      </c>
      <c r="AT64">
        <v>-68.811764840388719</v>
      </c>
      <c r="AU64">
        <v>-224.08237518571801</v>
      </c>
      <c r="AV64">
        <f t="shared" si="1"/>
        <v>-1.8687380499504282</v>
      </c>
      <c r="AW64">
        <f t="shared" si="2"/>
        <v>0.19075046740289281</v>
      </c>
      <c r="AX64" s="40">
        <f t="shared" si="3"/>
        <v>-5.0103307035402214</v>
      </c>
      <c r="AY64">
        <f t="shared" si="4"/>
        <v>5.0103307035402214</v>
      </c>
      <c r="AZ64">
        <f t="shared" si="5"/>
        <v>4.2236967898262652</v>
      </c>
      <c r="BA64">
        <f t="shared" si="6"/>
        <v>-1.8687380499504282</v>
      </c>
      <c r="BB64">
        <f t="shared" si="7"/>
        <v>0.19075046740289281</v>
      </c>
      <c r="BC64">
        <f t="shared" si="8"/>
        <v>-5.0103307035402214</v>
      </c>
      <c r="BD64">
        <f t="shared" si="9"/>
        <v>5.0103307035402214</v>
      </c>
      <c r="BE64">
        <f t="shared" si="10"/>
        <v>3.9356878966020279</v>
      </c>
    </row>
    <row r="65" spans="1:57" x14ac:dyDescent="0.25">
      <c r="A65">
        <f t="shared" si="60"/>
        <v>4</v>
      </c>
      <c r="B65" s="1">
        <f t="shared" si="62"/>
        <v>8</v>
      </c>
      <c r="C65" s="1">
        <f t="shared" ca="1" si="62"/>
        <v>0.79</v>
      </c>
      <c r="D65" s="1">
        <f t="shared" si="62"/>
        <v>33</v>
      </c>
      <c r="E65" s="1">
        <f t="shared" ref="E65" si="78">E18</f>
        <v>22</v>
      </c>
      <c r="F65" s="1">
        <f t="shared" si="65"/>
        <v>27</v>
      </c>
      <c r="G65" s="1">
        <f t="shared" si="66"/>
        <v>10</v>
      </c>
      <c r="H65" s="6">
        <f t="shared" si="67"/>
        <v>-28.711646800946752</v>
      </c>
      <c r="I65" s="6">
        <f t="shared" si="68"/>
        <v>2.1543764707414024</v>
      </c>
      <c r="J65" s="6">
        <f t="shared" si="69"/>
        <v>11.254255837261843</v>
      </c>
      <c r="K65">
        <f t="shared" ca="1" si="70"/>
        <v>-2.9476493463287817E-3</v>
      </c>
      <c r="L65">
        <f t="shared" ca="1" si="71"/>
        <v>-60</v>
      </c>
      <c r="M65" s="6">
        <f t="shared" ca="1" si="72"/>
        <v>-47.400000000000006</v>
      </c>
      <c r="N65" s="6">
        <f t="shared" ca="1" si="73"/>
        <v>-102.11744471314249</v>
      </c>
      <c r="O65" s="6">
        <f t="shared" ca="1" si="74"/>
        <v>-1360.9320583648762</v>
      </c>
      <c r="Q65">
        <f t="shared" si="75"/>
        <v>-28.711646800946752</v>
      </c>
      <c r="R65">
        <f t="shared" si="76"/>
        <v>2.1543764707414024</v>
      </c>
      <c r="AS65">
        <v>-2.042035224833378</v>
      </c>
      <c r="AT65">
        <v>-67.788698405385077</v>
      </c>
      <c r="AU65">
        <v>-224.55899295028135</v>
      </c>
      <c r="AV65">
        <f t="shared" si="1"/>
        <v>-1.8639722215804977</v>
      </c>
      <c r="AW65">
        <f t="shared" si="2"/>
        <v>0.17806300325288027</v>
      </c>
      <c r="AX65" s="40">
        <f t="shared" si="3"/>
        <v>-5.0055648751702906</v>
      </c>
      <c r="AY65">
        <f t="shared" si="4"/>
        <v>5.0055648751702906</v>
      </c>
      <c r="AZ65">
        <f t="shared" si="5"/>
        <v>4.2411500823462083</v>
      </c>
      <c r="BA65">
        <f t="shared" si="6"/>
        <v>-1.8639722215804977</v>
      </c>
      <c r="BB65">
        <f t="shared" si="7"/>
        <v>0.17806300325288027</v>
      </c>
      <c r="BC65">
        <f t="shared" si="8"/>
        <v>-5.0055648751702906</v>
      </c>
      <c r="BD65">
        <f t="shared" si="9"/>
        <v>5.0055648751702906</v>
      </c>
      <c r="BE65">
        <f t="shared" si="10"/>
        <v>3.9309220682320971</v>
      </c>
    </row>
    <row r="66" spans="1:57" x14ac:dyDescent="0.25">
      <c r="A66">
        <f t="shared" si="60"/>
        <v>5</v>
      </c>
      <c r="B66" s="1">
        <f t="shared" si="62"/>
        <v>0</v>
      </c>
      <c r="C66" s="1">
        <f t="shared" ca="1" si="62"/>
        <v>0</v>
      </c>
      <c r="D66" s="1">
        <f t="shared" si="62"/>
        <v>2</v>
      </c>
      <c r="E66" s="1">
        <f t="shared" ref="E66" si="79">E19</f>
        <v>2</v>
      </c>
      <c r="F66" s="1">
        <f t="shared" si="65"/>
        <v>-4</v>
      </c>
      <c r="G66" s="1">
        <f t="shared" si="66"/>
        <v>-10</v>
      </c>
      <c r="H66" s="6">
        <f t="shared" si="67"/>
        <v>7.8016032845204428</v>
      </c>
      <c r="I66" s="6">
        <f t="shared" si="68"/>
        <v>7.425293677085091</v>
      </c>
      <c r="J66" s="6">
        <f t="shared" si="69"/>
        <v>5.983338630918154</v>
      </c>
      <c r="K66">
        <f t="shared" ca="1" si="70"/>
        <v>0</v>
      </c>
      <c r="L66">
        <f t="shared" ca="1" si="71"/>
        <v>0</v>
      </c>
      <c r="M66" s="6">
        <f t="shared" ca="1" si="72"/>
        <v>0</v>
      </c>
      <c r="N66" s="6">
        <f t="shared" ca="1" si="73"/>
        <v>0</v>
      </c>
      <c r="O66" s="6">
        <f t="shared" ca="1" si="74"/>
        <v>0</v>
      </c>
      <c r="Q66" t="e">
        <f t="shared" si="75"/>
        <v>#N/A</v>
      </c>
      <c r="R66" t="e">
        <f t="shared" si="76"/>
        <v>#N/A</v>
      </c>
      <c r="AS66">
        <v>-2.0245819323134349</v>
      </c>
      <c r="AT66">
        <v>-66.733711176674603</v>
      </c>
      <c r="AU66">
        <v>-225.03415070775625</v>
      </c>
      <c r="AV66">
        <f t="shared" si="1"/>
        <v>-1.8590843070533167</v>
      </c>
      <c r="AW66">
        <f t="shared" si="2"/>
        <v>0.16549762526011813</v>
      </c>
      <c r="AX66" s="40">
        <f t="shared" si="3"/>
        <v>-5.0006769606431103</v>
      </c>
      <c r="AY66">
        <f t="shared" si="4"/>
        <v>5.0006769606431103</v>
      </c>
      <c r="AZ66">
        <f t="shared" si="5"/>
        <v>4.2586033748661514</v>
      </c>
      <c r="BA66">
        <f t="shared" si="6"/>
        <v>-1.8590843070533167</v>
      </c>
      <c r="BB66">
        <f t="shared" si="7"/>
        <v>0.16549762526011813</v>
      </c>
      <c r="BC66">
        <f t="shared" si="8"/>
        <v>-5.0006769606431103</v>
      </c>
      <c r="BD66">
        <f t="shared" si="9"/>
        <v>5.0006769606431103</v>
      </c>
      <c r="BE66">
        <f t="shared" si="10"/>
        <v>3.9260341537049168</v>
      </c>
    </row>
    <row r="67" spans="1:57" x14ac:dyDescent="0.25">
      <c r="A67">
        <f t="shared" si="60"/>
        <v>6</v>
      </c>
      <c r="B67" s="1">
        <f t="shared" si="62"/>
        <v>0</v>
      </c>
      <c r="C67" s="1">
        <f t="shared" ca="1" si="62"/>
        <v>0</v>
      </c>
      <c r="D67" s="1">
        <f t="shared" si="62"/>
        <v>6</v>
      </c>
      <c r="E67" s="1">
        <f t="shared" ref="E67" si="80">E20</f>
        <v>2</v>
      </c>
      <c r="F67" s="1">
        <f t="shared" si="65"/>
        <v>0</v>
      </c>
      <c r="G67" s="1">
        <f t="shared" si="66"/>
        <v>-10</v>
      </c>
      <c r="H67" s="6">
        <f t="shared" si="67"/>
        <v>4.1650739773158669</v>
      </c>
      <c r="I67" s="6">
        <f t="shared" si="68"/>
        <v>9.091323268011438</v>
      </c>
      <c r="J67" s="6">
        <f t="shared" si="69"/>
        <v>4.317309039991807</v>
      </c>
      <c r="K67">
        <f t="shared" ca="1" si="70"/>
        <v>0</v>
      </c>
      <c r="L67">
        <f t="shared" ca="1" si="71"/>
        <v>0</v>
      </c>
      <c r="M67" s="6">
        <f t="shared" ca="1" si="72"/>
        <v>0</v>
      </c>
      <c r="N67" s="6">
        <f t="shared" ca="1" si="73"/>
        <v>0</v>
      </c>
      <c r="O67" s="6">
        <f t="shared" ca="1" si="74"/>
        <v>0</v>
      </c>
      <c r="Q67" t="e">
        <f t="shared" si="75"/>
        <v>#N/A</v>
      </c>
      <c r="R67" t="e">
        <f t="shared" si="76"/>
        <v>#N/A</v>
      </c>
      <c r="AS67">
        <v>-2.0071286397934918</v>
      </c>
      <c r="AT67">
        <v>-65.658381336514623</v>
      </c>
      <c r="AU67">
        <v>-225.5000752096696</v>
      </c>
      <c r="AV67">
        <f t="shared" ref="AV67:AV130" si="81">ATAN2(AT67,AU67)</f>
        <v>-1.8541307028153815</v>
      </c>
      <c r="AW67">
        <f t="shared" ref="AW67:AW130" si="82">ABS(AS67-AV67)</f>
        <v>0.15299793697811026</v>
      </c>
      <c r="AX67" s="40">
        <f t="shared" ref="AX67:AX130" si="83">AV67-$U$13</f>
        <v>-4.9957233564051746</v>
      </c>
      <c r="AY67">
        <f t="shared" ref="AY67:AY130" si="84">ABS(AX67)</f>
        <v>4.9957233564051746</v>
      </c>
      <c r="AZ67">
        <f t="shared" ref="AZ67:AZ130" si="85">AS67+(2*PI())</f>
        <v>4.2760566673860945</v>
      </c>
      <c r="BA67">
        <f t="shared" ref="BA67:BA130" si="86">AV67</f>
        <v>-1.8541307028153815</v>
      </c>
      <c r="BB67">
        <f t="shared" ref="BB67:BB130" si="87">AW67</f>
        <v>0.15299793697811026</v>
      </c>
      <c r="BC67">
        <f t="shared" ref="BC67:BC130" si="88">AX67</f>
        <v>-4.9957233564051746</v>
      </c>
      <c r="BD67">
        <f t="shared" ref="BD67:BD130" si="89">AY67</f>
        <v>4.9957233564051746</v>
      </c>
      <c r="BE67">
        <f t="shared" ref="BE67:BE130" si="90">BD67-(2*$BD$2)</f>
        <v>3.9210805494669811</v>
      </c>
    </row>
    <row r="68" spans="1:57" x14ac:dyDescent="0.25">
      <c r="A68">
        <f t="shared" si="60"/>
        <v>7</v>
      </c>
      <c r="B68" s="1">
        <f t="shared" ref="B68:D68" si="91">B21</f>
        <v>0</v>
      </c>
      <c r="C68" s="1">
        <f t="shared" ca="1" si="91"/>
        <v>0</v>
      </c>
      <c r="D68" s="1">
        <f t="shared" si="91"/>
        <v>10</v>
      </c>
      <c r="E68" s="1">
        <f>E21</f>
        <v>2</v>
      </c>
      <c r="F68" s="1">
        <f t="shared" si="65"/>
        <v>4</v>
      </c>
      <c r="G68" s="1">
        <f t="shared" si="66"/>
        <v>-10</v>
      </c>
      <c r="H68" s="6">
        <f t="shared" si="67"/>
        <v>0.52854467011129147</v>
      </c>
      <c r="I68" s="6">
        <f t="shared" si="68"/>
        <v>10.757352858937784</v>
      </c>
      <c r="J68" s="6">
        <f t="shared" si="69"/>
        <v>2.651279449065461</v>
      </c>
      <c r="K68">
        <f t="shared" ca="1" si="70"/>
        <v>0</v>
      </c>
      <c r="L68">
        <f t="shared" ca="1" si="71"/>
        <v>0</v>
      </c>
      <c r="M68" s="6">
        <f t="shared" ca="1" si="72"/>
        <v>0</v>
      </c>
      <c r="N68" s="6">
        <f t="shared" ca="1" si="73"/>
        <v>0</v>
      </c>
      <c r="O68" s="6">
        <f t="shared" ca="1" si="74"/>
        <v>0</v>
      </c>
      <c r="Q68" t="e">
        <f t="shared" si="75"/>
        <v>#N/A</v>
      </c>
      <c r="R68" t="e">
        <f t="shared" si="76"/>
        <v>#N/A</v>
      </c>
      <c r="AS68">
        <v>-1.9896753472735484</v>
      </c>
      <c r="AT68">
        <v>-64.595622046003456</v>
      </c>
      <c r="AU68">
        <v>-225.93840808158225</v>
      </c>
      <c r="AV68">
        <f t="shared" si="81"/>
        <v>-1.8492669847354488</v>
      </c>
      <c r="AW68">
        <f t="shared" si="82"/>
        <v>0.14040836253809963</v>
      </c>
      <c r="AX68" s="40">
        <f t="shared" si="83"/>
        <v>-4.9908596383252419</v>
      </c>
      <c r="AY68">
        <f t="shared" si="84"/>
        <v>4.9908596383252419</v>
      </c>
      <c r="AZ68">
        <f t="shared" si="85"/>
        <v>4.2935099599060376</v>
      </c>
      <c r="BA68">
        <f t="shared" si="86"/>
        <v>-1.8492669847354488</v>
      </c>
      <c r="BB68">
        <f t="shared" si="87"/>
        <v>0.14040836253809963</v>
      </c>
      <c r="BC68">
        <f t="shared" si="88"/>
        <v>-4.9908596383252419</v>
      </c>
      <c r="BD68">
        <f t="shared" si="89"/>
        <v>4.9908596383252419</v>
      </c>
      <c r="BE68">
        <f t="shared" si="90"/>
        <v>3.9162168313870485</v>
      </c>
    </row>
    <row r="69" spans="1:57" x14ac:dyDescent="0.25">
      <c r="A69">
        <f t="shared" si="60"/>
        <v>8</v>
      </c>
      <c r="B69" s="1">
        <f t="shared" ref="B69:D71" si="92">B22</f>
        <v>0</v>
      </c>
      <c r="C69" s="1">
        <f t="shared" ca="1" si="92"/>
        <v>0</v>
      </c>
      <c r="D69" s="1">
        <f t="shared" si="92"/>
        <v>2</v>
      </c>
      <c r="E69" s="1">
        <f t="shared" ref="E69" si="93">E22</f>
        <v>4</v>
      </c>
      <c r="F69" s="1">
        <f t="shared" si="65"/>
        <v>-4</v>
      </c>
      <c r="G69" s="1">
        <f t="shared" si="66"/>
        <v>-8</v>
      </c>
      <c r="H69" s="6">
        <f t="shared" si="67"/>
        <v>6.9685884890572689</v>
      </c>
      <c r="I69" s="6">
        <f t="shared" si="68"/>
        <v>5.607029023482804</v>
      </c>
      <c r="J69" s="6">
        <f t="shared" si="69"/>
        <v>7.8016032845204411</v>
      </c>
      <c r="K69">
        <f t="shared" ca="1" si="70"/>
        <v>0</v>
      </c>
      <c r="L69">
        <f t="shared" ca="1" si="71"/>
        <v>0</v>
      </c>
      <c r="M69" s="6">
        <f t="shared" ca="1" si="72"/>
        <v>0</v>
      </c>
      <c r="N69" s="6">
        <f t="shared" ca="1" si="73"/>
        <v>0</v>
      </c>
      <c r="O69" s="6">
        <f t="shared" ca="1" si="74"/>
        <v>0</v>
      </c>
      <c r="Q69" t="e">
        <f t="shared" si="75"/>
        <v>#N/A</v>
      </c>
      <c r="R69" t="e">
        <f t="shared" si="76"/>
        <v>#N/A</v>
      </c>
      <c r="AS69">
        <v>-1.9722220547536051</v>
      </c>
      <c r="AT69">
        <v>-63.545657517109341</v>
      </c>
      <c r="AU69">
        <v>-226.34980282506973</v>
      </c>
      <c r="AV69">
        <f t="shared" si="81"/>
        <v>-1.8444919755792748</v>
      </c>
      <c r="AW69">
        <f t="shared" si="82"/>
        <v>0.12773007917433032</v>
      </c>
      <c r="AX69" s="40">
        <f t="shared" si="83"/>
        <v>-4.9860846291690679</v>
      </c>
      <c r="AY69">
        <f t="shared" si="84"/>
        <v>4.9860846291690679</v>
      </c>
      <c r="AZ69">
        <f t="shared" si="85"/>
        <v>4.3109632524259816</v>
      </c>
      <c r="BA69">
        <f t="shared" si="86"/>
        <v>-1.8444919755792748</v>
      </c>
      <c r="BB69">
        <f t="shared" si="87"/>
        <v>0.12773007917433032</v>
      </c>
      <c r="BC69">
        <f t="shared" si="88"/>
        <v>-4.9860846291690679</v>
      </c>
      <c r="BD69">
        <f t="shared" si="89"/>
        <v>4.9860846291690679</v>
      </c>
      <c r="BE69">
        <f t="shared" si="90"/>
        <v>3.9114418222308744</v>
      </c>
    </row>
    <row r="70" spans="1:57" x14ac:dyDescent="0.25">
      <c r="A70">
        <f t="shared" si="60"/>
        <v>9</v>
      </c>
      <c r="B70" s="1">
        <f t="shared" si="92"/>
        <v>0</v>
      </c>
      <c r="C70" s="1">
        <f t="shared" ca="1" si="92"/>
        <v>0</v>
      </c>
      <c r="D70" s="1">
        <f t="shared" si="92"/>
        <v>6</v>
      </c>
      <c r="E70" s="1">
        <f t="shared" ref="E70" si="94">E23</f>
        <v>4</v>
      </c>
      <c r="F70" s="1">
        <f t="shared" si="65"/>
        <v>0</v>
      </c>
      <c r="G70" s="1">
        <f t="shared" si="66"/>
        <v>-8</v>
      </c>
      <c r="H70" s="6">
        <f t="shared" si="67"/>
        <v>3.3320591818526935</v>
      </c>
      <c r="I70" s="6">
        <f t="shared" si="68"/>
        <v>7.2730586144091509</v>
      </c>
      <c r="J70" s="6">
        <f t="shared" si="69"/>
        <v>6.1355736935940941</v>
      </c>
      <c r="K70">
        <f t="shared" ca="1" si="70"/>
        <v>0</v>
      </c>
      <c r="L70">
        <f t="shared" ca="1" si="71"/>
        <v>0</v>
      </c>
      <c r="M70" s="6">
        <f t="shared" ca="1" si="72"/>
        <v>0</v>
      </c>
      <c r="N70" s="6">
        <f t="shared" ca="1" si="73"/>
        <v>0</v>
      </c>
      <c r="O70" s="6">
        <f t="shared" ca="1" si="74"/>
        <v>0</v>
      </c>
      <c r="Q70" t="e">
        <f t="shared" si="75"/>
        <v>#N/A</v>
      </c>
      <c r="R70" t="e">
        <f t="shared" si="76"/>
        <v>#N/A</v>
      </c>
      <c r="AS70">
        <v>-1.9547687622336618</v>
      </c>
      <c r="AT70">
        <v>-62.507433848961178</v>
      </c>
      <c r="AU70">
        <v>-226.7355414067631</v>
      </c>
      <c r="AV70">
        <f t="shared" si="81"/>
        <v>-1.8397986343971291</v>
      </c>
      <c r="AW70">
        <f t="shared" si="82"/>
        <v>0.11497012783653271</v>
      </c>
      <c r="AX70" s="40">
        <f t="shared" si="83"/>
        <v>-4.9813912879869218</v>
      </c>
      <c r="AY70">
        <f t="shared" si="84"/>
        <v>4.9813912879869218</v>
      </c>
      <c r="AZ70">
        <f t="shared" si="85"/>
        <v>4.3284165449459246</v>
      </c>
      <c r="BA70">
        <f t="shared" si="86"/>
        <v>-1.8397986343971291</v>
      </c>
      <c r="BB70">
        <f t="shared" si="87"/>
        <v>0.11497012783653271</v>
      </c>
      <c r="BC70">
        <f t="shared" si="88"/>
        <v>-4.9813912879869218</v>
      </c>
      <c r="BD70">
        <f t="shared" si="89"/>
        <v>4.9813912879869218</v>
      </c>
      <c r="BE70">
        <f t="shared" si="90"/>
        <v>3.9067484810487283</v>
      </c>
    </row>
    <row r="71" spans="1:57" ht="15.75" thickBot="1" x14ac:dyDescent="0.3">
      <c r="A71">
        <f t="shared" si="60"/>
        <v>10</v>
      </c>
      <c r="B71" s="1">
        <f t="shared" si="92"/>
        <v>0</v>
      </c>
      <c r="C71" s="1">
        <f t="shared" ca="1" si="92"/>
        <v>0</v>
      </c>
      <c r="D71" s="1">
        <f t="shared" si="92"/>
        <v>10</v>
      </c>
      <c r="E71" s="1">
        <f t="shared" ref="E71" si="95">E24</f>
        <v>4</v>
      </c>
      <c r="F71" s="1">
        <f t="shared" si="65"/>
        <v>4</v>
      </c>
      <c r="G71" s="1">
        <f t="shared" si="66"/>
        <v>-8</v>
      </c>
      <c r="H71" s="6">
        <f t="shared" si="67"/>
        <v>-0.304470125351882</v>
      </c>
      <c r="I71" s="6">
        <f t="shared" si="68"/>
        <v>8.9390882053354979</v>
      </c>
      <c r="J71" s="6">
        <f t="shared" si="69"/>
        <v>4.4695441026677472</v>
      </c>
      <c r="K71" s="12">
        <f t="shared" ca="1" si="70"/>
        <v>0</v>
      </c>
      <c r="L71">
        <f t="shared" ca="1" si="71"/>
        <v>0</v>
      </c>
      <c r="M71" s="11">
        <f t="shared" ca="1" si="72"/>
        <v>0</v>
      </c>
      <c r="N71" s="11">
        <f t="shared" ca="1" si="73"/>
        <v>0</v>
      </c>
      <c r="O71" s="11">
        <f t="shared" ca="1" si="74"/>
        <v>0</v>
      </c>
      <c r="Q71" t="e">
        <f t="shared" si="75"/>
        <v>#N/A</v>
      </c>
      <c r="R71" t="e">
        <f t="shared" si="76"/>
        <v>#N/A</v>
      </c>
      <c r="AS71">
        <v>-1.9373154697137185</v>
      </c>
      <c r="AT71">
        <v>-61.479929863947952</v>
      </c>
      <c r="AU71">
        <v>-227.09679985768278</v>
      </c>
      <c r="AV71">
        <f t="shared" si="81"/>
        <v>-1.8351802839907463</v>
      </c>
      <c r="AW71">
        <f t="shared" si="82"/>
        <v>0.1021351857229722</v>
      </c>
      <c r="AX71" s="40">
        <f t="shared" si="83"/>
        <v>-4.9767729375805398</v>
      </c>
      <c r="AY71">
        <f t="shared" si="84"/>
        <v>4.9767729375805398</v>
      </c>
      <c r="AZ71">
        <f t="shared" si="85"/>
        <v>4.3458698374658677</v>
      </c>
      <c r="BA71">
        <f t="shared" si="86"/>
        <v>-1.8351802839907463</v>
      </c>
      <c r="BB71">
        <f t="shared" si="87"/>
        <v>0.1021351857229722</v>
      </c>
      <c r="BC71">
        <f t="shared" si="88"/>
        <v>-4.9767729375805398</v>
      </c>
      <c r="BD71">
        <f t="shared" si="89"/>
        <v>4.9767729375805398</v>
      </c>
      <c r="BE71">
        <f t="shared" si="90"/>
        <v>3.9021301306423464</v>
      </c>
    </row>
    <row r="72" spans="1:57" ht="15.75" thickTop="1" x14ac:dyDescent="0.25">
      <c r="K72" s="13">
        <f ca="1">MIN(K62:K71)</f>
        <v>-9.5511244787958739E-3</v>
      </c>
      <c r="M72" s="9">
        <f ca="1">SUM(M62:M71)</f>
        <v>-189.60000000000002</v>
      </c>
      <c r="N72" s="9">
        <f t="shared" ref="N72:O72" ca="1" si="96">SUM(N62:N71)</f>
        <v>776.07726029606272</v>
      </c>
      <c r="O72" s="9">
        <f t="shared" ca="1" si="96"/>
        <v>-2858.1558960370512</v>
      </c>
      <c r="AS72">
        <v>-1.9198621771937752</v>
      </c>
      <c r="AT72">
        <v>-60.462152493753479</v>
      </c>
      <c r="AU72">
        <v>-227.43465621224038</v>
      </c>
      <c r="AV72">
        <f t="shared" si="81"/>
        <v>-1.8306305680185013</v>
      </c>
      <c r="AW72">
        <f t="shared" si="82"/>
        <v>8.9231609175273841E-2</v>
      </c>
      <c r="AX72" s="40">
        <f t="shared" si="83"/>
        <v>-4.972223221608294</v>
      </c>
      <c r="AY72">
        <f t="shared" si="84"/>
        <v>4.972223221608294</v>
      </c>
      <c r="AZ72">
        <f t="shared" si="85"/>
        <v>4.3633231299858108</v>
      </c>
      <c r="BA72">
        <f t="shared" si="86"/>
        <v>-1.8306305680185013</v>
      </c>
      <c r="BB72">
        <f t="shared" si="87"/>
        <v>8.9231609175273841E-2</v>
      </c>
      <c r="BC72">
        <f t="shared" si="88"/>
        <v>-4.972223221608294</v>
      </c>
      <c r="BD72">
        <f t="shared" si="89"/>
        <v>4.972223221608294</v>
      </c>
      <c r="BE72">
        <f t="shared" si="90"/>
        <v>3.8975804146701005</v>
      </c>
    </row>
    <row r="73" spans="1:57" x14ac:dyDescent="0.25">
      <c r="AS73">
        <v>-1.9024088846738318</v>
      </c>
      <c r="AT73">
        <v>-59.453132229538511</v>
      </c>
      <c r="AU73">
        <v>-227.75009780563349</v>
      </c>
      <c r="AV73">
        <f t="shared" si="81"/>
        <v>-1.8261434107501731</v>
      </c>
      <c r="AW73">
        <f t="shared" si="82"/>
        <v>7.6265473923658789E-2</v>
      </c>
      <c r="AX73" s="40">
        <f t="shared" si="83"/>
        <v>-4.9677360643399666</v>
      </c>
      <c r="AY73">
        <f t="shared" si="84"/>
        <v>4.9677360643399666</v>
      </c>
      <c r="AZ73">
        <f t="shared" si="85"/>
        <v>4.3807764225057539</v>
      </c>
      <c r="BA73">
        <f t="shared" si="86"/>
        <v>-1.8261434107501731</v>
      </c>
      <c r="BB73">
        <f t="shared" si="87"/>
        <v>7.6265473923658789E-2</v>
      </c>
      <c r="BC73">
        <f t="shared" si="88"/>
        <v>-4.9677360643399666</v>
      </c>
      <c r="BD73">
        <f t="shared" si="89"/>
        <v>4.9677360643399666</v>
      </c>
      <c r="BE73">
        <f t="shared" si="90"/>
        <v>3.8930932574017731</v>
      </c>
    </row>
    <row r="74" spans="1:57" x14ac:dyDescent="0.25">
      <c r="AS74">
        <v>-1.8849555921538885</v>
      </c>
      <c r="AT74">
        <v>-58.45191867376198</v>
      </c>
      <c r="AU74">
        <v>-228.04402765960526</v>
      </c>
      <c r="AV74">
        <f t="shared" si="81"/>
        <v>-1.8217129796765346</v>
      </c>
      <c r="AW74">
        <f t="shared" si="82"/>
        <v>6.3242612477353966E-2</v>
      </c>
      <c r="AX74" s="40">
        <f t="shared" si="83"/>
        <v>-4.9633056332663275</v>
      </c>
      <c r="AY74">
        <f t="shared" si="84"/>
        <v>4.9633056332663275</v>
      </c>
      <c r="AZ74">
        <f t="shared" si="85"/>
        <v>4.3982297150256979</v>
      </c>
      <c r="BA74">
        <f t="shared" si="86"/>
        <v>-1.8217129796765346</v>
      </c>
      <c r="BB74">
        <f t="shared" si="87"/>
        <v>6.3242612477353966E-2</v>
      </c>
      <c r="BC74">
        <f t="shared" si="88"/>
        <v>-4.9633056332663275</v>
      </c>
      <c r="BD74">
        <f t="shared" si="89"/>
        <v>4.9633056332663275</v>
      </c>
      <c r="BE74">
        <f t="shared" si="90"/>
        <v>3.888662826328134</v>
      </c>
    </row>
    <row r="75" spans="1:57" x14ac:dyDescent="0.25">
      <c r="A75" s="8" t="s">
        <v>63</v>
      </c>
      <c r="B75" s="9">
        <f ca="1">N57+M72</f>
        <v>-1.018733541968686E-8</v>
      </c>
      <c r="C75" t="s">
        <v>68</v>
      </c>
      <c r="AS75">
        <v>-1.8675022996339452</v>
      </c>
      <c r="AT75">
        <v>-57.457576101283621</v>
      </c>
      <c r="AU75">
        <v>-228.31727018142172</v>
      </c>
      <c r="AV75">
        <f t="shared" si="81"/>
        <v>-1.817333650114932</v>
      </c>
      <c r="AW75">
        <f t="shared" si="82"/>
        <v>5.0168649519013231E-2</v>
      </c>
      <c r="AX75" s="40">
        <f t="shared" si="83"/>
        <v>-4.9589263037047253</v>
      </c>
      <c r="AY75">
        <f t="shared" si="84"/>
        <v>4.9589263037047253</v>
      </c>
      <c r="AZ75">
        <f t="shared" si="85"/>
        <v>4.415683007545641</v>
      </c>
      <c r="BA75">
        <f t="shared" si="86"/>
        <v>-1.817333650114932</v>
      </c>
      <c r="BB75">
        <f t="shared" si="87"/>
        <v>5.0168649519013231E-2</v>
      </c>
      <c r="BC75">
        <f t="shared" si="88"/>
        <v>-4.9589263037047253</v>
      </c>
      <c r="BD75">
        <f t="shared" si="89"/>
        <v>4.9589263037047253</v>
      </c>
      <c r="BE75">
        <f t="shared" si="90"/>
        <v>3.8842834967665318</v>
      </c>
    </row>
    <row r="76" spans="1:57" x14ac:dyDescent="0.25">
      <c r="A76" s="8" t="s">
        <v>66</v>
      </c>
      <c r="B76" s="9">
        <f ca="1">O57+N72</f>
        <v>2721.841456486276</v>
      </c>
      <c r="C76" t="s">
        <v>69</v>
      </c>
      <c r="AS76">
        <v>-1.8500490071140019</v>
      </c>
      <c r="AT76">
        <v>-56.469178964591919</v>
      </c>
      <c r="AU76">
        <v>-228.57057626873291</v>
      </c>
      <c r="AV76">
        <f t="shared" si="81"/>
        <v>-1.8129999712483347</v>
      </c>
      <c r="AW76">
        <f t="shared" si="82"/>
        <v>3.7049035865667213E-2</v>
      </c>
      <c r="AX76" s="40">
        <f t="shared" si="83"/>
        <v>-4.9545926248381278</v>
      </c>
      <c r="AY76">
        <f t="shared" si="84"/>
        <v>4.9545926248381278</v>
      </c>
      <c r="AZ76">
        <f t="shared" si="85"/>
        <v>4.4331363000655841</v>
      </c>
      <c r="BA76">
        <f t="shared" si="86"/>
        <v>-1.8129999712483347</v>
      </c>
      <c r="BB76">
        <f t="shared" si="87"/>
        <v>3.7049035865667213E-2</v>
      </c>
      <c r="BC76">
        <f t="shared" si="88"/>
        <v>-4.9545926248381278</v>
      </c>
      <c r="BD76">
        <f t="shared" si="89"/>
        <v>4.9545926248381278</v>
      </c>
      <c r="BE76">
        <f t="shared" si="90"/>
        <v>3.8799498178999343</v>
      </c>
    </row>
    <row r="77" spans="1:57" x14ac:dyDescent="0.25">
      <c r="A77" s="8" t="s">
        <v>67</v>
      </c>
      <c r="B77" s="9">
        <f ca="1">P57+O72</f>
        <v>-1246.9770007677125</v>
      </c>
      <c r="C77" t="s">
        <v>69</v>
      </c>
      <c r="AS77">
        <v>-1.8325957145940586</v>
      </c>
      <c r="AT77">
        <v>-55.485807323073296</v>
      </c>
      <c r="AU77">
        <v>-228.80462770745385</v>
      </c>
      <c r="AV77">
        <f t="shared" si="81"/>
        <v>-1.8087066334536681</v>
      </c>
      <c r="AW77">
        <f t="shared" si="82"/>
        <v>2.3889081140390456E-2</v>
      </c>
      <c r="AX77" s="40">
        <f t="shared" si="83"/>
        <v>-4.9502992870434612</v>
      </c>
      <c r="AY77">
        <f t="shared" si="84"/>
        <v>4.9502992870434612</v>
      </c>
      <c r="AZ77">
        <f t="shared" si="85"/>
        <v>4.4505895925855281</v>
      </c>
      <c r="BA77">
        <f t="shared" si="86"/>
        <v>-1.8087066334536681</v>
      </c>
      <c r="BB77">
        <f t="shared" si="87"/>
        <v>2.3889081140390456E-2</v>
      </c>
      <c r="BC77">
        <f t="shared" si="88"/>
        <v>-4.9502992870434612</v>
      </c>
      <c r="BD77">
        <f t="shared" si="89"/>
        <v>4.9502992870434612</v>
      </c>
      <c r="BE77">
        <f t="shared" si="90"/>
        <v>3.8756564801052678</v>
      </c>
    </row>
    <row r="78" spans="1:57" x14ac:dyDescent="0.25">
      <c r="AS78">
        <v>-1.8151424220741152</v>
      </c>
      <c r="AT78">
        <v>-54.506542074709429</v>
      </c>
      <c r="AU78">
        <v>-229.02004111172758</v>
      </c>
      <c r="AV78">
        <f t="shared" si="81"/>
        <v>-1.8044484359958366</v>
      </c>
      <c r="AW78">
        <f t="shared" si="82"/>
        <v>1.069398607827865E-2</v>
      </c>
      <c r="AX78" s="40">
        <f t="shared" si="83"/>
        <v>-4.9460410895856297</v>
      </c>
      <c r="AY78">
        <f t="shared" si="84"/>
        <v>4.9460410895856297</v>
      </c>
      <c r="AZ78">
        <f t="shared" si="85"/>
        <v>4.4680428851054712</v>
      </c>
      <c r="BA78">
        <f t="shared" si="86"/>
        <v>-1.8044484359958366</v>
      </c>
      <c r="BB78">
        <f t="shared" si="87"/>
        <v>1.069398607827865E-2</v>
      </c>
      <c r="BC78">
        <f t="shared" si="88"/>
        <v>-4.9460410895856297</v>
      </c>
      <c r="BD78">
        <f t="shared" si="89"/>
        <v>4.9460410895856297</v>
      </c>
      <c r="BE78">
        <f t="shared" si="90"/>
        <v>3.8713982826474362</v>
      </c>
    </row>
    <row r="79" spans="1:57" x14ac:dyDescent="0.25">
      <c r="A79" s="8" t="s">
        <v>64</v>
      </c>
      <c r="B79">
        <f ca="1">((B76*COS(-1*B27))+(B77*SIN(-1*B27)))</f>
        <v>-2993.8892021400811</v>
      </c>
      <c r="C79" t="s">
        <v>69</v>
      </c>
      <c r="AS79">
        <v>-1.7976891295541719</v>
      </c>
      <c r="AT79">
        <v>-53.53045999095341</v>
      </c>
      <c r="AU79">
        <v>-229.21737113083793</v>
      </c>
      <c r="AV79">
        <f t="shared" si="81"/>
        <v>-1.8002202552175031</v>
      </c>
      <c r="AW79">
        <f t="shared" si="82"/>
        <v>2.5311256633311352E-3</v>
      </c>
      <c r="AX79" s="40">
        <f t="shared" si="83"/>
        <v>-4.9418129088072966</v>
      </c>
      <c r="AY79">
        <f t="shared" si="84"/>
        <v>4.9418129088072966</v>
      </c>
      <c r="AZ79">
        <f t="shared" si="85"/>
        <v>4.4854961776254143</v>
      </c>
      <c r="BA79">
        <f t="shared" si="86"/>
        <v>-1.8002202552175031</v>
      </c>
      <c r="BB79">
        <f t="shared" si="87"/>
        <v>2.5311256633311352E-3</v>
      </c>
      <c r="BC79">
        <f t="shared" si="88"/>
        <v>-4.9418129088072966</v>
      </c>
      <c r="BD79">
        <f t="shared" si="89"/>
        <v>4.9418129088072966</v>
      </c>
      <c r="BE79">
        <f t="shared" si="90"/>
        <v>3.8671701018691031</v>
      </c>
    </row>
    <row r="80" spans="1:57" x14ac:dyDescent="0.25">
      <c r="A80" s="8" t="s">
        <v>65</v>
      </c>
      <c r="B80">
        <f ca="1">(-1*(B76)*SIN(-1*B27))+((B77)*COS(-1*B27))</f>
        <v>9.6411895356141031E-8</v>
      </c>
      <c r="C80" t="s">
        <v>69</v>
      </c>
      <c r="AS80">
        <v>-1.7802358370342286</v>
      </c>
      <c r="AT80">
        <v>-52.556628316490929</v>
      </c>
      <c r="AU80">
        <v>-229.39711352348596</v>
      </c>
      <c r="AV80">
        <f t="shared" si="81"/>
        <v>-1.7960170115034308</v>
      </c>
      <c r="AW80">
        <f t="shared" si="82"/>
        <v>1.5781174469202242E-2</v>
      </c>
      <c r="AX80" s="40">
        <f t="shared" si="83"/>
        <v>-4.9376096650932242</v>
      </c>
      <c r="AY80">
        <f t="shared" si="84"/>
        <v>4.9376096650932242</v>
      </c>
      <c r="AZ80">
        <f t="shared" si="85"/>
        <v>4.5029494701453574</v>
      </c>
      <c r="BA80">
        <f t="shared" si="86"/>
        <v>-1.7960170115034308</v>
      </c>
      <c r="BB80">
        <f t="shared" si="87"/>
        <v>1.5781174469202242E-2</v>
      </c>
      <c r="BC80">
        <f t="shared" si="88"/>
        <v>-4.9376096650932242</v>
      </c>
      <c r="BD80">
        <f t="shared" si="89"/>
        <v>4.9376096650932242</v>
      </c>
      <c r="BE80">
        <f t="shared" si="90"/>
        <v>3.8629668581550307</v>
      </c>
    </row>
    <row r="81" spans="1:57" x14ac:dyDescent="0.25">
      <c r="AS81">
        <v>-1.7627825445142853</v>
      </c>
      <c r="AT81">
        <v>-51.584099014393857</v>
      </c>
      <c r="AU81">
        <v>-229.5597073839885</v>
      </c>
      <c r="AV81">
        <f t="shared" si="81"/>
        <v>-1.7918336359259044</v>
      </c>
      <c r="AW81">
        <f t="shared" si="82"/>
        <v>2.9051091411619101E-2</v>
      </c>
      <c r="AX81" s="40">
        <f t="shared" si="83"/>
        <v>-4.9334262895156975</v>
      </c>
      <c r="AY81">
        <f t="shared" si="84"/>
        <v>4.9334262895156975</v>
      </c>
      <c r="AZ81">
        <f t="shared" si="85"/>
        <v>4.5204027626653005</v>
      </c>
      <c r="BA81">
        <f t="shared" si="86"/>
        <v>-1.7918336359259044</v>
      </c>
      <c r="BB81">
        <f t="shared" si="87"/>
        <v>2.9051091411619101E-2</v>
      </c>
      <c r="BC81">
        <f t="shared" si="88"/>
        <v>-4.9334262895156975</v>
      </c>
      <c r="BD81">
        <f t="shared" si="89"/>
        <v>4.9334262895156975</v>
      </c>
      <c r="BE81">
        <f t="shared" si="90"/>
        <v>3.858783482577504</v>
      </c>
    </row>
    <row r="82" spans="1:57" x14ac:dyDescent="0.25">
      <c r="B82">
        <f>ATAN2(1,0)</f>
        <v>0</v>
      </c>
      <c r="AS82">
        <v>-1.745329251994342</v>
      </c>
      <c r="AT82">
        <v>-50.611902394534368</v>
      </c>
      <c r="AU82">
        <v>-229.7055370489193</v>
      </c>
      <c r="AV82">
        <f t="shared" si="81"/>
        <v>-1.7876650348254821</v>
      </c>
      <c r="AW82">
        <f t="shared" si="82"/>
        <v>4.2335782831140145E-2</v>
      </c>
      <c r="AX82" s="40">
        <f t="shared" si="83"/>
        <v>-4.9292576884152748</v>
      </c>
      <c r="AY82">
        <f t="shared" si="84"/>
        <v>4.9292576884152748</v>
      </c>
      <c r="AZ82">
        <f t="shared" si="85"/>
        <v>4.5378560551852445</v>
      </c>
      <c r="BA82">
        <f t="shared" si="86"/>
        <v>-1.7876650348254821</v>
      </c>
      <c r="BB82">
        <f t="shared" si="87"/>
        <v>4.2335782831140145E-2</v>
      </c>
      <c r="BC82">
        <f t="shared" si="88"/>
        <v>-4.9292576884152748</v>
      </c>
      <c r="BD82">
        <f t="shared" si="89"/>
        <v>4.9292576884152748</v>
      </c>
      <c r="BE82">
        <f t="shared" si="90"/>
        <v>3.8546148814770813</v>
      </c>
    </row>
    <row r="83" spans="1:57" x14ac:dyDescent="0.25">
      <c r="A83" t="s">
        <v>74</v>
      </c>
      <c r="B83">
        <f ca="1">ATAN2(B79,B80)</f>
        <v>3.1415926535575904</v>
      </c>
      <c r="AS83">
        <v>-1.7278759594743986</v>
      </c>
      <c r="AT83">
        <v>-49.639039997401682</v>
      </c>
      <c r="AU83">
        <v>-229.83493356816092</v>
      </c>
      <c r="AV83">
        <f t="shared" si="81"/>
        <v>-1.7835060517821808</v>
      </c>
      <c r="AW83">
        <f t="shared" si="82"/>
        <v>5.5630092307782153E-2</v>
      </c>
      <c r="AX83" s="40">
        <f t="shared" si="83"/>
        <v>-4.9250987053719744</v>
      </c>
      <c r="AY83">
        <f t="shared" si="84"/>
        <v>4.9250987053719744</v>
      </c>
      <c r="AZ83">
        <f t="shared" si="85"/>
        <v>4.5553093477051876</v>
      </c>
      <c r="BA83">
        <f t="shared" si="86"/>
        <v>-1.7835060517821808</v>
      </c>
      <c r="BB83">
        <f t="shared" si="87"/>
        <v>5.5630092307782153E-2</v>
      </c>
      <c r="BC83">
        <f t="shared" si="88"/>
        <v>-4.9250987053719744</v>
      </c>
      <c r="BD83">
        <f t="shared" si="89"/>
        <v>4.9250987053719744</v>
      </c>
      <c r="BE83">
        <f t="shared" si="90"/>
        <v>3.8504558984337809</v>
      </c>
    </row>
    <row r="84" spans="1:57" x14ac:dyDescent="0.25">
      <c r="AS84">
        <v>-1.7104226669544553</v>
      </c>
      <c r="AT84">
        <v>-48.664476638913314</v>
      </c>
      <c r="AU84">
        <v>-229.94817534467441</v>
      </c>
      <c r="AV84">
        <f t="shared" si="81"/>
        <v>-1.779351426795865</v>
      </c>
      <c r="AW84">
        <f t="shared" si="82"/>
        <v>6.892875984140967E-2</v>
      </c>
      <c r="AX84" s="40">
        <f t="shared" si="83"/>
        <v>-4.9209440803856577</v>
      </c>
      <c r="AY84">
        <f t="shared" si="84"/>
        <v>4.9209440803856577</v>
      </c>
      <c r="AZ84">
        <f t="shared" si="85"/>
        <v>4.5727626402251307</v>
      </c>
      <c r="BA84">
        <f t="shared" si="86"/>
        <v>-1.779351426795865</v>
      </c>
      <c r="BB84">
        <f t="shared" si="87"/>
        <v>6.892875984140967E-2</v>
      </c>
      <c r="BC84">
        <f t="shared" si="88"/>
        <v>-4.9209440803856577</v>
      </c>
      <c r="BD84">
        <f t="shared" si="89"/>
        <v>4.9209440803856577</v>
      </c>
      <c r="BE84">
        <f t="shared" si="90"/>
        <v>3.8463012734474642</v>
      </c>
    </row>
    <row r="85" spans="1:57" x14ac:dyDescent="0.25">
      <c r="AS85">
        <v>-1.692969374434512</v>
      </c>
      <c r="AT85">
        <v>-47.687131129883269</v>
      </c>
      <c r="AU85">
        <v>-230.04548885723926</v>
      </c>
      <c r="AV85">
        <f t="shared" si="81"/>
        <v>-1.7751957496690904</v>
      </c>
      <c r="AW85">
        <f t="shared" si="82"/>
        <v>8.222637523457843E-2</v>
      </c>
      <c r="AX85" s="40">
        <f t="shared" si="83"/>
        <v>-4.9167884032588836</v>
      </c>
      <c r="AY85">
        <f t="shared" si="84"/>
        <v>4.9167884032588836</v>
      </c>
      <c r="AZ85">
        <f t="shared" si="85"/>
        <v>4.5902159327450747</v>
      </c>
      <c r="BA85">
        <f t="shared" si="86"/>
        <v>-1.7751957496690904</v>
      </c>
      <c r="BB85">
        <f t="shared" si="87"/>
        <v>8.222637523457843E-2</v>
      </c>
      <c r="BC85">
        <f t="shared" si="88"/>
        <v>-4.9167884032588836</v>
      </c>
      <c r="BD85">
        <f t="shared" si="89"/>
        <v>4.9167884032588836</v>
      </c>
      <c r="BE85">
        <f t="shared" si="90"/>
        <v>3.8421455963206901</v>
      </c>
    </row>
    <row r="86" spans="1:57" x14ac:dyDescent="0.25">
      <c r="AS86">
        <v>-1.6755160819145687</v>
      </c>
      <c r="AT86">
        <v>-46.705865715257431</v>
      </c>
      <c r="AU86">
        <v>-230.12704806579677</v>
      </c>
      <c r="AV86">
        <f t="shared" si="81"/>
        <v>-1.77103340886126</v>
      </c>
      <c r="AW86">
        <f t="shared" si="82"/>
        <v>9.551732694669135E-2</v>
      </c>
      <c r="AX86" s="40">
        <f t="shared" si="83"/>
        <v>-4.9126260624510536</v>
      </c>
      <c r="AY86">
        <f t="shared" si="84"/>
        <v>4.9126260624510536</v>
      </c>
      <c r="AZ86">
        <f t="shared" si="85"/>
        <v>4.6076692252650178</v>
      </c>
      <c r="BA86">
        <f t="shared" si="86"/>
        <v>-1.77103340886126</v>
      </c>
      <c r="BB86">
        <f t="shared" si="87"/>
        <v>9.551732694669135E-2</v>
      </c>
      <c r="BC86">
        <f t="shared" si="88"/>
        <v>-4.9126260624510536</v>
      </c>
      <c r="BD86">
        <f t="shared" si="89"/>
        <v>4.9126260624510536</v>
      </c>
      <c r="BE86">
        <f t="shared" si="90"/>
        <v>3.8379832555128601</v>
      </c>
    </row>
    <row r="87" spans="1:57" x14ac:dyDescent="0.25">
      <c r="A87" t="s">
        <v>119</v>
      </c>
      <c r="AS87">
        <v>-1.6580627893946254</v>
      </c>
      <c r="AT87">
        <v>-45.719473491083967</v>
      </c>
      <c r="AU87">
        <v>-230.19297377613691</v>
      </c>
      <c r="AV87">
        <f t="shared" si="81"/>
        <v>-1.7668585313741811</v>
      </c>
      <c r="AW87">
        <f t="shared" si="82"/>
        <v>0.10879574197955577</v>
      </c>
      <c r="AX87" s="40">
        <f t="shared" si="83"/>
        <v>-4.9084511849639743</v>
      </c>
      <c r="AY87">
        <f t="shared" si="84"/>
        <v>4.9084511849639743</v>
      </c>
      <c r="AZ87">
        <f t="shared" si="85"/>
        <v>4.6251225177849609</v>
      </c>
      <c r="BA87">
        <f t="shared" si="86"/>
        <v>-1.7668585313741811</v>
      </c>
      <c r="BB87">
        <f t="shared" si="87"/>
        <v>0.10879574197955577</v>
      </c>
      <c r="BC87">
        <f t="shared" si="88"/>
        <v>-4.9084511849639743</v>
      </c>
      <c r="BD87">
        <f t="shared" si="89"/>
        <v>4.9084511849639743</v>
      </c>
      <c r="BE87">
        <f t="shared" si="90"/>
        <v>3.8338083780257808</v>
      </c>
    </row>
    <row r="88" spans="1:57" x14ac:dyDescent="0.25">
      <c r="A88" t="s">
        <v>120</v>
      </c>
      <c r="AS88">
        <v>-1.640609496874682</v>
      </c>
      <c r="AT88">
        <v>-44.726663616014704</v>
      </c>
      <c r="AU88">
        <v>-230.24333161333755</v>
      </c>
      <c r="AV88">
        <f t="shared" si="81"/>
        <v>-1.7626649138301111</v>
      </c>
      <c r="AW88">
        <f t="shared" si="82"/>
        <v>0.1220554169554291</v>
      </c>
      <c r="AX88" s="40">
        <f t="shared" si="83"/>
        <v>-4.9042575674199043</v>
      </c>
      <c r="AY88">
        <f t="shared" si="84"/>
        <v>4.9042575674199043</v>
      </c>
      <c r="AZ88">
        <f t="shared" si="85"/>
        <v>4.642575810304904</v>
      </c>
      <c r="BA88">
        <f t="shared" si="86"/>
        <v>-1.7626649138301111</v>
      </c>
      <c r="BB88">
        <f t="shared" si="87"/>
        <v>0.1220554169554291</v>
      </c>
      <c r="BC88">
        <f t="shared" si="88"/>
        <v>-4.9042575674199043</v>
      </c>
      <c r="BD88">
        <f t="shared" si="89"/>
        <v>4.9042575674199043</v>
      </c>
      <c r="BE88">
        <f t="shared" si="90"/>
        <v>3.8296147604817108</v>
      </c>
    </row>
    <row r="89" spans="1:57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>
        <v>-1.6231562043547387</v>
      </c>
      <c r="AT89">
        <v>-43.726043336160707</v>
      </c>
      <c r="AU89">
        <v>-230.27812965819783</v>
      </c>
      <c r="AV89">
        <f t="shared" si="81"/>
        <v>-1.7584459394329304</v>
      </c>
      <c r="AW89">
        <f t="shared" si="82"/>
        <v>0.13528973507819164</v>
      </c>
      <c r="AX89" s="40">
        <f t="shared" si="83"/>
        <v>-4.9000385930227237</v>
      </c>
      <c r="AY89">
        <f t="shared" si="84"/>
        <v>4.9000385930227237</v>
      </c>
      <c r="AZ89">
        <f t="shared" si="85"/>
        <v>4.6600291028248471</v>
      </c>
      <c r="BA89">
        <f t="shared" si="86"/>
        <v>-1.7584459394329304</v>
      </c>
      <c r="BB89">
        <f t="shared" si="87"/>
        <v>0.13528973507819164</v>
      </c>
      <c r="BC89">
        <f t="shared" si="88"/>
        <v>-4.9000385930227237</v>
      </c>
      <c r="BD89">
        <f t="shared" si="89"/>
        <v>4.9000385930227237</v>
      </c>
      <c r="BE89">
        <f t="shared" si="90"/>
        <v>3.8253957860845302</v>
      </c>
    </row>
    <row r="90" spans="1:57" x14ac:dyDescent="0.25">
      <c r="A90" s="1">
        <f>E3</f>
        <v>0</v>
      </c>
      <c r="B90" s="1">
        <f>F3</f>
        <v>0</v>
      </c>
      <c r="C90" s="1"/>
      <c r="AS90">
        <v>-1.6057029118347954</v>
      </c>
      <c r="AT90">
        <v>-42.716096194688134</v>
      </c>
      <c r="AU90">
        <v>-230.29731454561104</v>
      </c>
      <c r="AV90">
        <f t="shared" si="81"/>
        <v>-1.7541944788086934</v>
      </c>
      <c r="AW90">
        <f t="shared" si="82"/>
        <v>0.14849156697389798</v>
      </c>
      <c r="AX90" s="40">
        <f t="shared" si="83"/>
        <v>-4.8957871323984863</v>
      </c>
      <c r="AY90">
        <f t="shared" si="84"/>
        <v>4.8957871323984863</v>
      </c>
      <c r="AZ90">
        <f t="shared" si="85"/>
        <v>4.677482395344791</v>
      </c>
      <c r="BA90">
        <f t="shared" si="86"/>
        <v>-1.7541944788086934</v>
      </c>
      <c r="BB90">
        <f t="shared" si="87"/>
        <v>0.14849156697389798</v>
      </c>
      <c r="BC90">
        <f t="shared" si="88"/>
        <v>-4.8957871323984863</v>
      </c>
      <c r="BD90">
        <f t="shared" si="89"/>
        <v>4.8957871323984863</v>
      </c>
      <c r="BE90">
        <f t="shared" si="90"/>
        <v>3.8211443254602928</v>
      </c>
    </row>
    <row r="91" spans="1:57" x14ac:dyDescent="0.25">
      <c r="A91" s="1">
        <f t="shared" ref="A91:B91" si="97">E4</f>
        <v>12</v>
      </c>
      <c r="B91" s="1">
        <f t="shared" si="97"/>
        <v>0</v>
      </c>
      <c r="C91" s="1">
        <f>((A90*B91)-(A91*B90))*0.5</f>
        <v>0</v>
      </c>
      <c r="D91" s="6">
        <f>(A91+A90)*((A90*B91)-(A91*B90))*(1/6)</f>
        <v>0</v>
      </c>
      <c r="E91" s="6">
        <f>(B91+B90)*((A90*B91)-(A91*B90))*(1/6)</f>
        <v>0</v>
      </c>
      <c r="AS91">
        <v>-1.5882496193148521</v>
      </c>
      <c r="AT91">
        <v>-41.695155127318856</v>
      </c>
      <c r="AU91">
        <v>-230.30076611464088</v>
      </c>
      <c r="AV91">
        <f t="shared" si="81"/>
        <v>-1.7499027686868651</v>
      </c>
      <c r="AW91">
        <f t="shared" si="82"/>
        <v>0.16165314937201303</v>
      </c>
      <c r="AX91" s="40">
        <f t="shared" si="83"/>
        <v>-4.891495422276658</v>
      </c>
      <c r="AY91">
        <f t="shared" si="84"/>
        <v>4.891495422276658</v>
      </c>
      <c r="AZ91">
        <f t="shared" si="85"/>
        <v>4.6949356878647341</v>
      </c>
      <c r="BA91">
        <f t="shared" si="86"/>
        <v>-1.7499027686868651</v>
      </c>
      <c r="BB91">
        <f t="shared" si="87"/>
        <v>0.16165314937201303</v>
      </c>
      <c r="BC91">
        <f t="shared" si="88"/>
        <v>-4.891495422276658</v>
      </c>
      <c r="BD91">
        <f t="shared" si="89"/>
        <v>4.891495422276658</v>
      </c>
      <c r="BE91">
        <f t="shared" si="90"/>
        <v>3.8168526153384645</v>
      </c>
    </row>
    <row r="92" spans="1:57" x14ac:dyDescent="0.25">
      <c r="A92" s="1">
        <f t="shared" ref="A92:B92" si="98">E5</f>
        <v>12</v>
      </c>
      <c r="B92" s="1">
        <f t="shared" si="98"/>
        <v>12</v>
      </c>
      <c r="C92" s="1">
        <f t="shared" ref="C92:C98" si="99">((A91*B92)-(A92*B91))*0.5</f>
        <v>72</v>
      </c>
      <c r="D92" s="6">
        <f t="shared" ref="D92:D98" si="100">(A92+A91)*((A91*B92)-(A92*B91))*(1/6)</f>
        <v>576</v>
      </c>
      <c r="E92" s="6">
        <f t="shared" ref="E92:E98" si="101">(B92+B91)*((A91*B92)-(A92*B91))*(1/6)</f>
        <v>288</v>
      </c>
      <c r="AS92">
        <v>-1.5707963267949088</v>
      </c>
      <c r="AT92">
        <v>-40.661368752192729</v>
      </c>
      <c r="AU92">
        <v>-230.2882903724026</v>
      </c>
      <c r="AV92">
        <f t="shared" si="81"/>
        <v>-1.7455622608649397</v>
      </c>
      <c r="AW92">
        <f t="shared" si="82"/>
        <v>0.17476593407003094</v>
      </c>
      <c r="AX92" s="40">
        <f t="shared" si="83"/>
        <v>-4.887154914454733</v>
      </c>
      <c r="AY92">
        <f t="shared" si="84"/>
        <v>4.887154914454733</v>
      </c>
      <c r="AZ92">
        <f t="shared" si="85"/>
        <v>4.7123889803846772</v>
      </c>
      <c r="BA92">
        <f t="shared" si="86"/>
        <v>-1.7455622608649397</v>
      </c>
      <c r="BB92">
        <f t="shared" si="87"/>
        <v>0.17476593407003094</v>
      </c>
      <c r="BC92">
        <f t="shared" si="88"/>
        <v>-4.887154914454733</v>
      </c>
      <c r="BD92">
        <f t="shared" si="89"/>
        <v>4.887154914454733</v>
      </c>
      <c r="BE92">
        <f t="shared" si="90"/>
        <v>3.8125121075165396</v>
      </c>
    </row>
    <row r="93" spans="1:57" x14ac:dyDescent="0.25">
      <c r="A93" s="1">
        <f t="shared" ref="A93:B93" si="102">E6</f>
        <v>36</v>
      </c>
      <c r="B93" s="1">
        <f t="shared" si="102"/>
        <v>12</v>
      </c>
      <c r="C93" s="1">
        <f t="shared" si="99"/>
        <v>-144</v>
      </c>
      <c r="D93" s="6">
        <f t="shared" si="100"/>
        <v>-2304</v>
      </c>
      <c r="E93" s="6">
        <f t="shared" si="101"/>
        <v>-1152</v>
      </c>
      <c r="AS93">
        <v>-1.5533430342749655</v>
      </c>
      <c r="AT93">
        <v>-39.512850054443945</v>
      </c>
      <c r="AU93">
        <v>-230.25058130732674</v>
      </c>
      <c r="AV93">
        <f t="shared" si="81"/>
        <v>-1.7407489366651816</v>
      </c>
      <c r="AW93">
        <f t="shared" si="82"/>
        <v>0.18740590239021615</v>
      </c>
      <c r="AX93" s="40">
        <f t="shared" si="83"/>
        <v>-4.8823415902549749</v>
      </c>
      <c r="AY93">
        <f t="shared" si="84"/>
        <v>4.8823415902549749</v>
      </c>
      <c r="AZ93">
        <f t="shared" si="85"/>
        <v>4.7298422729046212</v>
      </c>
      <c r="BA93">
        <f t="shared" si="86"/>
        <v>-1.7407489366651816</v>
      </c>
      <c r="BB93">
        <f t="shared" si="87"/>
        <v>0.18740590239021615</v>
      </c>
      <c r="BC93">
        <f t="shared" si="88"/>
        <v>-4.8823415902549749</v>
      </c>
      <c r="BD93">
        <f t="shared" si="89"/>
        <v>4.8823415902549749</v>
      </c>
      <c r="BE93">
        <f t="shared" si="90"/>
        <v>3.8076987833167815</v>
      </c>
    </row>
    <row r="94" spans="1:57" x14ac:dyDescent="0.25">
      <c r="A94" s="1">
        <f t="shared" ref="A94:B94" si="103">E7</f>
        <v>36</v>
      </c>
      <c r="B94" s="1">
        <f t="shared" si="103"/>
        <v>24</v>
      </c>
      <c r="C94" s="1">
        <f t="shared" si="99"/>
        <v>216</v>
      </c>
      <c r="D94" s="6">
        <f t="shared" si="100"/>
        <v>5184</v>
      </c>
      <c r="E94" s="6">
        <f t="shared" si="101"/>
        <v>2592</v>
      </c>
      <c r="AS94">
        <v>-1.5358897417550221</v>
      </c>
      <c r="AT94">
        <v>-38.377910448021431</v>
      </c>
      <c r="AU94">
        <v>-230.19826145045786</v>
      </c>
      <c r="AV94">
        <f t="shared" si="81"/>
        <v>-1.7359937523237428</v>
      </c>
      <c r="AW94">
        <f t="shared" si="82"/>
        <v>0.20010401056872062</v>
      </c>
      <c r="AX94" s="40">
        <f t="shared" si="83"/>
        <v>-4.8775864059135356</v>
      </c>
      <c r="AY94">
        <f t="shared" si="84"/>
        <v>4.8775864059135356</v>
      </c>
      <c r="AZ94">
        <f t="shared" si="85"/>
        <v>4.7472955654245643</v>
      </c>
      <c r="BA94">
        <f t="shared" si="86"/>
        <v>-1.7359937523237428</v>
      </c>
      <c r="BB94">
        <f t="shared" si="87"/>
        <v>0.20010401056872062</v>
      </c>
      <c r="BC94">
        <f t="shared" si="88"/>
        <v>-4.8775864059135356</v>
      </c>
      <c r="BD94">
        <f t="shared" si="89"/>
        <v>4.8775864059135356</v>
      </c>
      <c r="BE94">
        <f t="shared" si="90"/>
        <v>3.8029435989753422</v>
      </c>
    </row>
    <row r="95" spans="1:57" x14ac:dyDescent="0.25">
      <c r="A95" s="1">
        <f t="shared" ref="A95:B95" si="104">E8</f>
        <v>0</v>
      </c>
      <c r="B95" s="1">
        <f t="shared" si="104"/>
        <v>24</v>
      </c>
      <c r="C95" s="1">
        <f t="shared" si="99"/>
        <v>432</v>
      </c>
      <c r="D95" s="6">
        <f t="shared" si="100"/>
        <v>5184</v>
      </c>
      <c r="E95" s="6">
        <f t="shared" si="101"/>
        <v>6912</v>
      </c>
      <c r="AS95">
        <v>-1.5184364492350788</v>
      </c>
      <c r="AT95">
        <v>-37.255248260962745</v>
      </c>
      <c r="AU95">
        <v>-230.13142645711895</v>
      </c>
      <c r="AV95">
        <f t="shared" si="81"/>
        <v>-1.7312907832304307</v>
      </c>
      <c r="AW95">
        <f t="shared" si="82"/>
        <v>0.21285433399535192</v>
      </c>
      <c r="AX95" s="40">
        <f t="shared" si="83"/>
        <v>-4.8728834368202243</v>
      </c>
      <c r="AY95">
        <f t="shared" si="84"/>
        <v>4.8728834368202243</v>
      </c>
      <c r="AZ95">
        <f t="shared" si="85"/>
        <v>4.7647488579445074</v>
      </c>
      <c r="BA95">
        <f t="shared" si="86"/>
        <v>-1.7312907832304307</v>
      </c>
      <c r="BB95">
        <f t="shared" si="87"/>
        <v>0.21285433399535192</v>
      </c>
      <c r="BC95">
        <f t="shared" si="88"/>
        <v>-4.8728834368202243</v>
      </c>
      <c r="BD95">
        <f t="shared" si="89"/>
        <v>4.8728834368202243</v>
      </c>
      <c r="BE95">
        <f t="shared" si="90"/>
        <v>3.7982406298820308</v>
      </c>
    </row>
    <row r="96" spans="1:57" x14ac:dyDescent="0.25">
      <c r="A96" s="1">
        <f t="shared" ref="A96:B96" si="105">E9</f>
        <v>0</v>
      </c>
      <c r="B96" s="1">
        <f t="shared" si="105"/>
        <v>12</v>
      </c>
      <c r="C96" s="1">
        <f t="shared" si="99"/>
        <v>0</v>
      </c>
      <c r="D96" s="6">
        <f t="shared" si="100"/>
        <v>0</v>
      </c>
      <c r="E96" s="6">
        <f t="shared" si="101"/>
        <v>0</v>
      </c>
      <c r="AS96">
        <v>-1.5009831567151355</v>
      </c>
      <c r="AT96">
        <v>-36.143608548772036</v>
      </c>
      <c r="AU96">
        <v>-230.05011709109306</v>
      </c>
      <c r="AV96">
        <f t="shared" si="81"/>
        <v>-1.7266343065744298</v>
      </c>
      <c r="AW96">
        <f t="shared" si="82"/>
        <v>0.22565114985929435</v>
      </c>
      <c r="AX96" s="40">
        <f t="shared" si="83"/>
        <v>-4.8682269601642227</v>
      </c>
      <c r="AY96">
        <f t="shared" si="84"/>
        <v>4.8682269601642227</v>
      </c>
      <c r="AZ96">
        <f t="shared" si="85"/>
        <v>4.7822021504644505</v>
      </c>
      <c r="BA96">
        <f t="shared" si="86"/>
        <v>-1.7266343065744298</v>
      </c>
      <c r="BB96">
        <f t="shared" si="87"/>
        <v>0.22565114985929435</v>
      </c>
      <c r="BC96">
        <f t="shared" si="88"/>
        <v>-4.8682269601642227</v>
      </c>
      <c r="BD96">
        <f t="shared" si="89"/>
        <v>4.8682269601642227</v>
      </c>
      <c r="BE96">
        <f t="shared" si="90"/>
        <v>3.7935841532260293</v>
      </c>
    </row>
    <row r="97" spans="1:57" x14ac:dyDescent="0.25">
      <c r="A97" s="1">
        <f t="shared" ref="A97:B97" si="106">E10</f>
        <v>0</v>
      </c>
      <c r="B97" s="1">
        <f t="shared" si="106"/>
        <v>12</v>
      </c>
      <c r="C97" s="1">
        <f t="shared" si="99"/>
        <v>0</v>
      </c>
      <c r="D97" s="6">
        <f t="shared" si="100"/>
        <v>0</v>
      </c>
      <c r="E97" s="6">
        <f t="shared" si="101"/>
        <v>0</v>
      </c>
      <c r="AS97">
        <v>-1.4835298641951922</v>
      </c>
      <c r="AT97">
        <v>-35.04177938791247</v>
      </c>
      <c r="AU97">
        <v>-229.95432084374991</v>
      </c>
      <c r="AV97">
        <f t="shared" si="81"/>
        <v>-1.7220187810812166</v>
      </c>
      <c r="AW97">
        <f t="shared" si="82"/>
        <v>0.23848891688602447</v>
      </c>
      <c r="AX97" s="40">
        <f t="shared" si="83"/>
        <v>-4.86361143467101</v>
      </c>
      <c r="AY97">
        <f t="shared" si="84"/>
        <v>4.86361143467101</v>
      </c>
      <c r="AZ97">
        <f t="shared" si="85"/>
        <v>4.7996554429843936</v>
      </c>
      <c r="BA97">
        <f t="shared" si="86"/>
        <v>-1.7220187810812166</v>
      </c>
      <c r="BB97">
        <f t="shared" si="87"/>
        <v>0.23848891688602447</v>
      </c>
      <c r="BC97">
        <f t="shared" si="88"/>
        <v>-4.86361143467101</v>
      </c>
      <c r="BD97">
        <f t="shared" si="89"/>
        <v>4.86361143467101</v>
      </c>
      <c r="BE97">
        <f t="shared" si="90"/>
        <v>3.7889686277328165</v>
      </c>
    </row>
    <row r="98" spans="1:57" x14ac:dyDescent="0.25">
      <c r="A98" s="1">
        <f t="shared" ref="A98:B98" si="107">E11</f>
        <v>0</v>
      </c>
      <c r="B98" s="1">
        <f t="shared" si="107"/>
        <v>0</v>
      </c>
      <c r="C98" s="1">
        <f t="shared" si="99"/>
        <v>0</v>
      </c>
      <c r="D98" s="6">
        <f t="shared" si="100"/>
        <v>0</v>
      </c>
      <c r="E98" s="6">
        <f t="shared" si="101"/>
        <v>0</v>
      </c>
      <c r="AS98">
        <v>-1.4660765716752489</v>
      </c>
      <c r="AT98">
        <v>-33.948587930677704</v>
      </c>
      <c r="AU98">
        <v>-229.84397404072246</v>
      </c>
      <c r="AV98">
        <f t="shared" si="81"/>
        <v>-1.7174388253242763</v>
      </c>
      <c r="AW98">
        <f t="shared" si="82"/>
        <v>0.25136225364902742</v>
      </c>
      <c r="AX98" s="40">
        <f t="shared" si="83"/>
        <v>-4.8590314789140692</v>
      </c>
      <c r="AY98">
        <f t="shared" si="84"/>
        <v>4.8590314789140692</v>
      </c>
      <c r="AZ98">
        <f t="shared" si="85"/>
        <v>4.8171087355043376</v>
      </c>
      <c r="BA98">
        <f t="shared" si="86"/>
        <v>-1.7174388253242763</v>
      </c>
      <c r="BB98">
        <f t="shared" si="87"/>
        <v>0.25136225364902742</v>
      </c>
      <c r="BC98">
        <f t="shared" si="88"/>
        <v>-4.8590314789140692</v>
      </c>
      <c r="BD98">
        <f t="shared" si="89"/>
        <v>4.8590314789140692</v>
      </c>
      <c r="BE98">
        <f t="shared" si="90"/>
        <v>3.7843886719758757</v>
      </c>
    </row>
    <row r="99" spans="1:57" x14ac:dyDescent="0.25">
      <c r="C99" s="1">
        <f>SUM(C91:C98)</f>
        <v>576</v>
      </c>
      <c r="D99" s="6">
        <f>SUM(D91:D98)/C99</f>
        <v>15</v>
      </c>
      <c r="E99" s="6">
        <f>SUM(E91:E98)/C99</f>
        <v>15</v>
      </c>
      <c r="AS99">
        <v>-1.4486232791553055</v>
      </c>
      <c r="AT99">
        <v>-33.622683390187461</v>
      </c>
      <c r="AU99">
        <v>-229.80613221625464</v>
      </c>
      <c r="AV99">
        <f t="shared" si="81"/>
        <v>-1.7160744607605181</v>
      </c>
      <c r="AW99">
        <f t="shared" si="82"/>
        <v>0.26745118160521253</v>
      </c>
      <c r="AX99" s="40">
        <f t="shared" si="83"/>
        <v>-4.8576671143503116</v>
      </c>
      <c r="AY99">
        <f t="shared" si="84"/>
        <v>4.8576671143503116</v>
      </c>
      <c r="AZ99">
        <f t="shared" si="85"/>
        <v>4.8345620280242807</v>
      </c>
      <c r="BA99">
        <f t="shared" si="86"/>
        <v>-1.7160744607605181</v>
      </c>
      <c r="BB99">
        <f t="shared" si="87"/>
        <v>0.26745118160521253</v>
      </c>
      <c r="BC99">
        <f t="shared" si="88"/>
        <v>-4.8576671143503116</v>
      </c>
      <c r="BD99">
        <f t="shared" si="89"/>
        <v>4.8576671143503116</v>
      </c>
      <c r="BE99">
        <f t="shared" si="90"/>
        <v>3.7830243074121181</v>
      </c>
    </row>
    <row r="100" spans="1:57" x14ac:dyDescent="0.25">
      <c r="A100" s="8" t="s">
        <v>124</v>
      </c>
      <c r="B100" s="1">
        <f>B31*C99*0.65</f>
        <v>1591.2</v>
      </c>
      <c r="C100" t="s">
        <v>68</v>
      </c>
      <c r="AS100">
        <v>-1.4311699866353622</v>
      </c>
      <c r="AT100">
        <v>-32.55132703786056</v>
      </c>
      <c r="AU100">
        <v>-229.67046982663493</v>
      </c>
      <c r="AV100">
        <f t="shared" si="81"/>
        <v>-1.7115891681567055</v>
      </c>
      <c r="AW100">
        <f t="shared" si="82"/>
        <v>0.28041918152134326</v>
      </c>
      <c r="AX100" s="40">
        <f t="shared" si="83"/>
        <v>-4.8531818217464986</v>
      </c>
      <c r="AY100">
        <f t="shared" si="84"/>
        <v>4.8531818217464986</v>
      </c>
      <c r="AZ100">
        <f t="shared" si="85"/>
        <v>4.8520153205442238</v>
      </c>
      <c r="BA100">
        <f t="shared" si="86"/>
        <v>-1.7115891681567055</v>
      </c>
      <c r="BB100">
        <f t="shared" si="87"/>
        <v>0.28041918152134326</v>
      </c>
      <c r="BC100">
        <f t="shared" si="88"/>
        <v>-4.8531818217464986</v>
      </c>
      <c r="BD100">
        <f t="shared" si="89"/>
        <v>4.8531818217464986</v>
      </c>
      <c r="BE100">
        <f t="shared" si="90"/>
        <v>3.7785390148083051</v>
      </c>
    </row>
    <row r="101" spans="1:57" x14ac:dyDescent="0.25">
      <c r="A101" s="8" t="s">
        <v>77</v>
      </c>
      <c r="B101" s="1">
        <f>B100*E99</f>
        <v>23868</v>
      </c>
      <c r="C101" t="s">
        <v>69</v>
      </c>
      <c r="AS101">
        <v>-1.4137166941154189</v>
      </c>
      <c r="AT101">
        <v>-31.484984961458526</v>
      </c>
      <c r="AU101">
        <v>-229.5196814577387</v>
      </c>
      <c r="AV101">
        <f t="shared" si="81"/>
        <v>-1.7071231685892141</v>
      </c>
      <c r="AW101">
        <f t="shared" si="82"/>
        <v>0.2934064744737952</v>
      </c>
      <c r="AX101" s="40">
        <f t="shared" si="83"/>
        <v>-4.848715822179007</v>
      </c>
      <c r="AY101">
        <f t="shared" si="84"/>
        <v>4.848715822179007</v>
      </c>
      <c r="AZ101">
        <f t="shared" si="85"/>
        <v>4.8694686130641678</v>
      </c>
      <c r="BA101">
        <f t="shared" si="86"/>
        <v>-1.7071231685892141</v>
      </c>
      <c r="BB101">
        <f t="shared" si="87"/>
        <v>0.2934064744737952</v>
      </c>
      <c r="BC101">
        <f t="shared" si="88"/>
        <v>-4.848715822179007</v>
      </c>
      <c r="BD101">
        <f t="shared" si="89"/>
        <v>4.848715822179007</v>
      </c>
      <c r="BE101">
        <f t="shared" si="90"/>
        <v>3.7740730152408135</v>
      </c>
    </row>
    <row r="102" spans="1:57" x14ac:dyDescent="0.25">
      <c r="A102" s="8" t="s">
        <v>125</v>
      </c>
      <c r="B102" s="1">
        <f>B100*D99</f>
        <v>23868</v>
      </c>
      <c r="C102" t="s">
        <v>69</v>
      </c>
      <c r="J102" t="s">
        <v>127</v>
      </c>
      <c r="AS102">
        <v>-1.3962634015954756</v>
      </c>
      <c r="AT102">
        <v>-30.422616929944446</v>
      </c>
      <c r="AU102">
        <v>-229.35350686355167</v>
      </c>
      <c r="AV102">
        <f t="shared" si="81"/>
        <v>-1.7026715781896129</v>
      </c>
      <c r="AW102">
        <f t="shared" si="82"/>
        <v>0.30640817659413733</v>
      </c>
      <c r="AX102" s="40">
        <f t="shared" si="83"/>
        <v>-4.8442642317794062</v>
      </c>
      <c r="AY102">
        <f t="shared" si="84"/>
        <v>4.8442642317794062</v>
      </c>
      <c r="AZ102">
        <f t="shared" si="85"/>
        <v>4.8869219055841109</v>
      </c>
      <c r="BA102">
        <f t="shared" si="86"/>
        <v>-1.7026715781896129</v>
      </c>
      <c r="BB102">
        <f t="shared" si="87"/>
        <v>0.30640817659413733</v>
      </c>
      <c r="BC102">
        <f t="shared" si="88"/>
        <v>-4.8442642317794062</v>
      </c>
      <c r="BD102">
        <f t="shared" si="89"/>
        <v>4.8442642317794062</v>
      </c>
      <c r="BE102">
        <f t="shared" si="90"/>
        <v>3.7696214248412128</v>
      </c>
    </row>
    <row r="103" spans="1:57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>
        <v>-1.3788101090755323</v>
      </c>
      <c r="AT103">
        <v>-29.363202964373457</v>
      </c>
      <c r="AU103">
        <v>-229.17163619779342</v>
      </c>
      <c r="AV103">
        <f t="shared" si="81"/>
        <v>-1.6982295721005454</v>
      </c>
      <c r="AW103">
        <f t="shared" si="82"/>
        <v>0.31941946302501312</v>
      </c>
      <c r="AX103" s="40">
        <f t="shared" si="83"/>
        <v>-4.8398222256903383</v>
      </c>
      <c r="AY103">
        <f t="shared" si="84"/>
        <v>4.8398222256903383</v>
      </c>
      <c r="AZ103">
        <f t="shared" si="85"/>
        <v>4.904375198104054</v>
      </c>
      <c r="BA103">
        <f t="shared" si="86"/>
        <v>-1.6982295721005454</v>
      </c>
      <c r="BB103">
        <f t="shared" si="87"/>
        <v>0.31941946302501312</v>
      </c>
      <c r="BC103">
        <f t="shared" si="88"/>
        <v>-4.8398222256903383</v>
      </c>
      <c r="BD103">
        <f t="shared" si="89"/>
        <v>4.8398222256903383</v>
      </c>
      <c r="BE103">
        <f t="shared" si="90"/>
        <v>3.7651794187521448</v>
      </c>
    </row>
    <row r="104" spans="1:57" x14ac:dyDescent="0.25">
      <c r="A104">
        <f>A15</f>
        <v>1</v>
      </c>
      <c r="B104">
        <f t="shared" ref="B104:C104" si="108">B15</f>
        <v>8</v>
      </c>
      <c r="C104">
        <f t="shared" ca="1" si="108"/>
        <v>0.79</v>
      </c>
      <c r="D104">
        <f>D15</f>
        <v>3</v>
      </c>
      <c r="E104">
        <f t="shared" ref="E104" si="109">E15</f>
        <v>22</v>
      </c>
      <c r="F104" s="5">
        <f ca="1">($B$12-$B$31)*C104*0.65</f>
        <v>28.627625000000002</v>
      </c>
      <c r="G104">
        <f ca="1">E104*F104</f>
        <v>629.80775000000006</v>
      </c>
      <c r="H104">
        <f ca="1">D104*F104</f>
        <v>85.882875000000013</v>
      </c>
      <c r="J104">
        <f ca="1">-1*C104*$B$12*0.9</f>
        <v>-42.660000000000004</v>
      </c>
      <c r="K104">
        <f ca="1">E104*J104</f>
        <v>-938.5200000000001</v>
      </c>
      <c r="L104">
        <f ca="1">D104*J104</f>
        <v>-127.98000000000002</v>
      </c>
      <c r="AS104">
        <v>-1.3613568165555889</v>
      </c>
      <c r="AT104">
        <v>-28.305739645481765</v>
      </c>
      <c r="AU104">
        <v>-228.97370954847</v>
      </c>
      <c r="AV104">
        <f t="shared" si="81"/>
        <v>-1.6937923637275769</v>
      </c>
      <c r="AW104">
        <f t="shared" si="82"/>
        <v>0.33243554717198798</v>
      </c>
      <c r="AX104" s="40">
        <f t="shared" si="83"/>
        <v>-4.8353850173173702</v>
      </c>
      <c r="AY104">
        <f t="shared" si="84"/>
        <v>4.8353850173173702</v>
      </c>
      <c r="AZ104">
        <f t="shared" si="85"/>
        <v>4.9218284906239971</v>
      </c>
      <c r="BA104">
        <f t="shared" si="86"/>
        <v>-1.6937923637275769</v>
      </c>
      <c r="BB104">
        <f t="shared" si="87"/>
        <v>0.33243554717198798</v>
      </c>
      <c r="BC104">
        <f t="shared" si="88"/>
        <v>-4.8353850173173702</v>
      </c>
      <c r="BD104">
        <f t="shared" si="89"/>
        <v>4.8353850173173702</v>
      </c>
      <c r="BE104">
        <f t="shared" si="90"/>
        <v>3.7607422103791768</v>
      </c>
    </row>
    <row r="105" spans="1:57" x14ac:dyDescent="0.25">
      <c r="A105">
        <f t="shared" ref="A105:C113" si="110">A16</f>
        <v>2</v>
      </c>
      <c r="B105">
        <f t="shared" si="110"/>
        <v>8</v>
      </c>
      <c r="C105">
        <f t="shared" ca="1" si="110"/>
        <v>0.79</v>
      </c>
      <c r="D105">
        <f t="shared" ref="D105:E105" si="111">D16</f>
        <v>13</v>
      </c>
      <c r="E105">
        <f t="shared" si="111"/>
        <v>22</v>
      </c>
      <c r="F105" s="5">
        <f t="shared" ref="F105:F113" ca="1" si="112">($B$12-$B$31)*C105*0.65</f>
        <v>28.627625000000002</v>
      </c>
      <c r="G105">
        <f t="shared" ref="G105:G113" ca="1" si="113">E105*F105</f>
        <v>629.80775000000006</v>
      </c>
      <c r="H105">
        <f t="shared" ref="H105:H113" ca="1" si="114">D105*F105</f>
        <v>372.15912500000002</v>
      </c>
      <c r="J105">
        <f t="shared" ref="J105:J113" ca="1" si="115">-1*C105*$B$12*0.9</f>
        <v>-42.660000000000004</v>
      </c>
      <c r="K105">
        <f t="shared" ref="K105:K113" ca="1" si="116">E105*J105</f>
        <v>-938.5200000000001</v>
      </c>
      <c r="L105">
        <f t="shared" ref="L105:L113" ca="1" si="117">D105*J105</f>
        <v>-554.58000000000004</v>
      </c>
      <c r="AS105">
        <v>-1.3439035240356456</v>
      </c>
      <c r="AT105">
        <v>-27.249236702929753</v>
      </c>
      <c r="AU105">
        <v>-228.75931515016649</v>
      </c>
      <c r="AV105">
        <f t="shared" si="81"/>
        <v>-1.689355185409418</v>
      </c>
      <c r="AW105">
        <f t="shared" si="82"/>
        <v>0.34545166137377237</v>
      </c>
      <c r="AX105" s="40">
        <f t="shared" si="83"/>
        <v>-4.8309478389992115</v>
      </c>
      <c r="AY105">
        <f t="shared" si="84"/>
        <v>4.8309478389992115</v>
      </c>
      <c r="AZ105">
        <f t="shared" si="85"/>
        <v>4.9392817831439402</v>
      </c>
      <c r="BA105">
        <f t="shared" si="86"/>
        <v>-1.689355185409418</v>
      </c>
      <c r="BB105">
        <f t="shared" si="87"/>
        <v>0.34545166137377237</v>
      </c>
      <c r="BC105">
        <f t="shared" si="88"/>
        <v>-4.8309478389992115</v>
      </c>
      <c r="BD105">
        <f t="shared" si="89"/>
        <v>4.8309478389992115</v>
      </c>
      <c r="BE105">
        <f t="shared" si="90"/>
        <v>3.7563050320610181</v>
      </c>
    </row>
    <row r="106" spans="1:57" x14ac:dyDescent="0.25">
      <c r="A106">
        <f t="shared" si="110"/>
        <v>3</v>
      </c>
      <c r="B106">
        <f t="shared" si="110"/>
        <v>8</v>
      </c>
      <c r="C106">
        <f t="shared" ca="1" si="110"/>
        <v>0.79</v>
      </c>
      <c r="D106">
        <f t="shared" ref="D106:E106" si="118">D17</f>
        <v>23</v>
      </c>
      <c r="E106">
        <f t="shared" si="118"/>
        <v>22</v>
      </c>
      <c r="F106" s="5">
        <f t="shared" ca="1" si="112"/>
        <v>28.627625000000002</v>
      </c>
      <c r="G106">
        <f t="shared" ca="1" si="113"/>
        <v>629.80775000000006</v>
      </c>
      <c r="H106">
        <f t="shared" ca="1" si="114"/>
        <v>658.43537500000002</v>
      </c>
      <c r="J106">
        <f t="shared" ca="1" si="115"/>
        <v>-42.660000000000004</v>
      </c>
      <c r="K106">
        <f t="shared" ca="1" si="116"/>
        <v>-938.5200000000001</v>
      </c>
      <c r="L106">
        <f t="shared" ca="1" si="117"/>
        <v>-981.18000000000006</v>
      </c>
      <c r="AS106">
        <v>-1.3264502315157023</v>
      </c>
      <c r="AT106">
        <v>-26.192713416330385</v>
      </c>
      <c r="AU106">
        <v>-228.52798809480396</v>
      </c>
      <c r="AV106">
        <f t="shared" si="81"/>
        <v>-1.6849132673860103</v>
      </c>
      <c r="AW106">
        <f t="shared" si="82"/>
        <v>0.35846303587030803</v>
      </c>
      <c r="AX106" s="40">
        <f t="shared" si="83"/>
        <v>-4.8265059209758032</v>
      </c>
      <c r="AY106">
        <f t="shared" si="84"/>
        <v>4.8265059209758032</v>
      </c>
      <c r="AZ106">
        <f t="shared" si="85"/>
        <v>4.9567350756638842</v>
      </c>
      <c r="BA106">
        <f t="shared" si="86"/>
        <v>-1.6849132673860103</v>
      </c>
      <c r="BB106">
        <f t="shared" si="87"/>
        <v>0.35846303587030803</v>
      </c>
      <c r="BC106">
        <f t="shared" si="88"/>
        <v>-4.8265059209758032</v>
      </c>
      <c r="BD106">
        <f t="shared" si="89"/>
        <v>4.8265059209758032</v>
      </c>
      <c r="BE106">
        <f t="shared" si="90"/>
        <v>3.7518631140376097</v>
      </c>
    </row>
    <row r="107" spans="1:57" x14ac:dyDescent="0.25">
      <c r="A107">
        <f t="shared" si="110"/>
        <v>4</v>
      </c>
      <c r="B107">
        <f t="shared" si="110"/>
        <v>8</v>
      </c>
      <c r="C107">
        <f t="shared" ca="1" si="110"/>
        <v>0.79</v>
      </c>
      <c r="D107">
        <f t="shared" ref="D107:E107" si="119">D18</f>
        <v>33</v>
      </c>
      <c r="E107">
        <f t="shared" si="119"/>
        <v>22</v>
      </c>
      <c r="F107" s="5">
        <f t="shared" ca="1" si="112"/>
        <v>28.627625000000002</v>
      </c>
      <c r="G107">
        <f t="shared" ca="1" si="113"/>
        <v>629.80775000000006</v>
      </c>
      <c r="H107">
        <f t="shared" ca="1" si="114"/>
        <v>944.71162500000003</v>
      </c>
      <c r="J107">
        <f t="shared" ca="1" si="115"/>
        <v>-42.660000000000004</v>
      </c>
      <c r="K107">
        <f t="shared" ca="1" si="116"/>
        <v>-938.5200000000001</v>
      </c>
      <c r="L107">
        <f t="shared" ca="1" si="117"/>
        <v>-1407.7800000000002</v>
      </c>
      <c r="AS107">
        <v>-1.308996938995759</v>
      </c>
      <c r="AT107">
        <v>-25.135195229857686</v>
      </c>
      <c r="AU107">
        <v>-228.27920786892605</v>
      </c>
      <c r="AV107">
        <f t="shared" si="81"/>
        <v>-1.6804618176093551</v>
      </c>
      <c r="AW107">
        <f t="shared" si="82"/>
        <v>0.37146487861359612</v>
      </c>
      <c r="AX107" s="40">
        <f t="shared" si="83"/>
        <v>-4.8220544711991487</v>
      </c>
      <c r="AY107">
        <f t="shared" si="84"/>
        <v>4.8220544711991487</v>
      </c>
      <c r="AZ107">
        <f t="shared" si="85"/>
        <v>4.9741883681838273</v>
      </c>
      <c r="BA107">
        <f t="shared" si="86"/>
        <v>-1.6804618176093551</v>
      </c>
      <c r="BB107">
        <f t="shared" si="87"/>
        <v>0.37146487861359612</v>
      </c>
      <c r="BC107">
        <f t="shared" si="88"/>
        <v>-4.8220544711991487</v>
      </c>
      <c r="BD107">
        <f t="shared" si="89"/>
        <v>4.8220544711991487</v>
      </c>
      <c r="BE107">
        <f t="shared" si="90"/>
        <v>3.7474116642609552</v>
      </c>
    </row>
    <row r="108" spans="1:57" x14ac:dyDescent="0.25">
      <c r="A108">
        <f t="shared" si="110"/>
        <v>5</v>
      </c>
      <c r="B108">
        <f t="shared" si="110"/>
        <v>0</v>
      </c>
      <c r="C108">
        <f t="shared" ca="1" si="110"/>
        <v>0</v>
      </c>
      <c r="D108">
        <f t="shared" ref="D108:E108" si="120">D19</f>
        <v>2</v>
      </c>
      <c r="E108">
        <f t="shared" si="120"/>
        <v>2</v>
      </c>
      <c r="F108" s="5">
        <f t="shared" ca="1" si="112"/>
        <v>0</v>
      </c>
      <c r="G108">
        <f t="shared" ca="1" si="113"/>
        <v>0</v>
      </c>
      <c r="H108">
        <f t="shared" ca="1" si="114"/>
        <v>0</v>
      </c>
      <c r="J108">
        <f t="shared" ca="1" si="115"/>
        <v>0</v>
      </c>
      <c r="K108">
        <f t="shared" ca="1" si="116"/>
        <v>0</v>
      </c>
      <c r="L108">
        <f t="shared" ca="1" si="117"/>
        <v>0</v>
      </c>
      <c r="AS108">
        <v>-1.2915436464758157</v>
      </c>
      <c r="AT108">
        <v>-24.075710215428593</v>
      </c>
      <c r="AU108">
        <v>-228.0123961065766</v>
      </c>
      <c r="AV108">
        <f t="shared" si="81"/>
        <v>-1.6759959999885894</v>
      </c>
      <c r="AW108">
        <f t="shared" si="82"/>
        <v>0.38445235351277374</v>
      </c>
      <c r="AX108" s="40">
        <f t="shared" si="83"/>
        <v>-4.8175886535783823</v>
      </c>
      <c r="AY108">
        <f t="shared" si="84"/>
        <v>4.8175886535783823</v>
      </c>
      <c r="AZ108">
        <f t="shared" si="85"/>
        <v>4.9916416607037704</v>
      </c>
      <c r="BA108">
        <f t="shared" si="86"/>
        <v>-1.6759959999885894</v>
      </c>
      <c r="BB108">
        <f t="shared" si="87"/>
        <v>0.38445235351277374</v>
      </c>
      <c r="BC108">
        <f t="shared" si="88"/>
        <v>-4.8175886535783823</v>
      </c>
      <c r="BD108">
        <f t="shared" si="89"/>
        <v>4.8175886535783823</v>
      </c>
      <c r="BE108">
        <f t="shared" si="90"/>
        <v>3.7429458466401888</v>
      </c>
    </row>
    <row r="109" spans="1:57" x14ac:dyDescent="0.25">
      <c r="A109">
        <f t="shared" si="110"/>
        <v>6</v>
      </c>
      <c r="B109">
        <f t="shared" si="110"/>
        <v>0</v>
      </c>
      <c r="C109">
        <f t="shared" ca="1" si="110"/>
        <v>0</v>
      </c>
      <c r="D109">
        <f t="shared" ref="D109:E109" si="121">D20</f>
        <v>6</v>
      </c>
      <c r="E109">
        <f t="shared" si="121"/>
        <v>2</v>
      </c>
      <c r="F109" s="5">
        <f t="shared" ca="1" si="112"/>
        <v>0</v>
      </c>
      <c r="G109">
        <f t="shared" ca="1" si="113"/>
        <v>0</v>
      </c>
      <c r="H109">
        <f t="shared" ca="1" si="114"/>
        <v>0</v>
      </c>
      <c r="J109">
        <f t="shared" ca="1" si="115"/>
        <v>0</v>
      </c>
      <c r="K109">
        <f t="shared" ca="1" si="116"/>
        <v>0</v>
      </c>
      <c r="L109">
        <f t="shared" ca="1" si="117"/>
        <v>0</v>
      </c>
      <c r="AS109">
        <v>-1.2740903539558723</v>
      </c>
      <c r="AT109">
        <v>-23.013285650913392</v>
      </c>
      <c r="AU109">
        <v>-227.72691339395863</v>
      </c>
      <c r="AV109">
        <f t="shared" si="81"/>
        <v>-1.6715109126972503</v>
      </c>
      <c r="AW109">
        <f t="shared" si="82"/>
        <v>0.39742055874137794</v>
      </c>
      <c r="AX109" s="40">
        <f t="shared" si="83"/>
        <v>-4.8131035662870438</v>
      </c>
      <c r="AY109">
        <f t="shared" si="84"/>
        <v>4.8131035662870438</v>
      </c>
      <c r="AZ109">
        <f t="shared" si="85"/>
        <v>5.0090949532237143</v>
      </c>
      <c r="BA109">
        <f t="shared" si="86"/>
        <v>-1.6715109126972503</v>
      </c>
      <c r="BB109">
        <f t="shared" si="87"/>
        <v>0.39742055874137794</v>
      </c>
      <c r="BC109">
        <f t="shared" si="88"/>
        <v>-4.8131035662870438</v>
      </c>
      <c r="BD109">
        <f t="shared" si="89"/>
        <v>4.8131035662870438</v>
      </c>
      <c r="BE109">
        <f t="shared" si="90"/>
        <v>3.7384607593488504</v>
      </c>
    </row>
    <row r="110" spans="1:57" x14ac:dyDescent="0.25">
      <c r="A110">
        <f t="shared" si="110"/>
        <v>7</v>
      </c>
      <c r="B110">
        <f t="shared" si="110"/>
        <v>0</v>
      </c>
      <c r="C110">
        <f t="shared" ca="1" si="110"/>
        <v>0</v>
      </c>
      <c r="D110">
        <f t="shared" ref="D110:E110" si="122">D21</f>
        <v>10</v>
      </c>
      <c r="E110">
        <f t="shared" si="122"/>
        <v>2</v>
      </c>
      <c r="F110" s="5">
        <f t="shared" ca="1" si="112"/>
        <v>0</v>
      </c>
      <c r="G110">
        <f t="shared" ca="1" si="113"/>
        <v>0</v>
      </c>
      <c r="H110">
        <f t="shared" ca="1" si="114"/>
        <v>0</v>
      </c>
      <c r="J110">
        <f t="shared" ca="1" si="115"/>
        <v>0</v>
      </c>
      <c r="K110">
        <f t="shared" ca="1" si="116"/>
        <v>0</v>
      </c>
      <c r="L110">
        <f t="shared" ca="1" si="117"/>
        <v>0</v>
      </c>
      <c r="AS110">
        <v>-1.256637061435929</v>
      </c>
      <c r="AT110">
        <v>-21.946944490272589</v>
      </c>
      <c r="AU110">
        <v>-227.42205592641088</v>
      </c>
      <c r="AV110">
        <f t="shared" si="81"/>
        <v>-1.6670015650478396</v>
      </c>
      <c r="AW110">
        <f t="shared" si="82"/>
        <v>0.41036450361191057</v>
      </c>
      <c r="AX110" s="40">
        <f t="shared" si="83"/>
        <v>-4.8085942186376327</v>
      </c>
      <c r="AY110">
        <f t="shared" si="84"/>
        <v>4.8085942186376327</v>
      </c>
      <c r="AZ110">
        <f t="shared" si="85"/>
        <v>5.0265482457436574</v>
      </c>
      <c r="BA110">
        <f t="shared" si="86"/>
        <v>-1.6670015650478396</v>
      </c>
      <c r="BB110">
        <f t="shared" si="87"/>
        <v>0.41036450361191057</v>
      </c>
      <c r="BC110">
        <f t="shared" si="88"/>
        <v>-4.8085942186376327</v>
      </c>
      <c r="BD110">
        <f t="shared" si="89"/>
        <v>4.8085942186376327</v>
      </c>
      <c r="BE110">
        <f t="shared" si="90"/>
        <v>3.7339514116994392</v>
      </c>
    </row>
    <row r="111" spans="1:57" x14ac:dyDescent="0.25">
      <c r="A111">
        <f t="shared" si="110"/>
        <v>8</v>
      </c>
      <c r="B111">
        <f t="shared" si="110"/>
        <v>0</v>
      </c>
      <c r="C111">
        <f t="shared" ca="1" si="110"/>
        <v>0</v>
      </c>
      <c r="D111">
        <f t="shared" ref="D111:E111" si="123">D22</f>
        <v>2</v>
      </c>
      <c r="E111">
        <f t="shared" si="123"/>
        <v>4</v>
      </c>
      <c r="F111" s="5">
        <f t="shared" ca="1" si="112"/>
        <v>0</v>
      </c>
      <c r="G111">
        <f t="shared" ca="1" si="113"/>
        <v>0</v>
      </c>
      <c r="H111">
        <f t="shared" ca="1" si="114"/>
        <v>0</v>
      </c>
      <c r="J111">
        <f t="shared" ca="1" si="115"/>
        <v>0</v>
      </c>
      <c r="K111">
        <f t="shared" ca="1" si="116"/>
        <v>0</v>
      </c>
      <c r="L111">
        <f t="shared" ca="1" si="117"/>
        <v>0</v>
      </c>
      <c r="AS111">
        <v>-1.2391837689159857</v>
      </c>
      <c r="AT111">
        <v>-20.875701823743547</v>
      </c>
      <c r="AU111">
        <v>-227.09705150566884</v>
      </c>
      <c r="AV111">
        <f t="shared" si="81"/>
        <v>-1.6624628534586459</v>
      </c>
      <c r="AW111">
        <f t="shared" si="82"/>
        <v>0.42327908454266017</v>
      </c>
      <c r="AX111" s="40">
        <f t="shared" si="83"/>
        <v>-4.8040555070484388</v>
      </c>
      <c r="AY111">
        <f t="shared" si="84"/>
        <v>4.8040555070484388</v>
      </c>
      <c r="AZ111">
        <f t="shared" si="85"/>
        <v>5.0440015382636005</v>
      </c>
      <c r="BA111">
        <f t="shared" si="86"/>
        <v>-1.6624628534586459</v>
      </c>
      <c r="BB111">
        <f t="shared" si="87"/>
        <v>0.42327908454266017</v>
      </c>
      <c r="BC111">
        <f t="shared" si="88"/>
        <v>-4.8040555070484388</v>
      </c>
      <c r="BD111">
        <f t="shared" si="89"/>
        <v>4.8040555070484388</v>
      </c>
      <c r="BE111">
        <f t="shared" si="90"/>
        <v>3.7294127001102453</v>
      </c>
    </row>
    <row r="112" spans="1:57" x14ac:dyDescent="0.25">
      <c r="A112">
        <f t="shared" si="110"/>
        <v>9</v>
      </c>
      <c r="B112">
        <f t="shared" si="110"/>
        <v>0</v>
      </c>
      <c r="C112">
        <f t="shared" ca="1" si="110"/>
        <v>0</v>
      </c>
      <c r="D112">
        <f t="shared" ref="D112:E112" si="124">D23</f>
        <v>6</v>
      </c>
      <c r="E112">
        <f t="shared" si="124"/>
        <v>4</v>
      </c>
      <c r="F112" s="5">
        <f t="shared" ca="1" si="112"/>
        <v>0</v>
      </c>
      <c r="G112">
        <f t="shared" ca="1" si="113"/>
        <v>0</v>
      </c>
      <c r="H112">
        <f t="shared" ca="1" si="114"/>
        <v>0</v>
      </c>
      <c r="J112">
        <f t="shared" ca="1" si="115"/>
        <v>0</v>
      </c>
      <c r="K112">
        <f t="shared" ca="1" si="116"/>
        <v>0</v>
      </c>
      <c r="L112">
        <f t="shared" ca="1" si="117"/>
        <v>0</v>
      </c>
      <c r="AS112">
        <v>-1.2217304763960424</v>
      </c>
      <c r="AT112">
        <v>-19.798561271026415</v>
      </c>
      <c r="AU112">
        <v>-226.75105497984498</v>
      </c>
      <c r="AV112">
        <f t="shared" si="81"/>
        <v>-1.6578895360392123</v>
      </c>
      <c r="AW112">
        <f t="shared" si="82"/>
        <v>0.43615905964316992</v>
      </c>
      <c r="AX112" s="40">
        <f t="shared" si="83"/>
        <v>-4.7994821896290052</v>
      </c>
      <c r="AY112">
        <f t="shared" si="84"/>
        <v>4.7994821896290052</v>
      </c>
      <c r="AZ112">
        <f t="shared" si="85"/>
        <v>5.0614548307835436</v>
      </c>
      <c r="BA112">
        <f t="shared" si="86"/>
        <v>-1.6578895360392123</v>
      </c>
      <c r="BB112">
        <f t="shared" si="87"/>
        <v>0.43615905964316992</v>
      </c>
      <c r="BC112">
        <f t="shared" si="88"/>
        <v>-4.7994821896290052</v>
      </c>
      <c r="BD112">
        <f t="shared" si="89"/>
        <v>4.7994821896290052</v>
      </c>
      <c r="BE112">
        <f t="shared" si="90"/>
        <v>3.7248393826908117</v>
      </c>
    </row>
    <row r="113" spans="1:57" x14ac:dyDescent="0.25">
      <c r="A113">
        <f t="shared" si="110"/>
        <v>10</v>
      </c>
      <c r="B113">
        <f t="shared" si="110"/>
        <v>0</v>
      </c>
      <c r="C113">
        <f t="shared" ca="1" si="110"/>
        <v>0</v>
      </c>
      <c r="D113">
        <f t="shared" ref="D113:E113" si="125">D24</f>
        <v>10</v>
      </c>
      <c r="E113">
        <f t="shared" si="125"/>
        <v>4</v>
      </c>
      <c r="F113" s="5">
        <f t="shared" ca="1" si="112"/>
        <v>0</v>
      </c>
      <c r="G113">
        <f t="shared" ca="1" si="113"/>
        <v>0</v>
      </c>
      <c r="H113">
        <f t="shared" ca="1" si="114"/>
        <v>0</v>
      </c>
      <c r="J113">
        <f t="shared" ca="1" si="115"/>
        <v>0</v>
      </c>
      <c r="K113">
        <f t="shared" ca="1" si="116"/>
        <v>0</v>
      </c>
      <c r="L113">
        <f t="shared" ca="1" si="117"/>
        <v>0</v>
      </c>
      <c r="AS113">
        <v>-1.2042771838760991</v>
      </c>
      <c r="AT113">
        <v>-18.714511232011525</v>
      </c>
      <c r="AU113">
        <v>-226.38314329466053</v>
      </c>
      <c r="AV113">
        <f t="shared" si="81"/>
        <v>-1.6532762052091612</v>
      </c>
      <c r="AW113">
        <f t="shared" si="82"/>
        <v>0.44899902133306213</v>
      </c>
      <c r="AX113" s="40">
        <f t="shared" si="83"/>
        <v>-4.7948688587989547</v>
      </c>
      <c r="AY113">
        <f t="shared" si="84"/>
        <v>4.7948688587989547</v>
      </c>
      <c r="AZ113">
        <f t="shared" si="85"/>
        <v>5.0789081233034867</v>
      </c>
      <c r="BA113">
        <f t="shared" si="86"/>
        <v>-1.6532762052091612</v>
      </c>
      <c r="BB113">
        <f t="shared" si="87"/>
        <v>0.44899902133306213</v>
      </c>
      <c r="BC113">
        <f t="shared" si="88"/>
        <v>-4.7948688587989547</v>
      </c>
      <c r="BD113">
        <f t="shared" si="89"/>
        <v>4.7948688587989547</v>
      </c>
      <c r="BE113">
        <f t="shared" si="90"/>
        <v>3.7202260518607613</v>
      </c>
    </row>
    <row r="114" spans="1:57" x14ac:dyDescent="0.25">
      <c r="F114" s="5">
        <f ca="1">SUM(F104:F113)</f>
        <v>114.51050000000001</v>
      </c>
      <c r="G114" s="5">
        <f t="shared" ref="G114:H114" ca="1" si="126">SUM(G104:G113)</f>
        <v>2519.2310000000002</v>
      </c>
      <c r="H114" s="5">
        <f t="shared" ca="1" si="126"/>
        <v>2061.1889999999999</v>
      </c>
      <c r="J114">
        <f ca="1">SUM(J104:J113)</f>
        <v>-170.64000000000001</v>
      </c>
      <c r="K114">
        <f t="shared" ref="K114:L114" ca="1" si="127">SUM(K104:K113)</f>
        <v>-3754.0800000000004</v>
      </c>
      <c r="L114">
        <f t="shared" ca="1" si="127"/>
        <v>-3071.5200000000004</v>
      </c>
      <c r="AS114">
        <v>-1.1868238913561557</v>
      </c>
      <c r="AT114">
        <v>-17.632020886245421</v>
      </c>
      <c r="AU114">
        <v>-225.99590320634036</v>
      </c>
      <c r="AV114">
        <f t="shared" si="81"/>
        <v>-1.6486578073800473</v>
      </c>
      <c r="AW114">
        <f t="shared" si="82"/>
        <v>0.46183391602389157</v>
      </c>
      <c r="AX114" s="40">
        <f t="shared" si="83"/>
        <v>-4.7902504609698404</v>
      </c>
      <c r="AY114">
        <f t="shared" si="84"/>
        <v>4.7902504609698404</v>
      </c>
      <c r="AZ114">
        <f t="shared" si="85"/>
        <v>5.0963614158234307</v>
      </c>
      <c r="BA114">
        <f t="shared" si="86"/>
        <v>-1.6486578073800473</v>
      </c>
      <c r="BB114">
        <f t="shared" si="87"/>
        <v>0.46183391602389157</v>
      </c>
      <c r="BC114">
        <f t="shared" si="88"/>
        <v>-4.7902504609698404</v>
      </c>
      <c r="BD114">
        <f t="shared" si="89"/>
        <v>4.7902504609698404</v>
      </c>
      <c r="BE114">
        <f t="shared" si="90"/>
        <v>3.7156076540316469</v>
      </c>
    </row>
    <row r="115" spans="1:57" x14ac:dyDescent="0.25">
      <c r="A115" s="8" t="s">
        <v>99</v>
      </c>
      <c r="B115" s="5">
        <f ca="1">B100+F114</f>
        <v>1705.7105000000001</v>
      </c>
      <c r="J115">
        <f ca="1">J114</f>
        <v>-170.64000000000001</v>
      </c>
      <c r="AS115">
        <v>-1.1693705988362124</v>
      </c>
      <c r="AT115">
        <v>-16.615142645650316</v>
      </c>
      <c r="AU115">
        <v>-225.61400869149182</v>
      </c>
      <c r="AV115">
        <f t="shared" si="81"/>
        <v>-1.6443077321795612</v>
      </c>
      <c r="AW115">
        <f t="shared" si="82"/>
        <v>0.47493713334334875</v>
      </c>
      <c r="AX115" s="40">
        <f t="shared" si="83"/>
        <v>-4.7859003857693541</v>
      </c>
      <c r="AY115">
        <f t="shared" si="84"/>
        <v>4.7859003857693541</v>
      </c>
      <c r="AZ115">
        <f t="shared" si="85"/>
        <v>5.1138147083433738</v>
      </c>
      <c r="BA115">
        <f t="shared" si="86"/>
        <v>-1.6443077321795612</v>
      </c>
      <c r="BB115">
        <f t="shared" si="87"/>
        <v>0.47493713334334875</v>
      </c>
      <c r="BC115">
        <f t="shared" si="88"/>
        <v>-4.7859003857693541</v>
      </c>
      <c r="BD115">
        <f t="shared" si="89"/>
        <v>4.7859003857693541</v>
      </c>
      <c r="BE115">
        <f t="shared" si="90"/>
        <v>3.7112575788311606</v>
      </c>
    </row>
    <row r="116" spans="1:57" x14ac:dyDescent="0.25">
      <c r="A116" s="8" t="s">
        <v>100</v>
      </c>
      <c r="B116" s="5">
        <f ca="1">B101+G114</f>
        <v>26387.231</v>
      </c>
      <c r="J116">
        <f ca="1">K114</f>
        <v>-3754.0800000000004</v>
      </c>
      <c r="AS116">
        <v>-1.1519173063162691</v>
      </c>
      <c r="AT116">
        <v>-15.668331232043153</v>
      </c>
      <c r="AU116">
        <v>-225.24125085893763</v>
      </c>
      <c r="AV116">
        <f t="shared" si="81"/>
        <v>-1.6402468898066436</v>
      </c>
      <c r="AW116">
        <f t="shared" si="82"/>
        <v>0.48832958349037447</v>
      </c>
      <c r="AX116" s="40">
        <f t="shared" si="83"/>
        <v>-4.7818395433964369</v>
      </c>
      <c r="AY116">
        <f t="shared" si="84"/>
        <v>4.7818395433964369</v>
      </c>
      <c r="AZ116">
        <f t="shared" si="85"/>
        <v>5.1312680008633169</v>
      </c>
      <c r="BA116">
        <f t="shared" si="86"/>
        <v>-1.6402468898066436</v>
      </c>
      <c r="BB116">
        <f t="shared" si="87"/>
        <v>0.48832958349037447</v>
      </c>
      <c r="BC116">
        <f t="shared" si="88"/>
        <v>-4.7818395433964369</v>
      </c>
      <c r="BD116">
        <f t="shared" si="89"/>
        <v>4.7818395433964369</v>
      </c>
      <c r="BE116">
        <f t="shared" si="90"/>
        <v>3.7071967364582434</v>
      </c>
    </row>
    <row r="117" spans="1:57" x14ac:dyDescent="0.25">
      <c r="A117" s="8" t="s">
        <v>101</v>
      </c>
      <c r="B117" s="5">
        <f ca="1">B102+H114</f>
        <v>25929.188999999998</v>
      </c>
      <c r="J117">
        <f ca="1">L114</f>
        <v>-3071.5200000000004</v>
      </c>
      <c r="AS117">
        <v>-1.1344640137963258</v>
      </c>
      <c r="AT117">
        <v>-14.783475707163127</v>
      </c>
      <c r="AU117">
        <v>-224.87643467436558</v>
      </c>
      <c r="AV117">
        <f t="shared" si="81"/>
        <v>-1.6364423055830994</v>
      </c>
      <c r="AW117">
        <f t="shared" si="82"/>
        <v>0.50197829178677367</v>
      </c>
      <c r="AX117" s="40">
        <f t="shared" si="83"/>
        <v>-4.7780349591728921</v>
      </c>
      <c r="AY117">
        <f t="shared" si="84"/>
        <v>4.7780349591728921</v>
      </c>
      <c r="AZ117">
        <f t="shared" si="85"/>
        <v>5.1487212933832609</v>
      </c>
      <c r="BA117">
        <f t="shared" si="86"/>
        <v>-1.6364423055830994</v>
      </c>
      <c r="BB117">
        <f t="shared" si="87"/>
        <v>0.50197829178677367</v>
      </c>
      <c r="BC117">
        <f t="shared" si="88"/>
        <v>-4.7780349591728921</v>
      </c>
      <c r="BD117">
        <f t="shared" si="89"/>
        <v>4.7780349591728921</v>
      </c>
      <c r="BE117">
        <f t="shared" si="90"/>
        <v>3.7033921522346986</v>
      </c>
    </row>
    <row r="118" spans="1:57" x14ac:dyDescent="0.25">
      <c r="AS118">
        <v>-1.1170107212763825</v>
      </c>
      <c r="AT118">
        <v>-13.953665398783665</v>
      </c>
      <c r="AU118">
        <v>-224.51849339010894</v>
      </c>
      <c r="AV118">
        <f t="shared" si="81"/>
        <v>-1.6328657857718847</v>
      </c>
      <c r="AW118">
        <f t="shared" si="82"/>
        <v>0.51585506449550222</v>
      </c>
      <c r="AX118" s="40">
        <f t="shared" si="83"/>
        <v>-4.7744584393616778</v>
      </c>
      <c r="AY118">
        <f t="shared" si="84"/>
        <v>4.7744584393616778</v>
      </c>
      <c r="AZ118">
        <f t="shared" si="85"/>
        <v>5.166174585903204</v>
      </c>
      <c r="BA118">
        <f t="shared" si="86"/>
        <v>-1.6328657857718847</v>
      </c>
      <c r="BB118">
        <f t="shared" si="87"/>
        <v>0.51585506449550222</v>
      </c>
      <c r="BC118">
        <f t="shared" si="88"/>
        <v>-4.7744584393616778</v>
      </c>
      <c r="BD118">
        <f t="shared" si="89"/>
        <v>4.7744584393616778</v>
      </c>
      <c r="BE118">
        <f t="shared" si="90"/>
        <v>3.6998156324234843</v>
      </c>
    </row>
    <row r="119" spans="1:57" x14ac:dyDescent="0.25">
      <c r="A119" s="8" t="s">
        <v>8</v>
      </c>
      <c r="B119">
        <f ca="1">B117/B115</f>
        <v>15.201400823879549</v>
      </c>
      <c r="J119">
        <f ca="1">J117/J115</f>
        <v>18</v>
      </c>
      <c r="AS119">
        <v>-1.0995574287564391</v>
      </c>
      <c r="AT119">
        <v>-13.172972920492969</v>
      </c>
      <c r="AU119">
        <v>-224.16646628999717</v>
      </c>
      <c r="AV119">
        <f t="shared" si="81"/>
        <v>-1.6294930683207585</v>
      </c>
      <c r="AW119">
        <f t="shared" si="82"/>
        <v>0.52993563956431933</v>
      </c>
      <c r="AX119" s="40">
        <f t="shared" si="83"/>
        <v>-4.771085721910552</v>
      </c>
      <c r="AY119">
        <f t="shared" si="84"/>
        <v>4.771085721910552</v>
      </c>
      <c r="AZ119">
        <f t="shared" si="85"/>
        <v>5.1836278784231471</v>
      </c>
      <c r="BA119">
        <f t="shared" si="86"/>
        <v>-1.6294930683207585</v>
      </c>
      <c r="BB119">
        <f t="shared" si="87"/>
        <v>0.52993563956431933</v>
      </c>
      <c r="BC119">
        <f t="shared" si="88"/>
        <v>-4.771085721910552</v>
      </c>
      <c r="BD119">
        <f t="shared" si="89"/>
        <v>4.771085721910552</v>
      </c>
      <c r="BE119">
        <f t="shared" si="90"/>
        <v>3.6964429149723586</v>
      </c>
    </row>
    <row r="120" spans="1:57" x14ac:dyDescent="0.25">
      <c r="A120" s="8" t="s">
        <v>9</v>
      </c>
      <c r="B120">
        <f ca="1">B116/B115</f>
        <v>15.46993525571895</v>
      </c>
      <c r="J120">
        <f ca="1">J116/J115</f>
        <v>22</v>
      </c>
      <c r="AS120">
        <v>-1.0821041362364958</v>
      </c>
      <c r="AT120">
        <v>-12.436282693340196</v>
      </c>
      <c r="AU120">
        <v>-223.81948077019757</v>
      </c>
      <c r="AV120">
        <f t="shared" si="81"/>
        <v>-1.6263031483373975</v>
      </c>
      <c r="AW120">
        <f t="shared" si="82"/>
        <v>0.54419901210090171</v>
      </c>
      <c r="AX120" s="40">
        <f t="shared" si="83"/>
        <v>-4.7678958019271906</v>
      </c>
      <c r="AY120">
        <f t="shared" si="84"/>
        <v>4.7678958019271906</v>
      </c>
      <c r="AZ120">
        <f t="shared" si="85"/>
        <v>5.2010811709430902</v>
      </c>
      <c r="BA120">
        <f t="shared" si="86"/>
        <v>-1.6263031483373975</v>
      </c>
      <c r="BB120">
        <f t="shared" si="87"/>
        <v>0.54419901210090171</v>
      </c>
      <c r="BC120">
        <f t="shared" si="88"/>
        <v>-4.7678958019271906</v>
      </c>
      <c r="BD120">
        <f t="shared" si="89"/>
        <v>4.7678958019271906</v>
      </c>
      <c r="BE120">
        <f t="shared" si="90"/>
        <v>3.6932529949889972</v>
      </c>
    </row>
    <row r="121" spans="1:57" x14ac:dyDescent="0.25">
      <c r="AS121">
        <v>-1.0646508437165525</v>
      </c>
      <c r="AT121">
        <v>-11.739154321164801</v>
      </c>
      <c r="AU121">
        <v>-223.476737166459</v>
      </c>
      <c r="AV121">
        <f t="shared" si="81"/>
        <v>-1.6232777384101893</v>
      </c>
      <c r="AW121">
        <f t="shared" si="82"/>
        <v>0.5586268946936368</v>
      </c>
      <c r="AX121" s="40">
        <f t="shared" si="83"/>
        <v>-4.7648703919999829</v>
      </c>
      <c r="AY121">
        <f t="shared" si="84"/>
        <v>4.7648703919999829</v>
      </c>
      <c r="AZ121">
        <f t="shared" si="85"/>
        <v>5.2185344634630333</v>
      </c>
      <c r="BA121">
        <f t="shared" si="86"/>
        <v>-1.6232777384101893</v>
      </c>
      <c r="BB121">
        <f t="shared" si="87"/>
        <v>0.5586268946936368</v>
      </c>
      <c r="BC121">
        <f t="shared" si="88"/>
        <v>-4.7648703919999829</v>
      </c>
      <c r="BD121">
        <f t="shared" si="89"/>
        <v>4.7648703919999829</v>
      </c>
      <c r="BE121">
        <f t="shared" si="90"/>
        <v>3.6902275850617894</v>
      </c>
    </row>
    <row r="122" spans="1:57" x14ac:dyDescent="0.25">
      <c r="AS122">
        <v>-1.0471975511966092</v>
      </c>
      <c r="AT122">
        <v>-11.077712607260695</v>
      </c>
      <c r="AU122">
        <v>-223.13749652442439</v>
      </c>
      <c r="AV122">
        <f t="shared" si="81"/>
        <v>-1.620400832193067</v>
      </c>
      <c r="AW122">
        <f t="shared" si="82"/>
        <v>0.57320328099645779</v>
      </c>
      <c r="AX122" s="40">
        <f t="shared" si="83"/>
        <v>-4.7619934857828596</v>
      </c>
      <c r="AY122">
        <f t="shared" si="84"/>
        <v>4.7619934857828596</v>
      </c>
      <c r="AZ122">
        <f t="shared" si="85"/>
        <v>5.2359877559829773</v>
      </c>
      <c r="BA122">
        <f t="shared" si="86"/>
        <v>-1.620400832193067</v>
      </c>
      <c r="BB122">
        <f t="shared" si="87"/>
        <v>0.57320328099645779</v>
      </c>
      <c r="BC122">
        <f t="shared" si="88"/>
        <v>-4.7619934857828596</v>
      </c>
      <c r="BD122">
        <f t="shared" si="89"/>
        <v>4.7619934857828596</v>
      </c>
      <c r="BE122">
        <f t="shared" si="90"/>
        <v>3.6873506788446662</v>
      </c>
    </row>
    <row r="123" spans="1:57" x14ac:dyDescent="0.25">
      <c r="A123" t="s">
        <v>128</v>
      </c>
      <c r="AS123">
        <v>-1.0297442586766659</v>
      </c>
      <c r="AT123">
        <v>-10.448558442594607</v>
      </c>
      <c r="AU123">
        <v>-222.80107011004907</v>
      </c>
      <c r="AV123">
        <f t="shared" si="81"/>
        <v>-1.6176583495015022</v>
      </c>
      <c r="AW123">
        <f t="shared" si="82"/>
        <v>0.58791409082483637</v>
      </c>
      <c r="AX123" s="40">
        <f t="shared" si="83"/>
        <v>-4.7592510030912951</v>
      </c>
      <c r="AY123">
        <f t="shared" si="84"/>
        <v>4.7592510030912951</v>
      </c>
      <c r="AZ123">
        <f t="shared" si="85"/>
        <v>5.2534410485029204</v>
      </c>
      <c r="BA123">
        <f t="shared" si="86"/>
        <v>-1.6176583495015022</v>
      </c>
      <c r="BB123">
        <f t="shared" si="87"/>
        <v>0.58791409082483637</v>
      </c>
      <c r="BC123">
        <f t="shared" si="88"/>
        <v>-4.7592510030912951</v>
      </c>
      <c r="BD123">
        <f t="shared" si="89"/>
        <v>4.7592510030912951</v>
      </c>
      <c r="BE123">
        <f t="shared" si="90"/>
        <v>3.6846081961531016</v>
      </c>
    </row>
    <row r="124" spans="1:57" x14ac:dyDescent="0.25">
      <c r="AS124">
        <v>-1.0122909661567225</v>
      </c>
      <c r="AT124">
        <v>-9.8486960653242193</v>
      </c>
      <c r="AU124">
        <v>-222.46681033950986</v>
      </c>
      <c r="AV124">
        <f t="shared" si="81"/>
        <v>-1.6150378455847416</v>
      </c>
      <c r="AW124">
        <f t="shared" si="82"/>
        <v>0.60274687942801908</v>
      </c>
      <c r="AX124" s="40">
        <f t="shared" si="83"/>
        <v>-4.756630499174535</v>
      </c>
      <c r="AY124">
        <f t="shared" si="84"/>
        <v>4.756630499174535</v>
      </c>
      <c r="AZ124">
        <f t="shared" si="85"/>
        <v>5.2708943410228635</v>
      </c>
      <c r="BA124">
        <f t="shared" si="86"/>
        <v>-1.6150378455847416</v>
      </c>
      <c r="BB124">
        <f t="shared" si="87"/>
        <v>0.60274687942801908</v>
      </c>
      <c r="BC124">
        <f t="shared" si="88"/>
        <v>-4.756630499174535</v>
      </c>
      <c r="BD124">
        <f t="shared" si="89"/>
        <v>4.756630499174535</v>
      </c>
      <c r="BE124">
        <f t="shared" si="90"/>
        <v>3.6819876922363415</v>
      </c>
    </row>
    <row r="125" spans="1:57" x14ac:dyDescent="0.25">
      <c r="A125" s="8" t="s">
        <v>134</v>
      </c>
      <c r="B125" s="3">
        <f ca="1">B119</f>
        <v>15.201400823879549</v>
      </c>
      <c r="C125" s="1" t="str">
        <f>"+ t ( "</f>
        <v xml:space="preserve">+ t ( </v>
      </c>
      <c r="D125" s="1">
        <f ca="1">J119</f>
        <v>18</v>
      </c>
      <c r="E125" s="1" t="s">
        <v>129</v>
      </c>
      <c r="F125" s="3">
        <f ca="1">B119</f>
        <v>15.201400823879549</v>
      </c>
      <c r="G125" s="1" t="s">
        <v>130</v>
      </c>
      <c r="AS125">
        <v>-0.99483767363677922</v>
      </c>
      <c r="AT125">
        <v>-9.2754731838321511</v>
      </c>
      <c r="AU125">
        <v>-222.13410315781599</v>
      </c>
      <c r="AV125">
        <f t="shared" si="81"/>
        <v>-1.6125282708955699</v>
      </c>
      <c r="AW125">
        <f t="shared" si="82"/>
        <v>0.61769059725879072</v>
      </c>
      <c r="AX125" s="40">
        <f t="shared" si="83"/>
        <v>-4.7541209244853633</v>
      </c>
      <c r="AY125">
        <f t="shared" si="84"/>
        <v>4.7541209244853633</v>
      </c>
      <c r="AZ125">
        <f t="shared" si="85"/>
        <v>5.2883476335428075</v>
      </c>
      <c r="BA125">
        <f t="shared" si="86"/>
        <v>-1.6125282708955699</v>
      </c>
      <c r="BB125">
        <f t="shared" si="87"/>
        <v>0.61769059725879072</v>
      </c>
      <c r="BC125">
        <f t="shared" si="88"/>
        <v>-4.7541209244853633</v>
      </c>
      <c r="BD125">
        <f t="shared" si="89"/>
        <v>4.7541209244853633</v>
      </c>
      <c r="BE125">
        <f t="shared" si="90"/>
        <v>3.6794781175471698</v>
      </c>
    </row>
    <row r="126" spans="1:57" x14ac:dyDescent="0.25">
      <c r="A126" s="8" t="s">
        <v>135</v>
      </c>
      <c r="B126" s="3">
        <f ca="1">B120</f>
        <v>15.46993525571895</v>
      </c>
      <c r="D126" s="1">
        <f ca="1">J120</f>
        <v>22</v>
      </c>
      <c r="F126" s="3">
        <f ca="1">B120</f>
        <v>15.46993525571895</v>
      </c>
      <c r="AS126">
        <v>-0.9773843811168359</v>
      </c>
      <c r="AT126">
        <v>-8.726531449605563</v>
      </c>
      <c r="AU126">
        <v>-221.80236123083921</v>
      </c>
      <c r="AV126">
        <f t="shared" si="81"/>
        <v>-1.6101197717542377</v>
      </c>
      <c r="AW126">
        <f t="shared" si="82"/>
        <v>0.63273539063740181</v>
      </c>
      <c r="AX126" s="40">
        <f t="shared" si="83"/>
        <v>-4.7517124253440306</v>
      </c>
      <c r="AY126">
        <f t="shared" si="84"/>
        <v>4.7517124253440306</v>
      </c>
      <c r="AZ126">
        <f t="shared" si="85"/>
        <v>5.3058009260627506</v>
      </c>
      <c r="BA126">
        <f t="shared" si="86"/>
        <v>-1.6101197717542377</v>
      </c>
      <c r="BB126">
        <f t="shared" si="87"/>
        <v>0.63273539063740181</v>
      </c>
      <c r="BC126">
        <f t="shared" si="88"/>
        <v>-4.7517124253440306</v>
      </c>
      <c r="BD126">
        <f t="shared" si="89"/>
        <v>4.7517124253440306</v>
      </c>
      <c r="BE126">
        <f t="shared" si="90"/>
        <v>3.6770696184058371</v>
      </c>
    </row>
    <row r="127" spans="1:57" x14ac:dyDescent="0.25">
      <c r="A127" s="8" t="s">
        <v>75</v>
      </c>
      <c r="B127" s="3">
        <f ca="1">B115</f>
        <v>1705.7105000000001</v>
      </c>
      <c r="D127" s="1">
        <f ca="1">J115</f>
        <v>-170.64000000000001</v>
      </c>
      <c r="F127" s="3">
        <f ca="1">B115</f>
        <v>1705.7105000000001</v>
      </c>
      <c r="AS127">
        <v>-0.95993108859689258</v>
      </c>
      <c r="AT127">
        <v>-8.1997651886565741</v>
      </c>
      <c r="AU127">
        <v>-221.47101796904337</v>
      </c>
      <c r="AV127">
        <f t="shared" si="81"/>
        <v>-1.6078035236734434</v>
      </c>
      <c r="AW127">
        <f t="shared" si="82"/>
        <v>0.64787243507655079</v>
      </c>
      <c r="AX127" s="40">
        <f t="shared" si="83"/>
        <v>-4.749396177263236</v>
      </c>
      <c r="AY127">
        <f t="shared" si="84"/>
        <v>4.749396177263236</v>
      </c>
      <c r="AZ127">
        <f t="shared" si="85"/>
        <v>5.3232542185826937</v>
      </c>
      <c r="BA127">
        <f t="shared" si="86"/>
        <v>-1.6078035236734434</v>
      </c>
      <c r="BB127">
        <f t="shared" si="87"/>
        <v>0.64787243507655079</v>
      </c>
      <c r="BC127">
        <f t="shared" si="88"/>
        <v>-4.749396177263236</v>
      </c>
      <c r="BD127">
        <f t="shared" si="89"/>
        <v>4.749396177263236</v>
      </c>
      <c r="BE127">
        <f t="shared" si="90"/>
        <v>3.6747533703250426</v>
      </c>
    </row>
    <row r="128" spans="1:57" x14ac:dyDescent="0.25">
      <c r="AS128">
        <v>-0.94247779607694926</v>
      </c>
      <c r="AT128">
        <v>-7.6932868236569512</v>
      </c>
      <c r="AU128">
        <v>-221.13952215211947</v>
      </c>
      <c r="AV128">
        <f t="shared" si="81"/>
        <v>-1.60557159123464</v>
      </c>
      <c r="AW128">
        <f t="shared" si="82"/>
        <v>0.66309379515769074</v>
      </c>
      <c r="AX128" s="40">
        <f t="shared" si="83"/>
        <v>-4.7471642448244333</v>
      </c>
      <c r="AY128">
        <f t="shared" si="84"/>
        <v>4.7471642448244333</v>
      </c>
      <c r="AZ128">
        <f t="shared" si="85"/>
        <v>5.3407075111026368</v>
      </c>
      <c r="BA128">
        <f t="shared" si="86"/>
        <v>-1.60557159123464</v>
      </c>
      <c r="BB128">
        <f t="shared" si="87"/>
        <v>0.66309379515769074</v>
      </c>
      <c r="BC128">
        <f t="shared" si="88"/>
        <v>-4.7471642448244333</v>
      </c>
      <c r="BD128">
        <f t="shared" si="89"/>
        <v>4.7471642448244333</v>
      </c>
      <c r="BE128">
        <f t="shared" si="90"/>
        <v>3.6725214378862399</v>
      </c>
    </row>
    <row r="129" spans="1:57" x14ac:dyDescent="0.25">
      <c r="A129" s="15" t="s">
        <v>131</v>
      </c>
      <c r="AS129">
        <v>-0.92502450355700594</v>
      </c>
      <c r="AT129">
        <v>-7.2053977619381051</v>
      </c>
      <c r="AU129">
        <v>-220.80733293922552</v>
      </c>
      <c r="AV129">
        <f t="shared" si="81"/>
        <v>-1.6034168097289625</v>
      </c>
      <c r="AW129">
        <f t="shared" si="82"/>
        <v>0.67839230617195656</v>
      </c>
      <c r="AX129" s="40">
        <f t="shared" si="83"/>
        <v>-4.7450094633187554</v>
      </c>
      <c r="AY129">
        <f t="shared" si="84"/>
        <v>4.7450094633187554</v>
      </c>
      <c r="AZ129">
        <f t="shared" si="85"/>
        <v>5.3581608036225798</v>
      </c>
      <c r="BA129">
        <f t="shared" si="86"/>
        <v>-1.6034168097289625</v>
      </c>
      <c r="BB129">
        <f t="shared" si="87"/>
        <v>0.67839230617195656</v>
      </c>
      <c r="BC129">
        <f t="shared" si="88"/>
        <v>-4.7450094633187554</v>
      </c>
      <c r="BD129">
        <f t="shared" si="89"/>
        <v>4.7450094633187554</v>
      </c>
      <c r="BE129">
        <f t="shared" si="90"/>
        <v>3.6703666563805619</v>
      </c>
    </row>
    <row r="130" spans="1:57" x14ac:dyDescent="0.25">
      <c r="A130" s="8" t="s">
        <v>133</v>
      </c>
      <c r="B130" s="1">
        <f>U10</f>
        <v>0</v>
      </c>
      <c r="AS130">
        <v>-0.90757121103706262</v>
      </c>
      <c r="AT130">
        <v>-6.7345637090930035</v>
      </c>
      <c r="AU130">
        <v>-220.47391531975566</v>
      </c>
      <c r="AV130">
        <f t="shared" si="81"/>
        <v>-1.6013326844025064</v>
      </c>
      <c r="AW130">
        <f t="shared" si="82"/>
        <v>0.6937614733654438</v>
      </c>
      <c r="AX130" s="40">
        <f t="shared" si="83"/>
        <v>-4.7429253379922995</v>
      </c>
      <c r="AY130">
        <f t="shared" si="84"/>
        <v>4.7429253379922995</v>
      </c>
      <c r="AZ130">
        <f t="shared" si="85"/>
        <v>5.3756140961425238</v>
      </c>
      <c r="BA130">
        <f t="shared" si="86"/>
        <v>-1.6013326844025064</v>
      </c>
      <c r="BB130">
        <f t="shared" si="87"/>
        <v>0.6937614733654438</v>
      </c>
      <c r="BC130">
        <f t="shared" si="88"/>
        <v>-4.7429253379922995</v>
      </c>
      <c r="BD130">
        <f t="shared" si="89"/>
        <v>4.7429253379922995</v>
      </c>
      <c r="BE130">
        <f t="shared" si="90"/>
        <v>3.6682825310541061</v>
      </c>
    </row>
    <row r="131" spans="1:57" x14ac:dyDescent="0.25">
      <c r="A131" s="8" t="s">
        <v>132</v>
      </c>
      <c r="B131">
        <f ca="1">(U10-B127)/(D127-F127)</f>
        <v>0.909057502849281</v>
      </c>
      <c r="AS131">
        <v>-0.8901179185171193</v>
      </c>
      <c r="AT131">
        <v>-6.2793936762651521</v>
      </c>
      <c r="AU131">
        <v>-220.13873570687838</v>
      </c>
      <c r="AV131">
        <f t="shared" ref="AV131:AV194" si="128">ATAN2(AT131,AU131)</f>
        <v>-1.5993133044717034</v>
      </c>
      <c r="AW131">
        <f t="shared" ref="AW131:AW194" si="129">ABS(AS131-AV131)</f>
        <v>0.70919538595458409</v>
      </c>
      <c r="AX131" s="40">
        <f t="shared" ref="AX131:AX194" si="130">AV131-$U$13</f>
        <v>-4.7409059580614965</v>
      </c>
      <c r="AY131">
        <f t="shared" ref="AY131:AY194" si="131">ABS(AX131)</f>
        <v>4.7409059580614965</v>
      </c>
      <c r="AZ131">
        <f t="shared" ref="AZ131:AZ182" si="132">AS131+(2*PI())</f>
        <v>5.3930673886624669</v>
      </c>
      <c r="BA131">
        <f t="shared" ref="BA131:BA182" si="133">AV131</f>
        <v>-1.5993133044717034</v>
      </c>
      <c r="BB131">
        <f t="shared" ref="BB131:BB182" si="134">AW131</f>
        <v>0.70919538595458409</v>
      </c>
      <c r="BC131">
        <f t="shared" ref="BC131:BC182" si="135">AX131</f>
        <v>-4.7409059580614965</v>
      </c>
      <c r="BD131">
        <f t="shared" ref="BD131:BD182" si="136">AY131</f>
        <v>4.7409059580614965</v>
      </c>
      <c r="BE131">
        <f t="shared" ref="BE131:BE182" si="137">BD131-(2*$BD$2)</f>
        <v>3.666263151123303</v>
      </c>
    </row>
    <row r="132" spans="1:57" x14ac:dyDescent="0.25">
      <c r="A132" s="8" t="s">
        <v>136</v>
      </c>
      <c r="B132">
        <f ca="1">B125+(B131*(D125-F125))</f>
        <v>17.745488402399662</v>
      </c>
      <c r="AS132">
        <v>-0.87266462599717598</v>
      </c>
      <c r="AT132">
        <v>-5.8386219693850361</v>
      </c>
      <c r="AU132">
        <v>-219.80125783805909</v>
      </c>
      <c r="AV132">
        <f t="shared" si="128"/>
        <v>-1.5973532689995233</v>
      </c>
      <c r="AW132">
        <f t="shared" si="129"/>
        <v>0.72468864300234737</v>
      </c>
      <c r="AX132" s="40">
        <f t="shared" si="130"/>
        <v>-4.7389459225893162</v>
      </c>
      <c r="AY132">
        <f t="shared" si="131"/>
        <v>4.7389459225893162</v>
      </c>
      <c r="AZ132">
        <f t="shared" si="132"/>
        <v>5.41052068118241</v>
      </c>
      <c r="BA132">
        <f t="shared" si="133"/>
        <v>-1.5973532689995233</v>
      </c>
      <c r="BB132">
        <f t="shared" si="134"/>
        <v>0.72468864300234737</v>
      </c>
      <c r="BC132">
        <f t="shared" si="135"/>
        <v>-4.7389459225893162</v>
      </c>
      <c r="BD132">
        <f t="shared" si="136"/>
        <v>4.7389459225893162</v>
      </c>
      <c r="BE132">
        <f t="shared" si="137"/>
        <v>3.6643031156511228</v>
      </c>
    </row>
    <row r="133" spans="1:57" x14ac:dyDescent="0.25">
      <c r="A133" s="8" t="s">
        <v>137</v>
      </c>
      <c r="B133">
        <f ca="1">B126+(B131*(D126-F126))</f>
        <v>21.406139605599211</v>
      </c>
      <c r="AS133">
        <v>-0.85521133347723266</v>
      </c>
      <c r="AT133">
        <v>-5.4110927823376649</v>
      </c>
      <c r="AU133">
        <v>-219.4609384566287</v>
      </c>
      <c r="AV133">
        <f t="shared" si="128"/>
        <v>-1.5954476232554311</v>
      </c>
      <c r="AW133">
        <f t="shared" si="129"/>
        <v>0.74023628977819844</v>
      </c>
      <c r="AX133" s="40">
        <f t="shared" si="130"/>
        <v>-4.7370402768452244</v>
      </c>
      <c r="AY133">
        <f t="shared" si="131"/>
        <v>4.7370402768452244</v>
      </c>
      <c r="AZ133">
        <f t="shared" si="132"/>
        <v>5.427973973702354</v>
      </c>
      <c r="BA133">
        <f t="shared" si="133"/>
        <v>-1.5954476232554311</v>
      </c>
      <c r="BB133">
        <f t="shared" si="134"/>
        <v>0.74023628977819844</v>
      </c>
      <c r="BC133">
        <f t="shared" si="135"/>
        <v>-4.7370402768452244</v>
      </c>
      <c r="BD133">
        <f t="shared" si="136"/>
        <v>4.7370402768452244</v>
      </c>
      <c r="BE133">
        <f t="shared" si="137"/>
        <v>3.662397469907031</v>
      </c>
    </row>
    <row r="134" spans="1:57" x14ac:dyDescent="0.25">
      <c r="AS134">
        <v>-0.83775804095728934</v>
      </c>
      <c r="AT134">
        <v>-4.9957467722637485</v>
      </c>
      <c r="AU134">
        <v>-219.11722336082769</v>
      </c>
      <c r="AV134">
        <f t="shared" si="128"/>
        <v>-1.593591802870054</v>
      </c>
      <c r="AW134">
        <f t="shared" si="129"/>
        <v>0.75583376191276463</v>
      </c>
      <c r="AX134" s="40">
        <f t="shared" si="130"/>
        <v>-4.7351844564598471</v>
      </c>
      <c r="AY134">
        <f t="shared" si="131"/>
        <v>4.7351844564598471</v>
      </c>
      <c r="AZ134">
        <f t="shared" si="132"/>
        <v>5.4454272662222971</v>
      </c>
      <c r="BA134">
        <f t="shared" si="133"/>
        <v>-1.593591802870054</v>
      </c>
      <c r="BB134">
        <f t="shared" si="134"/>
        <v>0.75583376191276463</v>
      </c>
      <c r="BC134">
        <f t="shared" si="135"/>
        <v>-4.7351844564598471</v>
      </c>
      <c r="BD134">
        <f t="shared" si="136"/>
        <v>4.7351844564598471</v>
      </c>
      <c r="BE134">
        <f t="shared" si="137"/>
        <v>3.6605416495216536</v>
      </c>
    </row>
    <row r="135" spans="1:57" x14ac:dyDescent="0.25">
      <c r="A135" s="8"/>
      <c r="AS135">
        <v>-0.82030474843734602</v>
      </c>
      <c r="AT135">
        <v>-4.522816289026105</v>
      </c>
      <c r="AU135">
        <v>-218.34428002005848</v>
      </c>
      <c r="AV135">
        <f t="shared" si="128"/>
        <v>-1.5915075154632601</v>
      </c>
      <c r="AW135">
        <f t="shared" si="129"/>
        <v>0.77120276702591406</v>
      </c>
      <c r="AX135" s="40">
        <f t="shared" si="130"/>
        <v>-4.7331001690530528</v>
      </c>
      <c r="AY135">
        <f t="shared" si="131"/>
        <v>4.7331001690530528</v>
      </c>
      <c r="AZ135">
        <f t="shared" si="132"/>
        <v>5.4628805587422402</v>
      </c>
      <c r="BA135">
        <f t="shared" si="133"/>
        <v>-1.5915075154632601</v>
      </c>
      <c r="BB135">
        <f t="shared" si="134"/>
        <v>0.77120276702591406</v>
      </c>
      <c r="BC135">
        <f t="shared" si="135"/>
        <v>-4.7331001690530528</v>
      </c>
      <c r="BD135">
        <f t="shared" si="136"/>
        <v>4.7331001690530528</v>
      </c>
      <c r="BE135">
        <f t="shared" si="137"/>
        <v>3.6584573621148593</v>
      </c>
    </row>
    <row r="136" spans="1:57" x14ac:dyDescent="0.25">
      <c r="A136" s="8"/>
      <c r="AS136">
        <v>-0.8028514559174027</v>
      </c>
      <c r="AT136">
        <v>-4.0211076542394775</v>
      </c>
      <c r="AU136">
        <v>-217.28260201758746</v>
      </c>
      <c r="AV136">
        <f t="shared" si="128"/>
        <v>-1.5893005634660691</v>
      </c>
      <c r="AW136">
        <f t="shared" si="129"/>
        <v>0.78644910754866637</v>
      </c>
      <c r="AX136" s="40">
        <f t="shared" si="130"/>
        <v>-4.7308932170558622</v>
      </c>
      <c r="AY136">
        <f t="shared" si="131"/>
        <v>4.7308932170558622</v>
      </c>
      <c r="AZ136">
        <f t="shared" si="132"/>
        <v>5.4803338512621833</v>
      </c>
      <c r="BA136">
        <f t="shared" si="133"/>
        <v>-1.5893005634660691</v>
      </c>
      <c r="BB136">
        <f t="shared" si="134"/>
        <v>0.78644910754866637</v>
      </c>
      <c r="BC136">
        <f t="shared" si="135"/>
        <v>-4.7308932170558622</v>
      </c>
      <c r="BD136">
        <f t="shared" si="136"/>
        <v>4.7308932170558622</v>
      </c>
      <c r="BE136">
        <f t="shared" si="137"/>
        <v>3.6562504101176687</v>
      </c>
    </row>
    <row r="137" spans="1:57" x14ac:dyDescent="0.25">
      <c r="AS137">
        <v>-0.78539816339745938</v>
      </c>
      <c r="AT137">
        <v>-3.5401525378406067</v>
      </c>
      <c r="AU137">
        <v>-216.23507249771524</v>
      </c>
      <c r="AV137">
        <f t="shared" si="128"/>
        <v>-1.5871666419928749</v>
      </c>
      <c r="AW137">
        <f t="shared" si="129"/>
        <v>0.80176847859541556</v>
      </c>
      <c r="AX137" s="40">
        <f t="shared" si="130"/>
        <v>-4.7287592955826678</v>
      </c>
      <c r="AY137">
        <f t="shared" si="131"/>
        <v>4.7287592955826678</v>
      </c>
      <c r="AZ137">
        <f t="shared" si="132"/>
        <v>5.4977871437821264</v>
      </c>
      <c r="BA137">
        <f t="shared" si="133"/>
        <v>-1.5871666419928749</v>
      </c>
      <c r="BB137">
        <f t="shared" si="134"/>
        <v>0.80176847859541556</v>
      </c>
      <c r="BC137">
        <f t="shared" si="135"/>
        <v>-4.7287592955826678</v>
      </c>
      <c r="BD137">
        <f t="shared" si="136"/>
        <v>4.7287592955826678</v>
      </c>
      <c r="BE137">
        <f t="shared" si="137"/>
        <v>3.6541164886444744</v>
      </c>
    </row>
    <row r="138" spans="1:57" x14ac:dyDescent="0.25">
      <c r="AS138">
        <v>-0.76794487087751606</v>
      </c>
      <c r="AT138">
        <v>-3.0784766529985572</v>
      </c>
      <c r="AU138">
        <v>-215.20013798925757</v>
      </c>
      <c r="AV138">
        <f t="shared" si="128"/>
        <v>-1.5851005308547395</v>
      </c>
      <c r="AW138">
        <f t="shared" si="129"/>
        <v>0.81715565997722339</v>
      </c>
      <c r="AX138" s="40">
        <f t="shared" si="130"/>
        <v>-4.7266931844445326</v>
      </c>
      <c r="AY138">
        <f t="shared" si="131"/>
        <v>4.7266931844445326</v>
      </c>
      <c r="AZ138">
        <f t="shared" si="132"/>
        <v>5.5152404363020704</v>
      </c>
      <c r="BA138">
        <f t="shared" si="133"/>
        <v>-1.5851005308547395</v>
      </c>
      <c r="BB138">
        <f t="shared" si="134"/>
        <v>0.81715565997722339</v>
      </c>
      <c r="BC138">
        <f t="shared" si="135"/>
        <v>-4.7266931844445326</v>
      </c>
      <c r="BD138">
        <f t="shared" si="136"/>
        <v>4.7266931844445326</v>
      </c>
      <c r="BE138">
        <f t="shared" si="137"/>
        <v>3.6520503775063391</v>
      </c>
    </row>
    <row r="139" spans="1:57" x14ac:dyDescent="0.25">
      <c r="AS139">
        <v>-0.75049157835757274</v>
      </c>
      <c r="AT139">
        <v>-2.6347300977984105</v>
      </c>
      <c r="AU139">
        <v>-214.17630345979492</v>
      </c>
      <c r="AV139">
        <f t="shared" si="128"/>
        <v>-1.583097394473215</v>
      </c>
      <c r="AW139">
        <f t="shared" si="129"/>
        <v>0.83260581611564222</v>
      </c>
      <c r="AX139" s="40">
        <f t="shared" si="130"/>
        <v>-4.7246900480630085</v>
      </c>
      <c r="AY139">
        <f t="shared" si="131"/>
        <v>4.7246900480630085</v>
      </c>
      <c r="AZ139">
        <f t="shared" si="132"/>
        <v>5.5326937288220135</v>
      </c>
      <c r="BA139">
        <f t="shared" si="133"/>
        <v>-1.583097394473215</v>
      </c>
      <c r="BB139">
        <f t="shared" si="134"/>
        <v>0.83260581611564222</v>
      </c>
      <c r="BC139">
        <f t="shared" si="135"/>
        <v>-4.7246900480630085</v>
      </c>
      <c r="BD139">
        <f t="shared" si="136"/>
        <v>4.7246900480630085</v>
      </c>
      <c r="BE139">
        <f t="shared" si="137"/>
        <v>3.650047241124815</v>
      </c>
    </row>
    <row r="140" spans="1:57" x14ac:dyDescent="0.25">
      <c r="AS140">
        <v>-0.73303828583762942</v>
      </c>
      <c r="AT140">
        <v>-2.2076735294429795</v>
      </c>
      <c r="AU140">
        <v>-213.16212137573888</v>
      </c>
      <c r="AV140">
        <f t="shared" si="128"/>
        <v>-1.5811527380861485</v>
      </c>
      <c r="AW140">
        <f t="shared" si="129"/>
        <v>0.84811445224851911</v>
      </c>
      <c r="AX140" s="40">
        <f t="shared" si="130"/>
        <v>-4.7227453916759412</v>
      </c>
      <c r="AY140">
        <f t="shared" si="131"/>
        <v>4.7227453916759412</v>
      </c>
      <c r="AZ140">
        <f t="shared" si="132"/>
        <v>5.5501470213419566</v>
      </c>
      <c r="BA140">
        <f t="shared" si="133"/>
        <v>-1.5811527380861485</v>
      </c>
      <c r="BB140">
        <f t="shared" si="134"/>
        <v>0.84811445224851911</v>
      </c>
      <c r="BC140">
        <f t="shared" si="135"/>
        <v>-4.7227453916759412</v>
      </c>
      <c r="BD140">
        <f t="shared" si="136"/>
        <v>4.7227453916759412</v>
      </c>
      <c r="BE140">
        <f t="shared" si="137"/>
        <v>3.6481025847377477</v>
      </c>
    </row>
    <row r="141" spans="1:57" x14ac:dyDescent="0.25">
      <c r="AS141">
        <v>-0.7155849933176861</v>
      </c>
      <c r="AT141">
        <v>-1.796165859101535</v>
      </c>
      <c r="AU141">
        <v>-212.15618154590953</v>
      </c>
      <c r="AV141">
        <f t="shared" si="128"/>
        <v>-1.5792623678647368</v>
      </c>
      <c r="AW141">
        <f t="shared" si="129"/>
        <v>0.86367737454705074</v>
      </c>
      <c r="AX141" s="40">
        <f t="shared" si="130"/>
        <v>-4.72085502145453</v>
      </c>
      <c r="AY141">
        <f t="shared" si="131"/>
        <v>4.72085502145453</v>
      </c>
      <c r="AZ141">
        <f t="shared" si="132"/>
        <v>5.5676003138619006</v>
      </c>
      <c r="BA141">
        <f t="shared" si="133"/>
        <v>-1.5792623678647368</v>
      </c>
      <c r="BB141">
        <f t="shared" si="134"/>
        <v>0.86367737454705074</v>
      </c>
      <c r="BC141">
        <f t="shared" si="135"/>
        <v>-4.72085502145453</v>
      </c>
      <c r="BD141">
        <f t="shared" si="136"/>
        <v>4.72085502145453</v>
      </c>
      <c r="BE141">
        <f t="shared" si="137"/>
        <v>3.6462122145163365</v>
      </c>
    </row>
    <row r="142" spans="1:57" x14ac:dyDescent="0.25">
      <c r="AS142">
        <v>-0.69813170079774278</v>
      </c>
      <c r="AT142">
        <v>-1.3991534493266728</v>
      </c>
      <c r="AU142">
        <v>-211.15710097259779</v>
      </c>
      <c r="AV142">
        <f t="shared" si="128"/>
        <v>-1.5774223553137552</v>
      </c>
      <c r="AW142">
        <f t="shared" si="129"/>
        <v>0.8792906545160124</v>
      </c>
      <c r="AX142" s="40">
        <f t="shared" si="130"/>
        <v>-4.7190150089035487</v>
      </c>
      <c r="AY142">
        <f t="shared" si="131"/>
        <v>4.7190150089035487</v>
      </c>
      <c r="AZ142">
        <f t="shared" si="132"/>
        <v>5.5850536063818437</v>
      </c>
      <c r="BA142">
        <f t="shared" si="133"/>
        <v>-1.5774223553137552</v>
      </c>
      <c r="BB142">
        <f t="shared" si="134"/>
        <v>0.8792906545160124</v>
      </c>
      <c r="BC142">
        <f t="shared" si="135"/>
        <v>-4.7190150089035487</v>
      </c>
      <c r="BD142">
        <f t="shared" si="136"/>
        <v>4.7190150089035487</v>
      </c>
      <c r="BE142">
        <f t="shared" si="137"/>
        <v>3.6443722019653553</v>
      </c>
    </row>
    <row r="143" spans="1:57" x14ac:dyDescent="0.25">
      <c r="AS143">
        <v>-0.68067840827779946</v>
      </c>
      <c r="AT143">
        <v>-1.015660416254093</v>
      </c>
      <c r="AU143">
        <v>-210.16351401371139</v>
      </c>
      <c r="AV143">
        <f t="shared" si="128"/>
        <v>-1.5756290044086523</v>
      </c>
      <c r="AW143">
        <f t="shared" si="129"/>
        <v>0.89495059613085282</v>
      </c>
      <c r="AX143" s="40">
        <f t="shared" si="130"/>
        <v>-4.7172216579984454</v>
      </c>
      <c r="AY143">
        <f t="shared" si="131"/>
        <v>4.7172216579984454</v>
      </c>
      <c r="AZ143">
        <f t="shared" si="132"/>
        <v>5.6025068989017868</v>
      </c>
      <c r="BA143">
        <f t="shared" si="133"/>
        <v>-1.5756290044086523</v>
      </c>
      <c r="BB143">
        <f t="shared" si="134"/>
        <v>0.89495059613085282</v>
      </c>
      <c r="BC143">
        <f t="shared" si="135"/>
        <v>-4.7172216579984454</v>
      </c>
      <c r="BD143">
        <f t="shared" si="136"/>
        <v>4.7172216579984454</v>
      </c>
      <c r="BE143">
        <f t="shared" si="137"/>
        <v>3.6425788510602519</v>
      </c>
    </row>
    <row r="144" spans="1:57" x14ac:dyDescent="0.25">
      <c r="AS144">
        <v>-0.66322511575785614</v>
      </c>
      <c r="AT144">
        <v>-0.64477992863677391</v>
      </c>
      <c r="AU144">
        <v>-209.17406248055204</v>
      </c>
      <c r="AV144">
        <f t="shared" si="128"/>
        <v>-1.5738788212438031</v>
      </c>
      <c r="AW144">
        <f t="shared" si="129"/>
        <v>0.91065370548594693</v>
      </c>
      <c r="AX144" s="40">
        <f t="shared" si="130"/>
        <v>-4.7154714748335964</v>
      </c>
      <c r="AY144">
        <f t="shared" si="131"/>
        <v>4.7154714748335964</v>
      </c>
      <c r="AZ144">
        <f t="shared" si="132"/>
        <v>5.6199601914217299</v>
      </c>
      <c r="BA144">
        <f t="shared" si="133"/>
        <v>-1.5738788212438031</v>
      </c>
      <c r="BB144">
        <f t="shared" si="134"/>
        <v>0.91065370548594693</v>
      </c>
      <c r="BC144">
        <f t="shared" si="135"/>
        <v>-4.7154714748335964</v>
      </c>
      <c r="BD144">
        <f t="shared" si="136"/>
        <v>4.7154714748335964</v>
      </c>
      <c r="BE144">
        <f t="shared" si="137"/>
        <v>3.6408286678954029</v>
      </c>
    </row>
    <row r="145" spans="45:57" x14ac:dyDescent="0.25">
      <c r="AS145">
        <v>-0.64577182323791282</v>
      </c>
      <c r="AT145">
        <v>-0.28566641925667113</v>
      </c>
      <c r="AU145">
        <v>-208.18738529472708</v>
      </c>
      <c r="AV145">
        <f t="shared" si="128"/>
        <v>-1.5721684860136984</v>
      </c>
      <c r="AW145">
        <f t="shared" si="129"/>
        <v>0.92639666277578558</v>
      </c>
      <c r="AX145" s="40">
        <f t="shared" si="130"/>
        <v>-4.7137611396034913</v>
      </c>
      <c r="AY145">
        <f t="shared" si="131"/>
        <v>4.7137611396034913</v>
      </c>
      <c r="AZ145">
        <f t="shared" si="132"/>
        <v>5.637413483941673</v>
      </c>
      <c r="BA145">
        <f t="shared" si="133"/>
        <v>-1.5721684860136984</v>
      </c>
      <c r="BB145">
        <f t="shared" si="134"/>
        <v>0.92639666277578558</v>
      </c>
      <c r="BC145">
        <f t="shared" si="135"/>
        <v>-4.7137611396034913</v>
      </c>
      <c r="BD145">
        <f t="shared" si="136"/>
        <v>4.7137611396034913</v>
      </c>
      <c r="BE145">
        <f t="shared" si="137"/>
        <v>3.6391183326652978</v>
      </c>
    </row>
    <row r="146" spans="45:57" x14ac:dyDescent="0.25">
      <c r="AS146">
        <v>-0.6283185307179695</v>
      </c>
      <c r="AT146">
        <v>6.2471625563028967E-2</v>
      </c>
      <c r="AU146">
        <v>-207.2021079842923</v>
      </c>
      <c r="AV146">
        <f t="shared" si="128"/>
        <v>-1.5704948258870255</v>
      </c>
      <c r="AW146">
        <f t="shared" si="129"/>
        <v>0.94217629516905599</v>
      </c>
      <c r="AX146" s="40">
        <f t="shared" si="130"/>
        <v>-4.7120874794768186</v>
      </c>
      <c r="AY146">
        <f t="shared" si="131"/>
        <v>4.7120874794768186</v>
      </c>
      <c r="AZ146">
        <f t="shared" si="132"/>
        <v>5.654866776461617</v>
      </c>
      <c r="BA146">
        <f t="shared" si="133"/>
        <v>-1.5704948258870255</v>
      </c>
      <c r="BB146">
        <f t="shared" si="134"/>
        <v>0.94217629516905599</v>
      </c>
      <c r="BC146">
        <f t="shared" si="135"/>
        <v>-4.7120874794768186</v>
      </c>
      <c r="BD146">
        <f t="shared" si="136"/>
        <v>4.7120874794768186</v>
      </c>
      <c r="BE146">
        <f t="shared" si="137"/>
        <v>3.6374446725386251</v>
      </c>
    </row>
    <row r="147" spans="45:57" x14ac:dyDescent="0.25">
      <c r="AS147">
        <v>-0.61086523819802618</v>
      </c>
      <c r="AT147">
        <v>0.40037819917273509</v>
      </c>
      <c r="AU147">
        <v>-206.21683121782536</v>
      </c>
      <c r="AV147">
        <f t="shared" si="128"/>
        <v>-1.5688547893669189</v>
      </c>
      <c r="AW147">
        <f t="shared" si="129"/>
        <v>0.95798955116889273</v>
      </c>
      <c r="AX147" s="40">
        <f t="shared" si="130"/>
        <v>-4.7104474429567116</v>
      </c>
      <c r="AY147">
        <f t="shared" si="131"/>
        <v>4.7104474429567116</v>
      </c>
      <c r="AZ147">
        <f t="shared" si="132"/>
        <v>5.67232006898156</v>
      </c>
      <c r="BA147">
        <f t="shared" si="133"/>
        <v>-1.5688547893669189</v>
      </c>
      <c r="BB147">
        <f t="shared" si="134"/>
        <v>0.95798955116889273</v>
      </c>
      <c r="BC147">
        <f t="shared" si="135"/>
        <v>-4.7104474429567116</v>
      </c>
      <c r="BD147">
        <f t="shared" si="136"/>
        <v>4.7104474429567116</v>
      </c>
      <c r="BE147">
        <f t="shared" si="137"/>
        <v>3.6358046360185181</v>
      </c>
    </row>
    <row r="148" spans="45:57" x14ac:dyDescent="0.25">
      <c r="AS148">
        <v>-0.59341194567808286</v>
      </c>
      <c r="AT148">
        <v>0.7287559401184921</v>
      </c>
      <c r="AU148">
        <v>-205.23011859211286</v>
      </c>
      <c r="AV148">
        <f t="shared" si="128"/>
        <v>-1.5672454207087432</v>
      </c>
      <c r="AW148">
        <f t="shared" si="129"/>
        <v>0.97383347503066031</v>
      </c>
      <c r="AX148" s="40">
        <f t="shared" si="130"/>
        <v>-4.7088380742985363</v>
      </c>
      <c r="AY148">
        <f t="shared" si="131"/>
        <v>4.7088380742985363</v>
      </c>
      <c r="AZ148">
        <f t="shared" si="132"/>
        <v>5.6897733615015031</v>
      </c>
      <c r="BA148">
        <f t="shared" si="133"/>
        <v>-1.5672454207087432</v>
      </c>
      <c r="BB148">
        <f t="shared" si="134"/>
        <v>0.97383347503066031</v>
      </c>
      <c r="BC148">
        <f t="shared" si="135"/>
        <v>-4.7088380742985363</v>
      </c>
      <c r="BD148">
        <f t="shared" si="136"/>
        <v>4.7088380742985363</v>
      </c>
      <c r="BE148">
        <f t="shared" si="137"/>
        <v>3.6341952673603428</v>
      </c>
    </row>
    <row r="149" spans="45:57" x14ac:dyDescent="0.25">
      <c r="AS149">
        <v>-0.57595865315813954</v>
      </c>
      <c r="AT149">
        <v>1.0482718953438224</v>
      </c>
      <c r="AU149">
        <v>-204.2404829953839</v>
      </c>
      <c r="AV149">
        <f t="shared" si="128"/>
        <v>-1.5656638345717031</v>
      </c>
      <c r="AW149">
        <f t="shared" si="129"/>
        <v>0.98970518141356356</v>
      </c>
      <c r="AX149" s="40">
        <f t="shared" si="130"/>
        <v>-4.7072564881614962</v>
      </c>
      <c r="AY149">
        <f t="shared" si="131"/>
        <v>4.7072564881614962</v>
      </c>
      <c r="AZ149">
        <f t="shared" si="132"/>
        <v>5.7072266540214471</v>
      </c>
      <c r="BA149">
        <f t="shared" si="133"/>
        <v>-1.5656638345717031</v>
      </c>
      <c r="BB149">
        <f t="shared" si="134"/>
        <v>0.98970518141356356</v>
      </c>
      <c r="BC149">
        <f t="shared" si="135"/>
        <v>-4.7072564881614962</v>
      </c>
      <c r="BD149">
        <f t="shared" si="136"/>
        <v>4.7072564881614962</v>
      </c>
      <c r="BE149">
        <f t="shared" si="137"/>
        <v>3.6326136812233027</v>
      </c>
    </row>
    <row r="150" spans="45:57" x14ac:dyDescent="0.25">
      <c r="AS150">
        <v>-0.55850536063819622</v>
      </c>
      <c r="AT150">
        <v>1.3595631303817071</v>
      </c>
      <c r="AU150">
        <v>-203.2463715146402</v>
      </c>
      <c r="AV150">
        <f t="shared" si="128"/>
        <v>-1.5641071896530778</v>
      </c>
      <c r="AW150">
        <f t="shared" si="129"/>
        <v>1.0056018290148816</v>
      </c>
      <c r="AX150" s="40">
        <f t="shared" si="130"/>
        <v>-4.7056998432428712</v>
      </c>
      <c r="AY150">
        <f t="shared" si="131"/>
        <v>4.7056998432428712</v>
      </c>
      <c r="AZ150">
        <f t="shared" si="132"/>
        <v>5.7246799465413902</v>
      </c>
      <c r="BA150">
        <f t="shared" si="133"/>
        <v>-1.5641071896530778</v>
      </c>
      <c r="BB150">
        <f t="shared" si="134"/>
        <v>1.0056018290148816</v>
      </c>
      <c r="BC150">
        <f t="shared" si="135"/>
        <v>-4.7056998432428712</v>
      </c>
      <c r="BD150">
        <f t="shared" si="136"/>
        <v>4.7056998432428712</v>
      </c>
      <c r="BE150">
        <f t="shared" si="137"/>
        <v>3.6310570363046777</v>
      </c>
    </row>
    <row r="151" spans="45:57" x14ac:dyDescent="0.25">
      <c r="AS151">
        <v>-0.5410520681182529</v>
      </c>
      <c r="AT151">
        <v>1.663242110058752</v>
      </c>
      <c r="AU151">
        <v>-202.24614796512515</v>
      </c>
      <c r="AV151">
        <f t="shared" si="128"/>
        <v>-1.5625726615615165</v>
      </c>
      <c r="AW151">
        <f t="shared" si="129"/>
        <v>1.0215205934432636</v>
      </c>
      <c r="AX151" s="40">
        <f t="shared" si="130"/>
        <v>-4.7041653151513092</v>
      </c>
      <c r="AY151">
        <f t="shared" si="131"/>
        <v>4.7041653151513092</v>
      </c>
      <c r="AZ151">
        <f t="shared" si="132"/>
        <v>5.7421332390613333</v>
      </c>
      <c r="BA151">
        <f t="shared" si="133"/>
        <v>-1.5625726615615165</v>
      </c>
      <c r="BB151">
        <f t="shared" si="134"/>
        <v>1.0215205934432636</v>
      </c>
      <c r="BC151">
        <f t="shared" si="135"/>
        <v>-4.7041653151513092</v>
      </c>
      <c r="BD151">
        <f t="shared" si="136"/>
        <v>4.7041653151513092</v>
      </c>
      <c r="BE151">
        <f t="shared" si="137"/>
        <v>3.6295225082131157</v>
      </c>
    </row>
    <row r="152" spans="45:57" x14ac:dyDescent="0.25">
      <c r="AS152">
        <v>-0.52359877559830958</v>
      </c>
      <c r="AT152">
        <v>1.959902185976631</v>
      </c>
      <c r="AU152">
        <v>-201.23807300317822</v>
      </c>
      <c r="AV152">
        <f t="shared" si="128"/>
        <v>-1.5610574131137578</v>
      </c>
      <c r="AW152">
        <f t="shared" si="129"/>
        <v>1.0374586375154482</v>
      </c>
      <c r="AX152" s="40">
        <f t="shared" si="130"/>
        <v>-4.7026500667035513</v>
      </c>
      <c r="AY152">
        <f t="shared" si="131"/>
        <v>4.7026500667035513</v>
      </c>
      <c r="AZ152">
        <f t="shared" si="132"/>
        <v>5.7595865315812764</v>
      </c>
      <c r="BA152">
        <f t="shared" si="133"/>
        <v>-1.5610574131137578</v>
      </c>
      <c r="BB152">
        <f t="shared" si="134"/>
        <v>1.0374586375154482</v>
      </c>
      <c r="BC152">
        <f t="shared" si="135"/>
        <v>-4.7026500667035513</v>
      </c>
      <c r="BD152">
        <f t="shared" si="136"/>
        <v>4.7026500667035513</v>
      </c>
      <c r="BE152">
        <f t="shared" si="137"/>
        <v>3.6280072597653579</v>
      </c>
    </row>
    <row r="153" spans="45:57" x14ac:dyDescent="0.25">
      <c r="AS153">
        <v>-0.50614548307836627</v>
      </c>
      <c r="AT153">
        <v>2.2501231500811683</v>
      </c>
      <c r="AU153">
        <v>-200.2202806828941</v>
      </c>
      <c r="AV153">
        <f t="shared" si="128"/>
        <v>-1.5595585619645478</v>
      </c>
      <c r="AW153">
        <f t="shared" si="129"/>
        <v>1.0534130788861815</v>
      </c>
      <c r="AX153" s="40">
        <f t="shared" si="130"/>
        <v>-4.7011512155543409</v>
      </c>
      <c r="AY153">
        <f t="shared" si="131"/>
        <v>4.7011512155543409</v>
      </c>
      <c r="AZ153">
        <f t="shared" si="132"/>
        <v>5.7770398241012195</v>
      </c>
      <c r="BA153">
        <f t="shared" si="133"/>
        <v>-1.5595585619645478</v>
      </c>
      <c r="BB153">
        <f t="shared" si="134"/>
        <v>1.0534130788861815</v>
      </c>
      <c r="BC153">
        <f t="shared" si="135"/>
        <v>-4.7011512155543409</v>
      </c>
      <c r="BD153">
        <f t="shared" si="136"/>
        <v>4.7011512155543409</v>
      </c>
      <c r="BE153">
        <f t="shared" si="137"/>
        <v>3.6265084086161474</v>
      </c>
    </row>
    <row r="154" spans="45:57" x14ac:dyDescent="0.25">
      <c r="AS154">
        <v>-0.48869219055842295</v>
      </c>
      <c r="AT154">
        <v>2.5344770178102349</v>
      </c>
      <c r="AU154">
        <v>-199.19075057607762</v>
      </c>
      <c r="AV154">
        <f t="shared" si="128"/>
        <v>-1.5580731443722373</v>
      </c>
      <c r="AW154">
        <f t="shared" si="129"/>
        <v>1.0693809538138144</v>
      </c>
      <c r="AX154" s="40">
        <f t="shared" si="130"/>
        <v>-4.6996657979620302</v>
      </c>
      <c r="AY154">
        <f t="shared" si="131"/>
        <v>4.6996657979620302</v>
      </c>
      <c r="AZ154">
        <f t="shared" si="132"/>
        <v>5.7944931166211635</v>
      </c>
      <c r="BA154">
        <f t="shared" si="133"/>
        <v>-1.5580731443722373</v>
      </c>
      <c r="BB154">
        <f t="shared" si="134"/>
        <v>1.0693809538138144</v>
      </c>
      <c r="BC154">
        <f t="shared" si="135"/>
        <v>-4.6996657979620302</v>
      </c>
      <c r="BD154">
        <f t="shared" si="136"/>
        <v>4.6996657979620302</v>
      </c>
      <c r="BE154">
        <f t="shared" si="137"/>
        <v>3.6250229910238367</v>
      </c>
    </row>
    <row r="155" spans="45:57" x14ac:dyDescent="0.25">
      <c r="AS155">
        <v>-0.47123889803847963</v>
      </c>
      <c r="AT155">
        <v>2.8135343754069257</v>
      </c>
      <c r="AU155">
        <v>-198.14727464487729</v>
      </c>
      <c r="AV155">
        <f t="shared" si="128"/>
        <v>-1.5565980729082922</v>
      </c>
      <c r="AW155">
        <f t="shared" si="129"/>
        <v>1.0853591748698126</v>
      </c>
      <c r="AX155" s="40">
        <f t="shared" si="130"/>
        <v>-4.6981907264980851</v>
      </c>
      <c r="AY155">
        <f t="shared" si="131"/>
        <v>4.6981907264980851</v>
      </c>
      <c r="AZ155">
        <f t="shared" si="132"/>
        <v>5.8119464091411066</v>
      </c>
      <c r="BA155">
        <f t="shared" si="133"/>
        <v>-1.5565980729082922</v>
      </c>
      <c r="BB155">
        <f t="shared" si="134"/>
        <v>1.0853591748698126</v>
      </c>
      <c r="BC155">
        <f t="shared" si="135"/>
        <v>-4.6981907264980851</v>
      </c>
      <c r="BD155">
        <f t="shared" si="136"/>
        <v>4.6981907264980851</v>
      </c>
      <c r="BE155">
        <f t="shared" si="137"/>
        <v>3.6235479195598916</v>
      </c>
    </row>
    <row r="156" spans="45:57" x14ac:dyDescent="0.25">
      <c r="AS156">
        <v>-0.45378560551853631</v>
      </c>
      <c r="AT156">
        <v>3.0878711973791781</v>
      </c>
      <c r="AU156">
        <v>-197.0874165773136</v>
      </c>
      <c r="AV156">
        <f t="shared" si="128"/>
        <v>-1.5551300877876153</v>
      </c>
      <c r="AW156">
        <f t="shared" si="129"/>
        <v>1.101344482269079</v>
      </c>
      <c r="AX156" s="40">
        <f t="shared" si="130"/>
        <v>-4.6967227413774086</v>
      </c>
      <c r="AY156">
        <f t="shared" si="131"/>
        <v>4.6967227413774086</v>
      </c>
      <c r="AZ156">
        <f t="shared" si="132"/>
        <v>5.8293997016610497</v>
      </c>
      <c r="BA156">
        <f t="shared" si="133"/>
        <v>-1.5551300877876153</v>
      </c>
      <c r="BB156">
        <f t="shared" si="134"/>
        <v>1.101344482269079</v>
      </c>
      <c r="BC156">
        <f t="shared" si="135"/>
        <v>-4.6967227413774086</v>
      </c>
      <c r="BD156">
        <f t="shared" si="136"/>
        <v>4.6967227413774086</v>
      </c>
      <c r="BE156">
        <f t="shared" si="137"/>
        <v>3.6220799344392152</v>
      </c>
    </row>
    <row r="157" spans="45:57" x14ac:dyDescent="0.25">
      <c r="AS157">
        <v>-0.43633231299859299</v>
      </c>
      <c r="AT157">
        <v>3.3580767069561261</v>
      </c>
      <c r="AU157">
        <v>-196.00846226060744</v>
      </c>
      <c r="AV157">
        <f t="shared" si="128"/>
        <v>-1.5536656979614174</v>
      </c>
      <c r="AW157">
        <f t="shared" si="129"/>
        <v>1.1173333849628244</v>
      </c>
      <c r="AX157" s="40">
        <f t="shared" si="130"/>
        <v>-4.6952583515512103</v>
      </c>
      <c r="AY157">
        <f t="shared" si="131"/>
        <v>4.6952583515512103</v>
      </c>
      <c r="AZ157">
        <f t="shared" si="132"/>
        <v>5.8468529941809937</v>
      </c>
      <c r="BA157">
        <f t="shared" si="133"/>
        <v>-1.5536656979614174</v>
      </c>
      <c r="BB157">
        <f t="shared" si="134"/>
        <v>1.1173333849628244</v>
      </c>
      <c r="BC157">
        <f t="shared" si="135"/>
        <v>-4.6952583515512103</v>
      </c>
      <c r="BD157">
        <f t="shared" si="136"/>
        <v>4.6952583515512103</v>
      </c>
      <c r="BE157">
        <f t="shared" si="137"/>
        <v>3.6206155446130168</v>
      </c>
    </row>
    <row r="158" spans="45:57" x14ac:dyDescent="0.25">
      <c r="AS158">
        <v>-0.41887902047864967</v>
      </c>
      <c r="AT158">
        <v>3.6247623622290033</v>
      </c>
      <c r="AU158">
        <v>-194.90735802898485</v>
      </c>
      <c r="AV158">
        <f t="shared" si="128"/>
        <v>-1.5522011100897866</v>
      </c>
      <c r="AW158">
        <f t="shared" si="129"/>
        <v>1.1333220896111369</v>
      </c>
      <c r="AX158" s="40">
        <f t="shared" si="130"/>
        <v>-4.6937937636795795</v>
      </c>
      <c r="AY158">
        <f t="shared" si="131"/>
        <v>4.6937937636795795</v>
      </c>
      <c r="AZ158">
        <f t="shared" si="132"/>
        <v>5.8643062867009368</v>
      </c>
      <c r="BA158">
        <f t="shared" si="133"/>
        <v>-1.5522011100897866</v>
      </c>
      <c r="BB158">
        <f t="shared" si="134"/>
        <v>1.1333220896111369</v>
      </c>
      <c r="BC158">
        <f t="shared" si="135"/>
        <v>-4.6937937636795795</v>
      </c>
      <c r="BD158">
        <f t="shared" si="136"/>
        <v>4.6937937636795795</v>
      </c>
      <c r="BE158">
        <f t="shared" si="137"/>
        <v>3.619150956741386</v>
      </c>
    </row>
    <row r="159" spans="45:57" x14ac:dyDescent="0.25">
      <c r="AS159">
        <v>-0.40142572795870635</v>
      </c>
      <c r="AT159">
        <v>3.8885725595473559</v>
      </c>
      <c r="AU159">
        <v>-193.78063331234162</v>
      </c>
      <c r="AV159">
        <f t="shared" si="128"/>
        <v>-1.550732140454437</v>
      </c>
      <c r="AW159">
        <f t="shared" si="129"/>
        <v>1.1493064124957306</v>
      </c>
      <c r="AX159" s="40">
        <f t="shared" si="130"/>
        <v>-4.6923247940442305</v>
      </c>
      <c r="AY159">
        <f t="shared" si="131"/>
        <v>4.6923247940442305</v>
      </c>
      <c r="AZ159">
        <f t="shared" si="132"/>
        <v>5.8817595792208799</v>
      </c>
      <c r="BA159">
        <f t="shared" si="133"/>
        <v>-1.550732140454437</v>
      </c>
      <c r="BB159">
        <f t="shared" si="134"/>
        <v>1.1493064124957306</v>
      </c>
      <c r="BC159">
        <f t="shared" si="135"/>
        <v>-4.6923247940442305</v>
      </c>
      <c r="BD159">
        <f t="shared" si="136"/>
        <v>4.6923247940442305</v>
      </c>
      <c r="BE159">
        <f t="shared" si="137"/>
        <v>3.6176819871060371</v>
      </c>
    </row>
    <row r="160" spans="45:57" x14ac:dyDescent="0.25">
      <c r="AS160">
        <v>-0.38397243543876303</v>
      </c>
      <c r="AT160">
        <v>4.150197523419294</v>
      </c>
      <c r="AU160">
        <v>-192.62430229796274</v>
      </c>
      <c r="AV160">
        <f t="shared" si="128"/>
        <v>-1.5492541046366095</v>
      </c>
      <c r="AW160">
        <f t="shared" si="129"/>
        <v>1.1652816691978465</v>
      </c>
      <c r="AX160" s="40">
        <f t="shared" si="130"/>
        <v>-4.6908467582264031</v>
      </c>
      <c r="AY160">
        <f t="shared" si="131"/>
        <v>4.6908467582264031</v>
      </c>
      <c r="AZ160">
        <f t="shared" si="132"/>
        <v>5.899212871740823</v>
      </c>
      <c r="BA160">
        <f t="shared" si="133"/>
        <v>-1.5492541046366095</v>
      </c>
      <c r="BB160">
        <f t="shared" si="134"/>
        <v>1.1652816691978465</v>
      </c>
      <c r="BC160">
        <f t="shared" si="135"/>
        <v>-4.6908467582264031</v>
      </c>
      <c r="BD160">
        <f t="shared" si="136"/>
        <v>4.6908467582264031</v>
      </c>
      <c r="BE160">
        <f t="shared" si="137"/>
        <v>3.6162039512882096</v>
      </c>
    </row>
    <row r="161" spans="45:57" x14ac:dyDescent="0.25">
      <c r="AS161">
        <v>-0.36651914291881971</v>
      </c>
      <c r="AT161">
        <v>4.410389043441981</v>
      </c>
      <c r="AU161">
        <v>-191.43373720339343</v>
      </c>
      <c r="AV161">
        <f t="shared" si="128"/>
        <v>-1.5477616776430894</v>
      </c>
      <c r="AW161">
        <f t="shared" si="129"/>
        <v>1.1812425347242697</v>
      </c>
      <c r="AX161" s="40">
        <f t="shared" si="130"/>
        <v>-4.6893543312328827</v>
      </c>
      <c r="AY161">
        <f t="shared" si="131"/>
        <v>4.6893543312328827</v>
      </c>
      <c r="AZ161">
        <f t="shared" si="132"/>
        <v>5.9166661642607661</v>
      </c>
      <c r="BA161">
        <f t="shared" si="133"/>
        <v>-1.5477616776430894</v>
      </c>
      <c r="BB161">
        <f t="shared" si="134"/>
        <v>1.1812425347242697</v>
      </c>
      <c r="BC161">
        <f t="shared" si="135"/>
        <v>-4.6893543312328827</v>
      </c>
      <c r="BD161">
        <f t="shared" si="136"/>
        <v>4.6893543312328827</v>
      </c>
      <c r="BE161">
        <f t="shared" si="137"/>
        <v>3.6147115242946892</v>
      </c>
    </row>
    <row r="162" spans="45:57" x14ac:dyDescent="0.25">
      <c r="AS162">
        <v>-0.34906585039887639</v>
      </c>
      <c r="AT162">
        <v>4.6699803997784439</v>
      </c>
      <c r="AU162">
        <v>-190.2035037331855</v>
      </c>
      <c r="AV162">
        <f t="shared" si="128"/>
        <v>-1.5462487120044406</v>
      </c>
      <c r="AW162">
        <f t="shared" si="129"/>
        <v>1.1971828616055642</v>
      </c>
      <c r="AX162" s="40">
        <f t="shared" si="130"/>
        <v>-4.6878413655942337</v>
      </c>
      <c r="AY162">
        <f t="shared" si="131"/>
        <v>4.6878413655942337</v>
      </c>
      <c r="AZ162">
        <f t="shared" si="132"/>
        <v>5.9341194567807101</v>
      </c>
      <c r="BA162">
        <f t="shared" si="133"/>
        <v>-1.5462487120044406</v>
      </c>
      <c r="BB162">
        <f t="shared" si="134"/>
        <v>1.1971828616055642</v>
      </c>
      <c r="BC162">
        <f t="shared" si="135"/>
        <v>-4.6878413655942337</v>
      </c>
      <c r="BD162">
        <f t="shared" si="136"/>
        <v>4.6878413655942337</v>
      </c>
      <c r="BE162">
        <f t="shared" si="137"/>
        <v>3.6131985586560402</v>
      </c>
    </row>
    <row r="163" spans="45:57" x14ac:dyDescent="0.25">
      <c r="AS163">
        <v>-0.33161255787893307</v>
      </c>
      <c r="AT163">
        <v>4.9299114342448318</v>
      </c>
      <c r="AU163">
        <v>-188.92714309151506</v>
      </c>
      <c r="AV163">
        <f t="shared" si="128"/>
        <v>-1.5447080005279197</v>
      </c>
      <c r="AW163">
        <f t="shared" si="129"/>
        <v>1.2130954426489866</v>
      </c>
      <c r="AX163" s="40">
        <f t="shared" si="130"/>
        <v>-4.686300654117713</v>
      </c>
      <c r="AY163">
        <f t="shared" si="131"/>
        <v>4.686300654117713</v>
      </c>
      <c r="AZ163">
        <f t="shared" si="132"/>
        <v>5.9515727493006532</v>
      </c>
      <c r="BA163">
        <f t="shared" si="133"/>
        <v>-1.5447080005279197</v>
      </c>
      <c r="BB163">
        <f t="shared" si="134"/>
        <v>1.2130954426489866</v>
      </c>
      <c r="BC163">
        <f t="shared" si="135"/>
        <v>-4.686300654117713</v>
      </c>
      <c r="BD163">
        <f t="shared" si="136"/>
        <v>4.686300654117713</v>
      </c>
      <c r="BE163">
        <f t="shared" si="137"/>
        <v>3.6116578471795195</v>
      </c>
    </row>
    <row r="164" spans="45:57" x14ac:dyDescent="0.25">
      <c r="AS164">
        <v>-0.31415926535898975</v>
      </c>
      <c r="AT164">
        <v>5.1912612370967164</v>
      </c>
      <c r="AU164">
        <v>-187.59688038625293</v>
      </c>
      <c r="AV164">
        <f t="shared" si="128"/>
        <v>-1.5431309586796598</v>
      </c>
      <c r="AW164">
        <f t="shared" si="129"/>
        <v>1.22897169332067</v>
      </c>
      <c r="AX164" s="40">
        <f t="shared" si="130"/>
        <v>-4.6847236122694529</v>
      </c>
      <c r="AY164">
        <f t="shared" si="131"/>
        <v>4.6847236122694529</v>
      </c>
      <c r="AZ164">
        <f t="shared" si="132"/>
        <v>5.9690260418205963</v>
      </c>
      <c r="BA164">
        <f t="shared" si="133"/>
        <v>-1.5431309586796598</v>
      </c>
      <c r="BB164">
        <f t="shared" si="134"/>
        <v>1.22897169332067</v>
      </c>
      <c r="BC164">
        <f t="shared" si="135"/>
        <v>-4.6847236122694529</v>
      </c>
      <c r="BD164">
        <f t="shared" si="136"/>
        <v>4.6847236122694529</v>
      </c>
      <c r="BE164">
        <f t="shared" si="137"/>
        <v>3.6100808053312594</v>
      </c>
    </row>
    <row r="165" spans="45:57" x14ac:dyDescent="0.25">
      <c r="AS165">
        <v>-0.29670597283904643</v>
      </c>
      <c r="AT165">
        <v>5.4039590271095328</v>
      </c>
      <c r="AU165">
        <v>-184.45113739166462</v>
      </c>
      <c r="AV165">
        <f t="shared" si="128"/>
        <v>-1.5415071950107142</v>
      </c>
      <c r="AW165">
        <f t="shared" si="129"/>
        <v>1.2448012221716678</v>
      </c>
      <c r="AX165" s="40">
        <f t="shared" si="130"/>
        <v>-4.6830998486005075</v>
      </c>
      <c r="AY165">
        <f t="shared" si="131"/>
        <v>4.6830998486005075</v>
      </c>
      <c r="AZ165">
        <f t="shared" si="132"/>
        <v>5.9864793343405402</v>
      </c>
      <c r="BA165">
        <f t="shared" si="133"/>
        <v>-1.5415071950107142</v>
      </c>
      <c r="BB165">
        <f t="shared" si="134"/>
        <v>1.2448012221716678</v>
      </c>
      <c r="BC165">
        <f t="shared" si="135"/>
        <v>-4.6830998486005075</v>
      </c>
      <c r="BD165">
        <f t="shared" si="136"/>
        <v>4.6830998486005075</v>
      </c>
      <c r="BE165">
        <f t="shared" si="137"/>
        <v>3.6084570416623141</v>
      </c>
    </row>
    <row r="166" spans="45:57" x14ac:dyDescent="0.25">
      <c r="AS166">
        <v>-0.27925268031910311</v>
      </c>
      <c r="AT166">
        <v>5.5866053152397406</v>
      </c>
      <c r="AU166">
        <v>-180.31592495949261</v>
      </c>
      <c r="AV166">
        <f t="shared" si="128"/>
        <v>-1.5398239165081666</v>
      </c>
      <c r="AW166">
        <f t="shared" si="129"/>
        <v>1.2605712361890635</v>
      </c>
      <c r="AX166" s="40">
        <f t="shared" si="130"/>
        <v>-4.6814165700979595</v>
      </c>
      <c r="AY166">
        <f t="shared" si="131"/>
        <v>4.6814165700979595</v>
      </c>
      <c r="AZ166">
        <f t="shared" si="132"/>
        <v>6.0039326268604833</v>
      </c>
      <c r="BA166">
        <f t="shared" si="133"/>
        <v>-1.5398239165081666</v>
      </c>
      <c r="BB166">
        <f t="shared" si="134"/>
        <v>1.2605712361890635</v>
      </c>
      <c r="BC166">
        <f t="shared" si="135"/>
        <v>-4.6814165700979595</v>
      </c>
      <c r="BD166">
        <f t="shared" si="136"/>
        <v>4.6814165700979595</v>
      </c>
      <c r="BE166">
        <f t="shared" si="137"/>
        <v>3.6067737631597661</v>
      </c>
    </row>
    <row r="167" spans="45:57" x14ac:dyDescent="0.25">
      <c r="AS167">
        <v>-0.26179938779915979</v>
      </c>
      <c r="AT167">
        <v>5.7648791885751196</v>
      </c>
      <c r="AU167">
        <v>-176.06485600665499</v>
      </c>
      <c r="AV167">
        <f t="shared" si="128"/>
        <v>-1.5380650908804037</v>
      </c>
      <c r="AW167">
        <f t="shared" si="129"/>
        <v>1.2762657030812439</v>
      </c>
      <c r="AX167" s="40">
        <f t="shared" si="130"/>
        <v>-4.6796577444701963</v>
      </c>
      <c r="AY167">
        <f t="shared" si="131"/>
        <v>4.6796577444701963</v>
      </c>
      <c r="AZ167">
        <f t="shared" si="132"/>
        <v>6.0213859193804264</v>
      </c>
      <c r="BA167">
        <f t="shared" si="133"/>
        <v>-1.5380650908804037</v>
      </c>
      <c r="BB167">
        <f t="shared" si="134"/>
        <v>1.2762657030812439</v>
      </c>
      <c r="BC167">
        <f t="shared" si="135"/>
        <v>-4.6796577444701963</v>
      </c>
      <c r="BD167">
        <f t="shared" si="136"/>
        <v>4.6796577444701963</v>
      </c>
      <c r="BE167">
        <f t="shared" si="137"/>
        <v>3.6050149375320029</v>
      </c>
    </row>
    <row r="168" spans="45:57" x14ac:dyDescent="0.25">
      <c r="AS168">
        <v>-0.2443460952792165</v>
      </c>
      <c r="AT168">
        <v>5.940088072995767</v>
      </c>
      <c r="AU168">
        <v>-171.67940753754911</v>
      </c>
      <c r="AV168">
        <f t="shared" si="128"/>
        <v>-1.5362102371589732</v>
      </c>
      <c r="AW168">
        <f t="shared" si="129"/>
        <v>1.2918641418797567</v>
      </c>
      <c r="AX168" s="40">
        <f t="shared" si="130"/>
        <v>-4.6778028907487661</v>
      </c>
      <c r="AY168">
        <f t="shared" si="131"/>
        <v>4.6778028907487661</v>
      </c>
      <c r="AZ168">
        <f t="shared" si="132"/>
        <v>6.0388392119003695</v>
      </c>
      <c r="BA168">
        <f t="shared" si="133"/>
        <v>-1.5362102371589732</v>
      </c>
      <c r="BB168">
        <f t="shared" si="134"/>
        <v>1.2918641418797567</v>
      </c>
      <c r="BC168">
        <f t="shared" si="135"/>
        <v>-4.6778028907487661</v>
      </c>
      <c r="BD168">
        <f t="shared" si="136"/>
        <v>4.6778028907487661</v>
      </c>
      <c r="BE168">
        <f t="shared" si="137"/>
        <v>3.6031600838105726</v>
      </c>
    </row>
    <row r="169" spans="45:57" x14ac:dyDescent="0.25">
      <c r="AS169">
        <v>-0.2268928027592732</v>
      </c>
      <c r="AT169">
        <v>6.1138682438713667</v>
      </c>
      <c r="AU169">
        <v>-167.13693281376999</v>
      </c>
      <c r="AV169">
        <f t="shared" si="128"/>
        <v>-1.5342326340953982</v>
      </c>
      <c r="AW169">
        <f t="shared" si="129"/>
        <v>1.3073398313361251</v>
      </c>
      <c r="AX169" s="40">
        <f t="shared" si="130"/>
        <v>-4.6758252876851909</v>
      </c>
      <c r="AY169">
        <f t="shared" si="131"/>
        <v>4.6758252876851909</v>
      </c>
      <c r="AZ169">
        <f t="shared" si="132"/>
        <v>6.0562925044203126</v>
      </c>
      <c r="BA169">
        <f t="shared" si="133"/>
        <v>-1.5342326340953982</v>
      </c>
      <c r="BB169">
        <f t="shared" si="134"/>
        <v>1.3073398313361251</v>
      </c>
      <c r="BC169">
        <f t="shared" si="135"/>
        <v>-4.6758252876851909</v>
      </c>
      <c r="BD169">
        <f t="shared" si="136"/>
        <v>4.6758252876851909</v>
      </c>
      <c r="BE169">
        <f t="shared" si="137"/>
        <v>3.6011824807469974</v>
      </c>
    </row>
    <row r="170" spans="45:57" x14ac:dyDescent="0.25">
      <c r="AS170">
        <v>-0.20943951023932991</v>
      </c>
      <c r="AT170">
        <v>6.2883287330957511</v>
      </c>
      <c r="AU170">
        <v>-162.40907862183832</v>
      </c>
      <c r="AV170">
        <f t="shared" si="128"/>
        <v>-1.5320965866525929</v>
      </c>
      <c r="AW170">
        <f t="shared" si="129"/>
        <v>1.322657076413263</v>
      </c>
      <c r="AX170" s="40">
        <f t="shared" si="130"/>
        <v>-4.6736892402423855</v>
      </c>
      <c r="AY170">
        <f t="shared" si="131"/>
        <v>4.6736892402423855</v>
      </c>
      <c r="AZ170">
        <f t="shared" si="132"/>
        <v>6.0737457969402566</v>
      </c>
      <c r="BA170">
        <f t="shared" si="133"/>
        <v>-1.5320965866525929</v>
      </c>
      <c r="BB170">
        <f t="shared" si="134"/>
        <v>1.322657076413263</v>
      </c>
      <c r="BC170">
        <f t="shared" si="135"/>
        <v>-4.6736892402423855</v>
      </c>
      <c r="BD170">
        <f t="shared" si="136"/>
        <v>4.6736892402423855</v>
      </c>
      <c r="BE170">
        <f t="shared" si="137"/>
        <v>3.599046433304192</v>
      </c>
    </row>
    <row r="171" spans="45:57" x14ac:dyDescent="0.25">
      <c r="AS171">
        <v>-0.19198621771938662</v>
      </c>
      <c r="AT171">
        <v>6.4662701220816228</v>
      </c>
      <c r="AU171">
        <v>-157.45934548462637</v>
      </c>
      <c r="AV171">
        <f t="shared" si="128"/>
        <v>-1.5297531052289646</v>
      </c>
      <c r="AW171">
        <f t="shared" si="129"/>
        <v>1.3377668875095781</v>
      </c>
      <c r="AX171" s="40">
        <f t="shared" si="130"/>
        <v>-4.6713457588187577</v>
      </c>
      <c r="AY171">
        <f t="shared" si="131"/>
        <v>4.6713457588187577</v>
      </c>
      <c r="AZ171">
        <f t="shared" si="132"/>
        <v>6.0911990894601997</v>
      </c>
      <c r="BA171">
        <f t="shared" si="133"/>
        <v>-1.5297531052289646</v>
      </c>
      <c r="BB171">
        <f t="shared" si="134"/>
        <v>1.3377668875095781</v>
      </c>
      <c r="BC171">
        <f t="shared" si="135"/>
        <v>-4.6713457588187577</v>
      </c>
      <c r="BD171">
        <f t="shared" si="136"/>
        <v>4.6713457588187577</v>
      </c>
      <c r="BE171">
        <f t="shared" si="137"/>
        <v>3.5967029518805642</v>
      </c>
    </row>
    <row r="172" spans="45:57" x14ac:dyDescent="0.25">
      <c r="AS172">
        <v>-0.17453292519944333</v>
      </c>
      <c r="AT172">
        <v>6.6515280714817573</v>
      </c>
      <c r="AU172">
        <v>-152.23916914962729</v>
      </c>
      <c r="AV172">
        <f t="shared" si="128"/>
        <v>-1.5271327905616301</v>
      </c>
      <c r="AW172">
        <f t="shared" si="129"/>
        <v>1.3525998653621867</v>
      </c>
      <c r="AX172" s="40">
        <f t="shared" si="130"/>
        <v>-4.6687254441514234</v>
      </c>
      <c r="AY172">
        <f t="shared" si="131"/>
        <v>4.6687254441514234</v>
      </c>
      <c r="AZ172">
        <f t="shared" si="132"/>
        <v>6.1086523819801428</v>
      </c>
      <c r="BA172">
        <f t="shared" si="133"/>
        <v>-1.5271327905616301</v>
      </c>
      <c r="BB172">
        <f t="shared" si="134"/>
        <v>1.3525998653621867</v>
      </c>
      <c r="BC172">
        <f t="shared" si="135"/>
        <v>-4.6687254441514234</v>
      </c>
      <c r="BD172">
        <f t="shared" si="136"/>
        <v>4.6687254441514234</v>
      </c>
      <c r="BE172">
        <f t="shared" si="137"/>
        <v>3.59408263721323</v>
      </c>
    </row>
    <row r="173" spans="45:57" x14ac:dyDescent="0.25">
      <c r="AS173">
        <v>-0.15707963267950004</v>
      </c>
      <c r="AT173">
        <v>6.8495339049125317</v>
      </c>
      <c r="AU173">
        <v>-146.68132074896809</v>
      </c>
      <c r="AV173">
        <f t="shared" si="128"/>
        <v>-1.5241335225812809</v>
      </c>
      <c r="AW173">
        <f t="shared" si="129"/>
        <v>1.3670538899017808</v>
      </c>
      <c r="AX173" s="40">
        <f t="shared" si="130"/>
        <v>-4.6657261761710735</v>
      </c>
      <c r="AY173">
        <f t="shared" si="131"/>
        <v>4.6657261761710735</v>
      </c>
      <c r="AZ173">
        <f t="shared" si="132"/>
        <v>6.1261056745000859</v>
      </c>
      <c r="BA173">
        <f t="shared" si="133"/>
        <v>-1.5241335225812809</v>
      </c>
      <c r="BB173">
        <f t="shared" si="134"/>
        <v>1.3670538899017808</v>
      </c>
      <c r="BC173">
        <f t="shared" si="135"/>
        <v>-4.6657261761710735</v>
      </c>
      <c r="BD173">
        <f t="shared" si="136"/>
        <v>4.6657261761710735</v>
      </c>
      <c r="BE173">
        <f t="shared" si="137"/>
        <v>3.5910833692328801</v>
      </c>
    </row>
    <row r="174" spans="45:57" x14ac:dyDescent="0.25">
      <c r="AS174">
        <v>-0.13962634015955674</v>
      </c>
      <c r="AT174">
        <v>7.046766385546996</v>
      </c>
      <c r="AU174">
        <v>-139.67618490852462</v>
      </c>
      <c r="AV174">
        <f t="shared" si="128"/>
        <v>-1.5203883288460116</v>
      </c>
      <c r="AW174">
        <f t="shared" si="129"/>
        <v>1.3807619886864548</v>
      </c>
      <c r="AX174" s="40">
        <f t="shared" si="130"/>
        <v>-4.6619809824358045</v>
      </c>
      <c r="AY174">
        <f t="shared" si="131"/>
        <v>4.6619809824358045</v>
      </c>
      <c r="AZ174">
        <f t="shared" si="132"/>
        <v>6.1435589670200299</v>
      </c>
      <c r="BA174">
        <f t="shared" si="133"/>
        <v>-1.5203883288460116</v>
      </c>
      <c r="BB174">
        <f t="shared" si="134"/>
        <v>1.3807619886864548</v>
      </c>
      <c r="BC174">
        <f t="shared" si="135"/>
        <v>-4.6619809824358045</v>
      </c>
      <c r="BD174">
        <f t="shared" si="136"/>
        <v>4.6619809824358045</v>
      </c>
      <c r="BE174">
        <f t="shared" si="137"/>
        <v>3.587338175497611</v>
      </c>
    </row>
    <row r="175" spans="45:57" x14ac:dyDescent="0.25">
      <c r="AS175">
        <v>-0.12217304763961345</v>
      </c>
      <c r="AT175">
        <v>7.2309350942228328</v>
      </c>
      <c r="AU175">
        <v>-134.80104212556512</v>
      </c>
      <c r="AV175">
        <f t="shared" si="128"/>
        <v>-1.5172061507571986</v>
      </c>
      <c r="AW175">
        <f t="shared" si="129"/>
        <v>1.3950331031175851</v>
      </c>
      <c r="AX175" s="40">
        <f t="shared" si="130"/>
        <v>-4.6587988043469917</v>
      </c>
      <c r="AY175">
        <f t="shared" si="131"/>
        <v>4.6587988043469917</v>
      </c>
      <c r="AZ175">
        <f t="shared" si="132"/>
        <v>6.161012259539973</v>
      </c>
      <c r="BA175">
        <f t="shared" si="133"/>
        <v>-1.5172061507571986</v>
      </c>
      <c r="BB175">
        <f t="shared" si="134"/>
        <v>1.3950331031175851</v>
      </c>
      <c r="BC175">
        <f t="shared" si="135"/>
        <v>-4.6587988043469917</v>
      </c>
      <c r="BD175">
        <f t="shared" si="136"/>
        <v>4.6587988043469917</v>
      </c>
      <c r="BE175">
        <f t="shared" si="137"/>
        <v>3.5841559974087982</v>
      </c>
    </row>
    <row r="176" spans="45:57" x14ac:dyDescent="0.25">
      <c r="AS176">
        <v>-0.10471975511967016</v>
      </c>
      <c r="AT176">
        <v>7.4920722657500356</v>
      </c>
      <c r="AU176">
        <v>-126.39223751829277</v>
      </c>
      <c r="AV176">
        <f t="shared" si="128"/>
        <v>-1.5115892430949525</v>
      </c>
      <c r="AW176">
        <f t="shared" si="129"/>
        <v>1.4068694879752823</v>
      </c>
      <c r="AX176" s="40">
        <f t="shared" si="130"/>
        <v>-4.653181896684746</v>
      </c>
      <c r="AY176">
        <f t="shared" si="131"/>
        <v>4.653181896684746</v>
      </c>
      <c r="AZ176">
        <f t="shared" si="132"/>
        <v>6.1784655520599161</v>
      </c>
      <c r="BA176">
        <f t="shared" si="133"/>
        <v>-1.5115892430949525</v>
      </c>
      <c r="BB176">
        <f t="shared" si="134"/>
        <v>1.4068694879752823</v>
      </c>
      <c r="BC176">
        <f t="shared" si="135"/>
        <v>-4.653181896684746</v>
      </c>
      <c r="BD176">
        <f t="shared" si="136"/>
        <v>4.653181896684746</v>
      </c>
      <c r="BE176">
        <f t="shared" si="137"/>
        <v>3.5785390897465525</v>
      </c>
    </row>
    <row r="177" spans="45:57" x14ac:dyDescent="0.25">
      <c r="AS177">
        <v>-8.7266462599726868E-2</v>
      </c>
      <c r="AT177">
        <v>7.8343125413562671</v>
      </c>
      <c r="AU177">
        <v>-116.87933448542789</v>
      </c>
      <c r="AV177">
        <f t="shared" si="128"/>
        <v>-1.5038673766309525</v>
      </c>
      <c r="AW177">
        <f t="shared" si="129"/>
        <v>1.4166009140312257</v>
      </c>
      <c r="AX177" s="40">
        <f t="shared" si="130"/>
        <v>-4.6454600302207458</v>
      </c>
      <c r="AY177">
        <f t="shared" si="131"/>
        <v>4.6454600302207458</v>
      </c>
      <c r="AZ177">
        <f t="shared" si="132"/>
        <v>6.1959188445798592</v>
      </c>
      <c r="BA177">
        <f t="shared" si="133"/>
        <v>-1.5038673766309525</v>
      </c>
      <c r="BB177">
        <f t="shared" si="134"/>
        <v>1.4166009140312257</v>
      </c>
      <c r="BC177">
        <f t="shared" si="135"/>
        <v>-4.6454600302207458</v>
      </c>
      <c r="BD177">
        <f t="shared" si="136"/>
        <v>4.6454600302207458</v>
      </c>
      <c r="BE177">
        <f t="shared" si="137"/>
        <v>3.5708172232825524</v>
      </c>
    </row>
    <row r="178" spans="45:57" x14ac:dyDescent="0.25">
      <c r="AS178">
        <v>-6.9813170079783576E-2</v>
      </c>
      <c r="AT178">
        <v>8.3265655640214113</v>
      </c>
      <c r="AU178">
        <v>-105.47463510360245</v>
      </c>
      <c r="AV178">
        <f t="shared" si="128"/>
        <v>-1.4920159397758535</v>
      </c>
      <c r="AW178">
        <f t="shared" si="129"/>
        <v>1.42220276969607</v>
      </c>
      <c r="AX178" s="40">
        <f t="shared" si="130"/>
        <v>-4.633608593365647</v>
      </c>
      <c r="AY178">
        <f t="shared" si="131"/>
        <v>4.633608593365647</v>
      </c>
      <c r="AZ178">
        <f t="shared" si="132"/>
        <v>6.2133721370998023</v>
      </c>
      <c r="BA178">
        <f t="shared" si="133"/>
        <v>-1.4920159397758535</v>
      </c>
      <c r="BB178">
        <f t="shared" si="134"/>
        <v>1.42220276969607</v>
      </c>
      <c r="BC178">
        <f t="shared" si="135"/>
        <v>-4.633608593365647</v>
      </c>
      <c r="BD178">
        <f t="shared" si="136"/>
        <v>4.633608593365647</v>
      </c>
      <c r="BE178">
        <f t="shared" si="137"/>
        <v>3.5589657864274535</v>
      </c>
    </row>
    <row r="179" spans="45:57" x14ac:dyDescent="0.25">
      <c r="AS179">
        <v>-5.2359877559840284E-2</v>
      </c>
      <c r="AT179">
        <v>9.1220117795259394</v>
      </c>
      <c r="AU179">
        <v>-90.154221434950728</v>
      </c>
      <c r="AV179">
        <f t="shared" si="128"/>
        <v>-1.4699572144976121</v>
      </c>
      <c r="AW179">
        <f t="shared" si="129"/>
        <v>1.4175973369377717</v>
      </c>
      <c r="AX179" s="40">
        <f t="shared" si="130"/>
        <v>-4.6115498680874047</v>
      </c>
      <c r="AY179">
        <f t="shared" si="131"/>
        <v>4.6115498680874047</v>
      </c>
      <c r="AZ179">
        <f t="shared" si="132"/>
        <v>6.2308254296197463</v>
      </c>
      <c r="BA179">
        <f t="shared" si="133"/>
        <v>-1.4699572144976121</v>
      </c>
      <c r="BB179">
        <f t="shared" si="134"/>
        <v>1.4175973369377717</v>
      </c>
      <c r="BC179">
        <f t="shared" si="135"/>
        <v>-4.6115498680874047</v>
      </c>
      <c r="BD179">
        <f t="shared" si="136"/>
        <v>4.6115498680874047</v>
      </c>
      <c r="BE179">
        <f t="shared" si="137"/>
        <v>3.5369070611492113</v>
      </c>
    </row>
    <row r="180" spans="45:57" x14ac:dyDescent="0.25">
      <c r="AS180">
        <v>-3.4906585039896992E-2</v>
      </c>
      <c r="AT180">
        <v>10.47804500626884</v>
      </c>
      <c r="AU180">
        <v>-65.929879593857663</v>
      </c>
      <c r="AV180">
        <f t="shared" si="128"/>
        <v>-1.4131873522037322</v>
      </c>
      <c r="AW180">
        <f t="shared" si="129"/>
        <v>1.3782807671638351</v>
      </c>
      <c r="AX180" s="40">
        <f t="shared" si="130"/>
        <v>-4.5547800057935248</v>
      </c>
      <c r="AY180">
        <f t="shared" si="131"/>
        <v>4.5547800057935248</v>
      </c>
      <c r="AZ180">
        <f t="shared" si="132"/>
        <v>6.2482787221396894</v>
      </c>
      <c r="BA180">
        <f t="shared" si="133"/>
        <v>-1.4131873522037322</v>
      </c>
      <c r="BB180">
        <f t="shared" si="134"/>
        <v>1.3782807671638351</v>
      </c>
      <c r="BC180">
        <f t="shared" si="135"/>
        <v>-4.5547800057935248</v>
      </c>
      <c r="BD180">
        <f t="shared" si="136"/>
        <v>4.5547800057935248</v>
      </c>
      <c r="BE180">
        <f t="shared" si="137"/>
        <v>3.4801371988553313</v>
      </c>
    </row>
    <row r="181" spans="45:57" x14ac:dyDescent="0.25">
      <c r="AS181">
        <v>-1.7453292519953697E-2</v>
      </c>
      <c r="AT181">
        <v>11.599413380864926</v>
      </c>
      <c r="AU181">
        <v>-36.972625897372694</v>
      </c>
      <c r="AV181">
        <f t="shared" si="128"/>
        <v>-1.2667914920861556</v>
      </c>
      <c r="AW181">
        <f t="shared" si="129"/>
        <v>1.2493381995662018</v>
      </c>
      <c r="AX181" s="40">
        <f t="shared" si="130"/>
        <v>-4.4083841456759485</v>
      </c>
      <c r="AY181">
        <f t="shared" si="131"/>
        <v>4.4083841456759485</v>
      </c>
      <c r="AZ181">
        <f t="shared" si="132"/>
        <v>6.2657320146596325</v>
      </c>
      <c r="BA181">
        <f t="shared" si="133"/>
        <v>-1.2667914920861556</v>
      </c>
      <c r="BB181">
        <f t="shared" si="134"/>
        <v>1.2493381995662018</v>
      </c>
      <c r="BC181">
        <f t="shared" si="135"/>
        <v>-4.4083841456759485</v>
      </c>
      <c r="BD181">
        <f t="shared" si="136"/>
        <v>4.4083841456759485</v>
      </c>
      <c r="BE181">
        <f t="shared" si="137"/>
        <v>3.333741338737755</v>
      </c>
    </row>
    <row r="182" spans="45:57" x14ac:dyDescent="0.25">
      <c r="AS182">
        <v>-1.0401401961956935E-14</v>
      </c>
      <c r="AT182">
        <v>12.599109831985482</v>
      </c>
      <c r="AU182">
        <v>-2.0292165702320709E-9</v>
      </c>
      <c r="AV182">
        <f t="shared" si="128"/>
        <v>-1.6106031277546919E-10</v>
      </c>
      <c r="AW182">
        <f t="shared" si="129"/>
        <v>1.6104991137350724E-10</v>
      </c>
      <c r="AX182" s="40">
        <f t="shared" si="130"/>
        <v>-3.1415926537508536</v>
      </c>
      <c r="AY182">
        <f t="shared" si="131"/>
        <v>3.1415926537508536</v>
      </c>
      <c r="AZ182">
        <f t="shared" si="132"/>
        <v>6.2831853071795756</v>
      </c>
      <c r="BA182">
        <f t="shared" si="133"/>
        <v>-1.6106031277546919E-10</v>
      </c>
      <c r="BB182">
        <f t="shared" si="134"/>
        <v>1.6104991137350724E-10</v>
      </c>
      <c r="BC182">
        <f t="shared" si="135"/>
        <v>-3.1415926537508536</v>
      </c>
      <c r="BD182">
        <f t="shared" si="136"/>
        <v>3.1415926537508536</v>
      </c>
      <c r="BE182">
        <f t="shared" si="137"/>
        <v>2.0669498468126601</v>
      </c>
    </row>
    <row r="183" spans="45:57" x14ac:dyDescent="0.25">
      <c r="AS183">
        <v>1.7453292519932894E-2</v>
      </c>
      <c r="AT183">
        <v>11.599413382764315</v>
      </c>
      <c r="AU183">
        <v>36.972625881442539</v>
      </c>
      <c r="AV183">
        <f t="shared" si="128"/>
        <v>1.2667914919163241</v>
      </c>
      <c r="AW183">
        <f t="shared" si="129"/>
        <v>1.2493381993963912</v>
      </c>
      <c r="AX183" s="40">
        <f t="shared" si="130"/>
        <v>-1.874801161673469</v>
      </c>
      <c r="AY183">
        <f t="shared" si="131"/>
        <v>1.874801161673469</v>
      </c>
    </row>
    <row r="184" spans="45:57" x14ac:dyDescent="0.25">
      <c r="AS184">
        <v>3.490658503987619E-2</v>
      </c>
      <c r="AT184">
        <v>10.478045003222727</v>
      </c>
      <c r="AU184">
        <v>65.929879594152908</v>
      </c>
      <c r="AV184">
        <f t="shared" si="128"/>
        <v>1.4131873522494904</v>
      </c>
      <c r="AW184">
        <f t="shared" si="129"/>
        <v>1.3782807672096142</v>
      </c>
      <c r="AX184" s="40">
        <f t="shared" si="130"/>
        <v>-1.7284053013403027</v>
      </c>
      <c r="AY184">
        <f t="shared" si="131"/>
        <v>1.7284053013403027</v>
      </c>
    </row>
    <row r="185" spans="45:57" x14ac:dyDescent="0.25">
      <c r="AS185">
        <v>5.2359877559819482E-2</v>
      </c>
      <c r="AT185">
        <v>9.1220117903351365</v>
      </c>
      <c r="AU185">
        <v>90.154221438139302</v>
      </c>
      <c r="AV185">
        <f t="shared" si="128"/>
        <v>1.4699572143824726</v>
      </c>
      <c r="AW185">
        <f t="shared" si="129"/>
        <v>1.4175973368226531</v>
      </c>
      <c r="AX185" s="40">
        <f t="shared" si="130"/>
        <v>-1.6716354392073205</v>
      </c>
      <c r="AY185">
        <f t="shared" si="131"/>
        <v>1.6716354392073205</v>
      </c>
    </row>
    <row r="186" spans="45:57" x14ac:dyDescent="0.25">
      <c r="AS186">
        <v>6.9813170079762774E-2</v>
      </c>
      <c r="AT186">
        <v>8.3265655597050454</v>
      </c>
      <c r="AU186">
        <v>105.47463511328854</v>
      </c>
      <c r="AV186">
        <f t="shared" si="128"/>
        <v>1.4920159398237278</v>
      </c>
      <c r="AW186">
        <f t="shared" si="129"/>
        <v>1.422202769743965</v>
      </c>
      <c r="AX186" s="40">
        <f t="shared" si="130"/>
        <v>-1.6495767137660653</v>
      </c>
      <c r="AY186">
        <f t="shared" si="131"/>
        <v>1.6495767137660653</v>
      </c>
    </row>
    <row r="187" spans="45:57" x14ac:dyDescent="0.25">
      <c r="AS187">
        <v>8.7266462599706066E-2</v>
      </c>
      <c r="AT187">
        <v>7.8343125447267257</v>
      </c>
      <c r="AU187">
        <v>116.87933450146542</v>
      </c>
      <c r="AV187">
        <f t="shared" si="128"/>
        <v>1.5038673766114006</v>
      </c>
      <c r="AW187">
        <f t="shared" si="129"/>
        <v>1.4166009140116944</v>
      </c>
      <c r="AX187" s="40">
        <f t="shared" si="130"/>
        <v>-1.6377252769783925</v>
      </c>
      <c r="AY187">
        <f t="shared" si="131"/>
        <v>1.6377252769783925</v>
      </c>
    </row>
    <row r="188" spans="45:57" x14ac:dyDescent="0.25">
      <c r="AS188">
        <v>0.10471975511964936</v>
      </c>
      <c r="AT188">
        <v>7.4920722729874223</v>
      </c>
      <c r="AU188">
        <v>126.39223752050484</v>
      </c>
      <c r="AV188">
        <f t="shared" si="128"/>
        <v>1.5115892430389255</v>
      </c>
      <c r="AW188">
        <f t="shared" si="129"/>
        <v>1.4068694879192762</v>
      </c>
      <c r="AX188" s="40">
        <f t="shared" si="130"/>
        <v>-1.6300034105508676</v>
      </c>
      <c r="AY188">
        <f t="shared" si="131"/>
        <v>1.6300034105508676</v>
      </c>
    </row>
    <row r="189" spans="45:57" x14ac:dyDescent="0.25">
      <c r="AS189">
        <v>0.12217304763959265</v>
      </c>
      <c r="AT189">
        <v>7.2309350964027459</v>
      </c>
      <c r="AU189">
        <v>134.8010421353157</v>
      </c>
      <c r="AV189">
        <f t="shared" si="128"/>
        <v>1.5172061507449426</v>
      </c>
      <c r="AW189">
        <f t="shared" si="129"/>
        <v>1.39503310310535</v>
      </c>
      <c r="AX189" s="40">
        <f t="shared" si="130"/>
        <v>-1.6243865028448505</v>
      </c>
      <c r="AY189">
        <f t="shared" si="131"/>
        <v>1.6243865028448505</v>
      </c>
    </row>
    <row r="190" spans="45:57" x14ac:dyDescent="0.25">
      <c r="AS190">
        <v>0.13962634015953596</v>
      </c>
      <c r="AT190">
        <v>7.0467663842023187</v>
      </c>
      <c r="AU190">
        <v>139.67618490942127</v>
      </c>
      <c r="AV190">
        <f t="shared" si="128"/>
        <v>1.5203883288559372</v>
      </c>
      <c r="AW190">
        <f t="shared" si="129"/>
        <v>1.3807619886964013</v>
      </c>
      <c r="AX190" s="40">
        <f t="shared" si="130"/>
        <v>-1.6212043247338559</v>
      </c>
      <c r="AY190">
        <f t="shared" si="131"/>
        <v>1.6212043247338559</v>
      </c>
    </row>
    <row r="191" spans="45:57" x14ac:dyDescent="0.25">
      <c r="AS191">
        <v>0.15707963267947925</v>
      </c>
      <c r="AT191">
        <v>6.8495339041182461</v>
      </c>
      <c r="AU191">
        <v>146.68132074712582</v>
      </c>
      <c r="AV191">
        <f t="shared" si="128"/>
        <v>1.524133522586099</v>
      </c>
      <c r="AW191">
        <f t="shared" si="129"/>
        <v>1.3670538899066198</v>
      </c>
      <c r="AX191" s="40">
        <f t="shared" si="130"/>
        <v>-1.6174591310036941</v>
      </c>
      <c r="AY191">
        <f t="shared" si="131"/>
        <v>1.6174591310036941</v>
      </c>
    </row>
    <row r="192" spans="45:57" x14ac:dyDescent="0.25">
      <c r="AS192">
        <v>0.17453292519942254</v>
      </c>
      <c r="AT192">
        <v>6.651528057140867</v>
      </c>
      <c r="AU192">
        <v>152.23916914306309</v>
      </c>
      <c r="AV192">
        <f t="shared" si="128"/>
        <v>1.5271327906537699</v>
      </c>
      <c r="AW192">
        <f t="shared" si="129"/>
        <v>1.3525998654543474</v>
      </c>
      <c r="AX192" s="40">
        <f t="shared" si="130"/>
        <v>-1.6144598629360232</v>
      </c>
      <c r="AY192">
        <f t="shared" si="131"/>
        <v>1.6144598629360232</v>
      </c>
    </row>
    <row r="193" spans="45:51" x14ac:dyDescent="0.25">
      <c r="AS193">
        <v>0.19198621771936583</v>
      </c>
      <c r="AT193">
        <v>6.4662701204915862</v>
      </c>
      <c r="AU193">
        <v>157.45934547610773</v>
      </c>
      <c r="AV193">
        <f t="shared" si="128"/>
        <v>1.5297531052368278</v>
      </c>
      <c r="AW193">
        <f t="shared" si="129"/>
        <v>1.337766887517462</v>
      </c>
      <c r="AX193" s="40">
        <f t="shared" si="130"/>
        <v>-1.6118395483529653</v>
      </c>
      <c r="AY193">
        <f t="shared" si="131"/>
        <v>1.6118395483529653</v>
      </c>
    </row>
    <row r="194" spans="45:51" x14ac:dyDescent="0.25">
      <c r="AS194">
        <v>0.20943951023930912</v>
      </c>
      <c r="AT194">
        <v>6.2883287199070397</v>
      </c>
      <c r="AU194">
        <v>162.40907861870048</v>
      </c>
      <c r="AV194">
        <f t="shared" si="128"/>
        <v>1.532096586732931</v>
      </c>
      <c r="AW194">
        <f t="shared" si="129"/>
        <v>1.3226570764936219</v>
      </c>
      <c r="AX194" s="40">
        <f t="shared" si="130"/>
        <v>-1.6094960668568621</v>
      </c>
      <c r="AY194">
        <f t="shared" si="131"/>
        <v>1.6094960668568621</v>
      </c>
    </row>
    <row r="195" spans="45:51" x14ac:dyDescent="0.25">
      <c r="AS195">
        <v>0.22689280275925242</v>
      </c>
      <c r="AT195">
        <v>6.1138682502227697</v>
      </c>
      <c r="AU195">
        <v>167.1369328090168</v>
      </c>
      <c r="AV195">
        <f t="shared" ref="AV195:AV258" si="138">ATAN2(AT195,AU195)</f>
        <v>1.534232634056409</v>
      </c>
      <c r="AW195">
        <f t="shared" ref="AW195:AW258" si="139">ABS(AS195-AV195)</f>
        <v>1.3073398312971565</v>
      </c>
      <c r="AX195" s="40">
        <f t="shared" ref="AX195:AX258" si="140">AV195-$U$13</f>
        <v>-1.6073600195333841</v>
      </c>
      <c r="AY195">
        <f t="shared" ref="AY195:AY258" si="141">ABS(AX195)</f>
        <v>1.6073600195333841</v>
      </c>
    </row>
    <row r="196" spans="45:51" x14ac:dyDescent="0.25">
      <c r="AS196">
        <v>0.24434609527919571</v>
      </c>
      <c r="AT196">
        <v>5.9400880719614264</v>
      </c>
      <c r="AU196">
        <v>171.67940755224097</v>
      </c>
      <c r="AV196">
        <f t="shared" si="138"/>
        <v>1.5362102371679482</v>
      </c>
      <c r="AW196">
        <f t="shared" si="139"/>
        <v>1.2918641418887526</v>
      </c>
      <c r="AX196" s="40">
        <f t="shared" si="140"/>
        <v>-1.6053824164218449</v>
      </c>
      <c r="AY196">
        <f t="shared" si="141"/>
        <v>1.6053824164218449</v>
      </c>
    </row>
    <row r="197" spans="45:51" x14ac:dyDescent="0.25">
      <c r="AS197">
        <v>0.26179938779913903</v>
      </c>
      <c r="AT197">
        <v>5.7648791931216934</v>
      </c>
      <c r="AU197">
        <v>176.06485600030589</v>
      </c>
      <c r="AV197">
        <f t="shared" si="138"/>
        <v>1.5380650908534286</v>
      </c>
      <c r="AW197">
        <f t="shared" si="139"/>
        <v>1.2762657030542894</v>
      </c>
      <c r="AX197" s="40">
        <f t="shared" si="140"/>
        <v>-1.6035275627363645</v>
      </c>
      <c r="AY197">
        <f t="shared" si="141"/>
        <v>1.6035275627363645</v>
      </c>
    </row>
    <row r="198" spans="45:51" x14ac:dyDescent="0.25">
      <c r="AS198">
        <v>0.27925268031908235</v>
      </c>
      <c r="AT198">
        <v>5.5866053157681872</v>
      </c>
      <c r="AU198">
        <v>180.31592496574572</v>
      </c>
      <c r="AV198">
        <f t="shared" si="138"/>
        <v>1.5398239165063121</v>
      </c>
      <c r="AW198">
        <f t="shared" si="139"/>
        <v>1.2605712361872299</v>
      </c>
      <c r="AX198" s="40">
        <f t="shared" si="140"/>
        <v>-1.601768737083481</v>
      </c>
      <c r="AY198">
        <f t="shared" si="141"/>
        <v>1.601768737083481</v>
      </c>
    </row>
    <row r="199" spans="45:51" x14ac:dyDescent="0.25">
      <c r="AS199">
        <v>0.29670597283902567</v>
      </c>
      <c r="AT199">
        <v>5.4039590241596827</v>
      </c>
      <c r="AU199">
        <v>184.45113739995094</v>
      </c>
      <c r="AV199">
        <f t="shared" si="138"/>
        <v>1.5415071950280079</v>
      </c>
      <c r="AW199">
        <f t="shared" si="139"/>
        <v>1.2448012221889821</v>
      </c>
      <c r="AX199" s="40">
        <f t="shared" si="140"/>
        <v>-1.6000854585617852</v>
      </c>
      <c r="AY199">
        <f t="shared" si="141"/>
        <v>1.6000854585617852</v>
      </c>
    </row>
    <row r="200" spans="45:51" x14ac:dyDescent="0.25">
      <c r="AS200">
        <v>0.31415926535896899</v>
      </c>
      <c r="AT200">
        <v>5.1912612265915072</v>
      </c>
      <c r="AU200">
        <v>187.59688037781439</v>
      </c>
      <c r="AV200">
        <f t="shared" si="138"/>
        <v>1.543130958734372</v>
      </c>
      <c r="AW200">
        <f t="shared" si="139"/>
        <v>1.2289716933754029</v>
      </c>
      <c r="AX200" s="40">
        <f t="shared" si="140"/>
        <v>-1.5984616948554211</v>
      </c>
      <c r="AY200">
        <f t="shared" si="141"/>
        <v>1.5984616948554211</v>
      </c>
    </row>
    <row r="201" spans="45:51" x14ac:dyDescent="0.25">
      <c r="AS201">
        <v>0.33161255787891231</v>
      </c>
      <c r="AT201">
        <v>4.9299114272842903</v>
      </c>
      <c r="AU201">
        <v>188.92714309507622</v>
      </c>
      <c r="AV201">
        <f t="shared" si="138"/>
        <v>1.5447080005652287</v>
      </c>
      <c r="AW201">
        <f t="shared" si="139"/>
        <v>1.2130954426863165</v>
      </c>
      <c r="AX201" s="40">
        <f t="shared" si="140"/>
        <v>-1.5968846530245644</v>
      </c>
      <c r="AY201">
        <f t="shared" si="141"/>
        <v>1.5968846530245644</v>
      </c>
    </row>
    <row r="202" spans="45:51" x14ac:dyDescent="0.25">
      <c r="AS202">
        <v>0.34906585039885563</v>
      </c>
      <c r="AT202">
        <v>4.6699803870876764</v>
      </c>
      <c r="AU202">
        <v>190.20350372230411</v>
      </c>
      <c r="AV202">
        <f t="shared" si="138"/>
        <v>1.5462487120697186</v>
      </c>
      <c r="AW202">
        <f t="shared" si="139"/>
        <v>1.1971828616708629</v>
      </c>
      <c r="AX202" s="40">
        <f t="shared" si="140"/>
        <v>-1.5953439415200745</v>
      </c>
      <c r="AY202">
        <f t="shared" si="141"/>
        <v>1.5953439415200745</v>
      </c>
    </row>
    <row r="203" spans="45:51" x14ac:dyDescent="0.25">
      <c r="AS203">
        <v>0.36651914291879895</v>
      </c>
      <c r="AT203">
        <v>4.4103890414356162</v>
      </c>
      <c r="AU203">
        <v>191.43373720505775</v>
      </c>
      <c r="AV203">
        <f t="shared" si="138"/>
        <v>1.5477616776537646</v>
      </c>
      <c r="AW203">
        <f t="shared" si="139"/>
        <v>1.1812425347349658</v>
      </c>
      <c r="AX203" s="40">
        <f t="shared" si="140"/>
        <v>-1.5938309759360285</v>
      </c>
      <c r="AY203">
        <f t="shared" si="141"/>
        <v>1.5938309759360285</v>
      </c>
    </row>
    <row r="204" spans="45:51" x14ac:dyDescent="0.25">
      <c r="AS204">
        <v>0.38397243543874227</v>
      </c>
      <c r="AT204">
        <v>4.1501975223817968</v>
      </c>
      <c r="AU204">
        <v>192.62430228073515</v>
      </c>
      <c r="AV204">
        <f t="shared" si="138"/>
        <v>1.549254104640067</v>
      </c>
      <c r="AW204">
        <f t="shared" si="139"/>
        <v>1.1652816692013248</v>
      </c>
      <c r="AX204" s="40">
        <f t="shared" si="140"/>
        <v>-1.5923385489497262</v>
      </c>
      <c r="AY204">
        <f t="shared" si="141"/>
        <v>1.5923385489497262</v>
      </c>
    </row>
    <row r="205" spans="45:51" x14ac:dyDescent="0.25">
      <c r="AS205">
        <v>0.40142572795868559</v>
      </c>
      <c r="AT205">
        <v>3.8885725649860601</v>
      </c>
      <c r="AU205">
        <v>193.78063331632467</v>
      </c>
      <c r="AV205">
        <f t="shared" si="138"/>
        <v>1.5507321404267942</v>
      </c>
      <c r="AW205">
        <f t="shared" si="139"/>
        <v>1.1493064124681087</v>
      </c>
      <c r="AX205" s="40">
        <f t="shared" si="140"/>
        <v>-1.5908605131629989</v>
      </c>
      <c r="AY205">
        <f t="shared" si="141"/>
        <v>1.5908605131629989</v>
      </c>
    </row>
    <row r="206" spans="45:51" x14ac:dyDescent="0.25">
      <c r="AS206">
        <v>0.41887902047862891</v>
      </c>
      <c r="AT206">
        <v>3.6247623584706279</v>
      </c>
      <c r="AU206">
        <v>194.90735801374322</v>
      </c>
      <c r="AV206">
        <f t="shared" si="138"/>
        <v>1.552201110107609</v>
      </c>
      <c r="AW206">
        <f t="shared" si="139"/>
        <v>1.13332208962898</v>
      </c>
      <c r="AX206" s="40">
        <f t="shared" si="140"/>
        <v>-1.5893915434821841</v>
      </c>
      <c r="AY206">
        <f t="shared" si="141"/>
        <v>1.5893915434821841</v>
      </c>
    </row>
    <row r="207" spans="45:51" x14ac:dyDescent="0.25">
      <c r="AS207">
        <v>0.43633231299857222</v>
      </c>
      <c r="AT207">
        <v>3.3580767056621768</v>
      </c>
      <c r="AU207">
        <v>196.00846224670843</v>
      </c>
      <c r="AV207">
        <f t="shared" si="138"/>
        <v>1.5536656979668024</v>
      </c>
      <c r="AW207">
        <f t="shared" si="139"/>
        <v>1.1173333849682301</v>
      </c>
      <c r="AX207" s="40">
        <f t="shared" si="140"/>
        <v>-1.5879269556229907</v>
      </c>
      <c r="AY207">
        <f t="shared" si="141"/>
        <v>1.5879269556229907</v>
      </c>
    </row>
    <row r="208" spans="45:51" x14ac:dyDescent="0.25">
      <c r="AS208">
        <v>0.45378560551851554</v>
      </c>
      <c r="AT208">
        <v>3.087871204974459</v>
      </c>
      <c r="AU208">
        <v>197.08741658183877</v>
      </c>
      <c r="AV208">
        <f t="shared" si="138"/>
        <v>1.5551300877494467</v>
      </c>
      <c r="AW208">
        <f t="shared" si="139"/>
        <v>1.1013444822309313</v>
      </c>
      <c r="AX208" s="40">
        <f t="shared" si="140"/>
        <v>-1.5864625658403464</v>
      </c>
      <c r="AY208">
        <f t="shared" si="141"/>
        <v>1.5864625658403464</v>
      </c>
    </row>
    <row r="209" spans="45:51" x14ac:dyDescent="0.25">
      <c r="AS209">
        <v>0.47123889803845886</v>
      </c>
      <c r="AT209">
        <v>2.813534382763669</v>
      </c>
      <c r="AU209">
        <v>198.14727465263888</v>
      </c>
      <c r="AV209">
        <f t="shared" si="138"/>
        <v>1.5565980728717281</v>
      </c>
      <c r="AW209">
        <f t="shared" si="139"/>
        <v>1.0853591748332692</v>
      </c>
      <c r="AX209" s="40">
        <f t="shared" si="140"/>
        <v>-1.584994580718065</v>
      </c>
      <c r="AY209">
        <f t="shared" si="141"/>
        <v>1.584994580718065</v>
      </c>
    </row>
    <row r="210" spans="45:51" x14ac:dyDescent="0.25">
      <c r="AS210">
        <v>0.48869219055840218</v>
      </c>
      <c r="AT210">
        <v>2.5344770191797465</v>
      </c>
      <c r="AU210">
        <v>199.19075058795215</v>
      </c>
      <c r="AV210">
        <f t="shared" si="138"/>
        <v>1.5580731443661215</v>
      </c>
      <c r="AW210">
        <f t="shared" si="139"/>
        <v>1.0693809538077192</v>
      </c>
      <c r="AX210" s="40">
        <f t="shared" si="140"/>
        <v>-1.5835195092236716</v>
      </c>
      <c r="AY210">
        <f t="shared" si="141"/>
        <v>1.5835195092236716</v>
      </c>
    </row>
    <row r="211" spans="45:51" x14ac:dyDescent="0.25">
      <c r="AS211">
        <v>0.5061454830783455</v>
      </c>
      <c r="AT211">
        <v>2.2501231441663947</v>
      </c>
      <c r="AU211">
        <v>200.22028066907424</v>
      </c>
      <c r="AV211">
        <f t="shared" si="138"/>
        <v>1.5595585619933097</v>
      </c>
      <c r="AW211">
        <f t="shared" si="139"/>
        <v>1.0534130789149643</v>
      </c>
      <c r="AX211" s="40">
        <f t="shared" si="140"/>
        <v>-1.5820340915964834</v>
      </c>
      <c r="AY211">
        <f t="shared" si="141"/>
        <v>1.5820340915964834</v>
      </c>
    </row>
    <row r="212" spans="45:51" x14ac:dyDescent="0.25">
      <c r="AS212">
        <v>0.52359877559828882</v>
      </c>
      <c r="AT212">
        <v>1.9599021810112502</v>
      </c>
      <c r="AU212">
        <v>201.23807299870441</v>
      </c>
      <c r="AV212">
        <f t="shared" si="138"/>
        <v>1.5610574131382131</v>
      </c>
      <c r="AW212">
        <f t="shared" si="139"/>
        <v>1.0374586375399244</v>
      </c>
      <c r="AX212" s="40">
        <f t="shared" si="140"/>
        <v>-1.58053524045158</v>
      </c>
      <c r="AY212">
        <f t="shared" si="141"/>
        <v>1.58053524045158</v>
      </c>
    </row>
    <row r="213" spans="45:51" x14ac:dyDescent="0.25">
      <c r="AS213">
        <v>0.54105206811823214</v>
      </c>
      <c r="AT213">
        <v>1.663242109241247</v>
      </c>
      <c r="AU213">
        <v>202.24614794932467</v>
      </c>
      <c r="AV213">
        <f t="shared" si="138"/>
        <v>1.562572661564916</v>
      </c>
      <c r="AW213">
        <f t="shared" si="139"/>
        <v>1.021520593446684</v>
      </c>
      <c r="AX213" s="40">
        <f t="shared" si="140"/>
        <v>-1.5790199920248771</v>
      </c>
      <c r="AY213">
        <f t="shared" si="141"/>
        <v>1.5790199920248771</v>
      </c>
    </row>
    <row r="214" spans="45:51" x14ac:dyDescent="0.25">
      <c r="AS214">
        <v>0.55850536063817546</v>
      </c>
      <c r="AT214">
        <v>1.359563126753079</v>
      </c>
      <c r="AU214">
        <v>203.24637149722378</v>
      </c>
      <c r="AV214">
        <f t="shared" si="138"/>
        <v>1.5641071896703571</v>
      </c>
      <c r="AW214">
        <f t="shared" si="139"/>
        <v>1.0056018290321815</v>
      </c>
      <c r="AX214" s="40">
        <f t="shared" si="140"/>
        <v>-1.577485463919436</v>
      </c>
      <c r="AY214">
        <f t="shared" si="141"/>
        <v>1.577485463919436</v>
      </c>
    </row>
    <row r="215" spans="45:51" x14ac:dyDescent="0.25">
      <c r="AS215">
        <v>0.57595865315811878</v>
      </c>
      <c r="AT215">
        <v>1.0482718943177587</v>
      </c>
      <c r="AU215">
        <v>204.24048299058416</v>
      </c>
      <c r="AV215">
        <f t="shared" si="138"/>
        <v>1.5656638345766061</v>
      </c>
      <c r="AW215">
        <f t="shared" si="139"/>
        <v>0.98970518141848729</v>
      </c>
      <c r="AX215" s="40">
        <f t="shared" si="140"/>
        <v>-1.575928819013187</v>
      </c>
      <c r="AY215">
        <f t="shared" si="141"/>
        <v>1.575928819013187</v>
      </c>
    </row>
    <row r="216" spans="45:51" x14ac:dyDescent="0.25">
      <c r="AS216">
        <v>0.5934119456780621</v>
      </c>
      <c r="AT216">
        <v>0.72875593447412834</v>
      </c>
      <c r="AU216">
        <v>205.23011857811269</v>
      </c>
      <c r="AV216">
        <f t="shared" si="138"/>
        <v>1.5672454207360031</v>
      </c>
      <c r="AW216">
        <f t="shared" si="139"/>
        <v>0.97383347505794104</v>
      </c>
      <c r="AX216" s="40">
        <f t="shared" si="140"/>
        <v>-1.57434723285379</v>
      </c>
      <c r="AY216">
        <f t="shared" si="141"/>
        <v>1.57434723285379</v>
      </c>
    </row>
    <row r="217" spans="45:51" x14ac:dyDescent="0.25">
      <c r="AS217">
        <v>0.61086523819800542</v>
      </c>
      <c r="AT217">
        <v>0.40037820566417393</v>
      </c>
      <c r="AU217">
        <v>206.21683121536307</v>
      </c>
      <c r="AV217">
        <f t="shared" si="138"/>
        <v>1.568854789335417</v>
      </c>
      <c r="AW217">
        <f t="shared" si="139"/>
        <v>0.95798955113741158</v>
      </c>
      <c r="AX217" s="40">
        <f t="shared" si="140"/>
        <v>-1.5727378642543761</v>
      </c>
      <c r="AY217">
        <f t="shared" si="141"/>
        <v>1.5727378642543761</v>
      </c>
    </row>
    <row r="218" spans="45:51" x14ac:dyDescent="0.25">
      <c r="AS218">
        <v>0.62831853071794874</v>
      </c>
      <c r="AT218">
        <v>6.2471627327437315E-2</v>
      </c>
      <c r="AU218">
        <v>207.20210798576818</v>
      </c>
      <c r="AV218">
        <f t="shared" si="138"/>
        <v>1.5704948258785123</v>
      </c>
      <c r="AW218">
        <f t="shared" si="139"/>
        <v>0.94217629516056356</v>
      </c>
      <c r="AX218" s="40">
        <f t="shared" si="140"/>
        <v>-1.5710978277112808</v>
      </c>
      <c r="AY218">
        <f t="shared" si="141"/>
        <v>1.5710978277112808</v>
      </c>
    </row>
    <row r="219" spans="45:51" x14ac:dyDescent="0.25">
      <c r="AS219">
        <v>0.64577182323789206</v>
      </c>
      <c r="AT219">
        <v>-0.28566641466376264</v>
      </c>
      <c r="AU219">
        <v>208.18738530396928</v>
      </c>
      <c r="AV219">
        <f t="shared" si="138"/>
        <v>1.5721684859915761</v>
      </c>
      <c r="AW219">
        <f t="shared" si="139"/>
        <v>0.92639666275368404</v>
      </c>
      <c r="AX219" s="40">
        <f t="shared" si="140"/>
        <v>-1.569424167598217</v>
      </c>
      <c r="AY219">
        <f t="shared" si="141"/>
        <v>1.569424167598217</v>
      </c>
    </row>
    <row r="220" spans="45:51" x14ac:dyDescent="0.25">
      <c r="AS220">
        <v>0.66322511575783538</v>
      </c>
      <c r="AT220">
        <v>-0.64477992352461788</v>
      </c>
      <c r="AU220">
        <v>209.17406248250177</v>
      </c>
      <c r="AV220">
        <f t="shared" si="138"/>
        <v>1.5738788212193346</v>
      </c>
      <c r="AW220">
        <f t="shared" si="139"/>
        <v>0.91065370546149926</v>
      </c>
      <c r="AX220" s="40">
        <f t="shared" si="140"/>
        <v>-1.5677138323704585</v>
      </c>
      <c r="AY220">
        <f t="shared" si="141"/>
        <v>1.5677138323704585</v>
      </c>
    </row>
    <row r="221" spans="45:51" x14ac:dyDescent="0.25">
      <c r="AS221">
        <v>0.6806784082777787</v>
      </c>
      <c r="AT221">
        <v>-1.0156604128328979</v>
      </c>
      <c r="AU221">
        <v>210.16351402603061</v>
      </c>
      <c r="AV221">
        <f t="shared" si="138"/>
        <v>1.5756290043920906</v>
      </c>
      <c r="AW221">
        <f t="shared" si="139"/>
        <v>0.89495059611431194</v>
      </c>
      <c r="AX221" s="40">
        <f t="shared" si="140"/>
        <v>-1.5659636491977025</v>
      </c>
      <c r="AY221">
        <f t="shared" si="141"/>
        <v>1.5659636491977025</v>
      </c>
    </row>
    <row r="222" spans="45:51" x14ac:dyDescent="0.25">
      <c r="AS222">
        <v>0.69813170079772202</v>
      </c>
      <c r="AT222">
        <v>-1.3991534494265863</v>
      </c>
      <c r="AU222">
        <v>211.15710097191692</v>
      </c>
      <c r="AV222">
        <f t="shared" si="138"/>
        <v>1.5774223553142497</v>
      </c>
      <c r="AW222">
        <f t="shared" si="139"/>
        <v>0.87929065451652766</v>
      </c>
      <c r="AX222" s="40">
        <f t="shared" si="140"/>
        <v>-1.5641702982755434</v>
      </c>
      <c r="AY222">
        <f t="shared" si="141"/>
        <v>1.5641702982755434</v>
      </c>
    </row>
    <row r="223" spans="45:51" x14ac:dyDescent="0.25">
      <c r="AS223">
        <v>0.71558499331766534</v>
      </c>
      <c r="AT223">
        <v>-1.7961658595547023</v>
      </c>
      <c r="AU223">
        <v>212.15618155118014</v>
      </c>
      <c r="AV223">
        <f t="shared" si="138"/>
        <v>1.5792623678666624</v>
      </c>
      <c r="AW223">
        <f t="shared" si="139"/>
        <v>0.86367737454899707</v>
      </c>
      <c r="AX223" s="40">
        <f t="shared" si="140"/>
        <v>-1.5623302857231307</v>
      </c>
      <c r="AY223">
        <f t="shared" si="141"/>
        <v>1.5623302857231307</v>
      </c>
    </row>
    <row r="224" spans="45:51" x14ac:dyDescent="0.25">
      <c r="AS224">
        <v>0.73303828583760866</v>
      </c>
      <c r="AT224">
        <v>-2.2076735213909671</v>
      </c>
      <c r="AU224">
        <v>213.16212138886169</v>
      </c>
      <c r="AV224">
        <f t="shared" si="138"/>
        <v>1.581152738047741</v>
      </c>
      <c r="AW224">
        <f t="shared" si="139"/>
        <v>0.84811445221013237</v>
      </c>
      <c r="AX224" s="40">
        <f t="shared" si="140"/>
        <v>-1.5604399155420521</v>
      </c>
      <c r="AY224">
        <f t="shared" si="141"/>
        <v>1.5604399155420521</v>
      </c>
    </row>
    <row r="225" spans="45:51" x14ac:dyDescent="0.25">
      <c r="AS225">
        <v>0.75049157835755198</v>
      </c>
      <c r="AT225">
        <v>-2.6347300976027954</v>
      </c>
      <c r="AU225">
        <v>214.17630346261939</v>
      </c>
      <c r="AV225">
        <f t="shared" si="138"/>
        <v>1.5830973944721396</v>
      </c>
      <c r="AW225">
        <f t="shared" si="139"/>
        <v>0.83260581611458762</v>
      </c>
      <c r="AX225" s="40">
        <f t="shared" si="140"/>
        <v>-1.5584952591176535</v>
      </c>
      <c r="AY225">
        <f t="shared" si="141"/>
        <v>1.5584952591176535</v>
      </c>
    </row>
    <row r="226" spans="45:51" x14ac:dyDescent="0.25">
      <c r="AS226">
        <v>0.7679448708774953</v>
      </c>
      <c r="AT226">
        <v>-3.0784766501418859</v>
      </c>
      <c r="AU226">
        <v>215.2001379969511</v>
      </c>
      <c r="AV226">
        <f t="shared" si="138"/>
        <v>1.5851005308409565</v>
      </c>
      <c r="AW226">
        <f t="shared" si="139"/>
        <v>0.81715565996346118</v>
      </c>
      <c r="AX226" s="40">
        <f t="shared" si="140"/>
        <v>-1.5564921227488366</v>
      </c>
      <c r="AY226">
        <f t="shared" si="141"/>
        <v>1.5564921227488366</v>
      </c>
    </row>
    <row r="227" spans="45:51" x14ac:dyDescent="0.25">
      <c r="AS227">
        <v>0.78539816339743862</v>
      </c>
      <c r="AT227">
        <v>-3.5401525497983752</v>
      </c>
      <c r="AU227">
        <v>216.23507248512081</v>
      </c>
      <c r="AV227">
        <f t="shared" si="138"/>
        <v>1.5871666420491133</v>
      </c>
      <c r="AW227">
        <f t="shared" si="139"/>
        <v>0.80176847865167467</v>
      </c>
      <c r="AX227" s="40">
        <f t="shared" si="140"/>
        <v>-1.5544260115406798</v>
      </c>
      <c r="AY227">
        <f t="shared" si="141"/>
        <v>1.5544260115406798</v>
      </c>
    </row>
    <row r="228" spans="45:51" x14ac:dyDescent="0.25">
      <c r="AS228">
        <v>0.80285145591738194</v>
      </c>
      <c r="AT228">
        <v>-4.0211076607584744</v>
      </c>
      <c r="AU228">
        <v>217.28260200346688</v>
      </c>
      <c r="AV228">
        <f t="shared" si="138"/>
        <v>1.5893005634972635</v>
      </c>
      <c r="AW228">
        <f t="shared" si="139"/>
        <v>0.78644910757988151</v>
      </c>
      <c r="AX228" s="40">
        <f t="shared" si="140"/>
        <v>-1.5522920900925297</v>
      </c>
      <c r="AY228">
        <f t="shared" si="141"/>
        <v>1.5522920900925297</v>
      </c>
    </row>
    <row r="229" spans="45:51" x14ac:dyDescent="0.25">
      <c r="AS229">
        <v>0.82030474843732526</v>
      </c>
      <c r="AT229">
        <v>-4.5228162884515539</v>
      </c>
      <c r="AU229">
        <v>218.34428000857784</v>
      </c>
      <c r="AV229">
        <f t="shared" si="138"/>
        <v>1.5915075154617184</v>
      </c>
      <c r="AW229">
        <f t="shared" si="139"/>
        <v>0.77120276702439317</v>
      </c>
      <c r="AX229" s="40">
        <f t="shared" si="140"/>
        <v>-1.5500851381280747</v>
      </c>
      <c r="AY229">
        <f t="shared" si="141"/>
        <v>1.5500851381280747</v>
      </c>
    </row>
    <row r="230" spans="45:51" x14ac:dyDescent="0.25">
      <c r="AS230">
        <v>0.83775804095726858</v>
      </c>
      <c r="AT230">
        <v>-4.9957467760459906</v>
      </c>
      <c r="AU230">
        <v>219.11722334577973</v>
      </c>
      <c r="AV230">
        <f t="shared" si="138"/>
        <v>1.5935918028888714</v>
      </c>
      <c r="AW230">
        <f t="shared" si="139"/>
        <v>0.75583376193160279</v>
      </c>
      <c r="AX230" s="40">
        <f t="shared" si="140"/>
        <v>-1.5480008507009217</v>
      </c>
      <c r="AY230">
        <f t="shared" si="141"/>
        <v>1.5480008507009217</v>
      </c>
    </row>
    <row r="231" spans="45:51" x14ac:dyDescent="0.25">
      <c r="AS231">
        <v>0.8552113334772119</v>
      </c>
      <c r="AT231">
        <v>-5.4110927857895543</v>
      </c>
      <c r="AU231">
        <v>219.46093844437979</v>
      </c>
      <c r="AV231">
        <f t="shared" si="138"/>
        <v>1.5954476232725257</v>
      </c>
      <c r="AW231">
        <f t="shared" si="139"/>
        <v>0.74023628979531375</v>
      </c>
      <c r="AX231" s="40">
        <f t="shared" si="140"/>
        <v>-1.5461450303172675</v>
      </c>
      <c r="AY231">
        <f t="shared" si="141"/>
        <v>1.5461450303172675</v>
      </c>
    </row>
    <row r="232" spans="45:51" x14ac:dyDescent="0.25">
      <c r="AS232">
        <v>0.87266462599715522</v>
      </c>
      <c r="AT232">
        <v>-5.8386219767078105</v>
      </c>
      <c r="AU232">
        <v>219.80125782136781</v>
      </c>
      <c r="AV232">
        <f t="shared" si="138"/>
        <v>1.5973532690348311</v>
      </c>
      <c r="AW232">
        <f t="shared" si="139"/>
        <v>0.72468864303767588</v>
      </c>
      <c r="AX232" s="40">
        <f t="shared" si="140"/>
        <v>-1.544239384554962</v>
      </c>
      <c r="AY232">
        <f t="shared" si="141"/>
        <v>1.544239384554962</v>
      </c>
    </row>
    <row r="233" spans="45:51" x14ac:dyDescent="0.25">
      <c r="AS233">
        <v>0.89011791851709854</v>
      </c>
      <c r="AT233">
        <v>-6.2793936688629799</v>
      </c>
      <c r="AU233">
        <v>220.13873571161565</v>
      </c>
      <c r="AV233">
        <f t="shared" si="138"/>
        <v>1.5993133044374923</v>
      </c>
      <c r="AW233">
        <f t="shared" si="139"/>
        <v>0.70919538592039377</v>
      </c>
      <c r="AX233" s="40">
        <f t="shared" si="140"/>
        <v>-1.5422793491523008</v>
      </c>
      <c r="AY233">
        <f t="shared" si="141"/>
        <v>1.5422793491523008</v>
      </c>
    </row>
    <row r="234" spans="45:51" x14ac:dyDescent="0.25">
      <c r="AS234">
        <v>0.90757121103704186</v>
      </c>
      <c r="AT234">
        <v>-6.7345637137189955</v>
      </c>
      <c r="AU234">
        <v>220.47391530743914</v>
      </c>
      <c r="AV234">
        <f t="shared" si="138"/>
        <v>1.6013326844251738</v>
      </c>
      <c r="AW234">
        <f t="shared" si="139"/>
        <v>0.69376147338813199</v>
      </c>
      <c r="AX234" s="40">
        <f t="shared" si="140"/>
        <v>-1.5402599691646193</v>
      </c>
      <c r="AY234">
        <f t="shared" si="141"/>
        <v>1.5402599691646193</v>
      </c>
    </row>
    <row r="235" spans="45:51" x14ac:dyDescent="0.25">
      <c r="AS235">
        <v>0.92502450355698518</v>
      </c>
      <c r="AT235">
        <v>-7.2053977701678953</v>
      </c>
      <c r="AU235">
        <v>220.80733293010192</v>
      </c>
      <c r="AV235">
        <f t="shared" si="138"/>
        <v>1.6034168097675412</v>
      </c>
      <c r="AW235">
        <f t="shared" si="139"/>
        <v>0.67839230621055602</v>
      </c>
      <c r="AX235" s="40">
        <f t="shared" si="140"/>
        <v>-1.5381758438222519</v>
      </c>
      <c r="AY235">
        <f t="shared" si="141"/>
        <v>1.5381758438222519</v>
      </c>
    </row>
    <row r="236" spans="45:51" x14ac:dyDescent="0.25">
      <c r="AS236">
        <v>0.9424777960769285</v>
      </c>
      <c r="AT236">
        <v>-7.693286824904721</v>
      </c>
      <c r="AU236">
        <v>221.13952214666736</v>
      </c>
      <c r="AV236">
        <f t="shared" si="138"/>
        <v>1.6055715912411324</v>
      </c>
      <c r="AW236">
        <f t="shared" si="139"/>
        <v>0.66309379516420386</v>
      </c>
      <c r="AX236" s="40">
        <f t="shared" si="140"/>
        <v>-1.5360210623486608</v>
      </c>
      <c r="AY236">
        <f t="shared" si="141"/>
        <v>1.5360210623486608</v>
      </c>
    </row>
    <row r="237" spans="45:51" x14ac:dyDescent="0.25">
      <c r="AS237">
        <v>0.95993108859687182</v>
      </c>
      <c r="AT237">
        <v>-8.1997651880290725</v>
      </c>
      <c r="AU237">
        <v>221.47101796859806</v>
      </c>
      <c r="AV237">
        <f t="shared" si="138"/>
        <v>1.6078035236706882</v>
      </c>
      <c r="AW237">
        <f t="shared" si="139"/>
        <v>0.64787243507381642</v>
      </c>
      <c r="AX237" s="40">
        <f t="shared" si="140"/>
        <v>-1.5337891299191049</v>
      </c>
      <c r="AY237">
        <f t="shared" si="141"/>
        <v>1.5337891299191049</v>
      </c>
    </row>
    <row r="238" spans="45:51" x14ac:dyDescent="0.25">
      <c r="AS238">
        <v>0.97738438111681514</v>
      </c>
      <c r="AT238">
        <v>-8.7265314534346317</v>
      </c>
      <c r="AU238">
        <v>221.80236122505897</v>
      </c>
      <c r="AV238">
        <f t="shared" si="138"/>
        <v>1.6101197717724982</v>
      </c>
      <c r="AW238">
        <f t="shared" si="139"/>
        <v>0.63273539065568307</v>
      </c>
      <c r="AX238" s="40">
        <f t="shared" si="140"/>
        <v>-1.5314728818172949</v>
      </c>
      <c r="AY238">
        <f t="shared" si="141"/>
        <v>1.5314728818172949</v>
      </c>
    </row>
    <row r="239" spans="45:51" x14ac:dyDescent="0.25">
      <c r="AS239">
        <v>0.99483767363675846</v>
      </c>
      <c r="AT239">
        <v>-9.2754731809367339</v>
      </c>
      <c r="AU239">
        <v>222.13410315734748</v>
      </c>
      <c r="AV239">
        <f t="shared" si="138"/>
        <v>1.6125282708826461</v>
      </c>
      <c r="AW239">
        <f t="shared" si="139"/>
        <v>0.6176905972458876</v>
      </c>
      <c r="AX239" s="40">
        <f t="shared" si="140"/>
        <v>-1.5290643827071471</v>
      </c>
      <c r="AY239">
        <f t="shared" si="141"/>
        <v>1.5290643827071471</v>
      </c>
    </row>
    <row r="240" spans="45:51" x14ac:dyDescent="0.25">
      <c r="AS240">
        <v>1.0122909661567017</v>
      </c>
      <c r="AT240">
        <v>-9.8486960605513829</v>
      </c>
      <c r="AU240">
        <v>222.46681034345411</v>
      </c>
      <c r="AV240">
        <f t="shared" si="138"/>
        <v>1.615037845562546</v>
      </c>
      <c r="AW240">
        <f t="shared" si="139"/>
        <v>0.60274687940584437</v>
      </c>
      <c r="AX240" s="40">
        <f t="shared" si="140"/>
        <v>-1.5265548080272471</v>
      </c>
      <c r="AY240">
        <f t="shared" si="141"/>
        <v>1.5265548080272471</v>
      </c>
    </row>
    <row r="241" spans="45:51" x14ac:dyDescent="0.25">
      <c r="AS241">
        <v>1.029744258676645</v>
      </c>
      <c r="AT241">
        <v>-10.448558441519872</v>
      </c>
      <c r="AU241">
        <v>222.80107011115348</v>
      </c>
      <c r="AV241">
        <f t="shared" si="138"/>
        <v>1.6176583494964571</v>
      </c>
      <c r="AW241">
        <f t="shared" si="139"/>
        <v>0.58791409081981216</v>
      </c>
      <c r="AX241" s="40">
        <f t="shared" si="140"/>
        <v>-1.523934304093336</v>
      </c>
      <c r="AY241">
        <f t="shared" si="141"/>
        <v>1.523934304093336</v>
      </c>
    </row>
    <row r="242" spans="45:51" x14ac:dyDescent="0.25">
      <c r="AS242">
        <v>1.0471975511965883</v>
      </c>
      <c r="AT242">
        <v>-11.07771260813236</v>
      </c>
      <c r="AU242">
        <v>223.13749652741947</v>
      </c>
      <c r="AV242">
        <f t="shared" si="138"/>
        <v>1.620400832196299</v>
      </c>
      <c r="AW242">
        <f t="shared" si="139"/>
        <v>0.57320328099971074</v>
      </c>
      <c r="AX242" s="40">
        <f t="shared" si="140"/>
        <v>-1.5211918213934941</v>
      </c>
      <c r="AY242">
        <f t="shared" si="141"/>
        <v>1.5211918213934941</v>
      </c>
    </row>
    <row r="243" spans="45:51" x14ac:dyDescent="0.25">
      <c r="AS243">
        <v>1.0646508437165316</v>
      </c>
      <c r="AT243">
        <v>-11.739154324998715</v>
      </c>
      <c r="AU243">
        <v>223.47673715382814</v>
      </c>
      <c r="AV243">
        <f t="shared" si="138"/>
        <v>1.6232777384302586</v>
      </c>
      <c r="AW243">
        <f t="shared" si="139"/>
        <v>0.55862689471372695</v>
      </c>
      <c r="AX243" s="40">
        <f t="shared" si="140"/>
        <v>-1.5183149151595345</v>
      </c>
      <c r="AY243">
        <f t="shared" si="141"/>
        <v>1.5183149151595345</v>
      </c>
    </row>
    <row r="244" spans="45:51" x14ac:dyDescent="0.25">
      <c r="AS244">
        <v>1.0821041362364749</v>
      </c>
      <c r="AT244">
        <v>-12.436282693199047</v>
      </c>
      <c r="AU244">
        <v>223.81948076747886</v>
      </c>
      <c r="AV244">
        <f t="shared" si="138"/>
        <v>1.6263031483374417</v>
      </c>
      <c r="AW244">
        <f t="shared" si="139"/>
        <v>0.54419901210096677</v>
      </c>
      <c r="AX244" s="40">
        <f t="shared" si="140"/>
        <v>-1.5152895052523514</v>
      </c>
      <c r="AY244">
        <f t="shared" si="141"/>
        <v>1.5152895052523514</v>
      </c>
    </row>
    <row r="245" spans="45:51" x14ac:dyDescent="0.25">
      <c r="AS245">
        <v>1.0995574287564183</v>
      </c>
      <c r="AT245">
        <v>-13.172972916765007</v>
      </c>
      <c r="AU245">
        <v>224.16646631005813</v>
      </c>
      <c r="AV245">
        <f t="shared" si="138"/>
        <v>1.6294930682989446</v>
      </c>
      <c r="AW245">
        <f t="shared" si="139"/>
        <v>0.52993563954252632</v>
      </c>
      <c r="AX245" s="40">
        <f t="shared" si="140"/>
        <v>-1.5120995852908485</v>
      </c>
      <c r="AY245">
        <f t="shared" si="141"/>
        <v>1.5120995852908485</v>
      </c>
    </row>
    <row r="246" spans="45:51" x14ac:dyDescent="0.25">
      <c r="AS246">
        <v>1.1170107212763616</v>
      </c>
      <c r="AT246">
        <v>-13.953665406459317</v>
      </c>
      <c r="AU246">
        <v>224.51849337858178</v>
      </c>
      <c r="AV246">
        <f t="shared" si="138"/>
        <v>1.6328657858091189</v>
      </c>
      <c r="AW246">
        <f t="shared" si="139"/>
        <v>0.51585506453275731</v>
      </c>
      <c r="AX246" s="40">
        <f t="shared" si="140"/>
        <v>-1.5087268677806742</v>
      </c>
      <c r="AY246">
        <f t="shared" si="141"/>
        <v>1.5087268677806742</v>
      </c>
    </row>
    <row r="247" spans="45:51" x14ac:dyDescent="0.25">
      <c r="AS247">
        <v>1.1344640137963049</v>
      </c>
      <c r="AT247">
        <v>-14.783475709989306</v>
      </c>
      <c r="AU247">
        <v>224.87643466229036</v>
      </c>
      <c r="AV247">
        <f t="shared" si="138"/>
        <v>1.636442305599128</v>
      </c>
      <c r="AW247">
        <f t="shared" si="139"/>
        <v>0.50197829180282305</v>
      </c>
      <c r="AX247" s="40">
        <f t="shared" si="140"/>
        <v>-1.5051503479906652</v>
      </c>
      <c r="AY247">
        <f t="shared" si="141"/>
        <v>1.5051503479906652</v>
      </c>
    </row>
    <row r="248" spans="45:51" x14ac:dyDescent="0.25">
      <c r="AS248">
        <v>1.1519173063162482</v>
      </c>
      <c r="AT248">
        <v>-15.668331235547429</v>
      </c>
      <c r="AU248">
        <v>225.24125084239907</v>
      </c>
      <c r="AV248">
        <f t="shared" si="138"/>
        <v>1.6402468898272096</v>
      </c>
      <c r="AW248">
        <f t="shared" si="139"/>
        <v>0.48832958351096134</v>
      </c>
      <c r="AX248" s="40">
        <f t="shared" si="140"/>
        <v>-1.5013457637625836</v>
      </c>
      <c r="AY248">
        <f t="shared" si="141"/>
        <v>1.5013457637625836</v>
      </c>
    </row>
    <row r="249" spans="45:51" x14ac:dyDescent="0.25">
      <c r="AS249">
        <v>1.1693705988361915</v>
      </c>
      <c r="AT249">
        <v>-16.615142649486494</v>
      </c>
      <c r="AU249">
        <v>225.61400868985439</v>
      </c>
      <c r="AV249">
        <f t="shared" si="138"/>
        <v>1.6443077321970043</v>
      </c>
      <c r="AW249">
        <f t="shared" si="139"/>
        <v>0.47493713336081278</v>
      </c>
      <c r="AX249" s="40">
        <f t="shared" si="140"/>
        <v>-1.4972849213927888</v>
      </c>
      <c r="AY249">
        <f t="shared" si="141"/>
        <v>1.4972849213927888</v>
      </c>
    </row>
    <row r="250" spans="45:51" x14ac:dyDescent="0.25">
      <c r="AS250">
        <v>1.1868238913561349</v>
      </c>
      <c r="AT250">
        <v>-17.632020885433917</v>
      </c>
      <c r="AU250">
        <v>225.99590322073709</v>
      </c>
      <c r="AV250">
        <f t="shared" si="138"/>
        <v>1.6486578073715383</v>
      </c>
      <c r="AW250">
        <f t="shared" si="139"/>
        <v>0.46183391601540347</v>
      </c>
      <c r="AX250" s="40">
        <f t="shared" si="140"/>
        <v>-1.4929348462182548</v>
      </c>
      <c r="AY250">
        <f t="shared" si="141"/>
        <v>1.4929348462182548</v>
      </c>
    </row>
    <row r="251" spans="45:51" x14ac:dyDescent="0.25">
      <c r="AS251">
        <v>1.2042771838760782</v>
      </c>
      <c r="AT251">
        <v>-18.728554623749126</v>
      </c>
      <c r="AU251">
        <v>226.38828513364311</v>
      </c>
      <c r="AV251">
        <f t="shared" si="138"/>
        <v>1.6533359513558141</v>
      </c>
      <c r="AW251">
        <f t="shared" si="139"/>
        <v>0.44905876747973594</v>
      </c>
      <c r="AX251" s="40">
        <f t="shared" si="140"/>
        <v>-1.488256702233979</v>
      </c>
      <c r="AY251">
        <f t="shared" si="141"/>
        <v>1.488256702233979</v>
      </c>
    </row>
    <row r="252" spans="45:51" x14ac:dyDescent="0.25">
      <c r="AS252">
        <v>1.2217304763960215</v>
      </c>
      <c r="AT252">
        <v>-19.916168881102379</v>
      </c>
      <c r="AU252">
        <v>226.79269522476733</v>
      </c>
      <c r="AV252">
        <f t="shared" si="138"/>
        <v>1.6583882495304125</v>
      </c>
      <c r="AW252">
        <f t="shared" si="139"/>
        <v>0.43665777313439103</v>
      </c>
      <c r="AX252" s="40">
        <f t="shared" si="140"/>
        <v>-1.4832044040593806</v>
      </c>
      <c r="AY252">
        <f t="shared" si="141"/>
        <v>1.4832044040593806</v>
      </c>
    </row>
    <row r="253" spans="45:51" x14ac:dyDescent="0.25">
      <c r="AS253">
        <v>1.2391837689159648</v>
      </c>
      <c r="AT253">
        <v>-21.208594108565485</v>
      </c>
      <c r="AU253">
        <v>227.2109079988966</v>
      </c>
      <c r="AV253">
        <f t="shared" si="138"/>
        <v>1.6638698408138217</v>
      </c>
      <c r="AW253">
        <f t="shared" si="139"/>
        <v>0.4246860718978569</v>
      </c>
      <c r="AX253" s="40">
        <f t="shared" si="140"/>
        <v>-1.4777228127759714</v>
      </c>
      <c r="AY253">
        <f t="shared" si="141"/>
        <v>1.4777228127759714</v>
      </c>
    </row>
    <row r="254" spans="45:51" x14ac:dyDescent="0.25">
      <c r="AS254">
        <v>1.2566370614359081</v>
      </c>
      <c r="AT254">
        <v>-22.622487782193577</v>
      </c>
      <c r="AU254">
        <v>227.64498770082221</v>
      </c>
      <c r="AV254">
        <f t="shared" si="138"/>
        <v>1.6698472911610451</v>
      </c>
      <c r="AW254">
        <f t="shared" si="139"/>
        <v>0.41321022972513699</v>
      </c>
      <c r="AX254" s="40">
        <f t="shared" si="140"/>
        <v>-1.471745362428748</v>
      </c>
      <c r="AY254">
        <f t="shared" si="141"/>
        <v>1.471745362428748</v>
      </c>
    </row>
    <row r="255" spans="45:51" x14ac:dyDescent="0.25">
      <c r="AS255">
        <v>1.2740903539558515</v>
      </c>
      <c r="AT255">
        <v>-24.178270037751691</v>
      </c>
      <c r="AU255">
        <v>228.0973612656046</v>
      </c>
      <c r="AV255">
        <f t="shared" si="138"/>
        <v>1.6764017587376661</v>
      </c>
      <c r="AW255">
        <f t="shared" si="139"/>
        <v>0.4023114047818146</v>
      </c>
      <c r="AX255" s="40">
        <f t="shared" si="140"/>
        <v>-1.4651908948521271</v>
      </c>
      <c r="AY255">
        <f t="shared" si="141"/>
        <v>1.4651908948521271</v>
      </c>
    </row>
    <row r="256" spans="45:51" x14ac:dyDescent="0.25">
      <c r="AS256">
        <v>1.2915436464757948</v>
      </c>
      <c r="AT256">
        <v>-25.901265153536905</v>
      </c>
      <c r="AU256">
        <v>228.57091466919249</v>
      </c>
      <c r="AV256">
        <f t="shared" si="138"/>
        <v>1.6836332783713404</v>
      </c>
      <c r="AW256">
        <f t="shared" si="139"/>
        <v>0.39208963189554558</v>
      </c>
      <c r="AX256" s="40">
        <f t="shared" si="140"/>
        <v>-1.4579593752184528</v>
      </c>
      <c r="AY256">
        <f t="shared" si="141"/>
        <v>1.4579593752184528</v>
      </c>
    </row>
    <row r="257" spans="45:51" x14ac:dyDescent="0.25">
      <c r="AS257">
        <v>1.3089969389957381</v>
      </c>
      <c r="AT257">
        <v>-27.823288516003686</v>
      </c>
      <c r="AU257">
        <v>229.06912240517968</v>
      </c>
      <c r="AV257">
        <f t="shared" si="138"/>
        <v>1.6916666563577782</v>
      </c>
      <c r="AW257">
        <f t="shared" si="139"/>
        <v>0.38266971736204014</v>
      </c>
      <c r="AX257" s="40">
        <f t="shared" si="140"/>
        <v>-1.4499259972320149</v>
      </c>
      <c r="AY257">
        <f t="shared" si="141"/>
        <v>1.4499259972320149</v>
      </c>
    </row>
    <row r="258" spans="45:51" x14ac:dyDescent="0.25">
      <c r="AS258">
        <v>1.3264502315156814</v>
      </c>
      <c r="AT258">
        <v>-29.984897510118905</v>
      </c>
      <c r="AU258">
        <v>229.59622450193754</v>
      </c>
      <c r="AV258">
        <f t="shared" si="138"/>
        <v>1.7006597320667716</v>
      </c>
      <c r="AW258">
        <f t="shared" si="139"/>
        <v>0.37420950055109015</v>
      </c>
      <c r="AX258" s="40">
        <f t="shared" si="140"/>
        <v>-1.4409329215230215</v>
      </c>
      <c r="AY258">
        <f t="shared" si="141"/>
        <v>1.4409329215230215</v>
      </c>
    </row>
    <row r="259" spans="45:51" x14ac:dyDescent="0.25">
      <c r="AS259">
        <v>1.3439035240356247</v>
      </c>
      <c r="AT259">
        <v>-32.438656291180465</v>
      </c>
      <c r="AU259">
        <v>230.15747372001675</v>
      </c>
      <c r="AV259">
        <f t="shared" ref="AV259:AV322" si="142">ATAN2(AT259,AU259)</f>
        <v>1.7108151951512105</v>
      </c>
      <c r="AW259">
        <f t="shared" ref="AW259:AW322" si="143">ABS(AS259-AV259)</f>
        <v>0.36691167111558576</v>
      </c>
      <c r="AX259" s="40">
        <f t="shared" ref="AX259:AX322" si="144">AV259-$U$13</f>
        <v>-1.4307774584385826</v>
      </c>
      <c r="AY259">
        <f t="shared" ref="AY259:AY322" si="145">ABS(AX259)</f>
        <v>1.4307774584385826</v>
      </c>
    </row>
    <row r="260" spans="45:51" x14ac:dyDescent="0.25">
      <c r="AS260">
        <v>1.3613568165555681</v>
      </c>
      <c r="AT260">
        <v>-35.253994153545733</v>
      </c>
      <c r="AU260">
        <v>230.75948858207175</v>
      </c>
      <c r="AV260">
        <f t="shared" si="142"/>
        <v>1.7223978856675226</v>
      </c>
      <c r="AW260">
        <f t="shared" si="143"/>
        <v>0.36104106911195455</v>
      </c>
      <c r="AX260" s="40">
        <f t="shared" si="144"/>
        <v>-1.4191947679222705</v>
      </c>
      <c r="AY260">
        <f t="shared" si="145"/>
        <v>1.4191947679222705</v>
      </c>
    </row>
    <row r="261" spans="45:51" x14ac:dyDescent="0.25">
      <c r="AS261">
        <v>1.3788101090755114</v>
      </c>
      <c r="AT261">
        <v>-38.524650657481203</v>
      </c>
      <c r="AU261">
        <v>231.41077132630011</v>
      </c>
      <c r="AV261">
        <f t="shared" si="142"/>
        <v>1.7357607930298187</v>
      </c>
      <c r="AW261">
        <f t="shared" si="143"/>
        <v>0.35695068395430729</v>
      </c>
      <c r="AX261" s="40">
        <f t="shared" si="144"/>
        <v>-1.4058318605599744</v>
      </c>
      <c r="AY261">
        <f t="shared" si="145"/>
        <v>1.4058318605599744</v>
      </c>
    </row>
    <row r="262" spans="45:51" x14ac:dyDescent="0.25">
      <c r="AS262">
        <v>1.3962634015954547</v>
      </c>
      <c r="AT262">
        <v>-40.854849512121866</v>
      </c>
      <c r="AU262">
        <v>231.8420590389203</v>
      </c>
      <c r="AV262">
        <f t="shared" si="142"/>
        <v>1.745223997052193</v>
      </c>
      <c r="AW262">
        <f t="shared" si="143"/>
        <v>0.3489605954567383</v>
      </c>
      <c r="AX262" s="40">
        <f t="shared" si="144"/>
        <v>-1.3963686565376001</v>
      </c>
      <c r="AY262">
        <f t="shared" si="145"/>
        <v>1.3963686565376001</v>
      </c>
    </row>
    <row r="263" spans="45:51" x14ac:dyDescent="0.25">
      <c r="AS263">
        <v>1.413716694115398</v>
      </c>
      <c r="AT263">
        <v>-45.364564790969709</v>
      </c>
      <c r="AU263">
        <v>232.61493023744382</v>
      </c>
      <c r="AV263">
        <f t="shared" si="142"/>
        <v>1.7633988760803894</v>
      </c>
      <c r="AW263">
        <f t="shared" si="143"/>
        <v>0.34968218196499135</v>
      </c>
      <c r="AX263" s="40">
        <f t="shared" si="144"/>
        <v>-1.3781937775094038</v>
      </c>
      <c r="AY263">
        <f t="shared" si="145"/>
        <v>1.3781937775094038</v>
      </c>
    </row>
    <row r="264" spans="45:51" x14ac:dyDescent="0.25">
      <c r="AS264">
        <v>1.4311699866353413</v>
      </c>
      <c r="AT264">
        <v>-50.89774149018875</v>
      </c>
      <c r="AU264">
        <v>233.4837127195326</v>
      </c>
      <c r="AV264">
        <f t="shared" si="142"/>
        <v>1.7854311813621628</v>
      </c>
      <c r="AW264">
        <f t="shared" si="143"/>
        <v>0.35426119472682149</v>
      </c>
      <c r="AX264" s="40">
        <f t="shared" si="144"/>
        <v>-1.3561614722276303</v>
      </c>
      <c r="AY264">
        <f t="shared" si="145"/>
        <v>1.3561614722276303</v>
      </c>
    </row>
    <row r="265" spans="45:51" x14ac:dyDescent="0.25">
      <c r="AS265">
        <v>1.4486232791552847</v>
      </c>
      <c r="AT265">
        <v>-57.872619786294798</v>
      </c>
      <c r="AU265">
        <v>234.47864424410355</v>
      </c>
      <c r="AV265">
        <f t="shared" si="142"/>
        <v>1.8127741920209952</v>
      </c>
      <c r="AW265">
        <f t="shared" si="143"/>
        <v>0.36415091286571055</v>
      </c>
      <c r="AX265" s="40">
        <f t="shared" si="144"/>
        <v>-1.3288184615687979</v>
      </c>
      <c r="AY265">
        <f t="shared" si="145"/>
        <v>1.3288184615687979</v>
      </c>
    </row>
    <row r="266" spans="45:51" x14ac:dyDescent="0.25">
      <c r="AS266">
        <v>1.466076571675228</v>
      </c>
      <c r="AT266">
        <v>-66.698303705291778</v>
      </c>
      <c r="AU266">
        <v>235.61346658931041</v>
      </c>
      <c r="AV266">
        <f t="shared" si="142"/>
        <v>1.8466621377678887</v>
      </c>
      <c r="AW266">
        <f t="shared" si="143"/>
        <v>0.3805855660926607</v>
      </c>
      <c r="AX266" s="40">
        <f t="shared" si="144"/>
        <v>-1.2949305158219044</v>
      </c>
      <c r="AY266">
        <f t="shared" si="145"/>
        <v>1.2949305158219044</v>
      </c>
    </row>
    <row r="267" spans="45:51" x14ac:dyDescent="0.25">
      <c r="AS267">
        <v>1.4835298641951713</v>
      </c>
      <c r="AT267">
        <v>-76.100936550657906</v>
      </c>
      <c r="AU267">
        <v>236.70713071197306</v>
      </c>
      <c r="AV267">
        <f t="shared" si="142"/>
        <v>1.8818577915183363</v>
      </c>
      <c r="AW267">
        <f t="shared" si="143"/>
        <v>0.39832792732316502</v>
      </c>
      <c r="AX267" s="40">
        <f t="shared" si="144"/>
        <v>-1.2597348620714568</v>
      </c>
      <c r="AY267">
        <f t="shared" si="145"/>
        <v>1.2597348620714568</v>
      </c>
    </row>
    <row r="268" spans="45:51" x14ac:dyDescent="0.25">
      <c r="AS268">
        <v>1.5009831567151146</v>
      </c>
      <c r="AT268">
        <v>-85.808580907920316</v>
      </c>
      <c r="AU268">
        <v>237.72438172960534</v>
      </c>
      <c r="AV268">
        <f t="shared" si="142"/>
        <v>1.9171999725678013</v>
      </c>
      <c r="AW268">
        <f t="shared" si="143"/>
        <v>0.41621681585268666</v>
      </c>
      <c r="AX268" s="40">
        <f t="shared" si="144"/>
        <v>-1.2243926810219918</v>
      </c>
      <c r="AY268">
        <f t="shared" si="145"/>
        <v>1.2243926810219918</v>
      </c>
    </row>
    <row r="269" spans="45:51" x14ac:dyDescent="0.25">
      <c r="AS269">
        <v>1.5184364492350579</v>
      </c>
      <c r="AT269">
        <v>-95.867380902418347</v>
      </c>
      <c r="AU269">
        <v>238.66862096860316</v>
      </c>
      <c r="AV269">
        <f t="shared" si="142"/>
        <v>1.9527464214293762</v>
      </c>
      <c r="AW269">
        <f t="shared" si="143"/>
        <v>0.43430997219431822</v>
      </c>
      <c r="AX269" s="40">
        <f t="shared" si="144"/>
        <v>-1.188846232160417</v>
      </c>
      <c r="AY269">
        <f t="shared" si="145"/>
        <v>1.188846232160417</v>
      </c>
    </row>
    <row r="270" spans="45:51" x14ac:dyDescent="0.25">
      <c r="AS270">
        <v>1.5358897417550013</v>
      </c>
      <c r="AT270">
        <v>-106.32710829753678</v>
      </c>
      <c r="AU270">
        <v>239.54220566596143</v>
      </c>
      <c r="AV270">
        <f t="shared" si="142"/>
        <v>1.9885461276845358</v>
      </c>
      <c r="AW270">
        <f t="shared" si="143"/>
        <v>0.4526563859295345</v>
      </c>
      <c r="AX270" s="40">
        <f t="shared" si="144"/>
        <v>-1.1530465259052574</v>
      </c>
      <c r="AY270">
        <f t="shared" si="145"/>
        <v>1.1530465259052574</v>
      </c>
    </row>
    <row r="271" spans="45:51" x14ac:dyDescent="0.25">
      <c r="AS271">
        <v>1.5533430342749446</v>
      </c>
      <c r="AT271">
        <v>-117.24033629292116</v>
      </c>
      <c r="AU271">
        <v>240.34601696858832</v>
      </c>
      <c r="AV271">
        <f t="shared" si="142"/>
        <v>2.0246348728366224</v>
      </c>
      <c r="AW271">
        <f t="shared" si="143"/>
        <v>0.47129183856167778</v>
      </c>
      <c r="AX271" s="40">
        <f t="shared" si="144"/>
        <v>-1.1169577807531708</v>
      </c>
      <c r="AY271">
        <f t="shared" si="145"/>
        <v>1.1169577807531708</v>
      </c>
    </row>
    <row r="272" spans="45:51" x14ac:dyDescent="0.25">
      <c r="AS272">
        <v>1.5707963267948879</v>
      </c>
      <c r="AT272">
        <v>-128.66105356561897</v>
      </c>
      <c r="AU272">
        <v>241.07892606363635</v>
      </c>
      <c r="AV272">
        <f t="shared" si="142"/>
        <v>2.0610301362249599</v>
      </c>
      <c r="AW272">
        <f t="shared" si="143"/>
        <v>0.490233809430072</v>
      </c>
      <c r="AX272" s="40">
        <f t="shared" si="144"/>
        <v>-1.0805625173648332</v>
      </c>
      <c r="AY272">
        <f t="shared" si="145"/>
        <v>1.0805625173648332</v>
      </c>
    </row>
    <row r="273" spans="45:51" x14ac:dyDescent="0.25">
      <c r="AS273">
        <v>1.5882496193148312</v>
      </c>
      <c r="AT273">
        <v>-135.22055658397235</v>
      </c>
      <c r="AU273">
        <v>241.04274500027907</v>
      </c>
      <c r="AV273">
        <f t="shared" si="142"/>
        <v>2.0820316327568813</v>
      </c>
      <c r="AW273">
        <f t="shared" si="143"/>
        <v>0.49378201344205008</v>
      </c>
      <c r="AX273" s="40">
        <f t="shared" si="144"/>
        <v>-1.0595610208329118</v>
      </c>
      <c r="AY273">
        <f t="shared" si="145"/>
        <v>1.0595610208329118</v>
      </c>
    </row>
    <row r="274" spans="45:51" x14ac:dyDescent="0.25">
      <c r="AS274">
        <v>1.6057029118347745</v>
      </c>
      <c r="AT274">
        <v>-141.7633786057952</v>
      </c>
      <c r="AU274">
        <v>240.89181387615386</v>
      </c>
      <c r="AV274">
        <f t="shared" si="142"/>
        <v>2.1027125466000212</v>
      </c>
      <c r="AW274">
        <f t="shared" si="143"/>
        <v>0.49700963476524662</v>
      </c>
      <c r="AX274" s="40">
        <f t="shared" si="144"/>
        <v>-1.038880106989772</v>
      </c>
      <c r="AY274">
        <f t="shared" si="145"/>
        <v>1.038880106989772</v>
      </c>
    </row>
    <row r="275" spans="45:51" x14ac:dyDescent="0.25">
      <c r="AS275">
        <v>1.6231562043547179</v>
      </c>
      <c r="AT275">
        <v>-148.29749281715243</v>
      </c>
      <c r="AU275">
        <v>240.62626586658433</v>
      </c>
      <c r="AV275">
        <f t="shared" si="142"/>
        <v>2.1231135564207442</v>
      </c>
      <c r="AW275">
        <f t="shared" si="143"/>
        <v>0.49995735206602632</v>
      </c>
      <c r="AX275" s="40">
        <f t="shared" si="144"/>
        <v>-1.0184790971690489</v>
      </c>
      <c r="AY275">
        <f t="shared" si="145"/>
        <v>1.0184790971690489</v>
      </c>
    </row>
    <row r="276" spans="45:51" x14ac:dyDescent="0.25">
      <c r="AS276">
        <v>1.6406094968746612</v>
      </c>
      <c r="AT276">
        <v>-154.82988643444742</v>
      </c>
      <c r="AU276">
        <v>240.24582301645762</v>
      </c>
      <c r="AV276">
        <f t="shared" si="142"/>
        <v>2.1432702586611314</v>
      </c>
      <c r="AW276">
        <f t="shared" si="143"/>
        <v>0.50266076178647023</v>
      </c>
      <c r="AX276" s="40">
        <f t="shared" si="144"/>
        <v>-0.9983223949286617</v>
      </c>
      <c r="AY276">
        <f t="shared" si="145"/>
        <v>0.9983223949286617</v>
      </c>
    </row>
    <row r="277" spans="45:51" x14ac:dyDescent="0.25">
      <c r="AS277">
        <v>1.6580627893946045</v>
      </c>
      <c r="AT277">
        <v>-161.36686489360736</v>
      </c>
      <c r="AU277">
        <v>239.74983257447036</v>
      </c>
      <c r="AV277">
        <f t="shared" si="142"/>
        <v>2.163214452117848</v>
      </c>
      <c r="AW277">
        <f t="shared" si="143"/>
        <v>0.50515166272324352</v>
      </c>
      <c r="AX277" s="40">
        <f t="shared" si="144"/>
        <v>-0.9783782014719451</v>
      </c>
      <c r="AY277">
        <f t="shared" si="145"/>
        <v>0.9783782014719451</v>
      </c>
    </row>
    <row r="278" spans="45:51" x14ac:dyDescent="0.25">
      <c r="AS278">
        <v>1.6755160819145478</v>
      </c>
      <c r="AT278">
        <v>-167.9142579250298</v>
      </c>
      <c r="AU278">
        <v>239.13728855135133</v>
      </c>
      <c r="AV278">
        <f t="shared" si="142"/>
        <v>2.182975020638616</v>
      </c>
      <c r="AW278">
        <f t="shared" si="143"/>
        <v>0.50745893872406822</v>
      </c>
      <c r="AX278" s="40">
        <f t="shared" si="144"/>
        <v>-0.95861763295117708</v>
      </c>
      <c r="AY278">
        <f t="shared" si="145"/>
        <v>0.95861763295117708</v>
      </c>
    </row>
    <row r="279" spans="45:51" x14ac:dyDescent="0.25">
      <c r="AS279">
        <v>1.6929693744344911</v>
      </c>
      <c r="AT279">
        <v>-174.47756401422191</v>
      </c>
      <c r="AU279">
        <v>238.40684325964256</v>
      </c>
      <c r="AV279">
        <f t="shared" si="142"/>
        <v>2.2025785612473658</v>
      </c>
      <c r="AW279">
        <f t="shared" si="143"/>
        <v>0.5096091868128747</v>
      </c>
      <c r="AX279" s="40">
        <f t="shared" si="144"/>
        <v>-0.93901409234242728</v>
      </c>
      <c r="AY279">
        <f t="shared" si="145"/>
        <v>0.93901409234242728</v>
      </c>
    </row>
    <row r="280" spans="45:51" x14ac:dyDescent="0.25">
      <c r="AS280">
        <v>1.7104226669544345</v>
      </c>
      <c r="AT280">
        <v>-181.06205489038692</v>
      </c>
      <c r="AU280">
        <v>237.55681188736116</v>
      </c>
      <c r="AV280">
        <f t="shared" si="142"/>
        <v>2.2220498448425596</v>
      </c>
      <c r="AW280">
        <f t="shared" si="143"/>
        <v>0.51162717788812517</v>
      </c>
      <c r="AX280" s="40">
        <f t="shared" si="144"/>
        <v>-0.91954280874723349</v>
      </c>
      <c r="AY280">
        <f t="shared" si="145"/>
        <v>0.91954280874723349</v>
      </c>
    </row>
    <row r="281" spans="45:51" x14ac:dyDescent="0.25">
      <c r="AS281">
        <v>1.7278759594743778</v>
      </c>
      <c r="AT281">
        <v>-187.24565780520018</v>
      </c>
      <c r="AU281">
        <v>236.67770486415253</v>
      </c>
      <c r="AV281">
        <f t="shared" si="142"/>
        <v>2.2401126239765299</v>
      </c>
      <c r="AW281">
        <f t="shared" si="143"/>
        <v>0.51223666450215211</v>
      </c>
      <c r="AX281" s="40">
        <f t="shared" si="144"/>
        <v>-0.90148002961326323</v>
      </c>
      <c r="AY281">
        <f t="shared" si="145"/>
        <v>0.90148002961326323</v>
      </c>
    </row>
    <row r="282" spans="45:51" x14ac:dyDescent="0.25">
      <c r="AS282">
        <v>1.7453292519943211</v>
      </c>
      <c r="AT282">
        <v>-192.71493855328242</v>
      </c>
      <c r="AU282">
        <v>235.85783533297553</v>
      </c>
      <c r="AV282">
        <f t="shared" si="142"/>
        <v>2.2558660366268133</v>
      </c>
      <c r="AW282">
        <f t="shared" si="143"/>
        <v>0.51053678463249219</v>
      </c>
      <c r="AX282" s="40">
        <f t="shared" si="144"/>
        <v>-0.88572661696297983</v>
      </c>
      <c r="AY282">
        <f t="shared" si="145"/>
        <v>0.88572661696297983</v>
      </c>
    </row>
    <row r="283" spans="45:51" x14ac:dyDescent="0.25">
      <c r="AS283">
        <v>1.7627825445142644</v>
      </c>
      <c r="AT283">
        <v>-197.65071195006954</v>
      </c>
      <c r="AU283">
        <v>235.08113203011024</v>
      </c>
      <c r="AV283">
        <f t="shared" si="142"/>
        <v>2.2699112936601917</v>
      </c>
      <c r="AW283">
        <f t="shared" si="143"/>
        <v>0.50712874914592732</v>
      </c>
      <c r="AX283" s="40">
        <f t="shared" si="144"/>
        <v>-0.87168135992960138</v>
      </c>
      <c r="AY283">
        <f t="shared" si="145"/>
        <v>0.87168135992960138</v>
      </c>
    </row>
    <row r="284" spans="45:51" x14ac:dyDescent="0.25">
      <c r="AS284">
        <v>1.7802358370342077</v>
      </c>
      <c r="AT284">
        <v>-202.1750790612096</v>
      </c>
      <c r="AU284">
        <v>234.33626196700004</v>
      </c>
      <c r="AV284">
        <f t="shared" si="142"/>
        <v>2.2826496038154818</v>
      </c>
      <c r="AW284">
        <f t="shared" si="143"/>
        <v>0.50241376678127403</v>
      </c>
      <c r="AX284" s="40">
        <f t="shared" si="144"/>
        <v>-0.85894304977431135</v>
      </c>
      <c r="AY284">
        <f t="shared" si="145"/>
        <v>0.85894304977431135</v>
      </c>
    </row>
    <row r="285" spans="45:51" x14ac:dyDescent="0.25">
      <c r="AS285">
        <v>1.7976891295541511</v>
      </c>
      <c r="AT285">
        <v>-206.37378860844746</v>
      </c>
      <c r="AU285">
        <v>233.61498807662258</v>
      </c>
      <c r="AV285">
        <f t="shared" si="142"/>
        <v>2.2943600227339989</v>
      </c>
      <c r="AW285">
        <f t="shared" si="143"/>
        <v>0.49667089317984781</v>
      </c>
      <c r="AX285" s="40">
        <f t="shared" si="144"/>
        <v>-0.84723263085579426</v>
      </c>
      <c r="AY285">
        <f t="shared" si="145"/>
        <v>0.84723263085579426</v>
      </c>
    </row>
    <row r="286" spans="45:51" x14ac:dyDescent="0.25">
      <c r="AS286">
        <v>1.8151424220740944</v>
      </c>
      <c r="AT286">
        <v>-210.30917419199514</v>
      </c>
      <c r="AU286">
        <v>232.91113926955694</v>
      </c>
      <c r="AV286">
        <f t="shared" si="142"/>
        <v>2.3052437486817707</v>
      </c>
      <c r="AW286">
        <f t="shared" si="143"/>
        <v>0.49010132660767636</v>
      </c>
      <c r="AX286" s="40">
        <f t="shared" si="144"/>
        <v>-0.83634890490802238</v>
      </c>
      <c r="AY286">
        <f t="shared" si="145"/>
        <v>0.83634890490802238</v>
      </c>
    </row>
    <row r="287" spans="45:51" x14ac:dyDescent="0.25">
      <c r="AS287">
        <v>1.8325957145940377</v>
      </c>
      <c r="AT287">
        <v>-214.02789938478909</v>
      </c>
      <c r="AU287">
        <v>232.21996510554243</v>
      </c>
      <c r="AV287">
        <f t="shared" si="142"/>
        <v>2.3154503225488869</v>
      </c>
      <c r="AW287">
        <f t="shared" si="143"/>
        <v>0.48285460795484925</v>
      </c>
      <c r="AX287" s="40">
        <f t="shared" si="144"/>
        <v>-0.82614233104090617</v>
      </c>
      <c r="AY287">
        <f t="shared" si="145"/>
        <v>0.82614233104090617</v>
      </c>
    </row>
    <row r="288" spans="45:51" x14ac:dyDescent="0.25">
      <c r="AS288">
        <v>1.850049007113981</v>
      </c>
      <c r="AT288">
        <v>-217.56579499479</v>
      </c>
      <c r="AU288">
        <v>231.53771649779367</v>
      </c>
      <c r="AV288">
        <f t="shared" si="142"/>
        <v>2.3250938283865841</v>
      </c>
      <c r="AW288">
        <f t="shared" si="143"/>
        <v>0.47504482127260306</v>
      </c>
      <c r="AX288" s="40">
        <f t="shared" si="144"/>
        <v>-0.81649882520320904</v>
      </c>
      <c r="AY288">
        <f t="shared" si="145"/>
        <v>0.81649882520320904</v>
      </c>
    </row>
    <row r="289" spans="45:51" x14ac:dyDescent="0.25">
      <c r="AS289">
        <v>1.8675022996339243</v>
      </c>
      <c r="AT289">
        <v>-220.95099146403052</v>
      </c>
      <c r="AU289">
        <v>230.86136472477563</v>
      </c>
      <c r="AV289">
        <f t="shared" si="142"/>
        <v>2.334263296443412</v>
      </c>
      <c r="AW289">
        <f t="shared" si="143"/>
        <v>0.46676099680948768</v>
      </c>
      <c r="AX289" s="40">
        <f t="shared" si="144"/>
        <v>-0.8073293571463811</v>
      </c>
      <c r="AY289">
        <f t="shared" si="145"/>
        <v>0.8073293571463811</v>
      </c>
    </row>
    <row r="290" spans="45:51" x14ac:dyDescent="0.25">
      <c r="AS290">
        <v>1.8849555921538677</v>
      </c>
      <c r="AT290">
        <v>-224.20601173856804</v>
      </c>
      <c r="AU290">
        <v>230.18840783946192</v>
      </c>
      <c r="AV290">
        <f t="shared" si="142"/>
        <v>2.3430296047365782</v>
      </c>
      <c r="AW290">
        <f t="shared" si="143"/>
        <v>0.45807401258271052</v>
      </c>
      <c r="AX290" s="40">
        <f t="shared" si="144"/>
        <v>-0.79856304885321494</v>
      </c>
      <c r="AY290">
        <f t="shared" si="145"/>
        <v>0.79856304885321494</v>
      </c>
    </row>
    <row r="291" spans="45:51" x14ac:dyDescent="0.25">
      <c r="AS291">
        <v>1.902408884673811</v>
      </c>
      <c r="AT291">
        <v>-227.34920842746124</v>
      </c>
      <c r="AU291">
        <v>229.51673416097768</v>
      </c>
      <c r="AV291">
        <f t="shared" si="142"/>
        <v>2.351450189361544</v>
      </c>
      <c r="AW291">
        <f t="shared" si="143"/>
        <v>0.44904130468773307</v>
      </c>
      <c r="AX291" s="40">
        <f t="shared" si="144"/>
        <v>-0.79014246422824908</v>
      </c>
      <c r="AY291">
        <f t="shared" si="145"/>
        <v>0.79014246422824908</v>
      </c>
    </row>
    <row r="292" spans="45:51" x14ac:dyDescent="0.25">
      <c r="AS292">
        <v>1.9198621771937543</v>
      </c>
      <c r="AT292">
        <v>-230.39577486607462</v>
      </c>
      <c r="AU292">
        <v>228.84452379316818</v>
      </c>
      <c r="AV292">
        <f t="shared" si="142"/>
        <v>2.3595723409113916</v>
      </c>
      <c r="AW292">
        <f t="shared" si="143"/>
        <v>0.43971016371763727</v>
      </c>
      <c r="AX292" s="40">
        <f t="shared" si="144"/>
        <v>-0.78202031267840155</v>
      </c>
      <c r="AY292">
        <f t="shared" si="145"/>
        <v>0.78202031267840155</v>
      </c>
    </row>
    <row r="293" spans="45:51" x14ac:dyDescent="0.25">
      <c r="AS293">
        <v>1.9373154697136976</v>
      </c>
      <c r="AT293">
        <v>-233.35847195593783</v>
      </c>
      <c r="AU293">
        <v>228.1701761831348</v>
      </c>
      <c r="AV293">
        <f t="shared" si="142"/>
        <v>2.3674355632175699</v>
      </c>
      <c r="AW293">
        <f t="shared" si="143"/>
        <v>0.43012009350387226</v>
      </c>
      <c r="AX293" s="40">
        <f t="shared" si="144"/>
        <v>-0.77415709037222324</v>
      </c>
      <c r="AY293">
        <f t="shared" si="145"/>
        <v>0.77415709037222324</v>
      </c>
    </row>
    <row r="294" spans="45:51" x14ac:dyDescent="0.25">
      <c r="AS294">
        <v>1.9547687622336409</v>
      </c>
      <c r="AT294">
        <v>-236.24816093633717</v>
      </c>
      <c r="AU294">
        <v>227.49225578218275</v>
      </c>
      <c r="AV294">
        <f t="shared" si="142"/>
        <v>2.3750732951987636</v>
      </c>
      <c r="AW294">
        <f t="shared" si="143"/>
        <v>0.42030453296512271</v>
      </c>
      <c r="AX294" s="40">
        <f t="shared" si="144"/>
        <v>-0.76651935839102947</v>
      </c>
      <c r="AY294">
        <f t="shared" si="145"/>
        <v>0.76651935839102947</v>
      </c>
    </row>
    <row r="295" spans="45:51" x14ac:dyDescent="0.25">
      <c r="AS295">
        <v>1.9722220547535843</v>
      </c>
      <c r="AT295">
        <v>-239.07420085390174</v>
      </c>
      <c r="AU295">
        <v>226.80945051339023</v>
      </c>
      <c r="AV295">
        <f t="shared" si="142"/>
        <v>2.3825141906883518</v>
      </c>
      <c r="AW295">
        <f t="shared" si="143"/>
        <v>0.41029213593476754</v>
      </c>
      <c r="AX295" s="40">
        <f t="shared" si="144"/>
        <v>-0.75907846290144132</v>
      </c>
      <c r="AY295">
        <f t="shared" si="145"/>
        <v>0.75907846290144132</v>
      </c>
    </row>
    <row r="296" spans="45:51" x14ac:dyDescent="0.25">
      <c r="AS296">
        <v>1.9896753472735276</v>
      </c>
      <c r="AT296">
        <v>-241.84474994922664</v>
      </c>
      <c r="AU296">
        <v>226.12053948906387</v>
      </c>
      <c r="AV296">
        <f t="shared" si="142"/>
        <v>2.389783085439805</v>
      </c>
      <c r="AW296">
        <f t="shared" si="143"/>
        <v>0.40010773816627743</v>
      </c>
      <c r="AX296" s="40">
        <f t="shared" si="144"/>
        <v>-0.75180956814998812</v>
      </c>
      <c r="AY296">
        <f t="shared" si="145"/>
        <v>0.75180956814998812</v>
      </c>
    </row>
    <row r="297" spans="45:51" x14ac:dyDescent="0.25">
      <c r="AS297">
        <v>2.0071286397934709</v>
      </c>
      <c r="AT297">
        <v>-244.56699758452322</v>
      </c>
      <c r="AU297">
        <v>225.4243673329444</v>
      </c>
      <c r="AV297">
        <f t="shared" si="142"/>
        <v>2.3969017390642735</v>
      </c>
      <c r="AW297">
        <f t="shared" si="143"/>
        <v>0.38977309927080261</v>
      </c>
      <c r="AX297" s="40">
        <f t="shared" si="144"/>
        <v>-0.74469091452551961</v>
      </c>
      <c r="AY297">
        <f t="shared" si="145"/>
        <v>0.74469091452551961</v>
      </c>
    </row>
    <row r="298" spans="45:51" x14ac:dyDescent="0.25">
      <c r="AS298">
        <v>2.024581932313414</v>
      </c>
      <c r="AT298">
        <v>-247.24734528432671</v>
      </c>
      <c r="AU298">
        <v>224.71982347009089</v>
      </c>
      <c r="AV298">
        <f t="shared" si="142"/>
        <v>2.4038894122177883</v>
      </c>
      <c r="AW298">
        <f t="shared" si="143"/>
        <v>0.3793074799043743</v>
      </c>
      <c r="AX298" s="40">
        <f t="shared" si="144"/>
        <v>-0.73770324137200483</v>
      </c>
      <c r="AY298">
        <f t="shared" si="145"/>
        <v>0.73770324137200483</v>
      </c>
    </row>
    <row r="299" spans="45:51" x14ac:dyDescent="0.25">
      <c r="AS299">
        <v>2.0420352248333571</v>
      </c>
      <c r="AT299">
        <v>-249.89154988249823</v>
      </c>
      <c r="AU299">
        <v>224.00582495907884</v>
      </c>
      <c r="AV299">
        <f t="shared" si="142"/>
        <v>2.4107633217398461</v>
      </c>
      <c r="AW299">
        <f t="shared" si="143"/>
        <v>0.368728096906489</v>
      </c>
      <c r="AX299" s="40">
        <f t="shared" si="144"/>
        <v>-0.73082933184994703</v>
      </c>
      <c r="AY299">
        <f t="shared" si="145"/>
        <v>0.73082933184994703</v>
      </c>
    </row>
    <row r="300" spans="45:51" x14ac:dyDescent="0.25">
      <c r="AS300">
        <v>2.0594885173533002</v>
      </c>
      <c r="AT300">
        <v>-251.43823446480181</v>
      </c>
      <c r="AU300">
        <v>223.31210214420884</v>
      </c>
      <c r="AV300">
        <f t="shared" si="142"/>
        <v>2.4153693723169218</v>
      </c>
      <c r="AW300">
        <f t="shared" si="143"/>
        <v>0.35588085496362165</v>
      </c>
      <c r="AX300" s="40">
        <f t="shared" si="144"/>
        <v>-0.72622328127287128</v>
      </c>
      <c r="AY300">
        <f t="shared" si="145"/>
        <v>0.72622328127287128</v>
      </c>
    </row>
    <row r="301" spans="45:51" x14ac:dyDescent="0.25">
      <c r="AS301">
        <v>2.0769418098732433</v>
      </c>
      <c r="AT301">
        <v>-252.70295890753789</v>
      </c>
      <c r="AU301">
        <v>222.62549379493709</v>
      </c>
      <c r="AV301">
        <f t="shared" si="142"/>
        <v>2.4193874626438294</v>
      </c>
      <c r="AW301">
        <f t="shared" si="143"/>
        <v>0.34244565277058614</v>
      </c>
      <c r="AX301" s="40">
        <f t="shared" si="144"/>
        <v>-0.72220519094596369</v>
      </c>
      <c r="AY301">
        <f t="shared" si="145"/>
        <v>0.72220519094596369</v>
      </c>
    </row>
    <row r="302" spans="45:51" x14ac:dyDescent="0.25">
      <c r="AS302">
        <v>2.0943951023931864</v>
      </c>
      <c r="AT302">
        <v>-253.9151677743445</v>
      </c>
      <c r="AU302">
        <v>221.9397322522766</v>
      </c>
      <c r="AV302">
        <f t="shared" si="142"/>
        <v>2.423289395720464</v>
      </c>
      <c r="AW302">
        <f t="shared" si="143"/>
        <v>0.3288942933272776</v>
      </c>
      <c r="AX302" s="40">
        <f t="shared" si="144"/>
        <v>-0.71830325786932914</v>
      </c>
      <c r="AY302">
        <f t="shared" si="145"/>
        <v>0.71830325786932914</v>
      </c>
    </row>
    <row r="303" spans="45:51" x14ac:dyDescent="0.25">
      <c r="AS303">
        <v>2.1118483949131295</v>
      </c>
      <c r="AT303">
        <v>-255.07946987251478</v>
      </c>
      <c r="AU303">
        <v>221.25397211225334</v>
      </c>
      <c r="AV303">
        <f t="shared" si="142"/>
        <v>2.4270877101737525</v>
      </c>
      <c r="AW303">
        <f t="shared" si="143"/>
        <v>0.31523931526062299</v>
      </c>
      <c r="AX303" s="40">
        <f t="shared" si="144"/>
        <v>-0.71450494341604065</v>
      </c>
      <c r="AY303">
        <f t="shared" si="145"/>
        <v>0.71450494341604065</v>
      </c>
    </row>
    <row r="304" spans="45:51" x14ac:dyDescent="0.25">
      <c r="AS304">
        <v>2.1293016874330726</v>
      </c>
      <c r="AT304">
        <v>-256.19997597621841</v>
      </c>
      <c r="AU304">
        <v>220.56738489731143</v>
      </c>
      <c r="AV304">
        <f t="shared" si="142"/>
        <v>2.4307936983349707</v>
      </c>
      <c r="AW304">
        <f t="shared" si="143"/>
        <v>0.30149201090189814</v>
      </c>
      <c r="AX304" s="40">
        <f t="shared" si="144"/>
        <v>-0.7107989552548224</v>
      </c>
      <c r="AY304">
        <f t="shared" si="145"/>
        <v>0.7107989552548224</v>
      </c>
    </row>
    <row r="305" spans="45:51" x14ac:dyDescent="0.25">
      <c r="AS305">
        <v>2.1467549799530157</v>
      </c>
      <c r="AT305">
        <v>-257.28036809137859</v>
      </c>
      <c r="AU305">
        <v>219.87915316242362</v>
      </c>
      <c r="AV305">
        <f t="shared" si="142"/>
        <v>2.4344175957491392</v>
      </c>
      <c r="AW305">
        <f t="shared" si="143"/>
        <v>0.28766261579612351</v>
      </c>
      <c r="AX305" s="40">
        <f t="shared" si="144"/>
        <v>-0.70717505784065393</v>
      </c>
      <c r="AY305">
        <f t="shared" si="145"/>
        <v>0.70717505784065393</v>
      </c>
    </row>
    <row r="306" spans="45:51" x14ac:dyDescent="0.25">
      <c r="AS306">
        <v>2.1642082724729588</v>
      </c>
      <c r="AT306">
        <v>-258.32395741778407</v>
      </c>
      <c r="AU306">
        <v>219.18846497326251</v>
      </c>
      <c r="AV306">
        <f t="shared" si="142"/>
        <v>2.4379687400813954</v>
      </c>
      <c r="AW306">
        <f t="shared" si="143"/>
        <v>0.27376046760843664</v>
      </c>
      <c r="AX306" s="40">
        <f t="shared" si="144"/>
        <v>-0.7036239135083977</v>
      </c>
      <c r="AY306">
        <f t="shared" si="145"/>
        <v>0.7036239135083977</v>
      </c>
    </row>
    <row r="307" spans="45:51" x14ac:dyDescent="0.25">
      <c r="AS307">
        <v>2.1816615649929019</v>
      </c>
      <c r="AT307">
        <v>-259.33373329066728</v>
      </c>
      <c r="AU307">
        <v>218.49450870876012</v>
      </c>
      <c r="AV307">
        <f t="shared" si="142"/>
        <v>2.4414557056317268</v>
      </c>
      <c r="AW307">
        <f t="shared" si="143"/>
        <v>0.25979414063882489</v>
      </c>
      <c r="AX307" s="40">
        <f t="shared" si="144"/>
        <v>-0.70013694795806636</v>
      </c>
      <c r="AY307">
        <f t="shared" si="145"/>
        <v>0.70013694795806636</v>
      </c>
    </row>
    <row r="308" spans="45:51" x14ac:dyDescent="0.25">
      <c r="AS308">
        <v>2.199114857512845</v>
      </c>
      <c r="AT308">
        <v>-260.31240454448698</v>
      </c>
      <c r="AU308">
        <v>217.7964680089932</v>
      </c>
      <c r="AV308">
        <f t="shared" si="142"/>
        <v>2.4448864179540069</v>
      </c>
      <c r="AW308">
        <f t="shared" si="143"/>
        <v>0.24577156044116188</v>
      </c>
      <c r="AX308" s="40">
        <f t="shared" si="144"/>
        <v>-0.69670623563578626</v>
      </c>
      <c r="AY308">
        <f t="shared" si="145"/>
        <v>0.69670623563578626</v>
      </c>
    </row>
    <row r="309" spans="45:51" x14ac:dyDescent="0.25">
      <c r="AS309">
        <v>2.2165681500327881</v>
      </c>
      <c r="AT309">
        <v>-261.26243478821527</v>
      </c>
      <c r="AU309">
        <v>217.09351684209656</v>
      </c>
      <c r="AV309">
        <f t="shared" si="142"/>
        <v>2.4482682525281936</v>
      </c>
      <c r="AW309">
        <f t="shared" si="143"/>
        <v>0.23170010249540551</v>
      </c>
      <c r="AX309" s="40">
        <f t="shared" si="144"/>
        <v>-0.69332440106159954</v>
      </c>
      <c r="AY309">
        <f t="shared" si="145"/>
        <v>0.69332440106159954</v>
      </c>
    </row>
    <row r="310" spans="45:51" x14ac:dyDescent="0.25">
      <c r="AS310">
        <v>2.2340214425527312</v>
      </c>
      <c r="AT310">
        <v>-262.18607258932445</v>
      </c>
      <c r="AU310">
        <v>216.38481458610278</v>
      </c>
      <c r="AV310">
        <f t="shared" si="142"/>
        <v>2.4516081204399249</v>
      </c>
      <c r="AW310">
        <f t="shared" si="143"/>
        <v>0.21758667788719377</v>
      </c>
      <c r="AX310" s="40">
        <f t="shared" si="144"/>
        <v>-0.68998453314986818</v>
      </c>
      <c r="AY310">
        <f t="shared" si="145"/>
        <v>0.68998453314986818</v>
      </c>
    </row>
    <row r="311" spans="45:51" x14ac:dyDescent="0.25">
      <c r="AS311">
        <v>2.2514747350726743</v>
      </c>
      <c r="AT311">
        <v>-263.08537740522922</v>
      </c>
      <c r="AU311">
        <v>215.6695010467771</v>
      </c>
      <c r="AV311">
        <f t="shared" si="142"/>
        <v>2.454912543495003</v>
      </c>
      <c r="AW311">
        <f t="shared" si="143"/>
        <v>0.20343780842232873</v>
      </c>
      <c r="AX311" s="40">
        <f t="shared" si="144"/>
        <v>-0.68668011009479013</v>
      </c>
      <c r="AY311">
        <f t="shared" si="145"/>
        <v>0.68668011009479013</v>
      </c>
    </row>
    <row r="312" spans="45:51" x14ac:dyDescent="0.25">
      <c r="AS312">
        <v>2.2689280275926174</v>
      </c>
      <c r="AT312">
        <v>-263.9622421088834</v>
      </c>
      <c r="AU312">
        <v>214.94669137783171</v>
      </c>
      <c r="AV312">
        <f t="shared" si="142"/>
        <v>2.4581877209702867</v>
      </c>
      <c r="AW312">
        <f t="shared" si="143"/>
        <v>0.18925969337766935</v>
      </c>
      <c r="AX312" s="40">
        <f t="shared" si="144"/>
        <v>-0.68340493261950641</v>
      </c>
      <c r="AY312">
        <f t="shared" si="145"/>
        <v>0.68340493261950641</v>
      </c>
    </row>
    <row r="313" spans="45:51" x14ac:dyDescent="0.25">
      <c r="AS313">
        <v>2.2863813201125605</v>
      </c>
      <c r="AT313">
        <v>-264.81841237607728</v>
      </c>
      <c r="AU313">
        <v>214.21547074814148</v>
      </c>
      <c r="AV313">
        <f t="shared" si="142"/>
        <v>2.4614395892917553</v>
      </c>
      <c r="AW313">
        <f t="shared" si="143"/>
        <v>0.17505826917919487</v>
      </c>
      <c r="AX313" s="40">
        <f t="shared" si="144"/>
        <v>-0.68015306429803779</v>
      </c>
      <c r="AY313">
        <f t="shared" si="145"/>
        <v>0.68015306429803779</v>
      </c>
    </row>
    <row r="314" spans="45:51" x14ac:dyDescent="0.25">
      <c r="AS314">
        <v>2.3038346126325036</v>
      </c>
      <c r="AT314">
        <v>-265.65550378786548</v>
      </c>
      <c r="AU314">
        <v>213.47488878167692</v>
      </c>
      <c r="AV314">
        <f t="shared" si="142"/>
        <v>2.4646738765333724</v>
      </c>
      <c r="AW314">
        <f t="shared" si="143"/>
        <v>0.16083926390086889</v>
      </c>
      <c r="AX314" s="40">
        <f t="shared" si="144"/>
        <v>-0.67691877705642067</v>
      </c>
      <c r="AY314">
        <f t="shared" si="145"/>
        <v>0.67691877705642067</v>
      </c>
    </row>
    <row r="315" spans="45:51" x14ac:dyDescent="0.25">
      <c r="AS315">
        <v>2.3212879051524467</v>
      </c>
      <c r="AT315">
        <v>-266.47501669680025</v>
      </c>
      <c r="AU315">
        <v>212.72395360093248</v>
      </c>
      <c r="AV315">
        <f t="shared" si="142"/>
        <v>2.4678961525098404</v>
      </c>
      <c r="AW315">
        <f t="shared" si="143"/>
        <v>0.14660824735739375</v>
      </c>
      <c r="AX315" s="40">
        <f t="shared" si="144"/>
        <v>-0.67369650107995271</v>
      </c>
      <c r="AY315">
        <f t="shared" si="145"/>
        <v>0.67369650107995271</v>
      </c>
    </row>
    <row r="316" spans="45:51" x14ac:dyDescent="0.25">
      <c r="AS316">
        <v>2.3387411976723897</v>
      </c>
      <c r="AT316">
        <v>-267.2783493812704</v>
      </c>
      <c r="AU316">
        <v>211.96162543822882</v>
      </c>
      <c r="AV316">
        <f t="shared" si="142"/>
        <v>2.4711118757717463</v>
      </c>
      <c r="AW316">
        <f t="shared" si="143"/>
        <v>0.13237067809935654</v>
      </c>
      <c r="AX316" s="40">
        <f t="shared" si="144"/>
        <v>-0.67048077781804682</v>
      </c>
      <c r="AY316">
        <f t="shared" si="145"/>
        <v>0.67048077781804682</v>
      </c>
    </row>
    <row r="317" spans="45:51" x14ac:dyDescent="0.25">
      <c r="AS317">
        <v>2.3561944901923328</v>
      </c>
      <c r="AT317">
        <v>-268.06680970161352</v>
      </c>
      <c r="AU317">
        <v>211.18680970238546</v>
      </c>
      <c r="AV317">
        <f t="shared" si="142"/>
        <v>2.47432643837129</v>
      </c>
      <c r="AW317">
        <f t="shared" si="143"/>
        <v>0.11813194817895711</v>
      </c>
      <c r="AX317" s="40">
        <f t="shared" si="144"/>
        <v>-0.66726621521850316</v>
      </c>
      <c r="AY317">
        <f t="shared" si="145"/>
        <v>0.66726621521850316</v>
      </c>
    </row>
    <row r="318" spans="45:51" x14ac:dyDescent="0.25">
      <c r="AS318">
        <v>2.3736477827122759</v>
      </c>
      <c r="AT318">
        <v>-268.84162543458689</v>
      </c>
      <c r="AU318">
        <v>210.39834938369654</v>
      </c>
      <c r="AV318">
        <f t="shared" si="142"/>
        <v>2.4775452091857564</v>
      </c>
      <c r="AW318">
        <f t="shared" si="143"/>
        <v>0.10389742647348044</v>
      </c>
      <c r="AX318" s="40">
        <f t="shared" si="144"/>
        <v>-0.66404744440403674</v>
      </c>
      <c r="AY318">
        <f t="shared" si="145"/>
        <v>0.66404744440403674</v>
      </c>
    </row>
    <row r="319" spans="45:51" x14ac:dyDescent="0.25">
      <c r="AS319">
        <v>2.391101075232219</v>
      </c>
      <c r="AT319">
        <v>-269.6039536056993</v>
      </c>
      <c r="AU319">
        <v>209.59501669709522</v>
      </c>
      <c r="AV319">
        <f t="shared" si="142"/>
        <v>2.4807735767862393</v>
      </c>
      <c r="AW319">
        <f t="shared" si="143"/>
        <v>8.967250155402029E-2</v>
      </c>
      <c r="AX319" s="40">
        <f t="shared" si="144"/>
        <v>-0.66081907680355378</v>
      </c>
      <c r="AY319">
        <f t="shared" si="145"/>
        <v>0.66081907680355378</v>
      </c>
    </row>
    <row r="320" spans="45:51" x14ac:dyDescent="0.25">
      <c r="AS320">
        <v>2.4085543677521621</v>
      </c>
      <c r="AT320">
        <v>-270.3548887803924</v>
      </c>
      <c r="AU320">
        <v>208.77550378661107</v>
      </c>
      <c r="AV320">
        <f t="shared" si="142"/>
        <v>2.4840169923523989</v>
      </c>
      <c r="AW320">
        <f t="shared" si="143"/>
        <v>7.5462624600236783E-2</v>
      </c>
      <c r="AX320" s="40">
        <f t="shared" si="144"/>
        <v>-0.65757566123739419</v>
      </c>
      <c r="AY320">
        <f t="shared" si="145"/>
        <v>0.65757566123739419</v>
      </c>
    </row>
    <row r="321" spans="45:51" x14ac:dyDescent="0.25">
      <c r="AS321">
        <v>2.4260076602721052</v>
      </c>
      <c r="AT321">
        <v>-271.0954707504161</v>
      </c>
      <c r="AU321">
        <v>207.93841237407213</v>
      </c>
      <c r="AV321">
        <f t="shared" si="142"/>
        <v>2.4872810138485399</v>
      </c>
      <c r="AW321">
        <f t="shared" si="143"/>
        <v>6.1273353576434708E-2</v>
      </c>
      <c r="AX321" s="40">
        <f t="shared" si="144"/>
        <v>-0.65431163974125317</v>
      </c>
      <c r="AY321">
        <f t="shared" si="145"/>
        <v>0.65431163974125317</v>
      </c>
    </row>
    <row r="322" spans="45:51" x14ac:dyDescent="0.25">
      <c r="AS322">
        <v>2.4434609527920483</v>
      </c>
      <c r="AT322">
        <v>-271.82669138223645</v>
      </c>
      <c r="AU322">
        <v>207.08224210452309</v>
      </c>
      <c r="AV322">
        <f t="shared" si="142"/>
        <v>2.4905713517700621</v>
      </c>
      <c r="AW322">
        <f t="shared" si="143"/>
        <v>4.7110398978013723E-2</v>
      </c>
      <c r="AX322" s="40">
        <f t="shared" si="144"/>
        <v>-0.65102130181973106</v>
      </c>
      <c r="AY322">
        <f t="shared" si="145"/>
        <v>0.65102130181973106</v>
      </c>
    </row>
    <row r="323" spans="45:51" x14ac:dyDescent="0.25">
      <c r="AS323">
        <v>2.4609142453119914</v>
      </c>
      <c r="AT323">
        <v>-272.54950104699151</v>
      </c>
      <c r="AU323">
        <v>206.20537740819955</v>
      </c>
      <c r="AV323">
        <f t="shared" ref="AV323:AV362" si="146">ATAN2(AT323,AU323)</f>
        <v>2.4938939177934918</v>
      </c>
      <c r="AW323">
        <f t="shared" ref="AW323:AW362" si="147">ABS(AS323-AV323)</f>
        <v>3.2979672481500355E-2</v>
      </c>
      <c r="AX323" s="40">
        <f t="shared" ref="AX323:AX362" si="148">AV323-$U$13</f>
        <v>-0.64769873579630133</v>
      </c>
      <c r="AY323">
        <f t="shared" ref="AY323:AY362" si="149">ABS(AX323)</f>
        <v>0.64769873579630133</v>
      </c>
    </row>
    <row r="324" spans="45:51" x14ac:dyDescent="0.25">
      <c r="AS324">
        <v>2.4783675378319345</v>
      </c>
      <c r="AT324">
        <v>-273.26481458986945</v>
      </c>
      <c r="AU324">
        <v>205.30607258613</v>
      </c>
      <c r="AV324">
        <f t="shared" si="146"/>
        <v>2.4972548771041279</v>
      </c>
      <c r="AW324">
        <f t="shared" si="147"/>
        <v>1.8887339272193326E-2</v>
      </c>
      <c r="AX324" s="40">
        <f t="shared" si="148"/>
        <v>-0.64433777648566526</v>
      </c>
      <c r="AY324">
        <f t="shared" si="149"/>
        <v>0.64433777648566526</v>
      </c>
    </row>
    <row r="325" spans="45:51" x14ac:dyDescent="0.25">
      <c r="AS325">
        <v>2.4958208303518776</v>
      </c>
      <c r="AT325">
        <v>-273.97351684050199</v>
      </c>
      <c r="AU325">
        <v>204.38243479206724</v>
      </c>
      <c r="AV325">
        <f t="shared" si="146"/>
        <v>2.5006607053593828</v>
      </c>
      <c r="AW325">
        <f t="shared" si="147"/>
        <v>4.8398750075051566E-3</v>
      </c>
      <c r="AX325" s="40">
        <f t="shared" si="148"/>
        <v>-0.64093194823041033</v>
      </c>
      <c r="AY325">
        <f t="shared" si="149"/>
        <v>0.64093194823041033</v>
      </c>
    </row>
    <row r="326" spans="45:51" x14ac:dyDescent="0.25">
      <c r="AS326">
        <v>2.5132741228718207</v>
      </c>
      <c r="AT326">
        <v>-274.67646801505236</v>
      </c>
      <c r="AU326">
        <v>203.43240454783353</v>
      </c>
      <c r="AV326">
        <f t="shared" si="146"/>
        <v>2.5041182519683618</v>
      </c>
      <c r="AW326">
        <f t="shared" si="147"/>
        <v>9.1558709034589292E-3</v>
      </c>
      <c r="AX326" s="40">
        <f t="shared" si="148"/>
        <v>-0.63747440162143132</v>
      </c>
      <c r="AY326">
        <f t="shared" si="149"/>
        <v>0.63747440162143132</v>
      </c>
    </row>
    <row r="327" spans="45:51" x14ac:dyDescent="0.25">
      <c r="AS327">
        <v>2.5307274153917638</v>
      </c>
      <c r="AT327">
        <v>-275.37450870792065</v>
      </c>
      <c r="AU327">
        <v>202.45373329087482</v>
      </c>
      <c r="AV327">
        <f t="shared" si="146"/>
        <v>2.5076348105788648</v>
      </c>
      <c r="AW327">
        <f t="shared" si="147"/>
        <v>2.3092604812898987E-2</v>
      </c>
      <c r="AX327" s="40">
        <f t="shared" si="148"/>
        <v>-0.63395784301092828</v>
      </c>
      <c r="AY327">
        <f t="shared" si="149"/>
        <v>0.63395784301092828</v>
      </c>
    </row>
    <row r="328" spans="45:51" x14ac:dyDescent="0.25">
      <c r="AS328">
        <v>2.5481807079117069</v>
      </c>
      <c r="AT328">
        <v>-276.06846497785796</v>
      </c>
      <c r="AU328">
        <v>201.44395741648191</v>
      </c>
      <c r="AV328">
        <f t="shared" si="146"/>
        <v>2.5112181992131921</v>
      </c>
      <c r="AW328">
        <f t="shared" si="147"/>
        <v>3.6962508698514807E-2</v>
      </c>
      <c r="AX328" s="40">
        <f t="shared" si="148"/>
        <v>-0.630374454376601</v>
      </c>
      <c r="AY328">
        <f t="shared" si="149"/>
        <v>0.630374454376601</v>
      </c>
    </row>
    <row r="329" spans="45:51" x14ac:dyDescent="0.25">
      <c r="AS329">
        <v>2.56563400043165</v>
      </c>
      <c r="AT329">
        <v>-276.75915316443542</v>
      </c>
      <c r="AU329">
        <v>200.40036808848825</v>
      </c>
      <c r="AV329">
        <f t="shared" si="146"/>
        <v>2.5148768514811928</v>
      </c>
      <c r="AW329">
        <f t="shared" si="147"/>
        <v>5.0757148950457243E-2</v>
      </c>
      <c r="AX329" s="40">
        <f t="shared" si="148"/>
        <v>-0.62671580210860034</v>
      </c>
      <c r="AY329">
        <f t="shared" si="149"/>
        <v>0.62671580210860034</v>
      </c>
    </row>
    <row r="330" spans="45:51" x14ac:dyDescent="0.25">
      <c r="AS330">
        <v>2.5830872929515931</v>
      </c>
      <c r="AT330">
        <v>-277.44738490371844</v>
      </c>
      <c r="AU330">
        <v>199.31997598097797</v>
      </c>
      <c r="AV330">
        <f t="shared" si="146"/>
        <v>2.5186199220968826</v>
      </c>
      <c r="AW330">
        <f t="shared" si="147"/>
        <v>6.4467370854710548E-2</v>
      </c>
      <c r="AX330" s="40">
        <f t="shared" si="148"/>
        <v>-0.62297273149291055</v>
      </c>
      <c r="AY330">
        <f t="shared" si="149"/>
        <v>0.62297273149291055</v>
      </c>
    </row>
    <row r="331" spans="45:51" x14ac:dyDescent="0.25">
      <c r="AS331">
        <v>2.6005405854715362</v>
      </c>
      <c r="AT331">
        <v>-278.12181096567366</v>
      </c>
      <c r="AU331">
        <v>198.21950241336597</v>
      </c>
      <c r="AV331">
        <f t="shared" si="146"/>
        <v>2.5223889773100527</v>
      </c>
      <c r="AW331">
        <f t="shared" si="147"/>
        <v>7.8151608161483477E-2</v>
      </c>
      <c r="AX331" s="40">
        <f t="shared" si="148"/>
        <v>-0.61920367627974038</v>
      </c>
      <c r="AY331">
        <f t="shared" si="149"/>
        <v>0.61920367627974038</v>
      </c>
    </row>
    <row r="332" spans="45:51" x14ac:dyDescent="0.25">
      <c r="AS332">
        <v>2.6179938779914793</v>
      </c>
      <c r="AT332">
        <v>-278.75752940775237</v>
      </c>
      <c r="AU332">
        <v>197.14037735580473</v>
      </c>
      <c r="AV332">
        <f t="shared" si="146"/>
        <v>2.5260435020624508</v>
      </c>
      <c r="AW332">
        <f t="shared" si="147"/>
        <v>9.1950375929028549E-2</v>
      </c>
      <c r="AX332" s="40">
        <f t="shared" si="148"/>
        <v>-0.61554915152734235</v>
      </c>
      <c r="AY332">
        <f t="shared" si="149"/>
        <v>0.61554915152734235</v>
      </c>
    </row>
    <row r="333" spans="45:51" x14ac:dyDescent="0.25">
      <c r="AS333">
        <v>2.6354471705114224</v>
      </c>
      <c r="AT333">
        <v>-279.35594627204591</v>
      </c>
      <c r="AU333">
        <v>196.08278546168302</v>
      </c>
      <c r="AV333">
        <f t="shared" si="146"/>
        <v>2.5295858323102296</v>
      </c>
      <c r="AW333">
        <f t="shared" si="147"/>
        <v>0.10586133820119281</v>
      </c>
      <c r="AX333" s="40">
        <f t="shared" si="148"/>
        <v>-0.61200682127956352</v>
      </c>
      <c r="AY333">
        <f t="shared" si="149"/>
        <v>0.61200682127956352</v>
      </c>
    </row>
    <row r="334" spans="45:51" x14ac:dyDescent="0.25">
      <c r="AS334">
        <v>2.6529004630313655</v>
      </c>
      <c r="AT334">
        <v>-279.91922200100726</v>
      </c>
      <c r="AU334">
        <v>195.04546291326278</v>
      </c>
      <c r="AV334">
        <f t="shared" si="146"/>
        <v>2.5330229836899605</v>
      </c>
      <c r="AW334">
        <f t="shared" si="147"/>
        <v>0.11987747934140502</v>
      </c>
      <c r="AX334" s="40">
        <f t="shared" si="148"/>
        <v>-0.60856966989983263</v>
      </c>
      <c r="AY334">
        <f t="shared" si="149"/>
        <v>0.60856966989983263</v>
      </c>
    </row>
    <row r="335" spans="45:51" x14ac:dyDescent="0.25">
      <c r="AS335">
        <v>2.6703537555513086</v>
      </c>
      <c r="AT335">
        <v>-280.44933799969942</v>
      </c>
      <c r="AU335">
        <v>194.02721813179519</v>
      </c>
      <c r="AV335">
        <f t="shared" si="146"/>
        <v>2.5363614505113494</v>
      </c>
      <c r="AW335">
        <f t="shared" si="147"/>
        <v>0.13399230503995918</v>
      </c>
      <c r="AX335" s="40">
        <f t="shared" si="148"/>
        <v>-0.60523120307844369</v>
      </c>
      <c r="AY335">
        <f t="shared" si="149"/>
        <v>0.60523120307844369</v>
      </c>
    </row>
    <row r="336" spans="45:51" x14ac:dyDescent="0.25">
      <c r="AS336">
        <v>2.6878070480712517</v>
      </c>
      <c r="AT336">
        <v>-280.9481127749757</v>
      </c>
      <c r="AU336">
        <v>193.026925815174</v>
      </c>
      <c r="AV336">
        <f t="shared" si="146"/>
        <v>2.5396072546771502</v>
      </c>
      <c r="AW336">
        <f t="shared" si="147"/>
        <v>0.1481997933941015</v>
      </c>
      <c r="AX336" s="40">
        <f t="shared" si="148"/>
        <v>-0.60198539891264291</v>
      </c>
      <c r="AY336">
        <f t="shared" si="149"/>
        <v>0.60198539891264291</v>
      </c>
    </row>
    <row r="337" spans="45:51" x14ac:dyDescent="0.25">
      <c r="AS337">
        <v>2.7052603405911948</v>
      </c>
      <c r="AT337">
        <v>-281.41721641816713</v>
      </c>
      <c r="AU337">
        <v>192.04352150931538</v>
      </c>
      <c r="AV337">
        <f t="shared" si="146"/>
        <v>2.5427659894540064</v>
      </c>
      <c r="AW337">
        <f t="shared" si="147"/>
        <v>0.16249435113718835</v>
      </c>
      <c r="AX337" s="40">
        <f t="shared" si="148"/>
        <v>-0.59882666413578667</v>
      </c>
      <c r="AY337">
        <f t="shared" si="149"/>
        <v>0.59882666413578667</v>
      </c>
    </row>
    <row r="338" spans="45:51" x14ac:dyDescent="0.25">
      <c r="AS338">
        <v>2.7227136331111379</v>
      </c>
      <c r="AT338">
        <v>-281.85818345286646</v>
      </c>
      <c r="AU338">
        <v>191.07599665566275</v>
      </c>
      <c r="AV338">
        <f t="shared" si="146"/>
        <v>2.5458428584408845</v>
      </c>
      <c r="AW338">
        <f t="shared" si="147"/>
        <v>0.17687077467025336</v>
      </c>
      <c r="AX338" s="40">
        <f t="shared" si="148"/>
        <v>-0.59574979514890858</v>
      </c>
      <c r="AY338">
        <f t="shared" si="149"/>
        <v>0.59574979514890858</v>
      </c>
    </row>
    <row r="339" spans="45:51" x14ac:dyDescent="0.25">
      <c r="AS339">
        <v>2.740166925631081</v>
      </c>
      <c r="AT339">
        <v>-282.27242435852884</v>
      </c>
      <c r="AU339">
        <v>190.1233940640218</v>
      </c>
      <c r="AV339">
        <f t="shared" si="146"/>
        <v>2.54884271052115</v>
      </c>
      <c r="AW339">
        <f t="shared" si="147"/>
        <v>0.19132421510993103</v>
      </c>
      <c r="AX339" s="40">
        <f t="shared" si="148"/>
        <v>-0.59274994306864315</v>
      </c>
      <c r="AY339">
        <f t="shared" si="149"/>
        <v>0.59274994306864315</v>
      </c>
    </row>
    <row r="340" spans="45:51" x14ac:dyDescent="0.25">
      <c r="AS340">
        <v>2.7576202181510241</v>
      </c>
      <c r="AT340">
        <v>-282.66123587184427</v>
      </c>
      <c r="AU340">
        <v>189.1848037658346</v>
      </c>
      <c r="AV340">
        <f t="shared" si="146"/>
        <v>2.5517700711976743</v>
      </c>
      <c r="AW340">
        <f t="shared" si="147"/>
        <v>0.2058501469533498</v>
      </c>
      <c r="AX340" s="40">
        <f t="shared" si="148"/>
        <v>-0.58982258239211882</v>
      </c>
      <c r="AY340">
        <f t="shared" si="149"/>
        <v>0.58982258239211882</v>
      </c>
    </row>
    <row r="341" spans="45:51" x14ac:dyDescent="0.25">
      <c r="AS341">
        <v>2.7750735106709672</v>
      </c>
      <c r="AT341">
        <v>-283.02581024967753</v>
      </c>
      <c r="AU341">
        <v>188.25935920812651</v>
      </c>
      <c r="AV341">
        <f t="shared" si="146"/>
        <v>2.5546291708141569</v>
      </c>
      <c r="AW341">
        <f t="shared" si="147"/>
        <v>0.22044433985681033</v>
      </c>
      <c r="AX341" s="40">
        <f t="shared" si="148"/>
        <v>-0.58696348277563626</v>
      </c>
      <c r="AY341">
        <f t="shared" si="149"/>
        <v>0.58696348277563626</v>
      </c>
    </row>
    <row r="342" spans="45:51" x14ac:dyDescent="0.25">
      <c r="AS342">
        <v>2.7925268031909103</v>
      </c>
      <c r="AT342">
        <v>-283.36724350329905</v>
      </c>
      <c r="AU342">
        <v>187.34623375281959</v>
      </c>
      <c r="AV342">
        <f t="shared" si="146"/>
        <v>2.5574239698534331</v>
      </c>
      <c r="AW342">
        <f t="shared" si="147"/>
        <v>0.23510283333747717</v>
      </c>
      <c r="AX342" s="40">
        <f t="shared" si="148"/>
        <v>-0.58416868373635999</v>
      </c>
      <c r="AY342">
        <f t="shared" si="149"/>
        <v>0.58416868373635999</v>
      </c>
    </row>
    <row r="343" spans="45:51" x14ac:dyDescent="0.25">
      <c r="AS343">
        <v>2.8099800957108534</v>
      </c>
      <c r="AT343">
        <v>-283.68654286487151</v>
      </c>
      <c r="AU343">
        <v>186.44463744999649</v>
      </c>
      <c r="AV343">
        <f t="shared" si="146"/>
        <v>2.5601581818916852</v>
      </c>
      <c r="AW343">
        <f t="shared" si="147"/>
        <v>0.24982191381916818</v>
      </c>
      <c r="AX343" s="40">
        <f t="shared" si="148"/>
        <v>-0.58143447169810791</v>
      </c>
      <c r="AY343">
        <f t="shared" si="149"/>
        <v>0.58143447169810791</v>
      </c>
    </row>
    <row r="344" spans="45:51" x14ac:dyDescent="0.25">
      <c r="AS344">
        <v>2.8274333882307965</v>
      </c>
      <c r="AT344">
        <v>-283.98463344151457</v>
      </c>
      <c r="AU344">
        <v>185.55381405709136</v>
      </c>
      <c r="AV344">
        <f t="shared" si="146"/>
        <v>2.5628352942674382</v>
      </c>
      <c r="AW344">
        <f t="shared" si="147"/>
        <v>0.26459809396335832</v>
      </c>
      <c r="AX344" s="40">
        <f t="shared" si="148"/>
        <v>-0.57875735932235495</v>
      </c>
      <c r="AY344">
        <f t="shared" si="149"/>
        <v>0.57875735932235495</v>
      </c>
    </row>
    <row r="345" spans="45:51" x14ac:dyDescent="0.25">
      <c r="AS345">
        <v>2.8448866807507396</v>
      </c>
      <c r="AT345">
        <v>-284.26236423371688</v>
      </c>
      <c r="AU345">
        <v>184.67303827895341</v>
      </c>
      <c r="AV345">
        <f t="shared" si="146"/>
        <v>2.5654585868691773</v>
      </c>
      <c r="AW345">
        <f t="shared" si="147"/>
        <v>0.27942809388156231</v>
      </c>
      <c r="AX345" s="40">
        <f t="shared" si="148"/>
        <v>-0.57613406672061585</v>
      </c>
      <c r="AY345">
        <f t="shared" si="149"/>
        <v>0.57613406672061585</v>
      </c>
    </row>
    <row r="346" spans="45:51" x14ac:dyDescent="0.25">
      <c r="AS346">
        <v>2.8623399732706827</v>
      </c>
      <c r="AT346">
        <v>-284.52051348735296</v>
      </c>
      <c r="AU346">
        <v>183.80161320633022</v>
      </c>
      <c r="AV346">
        <f t="shared" si="146"/>
        <v>2.5680311490940997</v>
      </c>
      <c r="AW346">
        <f t="shared" si="147"/>
        <v>0.29430882417658299</v>
      </c>
      <c r="AX346" s="40">
        <f t="shared" si="148"/>
        <v>-0.57356150449569343</v>
      </c>
      <c r="AY346">
        <f t="shared" si="149"/>
        <v>0.57356150449569343</v>
      </c>
    </row>
    <row r="347" spans="45:51" x14ac:dyDescent="0.25">
      <c r="AS347">
        <v>2.8797932657906258</v>
      </c>
      <c r="AT347">
        <v>-284.75979354273682</v>
      </c>
      <c r="AU347">
        <v>182.93886793258946</v>
      </c>
      <c r="AV347">
        <f t="shared" si="146"/>
        <v>2.5705558953322885</v>
      </c>
      <c r="AW347">
        <f t="shared" si="147"/>
        <v>0.30923737045833732</v>
      </c>
      <c r="AX347" s="40">
        <f t="shared" si="148"/>
        <v>-0.57103675825750466</v>
      </c>
      <c r="AY347">
        <f t="shared" si="149"/>
        <v>0.57103675825750466</v>
      </c>
    </row>
    <row r="348" spans="45:51" x14ac:dyDescent="0.25">
      <c r="AS348">
        <v>2.8972465583105689</v>
      </c>
      <c r="AT348">
        <v>-284.98085520953975</v>
      </c>
      <c r="AU348">
        <v>182.08415533050288</v>
      </c>
      <c r="AV348">
        <f t="shared" si="146"/>
        <v>2.5730355791012789</v>
      </c>
      <c r="AW348">
        <f t="shared" si="147"/>
        <v>0.32421097920928998</v>
      </c>
      <c r="AX348" s="40">
        <f t="shared" si="148"/>
        <v>-0.56855707448851422</v>
      </c>
      <c r="AY348">
        <f t="shared" si="149"/>
        <v>0.56855707448851422</v>
      </c>
    </row>
    <row r="349" spans="45:51" x14ac:dyDescent="0.25">
      <c r="AS349">
        <v>2.914699850830512</v>
      </c>
      <c r="AT349">
        <v>-285.18429161980555</v>
      </c>
      <c r="AU349">
        <v>181.23684997266426</v>
      </c>
      <c r="AV349">
        <f t="shared" si="146"/>
        <v>2.5754728058262617</v>
      </c>
      <c r="AW349">
        <f t="shared" si="147"/>
        <v>0.33922704500425027</v>
      </c>
      <c r="AX349" s="40">
        <f t="shared" si="148"/>
        <v>-0.56611984776353141</v>
      </c>
      <c r="AY349">
        <f t="shared" si="149"/>
        <v>0.56611984776353141</v>
      </c>
    </row>
    <row r="350" spans="45:51" x14ac:dyDescent="0.25">
      <c r="AS350">
        <v>2.9321531433504551</v>
      </c>
      <c r="AT350">
        <v>-285.37064171715201</v>
      </c>
      <c r="AU350">
        <v>180.39634618065492</v>
      </c>
      <c r="AV350">
        <f t="shared" si="146"/>
        <v>2.5778700445825726</v>
      </c>
      <c r="AW350">
        <f t="shared" si="147"/>
        <v>0.35428309876788244</v>
      </c>
      <c r="AX350" s="40">
        <f t="shared" si="148"/>
        <v>-0.56372260900722049</v>
      </c>
      <c r="AY350">
        <f t="shared" si="149"/>
        <v>0.56372260900722049</v>
      </c>
    </row>
    <row r="351" spans="45:51" x14ac:dyDescent="0.25">
      <c r="AS351">
        <v>2.9496064358703982</v>
      </c>
      <c r="AT351">
        <v>-285.5403933902777</v>
      </c>
      <c r="AU351">
        <v>179.56205618942218</v>
      </c>
      <c r="AV351">
        <f t="shared" si="146"/>
        <v>2.5802296388690928</v>
      </c>
      <c r="AW351">
        <f t="shared" si="147"/>
        <v>0.36937679700130532</v>
      </c>
      <c r="AX351" s="40">
        <f t="shared" si="148"/>
        <v>-0.56136301472070027</v>
      </c>
      <c r="AY351">
        <f t="shared" si="149"/>
        <v>0.56136301472070027</v>
      </c>
    </row>
    <row r="352" spans="45:51" x14ac:dyDescent="0.25">
      <c r="AS352">
        <v>2.9670597283903413</v>
      </c>
      <c r="AT352">
        <v>-285.69398627622928</v>
      </c>
      <c r="AU352">
        <v>178.73340841451946</v>
      </c>
      <c r="AV352">
        <f t="shared" si="146"/>
        <v>2.5825538165036912</v>
      </c>
      <c r="AW352">
        <f t="shared" si="147"/>
        <v>0.38450591188665006</v>
      </c>
      <c r="AX352" s="40">
        <f t="shared" si="148"/>
        <v>-0.55903883708610191</v>
      </c>
      <c r="AY352">
        <f t="shared" si="149"/>
        <v>0.55903883708610191</v>
      </c>
    </row>
    <row r="353" spans="45:51" x14ac:dyDescent="0.25">
      <c r="AS353">
        <v>2.9845130209102844</v>
      </c>
      <c r="AT353">
        <v>-285.83181417806338</v>
      </c>
      <c r="AU353">
        <v>177.90984581089711</v>
      </c>
      <c r="AV353">
        <f t="shared" si="146"/>
        <v>2.5848446986001581</v>
      </c>
      <c r="AW353">
        <f t="shared" si="147"/>
        <v>0.39966832231012628</v>
      </c>
      <c r="AX353" s="40">
        <f t="shared" si="148"/>
        <v>-0.55674795498963503</v>
      </c>
      <c r="AY353">
        <f t="shared" si="149"/>
        <v>0.55674795498963503</v>
      </c>
    </row>
    <row r="354" spans="45:51" x14ac:dyDescent="0.25">
      <c r="AS354">
        <v>3.0019663134302275</v>
      </c>
      <c r="AT354">
        <v>-285.9542272951893</v>
      </c>
      <c r="AU354">
        <v>177.09082431284071</v>
      </c>
      <c r="AV354">
        <f t="shared" si="146"/>
        <v>2.5871043079815594</v>
      </c>
      <c r="AW354">
        <f t="shared" si="147"/>
        <v>0.41486200544866803</v>
      </c>
      <c r="AX354" s="40">
        <f t="shared" si="148"/>
        <v>-0.55448834560823368</v>
      </c>
      <c r="AY354">
        <f t="shared" si="149"/>
        <v>0.55448834560823368</v>
      </c>
    </row>
    <row r="355" spans="45:51" x14ac:dyDescent="0.25">
      <c r="AS355">
        <v>3.0194196059501706</v>
      </c>
      <c r="AT355">
        <v>-286.06153410043328</v>
      </c>
      <c r="AU355">
        <v>176.27581134544428</v>
      </c>
      <c r="AV355">
        <f t="shared" si="146"/>
        <v>2.5893345768066296</v>
      </c>
      <c r="AW355">
        <f t="shared" si="147"/>
        <v>0.43008502914354096</v>
      </c>
      <c r="AX355" s="40">
        <f t="shared" si="148"/>
        <v>-0.55225807678316352</v>
      </c>
      <c r="AY355">
        <f t="shared" si="149"/>
        <v>0.55225807678316352</v>
      </c>
    </row>
    <row r="356" spans="45:51" x14ac:dyDescent="0.25">
      <c r="AS356">
        <v>3.0368728984701137</v>
      </c>
      <c r="AT356">
        <v>-286.15400304826198</v>
      </c>
      <c r="AU356">
        <v>175.4642843986955</v>
      </c>
      <c r="AV356">
        <f t="shared" si="146"/>
        <v>2.591537353734529</v>
      </c>
      <c r="AW356">
        <f t="shared" si="147"/>
        <v>0.44533554473558468</v>
      </c>
      <c r="AX356" s="40">
        <f t="shared" si="148"/>
        <v>-0.55005529985526413</v>
      </c>
      <c r="AY356">
        <f t="shared" si="149"/>
        <v>0.55005529985526413</v>
      </c>
    </row>
    <row r="357" spans="45:51" x14ac:dyDescent="0.25">
      <c r="AS357">
        <v>3.0543261909900568</v>
      </c>
      <c r="AT357">
        <v>-286.23186399539287</v>
      </c>
      <c r="AU357">
        <v>174.65572965584084</v>
      </c>
      <c r="AV357">
        <f t="shared" si="146"/>
        <v>2.5937144104741781</v>
      </c>
      <c r="AW357">
        <f t="shared" si="147"/>
        <v>0.4606117805158787</v>
      </c>
      <c r="AX357" s="40">
        <f t="shared" si="148"/>
        <v>-0.54787824311561506</v>
      </c>
      <c r="AY357">
        <f t="shared" si="149"/>
        <v>0.54787824311561506</v>
      </c>
    </row>
    <row r="358" spans="45:51" x14ac:dyDescent="0.25">
      <c r="AS358">
        <v>3.0717794835099999</v>
      </c>
      <c r="AT358">
        <v>-286.29530943724103</v>
      </c>
      <c r="AU358">
        <v>173.84964066820808</v>
      </c>
      <c r="AV358">
        <f t="shared" si="146"/>
        <v>2.5958674479107762</v>
      </c>
      <c r="AW358">
        <f t="shared" si="147"/>
        <v>0.47591203559922368</v>
      </c>
      <c r="AX358" s="40">
        <f t="shared" si="148"/>
        <v>-0.54572520567901694</v>
      </c>
      <c r="AY358">
        <f t="shared" si="149"/>
        <v>0.54572520567901694</v>
      </c>
    </row>
    <row r="359" spans="45:51" x14ac:dyDescent="0.25">
      <c r="AS359">
        <v>3.089232776029943</v>
      </c>
      <c r="AT359">
        <v>-286.34449551094713</v>
      </c>
      <c r="AU359">
        <v>173.04551706909254</v>
      </c>
      <c r="AV359">
        <f t="shared" si="146"/>
        <v>2.5979981017613323</v>
      </c>
      <c r="AW359">
        <f t="shared" si="147"/>
        <v>0.49123467426861067</v>
      </c>
      <c r="AX359" s="40">
        <f t="shared" si="148"/>
        <v>-0.54359455182846084</v>
      </c>
      <c r="AY359">
        <f t="shared" si="149"/>
        <v>0.54359455182846084</v>
      </c>
    </row>
    <row r="360" spans="45:51" x14ac:dyDescent="0.25">
      <c r="AS360">
        <v>3.106686068549886</v>
      </c>
      <c r="AT360">
        <v>-286.37954280081647</v>
      </c>
      <c r="AU360">
        <v>172.24286331967215</v>
      </c>
      <c r="AV360">
        <f t="shared" si="146"/>
        <v>2.6001079478426017</v>
      </c>
      <c r="AW360">
        <f t="shared" si="147"/>
        <v>0.50657812070728436</v>
      </c>
      <c r="AX360" s="40">
        <f t="shared" si="148"/>
        <v>-0.54148470574719143</v>
      </c>
      <c r="AY360">
        <f t="shared" si="149"/>
        <v>0.54148470574719143</v>
      </c>
    </row>
    <row r="361" spans="45:51" x14ac:dyDescent="0.25">
      <c r="AS361">
        <v>3.1241393610698291</v>
      </c>
      <c r="AT361">
        <v>-286.40053702708838</v>
      </c>
      <c r="AU361">
        <v>171.44118748020611</v>
      </c>
      <c r="AV361">
        <f t="shared" si="146"/>
        <v>2.6021985071021811</v>
      </c>
      <c r="AW361">
        <f t="shared" si="147"/>
        <v>0.521940853967648</v>
      </c>
      <c r="AX361" s="40">
        <f t="shared" si="148"/>
        <v>-0.53939414648761197</v>
      </c>
      <c r="AY361">
        <f t="shared" si="149"/>
        <v>0.53939414648761197</v>
      </c>
    </row>
    <row r="362" spans="45:51" x14ac:dyDescent="0.25">
      <c r="AS362">
        <v>3.1415926535897722</v>
      </c>
      <c r="AT362">
        <v>-286.40752941242579</v>
      </c>
      <c r="AU362">
        <v>170.64000000000095</v>
      </c>
      <c r="AV362">
        <f t="shared" si="146"/>
        <v>2.6042712501206933</v>
      </c>
      <c r="AW362">
        <f t="shared" si="147"/>
        <v>0.53732140346907897</v>
      </c>
      <c r="AX362" s="40">
        <f t="shared" si="148"/>
        <v>-0.53732140346909985</v>
      </c>
      <c r="AY362">
        <f t="shared" si="149"/>
        <v>0.53732140346909985</v>
      </c>
    </row>
  </sheetData>
  <phoneticPr fontId="3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2020-11-10T16:16:26Z</dcterms:modified>
</cp:coreProperties>
</file>