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4322" documentId="13_ncr:1_{1C41923C-969D-4590-B795-7C74C5EC0667}" xr6:coauthVersionLast="45" xr6:coauthVersionMax="45" xr10:uidLastSave="{76205D07-FBC2-4246-B37E-9C24142ADA3E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D15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D37" i="1"/>
  <c r="C49" i="1" s="1"/>
  <c r="F63" i="1"/>
  <c r="F67" i="1"/>
  <c r="F68" i="1"/>
  <c r="F69" i="1"/>
  <c r="F70" i="1"/>
  <c r="F71" i="1"/>
  <c r="F62" i="1"/>
  <c r="F65" i="1"/>
  <c r="F64" i="1"/>
  <c r="A38" i="1"/>
  <c r="C38" i="1" s="1"/>
  <c r="D49" i="1" s="1"/>
  <c r="B50" i="1" s="1"/>
  <c r="F66" i="1"/>
  <c r="I66" i="1" s="1"/>
  <c r="R66" i="1" s="1"/>
  <c r="E7" i="1"/>
  <c r="E8" i="1" s="1"/>
  <c r="E9" i="1" s="1"/>
  <c r="G10" i="1" s="1"/>
  <c r="A40" i="1"/>
  <c r="C45" i="1" l="1"/>
  <c r="D56" i="1" s="1"/>
  <c r="D45" i="1"/>
  <c r="E56" i="1" s="1"/>
  <c r="A42" i="1"/>
  <c r="D42" i="1" s="1"/>
  <c r="E53" i="1" s="1"/>
  <c r="C54" i="1" s="1"/>
  <c r="A43" i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D43" i="1"/>
  <c r="E54" i="1" s="1"/>
  <c r="C55" i="1" s="1"/>
  <c r="C43" i="1"/>
  <c r="D54" i="1" s="1"/>
  <c r="B55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C42" i="1" l="1"/>
  <c r="D53" i="1" s="1"/>
  <c r="B54" i="1" s="1"/>
  <c r="F54" i="1" s="1"/>
  <c r="G54" i="1" s="1"/>
  <c r="D44" i="1"/>
  <c r="E55" i="1" s="1"/>
  <c r="C56" i="1" s="1"/>
  <c r="G12" i="1"/>
  <c r="D41" i="1"/>
  <c r="E52" i="1" s="1"/>
  <c r="C53" i="1" s="1"/>
  <c r="F53" i="1" s="1"/>
  <c r="G53" i="1" s="1"/>
  <c r="D40" i="1"/>
  <c r="E51" i="1" s="1"/>
  <c r="C52" i="1" s="1"/>
  <c r="J39" i="1"/>
  <c r="J38" i="1"/>
  <c r="X5" i="1"/>
  <c r="F49" i="1"/>
  <c r="G49" i="1" s="1"/>
  <c r="F50" i="1"/>
  <c r="G50" i="1" s="1"/>
  <c r="F52" i="1" l="1"/>
  <c r="G52" i="1" s="1"/>
  <c r="Y5" i="1"/>
  <c r="Y6" i="1" s="1"/>
  <c r="X6" i="1"/>
  <c r="F55" i="1"/>
  <c r="G55" i="1" s="1"/>
  <c r="F56" i="1"/>
  <c r="G56" i="1" s="1"/>
  <c r="N39" i="1"/>
  <c r="N38" i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L56" i="1" l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P57" i="1"/>
  <c r="B77" i="1" s="1"/>
  <c r="B79" i="1" l="1"/>
  <c r="U5" i="1" s="1"/>
  <c r="B80" i="1"/>
  <c r="U6" i="1" s="1"/>
  <c r="B8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<sst xmlns="http://schemas.openxmlformats.org/spreadsheetml/2006/main" count="125" uniqueCount="96">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</sst>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-48</c:v>
                </c:pt>
                <c:pt idx="6">
                  <c:v>-48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6</c:v>
                </c:pt>
                <c:pt idx="1">
                  <c:v>3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-46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-49.007729318331364</c:v>
                </c:pt>
                <c:pt idx="1">
                  <c:v>37.168816494402193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23.53271012508597</c:v>
                </c:pt>
                <c:pt idx="1">
                  <c:v>22.131657725318682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-49.001717619506103</c:v>
                </c:pt>
                <c:pt idx="1">
                  <c:v>37.174828193227455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23.902480334475591</c:v>
                </c:pt>
                <c:pt idx="1">
                  <c:v>22.501427934708296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-5.8041377939014378</c:v>
                </c:pt>
                <c:pt idx="1">
                  <c:v>6.1942765983553496</c:v>
                </c:pt>
                <c:pt idx="2">
                  <c:v>5.9341840620527417</c:v>
                </c:pt>
                <c:pt idx="3">
                  <c:v>29.931012846566318</c:v>
                </c:pt>
                <c:pt idx="4">
                  <c:v>29.800966578415014</c:v>
                </c:pt>
                <c:pt idx="5">
                  <c:v>-54.187934167382501</c:v>
                </c:pt>
                <c:pt idx="6">
                  <c:v>-54.057887899231197</c:v>
                </c:pt>
                <c:pt idx="7">
                  <c:v>-6.0642303302040457</c:v>
                </c:pt>
                <c:pt idx="8">
                  <c:v>-5.8041377939014378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-12.095949093370265</c:v>
                </c:pt>
                <c:pt idx="1">
                  <c:v>-11.900879691143309</c:v>
                </c:pt>
                <c:pt idx="2">
                  <c:v>4.0970061651990735</c:v>
                </c:pt>
                <c:pt idx="3">
                  <c:v>4.4871449696529844</c:v>
                </c:pt>
                <c:pt idx="4">
                  <c:v>12.486087897824175</c:v>
                </c:pt>
                <c:pt idx="5">
                  <c:v>11.120602082235488</c:v>
                </c:pt>
                <c:pt idx="6">
                  <c:v>3.1216591540642966</c:v>
                </c:pt>
                <c:pt idx="7">
                  <c:v>3.9019367629721184</c:v>
                </c:pt>
                <c:pt idx="8">
                  <c:v>-12.095949093370265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0.16255783518912953</c:v>
                </c:pt>
                <c:pt idx="1">
                  <c:v>-2.8370457628750674</c:v>
                </c:pt>
                <c:pt idx="2">
                  <c:v>3.1621614332533263</c:v>
                </c:pt>
                <c:pt idx="3">
                  <c:v>0.13004626815130363</c:v>
                </c:pt>
                <c:pt idx="4">
                  <c:v>-2.8695573299128934</c:v>
                </c:pt>
                <c:pt idx="5">
                  <c:v>3.1296498662155003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-9.9986786602139901</c:v>
                </c:pt>
                <c:pt idx="1">
                  <c:v>-10.047446010770729</c:v>
                </c:pt>
                <c:pt idx="2">
                  <c:v>-9.9499113096572511</c:v>
                </c:pt>
                <c:pt idx="3">
                  <c:v>-7.9989429281711919</c:v>
                </c:pt>
                <c:pt idx="4">
                  <c:v>-8.04771027872793</c:v>
                </c:pt>
                <c:pt idx="5">
                  <c:v>-7.9501755776144529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-55.187934167382501</c:v>
                </c:pt>
                <c:pt idx="1">
                  <c:v>31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10.636992522547335</c:v>
                </c:pt>
                <c:pt idx="1">
                  <c:v>10.636992522547335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-55.187934167382501</c:v>
                </c:pt>
                <c:pt idx="1">
                  <c:v>31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11.006811597602702</c:v>
                </c:pt>
                <c:pt idx="1">
                  <c:v>11.006811597602702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29.825016551534706</c:v>
                </c:pt>
                <c:pt idx="4">
                  <c:v>29.800966578415014</c:v>
                </c:pt>
                <c:pt idx="5">
                  <c:v>-54.187934167382501</c:v>
                </c:pt>
              </c:numCache>
            </c:numRef>
          </c:xVal>
          <c:yVal>
            <c:numRef>
              <c:f>L_Section_Capacity!$T$49:$T$54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11.006811597602702</c:v>
                </c:pt>
                <c:pt idx="4">
                  <c:v>12.486087897824175</c:v>
                </c:pt>
                <c:pt idx="5">
                  <c:v>11.120602082235488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29.800966578415014</c:v>
                </c:pt>
                <c:pt idx="4">
                  <c:v>-54.187934167382501</c:v>
                </c:pt>
                <c:pt idx="5">
                  <c:v>-54.186084169450211</c:v>
                </c:pt>
              </c:numCache>
            </c:numRef>
          </c:xVal>
          <c:yVal>
            <c:numRef>
              <c:f>L_Section_Capacity!$W$49:$W$54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12.486087897824175</c:v>
                </c:pt>
                <c:pt idx="4">
                  <c:v>11.120602082235488</c:v>
                </c:pt>
                <c:pt idx="5">
                  <c:v>11.006811597602702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371474</xdr:colOff>
      <xdr:row>2</xdr:row>
      <xdr:rowOff>95249</xdr:rowOff>
    </xdr:from>
    <xdr:to>
      <xdr:col>18</xdr:col>
      <xdr:colOff>495299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6</xdr:row>
          <xdr:rowOff>142875</xdr:rowOff>
        </xdr:from>
        <xdr:to>
          <xdr:col>21</xdr:col>
          <xdr:colOff>533400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Slower Method to Find Both NA Depth and Angle So P and My=0,but should always find an answer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workbookViewId="0">
      <selection activeCell="W18" sqref="W18"/>
    </sheetView>
  </sheetViews>
  <sheetFormatPr defaultRowHeight="15" x14ac:dyDescent="0.25"/>
  <cols>
    <col min="1" max="1" width="15.28515625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</cols>
  <sheetData>
    <row r="1" spans="1:41" x14ac:dyDescent="0.25">
      <c r="K1" s="8" t="s">
        <v>72</v>
      </c>
      <c r="L1" s="14">
        <v>9.9999999999999998E-13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5.75" thickBot="1" x14ac:dyDescent="0.3">
      <c r="A2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6</v>
      </c>
      <c r="K2" s="8" t="s">
        <v>73</v>
      </c>
      <c r="L2" s="4">
        <v>100</v>
      </c>
      <c r="M2">
        <v>2482</v>
      </c>
      <c r="N2">
        <v>46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16" t="s">
        <v>79</v>
      </c>
      <c r="U3" s="22">
        <f ca="1">IF(ABS(K72)&lt;0.002,0.65,IF(ABS(K72)&gt;0.005,0.9,0.65+((ABS(K72)-0.002)*(250/3))))</f>
        <v>0.9</v>
      </c>
      <c r="V3" s="17"/>
      <c r="X3" t="s">
        <v>80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5">
      <c r="A4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18" t="s">
        <v>76</v>
      </c>
      <c r="U4" s="10">
        <f ca="1">U3*B75</f>
        <v>-7.1622707764618097E-13</v>
      </c>
      <c r="V4" s="19" t="s">
        <v>69</v>
      </c>
      <c r="X4">
        <f>MAX(E3:F9)+10</f>
        <v>46</v>
      </c>
      <c r="Y4">
        <f>X4</f>
        <v>46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5">
      <c r="A5" t="s">
        <v>5</v>
      </c>
      <c r="B5" s="2">
        <v>12</v>
      </c>
      <c r="C5" t="s">
        <v>4</v>
      </c>
      <c r="E5" s="5">
        <f>E4</f>
        <v>12</v>
      </c>
      <c r="F5">
        <f>(B8-B9)</f>
        <v>16</v>
      </c>
      <c r="G5">
        <f t="shared" ref="G5:G11" si="1">((E4*F5)-(E5*F4))*0.5</f>
        <v>96</v>
      </c>
      <c r="T5" s="18" t="s">
        <v>78</v>
      </c>
      <c r="U5" s="10">
        <f ca="1">U3*B79*(1/12)</f>
        <v>437.35315863488404</v>
      </c>
      <c r="V5" s="19" t="s">
        <v>71</v>
      </c>
      <c r="X5">
        <f>X4</f>
        <v>46</v>
      </c>
      <c r="Y5">
        <f>X5</f>
        <v>46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ht="15.75" thickBot="1" x14ac:dyDescent="0.3">
      <c r="A6" t="s">
        <v>93</v>
      </c>
      <c r="B6" s="2">
        <v>48</v>
      </c>
      <c r="C6" t="s">
        <v>4</v>
      </c>
      <c r="E6" s="5">
        <f>B7+B5</f>
        <v>36</v>
      </c>
      <c r="F6">
        <f>F5</f>
        <v>16</v>
      </c>
      <c r="G6">
        <f t="shared" si="1"/>
        <v>-192</v>
      </c>
      <c r="T6" s="20" t="s">
        <v>77</v>
      </c>
      <c r="U6" s="23">
        <f ca="1">U3*B80*(1/12)</f>
        <v>1.2685532624345796E-10</v>
      </c>
      <c r="V6" s="21" t="s">
        <v>71</v>
      </c>
      <c r="X6">
        <f>IF(B6=0,0,-1*X5)</f>
        <v>-46</v>
      </c>
      <c r="Y6">
        <f>IF(B6=0,0,Y5)</f>
        <v>46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x14ac:dyDescent="0.25">
      <c r="A7" t="s">
        <v>92</v>
      </c>
      <c r="B7" s="2">
        <v>24</v>
      </c>
      <c r="C7" t="s">
        <v>4</v>
      </c>
      <c r="E7" s="5">
        <f>E6</f>
        <v>36</v>
      </c>
      <c r="F7">
        <f>B8</f>
        <v>24</v>
      </c>
      <c r="G7">
        <f t="shared" si="1"/>
        <v>144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x14ac:dyDescent="0.25">
      <c r="A8" t="s">
        <v>6</v>
      </c>
      <c r="B8" s="4">
        <v>24</v>
      </c>
      <c r="C8" t="s">
        <v>4</v>
      </c>
      <c r="E8" s="5">
        <f>E7-(B7+B6+B5)</f>
        <v>-48</v>
      </c>
      <c r="F8">
        <f>F7</f>
        <v>24</v>
      </c>
      <c r="G8">
        <f t="shared" si="1"/>
        <v>1008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5">
      <c r="A9" t="s">
        <v>7</v>
      </c>
      <c r="B9" s="4">
        <v>8</v>
      </c>
      <c r="C9" t="s">
        <v>4</v>
      </c>
      <c r="E9" s="5">
        <f>E8</f>
        <v>-48</v>
      </c>
      <c r="F9">
        <f>F6</f>
        <v>16</v>
      </c>
      <c r="G9">
        <f t="shared" si="1"/>
        <v>192</v>
      </c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5">
      <c r="E10">
        <v>0</v>
      </c>
      <c r="F10">
        <f>F9</f>
        <v>16</v>
      </c>
      <c r="G10">
        <f t="shared" si="1"/>
        <v>-384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5">
      <c r="A11" t="s">
        <v>10</v>
      </c>
      <c r="E11">
        <v>0</v>
      </c>
      <c r="F11">
        <v>0</v>
      </c>
      <c r="G11">
        <f t="shared" si="1"/>
        <v>0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5">AH11*100</f>
        <v>1.0828427124746192</v>
      </c>
      <c r="AN11">
        <f t="shared" ref="AN11:AN53" si="6">AI11/AJ11</f>
        <v>1.0091957716156117</v>
      </c>
      <c r="AO11" t="str">
        <f t="shared" ref="AO11:AO53" si="7">"phi_L: "&amp;ROUND(AK11,3)&amp;CHAR(10)&amp;"phi_R: "&amp;ROUND(AL11,3)</f>
        <v>phi_L: 0.9
phi_R: 0.9</v>
      </c>
    </row>
    <row r="12" spans="1:41" x14ac:dyDescent="0.25">
      <c r="A12" t="s">
        <v>11</v>
      </c>
      <c r="B12" s="2">
        <v>60</v>
      </c>
      <c r="C12" t="s">
        <v>1</v>
      </c>
      <c r="G12">
        <f>SUM(G4:G11)</f>
        <v>864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5"/>
        <v>1.1557716446627537</v>
      </c>
      <c r="AN12">
        <f t="shared" si="6"/>
        <v>1.0098701181903362</v>
      </c>
      <c r="AO12" t="str">
        <f t="shared" si="7"/>
        <v>phi_L: 0.9
phi_R: 0.9</v>
      </c>
    </row>
    <row r="13" spans="1:41" x14ac:dyDescent="0.25">
      <c r="A13" t="s">
        <v>12</v>
      </c>
      <c r="B13" s="3">
        <v>29000</v>
      </c>
      <c r="C13" t="s">
        <v>1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5"/>
        <v>1.2287005768508883</v>
      </c>
      <c r="AN13">
        <f t="shared" si="6"/>
        <v>1.0105520670999595</v>
      </c>
      <c r="AO13" t="str">
        <f t="shared" si="7"/>
        <v>phi_L: 0.9
phi_R: 0.9</v>
      </c>
    </row>
    <row r="14" spans="1:41" x14ac:dyDescent="0.25">
      <c r="B14" s="1" t="s">
        <v>13</v>
      </c>
      <c r="C14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5"/>
        <v>1.3016295090390229</v>
      </c>
      <c r="AN14">
        <f t="shared" si="6"/>
        <v>1.0112417476321554</v>
      </c>
      <c r="AO14" t="str">
        <f t="shared" si="7"/>
        <v>phi_L: 0.9
phi_R: 0.9</v>
      </c>
    </row>
    <row r="15" spans="1:41" x14ac:dyDescent="0.25">
      <c r="A15">
        <v>1</v>
      </c>
      <c r="B15" s="24">
        <v>8</v>
      </c>
      <c r="C15" s="6">
        <f ca="1">OFFSET($G$14,MATCH(B15,$G$14:$G$29,0)-1,2)</f>
        <v>0.79</v>
      </c>
      <c r="D15" s="2">
        <f>B5/2</f>
        <v>6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6</v>
      </c>
      <c r="U15">
        <f>IF($B15=0,NA(),E15)</f>
        <v>2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5"/>
        <v>1.3745584412271574</v>
      </c>
      <c r="AN15">
        <f t="shared" si="6"/>
        <v>1.0119392920228856</v>
      </c>
      <c r="AO15" t="str">
        <f t="shared" si="7"/>
        <v>phi_L: 0.9
phi_R: 0.9</v>
      </c>
    </row>
    <row r="16" spans="1:41" x14ac:dyDescent="0.25">
      <c r="A16">
        <v>2</v>
      </c>
      <c r="B16" s="24">
        <v>8</v>
      </c>
      <c r="C16" s="6">
        <f t="shared" ref="C16:C24" ca="1" si="8">OFFSET($G$14,MATCH(B16,$G$14:$G$29,0)-1,2)</f>
        <v>0.79</v>
      </c>
      <c r="D16" s="2">
        <v>3</v>
      </c>
      <c r="E16" s="2">
        <v>2</v>
      </c>
      <c r="G16" s="1">
        <v>4</v>
      </c>
      <c r="H16" s="6">
        <v>0.5</v>
      </c>
      <c r="I16" s="6">
        <v>0.2</v>
      </c>
      <c r="T16">
        <f t="shared" ref="T16:T24" si="9">IF($B16=0,NA(),D16)</f>
        <v>3</v>
      </c>
      <c r="U16">
        <f t="shared" ref="U16:U24" si="10">IF($B16=0,NA(),E16)</f>
        <v>2</v>
      </c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5"/>
        <v>1.447487373415292</v>
      </c>
      <c r="AN16">
        <f t="shared" si="6"/>
        <v>1.0126448355409861</v>
      </c>
      <c r="AO16" t="str">
        <f t="shared" si="7"/>
        <v>phi_L: 0.9
phi_R: 0.9</v>
      </c>
    </row>
    <row r="17" spans="1:41" x14ac:dyDescent="0.25">
      <c r="A17">
        <v>3</v>
      </c>
      <c r="B17" s="24">
        <v>8</v>
      </c>
      <c r="C17" s="6">
        <f t="shared" ca="1" si="8"/>
        <v>0.79</v>
      </c>
      <c r="D17" s="2">
        <v>9</v>
      </c>
      <c r="E17" s="2">
        <v>2</v>
      </c>
      <c r="G17" s="1">
        <v>5</v>
      </c>
      <c r="H17" s="6">
        <v>0.625</v>
      </c>
      <c r="I17" s="6">
        <v>0.31</v>
      </c>
      <c r="T17">
        <f t="shared" si="9"/>
        <v>9</v>
      </c>
      <c r="U17">
        <f t="shared" si="10"/>
        <v>2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5"/>
        <v>1.5204163056034266</v>
      </c>
      <c r="AN17">
        <f t="shared" si="6"/>
        <v>1.0133585165755685</v>
      </c>
      <c r="AO17" t="str">
        <f t="shared" si="7"/>
        <v>phi_L: 0.9
phi_R: 0.9</v>
      </c>
    </row>
    <row r="18" spans="1:41" x14ac:dyDescent="0.25">
      <c r="A18">
        <v>4</v>
      </c>
      <c r="B18" s="24">
        <v>8</v>
      </c>
      <c r="C18" s="6">
        <f t="shared" ca="1" si="8"/>
        <v>0.79</v>
      </c>
      <c r="D18" s="2">
        <v>6</v>
      </c>
      <c r="E18" s="2">
        <v>4</v>
      </c>
      <c r="G18" s="1">
        <v>6</v>
      </c>
      <c r="H18" s="6">
        <v>0.75</v>
      </c>
      <c r="I18" s="6">
        <v>0.44</v>
      </c>
      <c r="T18">
        <f t="shared" si="9"/>
        <v>6</v>
      </c>
      <c r="U18">
        <f t="shared" si="10"/>
        <v>4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5"/>
        <v>1.5933452377915609</v>
      </c>
      <c r="AN18">
        <f t="shared" si="6"/>
        <v>1.0140804767265563</v>
      </c>
      <c r="AO18" t="str">
        <f t="shared" si="7"/>
        <v>phi_L: 0.9
phi_R: 0.9</v>
      </c>
    </row>
    <row r="19" spans="1:41" x14ac:dyDescent="0.25">
      <c r="A19">
        <v>5</v>
      </c>
      <c r="B19" s="24">
        <v>8</v>
      </c>
      <c r="C19" s="6">
        <f t="shared" ca="1" si="8"/>
        <v>0.79</v>
      </c>
      <c r="D19" s="2">
        <v>3</v>
      </c>
      <c r="E19" s="2">
        <v>4</v>
      </c>
      <c r="G19" s="1">
        <v>7</v>
      </c>
      <c r="H19" s="6">
        <v>0.875</v>
      </c>
      <c r="I19" s="6">
        <v>0.6</v>
      </c>
      <c r="T19">
        <f t="shared" si="9"/>
        <v>3</v>
      </c>
      <c r="U19">
        <f t="shared" si="10"/>
        <v>4</v>
      </c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5"/>
        <v>1.6662741699796955</v>
      </c>
      <c r="AN19">
        <f t="shared" si="6"/>
        <v>1.0148108608982707</v>
      </c>
      <c r="AO19" t="str">
        <f t="shared" si="7"/>
        <v>phi_L: 0.9
phi_R: 0.9</v>
      </c>
    </row>
    <row r="20" spans="1:41" x14ac:dyDescent="0.25">
      <c r="A20">
        <v>6</v>
      </c>
      <c r="B20" s="24">
        <v>8</v>
      </c>
      <c r="C20" s="6">
        <f t="shared" ca="1" si="8"/>
        <v>0.79</v>
      </c>
      <c r="D20" s="2">
        <v>9</v>
      </c>
      <c r="E20" s="2">
        <v>4</v>
      </c>
      <c r="G20" s="1">
        <v>8</v>
      </c>
      <c r="H20" s="6">
        <v>1</v>
      </c>
      <c r="I20" s="6">
        <v>0.79</v>
      </c>
      <c r="T20">
        <f t="shared" si="9"/>
        <v>9</v>
      </c>
      <c r="U20">
        <f t="shared" si="10"/>
        <v>4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5"/>
        <v>1.73920310216783</v>
      </c>
      <c r="AN20">
        <f t="shared" si="6"/>
        <v>1.0155498173965132</v>
      </c>
      <c r="AO20" t="str">
        <f t="shared" si="7"/>
        <v>phi_L: 0.9
phi_R: 0.9</v>
      </c>
    </row>
    <row r="21" spans="1:41" x14ac:dyDescent="0.25">
      <c r="A21">
        <v>7</v>
      </c>
      <c r="B21" s="24">
        <v>0</v>
      </c>
      <c r="C21" s="6">
        <f t="shared" ca="1" si="8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9"/>
        <v>#N/A</v>
      </c>
      <c r="U21" t="e">
        <f t="shared" si="10"/>
        <v>#N/A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5"/>
        <v>1.8121320343559646</v>
      </c>
      <c r="AN21">
        <f t="shared" si="6"/>
        <v>1.0008564721266058</v>
      </c>
      <c r="AO21" t="str">
        <f t="shared" si="7"/>
        <v>phi_L: 0.886
phi_R: 0.9</v>
      </c>
    </row>
    <row r="22" spans="1:41" x14ac:dyDescent="0.25">
      <c r="A22">
        <v>8</v>
      </c>
      <c r="B22" s="24">
        <v>0</v>
      </c>
      <c r="C22" s="6">
        <f t="shared" ca="1" si="8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9"/>
        <v>#N/A</v>
      </c>
      <c r="U22" t="e">
        <f t="shared" si="10"/>
        <v>#N/A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5"/>
        <v>1.8850609665440992</v>
      </c>
      <c r="AN22">
        <f t="shared" si="6"/>
        <v>0.97596761415242428</v>
      </c>
      <c r="AO22" t="str">
        <f t="shared" si="7"/>
        <v>phi_L: 0.864
phi_R: 0.9</v>
      </c>
    </row>
    <row r="23" spans="1:41" x14ac:dyDescent="0.25">
      <c r="A23">
        <v>9</v>
      </c>
      <c r="B23" s="24">
        <v>0</v>
      </c>
      <c r="C23" s="6">
        <f t="shared" ca="1" si="8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9"/>
        <v>#N/A</v>
      </c>
      <c r="U23" t="e">
        <f t="shared" si="10"/>
        <v>#N/A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5"/>
        <v>1.9579898987322337</v>
      </c>
      <c r="AN23">
        <f t="shared" si="6"/>
        <v>0.95296006769984842</v>
      </c>
      <c r="AO23" t="str">
        <f t="shared" si="7"/>
        <v>phi_L: 0.843
phi_R: 0.9</v>
      </c>
    </row>
    <row r="24" spans="1:41" ht="15.75" thickBot="1" x14ac:dyDescent="0.3">
      <c r="A24">
        <v>10</v>
      </c>
      <c r="B24" s="24">
        <v>0</v>
      </c>
      <c r="C24" s="11">
        <f t="shared" ca="1" si="8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9"/>
        <v>#N/A</v>
      </c>
      <c r="U24" t="e">
        <f t="shared" si="10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5"/>
        <v>2.0309188309203683</v>
      </c>
      <c r="AN24">
        <f t="shared" si="6"/>
        <v>0.93163163647987945</v>
      </c>
      <c r="AO24" t="str">
        <f t="shared" si="7"/>
        <v>phi_L: 0.823
phi_R: 0.9</v>
      </c>
    </row>
    <row r="25" spans="1:41" ht="15.75" thickTop="1" x14ac:dyDescent="0.25">
      <c r="C25" s="6">
        <f ca="1">SUM(C15:C24)</f>
        <v>4.74</v>
      </c>
      <c r="D25" s="29">
        <f ca="1">C25/(B5*F27)</f>
        <v>1.7954545454545456E-2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5"/>
        <v>2.1038477631085026</v>
      </c>
      <c r="AN25">
        <f t="shared" si="6"/>
        <v>0.9118081714303492</v>
      </c>
      <c r="AO25" t="str">
        <f t="shared" si="7"/>
        <v>phi_L: 0.805
phi_R: 0.9</v>
      </c>
    </row>
    <row r="26" spans="1:41" x14ac:dyDescent="0.25">
      <c r="E26" s="8" t="s">
        <v>87</v>
      </c>
      <c r="F26" s="25" t="s">
        <v>81</v>
      </c>
      <c r="G26" s="1" t="s">
        <v>82</v>
      </c>
      <c r="H26" s="28">
        <v>3.9999999999999973E-2</v>
      </c>
      <c r="I26" s="6">
        <f>IF(F26="web",(B5*F27)*H26,G12*H26)</f>
        <v>10.559999999999993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5"/>
        <v>2.1767766952966374</v>
      </c>
      <c r="AN26">
        <f t="shared" si="6"/>
        <v>0.90936110613515375</v>
      </c>
      <c r="AO26" t="str">
        <f t="shared" si="7"/>
        <v>phi_L: 0.788
phi_R: 0.884</v>
      </c>
    </row>
    <row r="27" spans="1:41" x14ac:dyDescent="0.25">
      <c r="A27" t="s">
        <v>15</v>
      </c>
      <c r="B27" s="7">
        <v>-1.6256499537207779E-2</v>
      </c>
      <c r="C27" t="s">
        <v>16</v>
      </c>
      <c r="E27" s="8" t="s">
        <v>91</v>
      </c>
      <c r="F27" s="3" cm="1">
        <f t="array" ref="F27">B8-MIN(IF(E15:E24&gt;0,E15:E24))</f>
        <v>22</v>
      </c>
      <c r="G27" s="1" t="s">
        <v>83</v>
      </c>
      <c r="H27" s="28">
        <f>F28</f>
        <v>3.5355339059327377E-3</v>
      </c>
      <c r="I27" s="6">
        <f>IF(F26="web",(B5*F27)*H27,G12*H27)</f>
        <v>0.93338095116624276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5"/>
        <v>2.2497056274847718</v>
      </c>
      <c r="AN27">
        <f t="shared" si="6"/>
        <v>0.9136058205802825</v>
      </c>
      <c r="AO27" t="str">
        <f t="shared" si="7"/>
        <v>phi_L: 0.772
phi_R: 0.863</v>
      </c>
    </row>
    <row r="28" spans="1:41" x14ac:dyDescent="0.25">
      <c r="A28" t="s">
        <v>17</v>
      </c>
      <c r="B28" s="7">
        <v>1.8490953752768413</v>
      </c>
      <c r="C28" t="s">
        <v>4</v>
      </c>
      <c r="E28" s="8" t="s">
        <v>88</v>
      </c>
      <c r="F28" s="27">
        <f>MAX(200/(B12*1000),(3*SQRT(B2*1000))/(B12*1000))</f>
        <v>3.5355339059327377E-3</v>
      </c>
      <c r="G28" s="1" t="s">
        <v>84</v>
      </c>
      <c r="H28" s="26" t="s">
        <v>86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5"/>
        <v>2.3226345596729066</v>
      </c>
      <c r="AN28">
        <f t="shared" si="6"/>
        <v>0.91780361395593013</v>
      </c>
      <c r="AO28" t="str">
        <f t="shared" si="7"/>
        <v>phi_L: 0.757
phi_R: 0.843</v>
      </c>
    </row>
    <row r="29" spans="1:41" x14ac:dyDescent="0.25">
      <c r="A29" t="s">
        <v>18</v>
      </c>
      <c r="B29" s="6">
        <f>B28*B4</f>
        <v>1.4792763002214728</v>
      </c>
      <c r="C29" t="s">
        <v>4</v>
      </c>
      <c r="G29" s="1" t="s">
        <v>85</v>
      </c>
      <c r="H29" s="26" t="s">
        <v>86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5"/>
        <v>2.3955634918610409</v>
      </c>
      <c r="AN29">
        <f t="shared" si="6"/>
        <v>0.92195619320694366</v>
      </c>
      <c r="AO29" t="str">
        <f t="shared" si="7"/>
        <v>phi_L: 0.744
phi_R: 0.825</v>
      </c>
    </row>
    <row r="30" spans="1:41" x14ac:dyDescent="0.25">
      <c r="A30" t="s">
        <v>49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5"/>
        <v>2.4684924240491757</v>
      </c>
      <c r="AN30">
        <f t="shared" si="6"/>
        <v>0.92606521919510321</v>
      </c>
      <c r="AO30" t="str">
        <f t="shared" si="7"/>
        <v>phi_L: 0.73
phi_R: 0.807</v>
      </c>
    </row>
    <row r="31" spans="1:41" x14ac:dyDescent="0.25">
      <c r="A31" t="s">
        <v>50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5"/>
        <v>2.54142135623731</v>
      </c>
      <c r="AN31">
        <f t="shared" si="6"/>
        <v>0.93013230903767463</v>
      </c>
      <c r="AO31" t="str">
        <f t="shared" si="7"/>
        <v>phi_L: 0.718
phi_R: 0.791</v>
      </c>
    </row>
    <row r="32" spans="1:41" x14ac:dyDescent="0.25">
      <c r="J32" t="s">
        <v>89</v>
      </c>
      <c r="N32" t="s">
        <v>90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5"/>
        <v>2.6143502884254448</v>
      </c>
      <c r="AN32">
        <f t="shared" si="6"/>
        <v>0.93415903832189917</v>
      </c>
      <c r="AO32" t="str">
        <f t="shared" si="7"/>
        <v>phi_L: 0.706
phi_R: 0.775</v>
      </c>
    </row>
    <row r="33" spans="1:41" x14ac:dyDescent="0.25">
      <c r="A33" t="s">
        <v>19</v>
      </c>
      <c r="J33">
        <f>(J38*COS(-1*$B$27))+(K38*SIN(-1*$B$27))+$I$2</f>
        <v>-49.007729318331364</v>
      </c>
      <c r="K33">
        <f>(-1*J38*SIN(-1*$B$27))+(K38*COS(-1*$B$27))+$I$3</f>
        <v>23.53271012508597</v>
      </c>
      <c r="N33">
        <f>(N38*COS(-1*$B$27))+(O38*SIN(-1*$B$27))+$I$2</f>
        <v>-49.001717619506103</v>
      </c>
      <c r="O33">
        <f>(-1*N38*SIN(-1*$B$27))+(O38*COS(-1*$B$27))+$I$3</f>
        <v>23.902480334475591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5"/>
        <v>2.6872792206135792</v>
      </c>
      <c r="AN33">
        <f t="shared" si="6"/>
        <v>0.93814694324822601</v>
      </c>
      <c r="AO33" t="str">
        <f t="shared" si="7"/>
        <v>phi_L: 0.695
phi_R: 0.761</v>
      </c>
    </row>
    <row r="34" spans="1:41" x14ac:dyDescent="0.25">
      <c r="J34">
        <f>(J39*COS(-1*$B$27))+(K39*SIN(-1*$B$27))+$I$2</f>
        <v>37.168816494402193</v>
      </c>
      <c r="K34">
        <f>(-1*J39*SIN(-1*$B$27))+(K39*COS(-1*$B$27))+$I$3</f>
        <v>22.131657725318682</v>
      </c>
      <c r="N34">
        <f>(N39*COS(-1*$B$27))+(O39*SIN(-1*$B$27))+$I$2</f>
        <v>37.174828193227455</v>
      </c>
      <c r="O34">
        <f>(-1*N39*SIN(-1*$B$27))+(O39*COS(-1*$B$27))+$I$3</f>
        <v>22.501427934708296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5"/>
        <v>2.7602081528017139</v>
      </c>
      <c r="AN34">
        <f t="shared" si="6"/>
        <v>0.94209752266759372</v>
      </c>
      <c r="AO34" t="str">
        <f t="shared" si="7"/>
        <v>phi_L: 0.685
phi_R: 0.747</v>
      </c>
    </row>
    <row r="35" spans="1:41" x14ac:dyDescent="0.25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5"/>
        <v>2.8331370849898483</v>
      </c>
      <c r="AN35">
        <f t="shared" si="6"/>
        <v>0.94601224003778195</v>
      </c>
      <c r="AO35" t="str">
        <f t="shared" si="7"/>
        <v>phi_L: 0.675
phi_R: 0.733</v>
      </c>
    </row>
    <row r="36" spans="1:41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74</v>
      </c>
      <c r="G36" s="1">
        <f>(-1*0.003*MAX(J62:J71))/(0.002-0.003)</f>
        <v>73.746110973583328</v>
      </c>
      <c r="H36" s="15" t="s">
        <v>4</v>
      </c>
      <c r="J36" t="s">
        <v>53</v>
      </c>
      <c r="N36" t="s">
        <v>54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5"/>
        <v>2.9060660171779826</v>
      </c>
      <c r="AN36">
        <f t="shared" si="6"/>
        <v>0.94989252530209023</v>
      </c>
      <c r="AO36" t="str">
        <f t="shared" si="7"/>
        <v>phi_L: 0.666
phi_R: 0.721</v>
      </c>
    </row>
    <row r="37" spans="1:41" x14ac:dyDescent="0.25">
      <c r="A37" s="3">
        <f t="shared" ref="A37:A43" si="11">E3-$I$2</f>
        <v>-6</v>
      </c>
      <c r="B37" s="6">
        <f t="shared" ref="B37:B43" si="12">F3-$I$3</f>
        <v>-12</v>
      </c>
      <c r="C37" s="6">
        <f>A37*COS($B$27)+B37*SIN($B$27)</f>
        <v>-5.8041377939014378</v>
      </c>
      <c r="D37" s="6">
        <f>-1*A37*SIN($B$27)+B37*COS($B$27)</f>
        <v>-12.095949093370265</v>
      </c>
      <c r="F37" s="8" t="s">
        <v>23</v>
      </c>
      <c r="G37" s="1">
        <f>MAX(D37:D41)-MIN(D37:D41)</f>
        <v>24.582036991194443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5"/>
        <v>2.9789949493661174</v>
      </c>
      <c r="AN37">
        <f t="shared" si="6"/>
        <v>0.95373977669313836</v>
      </c>
      <c r="AO37" t="str">
        <f t="shared" si="7"/>
        <v>phi_L: 0.657
phi_R: 0.709</v>
      </c>
    </row>
    <row r="38" spans="1:41" x14ac:dyDescent="0.25">
      <c r="A38" s="3">
        <f t="shared" si="11"/>
        <v>6</v>
      </c>
      <c r="B38" s="6">
        <f t="shared" si="12"/>
        <v>-12</v>
      </c>
      <c r="C38" s="6">
        <f t="shared" ref="C38:C41" si="13">A38*COS($B$27)+B38*SIN($B$27)</f>
        <v>6.1942765983553496</v>
      </c>
      <c r="D38" s="6">
        <f t="shared" ref="D38:D41" si="14">-1*A38*SIN($B$27)+B38*COS($B$27)</f>
        <v>-11.900879691143309</v>
      </c>
      <c r="F38" s="8" t="s">
        <v>24</v>
      </c>
      <c r="G38" s="6">
        <f>MAX(D37:D43)</f>
        <v>12.486087897824175</v>
      </c>
      <c r="H38" t="s">
        <v>4</v>
      </c>
      <c r="J38" s="9">
        <f>MIN(C37:C43,A37:A43)-1</f>
        <v>-55.187934167382501</v>
      </c>
      <c r="K38" s="9">
        <f>G40</f>
        <v>10.636992522547335</v>
      </c>
      <c r="N38" s="9">
        <f>J38</f>
        <v>-55.187934167382501</v>
      </c>
      <c r="O38" s="9">
        <f>G41</f>
        <v>11.006811597602702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5"/>
        <v>3.0519238815542518</v>
      </c>
      <c r="AN38">
        <f t="shared" si="6"/>
        <v>0.9544019031366574</v>
      </c>
      <c r="AO38" t="str">
        <f t="shared" si="7"/>
        <v>phi_L: 0.653
phi_R: 0.698</v>
      </c>
    </row>
    <row r="39" spans="1:41" x14ac:dyDescent="0.25">
      <c r="A39" s="3">
        <f t="shared" si="11"/>
        <v>6</v>
      </c>
      <c r="B39" s="6">
        <f t="shared" si="12"/>
        <v>4</v>
      </c>
      <c r="C39" s="6">
        <f t="shared" si="13"/>
        <v>5.9341840620527417</v>
      </c>
      <c r="D39" s="6">
        <f t="shared" si="14"/>
        <v>4.0970061651990735</v>
      </c>
      <c r="J39" s="9">
        <f>MAX(C37:C43,A37:A43)+1</f>
        <v>31</v>
      </c>
      <c r="K39" s="9">
        <f>K38</f>
        <v>10.636992522547335</v>
      </c>
      <c r="N39" s="9">
        <f>J39</f>
        <v>31</v>
      </c>
      <c r="O39" s="9">
        <f>G41</f>
        <v>11.006811597602702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5"/>
        <v>3.1248528137423865</v>
      </c>
      <c r="AN39">
        <f t="shared" si="6"/>
        <v>0.95473915095841244</v>
      </c>
      <c r="AO39" t="str">
        <f t="shared" si="7"/>
        <v>phi_L: 0.651
phi_R: 0.687</v>
      </c>
    </row>
    <row r="40" spans="1:41" x14ac:dyDescent="0.25">
      <c r="A40" s="3">
        <f t="shared" si="11"/>
        <v>30</v>
      </c>
      <c r="B40" s="6">
        <f t="shared" si="12"/>
        <v>4</v>
      </c>
      <c r="C40" s="6">
        <f t="shared" si="13"/>
        <v>29.931012846566318</v>
      </c>
      <c r="D40" s="6">
        <f t="shared" si="14"/>
        <v>4.4871449696529844</v>
      </c>
      <c r="F40" s="8" t="s">
        <v>51</v>
      </c>
      <c r="G40" s="9">
        <f>G38-B28</f>
        <v>10.636992522547335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5"/>
        <v>3.1977817459305209</v>
      </c>
      <c r="AN40">
        <f t="shared" si="6"/>
        <v>0.95812731412789431</v>
      </c>
      <c r="AO40" t="str">
        <f t="shared" si="7"/>
        <v>phi_L: 0.65
phi_R: 0.676</v>
      </c>
    </row>
    <row r="41" spans="1:41" x14ac:dyDescent="0.25">
      <c r="A41" s="3">
        <f t="shared" si="11"/>
        <v>30</v>
      </c>
      <c r="B41" s="6">
        <f t="shared" si="12"/>
        <v>12</v>
      </c>
      <c r="C41" s="6">
        <f t="shared" si="13"/>
        <v>29.800966578415014</v>
      </c>
      <c r="D41" s="6">
        <f t="shared" si="14"/>
        <v>12.486087897824175</v>
      </c>
      <c r="F41" s="8" t="s">
        <v>52</v>
      </c>
      <c r="G41" s="9">
        <f>G38-B29</f>
        <v>11.006811597602702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5"/>
        <v>3.2707106781186552</v>
      </c>
      <c r="AN41">
        <f t="shared" si="6"/>
        <v>0.96229172946382691</v>
      </c>
      <c r="AO41" t="str">
        <f t="shared" si="7"/>
        <v>phi_L: 0.65
phi_R: 0.666</v>
      </c>
    </row>
    <row r="42" spans="1:41" x14ac:dyDescent="0.25">
      <c r="A42" s="3">
        <f t="shared" si="11"/>
        <v>-54</v>
      </c>
      <c r="B42" s="6">
        <f t="shared" si="12"/>
        <v>12</v>
      </c>
      <c r="C42" s="6">
        <f t="shared" ref="C42:C43" si="15">A42*COS($B$27)+B42*SIN($B$27)</f>
        <v>-54.187934167382501</v>
      </c>
      <c r="D42" s="6">
        <f t="shared" ref="D42:D43" si="16">-1*A42*SIN($B$27)+B42*COS($B$27)</f>
        <v>11.120602082235488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5"/>
        <v>3.3436396103067896</v>
      </c>
      <c r="AN42">
        <f t="shared" si="6"/>
        <v>0.96641638581379796</v>
      </c>
      <c r="AO42" t="str">
        <f t="shared" si="7"/>
        <v>phi_L: 0.65
phi_R: 0.657</v>
      </c>
    </row>
    <row r="43" spans="1:41" x14ac:dyDescent="0.25">
      <c r="A43" s="3">
        <f t="shared" si="11"/>
        <v>-54</v>
      </c>
      <c r="B43" s="6">
        <f t="shared" si="12"/>
        <v>4</v>
      </c>
      <c r="C43" s="6">
        <f t="shared" si="15"/>
        <v>-54.057887899231197</v>
      </c>
      <c r="D43" s="6">
        <f t="shared" si="16"/>
        <v>3.1216591540642966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5"/>
        <v>3.4165685424949235</v>
      </c>
      <c r="AN43">
        <f t="shared" si="6"/>
        <v>0.97106529148039999</v>
      </c>
      <c r="AO43" t="str">
        <f t="shared" si="7"/>
        <v>phi_L: 0.65
phi_R: 0.653</v>
      </c>
    </row>
    <row r="44" spans="1:41" x14ac:dyDescent="0.25">
      <c r="A44" s="3">
        <f t="shared" ref="A44:A45" si="17">E10-$I$2</f>
        <v>-6</v>
      </c>
      <c r="B44" s="6">
        <f t="shared" ref="B44:B45" si="18">F10-$I$3</f>
        <v>4</v>
      </c>
      <c r="C44" s="6">
        <f t="shared" ref="C44:C45" si="19">A44*COS($B$27)+B44*SIN($B$27)</f>
        <v>-6.0642303302040457</v>
      </c>
      <c r="D44" s="6">
        <f t="shared" ref="D44:D45" si="20">-1*A44*SIN($B$27)+B44*COS($B$27)</f>
        <v>3.9019367629721184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5"/>
        <v>3.4894974746830578</v>
      </c>
      <c r="AN44">
        <f t="shared" si="6"/>
        <v>0.97570031823534253</v>
      </c>
      <c r="AO44" t="str">
        <f t="shared" si="7"/>
        <v>phi_L: 0.65
phi_R: 0.651</v>
      </c>
    </row>
    <row r="45" spans="1:41" x14ac:dyDescent="0.25">
      <c r="A45" s="3">
        <f t="shared" si="17"/>
        <v>-6</v>
      </c>
      <c r="B45" s="6">
        <f t="shared" si="18"/>
        <v>-12</v>
      </c>
      <c r="C45" s="6">
        <f t="shared" si="19"/>
        <v>-5.8041377939014378</v>
      </c>
      <c r="D45" s="6">
        <f t="shared" si="20"/>
        <v>-12.095949093370265</v>
      </c>
    </row>
    <row r="47" spans="1:41" x14ac:dyDescent="0.25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5"/>
        <v>3.5624264068711922</v>
      </c>
      <c r="AN47">
        <f t="shared" si="6"/>
        <v>0.97794749530606828</v>
      </c>
      <c r="AO47" t="str">
        <f t="shared" si="7"/>
        <v>phi_L: 0.65
phi_R: 0.65</v>
      </c>
    </row>
    <row r="48" spans="1:41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5"/>
        <v>3.6353553390593261</v>
      </c>
      <c r="AN48">
        <f t="shared" si="6"/>
        <v>0.97876128100192783</v>
      </c>
      <c r="AO48" t="str">
        <f t="shared" si="7"/>
        <v>phi_L: 0.65
phi_R: 0.65</v>
      </c>
    </row>
    <row r="49" spans="1:41" x14ac:dyDescent="0.25">
      <c r="A49" t="s">
        <v>43</v>
      </c>
      <c r="B49" s="6">
        <f>C37</f>
        <v>-5.8041377939014378</v>
      </c>
      <c r="C49" s="6">
        <f>D37</f>
        <v>-12.095949093370265</v>
      </c>
      <c r="D49" s="6">
        <f t="shared" ref="D49:E56" si="21">C38</f>
        <v>6.1942765983553496</v>
      </c>
      <c r="E49" s="6">
        <f t="shared" si="21"/>
        <v>-11.900879691143309</v>
      </c>
      <c r="F49" s="6">
        <f t="shared" ref="F49:F54" si="22">IF(B49=D49,"V",(C49-E49)/(B49-D49))</f>
        <v>1.6257931744118166E-2</v>
      </c>
      <c r="G49" s="6">
        <f t="shared" ref="G49:G54" si="23">IF(F49="V",0,(-1*B49*F49)+C49)</f>
        <v>-12.001585817283559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5"/>
        <v>3.7082842712474604</v>
      </c>
      <c r="AN49">
        <f t="shared" si="6"/>
        <v>0.97956063669877791</v>
      </c>
      <c r="AO49" t="str">
        <f t="shared" si="7"/>
        <v>phi_L: 0.65
phi_R: 0.65</v>
      </c>
    </row>
    <row r="50" spans="1:41" x14ac:dyDescent="0.25">
      <c r="A50" t="s">
        <v>44</v>
      </c>
      <c r="B50" s="6">
        <f t="shared" ref="B50:C54" si="24">D49</f>
        <v>6.1942765983553496</v>
      </c>
      <c r="C50" s="6">
        <f t="shared" si="24"/>
        <v>-11.900879691143309</v>
      </c>
      <c r="D50" s="6">
        <f t="shared" si="21"/>
        <v>5.9341840620527417</v>
      </c>
      <c r="E50" s="6">
        <f t="shared" si="21"/>
        <v>4.0970061651990735</v>
      </c>
      <c r="F50" s="6">
        <f t="shared" si="22"/>
        <v>-61.50843881859587</v>
      </c>
      <c r="G50" s="6">
        <f t="shared" si="23"/>
        <v>369.09940348425687</v>
      </c>
      <c r="H50" s="6">
        <f t="shared" ref="H50:H54" si="25">IF(AND(C50&lt;$G$41,E50&lt;$G$41),0,IF(AND(C50&lt;$G$41,E50&gt;$G$41),IF(F50="V",B50,($G$41-G50)/F50),B50))</f>
        <v>0</v>
      </c>
      <c r="I50" s="6">
        <f t="shared" ref="I50:I54" si="26">IF(AND(C50&lt;$G$41,E50&lt;$G$41),0,IF(AND(C50&lt;$G$41,E50&gt;$G$41),$G$41,C50))</f>
        <v>0</v>
      </c>
      <c r="J50" s="6">
        <f t="shared" ref="J50:J54" si="27">IF(AND(C50&lt;$G$41,E50&lt;$G$41),0,IF(E50&gt;=$G$41,D50,IF(F50="V",D50,($G$41-G50)/F50)))</f>
        <v>0</v>
      </c>
      <c r="K50" s="6">
        <f t="shared" ref="K50:K54" si="28">IF(AND(C50&lt;$G$41,E50&lt;$G$41),0,IF(E50&gt;=$G$41,E50,$G$41))</f>
        <v>0</v>
      </c>
      <c r="L50" s="6">
        <f t="shared" ref="L50:L54" si="29">IF(AND(I50=0,K50=0,H50=0,J50=0),0,$B$31)</f>
        <v>0</v>
      </c>
      <c r="M50" s="6">
        <f t="shared" ref="M50:M54" si="30">IF(AND(I50=0,K50=0,H50=0,J50=0),0,$B$31)</f>
        <v>0</v>
      </c>
      <c r="N50" s="10">
        <f t="shared" ref="N50:N54" si="31">(1/6)*(K50-I50)*((L50*((2*H50)+J50))+(M50*(H50+(2*J50))))</f>
        <v>0</v>
      </c>
      <c r="O50" s="10">
        <f t="shared" ref="O50:O54" si="32">((1/12)*(K50-I50)*(L50*H50*((3*I50)+K50)+L50*J50*(I50+K50)+M50*H50*(I50+K50)+M50*J50*(I50+(3*K50))))</f>
        <v>0</v>
      </c>
      <c r="P50" s="10">
        <f t="shared" ref="P50:P54" si="33">((-1/24)*(K50-I50)*(H50*H50*((3*L50)+M50)+2*H50*J50*(L50+M50)+J50*J50*(L50+(3*M50))))</f>
        <v>0</v>
      </c>
      <c r="S50" t="e">
        <f t="shared" ref="S50:S55" si="34">IF(AND(I50=0,K50=0,H50=0,J50=0),NA(),H50)</f>
        <v>#N/A</v>
      </c>
      <c r="T50" t="e">
        <f t="shared" ref="T50:T55" si="35">IF(AND(I50=0,K50=0,H50=0,J50=0),NA(),I50)</f>
        <v>#N/A</v>
      </c>
      <c r="V50" t="e">
        <f t="shared" ref="V50:V55" si="36">IF(AND(I50=0,K50=0,H50=0,J50=0),NA(),J50)</f>
        <v>#N/A</v>
      </c>
      <c r="W50" t="e">
        <f t="shared" ref="W50:W55" si="37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5"/>
        <v>3.7812132034355947</v>
      </c>
      <c r="AN50">
        <f t="shared" si="6"/>
        <v>0.98034601330168825</v>
      </c>
      <c r="AO50" t="str">
        <f t="shared" si="7"/>
        <v>phi_L: 0.65
phi_R: 0.65</v>
      </c>
    </row>
    <row r="51" spans="1:41" x14ac:dyDescent="0.25">
      <c r="A51" t="s">
        <v>45</v>
      </c>
      <c r="B51" s="6">
        <f t="shared" si="24"/>
        <v>5.9341840620527417</v>
      </c>
      <c r="C51" s="6">
        <f t="shared" si="24"/>
        <v>4.0970061651990735</v>
      </c>
      <c r="D51" s="6">
        <f t="shared" si="21"/>
        <v>29.931012846566318</v>
      </c>
      <c r="E51" s="6">
        <f t="shared" si="21"/>
        <v>4.4871449696529844</v>
      </c>
      <c r="F51" s="6">
        <f t="shared" si="22"/>
        <v>1.6257931744118128E-2</v>
      </c>
      <c r="G51" s="6">
        <f t="shared" si="23"/>
        <v>4.0005286057611862</v>
      </c>
      <c r="H51" s="6">
        <f t="shared" si="25"/>
        <v>0</v>
      </c>
      <c r="I51" s="6">
        <f t="shared" si="26"/>
        <v>0</v>
      </c>
      <c r="J51" s="6">
        <f t="shared" si="27"/>
        <v>0</v>
      </c>
      <c r="K51" s="6">
        <f t="shared" si="28"/>
        <v>0</v>
      </c>
      <c r="L51" s="6">
        <f t="shared" si="29"/>
        <v>0</v>
      </c>
      <c r="M51" s="6">
        <f t="shared" si="30"/>
        <v>0</v>
      </c>
      <c r="N51" s="10">
        <f t="shared" si="31"/>
        <v>0</v>
      </c>
      <c r="O51" s="10">
        <f t="shared" si="32"/>
        <v>0</v>
      </c>
      <c r="P51" s="10">
        <f t="shared" si="33"/>
        <v>0</v>
      </c>
      <c r="S51" t="e">
        <f t="shared" si="34"/>
        <v>#N/A</v>
      </c>
      <c r="T51" t="e">
        <f t="shared" si="35"/>
        <v>#N/A</v>
      </c>
      <c r="V51" t="e">
        <f t="shared" si="36"/>
        <v>#N/A</v>
      </c>
      <c r="W51" t="e">
        <f t="shared" si="37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5"/>
        <v>3.8541421356237291</v>
      </c>
      <c r="AN51">
        <f t="shared" si="6"/>
        <v>0.98111784030276572</v>
      </c>
      <c r="AO51" t="str">
        <f t="shared" si="7"/>
        <v>phi_L: 0.65
phi_R: 0.65</v>
      </c>
    </row>
    <row r="52" spans="1:41" x14ac:dyDescent="0.25">
      <c r="A52" t="s">
        <v>46</v>
      </c>
      <c r="B52" s="6">
        <f t="shared" si="24"/>
        <v>29.931012846566318</v>
      </c>
      <c r="C52" s="6">
        <f t="shared" si="24"/>
        <v>4.4871449696529844</v>
      </c>
      <c r="D52" s="6">
        <f t="shared" si="21"/>
        <v>29.800966578415014</v>
      </c>
      <c r="E52" s="6">
        <f t="shared" si="21"/>
        <v>12.486087897824175</v>
      </c>
      <c r="F52" s="6">
        <f t="shared" si="22"/>
        <v>-61.50843881859587</v>
      </c>
      <c r="G52" s="6">
        <f t="shared" si="23"/>
        <v>1845.4970174212845</v>
      </c>
      <c r="H52" s="6">
        <f t="shared" si="25"/>
        <v>29.825016551534706</v>
      </c>
      <c r="I52" s="6">
        <f t="shared" si="26"/>
        <v>11.006811597602702</v>
      </c>
      <c r="J52" s="6">
        <f t="shared" si="27"/>
        <v>29.800966578415014</v>
      </c>
      <c r="K52" s="6">
        <f t="shared" si="28"/>
        <v>12.486087897824175</v>
      </c>
      <c r="L52" s="6">
        <f t="shared" si="29"/>
        <v>4.25</v>
      </c>
      <c r="M52" s="6">
        <f t="shared" si="30"/>
        <v>4.25</v>
      </c>
      <c r="N52" s="10">
        <f t="shared" si="31"/>
        <v>187.43202040827248</v>
      </c>
      <c r="O52" s="10">
        <f t="shared" si="32"/>
        <v>2201.6421699124307</v>
      </c>
      <c r="P52" s="10">
        <f t="shared" si="33"/>
        <v>-2793.9547732342025</v>
      </c>
      <c r="S52">
        <f t="shared" si="34"/>
        <v>29.825016551534706</v>
      </c>
      <c r="T52">
        <f t="shared" si="35"/>
        <v>11.006811597602702</v>
      </c>
      <c r="V52">
        <f t="shared" si="36"/>
        <v>29.800966578415014</v>
      </c>
      <c r="W52">
        <f t="shared" si="37"/>
        <v>12.486087897824175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5"/>
        <v>3.927071067811863</v>
      </c>
      <c r="AN52">
        <f t="shared" si="6"/>
        <v>0.98187652717031404</v>
      </c>
      <c r="AO52" t="str">
        <f t="shared" si="7"/>
        <v>phi_L: 0.65
phi_R: 0.65</v>
      </c>
    </row>
    <row r="53" spans="1:41" x14ac:dyDescent="0.25">
      <c r="A53" t="s">
        <v>47</v>
      </c>
      <c r="B53" s="6">
        <f t="shared" si="24"/>
        <v>29.800966578415014</v>
      </c>
      <c r="C53" s="6">
        <f t="shared" si="24"/>
        <v>12.486087897824175</v>
      </c>
      <c r="D53" s="6">
        <f t="shared" si="21"/>
        <v>-54.187934167382501</v>
      </c>
      <c r="E53" s="6">
        <f t="shared" si="21"/>
        <v>11.120602082235488</v>
      </c>
      <c r="F53" s="6">
        <f t="shared" si="22"/>
        <v>1.6257931744118125E-2</v>
      </c>
      <c r="G53" s="6">
        <f t="shared" si="23"/>
        <v>12.001585817283559</v>
      </c>
      <c r="H53" s="6">
        <f t="shared" si="25"/>
        <v>29.800966578415014</v>
      </c>
      <c r="I53" s="6">
        <f t="shared" si="26"/>
        <v>12.486087897824175</v>
      </c>
      <c r="J53" s="6">
        <f t="shared" si="27"/>
        <v>-54.187934167382501</v>
      </c>
      <c r="K53" s="6">
        <f t="shared" si="28"/>
        <v>11.120602082235488</v>
      </c>
      <c r="L53" s="6">
        <f t="shared" si="29"/>
        <v>4.25</v>
      </c>
      <c r="M53" s="6">
        <f t="shared" si="30"/>
        <v>4.25</v>
      </c>
      <c r="N53" s="10">
        <f t="shared" si="31"/>
        <v>70.762623946906842</v>
      </c>
      <c r="O53" s="10">
        <f t="shared" si="32"/>
        <v>779.77258487165193</v>
      </c>
      <c r="P53" s="10">
        <f t="shared" si="33"/>
        <v>2137.1451232859381</v>
      </c>
      <c r="S53">
        <f t="shared" si="34"/>
        <v>29.800966578415014</v>
      </c>
      <c r="T53">
        <f t="shared" si="35"/>
        <v>12.486087897824175</v>
      </c>
      <c r="V53">
        <f t="shared" si="36"/>
        <v>-54.187934167382501</v>
      </c>
      <c r="W53">
        <f t="shared" si="37"/>
        <v>11.120602082235488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5"/>
        <v>3.9999999999999973</v>
      </c>
      <c r="AN53">
        <f t="shared" si="6"/>
        <v>0.98262246462376857</v>
      </c>
      <c r="AO53" t="str">
        <f t="shared" si="7"/>
        <v>phi_L: 0.65
phi_R: 0.65</v>
      </c>
    </row>
    <row r="54" spans="1:41" x14ac:dyDescent="0.25">
      <c r="A54" t="s">
        <v>48</v>
      </c>
      <c r="B54" s="6">
        <f t="shared" si="24"/>
        <v>-54.187934167382501</v>
      </c>
      <c r="C54" s="6">
        <f t="shared" si="24"/>
        <v>11.120602082235488</v>
      </c>
      <c r="D54" s="6">
        <f t="shared" si="21"/>
        <v>-54.057887899231197</v>
      </c>
      <c r="E54" s="6">
        <f t="shared" si="21"/>
        <v>3.1216591540642966</v>
      </c>
      <c r="F54" s="6">
        <f t="shared" si="22"/>
        <v>-61.50843881859587</v>
      </c>
      <c r="G54" s="6">
        <f t="shared" si="23"/>
        <v>-3321.8946313583119</v>
      </c>
      <c r="H54" s="6">
        <f t="shared" si="25"/>
        <v>-54.187934167382501</v>
      </c>
      <c r="I54" s="6">
        <f t="shared" si="26"/>
        <v>11.120602082235488</v>
      </c>
      <c r="J54" s="6">
        <f t="shared" si="27"/>
        <v>-54.186084169450211</v>
      </c>
      <c r="K54" s="6">
        <f t="shared" si="28"/>
        <v>11.006811597602702</v>
      </c>
      <c r="L54" s="6">
        <f t="shared" si="29"/>
        <v>4.25</v>
      </c>
      <c r="M54" s="6">
        <f t="shared" si="30"/>
        <v>4.25</v>
      </c>
      <c r="N54" s="10">
        <f t="shared" si="31"/>
        <v>26.205355644819932</v>
      </c>
      <c r="O54" s="10">
        <f t="shared" si="32"/>
        <v>289.9283809739145</v>
      </c>
      <c r="P54" s="10">
        <f t="shared" si="33"/>
        <v>709.99492336269896</v>
      </c>
      <c r="S54">
        <f t="shared" si="34"/>
        <v>-54.187934167382501</v>
      </c>
      <c r="T54">
        <f t="shared" si="35"/>
        <v>11.120602082235488</v>
      </c>
      <c r="V54">
        <f t="shared" si="36"/>
        <v>-54.186084169450211</v>
      </c>
      <c r="W54">
        <f t="shared" si="37"/>
        <v>11.006811597602702</v>
      </c>
    </row>
    <row r="55" spans="1:41" x14ac:dyDescent="0.25">
      <c r="A55" t="s">
        <v>94</v>
      </c>
      <c r="B55" s="6">
        <f>D54</f>
        <v>-54.057887899231197</v>
      </c>
      <c r="C55" s="6">
        <f>E54</f>
        <v>3.1216591540642966</v>
      </c>
      <c r="D55" s="6">
        <f t="shared" si="21"/>
        <v>-6.0642303302040457</v>
      </c>
      <c r="E55" s="6">
        <f t="shared" si="21"/>
        <v>3.9019367629721184</v>
      </c>
      <c r="F55" s="6">
        <f t="shared" ref="F55:F56" si="38">IF(B55=D55,"V",(C55-E55)/(B55-D55))</f>
        <v>1.6257931744118128E-2</v>
      </c>
      <c r="G55" s="6">
        <f t="shared" ref="G55:G56" si="39">IF(F55="V",0,(-1*B55*F55)+C55)</f>
        <v>4.0005286057611871</v>
      </c>
      <c r="H55" s="6">
        <f t="shared" ref="H55:H56" si="40">IF(AND(C55&lt;$G$41,E55&lt;$G$41),0,IF(AND(C55&lt;$G$41,E55&gt;$G$41),IF(F55="V",B55,($G$41-G55)/F55),B55))</f>
        <v>0</v>
      </c>
      <c r="I55" s="6">
        <f t="shared" ref="I55:I56" si="41">IF(AND(C55&lt;$G$41,E55&lt;$G$41),0,IF(AND(C55&lt;$G$41,E55&gt;$G$41),$G$41,C55))</f>
        <v>0</v>
      </c>
      <c r="J55" s="6">
        <f t="shared" ref="J55:J56" si="42">IF(AND(C55&lt;$G$41,E55&lt;$G$41),0,IF(E55&gt;=$G$41,D55,IF(F55="V",D55,($G$41-G55)/F55)))</f>
        <v>0</v>
      </c>
      <c r="K55" s="6">
        <f t="shared" ref="K55:K56" si="43">IF(AND(C55&lt;$G$41,E55&lt;$G$41),0,IF(E55&gt;=$G$41,E55,$G$41))</f>
        <v>0</v>
      </c>
      <c r="L55" s="6">
        <f t="shared" ref="L55:L56" si="44">IF(AND(I55=0,K55=0,H55=0,J55=0),0,$B$31)</f>
        <v>0</v>
      </c>
      <c r="M55" s="6">
        <f t="shared" ref="M55:M56" si="45">IF(AND(I55=0,K55=0,H55=0,J55=0),0,$B$31)</f>
        <v>0</v>
      </c>
      <c r="N55" s="10">
        <f t="shared" ref="N55:N56" si="46">(1/6)*(K55-I55)*((L55*((2*H55)+J55))+(M55*(H55+(2*J55))))</f>
        <v>0</v>
      </c>
      <c r="O55" s="10">
        <f t="shared" ref="O55:O56" si="47">((1/12)*(K55-I55)*(L55*H55*((3*I55)+K55)+L55*J55*(I55+K55)+M55*H55*(I55+K55)+M55*J55*(I55+(3*K55))))</f>
        <v>0</v>
      </c>
      <c r="P55" s="10">
        <f t="shared" ref="P55:P56" si="48">((-1/24)*(K55-I55)*(H55*H55*((3*L55)+M55)+2*H55*J55*(L55+M55)+J55*J55*(L55+(3*M55))))</f>
        <v>0</v>
      </c>
      <c r="S55" t="e">
        <f t="shared" si="34"/>
        <v>#N/A</v>
      </c>
      <c r="T55" t="e">
        <f t="shared" si="35"/>
        <v>#N/A</v>
      </c>
      <c r="V55" t="e">
        <f t="shared" si="36"/>
        <v>#N/A</v>
      </c>
      <c r="W55" t="e">
        <f t="shared" si="37"/>
        <v>#N/A</v>
      </c>
    </row>
    <row r="56" spans="1:41" ht="15.75" thickBot="1" x14ac:dyDescent="0.3">
      <c r="A56" t="s">
        <v>95</v>
      </c>
      <c r="B56" s="6">
        <f>D55</f>
        <v>-6.0642303302040457</v>
      </c>
      <c r="C56" s="6">
        <f>E55</f>
        <v>3.9019367629721184</v>
      </c>
      <c r="D56" s="6">
        <f t="shared" si="21"/>
        <v>-5.8041377939014378</v>
      </c>
      <c r="E56" s="6">
        <f t="shared" si="21"/>
        <v>-12.095949093370265</v>
      </c>
      <c r="F56" s="6">
        <f t="shared" si="38"/>
        <v>-61.508438818595877</v>
      </c>
      <c r="G56" s="6">
        <f t="shared" si="39"/>
        <v>-369.09940348425687</v>
      </c>
      <c r="H56" s="6">
        <f t="shared" si="40"/>
        <v>0</v>
      </c>
      <c r="I56" s="6">
        <f t="shared" si="41"/>
        <v>0</v>
      </c>
      <c r="J56" s="6">
        <f t="shared" si="42"/>
        <v>0</v>
      </c>
      <c r="K56" s="6">
        <f t="shared" si="43"/>
        <v>0</v>
      </c>
      <c r="L56" s="6">
        <f t="shared" si="44"/>
        <v>0</v>
      </c>
      <c r="M56" s="6">
        <f t="shared" si="45"/>
        <v>0</v>
      </c>
      <c r="N56" s="11">
        <f t="shared" si="46"/>
        <v>0</v>
      </c>
      <c r="O56" s="11">
        <f t="shared" si="47"/>
        <v>0</v>
      </c>
      <c r="P56" s="11">
        <f t="shared" si="48"/>
        <v>0</v>
      </c>
    </row>
    <row r="57" spans="1:41" ht="15.75" thickTop="1" x14ac:dyDescent="0.25">
      <c r="N57" s="6">
        <f>SUM(N49:N56)</f>
        <v>284.39999999999924</v>
      </c>
      <c r="O57" s="6">
        <f t="shared" ref="O57:P57" si="49">SUM(O49:O56)</f>
        <v>3271.3431357579971</v>
      </c>
      <c r="P57" s="6">
        <f t="shared" si="49"/>
        <v>53.185273414434505</v>
      </c>
    </row>
    <row r="59" spans="1:41" x14ac:dyDescent="0.25">
      <c r="A59" t="s">
        <v>55</v>
      </c>
    </row>
    <row r="61" spans="1:41" x14ac:dyDescent="0.25">
      <c r="A61">
        <f t="shared" ref="A61:A71" si="50">A14</f>
        <v>0</v>
      </c>
      <c r="B61" s="1" t="str">
        <f t="shared" ref="B61:D61" si="51">B14</f>
        <v>Bar #</v>
      </c>
      <c r="C61" s="1" t="str">
        <f t="shared" si="51"/>
        <v>As (in^2)</v>
      </c>
      <c r="D61" s="1" t="str">
        <f t="shared" si="51"/>
        <v>x</v>
      </c>
      <c r="E61" s="1" t="str">
        <f>E14</f>
        <v>y</v>
      </c>
      <c r="F61" s="1" t="s">
        <v>56</v>
      </c>
      <c r="G61" s="1" t="s">
        <v>57</v>
      </c>
      <c r="H61" s="1" t="s">
        <v>21</v>
      </c>
      <c r="I61" s="1" t="s">
        <v>22</v>
      </c>
      <c r="J61" s="1" t="s">
        <v>58</v>
      </c>
      <c r="K61" s="1" t="s">
        <v>59</v>
      </c>
      <c r="L61" s="1" t="s">
        <v>60</v>
      </c>
      <c r="M61" s="1" t="s">
        <v>61</v>
      </c>
      <c r="N61" s="1" t="s">
        <v>62</v>
      </c>
      <c r="O61" s="1" t="s">
        <v>63</v>
      </c>
    </row>
    <row r="62" spans="1:41" x14ac:dyDescent="0.25">
      <c r="A62">
        <f t="shared" si="50"/>
        <v>1</v>
      </c>
      <c r="B62" s="1">
        <f t="shared" ref="B62:D67" si="52">B15</f>
        <v>8</v>
      </c>
      <c r="C62" s="1">
        <f t="shared" ca="1" si="52"/>
        <v>0.79</v>
      </c>
      <c r="D62" s="1">
        <f t="shared" si="52"/>
        <v>6</v>
      </c>
      <c r="E62" s="1">
        <f t="shared" ref="E62" si="53">E15</f>
        <v>2</v>
      </c>
      <c r="F62" s="1">
        <f>D62-$I$2</f>
        <v>0</v>
      </c>
      <c r="G62" s="1">
        <f>E62-$I$3</f>
        <v>-10</v>
      </c>
      <c r="H62" s="6">
        <f>F62*COS($B$27)+G62*SIN($B$27)</f>
        <v>0.16255783518912953</v>
      </c>
      <c r="I62" s="6">
        <f>-1*F62*SIN($B$27)+G62*COS($B$27)</f>
        <v>-9.9986786602139901</v>
      </c>
      <c r="J62" s="6">
        <f>$G$38-I62</f>
        <v>22.484766558038167</v>
      </c>
      <c r="K62">
        <f ca="1">IF($B$28=0,-1,IF(C62=0,0,(($B$28-J62)/$B$28)*$B$30)*IF($B$28&lt;0,-1,1))</f>
        <v>-3.347962164418665E-2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473.93736849414319</v>
      </c>
      <c r="O62" s="6">
        <f ca="1">M62*H62*-1</f>
        <v>7.7052413879647403</v>
      </c>
      <c r="Q62">
        <f>IF($B62=0,NA(),H62)</f>
        <v>0.16255783518912953</v>
      </c>
      <c r="R62">
        <f>IF($B62=0,NA(),I62)</f>
        <v>-9.9986786602139901</v>
      </c>
    </row>
    <row r="63" spans="1:41" x14ac:dyDescent="0.25">
      <c r="A63">
        <f t="shared" si="50"/>
        <v>2</v>
      </c>
      <c r="B63" s="1">
        <f t="shared" si="52"/>
        <v>8</v>
      </c>
      <c r="C63" s="1">
        <f t="shared" ca="1" si="52"/>
        <v>0.79</v>
      </c>
      <c r="D63" s="1">
        <f t="shared" si="52"/>
        <v>3</v>
      </c>
      <c r="E63" s="1">
        <f t="shared" ref="E63" si="54">E16</f>
        <v>2</v>
      </c>
      <c r="F63" s="1">
        <f t="shared" ref="F63:F71" si="55">D63-$I$2</f>
        <v>-3</v>
      </c>
      <c r="G63" s="1">
        <f t="shared" ref="G63:G71" si="56">E63-$I$3</f>
        <v>-10</v>
      </c>
      <c r="H63" s="6">
        <f t="shared" ref="H63:H71" si="57">F63*COS($B$27)+G63*SIN($B$27)</f>
        <v>-2.8370457628750674</v>
      </c>
      <c r="I63" s="6">
        <f t="shared" ref="I63:I71" si="58">-1*F63*SIN($B$27)+G63*COS($B$27)</f>
        <v>-10.047446010770729</v>
      </c>
      <c r="J63" s="6">
        <f t="shared" ref="J63:J71" si="59">$G$38-I63</f>
        <v>22.533533908594904</v>
      </c>
      <c r="K63">
        <f t="shared" ref="K63:K71" ca="1" si="60">IF($B$28=0,-1,IF(C63=0,0,(($B$28-J63)/$B$28)*$B$30)*IF($B$28&lt;0,-1,1))</f>
        <v>-3.3558742523307504E-2</v>
      </c>
      <c r="L63">
        <f t="shared" ref="L63:L71" ca="1" si="61">IF(AND(K63&gt;0,J63&lt;=$B$29),MIN((K63*B$13),B$12)-$B$31,MAX(K63*B$13,-1*B$12))</f>
        <v>-60</v>
      </c>
      <c r="M63" s="6">
        <f t="shared" ref="M63:M71" ca="1" si="62">L63*C63</f>
        <v>-47.400000000000006</v>
      </c>
      <c r="N63" s="6">
        <f t="shared" ref="N63:N71" ca="1" si="63">M63*I63</f>
        <v>476.24894091053261</v>
      </c>
      <c r="O63" s="6">
        <f t="shared" ref="O63:O71" ca="1" si="64">M63*H63*-1</f>
        <v>-134.4759691602782</v>
      </c>
      <c r="Q63">
        <f t="shared" ref="Q63:Q71" si="65">IF($B63=0,NA(),H63)</f>
        <v>-2.8370457628750674</v>
      </c>
      <c r="R63">
        <f t="shared" ref="R63:R71" si="66">IF($B63=0,NA(),I63)</f>
        <v>-10.047446010770729</v>
      </c>
    </row>
    <row r="64" spans="1:41" x14ac:dyDescent="0.25">
      <c r="A64">
        <f t="shared" si="50"/>
        <v>3</v>
      </c>
      <c r="B64" s="1">
        <f t="shared" si="52"/>
        <v>8</v>
      </c>
      <c r="C64" s="1">
        <f t="shared" ca="1" si="52"/>
        <v>0.79</v>
      </c>
      <c r="D64" s="1">
        <f t="shared" si="52"/>
        <v>9</v>
      </c>
      <c r="E64" s="1">
        <f t="shared" ref="E64" si="67">E17</f>
        <v>2</v>
      </c>
      <c r="F64" s="1">
        <f t="shared" si="55"/>
        <v>3</v>
      </c>
      <c r="G64" s="1">
        <f t="shared" si="56"/>
        <v>-10</v>
      </c>
      <c r="H64" s="6">
        <f t="shared" si="57"/>
        <v>3.1621614332533263</v>
      </c>
      <c r="I64" s="6">
        <f t="shared" si="58"/>
        <v>-9.9499113096572511</v>
      </c>
      <c r="J64" s="6">
        <f t="shared" si="59"/>
        <v>22.435999207481427</v>
      </c>
      <c r="K64">
        <f t="shared" ca="1" si="60"/>
        <v>-3.3400500765065795E-2</v>
      </c>
      <c r="L64">
        <f t="shared" ca="1" si="61"/>
        <v>-60</v>
      </c>
      <c r="M64" s="6">
        <f t="shared" ca="1" si="62"/>
        <v>-47.400000000000006</v>
      </c>
      <c r="N64" s="6">
        <f t="shared" ca="1" si="63"/>
        <v>471.62579607775376</v>
      </c>
      <c r="O64" s="6">
        <f t="shared" ca="1" si="64"/>
        <v>149.88645193620769</v>
      </c>
      <c r="Q64">
        <f t="shared" si="65"/>
        <v>3.1621614332533263</v>
      </c>
      <c r="R64">
        <f t="shared" si="66"/>
        <v>-9.9499113096572511</v>
      </c>
    </row>
    <row r="65" spans="1:18" x14ac:dyDescent="0.25">
      <c r="A65">
        <f t="shared" si="50"/>
        <v>4</v>
      </c>
      <c r="B65" s="1">
        <f t="shared" si="52"/>
        <v>8</v>
      </c>
      <c r="C65" s="1">
        <f t="shared" ca="1" si="52"/>
        <v>0.79</v>
      </c>
      <c r="D65" s="1">
        <f t="shared" si="52"/>
        <v>6</v>
      </c>
      <c r="E65" s="1">
        <f t="shared" ref="E65" si="68">E18</f>
        <v>4</v>
      </c>
      <c r="F65" s="1">
        <f t="shared" si="55"/>
        <v>0</v>
      </c>
      <c r="G65" s="1">
        <f t="shared" si="56"/>
        <v>-8</v>
      </c>
      <c r="H65" s="6">
        <f t="shared" si="57"/>
        <v>0.13004626815130363</v>
      </c>
      <c r="I65" s="6">
        <f t="shared" si="58"/>
        <v>-7.9989429281711919</v>
      </c>
      <c r="J65" s="6">
        <f t="shared" si="59"/>
        <v>20.485030825995366</v>
      </c>
      <c r="K65">
        <f t="shared" ca="1" si="60"/>
        <v>-3.0235220475734095E-2</v>
      </c>
      <c r="L65">
        <f t="shared" ca="1" si="61"/>
        <v>-60</v>
      </c>
      <c r="M65" s="6">
        <f t="shared" ca="1" si="62"/>
        <v>-47.400000000000006</v>
      </c>
      <c r="N65" s="6">
        <f t="shared" ca="1" si="63"/>
        <v>379.14989479531454</v>
      </c>
      <c r="O65" s="6">
        <f t="shared" ca="1" si="64"/>
        <v>6.1641931103717926</v>
      </c>
      <c r="Q65">
        <f t="shared" si="65"/>
        <v>0.13004626815130363</v>
      </c>
      <c r="R65">
        <f t="shared" si="66"/>
        <v>-7.9989429281711919</v>
      </c>
    </row>
    <row r="66" spans="1:18" x14ac:dyDescent="0.25">
      <c r="A66">
        <f t="shared" si="50"/>
        <v>5</v>
      </c>
      <c r="B66" s="1">
        <f t="shared" si="52"/>
        <v>8</v>
      </c>
      <c r="C66" s="1">
        <f t="shared" ca="1" si="52"/>
        <v>0.79</v>
      </c>
      <c r="D66" s="1">
        <f t="shared" si="52"/>
        <v>3</v>
      </c>
      <c r="E66" s="1">
        <f t="shared" ref="E66" si="69">E19</f>
        <v>4</v>
      </c>
      <c r="F66" s="1">
        <f t="shared" si="55"/>
        <v>-3</v>
      </c>
      <c r="G66" s="1">
        <f t="shared" si="56"/>
        <v>-8</v>
      </c>
      <c r="H66" s="6">
        <f t="shared" si="57"/>
        <v>-2.8695573299128934</v>
      </c>
      <c r="I66" s="6">
        <f t="shared" si="58"/>
        <v>-8.04771027872793</v>
      </c>
      <c r="J66" s="6">
        <f t="shared" si="59"/>
        <v>20.533798176552104</v>
      </c>
      <c r="K66">
        <f t="shared" ca="1" si="60"/>
        <v>-3.0314341354854949E-2</v>
      </c>
      <c r="L66">
        <f t="shared" ca="1" si="61"/>
        <v>-60</v>
      </c>
      <c r="M66" s="6">
        <f t="shared" ca="1" si="62"/>
        <v>-47.400000000000006</v>
      </c>
      <c r="N66" s="6">
        <f t="shared" ca="1" si="63"/>
        <v>381.4614672117039</v>
      </c>
      <c r="O66" s="6">
        <f t="shared" ca="1" si="64"/>
        <v>-136.01701743787117</v>
      </c>
      <c r="Q66">
        <f t="shared" si="65"/>
        <v>-2.8695573299128934</v>
      </c>
      <c r="R66">
        <f t="shared" si="66"/>
        <v>-8.04771027872793</v>
      </c>
    </row>
    <row r="67" spans="1:18" x14ac:dyDescent="0.25">
      <c r="A67">
        <f t="shared" si="50"/>
        <v>6</v>
      </c>
      <c r="B67" s="1">
        <f t="shared" si="52"/>
        <v>8</v>
      </c>
      <c r="C67" s="1">
        <f t="shared" ca="1" si="52"/>
        <v>0.79</v>
      </c>
      <c r="D67" s="1">
        <f t="shared" si="52"/>
        <v>9</v>
      </c>
      <c r="E67" s="1">
        <f t="shared" ref="E67" si="70">E20</f>
        <v>4</v>
      </c>
      <c r="F67" s="1">
        <f t="shared" si="55"/>
        <v>3</v>
      </c>
      <c r="G67" s="1">
        <f t="shared" si="56"/>
        <v>-8</v>
      </c>
      <c r="H67" s="6">
        <f t="shared" si="57"/>
        <v>3.1296498662155003</v>
      </c>
      <c r="I67" s="6">
        <f t="shared" si="58"/>
        <v>-7.9501755776144529</v>
      </c>
      <c r="J67" s="6">
        <f t="shared" si="59"/>
        <v>20.436263475438629</v>
      </c>
      <c r="K67">
        <f t="shared" ca="1" si="60"/>
        <v>-3.015609959661324E-2</v>
      </c>
      <c r="L67">
        <f t="shared" ca="1" si="61"/>
        <v>-60</v>
      </c>
      <c r="M67" s="6">
        <f t="shared" ca="1" si="62"/>
        <v>-47.400000000000006</v>
      </c>
      <c r="N67" s="6">
        <f t="shared" ca="1" si="63"/>
        <v>376.83832237892511</v>
      </c>
      <c r="O67" s="6">
        <f t="shared" ca="1" si="64"/>
        <v>148.34540365861474</v>
      </c>
      <c r="Q67">
        <f t="shared" si="65"/>
        <v>3.1296498662155003</v>
      </c>
      <c r="R67">
        <f t="shared" si="66"/>
        <v>-7.9501755776144529</v>
      </c>
    </row>
    <row r="68" spans="1:18" x14ac:dyDescent="0.25">
      <c r="A68">
        <f t="shared" si="50"/>
        <v>7</v>
      </c>
      <c r="B68" s="1">
        <f t="shared" ref="B68:D68" si="71">B21</f>
        <v>0</v>
      </c>
      <c r="C68" s="1">
        <f t="shared" ca="1" si="71"/>
        <v>0</v>
      </c>
      <c r="D68" s="1">
        <f t="shared" si="71"/>
        <v>0</v>
      </c>
      <c r="E68" s="1">
        <f>E21</f>
        <v>0</v>
      </c>
      <c r="F68" s="1">
        <f t="shared" si="55"/>
        <v>-6</v>
      </c>
      <c r="G68" s="1">
        <f t="shared" si="56"/>
        <v>-12</v>
      </c>
      <c r="H68" s="6">
        <f t="shared" si="57"/>
        <v>-5.8041377939014378</v>
      </c>
      <c r="I68" s="6">
        <f t="shared" si="58"/>
        <v>-12.095949093370265</v>
      </c>
      <c r="J68" s="6">
        <f t="shared" si="59"/>
        <v>24.582036991194443</v>
      </c>
      <c r="K68">
        <f t="shared" ca="1" si="60"/>
        <v>0</v>
      </c>
      <c r="L68">
        <f t="shared" ca="1" si="61"/>
        <v>0</v>
      </c>
      <c r="M68" s="6">
        <f t="shared" ca="1" si="62"/>
        <v>0</v>
      </c>
      <c r="N68" s="6">
        <f t="shared" ca="1" si="63"/>
        <v>0</v>
      </c>
      <c r="O68" s="6">
        <f t="shared" ca="1" si="64"/>
        <v>0</v>
      </c>
      <c r="Q68" t="e">
        <f t="shared" si="65"/>
        <v>#N/A</v>
      </c>
      <c r="R68" t="e">
        <f t="shared" si="66"/>
        <v>#N/A</v>
      </c>
    </row>
    <row r="69" spans="1:18" x14ac:dyDescent="0.25">
      <c r="A69">
        <f t="shared" si="50"/>
        <v>8</v>
      </c>
      <c r="B69" s="1">
        <f t="shared" ref="B69:D71" si="72">B22</f>
        <v>0</v>
      </c>
      <c r="C69" s="1">
        <f t="shared" ca="1" si="72"/>
        <v>0</v>
      </c>
      <c r="D69" s="1">
        <f t="shared" si="72"/>
        <v>0</v>
      </c>
      <c r="E69" s="1">
        <f t="shared" ref="E69" si="73">E22</f>
        <v>0</v>
      </c>
      <c r="F69" s="1">
        <f t="shared" si="55"/>
        <v>-6</v>
      </c>
      <c r="G69" s="1">
        <f t="shared" si="56"/>
        <v>-12</v>
      </c>
      <c r="H69" s="6">
        <f t="shared" si="57"/>
        <v>-5.8041377939014378</v>
      </c>
      <c r="I69" s="6">
        <f t="shared" si="58"/>
        <v>-12.095949093370265</v>
      </c>
      <c r="J69" s="6">
        <f t="shared" si="59"/>
        <v>24.582036991194443</v>
      </c>
      <c r="K69">
        <f t="shared" ca="1" si="60"/>
        <v>0</v>
      </c>
      <c r="L69">
        <f t="shared" ca="1" si="61"/>
        <v>0</v>
      </c>
      <c r="M69" s="6">
        <f t="shared" ca="1" si="62"/>
        <v>0</v>
      </c>
      <c r="N69" s="6">
        <f t="shared" ca="1" si="63"/>
        <v>0</v>
      </c>
      <c r="O69" s="6">
        <f t="shared" ca="1" si="64"/>
        <v>0</v>
      </c>
      <c r="Q69" t="e">
        <f t="shared" si="65"/>
        <v>#N/A</v>
      </c>
      <c r="R69" t="e">
        <f t="shared" si="66"/>
        <v>#N/A</v>
      </c>
    </row>
    <row r="70" spans="1:18" x14ac:dyDescent="0.25">
      <c r="A70">
        <f t="shared" si="50"/>
        <v>9</v>
      </c>
      <c r="B70" s="1">
        <f t="shared" si="72"/>
        <v>0</v>
      </c>
      <c r="C70" s="1">
        <f t="shared" ca="1" si="72"/>
        <v>0</v>
      </c>
      <c r="D70" s="1">
        <f t="shared" si="72"/>
        <v>0</v>
      </c>
      <c r="E70" s="1">
        <f t="shared" ref="E70" si="74">E23</f>
        <v>0</v>
      </c>
      <c r="F70" s="1">
        <f t="shared" si="55"/>
        <v>-6</v>
      </c>
      <c r="G70" s="1">
        <f t="shared" si="56"/>
        <v>-12</v>
      </c>
      <c r="H70" s="6">
        <f t="shared" si="57"/>
        <v>-5.8041377939014378</v>
      </c>
      <c r="I70" s="6">
        <f t="shared" si="58"/>
        <v>-12.095949093370265</v>
      </c>
      <c r="J70" s="6">
        <f t="shared" si="59"/>
        <v>24.582036991194443</v>
      </c>
      <c r="K70">
        <f t="shared" ca="1" si="60"/>
        <v>0</v>
      </c>
      <c r="L70">
        <f t="shared" ca="1" si="61"/>
        <v>0</v>
      </c>
      <c r="M70" s="6">
        <f t="shared" ca="1" si="62"/>
        <v>0</v>
      </c>
      <c r="N70" s="6">
        <f t="shared" ca="1" si="63"/>
        <v>0</v>
      </c>
      <c r="O70" s="6">
        <f t="shared" ca="1" si="64"/>
        <v>0</v>
      </c>
      <c r="Q70" t="e">
        <f t="shared" si="65"/>
        <v>#N/A</v>
      </c>
      <c r="R70" t="e">
        <f t="shared" si="66"/>
        <v>#N/A</v>
      </c>
    </row>
    <row r="71" spans="1:18" ht="15.75" thickBot="1" x14ac:dyDescent="0.3">
      <c r="A71">
        <f t="shared" si="50"/>
        <v>10</v>
      </c>
      <c r="B71" s="1">
        <f t="shared" si="72"/>
        <v>0</v>
      </c>
      <c r="C71" s="1">
        <f t="shared" ca="1" si="72"/>
        <v>0</v>
      </c>
      <c r="D71" s="1">
        <f t="shared" si="72"/>
        <v>0</v>
      </c>
      <c r="E71" s="1">
        <f t="shared" ref="E71" si="75">E24</f>
        <v>0</v>
      </c>
      <c r="F71" s="1">
        <f t="shared" si="55"/>
        <v>-6</v>
      </c>
      <c r="G71" s="1">
        <f t="shared" si="56"/>
        <v>-12</v>
      </c>
      <c r="H71" s="6">
        <f t="shared" si="57"/>
        <v>-5.8041377939014378</v>
      </c>
      <c r="I71" s="6">
        <f t="shared" si="58"/>
        <v>-12.095949093370265</v>
      </c>
      <c r="J71" s="6">
        <f t="shared" si="59"/>
        <v>24.582036991194443</v>
      </c>
      <c r="K71" s="12">
        <f t="shared" ca="1" si="60"/>
        <v>0</v>
      </c>
      <c r="L71">
        <f t="shared" ca="1" si="61"/>
        <v>0</v>
      </c>
      <c r="M71" s="11">
        <f t="shared" ca="1" si="62"/>
        <v>0</v>
      </c>
      <c r="N71" s="11">
        <f t="shared" ca="1" si="63"/>
        <v>0</v>
      </c>
      <c r="O71" s="11">
        <f t="shared" ca="1" si="64"/>
        <v>0</v>
      </c>
      <c r="Q71" t="e">
        <f t="shared" si="65"/>
        <v>#N/A</v>
      </c>
      <c r="R71" t="e">
        <f t="shared" si="66"/>
        <v>#N/A</v>
      </c>
    </row>
    <row r="72" spans="1:18" ht="15.75" thickTop="1" x14ac:dyDescent="0.25">
      <c r="K72" s="13">
        <f ca="1">MIN(K62:K71)</f>
        <v>-3.3558742523307504E-2</v>
      </c>
      <c r="M72" s="9">
        <f ca="1">SUM(M62:M71)</f>
        <v>-284.40000000000003</v>
      </c>
      <c r="N72" s="9">
        <f t="shared" ref="N72:O72" ca="1" si="76">SUM(N62:N71)</f>
        <v>2559.2617898683734</v>
      </c>
      <c r="O72" s="9">
        <f t="shared" ca="1" si="76"/>
        <v>41.608303495009608</v>
      </c>
    </row>
    <row r="75" spans="1:18" x14ac:dyDescent="0.25">
      <c r="A75" s="8" t="s">
        <v>64</v>
      </c>
      <c r="B75" s="9">
        <f ca="1">N57+M72</f>
        <v>-7.9580786405131221E-13</v>
      </c>
      <c r="C75" t="s">
        <v>69</v>
      </c>
    </row>
    <row r="76" spans="1:18" x14ac:dyDescent="0.25">
      <c r="A76" s="8" t="s">
        <v>67</v>
      </c>
      <c r="B76" s="9">
        <f ca="1">O57+N72</f>
        <v>5830.6049256263705</v>
      </c>
      <c r="C76" t="s">
        <v>70</v>
      </c>
    </row>
    <row r="77" spans="1:18" x14ac:dyDescent="0.25">
      <c r="A77" s="8" t="s">
        <v>68</v>
      </c>
      <c r="B77" s="9">
        <f ca="1">P57+O72</f>
        <v>94.793576909444113</v>
      </c>
      <c r="C77" t="s">
        <v>70</v>
      </c>
    </row>
    <row r="79" spans="1:18" x14ac:dyDescent="0.25">
      <c r="A79" s="8" t="s">
        <v>65</v>
      </c>
      <c r="B79">
        <f ca="1">((B76*COS(-1*B27))+(B77*SIN(-1*B27)))</f>
        <v>5831.3754484651199</v>
      </c>
      <c r="C79" t="s">
        <v>70</v>
      </c>
    </row>
    <row r="80" spans="1:18" x14ac:dyDescent="0.25">
      <c r="A80" s="8" t="s">
        <v>66</v>
      </c>
      <c r="B80">
        <f ca="1">(-1*(B76)*SIN(-1*B27))+((B77)*COS(-1*B27))</f>
        <v>1.6914043499127729E-9</v>
      </c>
      <c r="C80" t="s">
        <v>70</v>
      </c>
    </row>
    <row r="82" spans="1:2" x14ac:dyDescent="0.25">
      <c r="B82">
        <f>ATAN2(1,0)</f>
        <v>0</v>
      </c>
    </row>
    <row r="83" spans="1:2" x14ac:dyDescent="0.25">
      <c r="A83" t="s">
        <v>75</v>
      </c>
      <c r="B83">
        <f ca="1">ATAN2(B79,B80)</f>
        <v>2.9005238384332953E-13</v>
      </c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vister_na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isection_method_for_na">
                <anchor moveWithCells="1" sizeWithCells="1">
                  <from>
                    <xdr:col>19</xdr:col>
                    <xdr:colOff>19050</xdr:colOff>
                    <xdr:row>6</xdr:row>
                    <xdr:rowOff>142875</xdr:rowOff>
                  </from>
                  <to>
                    <xdr:col>21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2020-11-08T15:35:53Z</dcterms:modified>
</cp:coreProperties>
</file>