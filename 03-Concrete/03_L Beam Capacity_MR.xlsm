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1C41923C-969D-4590-B795-7C74C5EC0667}" xr6:coauthVersionLast="45" xr6:coauthVersionMax="45" xr10:uidLastSave="{00000000-0000-0000-0000-000000000000}"/>
  <bookViews>
    <workbookView xWindow="-120" yWindow="-120" windowWidth="27930" windowHeight="18240" xr2:uid="{2AFCDE7C-57C4-4CF6-8D68-85BA7869C158}"/>
  </bookViews>
  <sheets>
    <sheet name="L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32" i="1" l="1"/>
  <c r="AN32" i="1"/>
  <c r="AO32" i="1"/>
  <c r="AM33" i="1"/>
  <c r="AN33" i="1"/>
  <c r="AO33" i="1"/>
  <c r="AM34" i="1"/>
  <c r="AN34" i="1"/>
  <c r="AO34" i="1"/>
  <c r="AM35" i="1"/>
  <c r="AN35" i="1"/>
  <c r="AO35" i="1"/>
  <c r="AM36" i="1"/>
  <c r="AN36" i="1"/>
  <c r="AO36" i="1"/>
  <c r="AM37" i="1"/>
  <c r="AN37" i="1"/>
  <c r="AO37" i="1"/>
  <c r="AM38" i="1"/>
  <c r="AN38" i="1"/>
  <c r="AO38" i="1"/>
  <c r="AM39" i="1"/>
  <c r="AN39" i="1"/>
  <c r="AO39" i="1"/>
  <c r="AM40" i="1"/>
  <c r="AN40" i="1"/>
  <c r="AO40" i="1"/>
  <c r="AM41" i="1"/>
  <c r="AN41" i="1"/>
  <c r="AO41" i="1"/>
  <c r="AM42" i="1"/>
  <c r="AN42" i="1"/>
  <c r="AO42" i="1"/>
  <c r="AM43" i="1"/>
  <c r="AN43" i="1"/>
  <c r="AO43" i="1"/>
  <c r="AM44" i="1"/>
  <c r="AN44" i="1"/>
  <c r="AO44" i="1"/>
  <c r="AM45" i="1"/>
  <c r="AN45" i="1"/>
  <c r="AO45" i="1"/>
  <c r="AM46" i="1"/>
  <c r="AN46" i="1"/>
  <c r="AO46" i="1"/>
  <c r="AM47" i="1"/>
  <c r="AN47" i="1"/>
  <c r="AO47" i="1"/>
  <c r="AM48" i="1"/>
  <c r="AN48" i="1"/>
  <c r="AO48" i="1"/>
  <c r="AM49" i="1"/>
  <c r="AN49" i="1"/>
  <c r="AO49" i="1"/>
  <c r="AM50" i="1"/>
  <c r="AN50" i="1"/>
  <c r="AO50" i="1"/>
  <c r="AM51" i="1"/>
  <c r="AN51" i="1"/>
  <c r="AO51" i="1"/>
  <c r="AM52" i="1"/>
  <c r="AN52" i="1"/>
  <c r="AO52" i="1"/>
  <c r="AM53" i="1"/>
  <c r="AN53" i="1"/>
  <c r="AO53" i="1"/>
  <c r="AM54" i="1"/>
  <c r="AN54" i="1"/>
  <c r="AO54" i="1"/>
  <c r="AM55" i="1"/>
  <c r="AN55" i="1"/>
  <c r="AO55" i="1"/>
  <c r="AM56" i="1"/>
  <c r="AN56" i="1"/>
  <c r="AO56" i="1"/>
  <c r="AM57" i="1"/>
  <c r="AN57" i="1"/>
  <c r="AO57" i="1"/>
  <c r="AM58" i="1"/>
  <c r="AN58" i="1"/>
  <c r="AO58" i="1"/>
  <c r="AM59" i="1"/>
  <c r="AN59" i="1"/>
  <c r="AO59" i="1"/>
  <c r="AM60" i="1"/>
  <c r="AN60" i="1"/>
  <c r="AO60" i="1"/>
  <c r="AM61" i="1"/>
  <c r="AN61" i="1"/>
  <c r="AO61" i="1"/>
  <c r="AM62" i="1"/>
  <c r="AN62" i="1"/>
  <c r="AO62" i="1"/>
  <c r="AM63" i="1"/>
  <c r="AN63" i="1"/>
  <c r="AO63" i="1"/>
  <c r="AM64" i="1"/>
  <c r="AN64" i="1"/>
  <c r="AO64" i="1"/>
  <c r="AM65" i="1"/>
  <c r="AN65" i="1"/>
  <c r="AO65" i="1"/>
  <c r="AM66" i="1"/>
  <c r="AN66" i="1"/>
  <c r="AO66" i="1"/>
  <c r="AM67" i="1"/>
  <c r="AN67" i="1"/>
  <c r="AO67" i="1"/>
  <c r="AM68" i="1"/>
  <c r="AN68" i="1"/>
  <c r="AO68" i="1"/>
  <c r="AM69" i="1"/>
  <c r="AN69" i="1"/>
  <c r="AO69" i="1"/>
  <c r="AM70" i="1"/>
  <c r="AN70" i="1"/>
  <c r="AO70" i="1"/>
  <c r="AM71" i="1"/>
  <c r="AN71" i="1"/>
  <c r="AO71" i="1"/>
  <c r="AM72" i="1"/>
  <c r="AN72" i="1"/>
  <c r="AO72" i="1"/>
  <c r="AM73" i="1"/>
  <c r="AN73" i="1"/>
  <c r="AO73" i="1"/>
  <c r="AM74" i="1"/>
  <c r="AN74" i="1"/>
  <c r="AO74" i="1"/>
  <c r="AM75" i="1"/>
  <c r="AN75" i="1"/>
  <c r="AO75" i="1"/>
  <c r="AM76" i="1"/>
  <c r="AN76" i="1"/>
  <c r="AO76" i="1"/>
  <c r="AM77" i="1"/>
  <c r="AN77" i="1"/>
  <c r="AO77" i="1"/>
  <c r="AM78" i="1"/>
  <c r="AN78" i="1"/>
  <c r="AO78" i="1"/>
  <c r="AM79" i="1"/>
  <c r="AN79" i="1"/>
  <c r="AO79" i="1"/>
  <c r="AM80" i="1"/>
  <c r="AN80" i="1"/>
  <c r="AO80" i="1"/>
  <c r="AM81" i="1"/>
  <c r="AN81" i="1"/>
  <c r="AO81" i="1"/>
  <c r="AD48" i="1"/>
  <c r="AM5" i="1"/>
  <c r="AN5" i="1"/>
  <c r="AO5" i="1"/>
  <c r="AM6" i="1"/>
  <c r="AN6" i="1"/>
  <c r="AO6" i="1"/>
  <c r="AM7" i="1"/>
  <c r="AN7" i="1"/>
  <c r="AO7" i="1"/>
  <c r="AM8" i="1"/>
  <c r="AN8" i="1"/>
  <c r="AO8" i="1"/>
  <c r="AM9" i="1"/>
  <c r="AN9" i="1"/>
  <c r="AO9" i="1"/>
  <c r="AM10" i="1"/>
  <c r="AN10" i="1"/>
  <c r="AO10" i="1"/>
  <c r="AM11" i="1"/>
  <c r="AN11" i="1"/>
  <c r="AO11" i="1"/>
  <c r="AM12" i="1"/>
  <c r="AN12" i="1"/>
  <c r="AO12" i="1"/>
  <c r="AM13" i="1"/>
  <c r="AN13" i="1"/>
  <c r="AO13" i="1"/>
  <c r="AM14" i="1"/>
  <c r="AN14" i="1"/>
  <c r="AO14" i="1"/>
  <c r="AM15" i="1"/>
  <c r="AN15" i="1"/>
  <c r="AO15" i="1"/>
  <c r="AM16" i="1"/>
  <c r="AN16" i="1"/>
  <c r="AO16" i="1"/>
  <c r="AM17" i="1"/>
  <c r="AN17" i="1"/>
  <c r="AO17" i="1"/>
  <c r="AM18" i="1"/>
  <c r="AN18" i="1"/>
  <c r="AO18" i="1"/>
  <c r="AM19" i="1"/>
  <c r="AN19" i="1"/>
  <c r="AO19" i="1"/>
  <c r="AM20" i="1"/>
  <c r="AN20" i="1"/>
  <c r="AO20" i="1"/>
  <c r="AM21" i="1"/>
  <c r="AN21" i="1"/>
  <c r="AO21" i="1"/>
  <c r="AM22" i="1"/>
  <c r="AN22" i="1"/>
  <c r="AO22" i="1"/>
  <c r="AM23" i="1"/>
  <c r="AN23" i="1"/>
  <c r="AO23" i="1"/>
  <c r="AM24" i="1"/>
  <c r="AN24" i="1"/>
  <c r="AO24" i="1"/>
  <c r="AM25" i="1"/>
  <c r="AN25" i="1"/>
  <c r="AO25" i="1"/>
  <c r="AM26" i="1"/>
  <c r="AN26" i="1"/>
  <c r="AO26" i="1"/>
  <c r="AM27" i="1"/>
  <c r="AN27" i="1"/>
  <c r="AO27" i="1"/>
  <c r="AM28" i="1"/>
  <c r="AN28" i="1"/>
  <c r="AO28" i="1"/>
  <c r="AM29" i="1"/>
  <c r="AN29" i="1"/>
  <c r="AO29" i="1"/>
  <c r="AM30" i="1"/>
  <c r="AN30" i="1"/>
  <c r="AO30" i="1"/>
  <c r="AM31" i="1"/>
  <c r="AN31" i="1"/>
  <c r="AO31" i="1"/>
  <c r="AO2" i="1"/>
  <c r="AO3" i="1"/>
  <c r="AO4" i="1"/>
  <c r="AO1" i="1"/>
  <c r="AN2" i="1"/>
  <c r="AN3" i="1"/>
  <c r="AN4" i="1"/>
  <c r="AN1" i="1"/>
  <c r="AM2" i="1"/>
  <c r="AM3" i="1"/>
  <c r="AM4" i="1"/>
  <c r="AM1" i="1"/>
  <c r="C16" i="1"/>
  <c r="C17" i="1"/>
  <c r="C18" i="1"/>
  <c r="C19" i="1"/>
  <c r="C20" i="1"/>
  <c r="C21" i="1"/>
  <c r="C22" i="1"/>
  <c r="C23" i="1"/>
  <c r="C24" i="1"/>
  <c r="D15" i="1"/>
  <c r="G9" i="1"/>
  <c r="G4" i="1"/>
  <c r="B78" i="1" l="1"/>
  <c r="E57" i="1" l="1"/>
  <c r="E58" i="1"/>
  <c r="E59" i="1"/>
  <c r="E60" i="1"/>
  <c r="E61" i="1"/>
  <c r="E62" i="1"/>
  <c r="E63" i="1"/>
  <c r="E64" i="1"/>
  <c r="E65" i="1"/>
  <c r="E66" i="1"/>
  <c r="E67" i="1"/>
  <c r="B57" i="1"/>
  <c r="C57" i="1"/>
  <c r="D57" i="1"/>
  <c r="B58" i="1"/>
  <c r="D58" i="1"/>
  <c r="B59" i="1"/>
  <c r="D59" i="1"/>
  <c r="B60" i="1"/>
  <c r="D60" i="1"/>
  <c r="B61" i="1"/>
  <c r="D61" i="1"/>
  <c r="B62" i="1"/>
  <c r="B63" i="1"/>
  <c r="D63" i="1"/>
  <c r="B64" i="1"/>
  <c r="Q64" i="1" s="1"/>
  <c r="D64" i="1"/>
  <c r="B65" i="1"/>
  <c r="Q65" i="1" s="1"/>
  <c r="D65" i="1"/>
  <c r="B66" i="1"/>
  <c r="R66" i="1" s="1"/>
  <c r="D66" i="1"/>
  <c r="B67" i="1"/>
  <c r="Q67" i="1" s="1"/>
  <c r="D67" i="1"/>
  <c r="A64" i="1"/>
  <c r="A65" i="1"/>
  <c r="A66" i="1"/>
  <c r="A67" i="1"/>
  <c r="A58" i="1"/>
  <c r="A59" i="1"/>
  <c r="A60" i="1"/>
  <c r="A61" i="1"/>
  <c r="A62" i="1"/>
  <c r="A63" i="1"/>
  <c r="A57" i="1"/>
  <c r="B31" i="1"/>
  <c r="R67" i="1" l="1"/>
  <c r="Q66" i="1"/>
  <c r="R65" i="1"/>
  <c r="R64" i="1"/>
  <c r="T16" i="1"/>
  <c r="U16" i="1"/>
  <c r="T17" i="1"/>
  <c r="U17" i="1"/>
  <c r="T18" i="1"/>
  <c r="U18" i="1"/>
  <c r="T19" i="1"/>
  <c r="U19" i="1"/>
  <c r="T20" i="1"/>
  <c r="U20" i="1"/>
  <c r="T21" i="1"/>
  <c r="U21" i="1"/>
  <c r="T22" i="1"/>
  <c r="U22" i="1"/>
  <c r="T23" i="1"/>
  <c r="U23" i="1"/>
  <c r="T24" i="1"/>
  <c r="U24" i="1"/>
  <c r="U15" i="1"/>
  <c r="T15" i="1"/>
  <c r="I3" i="1"/>
  <c r="B38" i="1" s="1"/>
  <c r="I2" i="1"/>
  <c r="A37" i="1" s="1"/>
  <c r="B29" i="1"/>
  <c r="D62" i="1"/>
  <c r="C59" i="1"/>
  <c r="C60" i="1"/>
  <c r="C61" i="1"/>
  <c r="C62" i="1"/>
  <c r="C63" i="1"/>
  <c r="C64" i="1"/>
  <c r="K64" i="1" s="1"/>
  <c r="C65" i="1"/>
  <c r="K65" i="1" s="1"/>
  <c r="C66" i="1"/>
  <c r="K66" i="1" s="1"/>
  <c r="C67" i="1"/>
  <c r="K67" i="1" s="1"/>
  <c r="F7" i="1"/>
  <c r="F8" i="1" s="1"/>
  <c r="B42" i="1" s="1"/>
  <c r="E6" i="1"/>
  <c r="F5" i="1"/>
  <c r="E4" i="1"/>
  <c r="E5" i="1" s="1"/>
  <c r="A39" i="1" s="1"/>
  <c r="B4" i="1"/>
  <c r="B3" i="1"/>
  <c r="F6" i="1" l="1"/>
  <c r="G5" i="1"/>
  <c r="B41" i="1"/>
  <c r="B39" i="1"/>
  <c r="C39" i="1" s="1"/>
  <c r="D48" i="1" s="1"/>
  <c r="B49" i="1" s="1"/>
  <c r="G67" i="1"/>
  <c r="B43" i="1"/>
  <c r="G58" i="1"/>
  <c r="G59" i="1"/>
  <c r="G65" i="1"/>
  <c r="G60" i="1"/>
  <c r="G63" i="1"/>
  <c r="G64" i="1"/>
  <c r="G66" i="1"/>
  <c r="G62" i="1"/>
  <c r="G61" i="1"/>
  <c r="B37" i="1"/>
  <c r="C37" i="1" s="1"/>
  <c r="B47" i="1" s="1"/>
  <c r="D37" i="1"/>
  <c r="C47" i="1" s="1"/>
  <c r="F59" i="1"/>
  <c r="F63" i="1"/>
  <c r="F64" i="1"/>
  <c r="A42" i="1"/>
  <c r="F65" i="1"/>
  <c r="F66" i="1"/>
  <c r="F67" i="1"/>
  <c r="F58" i="1"/>
  <c r="A43" i="1"/>
  <c r="F61" i="1"/>
  <c r="F60" i="1"/>
  <c r="A38" i="1"/>
  <c r="C38" i="1" s="1"/>
  <c r="D47" i="1" s="1"/>
  <c r="B48" i="1" s="1"/>
  <c r="F62" i="1"/>
  <c r="I62" i="1" s="1"/>
  <c r="R62" i="1" s="1"/>
  <c r="E7" i="1"/>
  <c r="A40" i="1"/>
  <c r="A41" i="1" l="1"/>
  <c r="C41" i="1" s="1"/>
  <c r="D50" i="1" s="1"/>
  <c r="B51" i="1" s="1"/>
  <c r="G8" i="1"/>
  <c r="D39" i="1"/>
  <c r="E48" i="1" s="1"/>
  <c r="C49" i="1" s="1"/>
  <c r="B40" i="1"/>
  <c r="C40" i="1" s="1"/>
  <c r="D49" i="1" s="1"/>
  <c r="B50" i="1" s="1"/>
  <c r="G7" i="1"/>
  <c r="G6" i="1"/>
  <c r="X4" i="1"/>
  <c r="Y4" i="1" s="1"/>
  <c r="D41" i="1"/>
  <c r="E50" i="1" s="1"/>
  <c r="C51" i="1" s="1"/>
  <c r="D42" i="1"/>
  <c r="E51" i="1" s="1"/>
  <c r="C52" i="1" s="1"/>
  <c r="C42" i="1"/>
  <c r="D51" i="1" s="1"/>
  <c r="B52" i="1" s="1"/>
  <c r="I60" i="1"/>
  <c r="R60" i="1" s="1"/>
  <c r="H60" i="1"/>
  <c r="Q60" i="1" s="1"/>
  <c r="H64" i="1"/>
  <c r="I64" i="1"/>
  <c r="H63" i="1"/>
  <c r="Q63" i="1" s="1"/>
  <c r="I63" i="1"/>
  <c r="R63" i="1" s="1"/>
  <c r="H62" i="1"/>
  <c r="Q62" i="1" s="1"/>
  <c r="D43" i="1"/>
  <c r="E52" i="1" s="1"/>
  <c r="C43" i="1"/>
  <c r="D52" i="1" s="1"/>
  <c r="H59" i="1"/>
  <c r="Q59" i="1" s="1"/>
  <c r="I59" i="1"/>
  <c r="R59" i="1" s="1"/>
  <c r="I66" i="1"/>
  <c r="H66" i="1"/>
  <c r="H65" i="1"/>
  <c r="I65" i="1"/>
  <c r="H61" i="1"/>
  <c r="Q61" i="1" s="1"/>
  <c r="I61" i="1"/>
  <c r="R61" i="1" s="1"/>
  <c r="D38" i="1"/>
  <c r="E47" i="1" s="1"/>
  <c r="C48" i="1" s="1"/>
  <c r="I58" i="1"/>
  <c r="R58" i="1" s="1"/>
  <c r="H58" i="1"/>
  <c r="Q58" i="1" s="1"/>
  <c r="H67" i="1"/>
  <c r="I67" i="1"/>
  <c r="G10" i="1" l="1"/>
  <c r="D40" i="1"/>
  <c r="E49" i="1" s="1"/>
  <c r="C50" i="1" s="1"/>
  <c r="F50" i="1" s="1"/>
  <c r="G50" i="1" s="1"/>
  <c r="J39" i="1"/>
  <c r="N39" i="1" s="1"/>
  <c r="N42" i="1" s="1"/>
  <c r="J38" i="1"/>
  <c r="N38" i="1" s="1"/>
  <c r="N41" i="1" s="1"/>
  <c r="X5" i="1"/>
  <c r="Y5" i="1" s="1"/>
  <c r="F47" i="1"/>
  <c r="G47" i="1" s="1"/>
  <c r="F52" i="1"/>
  <c r="G52" i="1" s="1"/>
  <c r="F48" i="1"/>
  <c r="G48" i="1" s="1"/>
  <c r="F51" i="1"/>
  <c r="G51" i="1" s="1"/>
  <c r="I26" i="1" l="1"/>
  <c r="C15" i="1" s="1"/>
  <c r="C58" i="1" s="1"/>
  <c r="G38" i="1"/>
  <c r="J60" i="1" s="1"/>
  <c r="K60" i="1" s="1"/>
  <c r="L60" i="1" s="1"/>
  <c r="M60" i="1" s="1"/>
  <c r="O60" i="1" s="1"/>
  <c r="G37" i="1"/>
  <c r="F49" i="1"/>
  <c r="G49" i="1" s="1"/>
  <c r="J42" i="1"/>
  <c r="J41" i="1"/>
  <c r="J67" i="1" l="1"/>
  <c r="L67" i="1" s="1"/>
  <c r="M67" i="1" s="1"/>
  <c r="N67" i="1" s="1"/>
  <c r="J61" i="1"/>
  <c r="K61" i="1" s="1"/>
  <c r="L61" i="1" s="1"/>
  <c r="M61" i="1" s="1"/>
  <c r="O61" i="1" s="1"/>
  <c r="N60" i="1"/>
  <c r="G41" i="1"/>
  <c r="I52" i="1" s="1"/>
  <c r="J65" i="1"/>
  <c r="L65" i="1" s="1"/>
  <c r="M65" i="1" s="1"/>
  <c r="N65" i="1" s="1"/>
  <c r="J59" i="1"/>
  <c r="K59" i="1" s="1"/>
  <c r="L59" i="1" s="1"/>
  <c r="M59" i="1" s="1"/>
  <c r="O59" i="1" s="1"/>
  <c r="J63" i="1"/>
  <c r="J58" i="1"/>
  <c r="K58" i="1" s="1"/>
  <c r="L58" i="1" s="1"/>
  <c r="M58" i="1" s="1"/>
  <c r="N58" i="1" s="1"/>
  <c r="G40" i="1"/>
  <c r="K38" i="1" s="1"/>
  <c r="K39" i="1" s="1"/>
  <c r="K42" i="1" s="1"/>
  <c r="K34" i="1" s="1"/>
  <c r="J64" i="1"/>
  <c r="L64" i="1" s="1"/>
  <c r="M64" i="1" s="1"/>
  <c r="O64" i="1" s="1"/>
  <c r="J62" i="1"/>
  <c r="K62" i="1" s="1"/>
  <c r="L62" i="1" s="1"/>
  <c r="M62" i="1" s="1"/>
  <c r="N62" i="1" s="1"/>
  <c r="J66" i="1"/>
  <c r="L66" i="1" s="1"/>
  <c r="M66" i="1" s="1"/>
  <c r="O66" i="1" s="1"/>
  <c r="K63" i="1"/>
  <c r="H49" i="1" l="1"/>
  <c r="J49" i="1"/>
  <c r="I51" i="1"/>
  <c r="L63" i="1"/>
  <c r="M63" i="1" s="1"/>
  <c r="N63" i="1" s="1"/>
  <c r="K52" i="1"/>
  <c r="O39" i="1"/>
  <c r="O42" i="1" s="1"/>
  <c r="O34" i="1" s="1"/>
  <c r="H52" i="1"/>
  <c r="K49" i="1"/>
  <c r="H48" i="1"/>
  <c r="J47" i="1"/>
  <c r="H47" i="1"/>
  <c r="J51" i="1"/>
  <c r="I48" i="1"/>
  <c r="J50" i="1"/>
  <c r="K51" i="1"/>
  <c r="J48" i="1"/>
  <c r="H50" i="1"/>
  <c r="I47" i="1"/>
  <c r="K47" i="1"/>
  <c r="K50" i="1"/>
  <c r="K41" i="1"/>
  <c r="J34" i="1"/>
  <c r="O67" i="1"/>
  <c r="J52" i="1"/>
  <c r="H51" i="1"/>
  <c r="I50" i="1"/>
  <c r="I49" i="1"/>
  <c r="K48" i="1"/>
  <c r="O38" i="1"/>
  <c r="O41" i="1" s="1"/>
  <c r="O33" i="1" s="1"/>
  <c r="G36" i="1"/>
  <c r="N61" i="1"/>
  <c r="O62" i="1"/>
  <c r="N64" i="1"/>
  <c r="O65" i="1"/>
  <c r="N59" i="1"/>
  <c r="N66" i="1"/>
  <c r="O58" i="1"/>
  <c r="K68" i="1"/>
  <c r="U3" i="1" s="1"/>
  <c r="K33" i="1" l="1"/>
  <c r="J33" i="1"/>
  <c r="N34" i="1"/>
  <c r="L49" i="1"/>
  <c r="M68" i="1"/>
  <c r="O63" i="1"/>
  <c r="O68" i="1" s="1"/>
  <c r="V52" i="1"/>
  <c r="L51" i="1"/>
  <c r="M47" i="1"/>
  <c r="T48" i="1"/>
  <c r="S47" i="1"/>
  <c r="L47" i="1"/>
  <c r="T47" i="1"/>
  <c r="V47" i="1"/>
  <c r="W47" i="1"/>
  <c r="T52" i="1"/>
  <c r="M52" i="1"/>
  <c r="M50" i="1"/>
  <c r="V51" i="1"/>
  <c r="L52" i="1"/>
  <c r="S52" i="1"/>
  <c r="W49" i="1"/>
  <c r="W52" i="1"/>
  <c r="W51" i="1"/>
  <c r="M49" i="1"/>
  <c r="M51" i="1"/>
  <c r="S51" i="1"/>
  <c r="T51" i="1"/>
  <c r="W48" i="1"/>
  <c r="V48" i="1"/>
  <c r="T49" i="1"/>
  <c r="L48" i="1"/>
  <c r="S48" i="1"/>
  <c r="M48" i="1"/>
  <c r="S49" i="1"/>
  <c r="V49" i="1"/>
  <c r="T50" i="1"/>
  <c r="L50" i="1"/>
  <c r="S50" i="1"/>
  <c r="W50" i="1"/>
  <c r="V50" i="1"/>
  <c r="N33" i="1"/>
  <c r="N68" i="1"/>
  <c r="P51" i="1" l="1"/>
  <c r="N49" i="1"/>
  <c r="O47" i="1"/>
  <c r="N47" i="1"/>
  <c r="P47" i="1"/>
  <c r="P52" i="1"/>
  <c r="O49" i="1"/>
  <c r="P49" i="1"/>
  <c r="N52" i="1"/>
  <c r="N50" i="1"/>
  <c r="O52" i="1"/>
  <c r="N51" i="1"/>
  <c r="O51" i="1"/>
  <c r="P50" i="1"/>
  <c r="O48" i="1"/>
  <c r="N48" i="1"/>
  <c r="P48" i="1"/>
  <c r="O50" i="1"/>
  <c r="N53" i="1" l="1"/>
  <c r="B71" i="1" s="1"/>
  <c r="U4" i="1" s="1"/>
  <c r="P53" i="1"/>
  <c r="B73" i="1" s="1"/>
  <c r="O53" i="1"/>
  <c r="B72" i="1" s="1"/>
  <c r="B75" i="1" l="1"/>
  <c r="U5" i="1" s="1"/>
  <c r="B76" i="1"/>
  <c r="U6" i="1" s="1"/>
  <c r="B79" i="1" l="1"/>
</calcChain>
</file>

<file path=xl/sharedStrings.xml><?xml version="1.0" encoding="utf-8"?>
<sst xmlns="http://schemas.openxmlformats.org/spreadsheetml/2006/main" count="112" uniqueCount="85">
  <si>
    <t>f'c</t>
  </si>
  <si>
    <t>ksi</t>
  </si>
  <si>
    <t>Ec</t>
  </si>
  <si>
    <t>Beta1</t>
  </si>
  <si>
    <t>in</t>
  </si>
  <si>
    <t>B,web</t>
  </si>
  <si>
    <t>B,Flange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</si>
  <si>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</si>
  <si>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</si>
  <si>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</si>
  <si>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</si>
  <si>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</si>
  <si>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</si>
  <si>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</si>
  <si>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</si>
  <si>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</si>
  <si>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</si>
  <si>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</si>
  <si>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</si>
  <si>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</si>
  <si>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</si>
  <si>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</si>
  <si>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</si>
  <si>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</si>
  <si>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</si>
  <si>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</si>
  <si>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</si>
  <si>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</si>
  <si>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</si>
  <si>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</si>
  <si>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</si>
  <si>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</si>
  <si>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</si>
  <si>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</si>
  <si>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</si>
  <si>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</si>
  <si>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</si>
  <si>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</si>
  <si>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</si>
  <si>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</si>
  <si>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</si>
  <si>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</si>
  <si>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</si>
  <si>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</si>
  <si>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</si>
  <si>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</si>
  <si>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</si>
  <si>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</si>
  <si>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</si>
  <si>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</si>
  <si>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e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</si>
  <si>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</si>
  <si>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</si>
  <si>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</si>
  <si>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</si>
  <si>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</si>
  <si>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</si>
  <si>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</si>
  <si>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</si>
  <si>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</si>
  <si>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</si>
  <si>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</si>
  <si>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</si>
  <si>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</si>
  <si>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</si>
  <si>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</si>
  <si>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</si>
  <si>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</si>
  <si>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</si>
  <si>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</si>
  <si>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</si>
  <si>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</si>
  <si>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</si>
  <si>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</si>
  <si>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</si>
  <si>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</si>
  <si>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</si>
  <si>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</si>
  <si>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</si>
  <si>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</si>
  <si>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</si>
  <si>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</si>
  <si>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p</t>
  </si>
  <si>
    <t>P</t>
  </si>
  <si>
    <t>web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</si>
</sst>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10" fontId="0" fillId="2" borderId="0" xfId="1" applyNumberFormat="1" applyFont="1" applyFill="1"/>
    <xf numFmtId="0" fontId="0" fillId="3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L_Section_Capacity!$E$3:$E$9</c:f>
              <c:numCache>
                <c:formatCode>0.00</c:formatCode>
                <c:ptCount val="7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48</c:v>
                </c:pt>
                <c:pt idx="4">
                  <c:v>48</c:v>
                </c:pt>
                <c:pt idx="5" formatCode="General">
                  <c:v>0</c:v>
                </c:pt>
                <c:pt idx="6" formatCode="General">
                  <c:v>0</c:v>
                </c:pt>
              </c:numCache>
            </c:numRef>
          </c:xVal>
          <c:yVal>
            <c:numRef>
              <c:f>L_Section_Capacity!$F$3:$F$9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L_Section_Capacity!$T$15:$T$24</c:f>
              <c:numCache>
                <c:formatCode>General</c:formatCode>
                <c:ptCount val="10"/>
                <c:pt idx="0">
                  <c:v>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L_Section_Capacity!$U$15:$U$24</c:f>
              <c:numCache>
                <c:formatCode>General</c:formatCode>
                <c:ptCount val="10"/>
                <c:pt idx="0">
                  <c:v>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L_Section_Capacity!$X$4:$X$5</c:f>
              <c:numCache>
                <c:formatCode>General</c:formatCode>
                <c:ptCount val="2"/>
                <c:pt idx="0">
                  <c:v>58</c:v>
                </c:pt>
                <c:pt idx="1">
                  <c:v>58</c:v>
                </c:pt>
              </c:numCache>
            </c:numRef>
          </c:xVal>
          <c:yVal>
            <c:numRef>
              <c:f>L_Section_Capacity!$Y$4:$Y$5</c:f>
              <c:numCache>
                <c:formatCode>General</c:formatCode>
                <c:ptCount val="2"/>
                <c:pt idx="0">
                  <c:v>58</c:v>
                </c:pt>
                <c:pt idx="1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-12.591676828501495</c:v>
                </c:pt>
                <c:pt idx="1">
                  <c:v>34.386720736755564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7.9129807101090108</c:v>
                </c:pt>
                <c:pt idx="1">
                  <c:v>37.389622319676477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-13.862849242294374</c:v>
                </c:pt>
                <c:pt idx="1">
                  <c:v>33.115548322962681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9.9389117445917936</c:v>
                </c:pt>
                <c:pt idx="1">
                  <c:v>39.415553354159265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L_Section_Capacity!$C$37:$C$43</c:f>
              <c:numCache>
                <c:formatCode>0.000</c:formatCode>
                <c:ptCount val="7"/>
                <c:pt idx="0">
                  <c:v>-11.460276219815519</c:v>
                </c:pt>
                <c:pt idx="1">
                  <c:v>-1.2955094857172043</c:v>
                </c:pt>
                <c:pt idx="2">
                  <c:v>7.2083476513046119</c:v>
                </c:pt>
                <c:pt idx="3">
                  <c:v>37.702647853599558</c:v>
                </c:pt>
                <c:pt idx="4">
                  <c:v>41.954576422110463</c:v>
                </c:pt>
                <c:pt idx="5">
                  <c:v>1.2955094857172043</c:v>
                </c:pt>
                <c:pt idx="6">
                  <c:v>-11.460276219815519</c:v>
                </c:pt>
              </c:numCache>
            </c:numRef>
          </c:xVal>
          <c:yVal>
            <c:numRef>
              <c:f>L_Section_Capacity!$D$37:$D$43</c:f>
              <c:numCache>
                <c:formatCode>0.000</c:formatCode>
                <c:ptCount val="7"/>
                <c:pt idx="0">
                  <c:v>-6.9758203077151339</c:v>
                </c:pt>
                <c:pt idx="1">
                  <c:v>-13.353713160481496</c:v>
                </c:pt>
                <c:pt idx="2">
                  <c:v>0.19930915164959107</c:v>
                </c:pt>
                <c:pt idx="3">
                  <c:v>-18.934369406649495</c:v>
                </c:pt>
                <c:pt idx="4">
                  <c:v>-12.157858250583953</c:v>
                </c:pt>
                <c:pt idx="5">
                  <c:v>13.353713160481496</c:v>
                </c:pt>
                <c:pt idx="6">
                  <c:v>-6.9758203077151339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L_Section_Capacity!$Q$58:$Q$67</c:f>
              <c:numCache>
                <c:formatCode>General</c:formatCode>
                <c:ptCount val="10"/>
                <c:pt idx="0">
                  <c:v>-5.3149107106386353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L_Section_Capacity!$R$58:$R$67</c:f>
              <c:numCache>
                <c:formatCode>General</c:formatCode>
                <c:ptCount val="10"/>
                <c:pt idx="0">
                  <c:v>-8.4706389450819302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-12.460276219815519</c:v>
                </c:pt>
                <c:pt idx="1">
                  <c:v>43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1.3951640615434382</c:v>
                </c:pt>
                <c:pt idx="1">
                  <c:v>1.3951640615434382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-12.460276219815519</c:v>
                </c:pt>
                <c:pt idx="1">
                  <c:v>43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3.7868738813310507</c:v>
                </c:pt>
                <c:pt idx="1">
                  <c:v>3.7868738813310507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L_Section_Capacity!$S$47:$S$52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16.542659586866108</c:v>
                </c:pt>
                <c:pt idx="5">
                  <c:v>1.2955094857172043</c:v>
                </c:pt>
              </c:numCache>
            </c:numRef>
          </c:xVal>
          <c:yVal>
            <c:numRef>
              <c:f>L_Section_Capacity!$T$47:$T$52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3.7868738813310507</c:v>
                </c:pt>
                <c:pt idx="5">
                  <c:v>13.353713160481496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L_Section_Capacity!$V$47:$V$52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1.2955094857172043</c:v>
                </c:pt>
                <c:pt idx="5">
                  <c:v>-4.7072131992388</c:v>
                </c:pt>
              </c:numCache>
            </c:numRef>
          </c:xVal>
          <c:yVal>
            <c:numRef>
              <c:f>L_Section_Capacity!$W$47:$W$52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13.353713160481496</c:v>
                </c:pt>
                <c:pt idx="5">
                  <c:v>3.7868738813310507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L_Section_Capacity!$AM$1:$AM$81</c:f>
              <c:numCache>
                <c:formatCode>General</c:formatCode>
                <c:ptCount val="81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0.35000000000000003</c:v>
                </c:pt>
                <c:pt idx="7">
                  <c:v>0.4</c:v>
                </c:pt>
                <c:pt idx="8">
                  <c:v>0.45000000000000007</c:v>
                </c:pt>
                <c:pt idx="9">
                  <c:v>0.50000000000000011</c:v>
                </c:pt>
                <c:pt idx="10">
                  <c:v>0.55000000000000016</c:v>
                </c:pt>
                <c:pt idx="11">
                  <c:v>0.6000000000000002</c:v>
                </c:pt>
                <c:pt idx="12">
                  <c:v>0.65000000000000024</c:v>
                </c:pt>
                <c:pt idx="13">
                  <c:v>0.70000000000000029</c:v>
                </c:pt>
                <c:pt idx="14">
                  <c:v>0.75000000000000033</c:v>
                </c:pt>
                <c:pt idx="15">
                  <c:v>0.80000000000000038</c:v>
                </c:pt>
                <c:pt idx="16">
                  <c:v>0.85000000000000042</c:v>
                </c:pt>
                <c:pt idx="17">
                  <c:v>0.90000000000000047</c:v>
                </c:pt>
                <c:pt idx="18">
                  <c:v>0.95000000000000051</c:v>
                </c:pt>
                <c:pt idx="19">
                  <c:v>1.0000000000000004</c:v>
                </c:pt>
                <c:pt idx="20">
                  <c:v>1.0500000000000005</c:v>
                </c:pt>
                <c:pt idx="21">
                  <c:v>1.1000000000000005</c:v>
                </c:pt>
                <c:pt idx="22">
                  <c:v>1.1500000000000006</c:v>
                </c:pt>
                <c:pt idx="23">
                  <c:v>1.2000000000000006</c:v>
                </c:pt>
                <c:pt idx="24">
                  <c:v>1.2500000000000007</c:v>
                </c:pt>
                <c:pt idx="25">
                  <c:v>1.3000000000000007</c:v>
                </c:pt>
                <c:pt idx="26">
                  <c:v>1.3500000000000008</c:v>
                </c:pt>
                <c:pt idx="27">
                  <c:v>1.4000000000000008</c:v>
                </c:pt>
                <c:pt idx="28">
                  <c:v>1.4500000000000008</c:v>
                </c:pt>
                <c:pt idx="29">
                  <c:v>1.5000000000000009</c:v>
                </c:pt>
                <c:pt idx="30">
                  <c:v>1.5500000000000009</c:v>
                </c:pt>
                <c:pt idx="31">
                  <c:v>1.600000000000001</c:v>
                </c:pt>
                <c:pt idx="32">
                  <c:v>1.650000000000001</c:v>
                </c:pt>
                <c:pt idx="33">
                  <c:v>1.7000000000000011</c:v>
                </c:pt>
                <c:pt idx="34">
                  <c:v>1.7500000000000011</c:v>
                </c:pt>
                <c:pt idx="35">
                  <c:v>1.8000000000000012</c:v>
                </c:pt>
                <c:pt idx="36">
                  <c:v>1.8500000000000012</c:v>
                </c:pt>
                <c:pt idx="37">
                  <c:v>1.9000000000000012</c:v>
                </c:pt>
                <c:pt idx="38">
                  <c:v>1.9500000000000013</c:v>
                </c:pt>
                <c:pt idx="39">
                  <c:v>2.0000000000000013</c:v>
                </c:pt>
                <c:pt idx="40">
                  <c:v>2.0500000000000016</c:v>
                </c:pt>
                <c:pt idx="41">
                  <c:v>2.1000000000000014</c:v>
                </c:pt>
                <c:pt idx="42">
                  <c:v>2.1500000000000017</c:v>
                </c:pt>
                <c:pt idx="43">
                  <c:v>2.2000000000000015</c:v>
                </c:pt>
                <c:pt idx="44">
                  <c:v>2.2500000000000018</c:v>
                </c:pt>
                <c:pt idx="45">
                  <c:v>2.3000000000000016</c:v>
                </c:pt>
                <c:pt idx="46">
                  <c:v>2.3500000000000019</c:v>
                </c:pt>
                <c:pt idx="47">
                  <c:v>2.4000000000000017</c:v>
                </c:pt>
                <c:pt idx="48">
                  <c:v>2.450000000000002</c:v>
                </c:pt>
                <c:pt idx="49">
                  <c:v>2.5000000000000018</c:v>
                </c:pt>
                <c:pt idx="50">
                  <c:v>2.550000000000002</c:v>
                </c:pt>
                <c:pt idx="51">
                  <c:v>2.6000000000000019</c:v>
                </c:pt>
                <c:pt idx="52">
                  <c:v>2.6500000000000021</c:v>
                </c:pt>
                <c:pt idx="53">
                  <c:v>2.700000000000002</c:v>
                </c:pt>
                <c:pt idx="54">
                  <c:v>2.7500000000000022</c:v>
                </c:pt>
                <c:pt idx="55">
                  <c:v>2.800000000000002</c:v>
                </c:pt>
                <c:pt idx="56">
                  <c:v>2.8500000000000023</c:v>
                </c:pt>
                <c:pt idx="57">
                  <c:v>2.9000000000000021</c:v>
                </c:pt>
                <c:pt idx="58">
                  <c:v>2.9500000000000024</c:v>
                </c:pt>
                <c:pt idx="59">
                  <c:v>3.0000000000000022</c:v>
                </c:pt>
                <c:pt idx="60">
                  <c:v>3.0500000000000025</c:v>
                </c:pt>
                <c:pt idx="61">
                  <c:v>3.1000000000000023</c:v>
                </c:pt>
                <c:pt idx="62">
                  <c:v>3.1500000000000021</c:v>
                </c:pt>
                <c:pt idx="63">
                  <c:v>3.200000000000002</c:v>
                </c:pt>
                <c:pt idx="64">
                  <c:v>3.2500000000000022</c:v>
                </c:pt>
                <c:pt idx="65">
                  <c:v>3.300000000000002</c:v>
                </c:pt>
                <c:pt idx="66">
                  <c:v>3.3500000000000023</c:v>
                </c:pt>
                <c:pt idx="67">
                  <c:v>3.4000000000000021</c:v>
                </c:pt>
                <c:pt idx="68">
                  <c:v>3.4500000000000024</c:v>
                </c:pt>
                <c:pt idx="69">
                  <c:v>3.5000000000000022</c:v>
                </c:pt>
                <c:pt idx="70">
                  <c:v>3.5500000000000025</c:v>
                </c:pt>
                <c:pt idx="71">
                  <c:v>3.6000000000000023</c:v>
                </c:pt>
                <c:pt idx="72">
                  <c:v>3.6500000000000026</c:v>
                </c:pt>
                <c:pt idx="73">
                  <c:v>3.7000000000000024</c:v>
                </c:pt>
                <c:pt idx="74">
                  <c:v>3.7500000000000027</c:v>
                </c:pt>
                <c:pt idx="75">
                  <c:v>3.8000000000000025</c:v>
                </c:pt>
                <c:pt idx="76">
                  <c:v>3.8500000000000028</c:v>
                </c:pt>
                <c:pt idx="77">
                  <c:v>3.9000000000000026</c:v>
                </c:pt>
                <c:pt idx="78">
                  <c:v>3.9500000000000028</c:v>
                </c:pt>
                <c:pt idx="79">
                  <c:v>4.0000000000000027</c:v>
                </c:pt>
                <c:pt idx="80">
                  <c:v>4.0500000000000025</c:v>
                </c:pt>
              </c:numCache>
            </c:numRef>
          </c:xVal>
          <c:yVal>
            <c:numRef>
              <c:f>L_Section_Capacity!$AN$1:$AN$81</c:f>
              <c:numCache>
                <c:formatCode>General</c:formatCode>
                <c:ptCount val="81"/>
                <c:pt idx="0">
                  <c:v>0.97083607009560224</c:v>
                </c:pt>
                <c:pt idx="1">
                  <c:v>1.0008622547962991</c:v>
                </c:pt>
                <c:pt idx="2">
                  <c:v>1.0012984202553419</c:v>
                </c:pt>
                <c:pt idx="3">
                  <c:v>1.001737996958509</c:v>
                </c:pt>
                <c:pt idx="4">
                  <c:v>1.002181025081774</c:v>
                </c:pt>
                <c:pt idx="5">
                  <c:v>1.0026275454346523</c:v>
                </c:pt>
                <c:pt idx="6">
                  <c:v>1.0030775994723991</c:v>
                </c:pt>
                <c:pt idx="7">
                  <c:v>1.0035312293092076</c:v>
                </c:pt>
                <c:pt idx="8">
                  <c:v>1.0039884777310009</c:v>
                </c:pt>
                <c:pt idx="9">
                  <c:v>1.0044493882091223</c:v>
                </c:pt>
                <c:pt idx="10">
                  <c:v>1.0049140049140057</c:v>
                </c:pt>
                <c:pt idx="11">
                  <c:v>1.0053823727293134</c:v>
                </c:pt>
                <c:pt idx="12">
                  <c:v>1.0058545372663144</c:v>
                </c:pt>
                <c:pt idx="13">
                  <c:v>1.0063305448790418</c:v>
                </c:pt>
                <c:pt idx="14">
                  <c:v>1.0068104426787745</c:v>
                </c:pt>
                <c:pt idx="15">
                  <c:v>1.0072942785502652</c:v>
                </c:pt>
                <c:pt idx="16">
                  <c:v>1.0077821011672901</c:v>
                </c:pt>
                <c:pt idx="17">
                  <c:v>1.0082739600091948</c:v>
                </c:pt>
                <c:pt idx="18">
                  <c:v>1.0087699053772874</c:v>
                </c:pt>
                <c:pt idx="19">
                  <c:v>1.0092699884125136</c:v>
                </c:pt>
                <c:pt idx="20">
                  <c:v>1.0097742611124001</c:v>
                </c:pt>
                <c:pt idx="21">
                  <c:v>1.0102827763495754</c:v>
                </c:pt>
                <c:pt idx="22">
                  <c:v>1.0107955878901635</c:v>
                </c:pt>
                <c:pt idx="23">
                  <c:v>1.0113127504121591</c:v>
                </c:pt>
                <c:pt idx="24">
                  <c:v>1.0118343195266211</c:v>
                </c:pt>
                <c:pt idx="25">
                  <c:v>1.0123603517946267</c:v>
                </c:pt>
                <c:pt idx="26">
                  <c:v>1.0128909047505368</c:v>
                </c:pt>
                <c:pt idx="27">
                  <c:v>1.0134260369218986</c:v>
                </c:pt>
                <c:pt idx="28">
                  <c:v>1.0139658078497724</c:v>
                </c:pt>
                <c:pt idx="29">
                  <c:v>1.0145102781136677</c:v>
                </c:pt>
                <c:pt idx="30">
                  <c:v>1.0150595093514692</c:v>
                </c:pt>
                <c:pt idx="31">
                  <c:v>1.0156135642839716</c:v>
                </c:pt>
                <c:pt idx="32">
                  <c:v>1.0051953345978499</c:v>
                </c:pt>
                <c:pt idx="33">
                  <c:v>0.98614016736401511</c:v>
                </c:pt>
                <c:pt idx="34">
                  <c:v>0.9681893839792638</c:v>
                </c:pt>
                <c:pt idx="35">
                  <c:v>0.95125115475656896</c:v>
                </c:pt>
                <c:pt idx="36">
                  <c:v>0.93524358107165972</c:v>
                </c:pt>
                <c:pt idx="37">
                  <c:v>0.92009338873086965</c:v>
                </c:pt>
                <c:pt idx="38">
                  <c:v>0.9064521792493746</c:v>
                </c:pt>
                <c:pt idx="39">
                  <c:v>0.90965608373509643</c:v>
                </c:pt>
                <c:pt idx="40">
                  <c:v>0.91283282871396099</c:v>
                </c:pt>
                <c:pt idx="41">
                  <c:v>0.91598314977534034</c:v>
                </c:pt>
                <c:pt idx="42">
                  <c:v>0.91910776718379572</c:v>
                </c:pt>
                <c:pt idx="43">
                  <c:v>0.92220738645863598</c:v>
                </c:pt>
                <c:pt idx="44">
                  <c:v>0.92528269893364035</c:v>
                </c:pt>
                <c:pt idx="45">
                  <c:v>0.92833438229715515</c:v>
                </c:pt>
                <c:pt idx="46">
                  <c:v>0.93136310111821929</c:v>
                </c:pt>
                <c:pt idx="47">
                  <c:v>0.93436950734646573</c:v>
                </c:pt>
                <c:pt idx="48">
                  <c:v>0.93735424080622065</c:v>
                </c:pt>
                <c:pt idx="49">
                  <c:v>0.94031792966942163</c:v>
                </c:pt>
                <c:pt idx="50">
                  <c:v>0.94326119091412053</c:v>
                </c:pt>
                <c:pt idx="51">
                  <c:v>0.94618463077054971</c:v>
                </c:pt>
                <c:pt idx="52">
                  <c:v>0.94908884515255121</c:v>
                </c:pt>
                <c:pt idx="53">
                  <c:v>0.95197442007716249</c:v>
                </c:pt>
                <c:pt idx="54">
                  <c:v>0.95419260593609967</c:v>
                </c:pt>
                <c:pt idx="55">
                  <c:v>0.95441314074944361</c:v>
                </c:pt>
                <c:pt idx="56">
                  <c:v>0.95466188978316868</c:v>
                </c:pt>
                <c:pt idx="57">
                  <c:v>0.95616185801731768</c:v>
                </c:pt>
                <c:pt idx="58">
                  <c:v>0.95929661783548481</c:v>
                </c:pt>
                <c:pt idx="59">
                  <c:v>0.96240628490468194</c:v>
                </c:pt>
                <c:pt idx="60">
                  <c:v>0.96549382661990246</c:v>
                </c:pt>
                <c:pt idx="61">
                  <c:v>0.9688186090034614</c:v>
                </c:pt>
                <c:pt idx="62">
                  <c:v>0.97233398055091036</c:v>
                </c:pt>
                <c:pt idx="63">
                  <c:v>0.97578898657512658</c:v>
                </c:pt>
                <c:pt idx="64">
                  <c:v>0.97775599298311311</c:v>
                </c:pt>
                <c:pt idx="65">
                  <c:v>0.97836859528576081</c:v>
                </c:pt>
                <c:pt idx="66">
                  <c:v>0.97897299918578295</c:v>
                </c:pt>
                <c:pt idx="67">
                  <c:v>0.97956939907904605</c:v>
                </c:pt>
                <c:pt idx="68">
                  <c:v>0.98015798231849016</c:v>
                </c:pt>
                <c:pt idx="69">
                  <c:v>0.98073892956442144</c:v>
                </c:pt>
                <c:pt idx="70">
                  <c:v>0.98131241511260359</c:v>
                </c:pt>
                <c:pt idx="71">
                  <c:v>0.98187860720188613</c:v>
                </c:pt>
                <c:pt idx="72">
                  <c:v>0.98243766830289003</c:v>
                </c:pt>
                <c:pt idx="73">
                  <c:v>0.98298975538917599</c:v>
                </c:pt>
                <c:pt idx="74">
                  <c:v>0.98353502019217021</c:v>
                </c:pt>
                <c:pt idx="75">
                  <c:v>0.98407360944103617</c:v>
                </c:pt>
                <c:pt idx="76">
                  <c:v>0.98460566508856262</c:v>
                </c:pt>
                <c:pt idx="77">
                  <c:v>0.9851313245240646</c:v>
                </c:pt>
                <c:pt idx="78">
                  <c:v>0.98565072077418259</c:v>
                </c:pt>
                <c:pt idx="79">
                  <c:v>0.98616398269243977</c:v>
                </c:pt>
                <c:pt idx="80">
                  <c:v>0.98667123513829269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C7-4FBD-B8EA-D4395CE7D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671040"/>
        <c:axId val="688765520"/>
      </c:scatterChart>
      <c:valAx>
        <c:axId val="629671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L_Section_Capacity!$AD$48</c:f>
              <c:strCache>
                <c:ptCount val="1"/>
                <c:pt idx="0">
                  <c:v>% As,web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65520"/>
        <c:crosses val="autoZero"/>
        <c:crossBetween val="midCat"/>
      </c:valAx>
      <c:valAx>
        <c:axId val="68876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Mx_L/Mx_R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67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2</xdr:row>
      <xdr:rowOff>9524</xdr:rowOff>
    </xdr:from>
    <xdr:to>
      <xdr:col>18</xdr:col>
      <xdr:colOff>438150</xdr:colOff>
      <xdr:row>25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247650</xdr:colOff>
      <xdr:row>20</xdr:row>
      <xdr:rowOff>180975</xdr:rowOff>
    </xdr:from>
    <xdr:to>
      <xdr:col>30</xdr:col>
      <xdr:colOff>133350</xdr:colOff>
      <xdr:row>44</xdr:row>
      <xdr:rowOff>66676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So P and My=0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485775</xdr:colOff>
      <xdr:row>4</xdr:row>
      <xdr:rowOff>114299</xdr:rowOff>
    </xdr:from>
    <xdr:to>
      <xdr:col>43</xdr:col>
      <xdr:colOff>466725</xdr:colOff>
      <xdr:row>32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AO81"/>
  <sheetViews>
    <sheetView tabSelected="1" workbookViewId="0">
      <selection activeCell="U12" sqref="U12"/>
    </sheetView>
  </sheetViews>
  <sheetFormatPr defaultRowHeight="15" x14ac:dyDescent="0.25"/>
  <cols>
    <col min="1" max="1" width="11.28515625" bestFit="1" customWidth="1"/>
    <col min="2" max="2" width="13.85546875" customWidth="1"/>
    <col min="3" max="3" width="12.5703125" customWidth="1"/>
    <col min="4" max="5" width="11.140625" customWidth="1"/>
    <col min="15" max="16" width="10.7109375" bestFit="1" customWidth="1"/>
  </cols>
  <sheetData>
    <row r="1" spans="1:41" x14ac:dyDescent="0.25">
      <c r="K1" s="8" t="s">
        <v>73</v>
      </c>
      <c r="L1" s="14">
        <v>9.9999999999999998E-13</v>
      </c>
      <c r="AH1">
        <v>5.0000000000000001E-4</v>
      </c>
      <c r="AI1">
        <v>13.786950394475575</v>
      </c>
      <c r="AJ1">
        <v>14.201110588235474</v>
      </c>
      <c r="AK1">
        <v>0.9</v>
      </c>
      <c r="AL1">
        <v>0.9</v>
      </c>
      <c r="AM1">
        <f>AH1*100</f>
        <v>0.05</v>
      </c>
      <c r="AN1">
        <f>AI1/AJ1</f>
        <v>0.97083607009560224</v>
      </c>
      <c r="AO1" t="str">
        <f>"phi_L: "&amp;ROUND(AK1,3)&amp;CHAR(10)&amp;"phi_R: "&amp;ROUND(AL1,3)</f>
        <v>phi_L: 0.9
phi_R: 0.9</v>
      </c>
    </row>
    <row r="2" spans="1:41" ht="15.75" thickBot="1" x14ac:dyDescent="0.3">
      <c r="A2" t="s">
        <v>0</v>
      </c>
      <c r="B2" s="2">
        <v>5</v>
      </c>
      <c r="C2" t="s">
        <v>1</v>
      </c>
      <c r="E2" s="1" t="s">
        <v>9</v>
      </c>
      <c r="F2" s="1" t="s">
        <v>10</v>
      </c>
      <c r="H2" t="s">
        <v>26</v>
      </c>
      <c r="I2" s="1">
        <f>B5/2</f>
        <v>6</v>
      </c>
      <c r="K2" s="8" t="s">
        <v>74</v>
      </c>
      <c r="L2" s="4">
        <v>100</v>
      </c>
      <c r="M2">
        <v>421</v>
      </c>
      <c r="N2">
        <v>7</v>
      </c>
      <c r="AH2">
        <v>1E-3</v>
      </c>
      <c r="AI2">
        <v>28.316837647059053</v>
      </c>
      <c r="AJ2">
        <v>28.292442352941215</v>
      </c>
      <c r="AK2">
        <v>0.9</v>
      </c>
      <c r="AL2">
        <v>0.9</v>
      </c>
      <c r="AM2">
        <f>AH2*100</f>
        <v>0.1</v>
      </c>
      <c r="AN2">
        <f>AI2/AJ2</f>
        <v>1.0008622547962991</v>
      </c>
      <c r="AO2" t="str">
        <f t="shared" ref="AO2:AO4" si="0">"phi_L: "&amp;ROUND(AK2,3)&amp;CHAR(10)&amp;"phi_R: "&amp;ROUND(AL2,3)</f>
        <v>phi_L: 0.9
phi_R: 0.9</v>
      </c>
    </row>
    <row r="3" spans="1:41" x14ac:dyDescent="0.25">
      <c r="A3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27</v>
      </c>
      <c r="I3" s="1">
        <f>B7/2</f>
        <v>12</v>
      </c>
      <c r="T3" s="16" t="s">
        <v>80</v>
      </c>
      <c r="U3" s="22">
        <f ca="1">IF(ABS(K68)&lt;0.002,0.65,IF(ABS(K68)&gt;0.005,0.9,0.65+((ABS(K68)-0.002)*(250/3))))</f>
        <v>0.68958333333336419</v>
      </c>
      <c r="V3" s="17"/>
      <c r="X3" t="s">
        <v>81</v>
      </c>
      <c r="AH3">
        <v>1.5E-3</v>
      </c>
      <c r="AI3">
        <v>42.328884705881649</v>
      </c>
      <c r="AJ3">
        <v>42.27399529411754</v>
      </c>
      <c r="AK3">
        <v>0.9</v>
      </c>
      <c r="AL3">
        <v>0.9</v>
      </c>
      <c r="AM3">
        <f>AH3*100</f>
        <v>0.15</v>
      </c>
      <c r="AN3">
        <f>AI3/AJ3</f>
        <v>1.0012984202553419</v>
      </c>
      <c r="AO3" t="str">
        <f t="shared" si="0"/>
        <v>phi_L: 0.9
phi_R: 0.9</v>
      </c>
    </row>
    <row r="4" spans="1:41" x14ac:dyDescent="0.25">
      <c r="A4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18" t="s">
        <v>77</v>
      </c>
      <c r="U4" s="10">
        <f ca="1">U3*B71</f>
        <v>-4.3118101681710678E-13</v>
      </c>
      <c r="V4" s="19" t="s">
        <v>70</v>
      </c>
      <c r="X4">
        <f>MAX(E3:F9)+10</f>
        <v>58</v>
      </c>
      <c r="Y4">
        <f>X4</f>
        <v>58</v>
      </c>
      <c r="AH4">
        <v>2E-3</v>
      </c>
      <c r="AI4">
        <v>56.243350588235273</v>
      </c>
      <c r="AJ4">
        <v>56.145769411764476</v>
      </c>
      <c r="AK4">
        <v>0.9</v>
      </c>
      <c r="AL4">
        <v>0.9</v>
      </c>
      <c r="AM4">
        <f>AH4*100</f>
        <v>0.2</v>
      </c>
      <c r="AN4">
        <f>AI4/AJ4</f>
        <v>1.001737996958509</v>
      </c>
      <c r="AO4" t="str">
        <f t="shared" si="0"/>
        <v>phi_L: 0.9
phi_R: 0.9</v>
      </c>
    </row>
    <row r="5" spans="1:41" x14ac:dyDescent="0.25">
      <c r="A5" t="s">
        <v>5</v>
      </c>
      <c r="B5" s="2">
        <v>12</v>
      </c>
      <c r="C5" t="s">
        <v>4</v>
      </c>
      <c r="E5" s="5">
        <f>E4</f>
        <v>12</v>
      </c>
      <c r="F5">
        <f>(B7-B8)</f>
        <v>16</v>
      </c>
      <c r="G5">
        <f t="shared" ref="G5:G9" si="1">((E4*F5)-(E5*F4))*0.5</f>
        <v>96</v>
      </c>
      <c r="T5" s="18" t="s">
        <v>79</v>
      </c>
      <c r="U5" s="10">
        <f ca="1">U3*B75*(1/12)</f>
        <v>452.69117647061699</v>
      </c>
      <c r="V5" s="19" t="s">
        <v>72</v>
      </c>
      <c r="X5">
        <f>X4</f>
        <v>58</v>
      </c>
      <c r="Y5">
        <f>X5</f>
        <v>58</v>
      </c>
      <c r="AH5">
        <v>2.5000000000000001E-3</v>
      </c>
      <c r="AI5">
        <v>70.060235294117405</v>
      </c>
      <c r="AJ5">
        <v>69.907764705883125</v>
      </c>
      <c r="AK5">
        <v>0.9</v>
      </c>
      <c r="AL5">
        <v>0.9</v>
      </c>
      <c r="AM5">
        <f t="shared" ref="AM5:AM31" si="2">AH5*100</f>
        <v>0.25</v>
      </c>
      <c r="AN5">
        <f t="shared" ref="AN5:AN31" si="3">AI5/AJ5</f>
        <v>1.002181025081774</v>
      </c>
      <c r="AO5" t="str">
        <f t="shared" ref="AO5:AO31" si="4">"phi_L: "&amp;ROUND(AK5,3)&amp;CHAR(10)&amp;"phi_R: "&amp;ROUND(AL5,3)</f>
        <v>phi_L: 0.9
phi_R: 0.9</v>
      </c>
    </row>
    <row r="6" spans="1:41" ht="15.75" thickBot="1" x14ac:dyDescent="0.3">
      <c r="A6" t="s">
        <v>6</v>
      </c>
      <c r="B6" s="2">
        <v>48</v>
      </c>
      <c r="C6" t="s">
        <v>4</v>
      </c>
      <c r="E6" s="5">
        <f>B6</f>
        <v>48</v>
      </c>
      <c r="F6">
        <f>F5</f>
        <v>16</v>
      </c>
      <c r="G6">
        <f t="shared" si="1"/>
        <v>-288</v>
      </c>
      <c r="T6" s="20" t="s">
        <v>78</v>
      </c>
      <c r="U6" s="23">
        <f ca="1">U3*B76*(1/12)</f>
        <v>-1.4059114366521419E-11</v>
      </c>
      <c r="V6" s="21" t="s">
        <v>72</v>
      </c>
      <c r="AH6">
        <v>3.0000000000000001E-3</v>
      </c>
      <c r="AI6">
        <v>83.779538823531084</v>
      </c>
      <c r="AJ6">
        <v>83.559981176471226</v>
      </c>
      <c r="AK6">
        <v>0.9</v>
      </c>
      <c r="AL6">
        <v>0.9</v>
      </c>
      <c r="AM6">
        <f t="shared" si="2"/>
        <v>0.3</v>
      </c>
      <c r="AN6">
        <f t="shared" si="3"/>
        <v>1.0026275454346523</v>
      </c>
      <c r="AO6" t="str">
        <f t="shared" si="4"/>
        <v>phi_L: 0.9
phi_R: 0.9</v>
      </c>
    </row>
    <row r="7" spans="1:41" x14ac:dyDescent="0.25">
      <c r="A7" t="s">
        <v>7</v>
      </c>
      <c r="B7" s="4">
        <v>24</v>
      </c>
      <c r="C7" t="s">
        <v>4</v>
      </c>
      <c r="E7" s="5">
        <f>E6</f>
        <v>48</v>
      </c>
      <c r="F7">
        <f>B7</f>
        <v>24</v>
      </c>
      <c r="G7">
        <f t="shared" si="1"/>
        <v>192</v>
      </c>
      <c r="AH7">
        <v>3.5000000000000001E-3</v>
      </c>
      <c r="AI7">
        <v>97.401261176469859</v>
      </c>
      <c r="AJ7">
        <v>97.102418823529902</v>
      </c>
      <c r="AK7">
        <v>0.9</v>
      </c>
      <c r="AL7">
        <v>0.9</v>
      </c>
      <c r="AM7">
        <f t="shared" si="2"/>
        <v>0.35000000000000003</v>
      </c>
      <c r="AN7">
        <f t="shared" si="3"/>
        <v>1.0030775994723991</v>
      </c>
      <c r="AO7" t="str">
        <f t="shared" si="4"/>
        <v>phi_L: 0.9
phi_R: 0.9</v>
      </c>
    </row>
    <row r="8" spans="1:41" x14ac:dyDescent="0.25">
      <c r="A8" t="s">
        <v>8</v>
      </c>
      <c r="B8" s="4">
        <v>8</v>
      </c>
      <c r="C8" t="s">
        <v>4</v>
      </c>
      <c r="E8">
        <v>0</v>
      </c>
      <c r="F8">
        <f>F7</f>
        <v>24</v>
      </c>
      <c r="G8">
        <f t="shared" si="1"/>
        <v>576</v>
      </c>
      <c r="AH8">
        <v>4.0000000000000001E-3</v>
      </c>
      <c r="AI8">
        <v>110.925402352942</v>
      </c>
      <c r="AJ8">
        <v>110.53507764705918</v>
      </c>
      <c r="AK8">
        <v>0.9</v>
      </c>
      <c r="AL8">
        <v>0.9</v>
      </c>
      <c r="AM8">
        <f t="shared" si="2"/>
        <v>0.4</v>
      </c>
      <c r="AN8">
        <f t="shared" si="3"/>
        <v>1.0035312293092076</v>
      </c>
      <c r="AO8" t="str">
        <f t="shared" si="4"/>
        <v>phi_L: 0.9
phi_R: 0.9</v>
      </c>
    </row>
    <row r="9" spans="1:41" x14ac:dyDescent="0.25">
      <c r="E9">
        <v>0</v>
      </c>
      <c r="F9">
        <v>0</v>
      </c>
      <c r="G9">
        <f t="shared" si="1"/>
        <v>0</v>
      </c>
      <c r="AH9">
        <v>4.5000000000000005E-3</v>
      </c>
      <c r="AI9">
        <v>124.3519623529416</v>
      </c>
      <c r="AJ9">
        <v>123.85795764705905</v>
      </c>
      <c r="AK9">
        <v>0.9</v>
      </c>
      <c r="AL9">
        <v>0.9</v>
      </c>
      <c r="AM9">
        <f t="shared" si="2"/>
        <v>0.45000000000000007</v>
      </c>
      <c r="AN9">
        <f t="shared" si="3"/>
        <v>1.0039884777310009</v>
      </c>
      <c r="AO9" t="str">
        <f t="shared" si="4"/>
        <v>phi_L: 0.9
phi_R: 0.9</v>
      </c>
    </row>
    <row r="10" spans="1:41" x14ac:dyDescent="0.25">
      <c r="G10">
        <f>SUM(G4:G9)</f>
        <v>576</v>
      </c>
      <c r="AH10">
        <v>5.000000000000001E-3</v>
      </c>
      <c r="AI10">
        <v>137.68094117647084</v>
      </c>
      <c r="AJ10">
        <v>137.07105882352951</v>
      </c>
      <c r="AK10">
        <v>0.9</v>
      </c>
      <c r="AL10">
        <v>0.9</v>
      </c>
      <c r="AM10">
        <f t="shared" si="2"/>
        <v>0.50000000000000011</v>
      </c>
      <c r="AN10">
        <f t="shared" si="3"/>
        <v>1.0044493882091223</v>
      </c>
      <c r="AO10" t="str">
        <f t="shared" si="4"/>
        <v>phi_L: 0.9
phi_R: 0.9</v>
      </c>
    </row>
    <row r="11" spans="1:41" x14ac:dyDescent="0.25">
      <c r="A11" t="s">
        <v>11</v>
      </c>
      <c r="AH11">
        <v>5.5000000000000014E-3</v>
      </c>
      <c r="AI11">
        <v>150.91233882352955</v>
      </c>
      <c r="AJ11">
        <v>150.1743811764706</v>
      </c>
      <c r="AK11">
        <v>0.9</v>
      </c>
      <c r="AL11">
        <v>0.9</v>
      </c>
      <c r="AM11">
        <f t="shared" si="2"/>
        <v>0.55000000000000016</v>
      </c>
      <c r="AN11">
        <f t="shared" si="3"/>
        <v>1.0049140049140057</v>
      </c>
      <c r="AO11" t="str">
        <f t="shared" si="4"/>
        <v>phi_L: 0.9
phi_R: 0.9</v>
      </c>
    </row>
    <row r="12" spans="1:41" x14ac:dyDescent="0.25">
      <c r="A12" t="s">
        <v>12</v>
      </c>
      <c r="B12" s="2">
        <v>60</v>
      </c>
      <c r="C12" t="s">
        <v>1</v>
      </c>
      <c r="AH12">
        <v>6.0000000000000019E-3</v>
      </c>
      <c r="AI12">
        <v>164.04615529411782</v>
      </c>
      <c r="AJ12">
        <v>163.16792470588223</v>
      </c>
      <c r="AK12">
        <v>0.9</v>
      </c>
      <c r="AL12">
        <v>0.9</v>
      </c>
      <c r="AM12">
        <f t="shared" si="2"/>
        <v>0.6000000000000002</v>
      </c>
      <c r="AN12">
        <f t="shared" si="3"/>
        <v>1.0053823727293134</v>
      </c>
      <c r="AO12" t="str">
        <f t="shared" si="4"/>
        <v>phi_L: 0.9
phi_R: 0.9</v>
      </c>
    </row>
    <row r="13" spans="1:41" x14ac:dyDescent="0.25">
      <c r="A13" t="s">
        <v>13</v>
      </c>
      <c r="B13" s="3">
        <v>29000</v>
      </c>
      <c r="C13" t="s">
        <v>1</v>
      </c>
      <c r="AH13">
        <v>6.5000000000000023E-3</v>
      </c>
      <c r="AI13">
        <v>177.08239058822326</v>
      </c>
      <c r="AJ13">
        <v>176.05168941176447</v>
      </c>
      <c r="AK13">
        <v>0.9</v>
      </c>
      <c r="AL13">
        <v>0.9</v>
      </c>
      <c r="AM13">
        <f t="shared" si="2"/>
        <v>0.65000000000000024</v>
      </c>
      <c r="AN13">
        <f t="shared" si="3"/>
        <v>1.0058545372663144</v>
      </c>
      <c r="AO13" t="str">
        <f t="shared" si="4"/>
        <v>phi_L: 0.9
phi_R: 0.9</v>
      </c>
    </row>
    <row r="14" spans="1:41" x14ac:dyDescent="0.25">
      <c r="B14" s="1" t="s">
        <v>14</v>
      </c>
      <c r="C14" t="s">
        <v>15</v>
      </c>
      <c r="D14" s="1" t="s">
        <v>9</v>
      </c>
      <c r="E14" s="1" t="s">
        <v>10</v>
      </c>
      <c r="G14" s="1">
        <v>0</v>
      </c>
      <c r="H14">
        <v>0</v>
      </c>
      <c r="I14">
        <v>0</v>
      </c>
      <c r="AH14">
        <v>7.0000000000000027E-3</v>
      </c>
      <c r="AI14">
        <v>190.02104470588213</v>
      </c>
      <c r="AJ14">
        <v>188.82567529411736</v>
      </c>
      <c r="AK14">
        <v>0.9</v>
      </c>
      <c r="AL14">
        <v>0.9</v>
      </c>
      <c r="AM14">
        <f t="shared" si="2"/>
        <v>0.70000000000000029</v>
      </c>
      <c r="AN14">
        <f t="shared" si="3"/>
        <v>1.0063305448790418</v>
      </c>
      <c r="AO14" t="str">
        <f t="shared" si="4"/>
        <v>phi_L: 0.9
phi_R: 0.9</v>
      </c>
    </row>
    <row r="15" spans="1:41" x14ac:dyDescent="0.25">
      <c r="A15">
        <v>1</v>
      </c>
      <c r="B15" s="24" t="s">
        <v>83</v>
      </c>
      <c r="C15" s="6">
        <f ca="1">OFFSET($G$14,MATCH(B15,$G$14:$G$26,0)-1,2)</f>
        <v>7.2</v>
      </c>
      <c r="D15" s="2">
        <f>B5/2</f>
        <v>6</v>
      </c>
      <c r="E15" s="2">
        <v>2</v>
      </c>
      <c r="G15" s="1">
        <v>3</v>
      </c>
      <c r="H15">
        <v>0.375</v>
      </c>
      <c r="I15">
        <v>0.11</v>
      </c>
      <c r="T15">
        <f>IF($B15=0,NA(),D15)</f>
        <v>6</v>
      </c>
      <c r="U15">
        <f>IF($B15=0,NA(),E15)</f>
        <v>2</v>
      </c>
      <c r="AH15">
        <v>7.5000000000000032E-3</v>
      </c>
      <c r="AI15">
        <v>202.86211764705848</v>
      </c>
      <c r="AJ15">
        <v>201.48988235294075</v>
      </c>
      <c r="AK15">
        <v>0.9</v>
      </c>
      <c r="AL15">
        <v>0.9</v>
      </c>
      <c r="AM15">
        <f t="shared" si="2"/>
        <v>0.75000000000000033</v>
      </c>
      <c r="AN15">
        <f t="shared" si="3"/>
        <v>1.0068104426787745</v>
      </c>
      <c r="AO15" t="str">
        <f t="shared" si="4"/>
        <v>phi_L: 0.9
phi_R: 0.9</v>
      </c>
    </row>
    <row r="16" spans="1:41" x14ac:dyDescent="0.25">
      <c r="A16">
        <v>2</v>
      </c>
      <c r="B16" s="24">
        <v>0</v>
      </c>
      <c r="C16" s="6">
        <f t="shared" ref="C16:C24" ca="1" si="5">OFFSET($G$14,MATCH(B16,$G$14:$G$26,0)-1,2)</f>
        <v>0</v>
      </c>
      <c r="D16" s="2">
        <v>0</v>
      </c>
      <c r="E16" s="2">
        <v>0</v>
      </c>
      <c r="G16" s="1">
        <v>4</v>
      </c>
      <c r="H16">
        <v>0.5</v>
      </c>
      <c r="I16">
        <v>0.2</v>
      </c>
      <c r="T16" t="e">
        <f t="shared" ref="T16:T24" si="6">IF($B16=0,NA(),D16)</f>
        <v>#N/A</v>
      </c>
      <c r="U16" t="e">
        <f t="shared" ref="U16:U24" si="7">IF($B16=0,NA(),E16)</f>
        <v>#N/A</v>
      </c>
      <c r="AH16">
        <v>8.0000000000000036E-3</v>
      </c>
      <c r="AI16">
        <v>215.60560941176487</v>
      </c>
      <c r="AJ16">
        <v>214.04431058823482</v>
      </c>
      <c r="AK16">
        <v>0.9</v>
      </c>
      <c r="AL16">
        <v>0.9</v>
      </c>
      <c r="AM16">
        <f t="shared" si="2"/>
        <v>0.80000000000000038</v>
      </c>
      <c r="AN16">
        <f t="shared" si="3"/>
        <v>1.0072942785502652</v>
      </c>
      <c r="AO16" t="str">
        <f t="shared" si="4"/>
        <v>phi_L: 0.9
phi_R: 0.9</v>
      </c>
    </row>
    <row r="17" spans="1:41" x14ac:dyDescent="0.25">
      <c r="A17">
        <v>3</v>
      </c>
      <c r="B17" s="24">
        <v>0</v>
      </c>
      <c r="C17" s="6">
        <f t="shared" ca="1" si="5"/>
        <v>0</v>
      </c>
      <c r="D17" s="2">
        <v>0</v>
      </c>
      <c r="E17" s="2">
        <v>0</v>
      </c>
      <c r="G17" s="1">
        <v>5</v>
      </c>
      <c r="H17">
        <v>0.625</v>
      </c>
      <c r="I17">
        <v>0.31</v>
      </c>
      <c r="T17" t="e">
        <f t="shared" si="6"/>
        <v>#N/A</v>
      </c>
      <c r="U17" t="e">
        <f t="shared" si="7"/>
        <v>#N/A</v>
      </c>
      <c r="AH17">
        <v>8.5000000000000041E-3</v>
      </c>
      <c r="AI17">
        <v>228.25151999999377</v>
      </c>
      <c r="AJ17">
        <v>226.48895999999945</v>
      </c>
      <c r="AK17">
        <v>0.9</v>
      </c>
      <c r="AL17">
        <v>0.9</v>
      </c>
      <c r="AM17">
        <f t="shared" si="2"/>
        <v>0.85000000000000042</v>
      </c>
      <c r="AN17">
        <f t="shared" si="3"/>
        <v>1.0077821011672901</v>
      </c>
      <c r="AO17" t="str">
        <f t="shared" si="4"/>
        <v>phi_L: 0.9
phi_R: 0.9</v>
      </c>
    </row>
    <row r="18" spans="1:41" x14ac:dyDescent="0.25">
      <c r="A18">
        <v>4</v>
      </c>
      <c r="B18" s="24">
        <v>0</v>
      </c>
      <c r="C18" s="6">
        <f t="shared" ca="1" si="5"/>
        <v>0</v>
      </c>
      <c r="D18" s="2">
        <v>0</v>
      </c>
      <c r="E18" s="2">
        <v>0</v>
      </c>
      <c r="G18" s="1">
        <v>6</v>
      </c>
      <c r="H18">
        <v>0.75</v>
      </c>
      <c r="I18">
        <v>0.44</v>
      </c>
      <c r="T18" t="e">
        <f t="shared" si="6"/>
        <v>#N/A</v>
      </c>
      <c r="U18" t="e">
        <f t="shared" si="7"/>
        <v>#N/A</v>
      </c>
      <c r="AH18">
        <v>9.0000000000000045E-3</v>
      </c>
      <c r="AI18">
        <v>240.79984941176531</v>
      </c>
      <c r="AJ18">
        <v>238.82383058823552</v>
      </c>
      <c r="AK18">
        <v>0.9</v>
      </c>
      <c r="AL18">
        <v>0.9</v>
      </c>
      <c r="AM18">
        <f t="shared" si="2"/>
        <v>0.90000000000000047</v>
      </c>
      <c r="AN18">
        <f t="shared" si="3"/>
        <v>1.0082739600091948</v>
      </c>
      <c r="AO18" t="str">
        <f t="shared" si="4"/>
        <v>phi_L: 0.9
phi_R: 0.9</v>
      </c>
    </row>
    <row r="19" spans="1:41" x14ac:dyDescent="0.25">
      <c r="A19">
        <v>5</v>
      </c>
      <c r="B19" s="24">
        <v>0</v>
      </c>
      <c r="C19" s="6">
        <f t="shared" ca="1" si="5"/>
        <v>0</v>
      </c>
      <c r="D19" s="2">
        <v>0</v>
      </c>
      <c r="E19" s="2">
        <v>0</v>
      </c>
      <c r="G19" s="1">
        <v>7</v>
      </c>
      <c r="H19">
        <v>0.875</v>
      </c>
      <c r="I19">
        <v>0.6</v>
      </c>
      <c r="T19" t="e">
        <f t="shared" si="6"/>
        <v>#N/A</v>
      </c>
      <c r="U19" t="e">
        <f t="shared" si="7"/>
        <v>#N/A</v>
      </c>
      <c r="AH19">
        <v>9.500000000000005E-3</v>
      </c>
      <c r="AI19">
        <v>253.25059764704656</v>
      </c>
      <c r="AJ19">
        <v>251.0489223529413</v>
      </c>
      <c r="AK19">
        <v>0.9</v>
      </c>
      <c r="AL19">
        <v>0.9</v>
      </c>
      <c r="AM19">
        <f t="shared" si="2"/>
        <v>0.95000000000000051</v>
      </c>
      <c r="AN19">
        <f t="shared" si="3"/>
        <v>1.0087699053772874</v>
      </c>
      <c r="AO19" t="str">
        <f t="shared" si="4"/>
        <v>phi_L: 0.9
phi_R: 0.9</v>
      </c>
    </row>
    <row r="20" spans="1:41" x14ac:dyDescent="0.25">
      <c r="A20">
        <v>6</v>
      </c>
      <c r="B20" s="24">
        <v>0</v>
      </c>
      <c r="C20" s="6">
        <f t="shared" ca="1" si="5"/>
        <v>0</v>
      </c>
      <c r="D20" s="2">
        <v>0</v>
      </c>
      <c r="E20" s="2">
        <v>0</v>
      </c>
      <c r="G20" s="1">
        <v>8</v>
      </c>
      <c r="H20">
        <v>1</v>
      </c>
      <c r="I20">
        <v>0.79</v>
      </c>
      <c r="T20" t="e">
        <f t="shared" si="6"/>
        <v>#N/A</v>
      </c>
      <c r="U20" t="e">
        <f t="shared" si="7"/>
        <v>#N/A</v>
      </c>
      <c r="AH20">
        <v>1.0000000000000005E-2</v>
      </c>
      <c r="AI20">
        <v>265.6037647058821</v>
      </c>
      <c r="AJ20">
        <v>263.16423529411765</v>
      </c>
      <c r="AK20">
        <v>0.9</v>
      </c>
      <c r="AL20">
        <v>0.9</v>
      </c>
      <c r="AM20">
        <f t="shared" si="2"/>
        <v>1.0000000000000004</v>
      </c>
      <c r="AN20">
        <f t="shared" si="3"/>
        <v>1.0092699884125136</v>
      </c>
      <c r="AO20" t="str">
        <f t="shared" si="4"/>
        <v>phi_L: 0.9
phi_R: 0.9</v>
      </c>
    </row>
    <row r="21" spans="1:41" x14ac:dyDescent="0.25">
      <c r="A21">
        <v>7</v>
      </c>
      <c r="B21" s="24">
        <v>0</v>
      </c>
      <c r="C21" s="6">
        <f t="shared" ca="1" si="5"/>
        <v>0</v>
      </c>
      <c r="D21" s="2">
        <v>0</v>
      </c>
      <c r="E21" s="2">
        <v>0</v>
      </c>
      <c r="G21" s="1">
        <v>9</v>
      </c>
      <c r="H21">
        <v>1.1279999999999999</v>
      </c>
      <c r="I21">
        <v>1</v>
      </c>
      <c r="T21" t="e">
        <f t="shared" si="6"/>
        <v>#N/A</v>
      </c>
      <c r="U21" t="e">
        <f t="shared" si="7"/>
        <v>#N/A</v>
      </c>
      <c r="AH21">
        <v>1.0500000000000006E-2</v>
      </c>
      <c r="AI21">
        <v>277.85935058823497</v>
      </c>
      <c r="AJ21">
        <v>275.16976941176546</v>
      </c>
      <c r="AK21">
        <v>0.9</v>
      </c>
      <c r="AL21">
        <v>0.9</v>
      </c>
      <c r="AM21">
        <f t="shared" si="2"/>
        <v>1.0500000000000005</v>
      </c>
      <c r="AN21">
        <f t="shared" si="3"/>
        <v>1.0097742611124001</v>
      </c>
      <c r="AO21" t="str">
        <f t="shared" si="4"/>
        <v>phi_L: 0.9
phi_R: 0.9</v>
      </c>
    </row>
    <row r="22" spans="1:41" x14ac:dyDescent="0.25">
      <c r="A22">
        <v>8</v>
      </c>
      <c r="B22" s="24">
        <v>0</v>
      </c>
      <c r="C22" s="6">
        <f t="shared" ca="1" si="5"/>
        <v>0</v>
      </c>
      <c r="D22" s="2">
        <v>0</v>
      </c>
      <c r="E22" s="2">
        <v>0</v>
      </c>
      <c r="G22" s="1">
        <v>10</v>
      </c>
      <c r="H22">
        <v>1.27</v>
      </c>
      <c r="I22">
        <v>1.27</v>
      </c>
      <c r="T22" t="e">
        <f t="shared" si="6"/>
        <v>#N/A</v>
      </c>
      <c r="U22" t="e">
        <f t="shared" si="7"/>
        <v>#N/A</v>
      </c>
      <c r="AH22">
        <v>1.1000000000000006E-2</v>
      </c>
      <c r="AI22">
        <v>290.01735529410706</v>
      </c>
      <c r="AJ22">
        <v>287.06552470588298</v>
      </c>
      <c r="AK22">
        <v>0.9</v>
      </c>
      <c r="AL22">
        <v>0.9</v>
      </c>
      <c r="AM22">
        <f t="shared" si="2"/>
        <v>1.1000000000000005</v>
      </c>
      <c r="AN22">
        <f t="shared" si="3"/>
        <v>1.0102827763495754</v>
      </c>
      <c r="AO22" t="str">
        <f t="shared" si="4"/>
        <v>phi_L: 0.9
phi_R: 0.9</v>
      </c>
    </row>
    <row r="23" spans="1:41" x14ac:dyDescent="0.25">
      <c r="A23">
        <v>9</v>
      </c>
      <c r="B23" s="24">
        <v>0</v>
      </c>
      <c r="C23" s="6">
        <f t="shared" ca="1" si="5"/>
        <v>0</v>
      </c>
      <c r="D23" s="2">
        <v>0</v>
      </c>
      <c r="E23" s="2">
        <v>0</v>
      </c>
      <c r="G23" s="1">
        <v>11</v>
      </c>
      <c r="H23">
        <v>1.41</v>
      </c>
      <c r="I23">
        <v>1.56</v>
      </c>
      <c r="T23" t="e">
        <f t="shared" si="6"/>
        <v>#N/A</v>
      </c>
      <c r="U23" t="e">
        <f t="shared" si="7"/>
        <v>#N/A</v>
      </c>
      <c r="AH23">
        <v>1.1500000000000007E-2</v>
      </c>
      <c r="AI23">
        <v>302.077778823529</v>
      </c>
      <c r="AJ23">
        <v>298.85150117647106</v>
      </c>
      <c r="AK23">
        <v>0.9</v>
      </c>
      <c r="AL23">
        <v>0.9</v>
      </c>
      <c r="AM23">
        <f t="shared" si="2"/>
        <v>1.1500000000000006</v>
      </c>
      <c r="AN23">
        <f t="shared" si="3"/>
        <v>1.0107955878901635</v>
      </c>
      <c r="AO23" t="str">
        <f t="shared" si="4"/>
        <v>phi_L: 0.9
phi_R: 0.9</v>
      </c>
    </row>
    <row r="24" spans="1:41" x14ac:dyDescent="0.25">
      <c r="A24">
        <v>10</v>
      </c>
      <c r="B24" s="24">
        <v>0</v>
      </c>
      <c r="C24" s="6">
        <f t="shared" ca="1" si="5"/>
        <v>0</v>
      </c>
      <c r="D24" s="2">
        <v>0</v>
      </c>
      <c r="E24" s="2">
        <v>0</v>
      </c>
      <c r="G24" s="1">
        <v>14</v>
      </c>
      <c r="H24">
        <v>1.6930000000000001</v>
      </c>
      <c r="I24">
        <v>2.25</v>
      </c>
      <c r="T24" t="e">
        <f t="shared" si="6"/>
        <v>#N/A</v>
      </c>
      <c r="U24" t="e">
        <f t="shared" si="7"/>
        <v>#N/A</v>
      </c>
      <c r="AH24">
        <v>1.2000000000000007E-2</v>
      </c>
      <c r="AI24">
        <v>314.0406211763825</v>
      </c>
      <c r="AJ24">
        <v>310.52769882352982</v>
      </c>
      <c r="AK24">
        <v>0.9</v>
      </c>
      <c r="AL24">
        <v>0.9</v>
      </c>
      <c r="AM24">
        <f t="shared" si="2"/>
        <v>1.2000000000000006</v>
      </c>
      <c r="AN24">
        <f t="shared" si="3"/>
        <v>1.0113127504121591</v>
      </c>
      <c r="AO24" t="str">
        <f t="shared" si="4"/>
        <v>phi_L: 0.9
phi_R: 0.9</v>
      </c>
    </row>
    <row r="25" spans="1:41" x14ac:dyDescent="0.25">
      <c r="G25" s="1">
        <v>18</v>
      </c>
      <c r="H25">
        <v>2.2570000000000001</v>
      </c>
      <c r="I25">
        <v>4</v>
      </c>
      <c r="AH25">
        <v>1.2500000000000008E-2</v>
      </c>
      <c r="AI25">
        <v>325.90588235293956</v>
      </c>
      <c r="AJ25">
        <v>322.09411764705919</v>
      </c>
      <c r="AK25">
        <v>0.9</v>
      </c>
      <c r="AL25">
        <v>0.9</v>
      </c>
      <c r="AM25">
        <f t="shared" si="2"/>
        <v>1.2500000000000007</v>
      </c>
      <c r="AN25">
        <f t="shared" si="3"/>
        <v>1.0118343195266211</v>
      </c>
      <c r="AO25" t="str">
        <f t="shared" si="4"/>
        <v>phi_L: 0.9
phi_R: 0.9</v>
      </c>
    </row>
    <row r="26" spans="1:41" x14ac:dyDescent="0.25">
      <c r="G26" s="1" t="s">
        <v>82</v>
      </c>
      <c r="H26" s="25">
        <v>2.5000000000000001E-2</v>
      </c>
      <c r="I26">
        <f>IF(H27="web",(B5*B7)*H26,G10*H26)</f>
        <v>7.2</v>
      </c>
      <c r="AH26">
        <v>1.3000000000000008E-2</v>
      </c>
      <c r="AI26">
        <v>337.67356235294113</v>
      </c>
      <c r="AJ26">
        <v>333.55075764705919</v>
      </c>
      <c r="AK26">
        <v>0.9</v>
      </c>
      <c r="AL26">
        <v>0.9</v>
      </c>
      <c r="AM26">
        <f t="shared" si="2"/>
        <v>1.3000000000000007</v>
      </c>
      <c r="AN26">
        <f t="shared" si="3"/>
        <v>1.0123603517946267</v>
      </c>
      <c r="AO26" t="str">
        <f t="shared" si="4"/>
        <v>phi_L: 0.9
phi_R: 0.9</v>
      </c>
    </row>
    <row r="27" spans="1:41" x14ac:dyDescent="0.25">
      <c r="A27" t="s">
        <v>16</v>
      </c>
      <c r="B27" s="7">
        <v>0.56035987690475786</v>
      </c>
      <c r="C27" t="s">
        <v>17</v>
      </c>
      <c r="H27" s="26" t="s">
        <v>84</v>
      </c>
      <c r="AH27">
        <v>1.3500000000000009E-2</v>
      </c>
      <c r="AI27">
        <v>349.34366117647062</v>
      </c>
      <c r="AJ27">
        <v>344.89761882352957</v>
      </c>
      <c r="AK27">
        <v>0.9</v>
      </c>
      <c r="AL27">
        <v>0.9</v>
      </c>
      <c r="AM27">
        <f t="shared" si="2"/>
        <v>1.3500000000000008</v>
      </c>
      <c r="AN27">
        <f t="shared" si="3"/>
        <v>1.0128909047505368</v>
      </c>
      <c r="AO27" t="str">
        <f t="shared" si="4"/>
        <v>phi_L: 0.9
phi_R: 0.9</v>
      </c>
    </row>
    <row r="28" spans="1:41" x14ac:dyDescent="0.25">
      <c r="A28" t="s">
        <v>18</v>
      </c>
      <c r="B28" s="7">
        <v>11.958549098938057</v>
      </c>
      <c r="C28" t="s">
        <v>4</v>
      </c>
      <c r="AH28">
        <v>1.4000000000000009E-2</v>
      </c>
      <c r="AI28">
        <v>360.91617882363539</v>
      </c>
      <c r="AJ28">
        <v>356.1347011764708</v>
      </c>
      <c r="AK28">
        <v>0.9</v>
      </c>
      <c r="AL28">
        <v>0.9</v>
      </c>
      <c r="AM28">
        <f t="shared" si="2"/>
        <v>1.4000000000000008</v>
      </c>
      <c r="AN28">
        <f t="shared" si="3"/>
        <v>1.0134260369218986</v>
      </c>
      <c r="AO28" t="str">
        <f t="shared" si="4"/>
        <v>phi_L: 0.9
phi_R: 0.9</v>
      </c>
    </row>
    <row r="29" spans="1:41" x14ac:dyDescent="0.25">
      <c r="A29" t="s">
        <v>19</v>
      </c>
      <c r="B29" s="6">
        <f>B28*B4</f>
        <v>9.5668392791504449</v>
      </c>
      <c r="C29" t="s">
        <v>4</v>
      </c>
      <c r="AH29">
        <v>1.4500000000000009E-2</v>
      </c>
      <c r="AI29">
        <v>372.39111529412696</v>
      </c>
      <c r="AJ29">
        <v>367.26200470588242</v>
      </c>
      <c r="AK29">
        <v>0.9</v>
      </c>
      <c r="AL29">
        <v>0.9</v>
      </c>
      <c r="AM29">
        <f t="shared" si="2"/>
        <v>1.4500000000000008</v>
      </c>
      <c r="AN29">
        <f t="shared" si="3"/>
        <v>1.0139658078497724</v>
      </c>
      <c r="AO29" t="str">
        <f t="shared" si="4"/>
        <v>phi_L: 0.9
phi_R: 0.9</v>
      </c>
    </row>
    <row r="30" spans="1:41" x14ac:dyDescent="0.25">
      <c r="A30" t="s">
        <v>50</v>
      </c>
      <c r="B30" s="1">
        <v>3.0000000000000001E-3</v>
      </c>
      <c r="AH30">
        <v>1.500000000000001E-2</v>
      </c>
      <c r="AI30">
        <v>383.76847058823671</v>
      </c>
      <c r="AJ30">
        <v>378.27952941176466</v>
      </c>
      <c r="AK30">
        <v>0.9</v>
      </c>
      <c r="AL30">
        <v>0.9</v>
      </c>
      <c r="AM30">
        <f t="shared" si="2"/>
        <v>1.5000000000000009</v>
      </c>
      <c r="AN30">
        <f t="shared" si="3"/>
        <v>1.0145102781136677</v>
      </c>
      <c r="AO30" t="str">
        <f t="shared" si="4"/>
        <v>phi_L: 0.9
phi_R: 0.9</v>
      </c>
    </row>
    <row r="31" spans="1:41" x14ac:dyDescent="0.25">
      <c r="A31" t="s">
        <v>51</v>
      </c>
      <c r="B31" s="1">
        <f>B2*0.85</f>
        <v>4.25</v>
      </c>
      <c r="C31" t="s">
        <v>1</v>
      </c>
      <c r="AH31">
        <v>1.550000000000001E-2</v>
      </c>
      <c r="AI31">
        <v>395.0482447058821</v>
      </c>
      <c r="AJ31">
        <v>389.18727529411751</v>
      </c>
      <c r="AK31">
        <v>0.9</v>
      </c>
      <c r="AL31">
        <v>0.9</v>
      </c>
      <c r="AM31">
        <f t="shared" si="2"/>
        <v>1.5500000000000009</v>
      </c>
      <c r="AN31">
        <f t="shared" si="3"/>
        <v>1.0150595093514692</v>
      </c>
      <c r="AO31" t="str">
        <f t="shared" si="4"/>
        <v>phi_L: 0.9
phi_R: 0.9</v>
      </c>
    </row>
    <row r="32" spans="1:41" x14ac:dyDescent="0.25">
      <c r="AH32">
        <v>1.6000000000000011E-2</v>
      </c>
      <c r="AI32">
        <v>406.23043764705864</v>
      </c>
      <c r="AJ32">
        <v>399.98524235294104</v>
      </c>
      <c r="AK32">
        <v>0.9</v>
      </c>
      <c r="AL32">
        <v>0.9</v>
      </c>
      <c r="AM32">
        <f t="shared" ref="AM32:AM81" si="8">AH32*100</f>
        <v>1.600000000000001</v>
      </c>
      <c r="AN32">
        <f t="shared" ref="AN32:AN81" si="9">AI32/AJ32</f>
        <v>1.0156135642839716</v>
      </c>
      <c r="AO32" t="str">
        <f t="shared" ref="AO32:AO81" si="10">"phi_L: "&amp;ROUND(AK32,3)&amp;CHAR(10)&amp;"phi_R: "&amp;ROUND(AL32,3)</f>
        <v>phi_L: 0.9
phi_R: 0.9</v>
      </c>
    </row>
    <row r="33" spans="1:41" x14ac:dyDescent="0.25">
      <c r="A33" t="s">
        <v>20</v>
      </c>
      <c r="J33">
        <f>(J41*COS(-1*$B$27))+(K41*SIN(-1*$B$27))</f>
        <v>-12.591676828501495</v>
      </c>
      <c r="K33">
        <f>(-1*J41*SIN(-1*$B$27))+(K41*COS(-1*$B$27))</f>
        <v>7.9129807101090108</v>
      </c>
      <c r="N33">
        <f>(N41*COS(-1*$B$27))+(O41*SIN(-1*$B$27))</f>
        <v>-13.862849242294374</v>
      </c>
      <c r="O33">
        <f>(-1*N41*SIN(-1*$B$27))+(O41*COS(-1*$B$27))</f>
        <v>9.9389117445917936</v>
      </c>
      <c r="AH33">
        <v>1.6500000000000011E-2</v>
      </c>
      <c r="AI33">
        <v>412.80701647058788</v>
      </c>
      <c r="AJ33">
        <v>410.67343058823508</v>
      </c>
      <c r="AK33">
        <v>0.8902777777777775</v>
      </c>
      <c r="AL33">
        <v>0.9</v>
      </c>
      <c r="AM33">
        <f t="shared" si="8"/>
        <v>1.650000000000001</v>
      </c>
      <c r="AN33">
        <f t="shared" si="9"/>
        <v>1.0051953345978499</v>
      </c>
      <c r="AO33" t="str">
        <f t="shared" si="10"/>
        <v>phi_L: 0.89
phi_R: 0.9</v>
      </c>
    </row>
    <row r="34" spans="1:41" x14ac:dyDescent="0.25">
      <c r="J34">
        <f>(J42*COS(-1*$B$27))+(K42*SIN(-1*$B$27))</f>
        <v>34.386720736755564</v>
      </c>
      <c r="K34">
        <f>(-1*J42*SIN(-1*$B$27))+(K42*COS(-1*$B$27))</f>
        <v>37.389622319676477</v>
      </c>
      <c r="N34">
        <f>(N42*COS(-1*$B$27))+(O42*SIN(-1*$B$27))</f>
        <v>33.115548322962681</v>
      </c>
      <c r="O34">
        <f>(-1*N42*SIN(-1*$B$27))+(O42*COS(-1*$B$27))</f>
        <v>39.415553354159265</v>
      </c>
      <c r="AH34">
        <v>1.7000000000000012E-2</v>
      </c>
      <c r="AI34">
        <v>415.41335999999967</v>
      </c>
      <c r="AJ34">
        <v>421.25184000000036</v>
      </c>
      <c r="AK34">
        <v>0.87291666666666456</v>
      </c>
      <c r="AL34">
        <v>0.9</v>
      </c>
      <c r="AM34">
        <f t="shared" si="8"/>
        <v>1.7000000000000011</v>
      </c>
      <c r="AN34">
        <f t="shared" si="9"/>
        <v>0.98614016736401511</v>
      </c>
      <c r="AO34" t="str">
        <f t="shared" si="10"/>
        <v>phi_L: 0.873
phi_R: 0.9</v>
      </c>
    </row>
    <row r="35" spans="1:41" x14ac:dyDescent="0.25">
      <c r="A35" s="8" t="s">
        <v>21</v>
      </c>
      <c r="AH35">
        <v>1.7500000000000012E-2</v>
      </c>
      <c r="AI35">
        <v>417.98717647006163</v>
      </c>
      <c r="AJ35">
        <v>431.72047058823551</v>
      </c>
      <c r="AK35">
        <v>0.85654761904674803</v>
      </c>
      <c r="AL35">
        <v>0.9</v>
      </c>
      <c r="AM35">
        <f t="shared" si="8"/>
        <v>1.7500000000000011</v>
      </c>
      <c r="AN35">
        <f t="shared" si="9"/>
        <v>0.9681893839792638</v>
      </c>
      <c r="AO35" t="str">
        <f t="shared" si="10"/>
        <v>phi_L: 0.857
phi_R: 0.9</v>
      </c>
    </row>
    <row r="36" spans="1:41" x14ac:dyDescent="0.25">
      <c r="A36" s="1" t="s">
        <v>9</v>
      </c>
      <c r="B36" s="1" t="s">
        <v>10</v>
      </c>
      <c r="C36" s="1" t="s">
        <v>22</v>
      </c>
      <c r="D36" s="1" t="s">
        <v>23</v>
      </c>
      <c r="F36" s="8" t="s">
        <v>75</v>
      </c>
      <c r="G36" s="1">
        <f>(-1*0.003*MAX(J58:J67))/(0.002-0.003)</f>
        <v>65.47305631669029</v>
      </c>
      <c r="H36" s="15" t="s">
        <v>4</v>
      </c>
      <c r="J36" t="s">
        <v>54</v>
      </c>
      <c r="N36" t="s">
        <v>55</v>
      </c>
      <c r="AH36">
        <v>1.8000000000000013E-2</v>
      </c>
      <c r="AI36">
        <v>420.52846588223701</v>
      </c>
      <c r="AJ36">
        <v>442.0793223529414</v>
      </c>
      <c r="AK36">
        <v>0.84108796296277633</v>
      </c>
      <c r="AL36">
        <v>0.9</v>
      </c>
      <c r="AM36">
        <f t="shared" si="8"/>
        <v>1.8000000000000012</v>
      </c>
      <c r="AN36">
        <f t="shared" si="9"/>
        <v>0.95125115475656896</v>
      </c>
      <c r="AO36" t="str">
        <f t="shared" si="10"/>
        <v>phi_L: 0.841
phi_R: 0.9</v>
      </c>
    </row>
    <row r="37" spans="1:41" x14ac:dyDescent="0.25">
      <c r="A37" s="3">
        <f t="shared" ref="A37:A43" si="11">E3-$I$2</f>
        <v>-6</v>
      </c>
      <c r="B37" s="6">
        <f t="shared" ref="B37:B43" si="12">F3-$I$3</f>
        <v>-12</v>
      </c>
      <c r="C37" s="6">
        <f>A37*COS($B$27)+B37*SIN($B$27)</f>
        <v>-11.460276219815519</v>
      </c>
      <c r="D37" s="6">
        <f>-1*A37*SIN($B$27)+B37*COS($B$27)</f>
        <v>-6.9758203077151339</v>
      </c>
      <c r="F37" s="8" t="s">
        <v>24</v>
      </c>
      <c r="G37" s="1">
        <f>MAX(D37:D41)-MIN(D37:D41)</f>
        <v>19.133678558299085</v>
      </c>
      <c r="H37" t="s">
        <v>4</v>
      </c>
      <c r="J37" t="s">
        <v>9</v>
      </c>
      <c r="K37" t="s">
        <v>10</v>
      </c>
      <c r="N37" t="s">
        <v>9</v>
      </c>
      <c r="O37" t="s">
        <v>10</v>
      </c>
      <c r="AH37">
        <v>1.8500000000000013E-2</v>
      </c>
      <c r="AI37">
        <v>423.03722823526851</v>
      </c>
      <c r="AJ37">
        <v>452.32839529411837</v>
      </c>
      <c r="AK37">
        <v>0.82646396396392352</v>
      </c>
      <c r="AL37">
        <v>0.9</v>
      </c>
      <c r="AM37">
        <f t="shared" si="8"/>
        <v>1.8500000000000012</v>
      </c>
      <c r="AN37">
        <f t="shared" si="9"/>
        <v>0.93524358107165972</v>
      </c>
      <c r="AO37" t="str">
        <f t="shared" si="10"/>
        <v>phi_L: 0.826
phi_R: 0.9</v>
      </c>
    </row>
    <row r="38" spans="1:41" x14ac:dyDescent="0.25">
      <c r="A38" s="3">
        <f t="shared" si="11"/>
        <v>6</v>
      </c>
      <c r="B38" s="6">
        <f t="shared" si="12"/>
        <v>-12</v>
      </c>
      <c r="C38" s="6">
        <f t="shared" ref="C38:C41" si="13">A38*COS($B$27)+B38*SIN($B$27)</f>
        <v>-1.2955094857172043</v>
      </c>
      <c r="D38" s="6">
        <f t="shared" ref="D38:D41" si="14">-1*A38*SIN($B$27)+B38*COS($B$27)</f>
        <v>-13.353713160481496</v>
      </c>
      <c r="F38" s="8" t="s">
        <v>25</v>
      </c>
      <c r="G38" s="6">
        <f>MAX(D37:D43)</f>
        <v>13.353713160481496</v>
      </c>
      <c r="H38" t="s">
        <v>4</v>
      </c>
      <c r="J38" s="9">
        <f>MIN(C37:C43,A37:A43)-1</f>
        <v>-12.460276219815519</v>
      </c>
      <c r="K38" s="9">
        <f>G40</f>
        <v>1.3951640615434382</v>
      </c>
      <c r="N38" s="9">
        <f>J38</f>
        <v>-12.460276219815519</v>
      </c>
      <c r="O38" s="9">
        <f>G41</f>
        <v>3.7868738813310507</v>
      </c>
      <c r="AH38">
        <v>1.9000000000000013E-2</v>
      </c>
      <c r="AI38">
        <v>425.51346352940652</v>
      </c>
      <c r="AJ38">
        <v>462.46768941176538</v>
      </c>
      <c r="AK38">
        <v>0.81260964912279865</v>
      </c>
      <c r="AL38">
        <v>0.9</v>
      </c>
      <c r="AM38">
        <f t="shared" si="8"/>
        <v>1.9000000000000012</v>
      </c>
      <c r="AN38">
        <f t="shared" si="9"/>
        <v>0.92009338873086965</v>
      </c>
      <c r="AO38" t="str">
        <f t="shared" si="10"/>
        <v>phi_L: 0.813
phi_R: 0.9</v>
      </c>
    </row>
    <row r="39" spans="1:41" x14ac:dyDescent="0.25">
      <c r="A39" s="3">
        <f t="shared" si="11"/>
        <v>6</v>
      </c>
      <c r="B39" s="6">
        <f t="shared" si="12"/>
        <v>4</v>
      </c>
      <c r="C39" s="6">
        <f t="shared" si="13"/>
        <v>7.2083476513046119</v>
      </c>
      <c r="D39" s="6">
        <f t="shared" si="14"/>
        <v>0.19930915164959107</v>
      </c>
      <c r="J39" s="9">
        <f>MAX(C37:C43,A37:A43)+1</f>
        <v>43</v>
      </c>
      <c r="K39" s="9">
        <f>K38</f>
        <v>1.3951640615434382</v>
      </c>
      <c r="N39" s="9">
        <f>J39</f>
        <v>43</v>
      </c>
      <c r="O39" s="9">
        <f>G41</f>
        <v>3.7868738813310507</v>
      </c>
      <c r="AH39">
        <v>1.9500000000000014E-2</v>
      </c>
      <c r="AI39">
        <v>427.95717176470498</v>
      </c>
      <c r="AJ39">
        <v>472.12327529411721</v>
      </c>
      <c r="AK39">
        <v>0.79946581196581068</v>
      </c>
      <c r="AL39">
        <v>0.89928774928774735</v>
      </c>
      <c r="AM39">
        <f t="shared" si="8"/>
        <v>1.9500000000000013</v>
      </c>
      <c r="AN39">
        <f t="shared" si="9"/>
        <v>0.9064521792493746</v>
      </c>
      <c r="AO39" t="str">
        <f t="shared" si="10"/>
        <v>phi_L: 0.799
phi_R: 0.899</v>
      </c>
    </row>
    <row r="40" spans="1:41" x14ac:dyDescent="0.25">
      <c r="A40" s="3">
        <f t="shared" si="11"/>
        <v>42</v>
      </c>
      <c r="B40" s="6">
        <f t="shared" si="12"/>
        <v>4</v>
      </c>
      <c r="C40" s="6">
        <f t="shared" si="13"/>
        <v>37.702647853599558</v>
      </c>
      <c r="D40" s="6">
        <f t="shared" si="14"/>
        <v>-18.934369406649495</v>
      </c>
      <c r="F40" s="8" t="s">
        <v>52</v>
      </c>
      <c r="G40" s="9">
        <f>G38-B28</f>
        <v>1.3951640615434382</v>
      </c>
      <c r="AH40">
        <v>2.0000000000000014E-2</v>
      </c>
      <c r="AI40">
        <v>430.36835294117623</v>
      </c>
      <c r="AJ40">
        <v>473.11105882352899</v>
      </c>
      <c r="AK40">
        <v>0.78697916666666523</v>
      </c>
      <c r="AL40">
        <v>0.88263888888888731</v>
      </c>
      <c r="AM40">
        <f t="shared" si="8"/>
        <v>2.0000000000000013</v>
      </c>
      <c r="AN40">
        <f t="shared" si="9"/>
        <v>0.90965608373509643</v>
      </c>
      <c r="AO40" t="str">
        <f t="shared" si="10"/>
        <v>phi_L: 0.787
phi_R: 0.883</v>
      </c>
    </row>
    <row r="41" spans="1:41" x14ac:dyDescent="0.25">
      <c r="A41" s="3">
        <f t="shared" si="11"/>
        <v>42</v>
      </c>
      <c r="B41" s="6">
        <f t="shared" si="12"/>
        <v>12</v>
      </c>
      <c r="C41" s="6">
        <f t="shared" si="13"/>
        <v>41.954576422110463</v>
      </c>
      <c r="D41" s="6">
        <f t="shared" si="14"/>
        <v>-12.157858250583953</v>
      </c>
      <c r="F41" s="8" t="s">
        <v>53</v>
      </c>
      <c r="G41" s="9">
        <f>G38-B29</f>
        <v>3.7868738813310507</v>
      </c>
      <c r="J41" s="9">
        <f>J38+$I$2</f>
        <v>-6.460276219815519</v>
      </c>
      <c r="K41" s="9">
        <f>K38+$I$3</f>
        <v>13.395164061543438</v>
      </c>
      <c r="N41" s="9">
        <f>N38+$I$2</f>
        <v>-6.460276219815519</v>
      </c>
      <c r="O41" s="9">
        <f>O38+$I$3</f>
        <v>15.786873881331051</v>
      </c>
      <c r="AH41">
        <v>2.0500000000000015E-2</v>
      </c>
      <c r="AI41">
        <v>432.7470070588231</v>
      </c>
      <c r="AJ41">
        <v>474.07038117647028</v>
      </c>
      <c r="AK41">
        <v>0.77510162601625898</v>
      </c>
      <c r="AL41">
        <v>0.86680216802167909</v>
      </c>
      <c r="AM41">
        <f t="shared" si="8"/>
        <v>2.0500000000000016</v>
      </c>
      <c r="AN41">
        <f t="shared" si="9"/>
        <v>0.91283282871396099</v>
      </c>
      <c r="AO41" t="str">
        <f t="shared" si="10"/>
        <v>phi_L: 0.775
phi_R: 0.867</v>
      </c>
    </row>
    <row r="42" spans="1:41" x14ac:dyDescent="0.25">
      <c r="A42" s="3">
        <f t="shared" si="11"/>
        <v>-6</v>
      </c>
      <c r="B42" s="6">
        <f t="shared" si="12"/>
        <v>12</v>
      </c>
      <c r="C42" s="6">
        <f t="shared" ref="C42:C43" si="15">A42*COS($B$27)+B42*SIN($B$27)</f>
        <v>1.2955094857172043</v>
      </c>
      <c r="D42" s="6">
        <f t="shared" ref="D42:D43" si="16">-1*A42*SIN($B$27)+B42*COS($B$27)</f>
        <v>13.353713160481496</v>
      </c>
      <c r="J42" s="9">
        <f>J39+$I$2</f>
        <v>49</v>
      </c>
      <c r="K42" s="9">
        <f>K39+$I$3</f>
        <v>13.395164061543438</v>
      </c>
      <c r="N42" s="9">
        <f>N39+$I$2</f>
        <v>49</v>
      </c>
      <c r="O42" s="9">
        <f>O39+$I$3</f>
        <v>15.786873881331051</v>
      </c>
      <c r="AH42">
        <v>2.1000000000000015E-2</v>
      </c>
      <c r="AI42">
        <v>435.09313411764674</v>
      </c>
      <c r="AJ42">
        <v>475.00124235294106</v>
      </c>
      <c r="AK42">
        <v>0.76378968253968238</v>
      </c>
      <c r="AL42">
        <v>0.85171957671957588</v>
      </c>
      <c r="AM42">
        <f t="shared" si="8"/>
        <v>2.1000000000000014</v>
      </c>
      <c r="AN42">
        <f t="shared" si="9"/>
        <v>0.91598314977534034</v>
      </c>
      <c r="AO42" t="str">
        <f t="shared" si="10"/>
        <v>phi_L: 0.764
phi_R: 0.852</v>
      </c>
    </row>
    <row r="43" spans="1:41" x14ac:dyDescent="0.25">
      <c r="A43" s="3">
        <f t="shared" si="11"/>
        <v>-6</v>
      </c>
      <c r="B43" s="6">
        <f t="shared" si="12"/>
        <v>-12</v>
      </c>
      <c r="C43" s="6">
        <f t="shared" si="15"/>
        <v>-11.460276219815519</v>
      </c>
      <c r="D43" s="6">
        <f t="shared" si="16"/>
        <v>-6.9758203077151339</v>
      </c>
      <c r="AH43">
        <v>2.1500000000000016E-2</v>
      </c>
      <c r="AI43">
        <v>437.40673411764726</v>
      </c>
      <c r="AJ43">
        <v>475.90364235294101</v>
      </c>
      <c r="AK43">
        <v>0.75300387596899232</v>
      </c>
      <c r="AL43">
        <v>0.83733850129198895</v>
      </c>
      <c r="AM43">
        <f t="shared" si="8"/>
        <v>2.1500000000000017</v>
      </c>
      <c r="AN43">
        <f t="shared" si="9"/>
        <v>0.91910776718379572</v>
      </c>
      <c r="AO43" t="str">
        <f t="shared" si="10"/>
        <v>phi_L: 0.753
phi_R: 0.837</v>
      </c>
    </row>
    <row r="44" spans="1:41" x14ac:dyDescent="0.25">
      <c r="AH44">
        <v>2.2000000000000016E-2</v>
      </c>
      <c r="AI44">
        <v>439.68780705882318</v>
      </c>
      <c r="AJ44">
        <v>476.77758117647068</v>
      </c>
      <c r="AK44">
        <v>0.74270833333333286</v>
      </c>
      <c r="AL44">
        <v>0.82361111111111074</v>
      </c>
      <c r="AM44">
        <f t="shared" si="8"/>
        <v>2.2000000000000015</v>
      </c>
      <c r="AN44">
        <f t="shared" si="9"/>
        <v>0.92220738645863598</v>
      </c>
      <c r="AO44" t="str">
        <f t="shared" si="10"/>
        <v>phi_L: 0.743
phi_R: 0.824</v>
      </c>
    </row>
    <row r="45" spans="1:41" x14ac:dyDescent="0.25">
      <c r="A45" t="s">
        <v>28</v>
      </c>
      <c r="AH45">
        <v>2.2500000000000017E-2</v>
      </c>
      <c r="AI45">
        <v>441.93635294117627</v>
      </c>
      <c r="AJ45">
        <v>477.6230588235295</v>
      </c>
      <c r="AK45">
        <v>0.73287037037037006</v>
      </c>
      <c r="AL45">
        <v>0.81049382716049378</v>
      </c>
      <c r="AM45">
        <f t="shared" si="8"/>
        <v>2.2500000000000018</v>
      </c>
      <c r="AN45">
        <f t="shared" si="9"/>
        <v>0.92528269893364035</v>
      </c>
      <c r="AO45" t="str">
        <f t="shared" si="10"/>
        <v>phi_L: 0.733
phi_R: 0.81</v>
      </c>
    </row>
    <row r="46" spans="1:41" x14ac:dyDescent="0.25">
      <c r="B46" s="1" t="s">
        <v>29</v>
      </c>
      <c r="C46" s="1" t="s">
        <v>30</v>
      </c>
      <c r="D46" s="1" t="s">
        <v>31</v>
      </c>
      <c r="E46" s="1" t="s">
        <v>32</v>
      </c>
      <c r="F46" s="1" t="s">
        <v>33</v>
      </c>
      <c r="G46" s="1" t="s">
        <v>34</v>
      </c>
      <c r="H46" s="1" t="s">
        <v>35</v>
      </c>
      <c r="I46" s="1" t="s">
        <v>36</v>
      </c>
      <c r="J46" s="1" t="s">
        <v>37</v>
      </c>
      <c r="K46" s="1" t="s">
        <v>38</v>
      </c>
      <c r="L46" s="1" t="s">
        <v>39</v>
      </c>
      <c r="M46" s="1" t="s">
        <v>40</v>
      </c>
      <c r="N46" s="1" t="s">
        <v>41</v>
      </c>
      <c r="O46" s="1" t="s">
        <v>42</v>
      </c>
      <c r="P46" s="1" t="s">
        <v>43</v>
      </c>
      <c r="AH46">
        <v>2.3000000000000017E-2</v>
      </c>
      <c r="AI46">
        <v>444.15237176436938</v>
      </c>
      <c r="AJ46">
        <v>478.44007529411795</v>
      </c>
      <c r="AK46">
        <v>0.72346014492713817</v>
      </c>
      <c r="AL46">
        <v>0.79794685990338188</v>
      </c>
      <c r="AM46">
        <f t="shared" si="8"/>
        <v>2.3000000000000016</v>
      </c>
      <c r="AN46">
        <f t="shared" si="9"/>
        <v>0.92833438229715515</v>
      </c>
      <c r="AO46" t="str">
        <f t="shared" si="10"/>
        <v>phi_L: 0.723
phi_R: 0.798</v>
      </c>
    </row>
    <row r="47" spans="1:41" x14ac:dyDescent="0.25">
      <c r="A47" t="s">
        <v>44</v>
      </c>
      <c r="B47" s="6">
        <f>C37</f>
        <v>-11.460276219815519</v>
      </c>
      <c r="C47" s="6">
        <f>D37</f>
        <v>-6.9758203077151339</v>
      </c>
      <c r="D47" s="6">
        <f t="shared" ref="D47:E52" si="17">C38</f>
        <v>-1.2955094857172043</v>
      </c>
      <c r="E47" s="6">
        <f t="shared" si="17"/>
        <v>-13.353713160481496</v>
      </c>
      <c r="F47" s="6">
        <f t="shared" ref="F47:F52" si="18">IF(B47=D47,"V",(C47-E47)/(B47-D47))</f>
        <v>-0.62745098039203795</v>
      </c>
      <c r="G47" s="6">
        <f t="shared" ref="G47:G52" si="19">IF(F47="V",0,(-1*B47*F47)+C47)</f>
        <v>-14.16658185740194</v>
      </c>
      <c r="H47" s="6">
        <f>IF(AND(C47&lt;$G$41,E47&lt;$G$41),0,IF(AND(C47&lt;$G$41,E47&gt;$G$41),IF(F47="V",B47,($G$41-G47)/F47),B47))</f>
        <v>0</v>
      </c>
      <c r="I47" s="6">
        <f>IF(AND(C47&lt;$G$41,E47&lt;$G$41),0,IF(AND(C47&lt;$G$41,E47&gt;$G$41),$G$41,C47))</f>
        <v>0</v>
      </c>
      <c r="J47" s="6">
        <f>IF(AND(C47&lt;$G$41,E47&lt;$G$41),0,IF(E47&gt;=$G$41,D47,IF(F47="V",D47,($G$41-G47)/F47)))</f>
        <v>0</v>
      </c>
      <c r="K47" s="6">
        <f>IF(AND(C47&lt;$G$41,E47&lt;$G$41),0,IF(E47&gt;=$G$41,E47,$G$41))</f>
        <v>0</v>
      </c>
      <c r="L47" s="6">
        <f>IF(AND(I47=0,K47=0,H47=0,J47=0),0,$B$31)</f>
        <v>0</v>
      </c>
      <c r="M47" s="6">
        <f>IF(AND(I47=0,K47=0,H47=0,J47=0),0,$B$31)</f>
        <v>0</v>
      </c>
      <c r="N47" s="10">
        <f>(1/6)*(K47-I47)*((L47*((2*H47)+J47))+(M47*(H47+(2*J47))))</f>
        <v>0</v>
      </c>
      <c r="O47" s="10">
        <f>((1/12)*(K47-I47)*(L47*H47*((3*I47)+K47)+L47*J47*(I47+K47)+M47*H47*(I47+K47)+M47*J47*(I47+(3*K47))))</f>
        <v>0</v>
      </c>
      <c r="P47" s="10">
        <f>((-1/24)*(K47-I47)*(H47*H47*((3*L47)+M47)+2*H47*J47*(L47+M47)+J47*J47*(L47+(3*M47))))</f>
        <v>0</v>
      </c>
      <c r="S47" t="e">
        <f>IF(AND(I47=0,K47=0,H47=0,J47=0),NA(),H47)</f>
        <v>#N/A</v>
      </c>
      <c r="T47" t="e">
        <f>IF(AND(I47=0,K47=0,H47=0,J47=0),NA(),I47)</f>
        <v>#N/A</v>
      </c>
      <c r="V47" t="e">
        <f>IF(AND(I47=0,K47=0,H47=0,J47=0),NA(),J47)</f>
        <v>#N/A</v>
      </c>
      <c r="W47" t="e">
        <f>IF(AND(I47=0,K47=0,H47=0,J47=0),NA(),K47)</f>
        <v>#N/A</v>
      </c>
      <c r="AH47">
        <v>2.3500000000000017E-2</v>
      </c>
      <c r="AI47">
        <v>446.33586352929666</v>
      </c>
      <c r="AJ47">
        <v>479.2286305882356</v>
      </c>
      <c r="AK47">
        <v>0.71445035460979667</v>
      </c>
      <c r="AL47">
        <v>0.78593380614657249</v>
      </c>
      <c r="AM47">
        <f t="shared" si="8"/>
        <v>2.3500000000000019</v>
      </c>
      <c r="AN47">
        <f t="shared" si="9"/>
        <v>0.93136310111821929</v>
      </c>
      <c r="AO47" t="str">
        <f t="shared" si="10"/>
        <v>phi_L: 0.714
phi_R: 0.786</v>
      </c>
    </row>
    <row r="48" spans="1:41" x14ac:dyDescent="0.25">
      <c r="A48" t="s">
        <v>45</v>
      </c>
      <c r="B48" s="6">
        <f t="shared" ref="B48:C52" si="20">D47</f>
        <v>-1.2955094857172043</v>
      </c>
      <c r="C48" s="6">
        <f t="shared" si="20"/>
        <v>-13.353713160481496</v>
      </c>
      <c r="D48" s="6">
        <f t="shared" si="17"/>
        <v>7.2083476513046119</v>
      </c>
      <c r="E48" s="6">
        <f t="shared" si="17"/>
        <v>0.19930915164959107</v>
      </c>
      <c r="F48" s="6">
        <f t="shared" si="18"/>
        <v>1.593750000000302</v>
      </c>
      <c r="G48" s="6">
        <f t="shared" si="19"/>
        <v>-11.288994917619309</v>
      </c>
      <c r="H48" s="6">
        <f t="shared" ref="H48:H52" si="21">IF(AND(C48&lt;$G$41,E48&lt;$G$41),0,IF(AND(C48&lt;$G$41,E48&gt;$G$41),IF(F48="V",B48,($G$41-G48)/F48),B48))</f>
        <v>0</v>
      </c>
      <c r="I48" s="6">
        <f t="shared" ref="I48:I52" si="22">IF(AND(C48&lt;$G$41,E48&lt;$G$41),0,IF(AND(C48&lt;$G$41,E48&gt;$G$41),$G$41,C48))</f>
        <v>0</v>
      </c>
      <c r="J48" s="6">
        <f t="shared" ref="J48:J52" si="23">IF(AND(C48&lt;$G$41,E48&lt;$G$41),0,IF(E48&gt;=$G$41,D48,IF(F48="V",D48,($G$41-G48)/F48)))</f>
        <v>0</v>
      </c>
      <c r="K48" s="6">
        <f t="shared" ref="K48:K52" si="24">IF(AND(C48&lt;$G$41,E48&lt;$G$41),0,IF(E48&gt;=$G$41,E48,$G$41))</f>
        <v>0</v>
      </c>
      <c r="L48" s="6">
        <f t="shared" ref="L48:L52" si="25">IF(AND(I48=0,K48=0,H48=0,J48=0),0,$B$31)</f>
        <v>0</v>
      </c>
      <c r="M48" s="6">
        <f t="shared" ref="M48:M52" si="26">IF(AND(I48=0,K48=0,H48=0,J48=0),0,$B$31)</f>
        <v>0</v>
      </c>
      <c r="N48" s="10">
        <f t="shared" ref="N48:N52" si="27">(1/6)*(K48-I48)*((L48*((2*H48)+J48))+(M48*(H48+(2*J48))))</f>
        <v>0</v>
      </c>
      <c r="O48" s="10">
        <f t="shared" ref="O48:O52" si="28">((1/12)*(K48-I48)*(L48*H48*((3*I48)+K48)+L48*J48*(I48+K48)+M48*H48*(I48+K48)+M48*J48*(I48+(3*K48))))</f>
        <v>0</v>
      </c>
      <c r="P48" s="10">
        <f t="shared" ref="P48:P52" si="29">((-1/24)*(K48-I48)*(H48*H48*((3*L48)+M48)+2*H48*J48*(L48+M48)+J48*J48*(L48+(3*M48))))</f>
        <v>0</v>
      </c>
      <c r="S48" t="e">
        <f t="shared" ref="S48:S52" si="30">IF(AND(I48=0,K48=0,H48=0,J48=0),NA(),H48)</f>
        <v>#N/A</v>
      </c>
      <c r="T48" t="e">
        <f t="shared" ref="T48:T52" si="31">IF(AND(I48=0,K48=0,H48=0,J48=0),NA(),I48)</f>
        <v>#N/A</v>
      </c>
      <c r="V48" t="e">
        <f t="shared" ref="V48:V52" si="32">IF(AND(I48=0,K48=0,H48=0,J48=0),NA(),J48)</f>
        <v>#N/A</v>
      </c>
      <c r="W48" t="e">
        <f t="shared" ref="W48:W52" si="33">IF(AND(I48=0,K48=0,H48=0,J48=0),NA(),K48)</f>
        <v>#N/A</v>
      </c>
      <c r="AD48" t="str">
        <f>_xlfn.CONCAT("% As,",L_Section_Capacity!$H$27)</f>
        <v>% As,web</v>
      </c>
      <c r="AH48">
        <v>2.4000000000000018E-2</v>
      </c>
      <c r="AI48">
        <v>448.48682823529407</v>
      </c>
      <c r="AJ48">
        <v>479.98872470588282</v>
      </c>
      <c r="AK48">
        <v>0.70581597222222181</v>
      </c>
      <c r="AL48">
        <v>0.77442129629629697</v>
      </c>
      <c r="AM48">
        <f t="shared" si="8"/>
        <v>2.4000000000000017</v>
      </c>
      <c r="AN48">
        <f t="shared" si="9"/>
        <v>0.93436950734646573</v>
      </c>
      <c r="AO48" t="str">
        <f t="shared" si="10"/>
        <v>phi_L: 0.706
phi_R: 0.774</v>
      </c>
    </row>
    <row r="49" spans="1:41" x14ac:dyDescent="0.25">
      <c r="A49" t="s">
        <v>46</v>
      </c>
      <c r="B49" s="6">
        <f t="shared" si="20"/>
        <v>7.2083476513046119</v>
      </c>
      <c r="C49" s="6">
        <f t="shared" si="20"/>
        <v>0.19930915164959107</v>
      </c>
      <c r="D49" s="6">
        <f t="shared" si="17"/>
        <v>37.702647853599558</v>
      </c>
      <c r="E49" s="6">
        <f t="shared" si="17"/>
        <v>-18.934369406649495</v>
      </c>
      <c r="F49" s="6">
        <f t="shared" si="18"/>
        <v>-0.62745098039203795</v>
      </c>
      <c r="G49" s="6">
        <f t="shared" si="19"/>
        <v>4.7221939524673138</v>
      </c>
      <c r="H49" s="6">
        <f t="shared" si="21"/>
        <v>0</v>
      </c>
      <c r="I49" s="6">
        <f t="shared" si="22"/>
        <v>0</v>
      </c>
      <c r="J49" s="6">
        <f t="shared" si="23"/>
        <v>0</v>
      </c>
      <c r="K49" s="6">
        <f t="shared" si="24"/>
        <v>0</v>
      </c>
      <c r="L49" s="6">
        <f t="shared" si="25"/>
        <v>0</v>
      </c>
      <c r="M49" s="6">
        <f t="shared" si="26"/>
        <v>0</v>
      </c>
      <c r="N49" s="10">
        <f t="shared" si="27"/>
        <v>0</v>
      </c>
      <c r="O49" s="10">
        <f t="shared" si="28"/>
        <v>0</v>
      </c>
      <c r="P49" s="10">
        <f t="shared" si="29"/>
        <v>0</v>
      </c>
      <c r="S49" t="e">
        <f t="shared" si="30"/>
        <v>#N/A</v>
      </c>
      <c r="T49" t="e">
        <f t="shared" si="31"/>
        <v>#N/A</v>
      </c>
      <c r="V49" t="e">
        <f t="shared" si="32"/>
        <v>#N/A</v>
      </c>
      <c r="W49" t="e">
        <f t="shared" si="33"/>
        <v>#N/A</v>
      </c>
      <c r="AH49">
        <v>2.4500000000000018E-2</v>
      </c>
      <c r="AI49">
        <v>450.60526588235416</v>
      </c>
      <c r="AJ49">
        <v>480.7203576470593</v>
      </c>
      <c r="AK49">
        <v>0.69753401360544287</v>
      </c>
      <c r="AL49">
        <v>0.76337868480725701</v>
      </c>
      <c r="AM49">
        <f t="shared" si="8"/>
        <v>2.450000000000002</v>
      </c>
      <c r="AN49">
        <f t="shared" si="9"/>
        <v>0.93735424080622065</v>
      </c>
      <c r="AO49" t="str">
        <f t="shared" si="10"/>
        <v>phi_L: 0.698
phi_R: 0.763</v>
      </c>
    </row>
    <row r="50" spans="1:41" x14ac:dyDescent="0.25">
      <c r="A50" t="s">
        <v>47</v>
      </c>
      <c r="B50" s="6">
        <f t="shared" si="20"/>
        <v>37.702647853599558</v>
      </c>
      <c r="C50" s="6">
        <f t="shared" si="20"/>
        <v>-18.934369406649495</v>
      </c>
      <c r="D50" s="6">
        <f t="shared" si="17"/>
        <v>41.954576422110463</v>
      </c>
      <c r="E50" s="6">
        <f t="shared" si="17"/>
        <v>-12.157858250583953</v>
      </c>
      <c r="F50" s="6">
        <f t="shared" si="18"/>
        <v>1.5937500000003026</v>
      </c>
      <c r="G50" s="6">
        <f t="shared" si="19"/>
        <v>-79.022964423335196</v>
      </c>
      <c r="H50" s="6">
        <f t="shared" si="21"/>
        <v>0</v>
      </c>
      <c r="I50" s="6">
        <f t="shared" si="22"/>
        <v>0</v>
      </c>
      <c r="J50" s="6">
        <f t="shared" si="23"/>
        <v>0</v>
      </c>
      <c r="K50" s="6">
        <f t="shared" si="24"/>
        <v>0</v>
      </c>
      <c r="L50" s="6">
        <f t="shared" si="25"/>
        <v>0</v>
      </c>
      <c r="M50" s="6">
        <f t="shared" si="26"/>
        <v>0</v>
      </c>
      <c r="N50" s="10">
        <f t="shared" si="27"/>
        <v>0</v>
      </c>
      <c r="O50" s="10">
        <f t="shared" si="28"/>
        <v>0</v>
      </c>
      <c r="P50" s="10">
        <f t="shared" si="29"/>
        <v>0</v>
      </c>
      <c r="S50" t="e">
        <f t="shared" si="30"/>
        <v>#N/A</v>
      </c>
      <c r="T50" t="e">
        <f t="shared" si="31"/>
        <v>#N/A</v>
      </c>
      <c r="V50" t="e">
        <f t="shared" si="32"/>
        <v>#N/A</v>
      </c>
      <c r="W50" t="e">
        <f t="shared" si="33"/>
        <v>#N/A</v>
      </c>
      <c r="AH50">
        <v>2.5000000000000019E-2</v>
      </c>
      <c r="AI50">
        <v>452.69117647061648</v>
      </c>
      <c r="AJ50">
        <v>481.42352941176466</v>
      </c>
      <c r="AK50">
        <v>0.68958333333336308</v>
      </c>
      <c r="AL50">
        <v>0.75277777777777721</v>
      </c>
      <c r="AM50">
        <f t="shared" si="8"/>
        <v>2.5000000000000018</v>
      </c>
      <c r="AN50">
        <f t="shared" si="9"/>
        <v>0.94031792966942163</v>
      </c>
      <c r="AO50" t="str">
        <f t="shared" si="10"/>
        <v>phi_L: 0.69
phi_R: 0.753</v>
      </c>
    </row>
    <row r="51" spans="1:41" x14ac:dyDescent="0.25">
      <c r="A51" t="s">
        <v>48</v>
      </c>
      <c r="B51" s="6">
        <f t="shared" si="20"/>
        <v>41.954576422110463</v>
      </c>
      <c r="C51" s="6">
        <f t="shared" si="20"/>
        <v>-12.157858250583953</v>
      </c>
      <c r="D51" s="6">
        <f t="shared" si="17"/>
        <v>1.2955094857172043</v>
      </c>
      <c r="E51" s="6">
        <f t="shared" si="17"/>
        <v>13.353713160481496</v>
      </c>
      <c r="F51" s="6">
        <f t="shared" si="18"/>
        <v>-0.62745098039203795</v>
      </c>
      <c r="G51" s="6">
        <f t="shared" si="19"/>
        <v>14.166581857401937</v>
      </c>
      <c r="H51" s="6">
        <f t="shared" si="21"/>
        <v>16.542659586866108</v>
      </c>
      <c r="I51" s="6">
        <f t="shared" si="22"/>
        <v>3.7868738813310507</v>
      </c>
      <c r="J51" s="6">
        <f t="shared" si="23"/>
        <v>1.2955094857172043</v>
      </c>
      <c r="K51" s="6">
        <f t="shared" si="24"/>
        <v>13.353713160481496</v>
      </c>
      <c r="L51" s="6">
        <f t="shared" si="25"/>
        <v>4.25</v>
      </c>
      <c r="M51" s="6">
        <f t="shared" si="26"/>
        <v>4.25</v>
      </c>
      <c r="N51" s="10">
        <f t="shared" si="27"/>
        <v>362.64165517239798</v>
      </c>
      <c r="O51" s="10">
        <f t="shared" si="28"/>
        <v>2613.7106344974177</v>
      </c>
      <c r="P51" s="10">
        <f t="shared" si="29"/>
        <v>-2011.0591402927296</v>
      </c>
      <c r="S51">
        <f t="shared" si="30"/>
        <v>16.542659586866108</v>
      </c>
      <c r="T51">
        <f t="shared" si="31"/>
        <v>3.7868738813310507</v>
      </c>
      <c r="V51">
        <f t="shared" si="32"/>
        <v>1.2955094857172043</v>
      </c>
      <c r="W51">
        <f t="shared" si="33"/>
        <v>13.353713160481496</v>
      </c>
      <c r="AH51">
        <v>2.5500000000000019E-2</v>
      </c>
      <c r="AI51">
        <v>454.74456000000134</v>
      </c>
      <c r="AJ51">
        <v>482.09823999999986</v>
      </c>
      <c r="AK51">
        <v>0.68194444444444569</v>
      </c>
      <c r="AL51">
        <v>0.74259259259259203</v>
      </c>
      <c r="AM51">
        <f t="shared" si="8"/>
        <v>2.550000000000002</v>
      </c>
      <c r="AN51">
        <f t="shared" si="9"/>
        <v>0.94326119091412053</v>
      </c>
      <c r="AO51" t="str">
        <f t="shared" si="10"/>
        <v>phi_L: 0.682
phi_R: 0.743</v>
      </c>
    </row>
    <row r="52" spans="1:41" ht="15.75" thickBot="1" x14ac:dyDescent="0.3">
      <c r="A52" t="s">
        <v>49</v>
      </c>
      <c r="B52" s="6">
        <f t="shared" si="20"/>
        <v>1.2955094857172043</v>
      </c>
      <c r="C52" s="6">
        <f t="shared" si="20"/>
        <v>13.353713160481496</v>
      </c>
      <c r="D52" s="6">
        <f t="shared" si="17"/>
        <v>-11.460276219815519</v>
      </c>
      <c r="E52" s="6">
        <f t="shared" si="17"/>
        <v>-6.9758203077151339</v>
      </c>
      <c r="F52" s="6">
        <f t="shared" si="18"/>
        <v>1.593750000000302</v>
      </c>
      <c r="G52" s="6">
        <f t="shared" si="19"/>
        <v>11.288994917619309</v>
      </c>
      <c r="H52" s="6">
        <f t="shared" si="21"/>
        <v>1.2955094857172043</v>
      </c>
      <c r="I52" s="6">
        <f t="shared" si="22"/>
        <v>13.353713160481496</v>
      </c>
      <c r="J52" s="6">
        <f t="shared" si="23"/>
        <v>-4.7072131992388</v>
      </c>
      <c r="K52" s="6">
        <f t="shared" si="24"/>
        <v>3.7868738813310507</v>
      </c>
      <c r="L52" s="6">
        <f t="shared" si="25"/>
        <v>4.25</v>
      </c>
      <c r="M52" s="6">
        <f t="shared" si="26"/>
        <v>4.25</v>
      </c>
      <c r="N52" s="11">
        <f t="shared" si="27"/>
        <v>69.358344827601414</v>
      </c>
      <c r="O52" s="11">
        <f t="shared" si="28"/>
        <v>399.84373843525498</v>
      </c>
      <c r="P52" s="11">
        <f t="shared" si="29"/>
        <v>120.20149453112224</v>
      </c>
      <c r="S52">
        <f t="shared" si="30"/>
        <v>1.2955094857172043</v>
      </c>
      <c r="T52">
        <f t="shared" si="31"/>
        <v>13.353713160481496</v>
      </c>
      <c r="V52">
        <f t="shared" si="32"/>
        <v>-4.7072131992388</v>
      </c>
      <c r="W52">
        <f t="shared" si="33"/>
        <v>3.7868738813310507</v>
      </c>
      <c r="AH52">
        <v>2.600000000000002E-2</v>
      </c>
      <c r="AI52">
        <v>456.76541647058821</v>
      </c>
      <c r="AJ52">
        <v>482.74448941176479</v>
      </c>
      <c r="AK52">
        <v>0.67459935897435863</v>
      </c>
      <c r="AL52">
        <v>0.73279914529914503</v>
      </c>
      <c r="AM52">
        <f t="shared" si="8"/>
        <v>2.6000000000000019</v>
      </c>
      <c r="AN52">
        <f t="shared" si="9"/>
        <v>0.94618463077054971</v>
      </c>
      <c r="AO52" t="str">
        <f t="shared" si="10"/>
        <v>phi_L: 0.675
phi_R: 0.733</v>
      </c>
    </row>
    <row r="53" spans="1:41" ht="15.75" thickTop="1" x14ac:dyDescent="0.25">
      <c r="N53" s="6">
        <f>SUM(N47:N52)</f>
        <v>431.99999999999937</v>
      </c>
      <c r="O53" s="6">
        <f t="shared" ref="O53:P53" si="34">SUM(O47:O52)</f>
        <v>3013.5543729326728</v>
      </c>
      <c r="P53" s="6">
        <f t="shared" si="34"/>
        <v>-1890.8576457616073</v>
      </c>
      <c r="AH53">
        <v>2.650000000000002E-2</v>
      </c>
      <c r="AI53">
        <v>458.75374588235331</v>
      </c>
      <c r="AJ53">
        <v>483.36227764705825</v>
      </c>
      <c r="AK53">
        <v>0.66753144654088081</v>
      </c>
      <c r="AL53">
        <v>0.72337526205450586</v>
      </c>
      <c r="AM53">
        <f t="shared" si="8"/>
        <v>2.6500000000000021</v>
      </c>
      <c r="AN53">
        <f t="shared" si="9"/>
        <v>0.94908884515255121</v>
      </c>
      <c r="AO53" t="str">
        <f t="shared" si="10"/>
        <v>phi_L: 0.668
phi_R: 0.723</v>
      </c>
    </row>
    <row r="54" spans="1:41" x14ac:dyDescent="0.25">
      <c r="AH54">
        <v>2.7000000000000021E-2</v>
      </c>
      <c r="AI54">
        <v>460.70954823529411</v>
      </c>
      <c r="AJ54">
        <v>483.95160470588189</v>
      </c>
      <c r="AK54">
        <v>0.66072530864197532</v>
      </c>
      <c r="AL54">
        <v>0.71430041152263246</v>
      </c>
      <c r="AM54">
        <f t="shared" si="8"/>
        <v>2.700000000000002</v>
      </c>
      <c r="AN54">
        <f t="shared" si="9"/>
        <v>0.95197442007716249</v>
      </c>
      <c r="AO54" t="str">
        <f t="shared" si="10"/>
        <v>phi_L: 0.661
phi_R: 0.714</v>
      </c>
    </row>
    <row r="55" spans="1:41" x14ac:dyDescent="0.25">
      <c r="A55" t="s">
        <v>56</v>
      </c>
      <c r="AH55">
        <v>2.7500000000000021E-2</v>
      </c>
      <c r="AI55">
        <v>462.31821691912575</v>
      </c>
      <c r="AJ55">
        <v>484.51247058823492</v>
      </c>
      <c r="AK55">
        <v>0.65523069336350204</v>
      </c>
      <c r="AL55">
        <v>0.70555555555555438</v>
      </c>
      <c r="AM55">
        <f t="shared" si="8"/>
        <v>2.7500000000000022</v>
      </c>
      <c r="AN55">
        <f t="shared" si="9"/>
        <v>0.95419260593609967</v>
      </c>
      <c r="AO55" t="str">
        <f t="shared" si="10"/>
        <v>phi_L: 0.655
phi_R: 0.706</v>
      </c>
    </row>
    <row r="56" spans="1:41" x14ac:dyDescent="0.25">
      <c r="AH56">
        <v>2.8000000000000021E-2</v>
      </c>
      <c r="AI56">
        <v>462.93320283388067</v>
      </c>
      <c r="AJ56">
        <v>485.04487529411728</v>
      </c>
      <c r="AK56">
        <v>0.65315391598192629</v>
      </c>
      <c r="AL56">
        <v>0.69712301587301495</v>
      </c>
      <c r="AM56">
        <f t="shared" si="8"/>
        <v>2.800000000000002</v>
      </c>
      <c r="AN56">
        <f t="shared" si="9"/>
        <v>0.95441314074944361</v>
      </c>
      <c r="AO56" t="str">
        <f t="shared" si="10"/>
        <v>phi_L: 0.653
phi_R: 0.697</v>
      </c>
    </row>
    <row r="57" spans="1:41" x14ac:dyDescent="0.25">
      <c r="A57">
        <f>A14</f>
        <v>0</v>
      </c>
      <c r="B57" s="1" t="str">
        <f t="shared" ref="B57:D57" si="35">B14</f>
        <v>Bar #</v>
      </c>
      <c r="C57" s="1" t="str">
        <f t="shared" si="35"/>
        <v>As (in^2)</v>
      </c>
      <c r="D57" s="1" t="str">
        <f t="shared" si="35"/>
        <v>x</v>
      </c>
      <c r="E57" s="1" t="str">
        <f>E14</f>
        <v>y</v>
      </c>
      <c r="F57" s="1" t="s">
        <v>57</v>
      </c>
      <c r="G57" s="1" t="s">
        <v>58</v>
      </c>
      <c r="H57" s="1" t="s">
        <v>22</v>
      </c>
      <c r="I57" s="1" t="s">
        <v>23</v>
      </c>
      <c r="J57" s="1" t="s">
        <v>59</v>
      </c>
      <c r="K57" s="1" t="s">
        <v>60</v>
      </c>
      <c r="L57" s="1" t="s">
        <v>61</v>
      </c>
      <c r="M57" s="1" t="s">
        <v>62</v>
      </c>
      <c r="N57" s="1" t="s">
        <v>63</v>
      </c>
      <c r="O57" s="1" t="s">
        <v>64</v>
      </c>
      <c r="AH57">
        <v>2.8500000000000022E-2</v>
      </c>
      <c r="AI57">
        <v>463.53495296005582</v>
      </c>
      <c r="AJ57">
        <v>485.54881882352925</v>
      </c>
      <c r="AK57">
        <v>0.65113425058080066</v>
      </c>
      <c r="AL57">
        <v>0.6889863547758277</v>
      </c>
      <c r="AM57">
        <f t="shared" si="8"/>
        <v>2.8500000000000023</v>
      </c>
      <c r="AN57">
        <f t="shared" si="9"/>
        <v>0.95466188978316868</v>
      </c>
      <c r="AO57" t="str">
        <f t="shared" si="10"/>
        <v>phi_L: 0.651
phi_R: 0.689</v>
      </c>
    </row>
    <row r="58" spans="1:41" x14ac:dyDescent="0.25">
      <c r="A58">
        <f t="shared" ref="A58:D67" si="36">A15</f>
        <v>1</v>
      </c>
      <c r="B58" s="1" t="str">
        <f t="shared" si="36"/>
        <v>P</v>
      </c>
      <c r="C58" s="1">
        <f t="shared" ca="1" si="36"/>
        <v>7.2</v>
      </c>
      <c r="D58" s="1">
        <f t="shared" si="36"/>
        <v>6</v>
      </c>
      <c r="E58" s="1">
        <f t="shared" ref="E58" si="37">E15</f>
        <v>2</v>
      </c>
      <c r="F58" s="1">
        <f>D58-$I$2</f>
        <v>0</v>
      </c>
      <c r="G58" s="1">
        <f>E58-$I$3</f>
        <v>-10</v>
      </c>
      <c r="H58" s="6">
        <f>F58*COS($B$27)+G58*SIN($B$27)</f>
        <v>-5.3149107106386353</v>
      </c>
      <c r="I58" s="6">
        <f>-1*F58*SIN($B$27)+G58*COS($B$27)</f>
        <v>-8.4706389450819302</v>
      </c>
      <c r="J58" s="6">
        <f>$G$38-I58</f>
        <v>21.824352105563428</v>
      </c>
      <c r="K58">
        <f ca="1">IF($B$28=0,-1,IF(C58=0,0,(($B$28-J58)/$B$28)*$B$30)*IF($B$28&lt;0,-1,1))</f>
        <v>-2.4750000000003697E-3</v>
      </c>
      <c r="L58">
        <f ca="1">IF(AND(K58&gt;0,J58&lt;=$B$29),MIN((K58*B$13),B$12)-$B$31,MAX(K58*B$13,-1*B$12))</f>
        <v>-60</v>
      </c>
      <c r="M58" s="6">
        <f ca="1">L58*C58</f>
        <v>-432</v>
      </c>
      <c r="N58" s="6">
        <f ca="1">M58*I58</f>
        <v>3659.3160242753938</v>
      </c>
      <c r="O58" s="6">
        <f ca="1">M58*H58*-1</f>
        <v>-2296.0414269958906</v>
      </c>
      <c r="Q58">
        <f>IF($B58=0,NA(),H58)</f>
        <v>-5.3149107106386353</v>
      </c>
      <c r="R58">
        <f>IF($B58=0,NA(),I58)</f>
        <v>-8.4706389450819302</v>
      </c>
      <c r="AH58">
        <v>2.9000000000000022E-2</v>
      </c>
      <c r="AI58">
        <v>464.71789885446231</v>
      </c>
      <c r="AJ58">
        <v>486.02430117647037</v>
      </c>
      <c r="AK58">
        <v>0.65</v>
      </c>
      <c r="AL58">
        <v>0.68113026819923306</v>
      </c>
      <c r="AM58">
        <f t="shared" si="8"/>
        <v>2.9000000000000021</v>
      </c>
      <c r="AN58">
        <f t="shared" si="9"/>
        <v>0.95616185801731768</v>
      </c>
      <c r="AO58" t="str">
        <f t="shared" si="10"/>
        <v>phi_L: 0.65
phi_R: 0.681</v>
      </c>
    </row>
    <row r="59" spans="1:41" x14ac:dyDescent="0.25">
      <c r="A59">
        <f t="shared" si="36"/>
        <v>2</v>
      </c>
      <c r="B59" s="1">
        <f t="shared" si="36"/>
        <v>0</v>
      </c>
      <c r="C59" s="1">
        <f t="shared" ca="1" si="36"/>
        <v>0</v>
      </c>
      <c r="D59" s="1">
        <f t="shared" si="36"/>
        <v>0</v>
      </c>
      <c r="E59" s="1">
        <f t="shared" ref="E59" si="38">E16</f>
        <v>0</v>
      </c>
      <c r="F59" s="1">
        <f t="shared" ref="F59:F67" si="39">D59-$I$2</f>
        <v>-6</v>
      </c>
      <c r="G59" s="1">
        <f t="shared" ref="G59:G67" si="40">E59-$I$3</f>
        <v>-12</v>
      </c>
      <c r="H59" s="6">
        <f t="shared" ref="H59:H67" si="41">F59*COS($B$27)+G59*SIN($B$27)</f>
        <v>-11.460276219815519</v>
      </c>
      <c r="I59" s="6">
        <f t="shared" ref="I59:I67" si="42">-1*F59*SIN($B$27)+G59*COS($B$27)</f>
        <v>-6.9758203077151339</v>
      </c>
      <c r="J59" s="6">
        <f t="shared" ref="J59:J67" si="43">$G$38-I59</f>
        <v>20.32953346819663</v>
      </c>
      <c r="K59">
        <f t="shared" ref="K59:K67" ca="1" si="44">IF($B$28=0,-1,IF(C59=0,0,(($B$28-J59)/$B$28)*$B$30)*IF($B$28&lt;0,-1,1))</f>
        <v>0</v>
      </c>
      <c r="L59">
        <f t="shared" ref="L59:L67" ca="1" si="45">IF(AND(K59&gt;0,J59&lt;=$B$29),MIN((K59*B$13),B$12)-$B$31,MAX(K59*B$13,-1*B$12))</f>
        <v>0</v>
      </c>
      <c r="M59" s="6">
        <f t="shared" ref="M59:M67" ca="1" si="46">L59*C59</f>
        <v>0</v>
      </c>
      <c r="N59" s="6">
        <f t="shared" ref="N59:N67" ca="1" si="47">M59*I59</f>
        <v>0</v>
      </c>
      <c r="O59" s="6">
        <f t="shared" ref="O59:O67" ca="1" si="48">M59*H59*-1</f>
        <v>0</v>
      </c>
      <c r="Q59" t="e">
        <f t="shared" ref="Q59:Q67" si="49">IF($B59=0,NA(),H59)</f>
        <v>#N/A</v>
      </c>
      <c r="R59" t="e">
        <f t="shared" ref="R59:R67" si="50">IF($B59=0,NA(),I59)</f>
        <v>#N/A</v>
      </c>
      <c r="AH59">
        <v>2.9500000000000023E-2</v>
      </c>
      <c r="AI59">
        <v>466.6702942071322</v>
      </c>
      <c r="AJ59">
        <v>486.471322352941</v>
      </c>
      <c r="AK59">
        <v>0.65</v>
      </c>
      <c r="AL59">
        <v>0.67354048964218405</v>
      </c>
      <c r="AM59">
        <f t="shared" si="8"/>
        <v>2.9500000000000024</v>
      </c>
      <c r="AN59">
        <f t="shared" si="9"/>
        <v>0.95929661783548481</v>
      </c>
      <c r="AO59" t="str">
        <f t="shared" si="10"/>
        <v>phi_L: 0.65
phi_R: 0.674</v>
      </c>
    </row>
    <row r="60" spans="1:41" x14ac:dyDescent="0.25">
      <c r="A60">
        <f t="shared" si="36"/>
        <v>3</v>
      </c>
      <c r="B60" s="1">
        <f t="shared" si="36"/>
        <v>0</v>
      </c>
      <c r="C60" s="1">
        <f t="shared" ca="1" si="36"/>
        <v>0</v>
      </c>
      <c r="D60" s="1">
        <f t="shared" si="36"/>
        <v>0</v>
      </c>
      <c r="E60" s="1">
        <f t="shared" ref="E60" si="51">E17</f>
        <v>0</v>
      </c>
      <c r="F60" s="1">
        <f t="shared" si="39"/>
        <v>-6</v>
      </c>
      <c r="G60" s="1">
        <f t="shared" si="40"/>
        <v>-12</v>
      </c>
      <c r="H60" s="6">
        <f t="shared" si="41"/>
        <v>-11.460276219815519</v>
      </c>
      <c r="I60" s="6">
        <f t="shared" si="42"/>
        <v>-6.9758203077151339</v>
      </c>
      <c r="J60" s="6">
        <f t="shared" si="43"/>
        <v>20.32953346819663</v>
      </c>
      <c r="K60">
        <f t="shared" ca="1" si="44"/>
        <v>0</v>
      </c>
      <c r="L60">
        <f t="shared" ca="1" si="45"/>
        <v>0</v>
      </c>
      <c r="M60" s="6">
        <f t="shared" ca="1" si="46"/>
        <v>0</v>
      </c>
      <c r="N60" s="6">
        <f t="shared" ca="1" si="47"/>
        <v>0</v>
      </c>
      <c r="O60" s="6">
        <f t="shared" ca="1" si="48"/>
        <v>0</v>
      </c>
      <c r="Q60" t="e">
        <f t="shared" si="49"/>
        <v>#N/A</v>
      </c>
      <c r="R60" t="e">
        <f t="shared" si="50"/>
        <v>#N/A</v>
      </c>
      <c r="AH60">
        <v>3.0000000000000023E-2</v>
      </c>
      <c r="AI60">
        <v>468.58588283297178</v>
      </c>
      <c r="AJ60">
        <v>486.88988235294119</v>
      </c>
      <c r="AK60">
        <v>0.65</v>
      </c>
      <c r="AL60">
        <v>0.6662037037037033</v>
      </c>
      <c r="AM60">
        <f t="shared" si="8"/>
        <v>3.0000000000000022</v>
      </c>
      <c r="AN60">
        <f t="shared" si="9"/>
        <v>0.96240628490468194</v>
      </c>
      <c r="AO60" t="str">
        <f t="shared" si="10"/>
        <v>phi_L: 0.65
phi_R: 0.666</v>
      </c>
    </row>
    <row r="61" spans="1:41" x14ac:dyDescent="0.25">
      <c r="A61">
        <f t="shared" si="36"/>
        <v>4</v>
      </c>
      <c r="B61" s="1">
        <f t="shared" si="36"/>
        <v>0</v>
      </c>
      <c r="C61" s="1">
        <f t="shared" ca="1" si="36"/>
        <v>0</v>
      </c>
      <c r="D61" s="1">
        <f t="shared" si="36"/>
        <v>0</v>
      </c>
      <c r="E61" s="1">
        <f t="shared" ref="E61" si="52">E18</f>
        <v>0</v>
      </c>
      <c r="F61" s="1">
        <f t="shared" si="39"/>
        <v>-6</v>
      </c>
      <c r="G61" s="1">
        <f t="shared" si="40"/>
        <v>-12</v>
      </c>
      <c r="H61" s="6">
        <f t="shared" si="41"/>
        <v>-11.460276219815519</v>
      </c>
      <c r="I61" s="6">
        <f t="shared" si="42"/>
        <v>-6.9758203077151339</v>
      </c>
      <c r="J61" s="6">
        <f t="shared" si="43"/>
        <v>20.32953346819663</v>
      </c>
      <c r="K61">
        <f t="shared" ca="1" si="44"/>
        <v>0</v>
      </c>
      <c r="L61">
        <f t="shared" ca="1" si="45"/>
        <v>0</v>
      </c>
      <c r="M61" s="6">
        <f t="shared" ca="1" si="46"/>
        <v>0</v>
      </c>
      <c r="N61" s="6">
        <f t="shared" ca="1" si="47"/>
        <v>0</v>
      </c>
      <c r="O61" s="6">
        <f t="shared" ca="1" si="48"/>
        <v>0</v>
      </c>
      <c r="Q61" t="e">
        <f t="shared" si="49"/>
        <v>#N/A</v>
      </c>
      <c r="R61" t="e">
        <f t="shared" si="50"/>
        <v>#N/A</v>
      </c>
      <c r="AH61">
        <v>3.0500000000000024E-2</v>
      </c>
      <c r="AI61">
        <v>470.46581366134467</v>
      </c>
      <c r="AJ61">
        <v>487.27998117647064</v>
      </c>
      <c r="AK61">
        <v>0.65</v>
      </c>
      <c r="AL61">
        <v>0.65910746812386134</v>
      </c>
      <c r="AM61">
        <f t="shared" si="8"/>
        <v>3.0500000000000025</v>
      </c>
      <c r="AN61">
        <f t="shared" si="9"/>
        <v>0.96549382661990246</v>
      </c>
      <c r="AO61" t="str">
        <f t="shared" si="10"/>
        <v>phi_L: 0.65
phi_R: 0.659</v>
      </c>
    </row>
    <row r="62" spans="1:41" x14ac:dyDescent="0.25">
      <c r="A62">
        <f t="shared" si="36"/>
        <v>5</v>
      </c>
      <c r="B62" s="1">
        <f t="shared" si="36"/>
        <v>0</v>
      </c>
      <c r="C62" s="1">
        <f t="shared" ca="1" si="36"/>
        <v>0</v>
      </c>
      <c r="D62" s="1">
        <f t="shared" si="36"/>
        <v>0</v>
      </c>
      <c r="E62" s="1">
        <f t="shared" ref="E62" si="53">E19</f>
        <v>0</v>
      </c>
      <c r="F62" s="1">
        <f t="shared" si="39"/>
        <v>-6</v>
      </c>
      <c r="G62" s="1">
        <f t="shared" si="40"/>
        <v>-12</v>
      </c>
      <c r="H62" s="6">
        <f t="shared" si="41"/>
        <v>-11.460276219815519</v>
      </c>
      <c r="I62" s="6">
        <f t="shared" si="42"/>
        <v>-6.9758203077151339</v>
      </c>
      <c r="J62" s="6">
        <f t="shared" si="43"/>
        <v>20.32953346819663</v>
      </c>
      <c r="K62">
        <f t="shared" ca="1" si="44"/>
        <v>0</v>
      </c>
      <c r="L62">
        <f t="shared" ca="1" si="45"/>
        <v>0</v>
      </c>
      <c r="M62" s="6">
        <f t="shared" ca="1" si="46"/>
        <v>0</v>
      </c>
      <c r="N62" s="6">
        <f t="shared" ca="1" si="47"/>
        <v>0</v>
      </c>
      <c r="O62" s="6">
        <f t="shared" ca="1" si="48"/>
        <v>0</v>
      </c>
      <c r="Q62" t="e">
        <f t="shared" si="49"/>
        <v>#N/A</v>
      </c>
      <c r="R62" t="e">
        <f t="shared" si="50"/>
        <v>#N/A</v>
      </c>
      <c r="AH62">
        <v>3.1000000000000024E-2</v>
      </c>
      <c r="AI62">
        <v>472.31118412636727</v>
      </c>
      <c r="AJ62">
        <v>487.51250206908423</v>
      </c>
      <c r="AK62">
        <v>0.65</v>
      </c>
      <c r="AL62">
        <v>0.65472886648986572</v>
      </c>
      <c r="AM62">
        <f t="shared" si="8"/>
        <v>3.1000000000000023</v>
      </c>
      <c r="AN62">
        <f t="shared" si="9"/>
        <v>0.9688186090034614</v>
      </c>
      <c r="AO62" t="str">
        <f t="shared" si="10"/>
        <v>phi_L: 0.65
phi_R: 0.655</v>
      </c>
    </row>
    <row r="63" spans="1:41" x14ac:dyDescent="0.25">
      <c r="A63">
        <f t="shared" si="36"/>
        <v>6</v>
      </c>
      <c r="B63" s="1">
        <f t="shared" si="36"/>
        <v>0</v>
      </c>
      <c r="C63" s="1">
        <f t="shared" ca="1" si="36"/>
        <v>0</v>
      </c>
      <c r="D63" s="1">
        <f t="shared" si="36"/>
        <v>0</v>
      </c>
      <c r="E63" s="1">
        <f t="shared" ref="E63" si="54">E20</f>
        <v>0</v>
      </c>
      <c r="F63" s="1">
        <f t="shared" si="39"/>
        <v>-6</v>
      </c>
      <c r="G63" s="1">
        <f t="shared" si="40"/>
        <v>-12</v>
      </c>
      <c r="H63" s="6">
        <f t="shared" si="41"/>
        <v>-11.460276219815519</v>
      </c>
      <c r="I63" s="6">
        <f t="shared" si="42"/>
        <v>-6.9758203077151339</v>
      </c>
      <c r="J63" s="6">
        <f t="shared" si="43"/>
        <v>20.32953346819663</v>
      </c>
      <c r="K63">
        <f t="shared" ca="1" si="44"/>
        <v>0</v>
      </c>
      <c r="L63">
        <f t="shared" ca="1" si="45"/>
        <v>0</v>
      </c>
      <c r="M63" s="6">
        <f t="shared" ca="1" si="46"/>
        <v>0</v>
      </c>
      <c r="N63" s="6">
        <f t="shared" ca="1" si="47"/>
        <v>0</v>
      </c>
      <c r="O63" s="6">
        <f t="shared" ca="1" si="48"/>
        <v>0</v>
      </c>
      <c r="Q63" t="e">
        <f t="shared" si="49"/>
        <v>#N/A</v>
      </c>
      <c r="R63" t="e">
        <f t="shared" si="50"/>
        <v>#N/A</v>
      </c>
      <c r="AH63">
        <v>3.1500000000000021E-2</v>
      </c>
      <c r="AI63">
        <v>474.12304320250621</v>
      </c>
      <c r="AJ63">
        <v>487.61336401498068</v>
      </c>
      <c r="AK63">
        <v>0.65</v>
      </c>
      <c r="AL63">
        <v>0.65278855666982427</v>
      </c>
      <c r="AM63">
        <f t="shared" si="8"/>
        <v>3.1500000000000021</v>
      </c>
      <c r="AN63">
        <f t="shared" si="9"/>
        <v>0.97233398055091036</v>
      </c>
      <c r="AO63" t="str">
        <f t="shared" si="10"/>
        <v>phi_L: 0.65
phi_R: 0.653</v>
      </c>
    </row>
    <row r="64" spans="1:41" x14ac:dyDescent="0.25">
      <c r="A64">
        <f>A21</f>
        <v>7</v>
      </c>
      <c r="B64" s="1">
        <f t="shared" ref="B64:D64" si="55">B21</f>
        <v>0</v>
      </c>
      <c r="C64" s="1">
        <f t="shared" ca="1" si="55"/>
        <v>0</v>
      </c>
      <c r="D64" s="1">
        <f t="shared" si="55"/>
        <v>0</v>
      </c>
      <c r="E64" s="1">
        <f>E21</f>
        <v>0</v>
      </c>
      <c r="F64" s="1">
        <f t="shared" si="39"/>
        <v>-6</v>
      </c>
      <c r="G64" s="1">
        <f t="shared" si="40"/>
        <v>-12</v>
      </c>
      <c r="H64" s="6">
        <f t="shared" si="41"/>
        <v>-11.460276219815519</v>
      </c>
      <c r="I64" s="6">
        <f t="shared" si="42"/>
        <v>-6.9758203077151339</v>
      </c>
      <c r="J64" s="6">
        <f t="shared" si="43"/>
        <v>20.32953346819663</v>
      </c>
      <c r="K64">
        <f t="shared" ca="1" si="44"/>
        <v>0</v>
      </c>
      <c r="L64">
        <f t="shared" ca="1" si="45"/>
        <v>0</v>
      </c>
      <c r="M64" s="6">
        <f t="shared" ca="1" si="46"/>
        <v>0</v>
      </c>
      <c r="N64" s="6">
        <f t="shared" ca="1" si="47"/>
        <v>0</v>
      </c>
      <c r="O64" s="6">
        <f t="shared" ca="1" si="48"/>
        <v>0</v>
      </c>
      <c r="Q64" t="e">
        <f t="shared" si="49"/>
        <v>#N/A</v>
      </c>
      <c r="R64" t="e">
        <f t="shared" si="50"/>
        <v>#N/A</v>
      </c>
      <c r="AH64">
        <v>3.2000000000000021E-2</v>
      </c>
      <c r="AI64">
        <v>475.90239421815693</v>
      </c>
      <c r="AJ64">
        <v>487.71035619955416</v>
      </c>
      <c r="AK64">
        <v>0.65</v>
      </c>
      <c r="AL64">
        <v>0.65089661037403912</v>
      </c>
      <c r="AM64">
        <f t="shared" si="8"/>
        <v>3.200000000000002</v>
      </c>
      <c r="AN64">
        <f t="shared" si="9"/>
        <v>0.97578898657512658</v>
      </c>
      <c r="AO64" t="str">
        <f t="shared" si="10"/>
        <v>phi_L: 0.65
phi_R: 0.651</v>
      </c>
    </row>
    <row r="65" spans="1:41" x14ac:dyDescent="0.25">
      <c r="A65">
        <f t="shared" si="36"/>
        <v>8</v>
      </c>
      <c r="B65" s="1">
        <f t="shared" si="36"/>
        <v>0</v>
      </c>
      <c r="C65" s="1">
        <f t="shared" ca="1" si="36"/>
        <v>0</v>
      </c>
      <c r="D65" s="1">
        <f t="shared" si="36"/>
        <v>0</v>
      </c>
      <c r="E65" s="1">
        <f t="shared" ref="E65" si="56">E22</f>
        <v>0</v>
      </c>
      <c r="F65" s="1">
        <f t="shared" si="39"/>
        <v>-6</v>
      </c>
      <c r="G65" s="1">
        <f t="shared" si="40"/>
        <v>-12</v>
      </c>
      <c r="H65" s="6">
        <f t="shared" si="41"/>
        <v>-11.460276219815519</v>
      </c>
      <c r="I65" s="6">
        <f t="shared" si="42"/>
        <v>-6.9758203077151339</v>
      </c>
      <c r="J65" s="6">
        <f t="shared" si="43"/>
        <v>20.32953346819663</v>
      </c>
      <c r="K65">
        <f t="shared" ca="1" si="44"/>
        <v>0</v>
      </c>
      <c r="L65">
        <f t="shared" ca="1" si="45"/>
        <v>0</v>
      </c>
      <c r="M65" s="6">
        <f t="shared" ca="1" si="46"/>
        <v>0</v>
      </c>
      <c r="N65" s="6">
        <f t="shared" ca="1" si="47"/>
        <v>0</v>
      </c>
      <c r="O65" s="6">
        <f t="shared" ca="1" si="48"/>
        <v>0</v>
      </c>
      <c r="Q65" t="e">
        <f t="shared" si="49"/>
        <v>#N/A</v>
      </c>
      <c r="R65" t="e">
        <f t="shared" si="50"/>
        <v>#N/A</v>
      </c>
      <c r="AH65">
        <v>3.2500000000000022E-2</v>
      </c>
      <c r="AI65">
        <v>477.65019746654832</v>
      </c>
      <c r="AJ65">
        <v>488.51676787911833</v>
      </c>
      <c r="AK65">
        <v>0.65</v>
      </c>
      <c r="AL65">
        <v>0.65</v>
      </c>
      <c r="AM65">
        <f t="shared" si="8"/>
        <v>3.2500000000000022</v>
      </c>
      <c r="AN65">
        <f t="shared" si="9"/>
        <v>0.97775599298311311</v>
      </c>
      <c r="AO65" t="str">
        <f t="shared" si="10"/>
        <v>phi_L: 0.65
phi_R: 0.65</v>
      </c>
    </row>
    <row r="66" spans="1:41" x14ac:dyDescent="0.25">
      <c r="A66">
        <f t="shared" si="36"/>
        <v>9</v>
      </c>
      <c r="B66" s="1">
        <f t="shared" si="36"/>
        <v>0</v>
      </c>
      <c r="C66" s="1">
        <f t="shared" ca="1" si="36"/>
        <v>0</v>
      </c>
      <c r="D66" s="1">
        <f t="shared" si="36"/>
        <v>0</v>
      </c>
      <c r="E66" s="1">
        <f t="shared" ref="E66" si="57">E23</f>
        <v>0</v>
      </c>
      <c r="F66" s="1">
        <f t="shared" si="39"/>
        <v>-6</v>
      </c>
      <c r="G66" s="1">
        <f t="shared" si="40"/>
        <v>-12</v>
      </c>
      <c r="H66" s="6">
        <f t="shared" si="41"/>
        <v>-11.460276219815519</v>
      </c>
      <c r="I66" s="6">
        <f t="shared" si="42"/>
        <v>-6.9758203077151339</v>
      </c>
      <c r="J66" s="6">
        <f t="shared" si="43"/>
        <v>20.32953346819663</v>
      </c>
      <c r="K66">
        <f t="shared" ca="1" si="44"/>
        <v>0</v>
      </c>
      <c r="L66">
        <f t="shared" ca="1" si="45"/>
        <v>0</v>
      </c>
      <c r="M66" s="6">
        <f t="shared" ca="1" si="46"/>
        <v>0</v>
      </c>
      <c r="N66" s="6">
        <f t="shared" ca="1" si="47"/>
        <v>0</v>
      </c>
      <c r="O66" s="6">
        <f t="shared" ca="1" si="48"/>
        <v>0</v>
      </c>
      <c r="Q66" t="e">
        <f t="shared" si="49"/>
        <v>#N/A</v>
      </c>
      <c r="R66" t="e">
        <f t="shared" si="50"/>
        <v>#N/A</v>
      </c>
      <c r="AH66">
        <v>3.3000000000000022E-2</v>
      </c>
      <c r="AI66">
        <v>479.36737263137843</v>
      </c>
      <c r="AJ66">
        <v>489.9660260368081</v>
      </c>
      <c r="AK66">
        <v>0.65</v>
      </c>
      <c r="AL66">
        <v>0.65</v>
      </c>
      <c r="AM66">
        <f t="shared" si="8"/>
        <v>3.300000000000002</v>
      </c>
      <c r="AN66">
        <f t="shared" si="9"/>
        <v>0.97836859528576081</v>
      </c>
      <c r="AO66" t="str">
        <f t="shared" si="10"/>
        <v>phi_L: 0.65
phi_R: 0.65</v>
      </c>
    </row>
    <row r="67" spans="1:41" ht="15.75" thickBot="1" x14ac:dyDescent="0.3">
      <c r="A67">
        <f t="shared" si="36"/>
        <v>10</v>
      </c>
      <c r="B67" s="1">
        <f t="shared" si="36"/>
        <v>0</v>
      </c>
      <c r="C67" s="1">
        <f t="shared" ca="1" si="36"/>
        <v>0</v>
      </c>
      <c r="D67" s="1">
        <f t="shared" si="36"/>
        <v>0</v>
      </c>
      <c r="E67" s="1">
        <f t="shared" ref="E67" si="58">E24</f>
        <v>0</v>
      </c>
      <c r="F67" s="1">
        <f t="shared" si="39"/>
        <v>-6</v>
      </c>
      <c r="G67" s="1">
        <f t="shared" si="40"/>
        <v>-12</v>
      </c>
      <c r="H67" s="6">
        <f t="shared" si="41"/>
        <v>-11.460276219815519</v>
      </c>
      <c r="I67" s="6">
        <f t="shared" si="42"/>
        <v>-6.9758203077151339</v>
      </c>
      <c r="J67" s="6">
        <f t="shared" si="43"/>
        <v>20.32953346819663</v>
      </c>
      <c r="K67" s="12">
        <f t="shared" ca="1" si="44"/>
        <v>0</v>
      </c>
      <c r="L67">
        <f t="shared" ca="1" si="45"/>
        <v>0</v>
      </c>
      <c r="M67" s="11">
        <f t="shared" ca="1" si="46"/>
        <v>0</v>
      </c>
      <c r="N67" s="11">
        <f t="shared" ca="1" si="47"/>
        <v>0</v>
      </c>
      <c r="O67" s="11">
        <f t="shared" ca="1" si="48"/>
        <v>0</v>
      </c>
      <c r="Q67" t="e">
        <f t="shared" si="49"/>
        <v>#N/A</v>
      </c>
      <c r="R67" t="e">
        <f t="shared" si="50"/>
        <v>#N/A</v>
      </c>
      <c r="AH67">
        <v>3.3500000000000023E-2</v>
      </c>
      <c r="AI67">
        <v>481.05480104284629</v>
      </c>
      <c r="AJ67">
        <v>491.3872000994329</v>
      </c>
      <c r="AK67">
        <v>0.65</v>
      </c>
      <c r="AL67">
        <v>0.65</v>
      </c>
      <c r="AM67">
        <f t="shared" si="8"/>
        <v>3.3500000000000023</v>
      </c>
      <c r="AN67">
        <f t="shared" si="9"/>
        <v>0.97897299918578295</v>
      </c>
      <c r="AO67" t="str">
        <f t="shared" si="10"/>
        <v>phi_L: 0.65
phi_R: 0.65</v>
      </c>
    </row>
    <row r="68" spans="1:41" ht="15.75" thickTop="1" x14ac:dyDescent="0.25">
      <c r="K68" s="13">
        <f ca="1">MIN(K58:K67)</f>
        <v>-2.4750000000003697E-3</v>
      </c>
      <c r="M68" s="9">
        <f ca="1">SUM(M58:M67)</f>
        <v>-432</v>
      </c>
      <c r="N68" s="9">
        <f t="shared" ref="N68:O68" ca="1" si="59">SUM(N58:N67)</f>
        <v>3659.3160242753938</v>
      </c>
      <c r="O68" s="9">
        <f t="shared" ca="1" si="59"/>
        <v>-2296.0414269958906</v>
      </c>
      <c r="AH68">
        <v>3.4000000000000023E-2</v>
      </c>
      <c r="AI68">
        <v>482.71332777820817</v>
      </c>
      <c r="AJ68">
        <v>492.781142644959</v>
      </c>
      <c r="AK68">
        <v>0.65</v>
      </c>
      <c r="AL68">
        <v>0.65</v>
      </c>
      <c r="AM68">
        <f t="shared" si="8"/>
        <v>3.4000000000000021</v>
      </c>
      <c r="AN68">
        <f t="shared" si="9"/>
        <v>0.97956939907904605</v>
      </c>
      <c r="AO68" t="str">
        <f t="shared" si="10"/>
        <v>phi_L: 0.65
phi_R: 0.65</v>
      </c>
    </row>
    <row r="69" spans="1:41" x14ac:dyDescent="0.25">
      <c r="AH69">
        <v>3.4500000000000024E-2</v>
      </c>
      <c r="AI69">
        <v>484.34376361963774</v>
      </c>
      <c r="AJ69">
        <v>494.14867027247885</v>
      </c>
      <c r="AK69">
        <v>0.65</v>
      </c>
      <c r="AL69">
        <v>0.65</v>
      </c>
      <c r="AM69">
        <f t="shared" si="8"/>
        <v>3.4500000000000024</v>
      </c>
      <c r="AN69">
        <f t="shared" si="9"/>
        <v>0.98015798231849016</v>
      </c>
      <c r="AO69" t="str">
        <f t="shared" si="10"/>
        <v>phi_L: 0.65
phi_R: 0.65</v>
      </c>
    </row>
    <row r="70" spans="1:41" x14ac:dyDescent="0.25">
      <c r="AH70">
        <v>3.5000000000000024E-2</v>
      </c>
      <c r="AI70">
        <v>485.94688688094311</v>
      </c>
      <c r="AJ70">
        <v>495.49056556444452</v>
      </c>
      <c r="AK70">
        <v>0.65</v>
      </c>
      <c r="AL70">
        <v>0.65</v>
      </c>
      <c r="AM70">
        <f t="shared" si="8"/>
        <v>3.5000000000000022</v>
      </c>
      <c r="AN70">
        <f t="shared" si="9"/>
        <v>0.98073892956442144</v>
      </c>
      <c r="AO70" t="str">
        <f t="shared" si="10"/>
        <v>phi_L: 0.65
phi_R: 0.65</v>
      </c>
    </row>
    <row r="71" spans="1:41" x14ac:dyDescent="0.25">
      <c r="A71" s="8" t="s">
        <v>65</v>
      </c>
      <c r="B71" s="9">
        <f ca="1">N53+M68</f>
        <v>-6.2527760746888816E-13</v>
      </c>
      <c r="C71" t="s">
        <v>70</v>
      </c>
      <c r="AH71">
        <v>3.5500000000000025E-2</v>
      </c>
      <c r="AI71">
        <v>487.52344511360229</v>
      </c>
      <c r="AJ71">
        <v>496.80757891732162</v>
      </c>
      <c r="AK71">
        <v>0.65</v>
      </c>
      <c r="AL71">
        <v>0.65</v>
      </c>
      <c r="AM71">
        <f t="shared" si="8"/>
        <v>3.5500000000000025</v>
      </c>
      <c r="AN71">
        <f t="shared" si="9"/>
        <v>0.98131241511260359</v>
      </c>
      <c r="AO71" t="str">
        <f t="shared" si="10"/>
        <v>phi_L: 0.65
phi_R: 0.65</v>
      </c>
    </row>
    <row r="72" spans="1:41" x14ac:dyDescent="0.25">
      <c r="A72" s="8" t="s">
        <v>68</v>
      </c>
      <c r="B72" s="9">
        <f ca="1">O53+N68</f>
        <v>6672.8703972080666</v>
      </c>
      <c r="C72" t="s">
        <v>71</v>
      </c>
      <c r="AH72">
        <v>3.6000000000000025E-2</v>
      </c>
      <c r="AI72">
        <v>489.07415670164124</v>
      </c>
      <c r="AJ72">
        <v>498.10043025113151</v>
      </c>
      <c r="AK72">
        <v>0.65</v>
      </c>
      <c r="AL72">
        <v>0.65</v>
      </c>
      <c r="AM72">
        <f t="shared" si="8"/>
        <v>3.6000000000000023</v>
      </c>
      <c r="AN72">
        <f t="shared" si="9"/>
        <v>0.98187860720188613</v>
      </c>
      <c r="AO72" t="str">
        <f t="shared" si="10"/>
        <v>phi_L: 0.65
phi_R: 0.65</v>
      </c>
    </row>
    <row r="73" spans="1:41" x14ac:dyDescent="0.25">
      <c r="A73" s="8" t="s">
        <v>69</v>
      </c>
      <c r="B73" s="9">
        <f ca="1">P53+O68</f>
        <v>-4186.8990727574983</v>
      </c>
      <c r="C73" t="s">
        <v>71</v>
      </c>
      <c r="AH73">
        <v>3.6500000000000025E-2</v>
      </c>
      <c r="AI73">
        <v>490.59971235396631</v>
      </c>
      <c r="AJ73">
        <v>499.36981060737605</v>
      </c>
      <c r="AK73">
        <v>0.65</v>
      </c>
      <c r="AL73">
        <v>0.65</v>
      </c>
      <c r="AM73">
        <f t="shared" si="8"/>
        <v>3.6500000000000026</v>
      </c>
      <c r="AN73">
        <f t="shared" si="9"/>
        <v>0.98243766830289003</v>
      </c>
      <c r="AO73" t="str">
        <f t="shared" si="10"/>
        <v>phi_L: 0.65
phi_R: 0.65</v>
      </c>
    </row>
    <row r="74" spans="1:41" x14ac:dyDescent="0.25">
      <c r="AH74">
        <v>3.7000000000000026E-2</v>
      </c>
      <c r="AI74">
        <v>492.10077650202936</v>
      </c>
      <c r="AJ74">
        <v>500.61638364399994</v>
      </c>
      <c r="AK74">
        <v>0.65</v>
      </c>
      <c r="AL74">
        <v>0.65</v>
      </c>
      <c r="AM74">
        <f t="shared" si="8"/>
        <v>3.7000000000000024</v>
      </c>
      <c r="AN74">
        <f t="shared" si="9"/>
        <v>0.98298975538917599</v>
      </c>
      <c r="AO74" t="str">
        <f t="shared" si="10"/>
        <v>phi_L: 0.65
phi_R: 0.65</v>
      </c>
    </row>
    <row r="75" spans="1:41" x14ac:dyDescent="0.25">
      <c r="A75" s="8" t="s">
        <v>66</v>
      </c>
      <c r="B75">
        <f ca="1">((B72*COS(-1*B27))+(B73*SIN(-1*B27)))</f>
        <v>7877.6470588236771</v>
      </c>
      <c r="C75" t="s">
        <v>71</v>
      </c>
      <c r="AH75">
        <v>3.7500000000000026E-2</v>
      </c>
      <c r="AI75">
        <v>493.57798860997764</v>
      </c>
      <c r="AJ75">
        <v>501.84078703525859</v>
      </c>
      <c r="AK75">
        <v>0.65</v>
      </c>
      <c r="AL75">
        <v>0.65</v>
      </c>
      <c r="AM75">
        <f t="shared" si="8"/>
        <v>3.7500000000000027</v>
      </c>
      <c r="AN75">
        <f t="shared" si="9"/>
        <v>0.98353502019217021</v>
      </c>
      <c r="AO75" t="str">
        <f t="shared" si="10"/>
        <v>phi_L: 0.65
phi_R: 0.65</v>
      </c>
    </row>
    <row r="76" spans="1:41" x14ac:dyDescent="0.25">
      <c r="A76" s="8" t="s">
        <v>67</v>
      </c>
      <c r="B76">
        <f ca="1">(-1*(B72)*SIN(-1*B27))+((B73)*COS(-1*B27))</f>
        <v>-2.446540747769177E-10</v>
      </c>
      <c r="C76" t="s">
        <v>71</v>
      </c>
      <c r="AH76">
        <v>3.8000000000000027E-2</v>
      </c>
      <c r="AI76">
        <v>495.0319644038193</v>
      </c>
      <c r="AJ76">
        <v>503.04363378365821</v>
      </c>
      <c r="AK76">
        <v>0.65</v>
      </c>
      <c r="AL76">
        <v>0.65</v>
      </c>
      <c r="AM76">
        <f t="shared" si="8"/>
        <v>3.8000000000000025</v>
      </c>
      <c r="AN76">
        <f t="shared" si="9"/>
        <v>0.98407360944103617</v>
      </c>
      <c r="AO76" t="str">
        <f t="shared" si="10"/>
        <v>phi_L: 0.65
phi_R: 0.65</v>
      </c>
    </row>
    <row r="77" spans="1:41" x14ac:dyDescent="0.25">
      <c r="AH77">
        <v>3.8500000000000027E-2</v>
      </c>
      <c r="AI77">
        <v>496.46329702557915</v>
      </c>
      <c r="AJ77">
        <v>504.22551345052807</v>
      </c>
      <c r="AK77">
        <v>0.65</v>
      </c>
      <c r="AL77">
        <v>0.65</v>
      </c>
      <c r="AM77">
        <f t="shared" si="8"/>
        <v>3.8500000000000028</v>
      </c>
      <c r="AN77">
        <f t="shared" si="9"/>
        <v>0.98460566508856262</v>
      </c>
      <c r="AO77" t="str">
        <f t="shared" si="10"/>
        <v>phi_L: 0.65
phi_R: 0.65</v>
      </c>
    </row>
    <row r="78" spans="1:41" x14ac:dyDescent="0.25">
      <c r="B78">
        <f>ATAN2(1,0)</f>
        <v>0</v>
      </c>
      <c r="AH78">
        <v>3.9000000000000028E-2</v>
      </c>
      <c r="AI78">
        <v>497.8725581179018</v>
      </c>
      <c r="AJ78">
        <v>505.38699331120483</v>
      </c>
      <c r="AK78">
        <v>0.65</v>
      </c>
      <c r="AL78">
        <v>0.65</v>
      </c>
      <c r="AM78">
        <f t="shared" si="8"/>
        <v>3.9000000000000026</v>
      </c>
      <c r="AN78">
        <f t="shared" si="9"/>
        <v>0.9851313245240646</v>
      </c>
      <c r="AO78" t="str">
        <f t="shared" si="10"/>
        <v>phi_L: 0.65
phi_R: 0.65</v>
      </c>
    </row>
    <row r="79" spans="1:41" x14ac:dyDescent="0.25">
      <c r="A79" t="s">
        <v>76</v>
      </c>
      <c r="B79">
        <f ca="1">ATAN2(B75,B76)</f>
        <v>-3.1056744856686997E-14</v>
      </c>
      <c r="AH79">
        <v>3.9500000000000028E-2</v>
      </c>
      <c r="AI79">
        <v>499.26029884409456</v>
      </c>
      <c r="AJ79">
        <v>506.52861944031139</v>
      </c>
      <c r="AK79">
        <v>0.65</v>
      </c>
      <c r="AL79">
        <v>0.65</v>
      </c>
      <c r="AM79">
        <f t="shared" si="8"/>
        <v>3.9500000000000028</v>
      </c>
      <c r="AN79">
        <f t="shared" si="9"/>
        <v>0.98565072077418259</v>
      </c>
      <c r="AO79" t="str">
        <f t="shared" si="10"/>
        <v>phi_L: 0.65
phi_R: 0.65</v>
      </c>
    </row>
    <row r="80" spans="1:41" x14ac:dyDescent="0.25">
      <c r="AH80">
        <v>4.0000000000000029E-2</v>
      </c>
      <c r="AI80">
        <v>500.62705084819925</v>
      </c>
      <c r="AJ80">
        <v>507.65091773213999</v>
      </c>
      <c r="AK80">
        <v>0.65</v>
      </c>
      <c r="AL80">
        <v>0.65</v>
      </c>
      <c r="AM80">
        <f t="shared" si="8"/>
        <v>4.0000000000000027</v>
      </c>
      <c r="AN80">
        <f t="shared" si="9"/>
        <v>0.98616398269243977</v>
      </c>
      <c r="AO80" t="str">
        <f t="shared" si="10"/>
        <v>phi_L: 0.65
phi_R: 0.65</v>
      </c>
    </row>
    <row r="81" spans="34:41" x14ac:dyDescent="0.25">
      <c r="AH81">
        <v>4.0500000000000029E-2</v>
      </c>
      <c r="AI81">
        <v>501.97332715928769</v>
      </c>
      <c r="AJ81">
        <v>508.7543948607468</v>
      </c>
      <c r="AK81">
        <v>0.65</v>
      </c>
      <c r="AL81">
        <v>0.65</v>
      </c>
      <c r="AM81">
        <f t="shared" si="8"/>
        <v>4.0500000000000025</v>
      </c>
      <c r="AN81">
        <f t="shared" si="9"/>
        <v>0.98667123513829269</v>
      </c>
      <c r="AO81" t="str">
        <f t="shared" si="10"/>
        <v>phi_L: 0.65
phi_R: 0.65</v>
      </c>
    </row>
  </sheetData>
  <dataValidations count="2">
    <dataValidation type="list" allowBlank="1" showInputMessage="1" showErrorMessage="1" sqref="B15:B24" xr:uid="{8C63CB88-067C-403A-AA0B-7955394C8250}">
      <formula1>$G$14:$G$26</formula1>
    </dataValidation>
    <dataValidation type="list" allowBlank="1" showInputMessage="1" showErrorMessage="1" sqref="H27" xr:uid="{4CE73F95-5EFB-4CF7-8296-522B2E0DD06E}">
      <formula1>"gross,web"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avister_na">
                <anchor moveWithCells="1" sizeWithCells="1">
                  <from>
                    <xdr:col>7</xdr:col>
                    <xdr:colOff>57150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2020-11-07T19:31:59Z</dcterms:modified>
</cp:coreProperties>
</file>