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3E985151-C6FB-432C-9B22-E122DC4D6A1B}" xr6:coauthVersionLast="45" xr6:coauthVersionMax="45" xr10:uidLastSave="{00000000-0000-0000-0000-000000000000}"/>
  <bookViews>
    <workbookView xWindow="-120" yWindow="-120" windowWidth="27930" windowHeight="18240" xr2:uid="{2AFCDE7C-57C4-4CF6-8D68-85BA7869C1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8" i="1" l="1"/>
  <c r="Q63" i="1" l="1"/>
  <c r="R63" i="1"/>
  <c r="Q64" i="1"/>
  <c r="R64" i="1"/>
  <c r="Q65" i="1"/>
  <c r="R65" i="1"/>
  <c r="Q66" i="1"/>
  <c r="R66" i="1"/>
  <c r="Q67" i="1"/>
  <c r="R67" i="1"/>
  <c r="I59" i="1"/>
  <c r="R59" i="1" s="1"/>
  <c r="I63" i="1"/>
  <c r="I64" i="1"/>
  <c r="I65" i="1"/>
  <c r="I66" i="1"/>
  <c r="I67" i="1"/>
  <c r="H59" i="1"/>
  <c r="Q59" i="1" s="1"/>
  <c r="H63" i="1"/>
  <c r="H64" i="1"/>
  <c r="H65" i="1"/>
  <c r="H66" i="1"/>
  <c r="H67" i="1"/>
  <c r="I58" i="1"/>
  <c r="R58" i="1" s="1"/>
  <c r="H58" i="1"/>
  <c r="Q58" i="1" s="1"/>
  <c r="G59" i="1"/>
  <c r="G60" i="1"/>
  <c r="G63" i="1"/>
  <c r="G64" i="1"/>
  <c r="G65" i="1"/>
  <c r="G66" i="1"/>
  <c r="G67" i="1"/>
  <c r="G58" i="1"/>
  <c r="F59" i="1"/>
  <c r="F63" i="1"/>
  <c r="F64" i="1"/>
  <c r="F65" i="1"/>
  <c r="F66" i="1"/>
  <c r="F67" i="1"/>
  <c r="F58" i="1"/>
  <c r="E57" i="1"/>
  <c r="E58" i="1"/>
  <c r="E59" i="1"/>
  <c r="E60" i="1"/>
  <c r="E61" i="1"/>
  <c r="G61" i="1" s="1"/>
  <c r="E62" i="1"/>
  <c r="G62" i="1" s="1"/>
  <c r="E63" i="1"/>
  <c r="E64" i="1"/>
  <c r="E65" i="1"/>
  <c r="E66" i="1"/>
  <c r="E67" i="1"/>
  <c r="B57" i="1"/>
  <c r="C57" i="1"/>
  <c r="D57" i="1"/>
  <c r="B58" i="1"/>
  <c r="D58" i="1"/>
  <c r="B59" i="1"/>
  <c r="D59" i="1"/>
  <c r="B60" i="1"/>
  <c r="D60" i="1"/>
  <c r="F60" i="1" s="1"/>
  <c r="B61" i="1"/>
  <c r="D61" i="1"/>
  <c r="F61" i="1" s="1"/>
  <c r="B62" i="1"/>
  <c r="B63" i="1"/>
  <c r="D63" i="1"/>
  <c r="B64" i="1"/>
  <c r="D64" i="1"/>
  <c r="B65" i="1"/>
  <c r="D65" i="1"/>
  <c r="B66" i="1"/>
  <c r="D66" i="1"/>
  <c r="B67" i="1"/>
  <c r="D67" i="1"/>
  <c r="A64" i="1"/>
  <c r="A65" i="1"/>
  <c r="A66" i="1"/>
  <c r="A67" i="1"/>
  <c r="A58" i="1"/>
  <c r="A59" i="1"/>
  <c r="A60" i="1"/>
  <c r="A61" i="1"/>
  <c r="A62" i="1"/>
  <c r="A63" i="1"/>
  <c r="A57" i="1"/>
  <c r="B31" i="1"/>
  <c r="B42" i="1"/>
  <c r="B43" i="1"/>
  <c r="C43" i="1" s="1"/>
  <c r="D52" i="1" s="1"/>
  <c r="A42" i="1"/>
  <c r="A43" i="1"/>
  <c r="D43" i="1" s="1"/>
  <c r="E52" i="1" s="1"/>
  <c r="H60" i="1" l="1"/>
  <c r="Q60" i="1" s="1"/>
  <c r="I60" i="1"/>
  <c r="R60" i="1" s="1"/>
  <c r="H61" i="1"/>
  <c r="I61" i="1"/>
  <c r="R62" i="1"/>
  <c r="Q62" i="1"/>
  <c r="Q61" i="1"/>
  <c r="R61" i="1"/>
  <c r="C42" i="1"/>
  <c r="D51" i="1" s="1"/>
  <c r="B52" i="1" s="1"/>
  <c r="D42" i="1"/>
  <c r="E51" i="1" s="1"/>
  <c r="C52" i="1" l="1"/>
  <c r="F52" i="1" s="1"/>
  <c r="G52" i="1" s="1"/>
  <c r="T16" i="1" l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D37" i="1"/>
  <c r="C47" i="1" s="1"/>
  <c r="C37" i="1"/>
  <c r="B38" i="1"/>
  <c r="B39" i="1"/>
  <c r="B40" i="1"/>
  <c r="B41" i="1"/>
  <c r="B37" i="1"/>
  <c r="A38" i="1"/>
  <c r="C38" i="1" s="1"/>
  <c r="D47" i="1" s="1"/>
  <c r="A39" i="1"/>
  <c r="D39" i="1" s="1"/>
  <c r="E48" i="1" s="1"/>
  <c r="A37" i="1"/>
  <c r="I3" i="1"/>
  <c r="I2" i="1"/>
  <c r="B29" i="1"/>
  <c r="D62" i="1"/>
  <c r="F62" i="1" s="1"/>
  <c r="C16" i="1"/>
  <c r="C59" i="1" s="1"/>
  <c r="C17" i="1"/>
  <c r="C60" i="1" s="1"/>
  <c r="C18" i="1"/>
  <c r="C61" i="1" s="1"/>
  <c r="C19" i="1"/>
  <c r="C62" i="1" s="1"/>
  <c r="C20" i="1"/>
  <c r="C63" i="1" s="1"/>
  <c r="K63" i="1" s="1"/>
  <c r="C21" i="1"/>
  <c r="C64" i="1" s="1"/>
  <c r="K64" i="1" s="1"/>
  <c r="C22" i="1"/>
  <c r="C65" i="1" s="1"/>
  <c r="K65" i="1" s="1"/>
  <c r="C23" i="1"/>
  <c r="C66" i="1" s="1"/>
  <c r="K66" i="1" s="1"/>
  <c r="C24" i="1"/>
  <c r="C67" i="1" s="1"/>
  <c r="K67" i="1" s="1"/>
  <c r="C15" i="1"/>
  <c r="C58" i="1" s="1"/>
  <c r="F8" i="1"/>
  <c r="F7" i="1"/>
  <c r="F6" i="1"/>
  <c r="E6" i="1"/>
  <c r="F5" i="1"/>
  <c r="E5" i="1"/>
  <c r="E4" i="1"/>
  <c r="B4" i="1"/>
  <c r="B3" i="1"/>
  <c r="E7" i="1" l="1"/>
  <c r="A41" i="1" s="1"/>
  <c r="X4" i="1"/>
  <c r="I62" i="1"/>
  <c r="H62" i="1"/>
  <c r="C41" i="1"/>
  <c r="D50" i="1" s="1"/>
  <c r="B51" i="1" s="1"/>
  <c r="A40" i="1"/>
  <c r="D40" i="1" s="1"/>
  <c r="B47" i="1"/>
  <c r="D41" i="1"/>
  <c r="E50" i="1" s="1"/>
  <c r="C39" i="1"/>
  <c r="D48" i="1" s="1"/>
  <c r="B49" i="1" s="1"/>
  <c r="C49" i="1"/>
  <c r="B48" i="1"/>
  <c r="D38" i="1"/>
  <c r="E47" i="1" s="1"/>
  <c r="Y4" i="1" l="1"/>
  <c r="X5" i="1"/>
  <c r="Y5" i="1" s="1"/>
  <c r="C40" i="1"/>
  <c r="D49" i="1" s="1"/>
  <c r="B50" i="1" s="1"/>
  <c r="E49" i="1"/>
  <c r="G38" i="1"/>
  <c r="J38" i="1"/>
  <c r="J39" i="1"/>
  <c r="C50" i="1"/>
  <c r="C51" i="1"/>
  <c r="G37" i="1"/>
  <c r="C48" i="1"/>
  <c r="F47" i="1"/>
  <c r="G47" i="1" s="1"/>
  <c r="F49" i="1" l="1"/>
  <c r="G49" i="1" s="1"/>
  <c r="N39" i="1"/>
  <c r="N42" i="1" s="1"/>
  <c r="J42" i="1"/>
  <c r="N38" i="1"/>
  <c r="N41" i="1" s="1"/>
  <c r="J41" i="1"/>
  <c r="J63" i="1"/>
  <c r="L63" i="1" s="1"/>
  <c r="M63" i="1" s="1"/>
  <c r="J64" i="1"/>
  <c r="L64" i="1" s="1"/>
  <c r="M64" i="1" s="1"/>
  <c r="J65" i="1"/>
  <c r="L65" i="1" s="1"/>
  <c r="M65" i="1" s="1"/>
  <c r="J66" i="1"/>
  <c r="L66" i="1" s="1"/>
  <c r="M66" i="1" s="1"/>
  <c r="J59" i="1"/>
  <c r="K59" i="1" s="1"/>
  <c r="L59" i="1" s="1"/>
  <c r="M59" i="1" s="1"/>
  <c r="J67" i="1"/>
  <c r="L67" i="1" s="1"/>
  <c r="M67" i="1" s="1"/>
  <c r="J60" i="1"/>
  <c r="K60" i="1" s="1"/>
  <c r="L60" i="1" s="1"/>
  <c r="M60" i="1" s="1"/>
  <c r="J58" i="1"/>
  <c r="J61" i="1"/>
  <c r="K61" i="1" s="1"/>
  <c r="L61" i="1" s="1"/>
  <c r="M61" i="1" s="1"/>
  <c r="J62" i="1"/>
  <c r="K62" i="1" s="1"/>
  <c r="L62" i="1" s="1"/>
  <c r="M62" i="1" s="1"/>
  <c r="G41" i="1"/>
  <c r="G40" i="1"/>
  <c r="K38" i="1" s="1"/>
  <c r="F48" i="1"/>
  <c r="G48" i="1" s="1"/>
  <c r="F50" i="1"/>
  <c r="G50" i="1" s="1"/>
  <c r="F51" i="1"/>
  <c r="G51" i="1" s="1"/>
  <c r="K39" i="1" l="1"/>
  <c r="K42" i="1" s="1"/>
  <c r="K34" i="1" s="1"/>
  <c r="K41" i="1"/>
  <c r="K33" i="1" s="1"/>
  <c r="K58" i="1"/>
  <c r="L58" i="1" s="1"/>
  <c r="M58" i="1" s="1"/>
  <c r="M68" i="1" s="1"/>
  <c r="G36" i="1"/>
  <c r="N60" i="1"/>
  <c r="O60" i="1"/>
  <c r="N67" i="1"/>
  <c r="O67" i="1"/>
  <c r="N59" i="1"/>
  <c r="O59" i="1"/>
  <c r="O66" i="1"/>
  <c r="N66" i="1"/>
  <c r="O65" i="1"/>
  <c r="N65" i="1"/>
  <c r="N62" i="1"/>
  <c r="O62" i="1"/>
  <c r="N64" i="1"/>
  <c r="O64" i="1"/>
  <c r="O61" i="1"/>
  <c r="N61" i="1"/>
  <c r="N63" i="1"/>
  <c r="O63" i="1"/>
  <c r="I50" i="1"/>
  <c r="O39" i="1"/>
  <c r="O42" i="1" s="1"/>
  <c r="O34" i="1" s="1"/>
  <c r="O38" i="1"/>
  <c r="O41" i="1" s="1"/>
  <c r="O33" i="1" s="1"/>
  <c r="I52" i="1"/>
  <c r="J52" i="1"/>
  <c r="H52" i="1"/>
  <c r="K52" i="1"/>
  <c r="J47" i="1"/>
  <c r="H47" i="1"/>
  <c r="I47" i="1"/>
  <c r="K47" i="1"/>
  <c r="I49" i="1"/>
  <c r="H49" i="1"/>
  <c r="J49" i="1"/>
  <c r="K49" i="1"/>
  <c r="H50" i="1"/>
  <c r="J51" i="1"/>
  <c r="J50" i="1"/>
  <c r="K50" i="1"/>
  <c r="K48" i="1"/>
  <c r="I51" i="1"/>
  <c r="J48" i="1"/>
  <c r="H48" i="1"/>
  <c r="H51" i="1"/>
  <c r="I48" i="1"/>
  <c r="K51" i="1"/>
  <c r="J34" i="1" l="1"/>
  <c r="J33" i="1"/>
  <c r="N33" i="1"/>
  <c r="N34" i="1"/>
  <c r="K68" i="1"/>
  <c r="U3" i="1" s="1"/>
  <c r="N58" i="1"/>
  <c r="N68" i="1" s="1"/>
  <c r="O58" i="1"/>
  <c r="O68" i="1" s="1"/>
  <c r="W49" i="1"/>
  <c r="S49" i="1"/>
  <c r="T49" i="1"/>
  <c r="V49" i="1"/>
  <c r="S52" i="1"/>
  <c r="V52" i="1"/>
  <c r="T52" i="1"/>
  <c r="W52" i="1"/>
  <c r="S51" i="1"/>
  <c r="V51" i="1"/>
  <c r="W51" i="1"/>
  <c r="T51" i="1"/>
  <c r="V47" i="1"/>
  <c r="S47" i="1"/>
  <c r="W47" i="1"/>
  <c r="T47" i="1"/>
  <c r="T48" i="1"/>
  <c r="S48" i="1"/>
  <c r="V48" i="1"/>
  <c r="W48" i="1"/>
  <c r="V50" i="1"/>
  <c r="S50" i="1"/>
  <c r="W50" i="1"/>
  <c r="T50" i="1"/>
  <c r="L50" i="1"/>
  <c r="M50" i="1"/>
  <c r="L48" i="1"/>
  <c r="M48" i="1"/>
  <c r="L51" i="1"/>
  <c r="M51" i="1"/>
  <c r="M47" i="1"/>
  <c r="L47" i="1"/>
  <c r="L49" i="1"/>
  <c r="M49" i="1"/>
  <c r="L52" i="1"/>
  <c r="M52" i="1"/>
  <c r="O50" i="1" l="1"/>
  <c r="N50" i="1"/>
  <c r="P50" i="1"/>
  <c r="P51" i="1"/>
  <c r="O48" i="1"/>
  <c r="O51" i="1"/>
  <c r="N51" i="1"/>
  <c r="N52" i="1"/>
  <c r="N47" i="1"/>
  <c r="P48" i="1"/>
  <c r="O47" i="1"/>
  <c r="N49" i="1"/>
  <c r="O49" i="1"/>
  <c r="P52" i="1"/>
  <c r="N48" i="1"/>
  <c r="O52" i="1"/>
  <c r="P47" i="1"/>
  <c r="P49" i="1"/>
  <c r="N53" i="1" l="1"/>
  <c r="B71" i="1" s="1"/>
  <c r="U4" i="1" s="1"/>
  <c r="P53" i="1"/>
  <c r="B73" i="1" s="1"/>
  <c r="O53" i="1"/>
  <c r="B72" i="1" s="1"/>
  <c r="B75" i="1" l="1"/>
  <c r="U5" i="1" s="1"/>
  <c r="B76" i="1"/>
  <c r="U6" i="1" s="1"/>
  <c r="B79" i="1" l="1"/>
</calcChain>
</file>

<file path=xl/sharedStrings.xml><?xml version="1.0" encoding="utf-8"?>
<sst xmlns="http://schemas.openxmlformats.org/spreadsheetml/2006/main" count="109" uniqueCount="82">
  <si>
    <t>f'c</t>
  </si>
  <si>
    <t>ksi</t>
  </si>
  <si>
    <t>Ec</t>
  </si>
  <si>
    <t>Beta1</t>
  </si>
  <si>
    <t>in</t>
  </si>
  <si>
    <t>B,web</t>
  </si>
  <si>
    <t>B,Flange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</si>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</sst>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0" fontId="0" fillId="2" borderId="0" xfId="0" applyFill="1" applyProtection="1">
      <protection locked="0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Sheet1!$E$3:$E$9</c:f>
              <c:numCache>
                <c:formatCode>0.00</c:formatCode>
                <c:ptCount val="7"/>
                <c:pt idx="0" formatCode="General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32</c:v>
                </c:pt>
                <c:pt idx="4">
                  <c:v>32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xVal>
          <c:yVal>
            <c:numRef>
              <c:f>Sheet1!$F$3:$F$9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32</c:v>
                </c:pt>
                <c:pt idx="5">
                  <c:v>32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Sheet1!$T$15:$T$24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Sheet1!$U$15:$U$24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Sheet1!$X$4:$X$5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xVal>
          <c:yVal>
            <c:numRef>
              <c:f>Sheet1!$Y$4:$Y$5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Sheet1!$J$33:$J$34</c:f>
              <c:numCache>
                <c:formatCode>General</c:formatCode>
                <c:ptCount val="2"/>
                <c:pt idx="0">
                  <c:v>-1</c:v>
                </c:pt>
                <c:pt idx="1">
                  <c:v>33</c:v>
                </c:pt>
              </c:numCache>
            </c:numRef>
          </c:xVal>
          <c:yVal>
            <c:numRef>
              <c:f>Sheet1!$K$33:$K$34</c:f>
              <c:numCache>
                <c:formatCode>General</c:formatCode>
                <c:ptCount val="2"/>
                <c:pt idx="0">
                  <c:v>30.693014705882355</c:v>
                </c:pt>
                <c:pt idx="1">
                  <c:v>30.693014705882355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Sheet1!$N$33:$N$34</c:f>
              <c:numCache>
                <c:formatCode>General</c:formatCode>
                <c:ptCount val="2"/>
                <c:pt idx="0">
                  <c:v>-1</c:v>
                </c:pt>
                <c:pt idx="1">
                  <c:v>33</c:v>
                </c:pt>
              </c:numCache>
            </c:numRef>
          </c:xVal>
          <c:yVal>
            <c:numRef>
              <c:f>Sheet1!$O$33:$O$34</c:f>
              <c:numCache>
                <c:formatCode>General</c:formatCode>
                <c:ptCount val="2"/>
                <c:pt idx="0">
                  <c:v>30.954411764705881</c:v>
                </c:pt>
                <c:pt idx="1">
                  <c:v>30.954411764705881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Sheet1!$C$37:$C$43</c:f>
              <c:numCache>
                <c:formatCode>0.000</c:formatCode>
                <c:ptCount val="7"/>
                <c:pt idx="0">
                  <c:v>-8</c:v>
                </c:pt>
                <c:pt idx="1">
                  <c:v>8</c:v>
                </c:pt>
                <c:pt idx="2">
                  <c:v>8</c:v>
                </c:pt>
                <c:pt idx="3">
                  <c:v>24</c:v>
                </c:pt>
                <c:pt idx="4">
                  <c:v>24</c:v>
                </c:pt>
                <c:pt idx="5">
                  <c:v>-8</c:v>
                </c:pt>
                <c:pt idx="6">
                  <c:v>-8</c:v>
                </c:pt>
              </c:numCache>
            </c:numRef>
          </c:xVal>
          <c:yVal>
            <c:numRef>
              <c:f>Sheet1!$D$37:$D$43</c:f>
              <c:numCache>
                <c:formatCode>0.000</c:formatCode>
                <c:ptCount val="7"/>
                <c:pt idx="0">
                  <c:v>-16</c:v>
                </c:pt>
                <c:pt idx="1">
                  <c:v>-16</c:v>
                </c:pt>
                <c:pt idx="2">
                  <c:v>8</c:v>
                </c:pt>
                <c:pt idx="3">
                  <c:v>8</c:v>
                </c:pt>
                <c:pt idx="4">
                  <c:v>16</c:v>
                </c:pt>
                <c:pt idx="5">
                  <c:v>16</c:v>
                </c:pt>
                <c:pt idx="6">
                  <c:v>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Sheet1!$Q$58:$Q$67</c:f>
              <c:numCache>
                <c:formatCode>General</c:formatCode>
                <c:ptCount val="10"/>
                <c:pt idx="0">
                  <c:v>-5</c:v>
                </c:pt>
                <c:pt idx="1">
                  <c:v>5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Sheet1!$R$58:$R$67</c:f>
              <c:numCache>
                <c:formatCode>General</c:formatCode>
                <c:ptCount val="10"/>
                <c:pt idx="0">
                  <c:v>-13</c:v>
                </c:pt>
                <c:pt idx="1">
                  <c:v>-13</c:v>
                </c:pt>
                <c:pt idx="2">
                  <c:v>-13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Sheet1!$J$38:$J$39</c:f>
              <c:numCache>
                <c:formatCode>0.000</c:formatCode>
                <c:ptCount val="2"/>
                <c:pt idx="0">
                  <c:v>-9</c:v>
                </c:pt>
                <c:pt idx="1">
                  <c:v>25</c:v>
                </c:pt>
              </c:numCache>
            </c:numRef>
          </c:xVal>
          <c:yVal>
            <c:numRef>
              <c:f>Sheet1!$K$38:$K$39</c:f>
              <c:numCache>
                <c:formatCode>0.000</c:formatCode>
                <c:ptCount val="2"/>
                <c:pt idx="0">
                  <c:v>14.693014705882353</c:v>
                </c:pt>
                <c:pt idx="1">
                  <c:v>14.693014705882353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Sheet1!$N$38:$N$39</c:f>
              <c:numCache>
                <c:formatCode>0.000</c:formatCode>
                <c:ptCount val="2"/>
                <c:pt idx="0">
                  <c:v>-9</c:v>
                </c:pt>
                <c:pt idx="1">
                  <c:v>25</c:v>
                </c:pt>
              </c:numCache>
            </c:numRef>
          </c:xVal>
          <c:yVal>
            <c:numRef>
              <c:f>Sheet1!$O$38:$O$39</c:f>
              <c:numCache>
                <c:formatCode>0.000</c:formatCode>
                <c:ptCount val="2"/>
                <c:pt idx="0">
                  <c:v>14.954411764705883</c:v>
                </c:pt>
                <c:pt idx="1">
                  <c:v>14.954411764705883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Sheet1!$S$47:$S$52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24</c:v>
                </c:pt>
                <c:pt idx="4">
                  <c:v>24</c:v>
                </c:pt>
                <c:pt idx="5">
                  <c:v>-8</c:v>
                </c:pt>
              </c:numCache>
            </c:numRef>
          </c:xVal>
          <c:yVal>
            <c:numRef>
              <c:f>Sheet1!$T$47:$T$52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14.954411764705883</c:v>
                </c:pt>
                <c:pt idx="4">
                  <c:v>16</c:v>
                </c:pt>
                <c:pt idx="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Sheet1!$V$47:$V$52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24</c:v>
                </c:pt>
                <c:pt idx="4">
                  <c:v>-8</c:v>
                </c:pt>
                <c:pt idx="5">
                  <c:v>-8</c:v>
                </c:pt>
              </c:numCache>
            </c:numRef>
          </c:xVal>
          <c:yVal>
            <c:numRef>
              <c:f>Sheet1!$W$47:$W$52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16</c:v>
                </c:pt>
                <c:pt idx="4">
                  <c:v>16</c:v>
                </c:pt>
                <c:pt idx="5">
                  <c:v>14.954411764705883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</xdr:row>
      <xdr:rowOff>9524</xdr:rowOff>
    </xdr:from>
    <xdr:to>
      <xdr:col>18</xdr:col>
      <xdr:colOff>438150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B8A985-B20F-491F-AFDF-3CC842A41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20</xdr:row>
      <xdr:rowOff>180975</xdr:rowOff>
    </xdr:from>
    <xdr:to>
      <xdr:col>30</xdr:col>
      <xdr:colOff>133350</xdr:colOff>
      <xdr:row>44</xdr:row>
      <xdr:rowOff>66676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8FCB7F-73B6-4BBC-AB74-8233C835A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571499</xdr:colOff>
          <xdr:row>3</xdr:row>
          <xdr:rowOff>38100</xdr:rowOff>
        </xdr:from>
        <xdr:to>
          <xdr:col>9</xdr:col>
          <xdr:colOff>104774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8</xdr:row>
          <xdr:rowOff>47625</xdr:rowOff>
        </xdr:from>
        <xdr:to>
          <xdr:col>9</xdr:col>
          <xdr:colOff>85725</xdr:colOff>
          <xdr:row>13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573946B-3E83-4DDB-A820-DDD77CDF4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Y79"/>
  <sheetViews>
    <sheetView tabSelected="1" workbookViewId="0">
      <selection activeCell="G13" sqref="G13"/>
    </sheetView>
  </sheetViews>
  <sheetFormatPr defaultRowHeight="15" x14ac:dyDescent="0.25"/>
  <cols>
    <col min="1" max="1" width="11.28515625" bestFit="1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25" x14ac:dyDescent="0.25">
      <c r="K1" s="9" t="s">
        <v>73</v>
      </c>
      <c r="L1" s="15">
        <v>9.9999999999999998E-13</v>
      </c>
    </row>
    <row r="2" spans="1:25" ht="15.75" thickBot="1" x14ac:dyDescent="0.3">
      <c r="A2" t="s">
        <v>0</v>
      </c>
      <c r="B2" s="2">
        <v>5</v>
      </c>
      <c r="C2" t="s">
        <v>1</v>
      </c>
      <c r="E2" s="1" t="s">
        <v>9</v>
      </c>
      <c r="F2" s="1" t="s">
        <v>10</v>
      </c>
      <c r="H2" t="s">
        <v>26</v>
      </c>
      <c r="I2" s="1">
        <f>B5/2</f>
        <v>8</v>
      </c>
      <c r="K2" s="9" t="s">
        <v>74</v>
      </c>
      <c r="L2" s="4">
        <v>100</v>
      </c>
      <c r="M2">
        <v>54</v>
      </c>
      <c r="N2">
        <v>10</v>
      </c>
    </row>
    <row r="3" spans="1:25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27</v>
      </c>
      <c r="I3" s="1">
        <f>B7/2</f>
        <v>16</v>
      </c>
      <c r="T3" s="17" t="s">
        <v>80</v>
      </c>
      <c r="U3" s="23">
        <f ca="1">IF(ABS(K68)&lt;0.002,0.65,IF(ABS(K68)&gt;0.005,0.9,0.65+((ABS(K68)-0.002)*(250/3))))</f>
        <v>0.9</v>
      </c>
      <c r="V3" s="18"/>
      <c r="X3" t="s">
        <v>81</v>
      </c>
    </row>
    <row r="4" spans="1:25" x14ac:dyDescent="0.25">
      <c r="A4" t="s">
        <v>3</v>
      </c>
      <c r="B4" s="1">
        <f>IF(B2&lt;=4,0.85,IF(B2&lt;=8,0.85 - ((0.05*(B2-4))/1),0.65))</f>
        <v>0.79999999999999993</v>
      </c>
      <c r="E4" s="5">
        <f>B5</f>
        <v>16</v>
      </c>
      <c r="F4">
        <v>0</v>
      </c>
      <c r="T4" s="19" t="s">
        <v>77</v>
      </c>
      <c r="U4" s="11">
        <f ca="1">U3*B71</f>
        <v>0</v>
      </c>
      <c r="V4" s="20" t="s">
        <v>70</v>
      </c>
      <c r="X4">
        <f>MAX(E3:F9)+10</f>
        <v>42</v>
      </c>
      <c r="Y4">
        <f>X4</f>
        <v>42</v>
      </c>
    </row>
    <row r="5" spans="1:25" x14ac:dyDescent="0.25">
      <c r="A5" t="s">
        <v>5</v>
      </c>
      <c r="B5" s="2">
        <v>16</v>
      </c>
      <c r="C5" t="s">
        <v>4</v>
      </c>
      <c r="E5" s="5">
        <f>E4</f>
        <v>16</v>
      </c>
      <c r="F5">
        <f>(B7-B8)</f>
        <v>24</v>
      </c>
      <c r="T5" s="19" t="s">
        <v>79</v>
      </c>
      <c r="U5" s="11">
        <f ca="1">U3*B75*(1/12)</f>
        <v>303.70940073529397</v>
      </c>
      <c r="V5" s="20" t="s">
        <v>72</v>
      </c>
      <c r="X5">
        <f>X4</f>
        <v>42</v>
      </c>
      <c r="Y5">
        <f>X5</f>
        <v>42</v>
      </c>
    </row>
    <row r="6" spans="1:25" ht="15.75" thickBot="1" x14ac:dyDescent="0.3">
      <c r="A6" t="s">
        <v>6</v>
      </c>
      <c r="B6" s="2">
        <v>32</v>
      </c>
      <c r="C6" t="s">
        <v>4</v>
      </c>
      <c r="E6" s="5">
        <f>B6</f>
        <v>32</v>
      </c>
      <c r="F6">
        <f>F5</f>
        <v>24</v>
      </c>
      <c r="T6" s="21" t="s">
        <v>78</v>
      </c>
      <c r="U6" s="24">
        <f ca="1">U3*B76*(1/12)</f>
        <v>-85.319999999999936</v>
      </c>
      <c r="V6" s="22" t="s">
        <v>72</v>
      </c>
    </row>
    <row r="7" spans="1:25" x14ac:dyDescent="0.25">
      <c r="A7" t="s">
        <v>7</v>
      </c>
      <c r="B7" s="4">
        <v>32</v>
      </c>
      <c r="C7" t="s">
        <v>4</v>
      </c>
      <c r="E7" s="5">
        <f>E6</f>
        <v>32</v>
      </c>
      <c r="F7">
        <f>B7</f>
        <v>32</v>
      </c>
    </row>
    <row r="8" spans="1:25" x14ac:dyDescent="0.25">
      <c r="A8" t="s">
        <v>8</v>
      </c>
      <c r="B8" s="4">
        <v>8</v>
      </c>
      <c r="C8" t="s">
        <v>4</v>
      </c>
      <c r="E8">
        <v>0</v>
      </c>
      <c r="F8">
        <f>F7</f>
        <v>32</v>
      </c>
    </row>
    <row r="9" spans="1:25" x14ac:dyDescent="0.25">
      <c r="E9">
        <v>0</v>
      </c>
      <c r="F9">
        <v>0</v>
      </c>
    </row>
    <row r="11" spans="1:25" x14ac:dyDescent="0.25">
      <c r="A11" t="s">
        <v>11</v>
      </c>
    </row>
    <row r="12" spans="1:25" x14ac:dyDescent="0.25">
      <c r="A12" t="s">
        <v>12</v>
      </c>
      <c r="B12" s="2">
        <v>60</v>
      </c>
      <c r="C12" t="s">
        <v>1</v>
      </c>
    </row>
    <row r="13" spans="1:25" x14ac:dyDescent="0.25">
      <c r="A13" t="s">
        <v>13</v>
      </c>
      <c r="B13" s="3">
        <v>29000</v>
      </c>
      <c r="C13" t="s">
        <v>1</v>
      </c>
    </row>
    <row r="14" spans="1:25" x14ac:dyDescent="0.25">
      <c r="B14" s="1" t="s">
        <v>14</v>
      </c>
      <c r="C14" t="s">
        <v>15</v>
      </c>
      <c r="D14" s="1" t="s">
        <v>9</v>
      </c>
      <c r="E14" s="1" t="s">
        <v>10</v>
      </c>
      <c r="G14">
        <v>0</v>
      </c>
      <c r="H14">
        <v>0</v>
      </c>
      <c r="I14">
        <v>0</v>
      </c>
    </row>
    <row r="15" spans="1:25" x14ac:dyDescent="0.25">
      <c r="A15">
        <v>1</v>
      </c>
      <c r="B15" s="6">
        <v>8</v>
      </c>
      <c r="C15" s="7">
        <f ca="1">OFFSET($G$14,MATCH(B15,$G$14:$G$25,0)-1,2)</f>
        <v>0.79</v>
      </c>
      <c r="D15" s="2">
        <v>3</v>
      </c>
      <c r="E15" s="2">
        <v>3</v>
      </c>
      <c r="G15">
        <v>3</v>
      </c>
      <c r="H15">
        <v>0.375</v>
      </c>
      <c r="I15">
        <v>0.11</v>
      </c>
      <c r="T15">
        <f>IF($B15=0,NA(),D15)</f>
        <v>3</v>
      </c>
      <c r="U15">
        <f>IF($B15=0,NA(),E15)</f>
        <v>3</v>
      </c>
    </row>
    <row r="16" spans="1:25" x14ac:dyDescent="0.25">
      <c r="A16">
        <v>2</v>
      </c>
      <c r="B16" s="6">
        <v>8</v>
      </c>
      <c r="C16" s="7">
        <f t="shared" ref="C16:C24" ca="1" si="0">OFFSET($G$14,MATCH(B16,$G$14:$G$25,0)-1,2)</f>
        <v>0.79</v>
      </c>
      <c r="D16" s="2">
        <v>13</v>
      </c>
      <c r="E16" s="2">
        <v>3</v>
      </c>
      <c r="G16">
        <v>4</v>
      </c>
      <c r="H16">
        <v>0.5</v>
      </c>
      <c r="I16">
        <v>0.2</v>
      </c>
      <c r="T16">
        <f t="shared" ref="T16:T24" si="1">IF($B16=0,NA(),D16)</f>
        <v>13</v>
      </c>
      <c r="U16">
        <f t="shared" ref="U16:U24" si="2">IF($B16=0,NA(),E16)</f>
        <v>3</v>
      </c>
    </row>
    <row r="17" spans="1:21" x14ac:dyDescent="0.25">
      <c r="A17">
        <v>3</v>
      </c>
      <c r="B17" s="6">
        <v>8</v>
      </c>
      <c r="C17" s="7">
        <f t="shared" ca="1" si="0"/>
        <v>0.79</v>
      </c>
      <c r="D17" s="2">
        <v>8</v>
      </c>
      <c r="E17" s="2">
        <v>3</v>
      </c>
      <c r="G17">
        <v>5</v>
      </c>
      <c r="H17">
        <v>0.625</v>
      </c>
      <c r="I17">
        <v>0.31</v>
      </c>
      <c r="T17">
        <f t="shared" si="1"/>
        <v>8</v>
      </c>
      <c r="U17">
        <f t="shared" si="2"/>
        <v>3</v>
      </c>
    </row>
    <row r="18" spans="1:21" x14ac:dyDescent="0.25">
      <c r="A18">
        <v>4</v>
      </c>
      <c r="B18" s="6">
        <v>0</v>
      </c>
      <c r="C18" s="7">
        <f t="shared" ca="1" si="0"/>
        <v>0</v>
      </c>
      <c r="D18" s="2">
        <v>0</v>
      </c>
      <c r="E18" s="2">
        <v>0</v>
      </c>
      <c r="G18">
        <v>6</v>
      </c>
      <c r="H18">
        <v>0.75</v>
      </c>
      <c r="I18">
        <v>0.44</v>
      </c>
      <c r="T18" t="e">
        <f t="shared" si="1"/>
        <v>#N/A</v>
      </c>
      <c r="U18" t="e">
        <f t="shared" si="2"/>
        <v>#N/A</v>
      </c>
    </row>
    <row r="19" spans="1:21" x14ac:dyDescent="0.25">
      <c r="A19">
        <v>5</v>
      </c>
      <c r="B19" s="6">
        <v>0</v>
      </c>
      <c r="C19" s="7">
        <f t="shared" ca="1" si="0"/>
        <v>0</v>
      </c>
      <c r="D19" s="2">
        <v>0</v>
      </c>
      <c r="E19" s="2">
        <v>0</v>
      </c>
      <c r="G19">
        <v>7</v>
      </c>
      <c r="H19">
        <v>0.875</v>
      </c>
      <c r="I19">
        <v>0.6</v>
      </c>
      <c r="T19" t="e">
        <f t="shared" si="1"/>
        <v>#N/A</v>
      </c>
      <c r="U19" t="e">
        <f t="shared" si="2"/>
        <v>#N/A</v>
      </c>
    </row>
    <row r="20" spans="1:21" x14ac:dyDescent="0.25">
      <c r="A20">
        <v>6</v>
      </c>
      <c r="B20" s="6">
        <v>0</v>
      </c>
      <c r="C20" s="7">
        <f t="shared" ca="1" si="0"/>
        <v>0</v>
      </c>
      <c r="D20" s="2">
        <v>0</v>
      </c>
      <c r="E20" s="2">
        <v>0</v>
      </c>
      <c r="G20">
        <v>8</v>
      </c>
      <c r="H20">
        <v>1</v>
      </c>
      <c r="I20">
        <v>0.79</v>
      </c>
      <c r="T20" t="e">
        <f t="shared" si="1"/>
        <v>#N/A</v>
      </c>
      <c r="U20" t="e">
        <f t="shared" si="2"/>
        <v>#N/A</v>
      </c>
    </row>
    <row r="21" spans="1:21" x14ac:dyDescent="0.25">
      <c r="A21">
        <v>7</v>
      </c>
      <c r="B21" s="6">
        <v>0</v>
      </c>
      <c r="C21" s="7">
        <f t="shared" ca="1" si="0"/>
        <v>0</v>
      </c>
      <c r="D21" s="2">
        <v>0</v>
      </c>
      <c r="E21" s="2">
        <v>0</v>
      </c>
      <c r="G21">
        <v>9</v>
      </c>
      <c r="H21">
        <v>1.1279999999999999</v>
      </c>
      <c r="I21">
        <v>1</v>
      </c>
      <c r="T21" t="e">
        <f t="shared" si="1"/>
        <v>#N/A</v>
      </c>
      <c r="U21" t="e">
        <f t="shared" si="2"/>
        <v>#N/A</v>
      </c>
    </row>
    <row r="22" spans="1:21" x14ac:dyDescent="0.25">
      <c r="A22">
        <v>8</v>
      </c>
      <c r="B22" s="6">
        <v>0</v>
      </c>
      <c r="C22" s="7">
        <f t="shared" ca="1" si="0"/>
        <v>0</v>
      </c>
      <c r="D22" s="2">
        <v>0</v>
      </c>
      <c r="E22" s="2">
        <v>0</v>
      </c>
      <c r="G22">
        <v>10</v>
      </c>
      <c r="H22">
        <v>1.27</v>
      </c>
      <c r="I22">
        <v>1.27</v>
      </c>
      <c r="T22" t="e">
        <f t="shared" si="1"/>
        <v>#N/A</v>
      </c>
      <c r="U22" t="e">
        <f t="shared" si="2"/>
        <v>#N/A</v>
      </c>
    </row>
    <row r="23" spans="1:21" x14ac:dyDescent="0.25">
      <c r="A23">
        <v>9</v>
      </c>
      <c r="B23" s="6">
        <v>0</v>
      </c>
      <c r="C23" s="7">
        <f t="shared" ca="1" si="0"/>
        <v>0</v>
      </c>
      <c r="D23" s="2">
        <v>0</v>
      </c>
      <c r="E23" s="2">
        <v>0</v>
      </c>
      <c r="G23">
        <v>11</v>
      </c>
      <c r="H23">
        <v>1.41</v>
      </c>
      <c r="I23">
        <v>1.56</v>
      </c>
      <c r="T23" t="e">
        <f t="shared" si="1"/>
        <v>#N/A</v>
      </c>
      <c r="U23" t="e">
        <f t="shared" si="2"/>
        <v>#N/A</v>
      </c>
    </row>
    <row r="24" spans="1:21" x14ac:dyDescent="0.25">
      <c r="A24">
        <v>10</v>
      </c>
      <c r="B24" s="6">
        <v>0</v>
      </c>
      <c r="C24" s="7">
        <f t="shared" ca="1" si="0"/>
        <v>0</v>
      </c>
      <c r="D24" s="2">
        <v>0</v>
      </c>
      <c r="E24" s="2">
        <v>0</v>
      </c>
      <c r="G24">
        <v>14</v>
      </c>
      <c r="H24">
        <v>1.6930000000000001</v>
      </c>
      <c r="I24">
        <v>2.25</v>
      </c>
      <c r="T24" t="e">
        <f t="shared" si="1"/>
        <v>#N/A</v>
      </c>
      <c r="U24" t="e">
        <f t="shared" si="2"/>
        <v>#N/A</v>
      </c>
    </row>
    <row r="25" spans="1:21" x14ac:dyDescent="0.25">
      <c r="G25">
        <v>18</v>
      </c>
      <c r="H25">
        <v>2.2570000000000001</v>
      </c>
      <c r="I25">
        <v>4</v>
      </c>
    </row>
    <row r="27" spans="1:21" x14ac:dyDescent="0.25">
      <c r="A27" t="s">
        <v>16</v>
      </c>
      <c r="B27" s="8">
        <v>0</v>
      </c>
      <c r="C27" t="s">
        <v>17</v>
      </c>
    </row>
    <row r="28" spans="1:21" x14ac:dyDescent="0.25">
      <c r="A28" t="s">
        <v>18</v>
      </c>
      <c r="B28" s="8">
        <v>1.3069852941176472</v>
      </c>
      <c r="C28" t="s">
        <v>4</v>
      </c>
    </row>
    <row r="29" spans="1:21" x14ac:dyDescent="0.25">
      <c r="A29" t="s">
        <v>19</v>
      </c>
      <c r="B29" s="7">
        <f>B28*B4</f>
        <v>1.0455882352941177</v>
      </c>
      <c r="C29" t="s">
        <v>4</v>
      </c>
    </row>
    <row r="30" spans="1:21" x14ac:dyDescent="0.25">
      <c r="A30" t="s">
        <v>50</v>
      </c>
      <c r="B30" s="1">
        <v>3.0000000000000001E-3</v>
      </c>
    </row>
    <row r="31" spans="1:21" x14ac:dyDescent="0.25">
      <c r="A31" t="s">
        <v>51</v>
      </c>
      <c r="B31" s="1">
        <f>B2*0.85</f>
        <v>4.25</v>
      </c>
      <c r="C31" t="s">
        <v>1</v>
      </c>
    </row>
    <row r="33" spans="1:23" x14ac:dyDescent="0.25">
      <c r="A33" t="s">
        <v>20</v>
      </c>
      <c r="J33">
        <f>(J41*COS(-1*$B$27))+(K41*SIN(-1*$B$27))</f>
        <v>-1</v>
      </c>
      <c r="K33">
        <f>(-1*J41*SIN(-1*$B$27))+(K41*COS(-1*$B$27))</f>
        <v>30.693014705882355</v>
      </c>
      <c r="N33">
        <f>(N41*COS(-1*$B$27))+(O41*SIN(-1*$B$27))</f>
        <v>-1</v>
      </c>
      <c r="O33">
        <f>(-1*N41*SIN(-1*$B$27))+(O41*COS(-1*$B$27))</f>
        <v>30.954411764705881</v>
      </c>
    </row>
    <row r="34" spans="1:23" x14ac:dyDescent="0.25">
      <c r="J34">
        <f>(J42*COS(-1*$B$27))+(K42*SIN(-1*$B$27))</f>
        <v>33</v>
      </c>
      <c r="K34">
        <f>(-1*J42*SIN(-1*$B$27))+(K42*COS(-1*$B$27))</f>
        <v>30.693014705882355</v>
      </c>
      <c r="N34">
        <f>(N42*COS(-1*$B$27))+(O42*SIN(-1*$B$27))</f>
        <v>33</v>
      </c>
      <c r="O34">
        <f>(-1*N42*SIN(-1*$B$27))+(O42*COS(-1*$B$27))</f>
        <v>30.954411764705881</v>
      </c>
    </row>
    <row r="35" spans="1:23" x14ac:dyDescent="0.25">
      <c r="A35" s="9" t="s">
        <v>21</v>
      </c>
    </row>
    <row r="36" spans="1:23" x14ac:dyDescent="0.25">
      <c r="A36" s="1" t="s">
        <v>9</v>
      </c>
      <c r="B36" s="1" t="s">
        <v>10</v>
      </c>
      <c r="C36" s="1" t="s">
        <v>22</v>
      </c>
      <c r="D36" s="1" t="s">
        <v>23</v>
      </c>
      <c r="F36" s="9" t="s">
        <v>75</v>
      </c>
      <c r="G36" s="1">
        <f>(-1*0.003*MAX(J58:J67))/(0.002-0.003)</f>
        <v>96</v>
      </c>
      <c r="H36" s="16" t="s">
        <v>4</v>
      </c>
      <c r="J36" t="s">
        <v>54</v>
      </c>
      <c r="N36" t="s">
        <v>55</v>
      </c>
    </row>
    <row r="37" spans="1:23" x14ac:dyDescent="0.25">
      <c r="A37" s="3">
        <f t="shared" ref="A37:A43" si="3">E3-$I$2</f>
        <v>-8</v>
      </c>
      <c r="B37" s="7">
        <f t="shared" ref="B37:B43" si="4">F3-$I$3</f>
        <v>-16</v>
      </c>
      <c r="C37" s="7">
        <f>A37*COS($B$27)+B37*SIN($B$27)</f>
        <v>-8</v>
      </c>
      <c r="D37" s="7">
        <f>-1*A37*SIN($B$27)+B37*COS($B$27)</f>
        <v>-16</v>
      </c>
      <c r="F37" s="9" t="s">
        <v>24</v>
      </c>
      <c r="G37" s="1">
        <f>MAX(D37:D41)-MIN(D37:D41)</f>
        <v>32</v>
      </c>
      <c r="H37" t="s">
        <v>4</v>
      </c>
      <c r="J37" t="s">
        <v>9</v>
      </c>
      <c r="K37" t="s">
        <v>10</v>
      </c>
      <c r="N37" t="s">
        <v>9</v>
      </c>
      <c r="O37" t="s">
        <v>10</v>
      </c>
    </row>
    <row r="38" spans="1:23" x14ac:dyDescent="0.25">
      <c r="A38" s="3">
        <f t="shared" si="3"/>
        <v>8</v>
      </c>
      <c r="B38" s="7">
        <f t="shared" si="4"/>
        <v>-16</v>
      </c>
      <c r="C38" s="7">
        <f t="shared" ref="C38:C41" si="5">A38*COS($B$27)+B38*SIN($B$27)</f>
        <v>8</v>
      </c>
      <c r="D38" s="7">
        <f t="shared" ref="D38:D41" si="6">-1*A38*SIN($B$27)+B38*COS($B$27)</f>
        <v>-16</v>
      </c>
      <c r="F38" s="9" t="s">
        <v>25</v>
      </c>
      <c r="G38" s="7">
        <f>MAX(D37:D43)</f>
        <v>16</v>
      </c>
      <c r="H38" t="s">
        <v>4</v>
      </c>
      <c r="J38" s="10">
        <f>MIN(C37:C43,A37:A43)-1</f>
        <v>-9</v>
      </c>
      <c r="K38" s="10">
        <f>G40</f>
        <v>14.693014705882353</v>
      </c>
      <c r="N38" s="10">
        <f>J38</f>
        <v>-9</v>
      </c>
      <c r="O38" s="10">
        <f>G41</f>
        <v>14.954411764705883</v>
      </c>
    </row>
    <row r="39" spans="1:23" x14ac:dyDescent="0.25">
      <c r="A39" s="3">
        <f t="shared" si="3"/>
        <v>8</v>
      </c>
      <c r="B39" s="7">
        <f t="shared" si="4"/>
        <v>8</v>
      </c>
      <c r="C39" s="7">
        <f t="shared" si="5"/>
        <v>8</v>
      </c>
      <c r="D39" s="7">
        <f t="shared" si="6"/>
        <v>8</v>
      </c>
      <c r="J39" s="10">
        <f>MAX(C37:C43,A37:A43)+1</f>
        <v>25</v>
      </c>
      <c r="K39" s="10">
        <f>K38</f>
        <v>14.693014705882353</v>
      </c>
      <c r="N39" s="10">
        <f>J39</f>
        <v>25</v>
      </c>
      <c r="O39" s="10">
        <f>G41</f>
        <v>14.954411764705883</v>
      </c>
    </row>
    <row r="40" spans="1:23" x14ac:dyDescent="0.25">
      <c r="A40" s="3">
        <f t="shared" si="3"/>
        <v>24</v>
      </c>
      <c r="B40" s="7">
        <f t="shared" si="4"/>
        <v>8</v>
      </c>
      <c r="C40" s="7">
        <f t="shared" si="5"/>
        <v>24</v>
      </c>
      <c r="D40" s="7">
        <f t="shared" si="6"/>
        <v>8</v>
      </c>
      <c r="F40" s="9" t="s">
        <v>52</v>
      </c>
      <c r="G40" s="10">
        <f>G38-B28</f>
        <v>14.693014705882353</v>
      </c>
    </row>
    <row r="41" spans="1:23" x14ac:dyDescent="0.25">
      <c r="A41" s="3">
        <f t="shared" si="3"/>
        <v>24</v>
      </c>
      <c r="B41" s="7">
        <f t="shared" si="4"/>
        <v>16</v>
      </c>
      <c r="C41" s="7">
        <f t="shared" si="5"/>
        <v>24</v>
      </c>
      <c r="D41" s="7">
        <f t="shared" si="6"/>
        <v>16</v>
      </c>
      <c r="F41" s="9" t="s">
        <v>53</v>
      </c>
      <c r="G41" s="10">
        <f>G38-B29</f>
        <v>14.954411764705883</v>
      </c>
      <c r="J41" s="10">
        <f>J38+$I$2</f>
        <v>-1</v>
      </c>
      <c r="K41" s="10">
        <f>K38+$I$3</f>
        <v>30.693014705882355</v>
      </c>
      <c r="N41" s="10">
        <f>N38+$I$2</f>
        <v>-1</v>
      </c>
      <c r="O41" s="10">
        <f>O38+$I$3</f>
        <v>30.954411764705881</v>
      </c>
    </row>
    <row r="42" spans="1:23" x14ac:dyDescent="0.25">
      <c r="A42" s="3">
        <f t="shared" si="3"/>
        <v>-8</v>
      </c>
      <c r="B42" s="7">
        <f t="shared" si="4"/>
        <v>16</v>
      </c>
      <c r="C42" s="7">
        <f t="shared" ref="C42:C43" si="7">A42*COS($B$27)+B42*SIN($B$27)</f>
        <v>-8</v>
      </c>
      <c r="D42" s="7">
        <f t="shared" ref="D42:D43" si="8">-1*A42*SIN($B$27)+B42*COS($B$27)</f>
        <v>16</v>
      </c>
      <c r="J42" s="10">
        <f>J39+$I$2</f>
        <v>33</v>
      </c>
      <c r="K42" s="10">
        <f>K39+$I$3</f>
        <v>30.693014705882355</v>
      </c>
      <c r="N42" s="10">
        <f>N39+$I$2</f>
        <v>33</v>
      </c>
      <c r="O42" s="10">
        <f>O39+$I$3</f>
        <v>30.954411764705881</v>
      </c>
    </row>
    <row r="43" spans="1:23" x14ac:dyDescent="0.25">
      <c r="A43" s="3">
        <f t="shared" si="3"/>
        <v>-8</v>
      </c>
      <c r="B43" s="7">
        <f t="shared" si="4"/>
        <v>-16</v>
      </c>
      <c r="C43" s="7">
        <f t="shared" si="7"/>
        <v>-8</v>
      </c>
      <c r="D43" s="7">
        <f t="shared" si="8"/>
        <v>-16</v>
      </c>
    </row>
    <row r="45" spans="1:23" x14ac:dyDescent="0.25">
      <c r="A45" t="s">
        <v>28</v>
      </c>
    </row>
    <row r="46" spans="1:23" x14ac:dyDescent="0.25">
      <c r="B46" s="1" t="s">
        <v>29</v>
      </c>
      <c r="C46" s="1" t="s">
        <v>30</v>
      </c>
      <c r="D46" s="1" t="s">
        <v>31</v>
      </c>
      <c r="E46" s="1" t="s">
        <v>32</v>
      </c>
      <c r="F46" s="1" t="s">
        <v>33</v>
      </c>
      <c r="G46" s="1" t="s">
        <v>34</v>
      </c>
      <c r="H46" s="1" t="s">
        <v>35</v>
      </c>
      <c r="I46" s="1" t="s">
        <v>36</v>
      </c>
      <c r="J46" s="1" t="s">
        <v>37</v>
      </c>
      <c r="K46" s="1" t="s">
        <v>38</v>
      </c>
      <c r="L46" s="1" t="s">
        <v>39</v>
      </c>
      <c r="M46" s="1" t="s">
        <v>40</v>
      </c>
      <c r="N46" s="1" t="s">
        <v>41</v>
      </c>
      <c r="O46" s="1" t="s">
        <v>42</v>
      </c>
      <c r="P46" s="1" t="s">
        <v>43</v>
      </c>
    </row>
    <row r="47" spans="1:23" x14ac:dyDescent="0.25">
      <c r="A47" t="s">
        <v>44</v>
      </c>
      <c r="B47" s="7">
        <f>C37</f>
        <v>-8</v>
      </c>
      <c r="C47" s="7">
        <f>D37</f>
        <v>-16</v>
      </c>
      <c r="D47" s="7">
        <f t="shared" ref="D47:E52" si="9">C38</f>
        <v>8</v>
      </c>
      <c r="E47" s="7">
        <f t="shared" si="9"/>
        <v>-16</v>
      </c>
      <c r="F47" s="7">
        <f t="shared" ref="F47:F52" si="10">IF(B47=D47,"V",(C47-E47)/(B47-D47))</f>
        <v>0</v>
      </c>
      <c r="G47" s="7">
        <f t="shared" ref="G47:G52" si="11">IF(F47="V",0,(-1*B47*F47)+C47)</f>
        <v>-16</v>
      </c>
      <c r="H47" s="7">
        <f>IF(AND(C47&lt;$G$41,E47&lt;$G$41),0,IF(AND(C47&lt;$G$41,E47&gt;$G$41),IF(F47="V",B47,($G$41-G47)/F47),B47))</f>
        <v>0</v>
      </c>
      <c r="I47" s="7">
        <f>IF(AND(C47&lt;$G$41,E47&lt;$G$41),0,IF(AND(C47&lt;$G$41,E47&gt;$G$41),$G$41,C47))</f>
        <v>0</v>
      </c>
      <c r="J47" s="7">
        <f>IF(AND(C47&lt;$G$41,E47&lt;$G$41),0,IF(E47&gt;=$G$41,D47,IF(F47="V",D47,($G$41-G47)/F47)))</f>
        <v>0</v>
      </c>
      <c r="K47" s="7">
        <f>IF(AND(C47&lt;$G$41,E47&lt;$G$41),0,IF(E47&gt;=$G$41,E47,$G$41))</f>
        <v>0</v>
      </c>
      <c r="L47" s="7">
        <f>IF(AND(I47=0,K47=0,H47=0,J47=0),0,$B$31)</f>
        <v>0</v>
      </c>
      <c r="M47" s="7">
        <f>IF(AND(I47=0,K47=0,H47=0,J47=0),0,$B$31)</f>
        <v>0</v>
      </c>
      <c r="N47" s="11">
        <f>(1/6)*(K47-I47)*((L47*((2*H47)+J47))+(M47*(H47+(2*J47))))</f>
        <v>0</v>
      </c>
      <c r="O47" s="11">
        <f>((1/12)*(K47-I47)*(L47*H47*((3*I47)+K47)+L47*J47*(I47+K47)+M47*H47*(I47+K47)+M47*J47*(I47+(3*K47))))</f>
        <v>0</v>
      </c>
      <c r="P47" s="11">
        <f>((-1/24)*(K47-I47)*(H47*H47*((3*L47)+M47)+2*H47*J47*(L47+M47)+J47*J47*(L47+(3*M47))))</f>
        <v>0</v>
      </c>
      <c r="S47" t="e">
        <f>IF(AND(I47=0,K47=0,H47=0,J47=0),NA(),H47)</f>
        <v>#N/A</v>
      </c>
      <c r="T47" t="e">
        <f>IF(AND(I47=0,K47=0,H47=0,J47=0),NA(),I47)</f>
        <v>#N/A</v>
      </c>
      <c r="V47" t="e">
        <f>IF(AND(I47=0,K47=0,H47=0,J47=0),NA(),J47)</f>
        <v>#N/A</v>
      </c>
      <c r="W47" t="e">
        <f>IF(AND(I47=0,K47=0,H47=0,J47=0),NA(),K47)</f>
        <v>#N/A</v>
      </c>
    </row>
    <row r="48" spans="1:23" x14ac:dyDescent="0.25">
      <c r="A48" t="s">
        <v>45</v>
      </c>
      <c r="B48" s="7">
        <f t="shared" ref="B48:C52" si="12">D47</f>
        <v>8</v>
      </c>
      <c r="C48" s="7">
        <f t="shared" si="12"/>
        <v>-16</v>
      </c>
      <c r="D48" s="7">
        <f t="shared" si="9"/>
        <v>8</v>
      </c>
      <c r="E48" s="7">
        <f t="shared" si="9"/>
        <v>8</v>
      </c>
      <c r="F48" s="7" t="str">
        <f t="shared" si="10"/>
        <v>V</v>
      </c>
      <c r="G48" s="7">
        <f t="shared" si="11"/>
        <v>0</v>
      </c>
      <c r="H48" s="7">
        <f t="shared" ref="H48:H52" si="13">IF(AND(C48&lt;$G$41,E48&lt;$G$41),0,IF(AND(C48&lt;$G$41,E48&gt;$G$41),IF(F48="V",B48,($G$41-G48)/F48),B48))</f>
        <v>0</v>
      </c>
      <c r="I48" s="7">
        <f t="shared" ref="I48:I52" si="14">IF(AND(C48&lt;$G$41,E48&lt;$G$41),0,IF(AND(C48&lt;$G$41,E48&gt;$G$41),$G$41,C48))</f>
        <v>0</v>
      </c>
      <c r="J48" s="7">
        <f t="shared" ref="J48:J52" si="15">IF(AND(C48&lt;$G$41,E48&lt;$G$41),0,IF(E48&gt;=$G$41,D48,IF(F48="V",D48,($G$41-G48)/F48)))</f>
        <v>0</v>
      </c>
      <c r="K48" s="7">
        <f t="shared" ref="K48:K52" si="16">IF(AND(C48&lt;$G$41,E48&lt;$G$41),0,IF(E48&gt;=$G$41,E48,$G$41))</f>
        <v>0</v>
      </c>
      <c r="L48" s="7">
        <f t="shared" ref="L48:L52" si="17">IF(AND(I48=0,K48=0,H48=0,J48=0),0,$B$31)</f>
        <v>0</v>
      </c>
      <c r="M48" s="7">
        <f t="shared" ref="M48:M52" si="18">IF(AND(I48=0,K48=0,H48=0,J48=0),0,$B$31)</f>
        <v>0</v>
      </c>
      <c r="N48" s="11">
        <f t="shared" ref="N48:N52" si="19">(1/6)*(K48-I48)*((L48*((2*H48)+J48))+(M48*(H48+(2*J48))))</f>
        <v>0</v>
      </c>
      <c r="O48" s="11">
        <f t="shared" ref="O48:O52" si="20">((1/12)*(K48-I48)*(L48*H48*((3*I48)+K48)+L48*J48*(I48+K48)+M48*H48*(I48+K48)+M48*J48*(I48+(3*K48))))</f>
        <v>0</v>
      </c>
      <c r="P48" s="11">
        <f t="shared" ref="P48:P52" si="21">((-1/24)*(K48-I48)*(H48*H48*((3*L48)+M48)+2*H48*J48*(L48+M48)+J48*J48*(L48+(3*M48))))</f>
        <v>0</v>
      </c>
      <c r="S48" t="e">
        <f t="shared" ref="S48:S52" si="22">IF(AND(I48=0,K48=0,H48=0,J48=0),NA(),H48)</f>
        <v>#N/A</v>
      </c>
      <c r="T48" t="e">
        <f t="shared" ref="T48:T52" si="23">IF(AND(I48=0,K48=0,H48=0,J48=0),NA(),I48)</f>
        <v>#N/A</v>
      </c>
      <c r="V48" t="e">
        <f t="shared" ref="V48:V52" si="24">IF(AND(I48=0,K48=0,H48=0,J48=0),NA(),J48)</f>
        <v>#N/A</v>
      </c>
      <c r="W48" t="e">
        <f t="shared" ref="W48:W52" si="25">IF(AND(I48=0,K48=0,H48=0,J48=0),NA(),K48)</f>
        <v>#N/A</v>
      </c>
    </row>
    <row r="49" spans="1:23" x14ac:dyDescent="0.25">
      <c r="A49" t="s">
        <v>46</v>
      </c>
      <c r="B49" s="7">
        <f t="shared" si="12"/>
        <v>8</v>
      </c>
      <c r="C49" s="7">
        <f t="shared" si="12"/>
        <v>8</v>
      </c>
      <c r="D49" s="7">
        <f t="shared" si="9"/>
        <v>24</v>
      </c>
      <c r="E49" s="7">
        <f t="shared" si="9"/>
        <v>8</v>
      </c>
      <c r="F49" s="7">
        <f t="shared" si="10"/>
        <v>0</v>
      </c>
      <c r="G49" s="7">
        <f t="shared" si="11"/>
        <v>8</v>
      </c>
      <c r="H49" s="7">
        <f t="shared" si="13"/>
        <v>0</v>
      </c>
      <c r="I49" s="7">
        <f t="shared" si="14"/>
        <v>0</v>
      </c>
      <c r="J49" s="7">
        <f t="shared" si="15"/>
        <v>0</v>
      </c>
      <c r="K49" s="7">
        <f t="shared" si="16"/>
        <v>0</v>
      </c>
      <c r="L49" s="7">
        <f t="shared" si="17"/>
        <v>0</v>
      </c>
      <c r="M49" s="7">
        <f t="shared" si="18"/>
        <v>0</v>
      </c>
      <c r="N49" s="11">
        <f t="shared" si="19"/>
        <v>0</v>
      </c>
      <c r="O49" s="11">
        <f t="shared" si="20"/>
        <v>0</v>
      </c>
      <c r="P49" s="11">
        <f t="shared" si="21"/>
        <v>0</v>
      </c>
      <c r="S49" t="e">
        <f t="shared" si="22"/>
        <v>#N/A</v>
      </c>
      <c r="T49" t="e">
        <f t="shared" si="23"/>
        <v>#N/A</v>
      </c>
      <c r="V49" t="e">
        <f t="shared" si="24"/>
        <v>#N/A</v>
      </c>
      <c r="W49" t="e">
        <f t="shared" si="25"/>
        <v>#N/A</v>
      </c>
    </row>
    <row r="50" spans="1:23" x14ac:dyDescent="0.25">
      <c r="A50" t="s">
        <v>47</v>
      </c>
      <c r="B50" s="7">
        <f t="shared" si="12"/>
        <v>24</v>
      </c>
      <c r="C50" s="7">
        <f t="shared" si="12"/>
        <v>8</v>
      </c>
      <c r="D50" s="7">
        <f t="shared" si="9"/>
        <v>24</v>
      </c>
      <c r="E50" s="7">
        <f t="shared" si="9"/>
        <v>16</v>
      </c>
      <c r="F50" s="7" t="str">
        <f t="shared" si="10"/>
        <v>V</v>
      </c>
      <c r="G50" s="7">
        <f t="shared" si="11"/>
        <v>0</v>
      </c>
      <c r="H50" s="7">
        <f t="shared" si="13"/>
        <v>24</v>
      </c>
      <c r="I50" s="7">
        <f t="shared" si="14"/>
        <v>14.954411764705883</v>
      </c>
      <c r="J50" s="7">
        <f t="shared" si="15"/>
        <v>24</v>
      </c>
      <c r="K50" s="7">
        <f t="shared" si="16"/>
        <v>16</v>
      </c>
      <c r="L50" s="7">
        <f t="shared" si="17"/>
        <v>4.25</v>
      </c>
      <c r="M50" s="7">
        <f t="shared" si="18"/>
        <v>4.25</v>
      </c>
      <c r="N50" s="11">
        <f t="shared" si="19"/>
        <v>106.64999999999992</v>
      </c>
      <c r="O50" s="11">
        <f t="shared" si="20"/>
        <v>1650.64400735294</v>
      </c>
      <c r="P50" s="11">
        <f t="shared" si="21"/>
        <v>-1279.799999999999</v>
      </c>
      <c r="S50">
        <f t="shared" si="22"/>
        <v>24</v>
      </c>
      <c r="T50">
        <f t="shared" si="23"/>
        <v>14.954411764705883</v>
      </c>
      <c r="V50">
        <f t="shared" si="24"/>
        <v>24</v>
      </c>
      <c r="W50">
        <f t="shared" si="25"/>
        <v>16</v>
      </c>
    </row>
    <row r="51" spans="1:23" x14ac:dyDescent="0.25">
      <c r="A51" t="s">
        <v>48</v>
      </c>
      <c r="B51" s="7">
        <f t="shared" si="12"/>
        <v>24</v>
      </c>
      <c r="C51" s="7">
        <f t="shared" si="12"/>
        <v>16</v>
      </c>
      <c r="D51" s="7">
        <f t="shared" si="9"/>
        <v>-8</v>
      </c>
      <c r="E51" s="7">
        <f t="shared" si="9"/>
        <v>16</v>
      </c>
      <c r="F51" s="7">
        <f t="shared" si="10"/>
        <v>0</v>
      </c>
      <c r="G51" s="7">
        <f t="shared" si="11"/>
        <v>16</v>
      </c>
      <c r="H51" s="7">
        <f t="shared" si="13"/>
        <v>24</v>
      </c>
      <c r="I51" s="7">
        <f t="shared" si="14"/>
        <v>16</v>
      </c>
      <c r="J51" s="7">
        <f t="shared" si="15"/>
        <v>-8</v>
      </c>
      <c r="K51" s="7">
        <f t="shared" si="16"/>
        <v>16</v>
      </c>
      <c r="L51" s="7">
        <f t="shared" si="17"/>
        <v>4.25</v>
      </c>
      <c r="M51" s="7">
        <f t="shared" si="18"/>
        <v>4.25</v>
      </c>
      <c r="N51" s="11">
        <f t="shared" si="19"/>
        <v>0</v>
      </c>
      <c r="O51" s="11">
        <f t="shared" si="20"/>
        <v>0</v>
      </c>
      <c r="P51" s="11">
        <f t="shared" si="21"/>
        <v>0</v>
      </c>
      <c r="S51">
        <f t="shared" si="22"/>
        <v>24</v>
      </c>
      <c r="T51">
        <f t="shared" si="23"/>
        <v>16</v>
      </c>
      <c r="V51">
        <f t="shared" si="24"/>
        <v>-8</v>
      </c>
      <c r="W51">
        <f t="shared" si="25"/>
        <v>16</v>
      </c>
    </row>
    <row r="52" spans="1:23" ht="15.75" thickBot="1" x14ac:dyDescent="0.3">
      <c r="A52" t="s">
        <v>49</v>
      </c>
      <c r="B52" s="7">
        <f t="shared" si="12"/>
        <v>-8</v>
      </c>
      <c r="C52" s="7">
        <f t="shared" si="12"/>
        <v>16</v>
      </c>
      <c r="D52" s="7">
        <f t="shared" si="9"/>
        <v>-8</v>
      </c>
      <c r="E52" s="7">
        <f t="shared" si="9"/>
        <v>-16</v>
      </c>
      <c r="F52" s="7" t="str">
        <f t="shared" si="10"/>
        <v>V</v>
      </c>
      <c r="G52" s="7">
        <f t="shared" si="11"/>
        <v>0</v>
      </c>
      <c r="H52" s="7">
        <f t="shared" si="13"/>
        <v>-8</v>
      </c>
      <c r="I52" s="7">
        <f t="shared" si="14"/>
        <v>16</v>
      </c>
      <c r="J52" s="7">
        <f t="shared" si="15"/>
        <v>-8</v>
      </c>
      <c r="K52" s="7">
        <f t="shared" si="16"/>
        <v>14.954411764705883</v>
      </c>
      <c r="L52" s="7">
        <f t="shared" si="17"/>
        <v>4.25</v>
      </c>
      <c r="M52" s="7">
        <f t="shared" si="18"/>
        <v>4.25</v>
      </c>
      <c r="N52" s="12">
        <f t="shared" si="19"/>
        <v>35.549999999999976</v>
      </c>
      <c r="O52" s="12">
        <f t="shared" si="20"/>
        <v>550.21466911764662</v>
      </c>
      <c r="P52" s="12">
        <f t="shared" si="21"/>
        <v>142.1999999999999</v>
      </c>
      <c r="S52">
        <f t="shared" si="22"/>
        <v>-8</v>
      </c>
      <c r="T52">
        <f t="shared" si="23"/>
        <v>16</v>
      </c>
      <c r="V52">
        <f t="shared" si="24"/>
        <v>-8</v>
      </c>
      <c r="W52">
        <f t="shared" si="25"/>
        <v>14.954411764705883</v>
      </c>
    </row>
    <row r="53" spans="1:23" ht="15.75" thickTop="1" x14ac:dyDescent="0.25">
      <c r="N53" s="7">
        <f>SUM(N47:N52)</f>
        <v>142.1999999999999</v>
      </c>
      <c r="O53" s="7">
        <f t="shared" ref="O53:P53" si="26">SUM(O47:O52)</f>
        <v>2200.8586764705865</v>
      </c>
      <c r="P53" s="7">
        <f t="shared" si="26"/>
        <v>-1137.5999999999992</v>
      </c>
    </row>
    <row r="55" spans="1:23" x14ac:dyDescent="0.25">
      <c r="A55" t="s">
        <v>56</v>
      </c>
    </row>
    <row r="57" spans="1:23" x14ac:dyDescent="0.25">
      <c r="A57">
        <f>A14</f>
        <v>0</v>
      </c>
      <c r="B57" s="1" t="str">
        <f t="shared" ref="B57:D57" si="27">B14</f>
        <v>Bar #</v>
      </c>
      <c r="C57" s="1" t="str">
        <f t="shared" si="27"/>
        <v>As (in^2)</v>
      </c>
      <c r="D57" s="1" t="str">
        <f t="shared" si="27"/>
        <v>x</v>
      </c>
      <c r="E57" s="1" t="str">
        <f>E14</f>
        <v>y</v>
      </c>
      <c r="F57" s="1" t="s">
        <v>57</v>
      </c>
      <c r="G57" s="1" t="s">
        <v>58</v>
      </c>
      <c r="H57" s="1" t="s">
        <v>22</v>
      </c>
      <c r="I57" s="1" t="s">
        <v>23</v>
      </c>
      <c r="J57" s="1" t="s">
        <v>59</v>
      </c>
      <c r="K57" s="1" t="s">
        <v>60</v>
      </c>
      <c r="L57" s="1" t="s">
        <v>61</v>
      </c>
      <c r="M57" s="1" t="s">
        <v>62</v>
      </c>
      <c r="N57" s="1" t="s">
        <v>63</v>
      </c>
      <c r="O57" s="1" t="s">
        <v>64</v>
      </c>
    </row>
    <row r="58" spans="1:23" x14ac:dyDescent="0.25">
      <c r="A58">
        <f t="shared" ref="A58:D67" si="28">A15</f>
        <v>1</v>
      </c>
      <c r="B58" s="1">
        <f t="shared" si="28"/>
        <v>8</v>
      </c>
      <c r="C58" s="1">
        <f t="shared" ca="1" si="28"/>
        <v>0.79</v>
      </c>
      <c r="D58" s="1">
        <f t="shared" si="28"/>
        <v>3</v>
      </c>
      <c r="E58" s="1">
        <f t="shared" ref="E58" si="29">E15</f>
        <v>3</v>
      </c>
      <c r="F58" s="1">
        <f>D58-$I$2</f>
        <v>-5</v>
      </c>
      <c r="G58" s="1">
        <f>E58-$I$3</f>
        <v>-13</v>
      </c>
      <c r="H58" s="7">
        <f>F58*COS($B$27)+G58*SIN($B$27)</f>
        <v>-5</v>
      </c>
      <c r="I58" s="7">
        <f>-1*F58*SIN($B$27)+G58*COS($B$27)</f>
        <v>-13</v>
      </c>
      <c r="J58" s="7">
        <f>$G$38-I58</f>
        <v>29</v>
      </c>
      <c r="K58">
        <f ca="1">IF($B$28=0,-1,IF(C58=0,0,(($B$28-J58)/$B$28)*$B$30)*IF($B$28&lt;0,-1,1))</f>
        <v>-6.3565400843881847E-2</v>
      </c>
      <c r="L58">
        <f ca="1">IF(AND(K58&gt;0,J58&lt;=$B$29),MIN((K58*B$13),B$12)-$B$31,MAX(K58*B$13,-1*B$12))</f>
        <v>-60</v>
      </c>
      <c r="M58" s="7">
        <f ca="1">L58*C58</f>
        <v>-47.400000000000006</v>
      </c>
      <c r="N58" s="7">
        <f ca="1">M58*I58</f>
        <v>616.20000000000005</v>
      </c>
      <c r="O58" s="7">
        <f ca="1">M58*H58*-1</f>
        <v>-237.00000000000003</v>
      </c>
      <c r="Q58">
        <f>IF($B58=0,NA(),H58)</f>
        <v>-5</v>
      </c>
      <c r="R58">
        <f>IF($B58=0,NA(),I58)</f>
        <v>-13</v>
      </c>
    </row>
    <row r="59" spans="1:23" x14ac:dyDescent="0.25">
      <c r="A59">
        <f t="shared" si="28"/>
        <v>2</v>
      </c>
      <c r="B59" s="1">
        <f t="shared" si="28"/>
        <v>8</v>
      </c>
      <c r="C59" s="1">
        <f t="shared" ca="1" si="28"/>
        <v>0.79</v>
      </c>
      <c r="D59" s="1">
        <f t="shared" si="28"/>
        <v>13</v>
      </c>
      <c r="E59" s="1">
        <f t="shared" ref="E59" si="30">E16</f>
        <v>3</v>
      </c>
      <c r="F59" s="1">
        <f t="shared" ref="F59:F67" si="31">D59-$I$2</f>
        <v>5</v>
      </c>
      <c r="G59" s="1">
        <f t="shared" ref="G59:G67" si="32">E59-$I$3</f>
        <v>-13</v>
      </c>
      <c r="H59" s="7">
        <f t="shared" ref="H59:H67" si="33">F59*COS($B$27)+G59*SIN($B$27)</f>
        <v>5</v>
      </c>
      <c r="I59" s="7">
        <f t="shared" ref="I59:I67" si="34">-1*F59*SIN($B$27)+G59*COS($B$27)</f>
        <v>-13</v>
      </c>
      <c r="J59" s="7">
        <f t="shared" ref="J59:J67" si="35">$G$38-I59</f>
        <v>29</v>
      </c>
      <c r="K59">
        <f t="shared" ref="K59:K67" ca="1" si="36">IF($B$28=0,-1,IF(C59=0,0,(($B$28-J59)/$B$28)*$B$30)*IF($B$28&lt;0,-1,1))</f>
        <v>-6.3565400843881847E-2</v>
      </c>
      <c r="L59">
        <f t="shared" ref="L59:L67" ca="1" si="37">IF(AND(K59&gt;0,J59&lt;=$B$29),MIN((K59*B$13),B$12)-$B$31,MAX(K59*B$13,-1*B$12))</f>
        <v>-60</v>
      </c>
      <c r="M59" s="7">
        <f t="shared" ref="M59:M67" ca="1" si="38">L59*C59</f>
        <v>-47.400000000000006</v>
      </c>
      <c r="N59" s="7">
        <f t="shared" ref="N59:N67" ca="1" si="39">M59*I59</f>
        <v>616.20000000000005</v>
      </c>
      <c r="O59" s="7">
        <f t="shared" ref="O59:O67" ca="1" si="40">M59*H59*-1</f>
        <v>237.00000000000003</v>
      </c>
      <c r="Q59">
        <f t="shared" ref="Q59:Q67" si="41">IF($B59=0,NA(),H59)</f>
        <v>5</v>
      </c>
      <c r="R59">
        <f t="shared" ref="R59:R67" si="42">IF($B59=0,NA(),I59)</f>
        <v>-13</v>
      </c>
    </row>
    <row r="60" spans="1:23" x14ac:dyDescent="0.25">
      <c r="A60">
        <f t="shared" si="28"/>
        <v>3</v>
      </c>
      <c r="B60" s="1">
        <f t="shared" si="28"/>
        <v>8</v>
      </c>
      <c r="C60" s="1">
        <f t="shared" ca="1" si="28"/>
        <v>0.79</v>
      </c>
      <c r="D60" s="1">
        <f t="shared" si="28"/>
        <v>8</v>
      </c>
      <c r="E60" s="1">
        <f t="shared" ref="E60" si="43">E17</f>
        <v>3</v>
      </c>
      <c r="F60" s="1">
        <f t="shared" si="31"/>
        <v>0</v>
      </c>
      <c r="G60" s="1">
        <f t="shared" si="32"/>
        <v>-13</v>
      </c>
      <c r="H60" s="7">
        <f t="shared" si="33"/>
        <v>0</v>
      </c>
      <c r="I60" s="7">
        <f t="shared" si="34"/>
        <v>-13</v>
      </c>
      <c r="J60" s="7">
        <f t="shared" si="35"/>
        <v>29</v>
      </c>
      <c r="K60">
        <f t="shared" ca="1" si="36"/>
        <v>-6.3565400843881847E-2</v>
      </c>
      <c r="L60">
        <f t="shared" ca="1" si="37"/>
        <v>-60</v>
      </c>
      <c r="M60" s="7">
        <f t="shared" ca="1" si="38"/>
        <v>-47.400000000000006</v>
      </c>
      <c r="N60" s="7">
        <f t="shared" ca="1" si="39"/>
        <v>616.20000000000005</v>
      </c>
      <c r="O60" s="7">
        <f t="shared" ca="1" si="40"/>
        <v>0</v>
      </c>
      <c r="Q60">
        <f t="shared" si="41"/>
        <v>0</v>
      </c>
      <c r="R60">
        <f t="shared" si="42"/>
        <v>-13</v>
      </c>
    </row>
    <row r="61" spans="1:23" x14ac:dyDescent="0.25">
      <c r="A61">
        <f t="shared" si="28"/>
        <v>4</v>
      </c>
      <c r="B61" s="1">
        <f t="shared" si="28"/>
        <v>0</v>
      </c>
      <c r="C61" s="1">
        <f t="shared" ca="1" si="28"/>
        <v>0</v>
      </c>
      <c r="D61" s="1">
        <f t="shared" si="28"/>
        <v>0</v>
      </c>
      <c r="E61" s="1">
        <f t="shared" ref="E61" si="44">E18</f>
        <v>0</v>
      </c>
      <c r="F61" s="1">
        <f t="shared" si="31"/>
        <v>-8</v>
      </c>
      <c r="G61" s="1">
        <f t="shared" si="32"/>
        <v>-16</v>
      </c>
      <c r="H61" s="7">
        <f t="shared" si="33"/>
        <v>-8</v>
      </c>
      <c r="I61" s="7">
        <f t="shared" si="34"/>
        <v>-16</v>
      </c>
      <c r="J61" s="7">
        <f t="shared" si="35"/>
        <v>32</v>
      </c>
      <c r="K61">
        <f t="shared" ca="1" si="36"/>
        <v>0</v>
      </c>
      <c r="L61">
        <f t="shared" ca="1" si="37"/>
        <v>0</v>
      </c>
      <c r="M61" s="7">
        <f t="shared" ca="1" si="38"/>
        <v>0</v>
      </c>
      <c r="N61" s="7">
        <f t="shared" ca="1" si="39"/>
        <v>0</v>
      </c>
      <c r="O61" s="7">
        <f t="shared" ca="1" si="40"/>
        <v>0</v>
      </c>
      <c r="Q61" t="e">
        <f t="shared" si="41"/>
        <v>#N/A</v>
      </c>
      <c r="R61" t="e">
        <f t="shared" si="42"/>
        <v>#N/A</v>
      </c>
    </row>
    <row r="62" spans="1:23" x14ac:dyDescent="0.25">
      <c r="A62">
        <f t="shared" si="28"/>
        <v>5</v>
      </c>
      <c r="B62" s="1">
        <f t="shared" si="28"/>
        <v>0</v>
      </c>
      <c r="C62" s="1">
        <f t="shared" ca="1" si="28"/>
        <v>0</v>
      </c>
      <c r="D62" s="1">
        <f t="shared" si="28"/>
        <v>0</v>
      </c>
      <c r="E62" s="1">
        <f t="shared" ref="E62" si="45">E19</f>
        <v>0</v>
      </c>
      <c r="F62" s="1">
        <f t="shared" si="31"/>
        <v>-8</v>
      </c>
      <c r="G62" s="1">
        <f t="shared" si="32"/>
        <v>-16</v>
      </c>
      <c r="H62" s="7">
        <f t="shared" si="33"/>
        <v>-8</v>
      </c>
      <c r="I62" s="7">
        <f t="shared" si="34"/>
        <v>-16</v>
      </c>
      <c r="J62" s="7">
        <f t="shared" si="35"/>
        <v>32</v>
      </c>
      <c r="K62">
        <f t="shared" ca="1" si="36"/>
        <v>0</v>
      </c>
      <c r="L62">
        <f t="shared" ca="1" si="37"/>
        <v>0</v>
      </c>
      <c r="M62" s="7">
        <f t="shared" ca="1" si="38"/>
        <v>0</v>
      </c>
      <c r="N62" s="7">
        <f t="shared" ca="1" si="39"/>
        <v>0</v>
      </c>
      <c r="O62" s="7">
        <f t="shared" ca="1" si="40"/>
        <v>0</v>
      </c>
      <c r="Q62" t="e">
        <f t="shared" si="41"/>
        <v>#N/A</v>
      </c>
      <c r="R62" t="e">
        <f t="shared" si="42"/>
        <v>#N/A</v>
      </c>
    </row>
    <row r="63" spans="1:23" x14ac:dyDescent="0.25">
      <c r="A63">
        <f t="shared" si="28"/>
        <v>6</v>
      </c>
      <c r="B63" s="1">
        <f t="shared" si="28"/>
        <v>0</v>
      </c>
      <c r="C63" s="1">
        <f t="shared" ca="1" si="28"/>
        <v>0</v>
      </c>
      <c r="D63" s="1">
        <f t="shared" si="28"/>
        <v>0</v>
      </c>
      <c r="E63" s="1">
        <f t="shared" ref="E63" si="46">E20</f>
        <v>0</v>
      </c>
      <c r="F63" s="1">
        <f t="shared" si="31"/>
        <v>-8</v>
      </c>
      <c r="G63" s="1">
        <f t="shared" si="32"/>
        <v>-16</v>
      </c>
      <c r="H63" s="7">
        <f t="shared" si="33"/>
        <v>-8</v>
      </c>
      <c r="I63" s="7">
        <f t="shared" si="34"/>
        <v>-16</v>
      </c>
      <c r="J63" s="7">
        <f t="shared" si="35"/>
        <v>32</v>
      </c>
      <c r="K63">
        <f t="shared" ca="1" si="36"/>
        <v>0</v>
      </c>
      <c r="L63">
        <f t="shared" ca="1" si="37"/>
        <v>0</v>
      </c>
      <c r="M63" s="7">
        <f t="shared" ca="1" si="38"/>
        <v>0</v>
      </c>
      <c r="N63" s="7">
        <f t="shared" ca="1" si="39"/>
        <v>0</v>
      </c>
      <c r="O63" s="7">
        <f t="shared" ca="1" si="40"/>
        <v>0</v>
      </c>
      <c r="Q63" t="e">
        <f t="shared" si="41"/>
        <v>#N/A</v>
      </c>
      <c r="R63" t="e">
        <f t="shared" si="42"/>
        <v>#N/A</v>
      </c>
    </row>
    <row r="64" spans="1:23" x14ac:dyDescent="0.25">
      <c r="A64">
        <f>A21</f>
        <v>7</v>
      </c>
      <c r="B64" s="1">
        <f t="shared" ref="B64:D64" si="47">B21</f>
        <v>0</v>
      </c>
      <c r="C64" s="1">
        <f t="shared" ca="1" si="47"/>
        <v>0</v>
      </c>
      <c r="D64" s="1">
        <f t="shared" si="47"/>
        <v>0</v>
      </c>
      <c r="E64" s="1">
        <f>E21</f>
        <v>0</v>
      </c>
      <c r="F64" s="1">
        <f t="shared" si="31"/>
        <v>-8</v>
      </c>
      <c r="G64" s="1">
        <f t="shared" si="32"/>
        <v>-16</v>
      </c>
      <c r="H64" s="7">
        <f t="shared" si="33"/>
        <v>-8</v>
      </c>
      <c r="I64" s="7">
        <f t="shared" si="34"/>
        <v>-16</v>
      </c>
      <c r="J64" s="7">
        <f t="shared" si="35"/>
        <v>32</v>
      </c>
      <c r="K64">
        <f t="shared" ca="1" si="36"/>
        <v>0</v>
      </c>
      <c r="L64">
        <f t="shared" ca="1" si="37"/>
        <v>0</v>
      </c>
      <c r="M64" s="7">
        <f t="shared" ca="1" si="38"/>
        <v>0</v>
      </c>
      <c r="N64" s="7">
        <f t="shared" ca="1" si="39"/>
        <v>0</v>
      </c>
      <c r="O64" s="7">
        <f t="shared" ca="1" si="40"/>
        <v>0</v>
      </c>
      <c r="Q64" t="e">
        <f t="shared" si="41"/>
        <v>#N/A</v>
      </c>
      <c r="R64" t="e">
        <f t="shared" si="42"/>
        <v>#N/A</v>
      </c>
    </row>
    <row r="65" spans="1:18" x14ac:dyDescent="0.25">
      <c r="A65">
        <f t="shared" si="28"/>
        <v>8</v>
      </c>
      <c r="B65" s="1">
        <f t="shared" si="28"/>
        <v>0</v>
      </c>
      <c r="C65" s="1">
        <f t="shared" ca="1" si="28"/>
        <v>0</v>
      </c>
      <c r="D65" s="1">
        <f t="shared" si="28"/>
        <v>0</v>
      </c>
      <c r="E65" s="1">
        <f t="shared" ref="E65" si="48">E22</f>
        <v>0</v>
      </c>
      <c r="F65" s="1">
        <f t="shared" si="31"/>
        <v>-8</v>
      </c>
      <c r="G65" s="1">
        <f t="shared" si="32"/>
        <v>-16</v>
      </c>
      <c r="H65" s="7">
        <f t="shared" si="33"/>
        <v>-8</v>
      </c>
      <c r="I65" s="7">
        <f t="shared" si="34"/>
        <v>-16</v>
      </c>
      <c r="J65" s="7">
        <f t="shared" si="35"/>
        <v>32</v>
      </c>
      <c r="K65">
        <f t="shared" ca="1" si="36"/>
        <v>0</v>
      </c>
      <c r="L65">
        <f t="shared" ca="1" si="37"/>
        <v>0</v>
      </c>
      <c r="M65" s="7">
        <f t="shared" ca="1" si="38"/>
        <v>0</v>
      </c>
      <c r="N65" s="7">
        <f t="shared" ca="1" si="39"/>
        <v>0</v>
      </c>
      <c r="O65" s="7">
        <f t="shared" ca="1" si="40"/>
        <v>0</v>
      </c>
      <c r="Q65" t="e">
        <f t="shared" si="41"/>
        <v>#N/A</v>
      </c>
      <c r="R65" t="e">
        <f t="shared" si="42"/>
        <v>#N/A</v>
      </c>
    </row>
    <row r="66" spans="1:18" x14ac:dyDescent="0.25">
      <c r="A66">
        <f t="shared" si="28"/>
        <v>9</v>
      </c>
      <c r="B66" s="1">
        <f t="shared" si="28"/>
        <v>0</v>
      </c>
      <c r="C66" s="1">
        <f t="shared" ca="1" si="28"/>
        <v>0</v>
      </c>
      <c r="D66" s="1">
        <f t="shared" si="28"/>
        <v>0</v>
      </c>
      <c r="E66" s="1">
        <f t="shared" ref="E66" si="49">E23</f>
        <v>0</v>
      </c>
      <c r="F66" s="1">
        <f t="shared" si="31"/>
        <v>-8</v>
      </c>
      <c r="G66" s="1">
        <f t="shared" si="32"/>
        <v>-16</v>
      </c>
      <c r="H66" s="7">
        <f t="shared" si="33"/>
        <v>-8</v>
      </c>
      <c r="I66" s="7">
        <f t="shared" si="34"/>
        <v>-16</v>
      </c>
      <c r="J66" s="7">
        <f t="shared" si="35"/>
        <v>32</v>
      </c>
      <c r="K66">
        <f t="shared" ca="1" si="36"/>
        <v>0</v>
      </c>
      <c r="L66">
        <f t="shared" ca="1" si="37"/>
        <v>0</v>
      </c>
      <c r="M66" s="7">
        <f t="shared" ca="1" si="38"/>
        <v>0</v>
      </c>
      <c r="N66" s="7">
        <f t="shared" ca="1" si="39"/>
        <v>0</v>
      </c>
      <c r="O66" s="7">
        <f t="shared" ca="1" si="40"/>
        <v>0</v>
      </c>
      <c r="Q66" t="e">
        <f t="shared" si="41"/>
        <v>#N/A</v>
      </c>
      <c r="R66" t="e">
        <f t="shared" si="42"/>
        <v>#N/A</v>
      </c>
    </row>
    <row r="67" spans="1:18" ht="15.75" thickBot="1" x14ac:dyDescent="0.3">
      <c r="A67">
        <f t="shared" si="28"/>
        <v>10</v>
      </c>
      <c r="B67" s="1">
        <f t="shared" si="28"/>
        <v>0</v>
      </c>
      <c r="C67" s="1">
        <f t="shared" ca="1" si="28"/>
        <v>0</v>
      </c>
      <c r="D67" s="1">
        <f t="shared" si="28"/>
        <v>0</v>
      </c>
      <c r="E67" s="1">
        <f t="shared" ref="E67" si="50">E24</f>
        <v>0</v>
      </c>
      <c r="F67" s="1">
        <f t="shared" si="31"/>
        <v>-8</v>
      </c>
      <c r="G67" s="1">
        <f t="shared" si="32"/>
        <v>-16</v>
      </c>
      <c r="H67" s="7">
        <f t="shared" si="33"/>
        <v>-8</v>
      </c>
      <c r="I67" s="7">
        <f t="shared" si="34"/>
        <v>-16</v>
      </c>
      <c r="J67" s="7">
        <f t="shared" si="35"/>
        <v>32</v>
      </c>
      <c r="K67" s="13">
        <f t="shared" ca="1" si="36"/>
        <v>0</v>
      </c>
      <c r="L67">
        <f t="shared" ca="1" si="37"/>
        <v>0</v>
      </c>
      <c r="M67" s="12">
        <f t="shared" ca="1" si="38"/>
        <v>0</v>
      </c>
      <c r="N67" s="12">
        <f t="shared" ca="1" si="39"/>
        <v>0</v>
      </c>
      <c r="O67" s="12">
        <f t="shared" ca="1" si="40"/>
        <v>0</v>
      </c>
      <c r="Q67" t="e">
        <f t="shared" si="41"/>
        <v>#N/A</v>
      </c>
      <c r="R67" t="e">
        <f t="shared" si="42"/>
        <v>#N/A</v>
      </c>
    </row>
    <row r="68" spans="1:18" ht="15.75" thickTop="1" x14ac:dyDescent="0.25">
      <c r="K68" s="14">
        <f ca="1">MIN(K58:K67)</f>
        <v>-6.3565400843881847E-2</v>
      </c>
      <c r="M68" s="10">
        <f ca="1">SUM(M58:M67)</f>
        <v>-142.20000000000002</v>
      </c>
      <c r="N68" s="10">
        <f t="shared" ref="N68:O68" ca="1" si="51">SUM(N58:N67)</f>
        <v>1848.6000000000001</v>
      </c>
      <c r="O68" s="10">
        <f t="shared" ca="1" si="51"/>
        <v>0</v>
      </c>
    </row>
    <row r="71" spans="1:18" x14ac:dyDescent="0.25">
      <c r="A71" s="9" t="s">
        <v>65</v>
      </c>
      <c r="B71" s="10">
        <f ca="1">N53+M68</f>
        <v>0</v>
      </c>
      <c r="C71" t="s">
        <v>70</v>
      </c>
    </row>
    <row r="72" spans="1:18" x14ac:dyDescent="0.25">
      <c r="A72" s="9" t="s">
        <v>68</v>
      </c>
      <c r="B72" s="10">
        <f ca="1">O53+N68</f>
        <v>4049.4586764705864</v>
      </c>
      <c r="C72" t="s">
        <v>71</v>
      </c>
    </row>
    <row r="73" spans="1:18" x14ac:dyDescent="0.25">
      <c r="A73" s="9" t="s">
        <v>69</v>
      </c>
      <c r="B73" s="10">
        <f ca="1">P53+O68</f>
        <v>-1137.5999999999992</v>
      </c>
      <c r="C73" t="s">
        <v>71</v>
      </c>
    </row>
    <row r="75" spans="1:18" x14ac:dyDescent="0.25">
      <c r="A75" s="9" t="s">
        <v>66</v>
      </c>
      <c r="B75">
        <f ca="1">((B72*COS(-1*B27))+(B73*SIN(-1*B27)))</f>
        <v>4049.4586764705864</v>
      </c>
      <c r="C75" t="s">
        <v>71</v>
      </c>
    </row>
    <row r="76" spans="1:18" x14ac:dyDescent="0.25">
      <c r="A76" s="9" t="s">
        <v>67</v>
      </c>
      <c r="B76">
        <f ca="1">(-1*(B72)*SIN(-1*B27))+((B73)*COS(-1*B27))</f>
        <v>-1137.5999999999992</v>
      </c>
      <c r="C76" t="s">
        <v>71</v>
      </c>
    </row>
    <row r="78" spans="1:18" x14ac:dyDescent="0.25">
      <c r="B78">
        <f>ATAN2(1,0)</f>
        <v>0</v>
      </c>
    </row>
    <row r="79" spans="1:18" x14ac:dyDescent="0.25">
      <c r="A79" t="s">
        <v>76</v>
      </c>
      <c r="B79">
        <f ca="1">ATAN2(B75,B76)</f>
        <v>-0.27386758154574237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6</xdr:col>
                    <xdr:colOff>571500</xdr:colOff>
                    <xdr:row>3</xdr:row>
                    <xdr:rowOff>38100</xdr:rowOff>
                  </from>
                  <to>
                    <xdr:col>9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6</xdr:col>
                    <xdr:colOff>552450</xdr:colOff>
                    <xdr:row>8</xdr:row>
                    <xdr:rowOff>47625</xdr:rowOff>
                  </from>
                  <to>
                    <xdr:col>9</xdr:col>
                    <xdr:colOff>85725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2020-11-07T17:18:01Z</dcterms:modified>
</cp:coreProperties>
</file>