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2857" documentId="13_ncr:1_{1C41923C-969D-4590-B795-7C74C5EC0667}" xr6:coauthVersionLast="45" xr6:coauthVersionMax="45" xr10:uidLastSave="{6C77584E-702E-4877-8682-F28F26A38E67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1" l="1"/>
  <c r="I26" i="1"/>
  <c r="F27" i="1" a="1"/>
  <c r="F27" i="1" s="1"/>
  <c r="AM11" i="1" l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5" i="1"/>
  <c r="AN45" i="1"/>
  <c r="AO45" i="1"/>
  <c r="AM46" i="1"/>
  <c r="AN46" i="1"/>
  <c r="AO46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H27" i="1"/>
  <c r="F28" i="1"/>
  <c r="C16" i="1"/>
  <c r="C17" i="1"/>
  <c r="C18" i="1"/>
  <c r="C19" i="1"/>
  <c r="C20" i="1"/>
  <c r="C21" i="1"/>
  <c r="C22" i="1"/>
  <c r="C23" i="1"/>
  <c r="C24" i="1"/>
  <c r="AD48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D15" i="1"/>
  <c r="G9" i="1"/>
  <c r="G4" i="1"/>
  <c r="B78" i="1" l="1"/>
  <c r="E57" i="1" l="1"/>
  <c r="E58" i="1"/>
  <c r="E59" i="1"/>
  <c r="E60" i="1"/>
  <c r="E61" i="1"/>
  <c r="E62" i="1"/>
  <c r="E63" i="1"/>
  <c r="E64" i="1"/>
  <c r="E65" i="1"/>
  <c r="E66" i="1"/>
  <c r="E67" i="1"/>
  <c r="B57" i="1"/>
  <c r="C57" i="1"/>
  <c r="D57" i="1"/>
  <c r="B58" i="1"/>
  <c r="D58" i="1"/>
  <c r="B59" i="1"/>
  <c r="D59" i="1"/>
  <c r="B60" i="1"/>
  <c r="D60" i="1"/>
  <c r="B61" i="1"/>
  <c r="D61" i="1"/>
  <c r="B62" i="1"/>
  <c r="B63" i="1"/>
  <c r="D63" i="1"/>
  <c r="B64" i="1"/>
  <c r="Q64" i="1" s="1"/>
  <c r="D64" i="1"/>
  <c r="B65" i="1"/>
  <c r="Q65" i="1" s="1"/>
  <c r="D65" i="1"/>
  <c r="B66" i="1"/>
  <c r="R66" i="1" s="1"/>
  <c r="D66" i="1"/>
  <c r="B67" i="1"/>
  <c r="Q67" i="1" s="1"/>
  <c r="D67" i="1"/>
  <c r="A64" i="1"/>
  <c r="A65" i="1"/>
  <c r="A66" i="1"/>
  <c r="A67" i="1"/>
  <c r="A58" i="1"/>
  <c r="A59" i="1"/>
  <c r="A60" i="1"/>
  <c r="A61" i="1"/>
  <c r="A62" i="1"/>
  <c r="A63" i="1"/>
  <c r="A57" i="1"/>
  <c r="B31" i="1"/>
  <c r="R67" i="1" l="1"/>
  <c r="Q66" i="1"/>
  <c r="R65" i="1"/>
  <c r="R64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B38" i="1" s="1"/>
  <c r="I2" i="1"/>
  <c r="A37" i="1" s="1"/>
  <c r="B29" i="1"/>
  <c r="D62" i="1"/>
  <c r="C59" i="1"/>
  <c r="C60" i="1"/>
  <c r="C61" i="1"/>
  <c r="C62" i="1"/>
  <c r="C63" i="1"/>
  <c r="C64" i="1"/>
  <c r="K64" i="1" s="1"/>
  <c r="C65" i="1"/>
  <c r="K65" i="1" s="1"/>
  <c r="C66" i="1"/>
  <c r="K66" i="1" s="1"/>
  <c r="C67" i="1"/>
  <c r="K67" i="1" s="1"/>
  <c r="F7" i="1"/>
  <c r="F8" i="1" s="1"/>
  <c r="B42" i="1" s="1"/>
  <c r="E6" i="1"/>
  <c r="F5" i="1"/>
  <c r="E4" i="1"/>
  <c r="E5" i="1" s="1"/>
  <c r="A39" i="1" s="1"/>
  <c r="B4" i="1"/>
  <c r="B3" i="1"/>
  <c r="F6" i="1" l="1"/>
  <c r="G5" i="1"/>
  <c r="B41" i="1"/>
  <c r="B39" i="1"/>
  <c r="C39" i="1" s="1"/>
  <c r="D48" i="1" s="1"/>
  <c r="B49" i="1" s="1"/>
  <c r="G67" i="1"/>
  <c r="B43" i="1"/>
  <c r="G58" i="1"/>
  <c r="G59" i="1"/>
  <c r="G65" i="1"/>
  <c r="G60" i="1"/>
  <c r="G63" i="1"/>
  <c r="G64" i="1"/>
  <c r="G66" i="1"/>
  <c r="G62" i="1"/>
  <c r="G61" i="1"/>
  <c r="B37" i="1"/>
  <c r="C37" i="1" s="1"/>
  <c r="B47" i="1" s="1"/>
  <c r="D37" i="1"/>
  <c r="C47" i="1" s="1"/>
  <c r="F59" i="1"/>
  <c r="F63" i="1"/>
  <c r="F64" i="1"/>
  <c r="A42" i="1"/>
  <c r="F65" i="1"/>
  <c r="F66" i="1"/>
  <c r="F67" i="1"/>
  <c r="F58" i="1"/>
  <c r="A43" i="1"/>
  <c r="F61" i="1"/>
  <c r="F60" i="1"/>
  <c r="A38" i="1"/>
  <c r="C38" i="1" s="1"/>
  <c r="D47" i="1" s="1"/>
  <c r="B48" i="1" s="1"/>
  <c r="F62" i="1"/>
  <c r="I62" i="1" s="1"/>
  <c r="R62" i="1" s="1"/>
  <c r="E7" i="1"/>
  <c r="A40" i="1"/>
  <c r="A41" i="1" l="1"/>
  <c r="C41" i="1" s="1"/>
  <c r="D50" i="1" s="1"/>
  <c r="B51" i="1" s="1"/>
  <c r="G8" i="1"/>
  <c r="D39" i="1"/>
  <c r="E48" i="1" s="1"/>
  <c r="C49" i="1" s="1"/>
  <c r="B40" i="1"/>
  <c r="C40" i="1" s="1"/>
  <c r="D49" i="1" s="1"/>
  <c r="B50" i="1" s="1"/>
  <c r="G7" i="1"/>
  <c r="G6" i="1"/>
  <c r="X4" i="1"/>
  <c r="Y4" i="1" s="1"/>
  <c r="D41" i="1"/>
  <c r="E50" i="1" s="1"/>
  <c r="C51" i="1" s="1"/>
  <c r="D42" i="1"/>
  <c r="E51" i="1" s="1"/>
  <c r="C52" i="1" s="1"/>
  <c r="C42" i="1"/>
  <c r="D51" i="1" s="1"/>
  <c r="B52" i="1" s="1"/>
  <c r="I60" i="1"/>
  <c r="R60" i="1" s="1"/>
  <c r="H60" i="1"/>
  <c r="Q60" i="1" s="1"/>
  <c r="H64" i="1"/>
  <c r="I64" i="1"/>
  <c r="H63" i="1"/>
  <c r="Q63" i="1" s="1"/>
  <c r="I63" i="1"/>
  <c r="R63" i="1" s="1"/>
  <c r="H62" i="1"/>
  <c r="Q62" i="1" s="1"/>
  <c r="D43" i="1"/>
  <c r="E52" i="1" s="1"/>
  <c r="C43" i="1"/>
  <c r="D52" i="1" s="1"/>
  <c r="H59" i="1"/>
  <c r="Q59" i="1" s="1"/>
  <c r="I59" i="1"/>
  <c r="R59" i="1" s="1"/>
  <c r="I66" i="1"/>
  <c r="H66" i="1"/>
  <c r="H65" i="1"/>
  <c r="I65" i="1"/>
  <c r="H61" i="1"/>
  <c r="Q61" i="1" s="1"/>
  <c r="I61" i="1"/>
  <c r="R61" i="1" s="1"/>
  <c r="D38" i="1"/>
  <c r="E47" i="1" s="1"/>
  <c r="C48" i="1" s="1"/>
  <c r="I58" i="1"/>
  <c r="R58" i="1" s="1"/>
  <c r="H58" i="1"/>
  <c r="Q58" i="1" s="1"/>
  <c r="H67" i="1"/>
  <c r="I67" i="1"/>
  <c r="G10" i="1" l="1"/>
  <c r="D40" i="1"/>
  <c r="E49" i="1" s="1"/>
  <c r="C50" i="1" s="1"/>
  <c r="F50" i="1" s="1"/>
  <c r="G50" i="1" s="1"/>
  <c r="J39" i="1"/>
  <c r="J38" i="1"/>
  <c r="X5" i="1"/>
  <c r="Y5" i="1" s="1"/>
  <c r="F47" i="1"/>
  <c r="G47" i="1" s="1"/>
  <c r="F52" i="1"/>
  <c r="G52" i="1" s="1"/>
  <c r="F48" i="1"/>
  <c r="G48" i="1" s="1"/>
  <c r="F51" i="1"/>
  <c r="G51" i="1" s="1"/>
  <c r="N39" i="1" l="1"/>
  <c r="N38" i="1"/>
  <c r="G38" i="1"/>
  <c r="J60" i="1" s="1"/>
  <c r="K60" i="1" s="1"/>
  <c r="L60" i="1" s="1"/>
  <c r="M60" i="1" s="1"/>
  <c r="O60" i="1" s="1"/>
  <c r="G37" i="1"/>
  <c r="F49" i="1"/>
  <c r="G49" i="1" s="1"/>
  <c r="C15" i="1" l="1"/>
  <c r="C58" i="1" s="1"/>
  <c r="J67" i="1"/>
  <c r="L67" i="1" s="1"/>
  <c r="M67" i="1" s="1"/>
  <c r="N67" i="1" s="1"/>
  <c r="J61" i="1"/>
  <c r="K61" i="1" s="1"/>
  <c r="L61" i="1" s="1"/>
  <c r="M61" i="1" s="1"/>
  <c r="O61" i="1" s="1"/>
  <c r="N60" i="1"/>
  <c r="G41" i="1"/>
  <c r="I52" i="1" s="1"/>
  <c r="J65" i="1"/>
  <c r="L65" i="1" s="1"/>
  <c r="M65" i="1" s="1"/>
  <c r="N65" i="1" s="1"/>
  <c r="J59" i="1"/>
  <c r="K59" i="1" s="1"/>
  <c r="L59" i="1" s="1"/>
  <c r="M59" i="1" s="1"/>
  <c r="O59" i="1" s="1"/>
  <c r="J63" i="1"/>
  <c r="J58" i="1"/>
  <c r="G40" i="1"/>
  <c r="K38" i="1" s="1"/>
  <c r="J64" i="1"/>
  <c r="L64" i="1" s="1"/>
  <c r="M64" i="1" s="1"/>
  <c r="O64" i="1" s="1"/>
  <c r="J62" i="1"/>
  <c r="K62" i="1" s="1"/>
  <c r="L62" i="1" s="1"/>
  <c r="M62" i="1" s="1"/>
  <c r="N62" i="1" s="1"/>
  <c r="J66" i="1"/>
  <c r="L66" i="1" s="1"/>
  <c r="M66" i="1" s="1"/>
  <c r="O66" i="1" s="1"/>
  <c r="K63" i="1"/>
  <c r="K58" i="1" l="1"/>
  <c r="L58" i="1" s="1"/>
  <c r="M58" i="1" s="1"/>
  <c r="N58" i="1" s="1"/>
  <c r="K39" i="1"/>
  <c r="J33" i="1"/>
  <c r="K33" i="1"/>
  <c r="H49" i="1"/>
  <c r="J49" i="1"/>
  <c r="I51" i="1"/>
  <c r="L63" i="1"/>
  <c r="M63" i="1" s="1"/>
  <c r="N63" i="1" s="1"/>
  <c r="K52" i="1"/>
  <c r="O39" i="1"/>
  <c r="H52" i="1"/>
  <c r="K49" i="1"/>
  <c r="H48" i="1"/>
  <c r="J47" i="1"/>
  <c r="H47" i="1"/>
  <c r="J51" i="1"/>
  <c r="I48" i="1"/>
  <c r="J50" i="1"/>
  <c r="K51" i="1"/>
  <c r="J48" i="1"/>
  <c r="H50" i="1"/>
  <c r="I47" i="1"/>
  <c r="K47" i="1"/>
  <c r="K50" i="1"/>
  <c r="O67" i="1"/>
  <c r="J52" i="1"/>
  <c r="H51" i="1"/>
  <c r="I50" i="1"/>
  <c r="I49" i="1"/>
  <c r="K48" i="1"/>
  <c r="O38" i="1"/>
  <c r="G36" i="1"/>
  <c r="N61" i="1"/>
  <c r="O62" i="1"/>
  <c r="N64" i="1"/>
  <c r="O65" i="1"/>
  <c r="N59" i="1"/>
  <c r="N66" i="1"/>
  <c r="K68" i="1" l="1"/>
  <c r="U3" i="1" s="1"/>
  <c r="O58" i="1"/>
  <c r="O33" i="1"/>
  <c r="N33" i="1"/>
  <c r="O34" i="1"/>
  <c r="N34" i="1"/>
  <c r="J34" i="1"/>
  <c r="K34" i="1"/>
  <c r="L49" i="1"/>
  <c r="M68" i="1"/>
  <c r="O63" i="1"/>
  <c r="V52" i="1"/>
  <c r="L51" i="1"/>
  <c r="M47" i="1"/>
  <c r="T48" i="1"/>
  <c r="S47" i="1"/>
  <c r="L47" i="1"/>
  <c r="T47" i="1"/>
  <c r="V47" i="1"/>
  <c r="W47" i="1"/>
  <c r="T52" i="1"/>
  <c r="M52" i="1"/>
  <c r="M50" i="1"/>
  <c r="V51" i="1"/>
  <c r="L52" i="1"/>
  <c r="S52" i="1"/>
  <c r="W49" i="1"/>
  <c r="W52" i="1"/>
  <c r="W51" i="1"/>
  <c r="M49" i="1"/>
  <c r="M51" i="1"/>
  <c r="S51" i="1"/>
  <c r="T51" i="1"/>
  <c r="W48" i="1"/>
  <c r="V48" i="1"/>
  <c r="T49" i="1"/>
  <c r="L48" i="1"/>
  <c r="S48" i="1"/>
  <c r="M48" i="1"/>
  <c r="S49" i="1"/>
  <c r="V49" i="1"/>
  <c r="T50" i="1"/>
  <c r="L50" i="1"/>
  <c r="S50" i="1"/>
  <c r="W50" i="1"/>
  <c r="V50" i="1"/>
  <c r="N68" i="1"/>
  <c r="O68" i="1" l="1"/>
  <c r="P51" i="1"/>
  <c r="N49" i="1"/>
  <c r="O47" i="1"/>
  <c r="N47" i="1"/>
  <c r="P47" i="1"/>
  <c r="P52" i="1"/>
  <c r="O49" i="1"/>
  <c r="P49" i="1"/>
  <c r="N52" i="1"/>
  <c r="N50" i="1"/>
  <c r="O52" i="1"/>
  <c r="N51" i="1"/>
  <c r="O51" i="1"/>
  <c r="P50" i="1"/>
  <c r="O48" i="1"/>
  <c r="N48" i="1"/>
  <c r="P48" i="1"/>
  <c r="O50" i="1"/>
  <c r="N53" i="1" l="1"/>
  <c r="B71" i="1" s="1"/>
  <c r="U4" i="1" s="1"/>
  <c r="P53" i="1"/>
  <c r="B73" i="1" s="1"/>
  <c r="O53" i="1"/>
  <c r="B72" i="1" s="1"/>
  <c r="B75" i="1" l="1"/>
  <c r="U5" i="1" s="1"/>
  <c r="B76" i="1"/>
  <c r="U6" i="1" s="1"/>
  <c r="B7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<sst xmlns="http://schemas.openxmlformats.org/spreadsheetml/2006/main" count="122" uniqueCount="93">
  <si>
    <t>f'c</t>
  </si>
  <si>
    <t>ksi</t>
  </si>
  <si>
    <t>Ec</t>
  </si>
  <si>
    <t>Beta1</t>
  </si>
  <si>
    <t>in</t>
  </si>
  <si>
    <t>B,web</t>
  </si>
  <si>
    <t>B,Flange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</si>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</sst>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L_Section_Capacity!$AM$1:$AM$51</c:f>
              <c:numCache>
                <c:formatCode>General</c:formatCode>
                <c:ptCount val="51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4">
                  <c:v>3.5624264068711922</c:v>
                </c:pt>
                <c:pt idx="45">
                  <c:v>3.6353553390593261</c:v>
                </c:pt>
                <c:pt idx="46">
                  <c:v>3.7082842712474604</c:v>
                </c:pt>
                <c:pt idx="47">
                  <c:v>3.7812132034355947</c:v>
                </c:pt>
                <c:pt idx="48">
                  <c:v>3.8541421356237291</c:v>
                </c:pt>
                <c:pt idx="49">
                  <c:v>3.927071067811863</c:v>
                </c:pt>
                <c:pt idx="50">
                  <c:v>3.9999999999999973</c:v>
                </c:pt>
              </c:numCache>
            </c:numRef>
          </c:xVal>
          <c:yVal>
            <c:numRef>
              <c:f>L_Section_Capacity!$AN$1:$AN$51</c:f>
              <c:numCache>
                <c:formatCode>General</c:formatCode>
                <c:ptCount val="51"/>
                <c:pt idx="0">
                  <c:v>1.0031097194198562</c:v>
                </c:pt>
                <c:pt idx="1">
                  <c:v>1.0037729558374733</c:v>
                </c:pt>
                <c:pt idx="2">
                  <c:v>1.0044439395581251</c:v>
                </c:pt>
                <c:pt idx="3">
                  <c:v>1.0051228071242961</c:v>
                </c:pt>
                <c:pt idx="4">
                  <c:v>1.005809698306066</c:v>
                </c:pt>
                <c:pt idx="5">
                  <c:v>1.0065047561974232</c:v>
                </c:pt>
                <c:pt idx="6">
                  <c:v>1.0072081273147264</c:v>
                </c:pt>
                <c:pt idx="7">
                  <c:v>1.007919961700628</c:v>
                </c:pt>
                <c:pt idx="8">
                  <c:v>1.0086404130302824</c:v>
                </c:pt>
                <c:pt idx="9">
                  <c:v>1.0093696387220719</c:v>
                </c:pt>
                <c:pt idx="10">
                  <c:v>1.0101078000522461</c:v>
                </c:pt>
                <c:pt idx="11">
                  <c:v>1.0108550622738617</c:v>
                </c:pt>
                <c:pt idx="12">
                  <c:v>1.0116115947400712</c:v>
                </c:pt>
                <c:pt idx="13">
                  <c:v>1.0123775710322229</c:v>
                </c:pt>
                <c:pt idx="14">
                  <c:v>1.0131531690923667</c:v>
                </c:pt>
                <c:pt idx="15">
                  <c:v>1.0139385713613653</c:v>
                </c:pt>
                <c:pt idx="16">
                  <c:v>1.0147339649216829</c:v>
                </c:pt>
                <c:pt idx="17">
                  <c:v>1.0155395416462656</c:v>
                </c:pt>
                <c:pt idx="18">
                  <c:v>0.99886588531454523</c:v>
                </c:pt>
                <c:pt idx="19">
                  <c:v>0.97197693316795186</c:v>
                </c:pt>
                <c:pt idx="20">
                  <c:v>0.9472844786146476</c:v>
                </c:pt>
                <c:pt idx="21">
                  <c:v>0.92453419878315535</c:v>
                </c:pt>
                <c:pt idx="22">
                  <c:v>0.90696601070175076</c:v>
                </c:pt>
                <c:pt idx="23">
                  <c:v>0.91162366603229639</c:v>
                </c:pt>
                <c:pt idx="24">
                  <c:v>0.9162245093486544</c:v>
                </c:pt>
                <c:pt idx="25">
                  <c:v>0.92077078305294102</c:v>
                </c:pt>
                <c:pt idx="26">
                  <c:v>0.92526466299079924</c:v>
                </c:pt>
                <c:pt idx="27">
                  <c:v>0.92970826210855029</c:v>
                </c:pt>
                <c:pt idx="28">
                  <c:v>0.93410363393569673</c:v>
                </c:pt>
                <c:pt idx="29">
                  <c:v>0.93845277589607534</c:v>
                </c:pt>
                <c:pt idx="30">
                  <c:v>0.94275763247434785</c:v>
                </c:pt>
                <c:pt idx="31">
                  <c:v>0.94702009823365629</c:v>
                </c:pt>
                <c:pt idx="32">
                  <c:v>0.9512420207034743</c:v>
                </c:pt>
                <c:pt idx="33">
                  <c:v>0.95423538306355105</c:v>
                </c:pt>
                <c:pt idx="34">
                  <c:v>0.95457478859429978</c:v>
                </c:pt>
                <c:pt idx="35">
                  <c:v>0.95654360779238323</c:v>
                </c:pt>
                <c:pt idx="36">
                  <c:v>0.96110277386458454</c:v>
                </c:pt>
                <c:pt idx="37">
                  <c:v>0.96561222486366416</c:v>
                </c:pt>
                <c:pt idx="38">
                  <c:v>0.97057360675742088</c:v>
                </c:pt>
                <c:pt idx="39">
                  <c:v>0.97563695967110398</c:v>
                </c:pt>
                <c:pt idx="40">
                  <c:v>0.97801074856764503</c:v>
                </c:pt>
                <c:pt idx="41">
                  <c:v>0.97889656260983637</c:v>
                </c:pt>
                <c:pt idx="42">
                  <c:v>0.97976529533667989</c:v>
                </c:pt>
                <c:pt idx="43">
                  <c:v>0.98061752609829078</c:v>
                </c:pt>
                <c:pt idx="44">
                  <c:v>0.9814538044380019</c:v>
                </c:pt>
                <c:pt idx="45">
                  <c:v>0.98227465218375398</c:v>
                </c:pt>
                <c:pt idx="46">
                  <c:v>0.98308056535377053</c:v>
                </c:pt>
                <c:pt idx="47">
                  <c:v>0.98387201589635953</c:v>
                </c:pt>
                <c:pt idx="48">
                  <c:v>0.98464945328123599</c:v>
                </c:pt>
                <c:pt idx="49">
                  <c:v>0.9854133059576049</c:v>
                </c:pt>
                <c:pt idx="50">
                  <c:v>0.98616398269244043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L_Section_Capacity!$AD$48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L_Section_Capacity!$E$3:$E$9</c:f>
              <c:numCache>
                <c:formatCode>0.00</c:formatCode>
                <c:ptCount val="7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48</c:v>
                </c:pt>
                <c:pt idx="4">
                  <c:v>48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xVal>
          <c:yVal>
            <c:numRef>
              <c:f>L_Section_Capacity!$F$3:$F$9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L_Section_Capacity!$X$4:$X$5</c:f>
              <c:numCache>
                <c:formatCode>General</c:formatCode>
                <c:ptCount val="2"/>
                <c:pt idx="0">
                  <c:v>58</c:v>
                </c:pt>
                <c:pt idx="1">
                  <c:v>58</c:v>
                </c:pt>
              </c:numCache>
            </c:numRef>
          </c:xVal>
          <c:yVal>
            <c:numRef>
              <c:f>L_Section_Capacity!$Y$4:$Y$5</c:f>
              <c:numCache>
                <c:formatCode>General</c:formatCode>
                <c:ptCount val="2"/>
                <c:pt idx="0">
                  <c:v>58</c:v>
                </c:pt>
                <c:pt idx="1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-6.0996586752456885</c:v>
                </c:pt>
                <c:pt idx="1">
                  <c:v>45.42579762150249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12.587053855713709</c:v>
                </c:pt>
                <c:pt idx="1">
                  <c:v>33.148741827310204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-6.7178316503891988</c:v>
                </c:pt>
                <c:pt idx="1">
                  <c:v>44.807624646358981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14.136131181397618</c:v>
                </c:pt>
                <c:pt idx="1">
                  <c:v>34.697819152994114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L_Section_Capacity!$C$37:$C$43</c:f>
              <c:numCache>
                <c:formatCode>0.000</c:formatCode>
                <c:ptCount val="7"/>
                <c:pt idx="0">
                  <c:v>-10.020310665110607</c:v>
                </c:pt>
                <c:pt idx="1">
                  <c:v>1.1250231026779405</c:v>
                </c:pt>
                <c:pt idx="2">
                  <c:v>7.055214810966385</c:v>
                </c:pt>
                <c:pt idx="3">
                  <c:v>40.491216114332033</c:v>
                </c:pt>
                <c:pt idx="4">
                  <c:v>43.456311968476257</c:v>
                </c:pt>
                <c:pt idx="5">
                  <c:v>-1.1250231026779405</c:v>
                </c:pt>
                <c:pt idx="6">
                  <c:v>-10.020310665110607</c:v>
                </c:pt>
              </c:numCache>
            </c:numRef>
          </c:xVal>
          <c:yVal>
            <c:numRef>
              <c:f>L_Section_Capacity!$D$37:$D$43</c:f>
              <c:numCache>
                <c:formatCode>0.000</c:formatCode>
                <c:ptCount val="7"/>
                <c:pt idx="0">
                  <c:v>-8.9215118771803823</c:v>
                </c:pt>
                <c:pt idx="1">
                  <c:v>-13.369155658396714</c:v>
                </c:pt>
                <c:pt idx="2">
                  <c:v>1.4912893653213493</c:v>
                </c:pt>
                <c:pt idx="3">
                  <c:v>-11.851641978327651</c:v>
                </c:pt>
                <c:pt idx="4">
                  <c:v>-4.4214194664686186</c:v>
                </c:pt>
                <c:pt idx="5">
                  <c:v>13.369155658396714</c:v>
                </c:pt>
                <c:pt idx="6">
                  <c:v>-8.9215118771803823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L_Section_Capacity!$Q$58:$Q$67</c:f>
              <c:numCache>
                <c:formatCode>General</c:formatCode>
                <c:ptCount val="10"/>
                <c:pt idx="0">
                  <c:v>-3.7063698176802777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L_Section_Capacity!$R$58:$R$67</c:f>
              <c:numCache>
                <c:formatCode>General</c:formatCode>
                <c:ptCount val="10"/>
                <c:pt idx="0">
                  <c:v>-9.2877781398237893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-11.020310665110607</c:v>
                </c:pt>
                <c:pt idx="1">
                  <c:v>44.456311968476257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5.0298235686161004</c:v>
                </c:pt>
                <c:pt idx="1">
                  <c:v>5.0298235686161004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-11.020310665110607</c:v>
                </c:pt>
                <c:pt idx="1">
                  <c:v>44.456311968476257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6.6976899865722235</c:v>
                </c:pt>
                <c:pt idx="1">
                  <c:v>6.6976899865722235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L_Section_Capacity!$S$47:$S$52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15.592977549004864</c:v>
                </c:pt>
                <c:pt idx="5">
                  <c:v>-1.1250231026779405</c:v>
                </c:pt>
              </c:numCache>
            </c:numRef>
          </c:xVal>
          <c:yVal>
            <c:numRef>
              <c:f>L_Section_Capacity!$T$47:$T$52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6.6976899865722235</c:v>
                </c:pt>
                <c:pt idx="5">
                  <c:v>13.369155658396714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L_Section_Capacity!$V$47:$V$52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-1.1250231026779405</c:v>
                </c:pt>
                <c:pt idx="5">
                  <c:v>-3.7873303448930837</c:v>
                </c:pt>
              </c:numCache>
            </c:numRef>
          </c:xVal>
          <c:yVal>
            <c:numRef>
              <c:f>L_Section_Capacity!$W$47:$W$52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13.369155658396714</c:v>
                </c:pt>
                <c:pt idx="5">
                  <c:v>6.6976899865722235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2</xdr:row>
      <xdr:rowOff>9524</xdr:rowOff>
    </xdr:from>
    <xdr:to>
      <xdr:col>18</xdr:col>
      <xdr:colOff>438150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247650</xdr:colOff>
      <xdr:row>20</xdr:row>
      <xdr:rowOff>180975</xdr:rowOff>
    </xdr:from>
    <xdr:to>
      <xdr:col>30</xdr:col>
      <xdr:colOff>133350</xdr:colOff>
      <xdr:row>44</xdr:row>
      <xdr:rowOff>66676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79"/>
  <sheetViews>
    <sheetView tabSelected="1" workbookViewId="0">
      <selection activeCell="L31" sqref="L31"/>
    </sheetView>
  </sheetViews>
  <sheetFormatPr defaultRowHeight="15" x14ac:dyDescent="0.25"/>
  <cols>
    <col min="1" max="1" width="11.28515625" bestFit="1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41" x14ac:dyDescent="0.25">
      <c r="K1" s="8" t="s">
        <v>73</v>
      </c>
      <c r="L1" s="14">
        <v>9.9999999999999998E-13</v>
      </c>
      <c r="AG1">
        <v>8.9848128936864671E-13</v>
      </c>
      <c r="AH1">
        <v>3.5355339059327377E-3</v>
      </c>
      <c r="AI1">
        <v>98.365613314189716</v>
      </c>
      <c r="AJ1">
        <v>98.060672137718896</v>
      </c>
      <c r="AK1">
        <v>0.9</v>
      </c>
      <c r="AL1">
        <v>0.9</v>
      </c>
      <c r="AM1">
        <f>AH1*100</f>
        <v>0.35355339059327379</v>
      </c>
      <c r="AN1">
        <f>AI1/AJ1</f>
        <v>1.0031097194198562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9</v>
      </c>
      <c r="F2" s="1" t="s">
        <v>10</v>
      </c>
      <c r="H2" t="s">
        <v>26</v>
      </c>
      <c r="I2" s="1">
        <f>B5/2</f>
        <v>6</v>
      </c>
      <c r="K2" s="8" t="s">
        <v>74</v>
      </c>
      <c r="L2" s="4">
        <v>100</v>
      </c>
      <c r="M2">
        <v>520</v>
      </c>
      <c r="N2">
        <v>9</v>
      </c>
      <c r="AG2">
        <v>3.5171865420124959E-13</v>
      </c>
      <c r="AH2">
        <v>4.2648232278140828E-3</v>
      </c>
      <c r="AI2">
        <v>118.04888703262851</v>
      </c>
      <c r="AJ2">
        <v>117.60516792777838</v>
      </c>
      <c r="AK2">
        <v>0.9</v>
      </c>
      <c r="AL2">
        <v>0.9</v>
      </c>
      <c r="AM2">
        <f>AH2*100</f>
        <v>0.4264823227814083</v>
      </c>
      <c r="AN2">
        <f>AI2/AJ2</f>
        <v>1.0037729558374733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27</v>
      </c>
      <c r="I3" s="1">
        <f>B7/2</f>
        <v>12</v>
      </c>
      <c r="T3" s="16" t="s">
        <v>80</v>
      </c>
      <c r="U3" s="22">
        <f ca="1">IF(ABS(K68)&lt;0.002,0.65,IF(ABS(K68)&gt;0.005,0.9,0.65+((ABS(K68)-0.002)*(250/3))))</f>
        <v>0.9</v>
      </c>
      <c r="V3" s="17"/>
      <c r="X3" t="s">
        <v>81</v>
      </c>
      <c r="AG3">
        <v>-1.9824142327706794E-13</v>
      </c>
      <c r="AH3">
        <v>4.9941125496954283E-3</v>
      </c>
      <c r="AI3">
        <v>137.52456151519863</v>
      </c>
      <c r="AJ3">
        <v>136.91611457748297</v>
      </c>
      <c r="AK3">
        <v>0.9</v>
      </c>
      <c r="AL3">
        <v>0.9</v>
      </c>
      <c r="AM3">
        <f>AH3*100</f>
        <v>0.49941125496954281</v>
      </c>
      <c r="AN3">
        <f>AI3/AJ3</f>
        <v>1.0044439395581251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18" t="s">
        <v>77</v>
      </c>
      <c r="U4" s="10">
        <f ca="1">U3*B71</f>
        <v>20.606399999999834</v>
      </c>
      <c r="V4" s="19" t="s">
        <v>70</v>
      </c>
      <c r="X4">
        <f>MAX(E3:F9)+10</f>
        <v>58</v>
      </c>
      <c r="Y4">
        <f>X4</f>
        <v>58</v>
      </c>
      <c r="AG4">
        <v>-1.6200374375330285E-13</v>
      </c>
      <c r="AH4">
        <v>5.7234018715767738E-3</v>
      </c>
      <c r="AI4">
        <v>156.79263676189592</v>
      </c>
      <c r="AJ4">
        <v>155.9935120868335</v>
      </c>
      <c r="AK4">
        <v>0.9</v>
      </c>
      <c r="AL4">
        <v>0.9</v>
      </c>
      <c r="AM4">
        <f>AH4*100</f>
        <v>0.57234018715767743</v>
      </c>
      <c r="AN4">
        <f>AI4/AJ4</f>
        <v>1.0051228071242961</v>
      </c>
      <c r="AO4" t="str">
        <f t="shared" si="0"/>
        <v>phi_L: 0.9
phi_R: 0.9</v>
      </c>
    </row>
    <row r="5" spans="1:41" x14ac:dyDescent="0.25">
      <c r="A5" t="s">
        <v>5</v>
      </c>
      <c r="B5" s="2">
        <v>12</v>
      </c>
      <c r="C5" t="s">
        <v>4</v>
      </c>
      <c r="E5" s="5">
        <f>E4</f>
        <v>12</v>
      </c>
      <c r="F5">
        <f>(B7-B8)</f>
        <v>16</v>
      </c>
      <c r="G5">
        <f t="shared" ref="G5:G9" si="1">((E4*F5)-(E5*F4))*0.5</f>
        <v>96</v>
      </c>
      <c r="T5" s="18" t="s">
        <v>79</v>
      </c>
      <c r="U5" s="10">
        <f ca="1">U3*B75*(1/12)</f>
        <v>386.82980555294102</v>
      </c>
      <c r="V5" s="19" t="s">
        <v>72</v>
      </c>
      <c r="X5">
        <f>X4</f>
        <v>58</v>
      </c>
      <c r="Y5">
        <f>X5</f>
        <v>58</v>
      </c>
      <c r="AG5">
        <v>1.0326886012990144E-10</v>
      </c>
      <c r="AH5">
        <v>6.4526911934581193E-3</v>
      </c>
      <c r="AI5">
        <v>175.85311277270551</v>
      </c>
      <c r="AJ5">
        <v>174.83736045582822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1.005809698306066</v>
      </c>
      <c r="AO5" t="str">
        <f t="shared" ref="AO5:AO10" si="4">"phi_L: "&amp;ROUND(AK5,3)&amp;CHAR(10)&amp;"phi_R: "&amp;ROUND(AL5,3)</f>
        <v>phi_L: 0.9
phi_R: 0.9</v>
      </c>
    </row>
    <row r="6" spans="1:41" ht="15.75" thickBot="1" x14ac:dyDescent="0.3">
      <c r="A6" t="s">
        <v>6</v>
      </c>
      <c r="B6" s="2">
        <v>48</v>
      </c>
      <c r="C6" t="s">
        <v>4</v>
      </c>
      <c r="E6" s="5">
        <f>B6</f>
        <v>48</v>
      </c>
      <c r="F6">
        <f>F5</f>
        <v>16</v>
      </c>
      <c r="G6">
        <f t="shared" si="1"/>
        <v>-288</v>
      </c>
      <c r="T6" s="20" t="s">
        <v>78</v>
      </c>
      <c r="U6" s="23">
        <f ca="1">U3*B76*(1/12)</f>
        <v>0</v>
      </c>
      <c r="V6" s="21" t="s">
        <v>72</v>
      </c>
      <c r="AG6">
        <v>1.3216094885137864E-13</v>
      </c>
      <c r="AH6">
        <v>7.1819805153394648E-3</v>
      </c>
      <c r="AI6">
        <v>194.70598954767746</v>
      </c>
      <c r="AJ6">
        <v>193.44765968446791</v>
      </c>
      <c r="AK6">
        <v>0.9</v>
      </c>
      <c r="AL6">
        <v>0.9</v>
      </c>
      <c r="AM6">
        <f t="shared" si="2"/>
        <v>0.71819805153394645</v>
      </c>
      <c r="AN6">
        <f t="shared" si="3"/>
        <v>1.0065047561974232</v>
      </c>
      <c r="AO6" t="str">
        <f t="shared" si="4"/>
        <v>phi_L: 0.9
phi_R: 0.9</v>
      </c>
    </row>
    <row r="7" spans="1:41" x14ac:dyDescent="0.25">
      <c r="A7" t="s">
        <v>7</v>
      </c>
      <c r="B7" s="4">
        <v>24</v>
      </c>
      <c r="C7" t="s">
        <v>4</v>
      </c>
      <c r="E7" s="5">
        <f>E6</f>
        <v>48</v>
      </c>
      <c r="F7">
        <f>B7</f>
        <v>24</v>
      </c>
      <c r="G7">
        <f t="shared" si="1"/>
        <v>192</v>
      </c>
      <c r="AG7">
        <v>-1.1084466677857564E-13</v>
      </c>
      <c r="AH7">
        <v>7.9112698372208103E-3</v>
      </c>
      <c r="AI7">
        <v>213.35126708676137</v>
      </c>
      <c r="AJ7">
        <v>211.82440977275257</v>
      </c>
      <c r="AK7">
        <v>0.9</v>
      </c>
      <c r="AL7">
        <v>0.9</v>
      </c>
      <c r="AM7">
        <f t="shared" si="2"/>
        <v>0.79112698372208101</v>
      </c>
      <c r="AN7">
        <f t="shared" si="3"/>
        <v>1.0072081273147264</v>
      </c>
      <c r="AO7" t="str">
        <f t="shared" si="4"/>
        <v>phi_L: 0.9
phi_R: 0.9</v>
      </c>
    </row>
    <row r="8" spans="1:41" x14ac:dyDescent="0.25">
      <c r="A8" t="s">
        <v>8</v>
      </c>
      <c r="B8" s="4">
        <v>8</v>
      </c>
      <c r="C8" t="s">
        <v>4</v>
      </c>
      <c r="E8">
        <v>0</v>
      </c>
      <c r="F8">
        <f>F7</f>
        <v>24</v>
      </c>
      <c r="G8">
        <f t="shared" si="1"/>
        <v>576</v>
      </c>
      <c r="AG8">
        <v>3.8284042602754195E-12</v>
      </c>
      <c r="AH8">
        <v>8.6405591591021558E-3</v>
      </c>
      <c r="AI8">
        <v>231.78894538997511</v>
      </c>
      <c r="AJ8">
        <v>229.96761072068239</v>
      </c>
      <c r="AK8">
        <v>0.9</v>
      </c>
      <c r="AL8">
        <v>0.9</v>
      </c>
      <c r="AM8">
        <f t="shared" si="2"/>
        <v>0.86405591591021558</v>
      </c>
      <c r="AN8">
        <f t="shared" si="3"/>
        <v>1.007919961700628</v>
      </c>
      <c r="AO8" t="str">
        <f t="shared" si="4"/>
        <v>phi_L: 0.9
phi_R: 0.9</v>
      </c>
    </row>
    <row r="9" spans="1:41" x14ac:dyDescent="0.25">
      <c r="E9">
        <v>0</v>
      </c>
      <c r="F9">
        <v>0</v>
      </c>
      <c r="G9">
        <f t="shared" si="1"/>
        <v>0</v>
      </c>
      <c r="AG9">
        <v>-8.5265128291212022E-14</v>
      </c>
      <c r="AH9">
        <v>9.3698484809835014E-3</v>
      </c>
      <c r="AI9">
        <v>250.01902445731713</v>
      </c>
      <c r="AJ9">
        <v>247.87726252825726</v>
      </c>
      <c r="AK9">
        <v>0.9</v>
      </c>
      <c r="AL9">
        <v>0.9</v>
      </c>
      <c r="AM9">
        <f t="shared" si="2"/>
        <v>0.93698484809835014</v>
      </c>
      <c r="AN9">
        <f t="shared" si="3"/>
        <v>1.0086404130302824</v>
      </c>
      <c r="AO9" t="str">
        <f t="shared" si="4"/>
        <v>phi_L: 0.9
phi_R: 0.9</v>
      </c>
    </row>
    <row r="10" spans="1:41" x14ac:dyDescent="0.25">
      <c r="G10">
        <f>SUM(G4:G9)</f>
        <v>576</v>
      </c>
      <c r="AG10">
        <v>-2.8137492336099963E-13</v>
      </c>
      <c r="AH10">
        <v>1.0099137802864847E-2</v>
      </c>
      <c r="AI10">
        <v>268.04150428878916</v>
      </c>
      <c r="AJ10">
        <v>265.55336519547711</v>
      </c>
      <c r="AK10">
        <v>0.9</v>
      </c>
      <c r="AL10">
        <v>0.9</v>
      </c>
      <c r="AM10">
        <f t="shared" si="2"/>
        <v>1.0099137802864846</v>
      </c>
      <c r="AN10">
        <f t="shared" si="3"/>
        <v>1.0093696387220719</v>
      </c>
      <c r="AO10" t="str">
        <f t="shared" si="4"/>
        <v>phi_L: 0.9
phi_R: 0.9</v>
      </c>
    </row>
    <row r="11" spans="1:41" x14ac:dyDescent="0.25">
      <c r="A11" t="s">
        <v>11</v>
      </c>
      <c r="AG11">
        <v>0</v>
      </c>
      <c r="AH11">
        <v>1.0828427124746192E-2</v>
      </c>
      <c r="AI11">
        <v>285.85638488438917</v>
      </c>
      <c r="AJ11">
        <v>282.99591872234203</v>
      </c>
      <c r="AK11">
        <v>0.9</v>
      </c>
      <c r="AL11">
        <v>0.9</v>
      </c>
      <c r="AM11">
        <f t="shared" ref="AM11:AM51" si="5">AH11*100</f>
        <v>1.0828427124746192</v>
      </c>
      <c r="AN11">
        <f t="shared" ref="AN11:AN51" si="6">AI11/AJ11</f>
        <v>1.0101078000522461</v>
      </c>
      <c r="AO11" t="str">
        <f t="shared" ref="AO11:AO51" si="7">"phi_L: "&amp;ROUND(AK11,3)&amp;CHAR(10)&amp;"phi_R: "&amp;ROUND(AL11,3)</f>
        <v>phi_L: 0.9
phi_R: 0.9</v>
      </c>
    </row>
    <row r="12" spans="1:41" x14ac:dyDescent="0.25">
      <c r="A12" t="s">
        <v>12</v>
      </c>
      <c r="B12" s="2">
        <v>60</v>
      </c>
      <c r="C12" t="s">
        <v>1</v>
      </c>
      <c r="AG12">
        <v>-2.7284841053187846E-13</v>
      </c>
      <c r="AH12">
        <v>1.1557716446627538E-2</v>
      </c>
      <c r="AI12">
        <v>303.46366624411843</v>
      </c>
      <c r="AJ12">
        <v>300.20492310885197</v>
      </c>
      <c r="AK12">
        <v>0.9</v>
      </c>
      <c r="AL12">
        <v>0.9</v>
      </c>
      <c r="AM12">
        <f t="shared" si="5"/>
        <v>1.1557716446627537</v>
      </c>
      <c r="AN12">
        <f t="shared" si="6"/>
        <v>1.0108550622738617</v>
      </c>
      <c r="AO12" t="str">
        <f t="shared" si="7"/>
        <v>phi_L: 0.9
phi_R: 0.9</v>
      </c>
    </row>
    <row r="13" spans="1:41" x14ac:dyDescent="0.25">
      <c r="A13" t="s">
        <v>13</v>
      </c>
      <c r="B13" s="3">
        <v>29000</v>
      </c>
      <c r="C13" t="s">
        <v>1</v>
      </c>
      <c r="AG13">
        <v>2.6295765565009786E-11</v>
      </c>
      <c r="AH13">
        <v>1.2287005768508883E-2</v>
      </c>
      <c r="AI13">
        <v>320.86334836796789</v>
      </c>
      <c r="AJ13">
        <v>317.18037835500706</v>
      </c>
      <c r="AK13">
        <v>0.9</v>
      </c>
      <c r="AL13">
        <v>0.9</v>
      </c>
      <c r="AM13">
        <f t="shared" si="5"/>
        <v>1.2287005768508883</v>
      </c>
      <c r="AN13">
        <f t="shared" si="6"/>
        <v>1.0116115947400712</v>
      </c>
      <c r="AO13" t="str">
        <f t="shared" si="7"/>
        <v>phi_L: 0.9
phi_R: 0.9</v>
      </c>
    </row>
    <row r="14" spans="1:41" x14ac:dyDescent="0.25">
      <c r="B14" s="1" t="s">
        <v>14</v>
      </c>
      <c r="C14" t="s">
        <v>15</v>
      </c>
      <c r="D14" s="1" t="s">
        <v>9</v>
      </c>
      <c r="E14" s="1" t="s">
        <v>10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338.05543125596301</v>
      </c>
      <c r="AJ14">
        <v>333.92228446080719</v>
      </c>
      <c r="AK14">
        <v>0.9</v>
      </c>
      <c r="AL14">
        <v>0.9</v>
      </c>
      <c r="AM14">
        <f t="shared" si="5"/>
        <v>1.3016295090390229</v>
      </c>
      <c r="AN14">
        <f t="shared" si="6"/>
        <v>1.0123775710322229</v>
      </c>
      <c r="AO14" t="str">
        <f t="shared" si="7"/>
        <v>phi_L: 0.9
phi_R: 0.9</v>
      </c>
    </row>
    <row r="15" spans="1:41" x14ac:dyDescent="0.25">
      <c r="A15">
        <v>1</v>
      </c>
      <c r="B15" s="24" t="s">
        <v>83</v>
      </c>
      <c r="C15" s="6">
        <f ca="1">OFFSET($G$14,MATCH(B15,$G$14:$G$29,0)-1,2)</f>
        <v>4.1976000000000004</v>
      </c>
      <c r="D15" s="2">
        <f>B5/2</f>
        <v>6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6</v>
      </c>
      <c r="U15">
        <f>IF($B15=0,NA(),E15)</f>
        <v>2</v>
      </c>
      <c r="AG15">
        <v>0</v>
      </c>
      <c r="AH15">
        <v>1.3745584412271574E-2</v>
      </c>
      <c r="AI15">
        <v>355.0399149080784</v>
      </c>
      <c r="AJ15">
        <v>350.43064142625235</v>
      </c>
      <c r="AK15">
        <v>0.9</v>
      </c>
      <c r="AL15">
        <v>0.9</v>
      </c>
      <c r="AM15">
        <f t="shared" si="5"/>
        <v>1.3745584412271574</v>
      </c>
      <c r="AN15">
        <f t="shared" si="6"/>
        <v>1.0131531690923667</v>
      </c>
      <c r="AO15" t="str">
        <f t="shared" si="7"/>
        <v>phi_L: 0.9
phi_R: 0.9</v>
      </c>
    </row>
    <row r="16" spans="1:41" x14ac:dyDescent="0.25">
      <c r="A16">
        <v>2</v>
      </c>
      <c r="B16" s="24">
        <v>0</v>
      </c>
      <c r="C16" s="6">
        <f t="shared" ref="C16:C24" ca="1" si="8">OFFSET($G$14,MATCH(B16,$G$14:$G$29,0)-1,2)</f>
        <v>0</v>
      </c>
      <c r="D16" s="2">
        <v>0</v>
      </c>
      <c r="E16" s="2">
        <v>0</v>
      </c>
      <c r="G16" s="1">
        <v>4</v>
      </c>
      <c r="H16" s="6">
        <v>0.5</v>
      </c>
      <c r="I16" s="6">
        <v>0.2</v>
      </c>
      <c r="T16" t="e">
        <f t="shared" ref="T16:T24" si="9">IF($B16=0,NA(),D16)</f>
        <v>#N/A</v>
      </c>
      <c r="U16" t="e">
        <f t="shared" ref="U16:U24" si="10">IF($B16=0,NA(),E16)</f>
        <v>#N/A</v>
      </c>
      <c r="AG16">
        <v>-2.9450575311784627E-11</v>
      </c>
      <c r="AH16">
        <v>1.447487373415292E-2</v>
      </c>
      <c r="AI16">
        <v>371.81679932433394</v>
      </c>
      <c r="AJ16">
        <v>366.7054492513426</v>
      </c>
      <c r="AK16">
        <v>0.9</v>
      </c>
      <c r="AL16">
        <v>0.9</v>
      </c>
      <c r="AM16">
        <f t="shared" si="5"/>
        <v>1.447487373415292</v>
      </c>
      <c r="AN16">
        <f t="shared" si="6"/>
        <v>1.0139385713613653</v>
      </c>
      <c r="AO16" t="str">
        <f t="shared" si="7"/>
        <v>phi_L: 0.9
phi_R: 0.9</v>
      </c>
    </row>
    <row r="17" spans="1:41" x14ac:dyDescent="0.25">
      <c r="A17">
        <v>3</v>
      </c>
      <c r="B17" s="24">
        <v>0</v>
      </c>
      <c r="C17" s="6">
        <f t="shared" ca="1" si="8"/>
        <v>0</v>
      </c>
      <c r="D17" s="2">
        <v>0</v>
      </c>
      <c r="E17" s="2">
        <v>0</v>
      </c>
      <c r="G17" s="1">
        <v>5</v>
      </c>
      <c r="H17" s="6">
        <v>0.625</v>
      </c>
      <c r="I17" s="6">
        <v>0.31</v>
      </c>
      <c r="T17" t="e">
        <f t="shared" si="9"/>
        <v>#N/A</v>
      </c>
      <c r="U17" t="e">
        <f t="shared" si="10"/>
        <v>#N/A</v>
      </c>
      <c r="AG17">
        <v>-1.0402345651527865E-12</v>
      </c>
      <c r="AH17">
        <v>1.5204163056034265E-2</v>
      </c>
      <c r="AI17">
        <v>388.38608450469758</v>
      </c>
      <c r="AJ17">
        <v>382.74670793607777</v>
      </c>
      <c r="AK17">
        <v>0.9</v>
      </c>
      <c r="AL17">
        <v>0.9</v>
      </c>
      <c r="AM17">
        <f t="shared" si="5"/>
        <v>1.5204163056034266</v>
      </c>
      <c r="AN17">
        <f t="shared" si="6"/>
        <v>1.0147339649216829</v>
      </c>
      <c r="AO17" t="str">
        <f t="shared" si="7"/>
        <v>phi_L: 0.9
phi_R: 0.9</v>
      </c>
    </row>
    <row r="18" spans="1:41" x14ac:dyDescent="0.25">
      <c r="A18">
        <v>4</v>
      </c>
      <c r="B18" s="24">
        <v>0</v>
      </c>
      <c r="C18" s="6">
        <f t="shared" ca="1" si="8"/>
        <v>0</v>
      </c>
      <c r="D18" s="2">
        <v>0</v>
      </c>
      <c r="E18" s="2">
        <v>0</v>
      </c>
      <c r="G18" s="1">
        <v>6</v>
      </c>
      <c r="H18" s="6">
        <v>0.75</v>
      </c>
      <c r="I18" s="6">
        <v>0.44</v>
      </c>
      <c r="T18" t="e">
        <f t="shared" si="9"/>
        <v>#N/A</v>
      </c>
      <c r="U18" t="e">
        <f t="shared" si="10"/>
        <v>#N/A</v>
      </c>
      <c r="AG18">
        <v>3.7516656448133288E-13</v>
      </c>
      <c r="AH18">
        <v>1.5933452377915609E-2</v>
      </c>
      <c r="AI18">
        <v>404.74777044919938</v>
      </c>
      <c r="AJ18">
        <v>398.55441748045871</v>
      </c>
      <c r="AK18">
        <v>0.9</v>
      </c>
      <c r="AL18">
        <v>0.9</v>
      </c>
      <c r="AM18">
        <f t="shared" si="5"/>
        <v>1.5933452377915609</v>
      </c>
      <c r="AN18">
        <f t="shared" si="6"/>
        <v>1.0155395416462656</v>
      </c>
      <c r="AO18" t="str">
        <f t="shared" si="7"/>
        <v>phi_L: 0.9
phi_R: 0.9</v>
      </c>
    </row>
    <row r="19" spans="1:41" x14ac:dyDescent="0.25">
      <c r="A19">
        <v>5</v>
      </c>
      <c r="B19" s="24">
        <v>0</v>
      </c>
      <c r="C19" s="6">
        <f t="shared" ca="1" si="8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T19" t="e">
        <f t="shared" si="9"/>
        <v>#N/A</v>
      </c>
      <c r="U19" t="e">
        <f t="shared" si="10"/>
        <v>#N/A</v>
      </c>
      <c r="AG19">
        <v>1.5083616942221259E-13</v>
      </c>
      <c r="AH19">
        <v>1.6662741699796955E-2</v>
      </c>
      <c r="AI19">
        <v>413.65890858263879</v>
      </c>
      <c r="AJ19">
        <v>414.12857788448406</v>
      </c>
      <c r="AK19">
        <v>0.88451265156753855</v>
      </c>
      <c r="AL19">
        <v>0.9</v>
      </c>
      <c r="AM19">
        <f t="shared" si="5"/>
        <v>1.6662741699796955</v>
      </c>
      <c r="AN19">
        <f t="shared" si="6"/>
        <v>0.99886588531454523</v>
      </c>
      <c r="AO19" t="str">
        <f t="shared" si="7"/>
        <v>phi_L: 0.885
phi_R: 0.9</v>
      </c>
    </row>
    <row r="20" spans="1:41" x14ac:dyDescent="0.25">
      <c r="A20">
        <v>6</v>
      </c>
      <c r="B20" s="24">
        <v>0</v>
      </c>
      <c r="C20" s="6">
        <f t="shared" ca="1" si="8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T20" t="e">
        <f t="shared" si="9"/>
        <v>#N/A</v>
      </c>
      <c r="U20" t="e">
        <f t="shared" si="10"/>
        <v>#N/A</v>
      </c>
      <c r="AG20">
        <v>3.1850526536674362E-10</v>
      </c>
      <c r="AH20">
        <v>1.73920310216783E-2</v>
      </c>
      <c r="AI20">
        <v>417.43414535835029</v>
      </c>
      <c r="AJ20">
        <v>429.46918914815456</v>
      </c>
      <c r="AK20">
        <v>0.86000264265699</v>
      </c>
      <c r="AL20">
        <v>0.9</v>
      </c>
      <c r="AM20">
        <f t="shared" si="5"/>
        <v>1.73920310216783</v>
      </c>
      <c r="AN20">
        <f t="shared" si="6"/>
        <v>0.97197693316795186</v>
      </c>
      <c r="AO20" t="str">
        <f t="shared" si="7"/>
        <v>phi_L: 0.86
phi_R: 0.9</v>
      </c>
    </row>
    <row r="21" spans="1:41" x14ac:dyDescent="0.25">
      <c r="A21">
        <v>7</v>
      </c>
      <c r="B21" s="24">
        <v>0</v>
      </c>
      <c r="C21" s="6">
        <f t="shared" ca="1" si="8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9"/>
        <v>#N/A</v>
      </c>
      <c r="U21" t="e">
        <f t="shared" si="10"/>
        <v>#N/A</v>
      </c>
      <c r="AG21">
        <v>3.5481145045986116E-11</v>
      </c>
      <c r="AH21">
        <v>1.8121320343559646E-2</v>
      </c>
      <c r="AI21">
        <v>421.14018239014905</v>
      </c>
      <c r="AJ21">
        <v>444.57625127147003</v>
      </c>
      <c r="AK21">
        <v>0.83746543566801912</v>
      </c>
      <c r="AL21">
        <v>0.9</v>
      </c>
      <c r="AM21">
        <f t="shared" si="5"/>
        <v>1.8121320343559646</v>
      </c>
      <c r="AN21">
        <f t="shared" si="6"/>
        <v>0.9472844786146476</v>
      </c>
      <c r="AO21" t="str">
        <f t="shared" si="7"/>
        <v>phi_L: 0.837
phi_R: 0.9</v>
      </c>
    </row>
    <row r="22" spans="1:41" x14ac:dyDescent="0.25">
      <c r="A22">
        <v>8</v>
      </c>
      <c r="B22" s="24">
        <v>0</v>
      </c>
      <c r="C22" s="6">
        <f t="shared" ca="1" si="8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9"/>
        <v>#N/A</v>
      </c>
      <c r="U22" t="e">
        <f t="shared" si="10"/>
        <v>#N/A</v>
      </c>
      <c r="AG22">
        <v>3.899484287519618E-12</v>
      </c>
      <c r="AH22">
        <v>1.8850609665440991E-2</v>
      </c>
      <c r="AI22">
        <v>424.77701967607948</v>
      </c>
      <c r="AJ22">
        <v>459.44976425443048</v>
      </c>
      <c r="AK22">
        <v>0.81667206027764405</v>
      </c>
      <c r="AL22">
        <v>0.9</v>
      </c>
      <c r="AM22">
        <f t="shared" si="5"/>
        <v>1.8850609665440992</v>
      </c>
      <c r="AN22">
        <f t="shared" si="6"/>
        <v>0.92453419878315535</v>
      </c>
      <c r="AO22" t="str">
        <f t="shared" si="7"/>
        <v>phi_L: 0.817
phi_R: 0.9</v>
      </c>
    </row>
    <row r="23" spans="1:41" x14ac:dyDescent="0.25">
      <c r="A23">
        <v>9</v>
      </c>
      <c r="B23" s="24">
        <v>0</v>
      </c>
      <c r="C23" s="6">
        <f t="shared" ca="1" si="8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9"/>
        <v>#N/A</v>
      </c>
      <c r="U23" t="e">
        <f t="shared" si="10"/>
        <v>#N/A</v>
      </c>
      <c r="AG23">
        <v>6.3459920271945288E-13</v>
      </c>
      <c r="AH23">
        <v>1.9579898987322337E-2</v>
      </c>
      <c r="AI23">
        <v>428.3446572166564</v>
      </c>
      <c r="AJ23">
        <v>472.28303173702335</v>
      </c>
      <c r="AK23">
        <v>0.79742765984847708</v>
      </c>
      <c r="AL23">
        <v>0.89657021313130192</v>
      </c>
      <c r="AM23">
        <f t="shared" si="5"/>
        <v>1.9579898987322337</v>
      </c>
      <c r="AN23">
        <f t="shared" si="6"/>
        <v>0.90696601070175076</v>
      </c>
      <c r="AO23" t="str">
        <f t="shared" si="7"/>
        <v>phi_L: 0.797
phi_R: 0.897</v>
      </c>
    </row>
    <row r="24" spans="1:41" x14ac:dyDescent="0.25">
      <c r="A24">
        <v>10</v>
      </c>
      <c r="B24" s="24">
        <v>0</v>
      </c>
      <c r="C24" s="6">
        <f t="shared" ca="1" si="8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9"/>
        <v>#N/A</v>
      </c>
      <c r="U24" t="e">
        <f t="shared" si="10"/>
        <v>#N/A</v>
      </c>
      <c r="AG24">
        <v>0</v>
      </c>
      <c r="AH24">
        <v>2.0309188309203682E-2</v>
      </c>
      <c r="AI24">
        <v>431.84309501193599</v>
      </c>
      <c r="AJ24">
        <v>473.7076395695907</v>
      </c>
      <c r="AK24">
        <v>0.77956536642675878</v>
      </c>
      <c r="AL24">
        <v>0.87275382190234518</v>
      </c>
      <c r="AM24">
        <f t="shared" si="5"/>
        <v>2.0309188309203683</v>
      </c>
      <c r="AN24">
        <f t="shared" si="6"/>
        <v>0.91162366603229639</v>
      </c>
      <c r="AO24" t="str">
        <f t="shared" si="7"/>
        <v>phi_L: 0.78
phi_R: 0.873</v>
      </c>
    </row>
    <row r="25" spans="1:41" x14ac:dyDescent="0.25">
      <c r="G25" s="1">
        <v>18</v>
      </c>
      <c r="H25" s="6">
        <v>2.2570000000000001</v>
      </c>
      <c r="I25" s="6">
        <v>4</v>
      </c>
      <c r="AG25">
        <v>0</v>
      </c>
      <c r="AH25">
        <v>2.1038477631085028E-2</v>
      </c>
      <c r="AI25">
        <v>435.27233306192431</v>
      </c>
      <c r="AJ25">
        <v>475.07169762502878</v>
      </c>
      <c r="AK25">
        <v>0.7629414496675746</v>
      </c>
      <c r="AL25">
        <v>0.85058859955676447</v>
      </c>
      <c r="AM25">
        <f t="shared" si="5"/>
        <v>2.1038477631085026</v>
      </c>
      <c r="AN25">
        <f t="shared" si="6"/>
        <v>0.9162245093486544</v>
      </c>
      <c r="AO25" t="str">
        <f t="shared" si="7"/>
        <v>phi_L: 0.763
phi_R: 0.851</v>
      </c>
    </row>
    <row r="26" spans="1:41" x14ac:dyDescent="0.25">
      <c r="E26" t="s">
        <v>88</v>
      </c>
      <c r="F26" s="25" t="s">
        <v>82</v>
      </c>
      <c r="G26" s="1" t="s">
        <v>83</v>
      </c>
      <c r="H26" s="28">
        <v>1.5900000000000001E-2</v>
      </c>
      <c r="I26" s="6">
        <f>IF(F26="web",(B5*F27)*H26,G10*H26)</f>
        <v>4.1976000000000004</v>
      </c>
      <c r="AG26">
        <v>0</v>
      </c>
      <c r="AH26">
        <v>2.1767766952966373E-2</v>
      </c>
      <c r="AI26">
        <v>438.63237136662235</v>
      </c>
      <c r="AJ26">
        <v>476.37520590333781</v>
      </c>
      <c r="AK26">
        <v>0.74743144091801683</v>
      </c>
      <c r="AL26">
        <v>0.82990858789068833</v>
      </c>
      <c r="AM26">
        <f t="shared" si="5"/>
        <v>2.1767766952966374</v>
      </c>
      <c r="AN26">
        <f t="shared" si="6"/>
        <v>0.92077078305294102</v>
      </c>
      <c r="AO26" t="str">
        <f t="shared" si="7"/>
        <v>phi_L: 0.747
phi_R: 0.83</v>
      </c>
    </row>
    <row r="27" spans="1:41" x14ac:dyDescent="0.25">
      <c r="A27" t="s">
        <v>16</v>
      </c>
      <c r="B27" s="7">
        <v>0.37969475485733511</v>
      </c>
      <c r="C27" t="s">
        <v>17</v>
      </c>
      <c r="E27" t="s">
        <v>92</v>
      </c>
      <c r="F27" s="3" cm="1">
        <f t="array" ref="F27">B7-MIN(IF(E15:E24&gt;0,E15:E24))</f>
        <v>22</v>
      </c>
      <c r="G27" s="1" t="s">
        <v>84</v>
      </c>
      <c r="H27" s="28">
        <f>F28</f>
        <v>3.5355339059327377E-3</v>
      </c>
      <c r="I27" s="6">
        <f>IF(F26="web",(B5*F27)*H27,G10*H27)</f>
        <v>0.93338095116624276</v>
      </c>
      <c r="AG27">
        <v>0</v>
      </c>
      <c r="AH27">
        <v>2.2497056274847719E-2</v>
      </c>
      <c r="AI27">
        <v>441.92320992603032</v>
      </c>
      <c r="AJ27">
        <v>477.61816440451781</v>
      </c>
      <c r="AK27">
        <v>0.73292701117623316</v>
      </c>
      <c r="AL27">
        <v>0.81056934823497628</v>
      </c>
      <c r="AM27">
        <f t="shared" si="5"/>
        <v>2.2497056274847718</v>
      </c>
      <c r="AN27">
        <f t="shared" si="6"/>
        <v>0.92526466299079924</v>
      </c>
      <c r="AO27" t="str">
        <f t="shared" si="7"/>
        <v>phi_L: 0.733
phi_R: 0.811</v>
      </c>
    </row>
    <row r="28" spans="1:41" x14ac:dyDescent="0.25">
      <c r="A28" t="s">
        <v>18</v>
      </c>
      <c r="B28" s="7">
        <v>8.3393320897806138</v>
      </c>
      <c r="C28" t="s">
        <v>4</v>
      </c>
      <c r="E28" t="s">
        <v>89</v>
      </c>
      <c r="F28" s="27">
        <f>MAX(200/(B12*1000),(3*SQRT(B2*1000))/(B12*1000))</f>
        <v>3.5355339059327377E-3</v>
      </c>
      <c r="G28" s="1" t="s">
        <v>85</v>
      </c>
      <c r="H28" s="26" t="s">
        <v>87</v>
      </c>
      <c r="I28" s="7">
        <v>10</v>
      </c>
      <c r="AG28">
        <v>9.9224875745026221E-11</v>
      </c>
      <c r="AH28">
        <v>2.3226345596729064E-2</v>
      </c>
      <c r="AI28">
        <v>445.14484873993962</v>
      </c>
      <c r="AJ28">
        <v>478.80057312856889</v>
      </c>
      <c r="AK28">
        <v>0.71933343722825349</v>
      </c>
      <c r="AL28">
        <v>0.79244458297132714</v>
      </c>
      <c r="AM28">
        <f t="shared" si="5"/>
        <v>2.3226345596729066</v>
      </c>
      <c r="AN28">
        <f t="shared" si="6"/>
        <v>0.92970826210855029</v>
      </c>
      <c r="AO28" t="str">
        <f t="shared" si="7"/>
        <v>phi_L: 0.719
phi_R: 0.792</v>
      </c>
    </row>
    <row r="29" spans="1:41" x14ac:dyDescent="0.25">
      <c r="A29" t="s">
        <v>19</v>
      </c>
      <c r="B29" s="6">
        <f>B28*B4</f>
        <v>6.6714656718244907</v>
      </c>
      <c r="C29" t="s">
        <v>4</v>
      </c>
      <c r="G29" s="1" t="s">
        <v>86</v>
      </c>
      <c r="H29" s="26" t="s">
        <v>87</v>
      </c>
      <c r="I29" s="7">
        <v>5</v>
      </c>
      <c r="AG29">
        <v>4.5518875976116601E-13</v>
      </c>
      <c r="AH29">
        <v>2.395563491861041E-2</v>
      </c>
      <c r="AI29">
        <v>448.29728780897341</v>
      </c>
      <c r="AJ29">
        <v>479.92243207549069</v>
      </c>
      <c r="AK29">
        <v>0.70656753062165401</v>
      </c>
      <c r="AL29">
        <v>0.77542337416220697</v>
      </c>
      <c r="AM29">
        <f t="shared" si="5"/>
        <v>2.3955634918610409</v>
      </c>
      <c r="AN29">
        <f t="shared" si="6"/>
        <v>0.93410363393569673</v>
      </c>
      <c r="AO29" t="str">
        <f t="shared" si="7"/>
        <v>phi_L: 0.707
phi_R: 0.775</v>
      </c>
    </row>
    <row r="30" spans="1:41" x14ac:dyDescent="0.25">
      <c r="A30" t="s">
        <v>50</v>
      </c>
      <c r="B30" s="1">
        <v>3.0000000000000001E-3</v>
      </c>
      <c r="AG30">
        <v>-2.684703502792189E-12</v>
      </c>
      <c r="AH30">
        <v>2.4684924240491755E-2</v>
      </c>
      <c r="AI30">
        <v>451.38052713251591</v>
      </c>
      <c r="AJ30">
        <v>480.98374124528345</v>
      </c>
      <c r="AK30">
        <v>0.69455593375316915</v>
      </c>
      <c r="AL30">
        <v>0.75940791167088517</v>
      </c>
      <c r="AM30">
        <f t="shared" si="5"/>
        <v>2.4684924240491757</v>
      </c>
      <c r="AN30">
        <f t="shared" si="6"/>
        <v>0.93845277589607534</v>
      </c>
      <c r="AO30" t="str">
        <f t="shared" si="7"/>
        <v>phi_L: 0.695
phi_R: 0.759</v>
      </c>
    </row>
    <row r="31" spans="1:41" x14ac:dyDescent="0.25">
      <c r="A31" t="s">
        <v>51</v>
      </c>
      <c r="B31" s="1">
        <f>B2*0.85</f>
        <v>4.25</v>
      </c>
      <c r="C31" t="s">
        <v>1</v>
      </c>
      <c r="AG31">
        <v>-2.589155994635871E-12</v>
      </c>
      <c r="AH31">
        <v>2.5414213562373101E-2</v>
      </c>
      <c r="AI31">
        <v>454.39456671076186</v>
      </c>
      <c r="AJ31">
        <v>481.98450063794718</v>
      </c>
      <c r="AK31">
        <v>0.68323370933473793</v>
      </c>
      <c r="AL31">
        <v>0.74431161244631139</v>
      </c>
      <c r="AM31">
        <f t="shared" si="5"/>
        <v>2.54142135623731</v>
      </c>
      <c r="AN31">
        <f t="shared" si="6"/>
        <v>0.94275763247434785</v>
      </c>
      <c r="AO31" t="str">
        <f t="shared" si="7"/>
        <v>phi_L: 0.683
phi_R: 0.744</v>
      </c>
    </row>
    <row r="32" spans="1:41" x14ac:dyDescent="0.25">
      <c r="J32" t="s">
        <v>90</v>
      </c>
      <c r="N32" t="s">
        <v>91</v>
      </c>
      <c r="AG32">
        <v>0</v>
      </c>
      <c r="AH32">
        <v>2.6143502884254446E-2</v>
      </c>
      <c r="AI32">
        <v>457.33940654371241</v>
      </c>
      <c r="AJ32">
        <v>482.92471025348186</v>
      </c>
      <c r="AK32">
        <v>0.67254316594274022</v>
      </c>
      <c r="AL32">
        <v>0.73005755459032162</v>
      </c>
      <c r="AM32">
        <f t="shared" si="5"/>
        <v>2.6143502884254448</v>
      </c>
      <c r="AN32">
        <f t="shared" si="6"/>
        <v>0.94702009823365629</v>
      </c>
      <c r="AO32" t="str">
        <f t="shared" si="7"/>
        <v>phi_L: 0.673
phi_R: 0.73</v>
      </c>
    </row>
    <row r="33" spans="1:41" x14ac:dyDescent="0.25">
      <c r="A33" t="s">
        <v>20</v>
      </c>
      <c r="J33">
        <f>(J38*COS(-1*$B$27))+(K38*SIN(-1*$B$27))+$I$2</f>
        <v>-6.0996586752456885</v>
      </c>
      <c r="K33">
        <f>(-1*J38*SIN(-1*$B$27))+(K38*COS(-1*$B$27))+$I$3</f>
        <v>12.587053855713709</v>
      </c>
      <c r="N33">
        <f>(N38*COS(-1*$B$27))+(O38*SIN(-1*$B$27))+$I$2</f>
        <v>-6.7178316503891988</v>
      </c>
      <c r="O33">
        <f>(-1*N38*SIN(-1*$B$27))+(O38*COS(-1*$B$27))+$I$3</f>
        <v>14.136131181397618</v>
      </c>
      <c r="AG33">
        <v>0</v>
      </c>
      <c r="AH33">
        <v>2.6872792206135792E-2</v>
      </c>
      <c r="AI33">
        <v>460.21504663137853</v>
      </c>
      <c r="AJ33">
        <v>483.80437009188745</v>
      </c>
      <c r="AK33">
        <v>0.66243287480597324</v>
      </c>
      <c r="AL33">
        <v>0.71657716640796398</v>
      </c>
      <c r="AM33">
        <f t="shared" si="5"/>
        <v>2.6872792206135792</v>
      </c>
      <c r="AN33">
        <f t="shared" si="6"/>
        <v>0.9512420207034743</v>
      </c>
      <c r="AO33" t="str">
        <f t="shared" si="7"/>
        <v>phi_L: 0.662
phi_R: 0.717</v>
      </c>
    </row>
    <row r="34" spans="1:41" x14ac:dyDescent="0.25">
      <c r="J34">
        <f>(J39*COS(-1*$B$27))+(K39*SIN(-1*$B$27))+$I$2</f>
        <v>45.42579762150249</v>
      </c>
      <c r="K34">
        <f>(-1*J39*SIN(-1*$B$27))+(K39*COS(-1*$B$27))+$I$3</f>
        <v>33.148741827310204</v>
      </c>
      <c r="N34">
        <f>(N39*COS(-1*$B$27))+(O39*SIN(-1*$B$27))+$I$2</f>
        <v>44.807624646358981</v>
      </c>
      <c r="O34">
        <f>(-1*N39*SIN(-1*$B$27))+(O39*COS(-1*$B$27))+$I$3</f>
        <v>34.697819152994114</v>
      </c>
      <c r="AG34">
        <v>1.0421930433201096E-12</v>
      </c>
      <c r="AH34">
        <v>2.7602081528017137E-2</v>
      </c>
      <c r="AI34">
        <v>462.44487222554568</v>
      </c>
      <c r="AJ34">
        <v>484.623480153164</v>
      </c>
      <c r="AK34">
        <v>0.65480192543869553</v>
      </c>
      <c r="AL34">
        <v>0.70380912328162915</v>
      </c>
      <c r="AM34">
        <f t="shared" si="5"/>
        <v>2.7602081528017139</v>
      </c>
      <c r="AN34">
        <f t="shared" si="6"/>
        <v>0.95423538306355105</v>
      </c>
      <c r="AO34" t="str">
        <f t="shared" si="7"/>
        <v>phi_L: 0.655
phi_R: 0.704</v>
      </c>
    </row>
    <row r="35" spans="1:41" x14ac:dyDescent="0.25">
      <c r="A35" s="8" t="s">
        <v>21</v>
      </c>
      <c r="AG35">
        <v>7.1632053084268799E-13</v>
      </c>
      <c r="AH35">
        <v>2.8331370849898483E-2</v>
      </c>
      <c r="AI35">
        <v>463.33345863791652</v>
      </c>
      <c r="AJ35">
        <v>485.3820404373115</v>
      </c>
      <c r="AK35">
        <v>0.65180917479410672</v>
      </c>
      <c r="AL35">
        <v>0.69169841492124606</v>
      </c>
      <c r="AM35">
        <f t="shared" si="5"/>
        <v>2.8331370849898483</v>
      </c>
      <c r="AN35">
        <f t="shared" si="6"/>
        <v>0.95457478859429978</v>
      </c>
      <c r="AO35" t="str">
        <f t="shared" si="7"/>
        <v>phi_L: 0.652
phi_R: 0.692</v>
      </c>
    </row>
    <row r="36" spans="1:41" x14ac:dyDescent="0.25">
      <c r="A36" s="1" t="s">
        <v>9</v>
      </c>
      <c r="B36" s="1" t="s">
        <v>10</v>
      </c>
      <c r="C36" s="1" t="s">
        <v>22</v>
      </c>
      <c r="D36" s="1" t="s">
        <v>23</v>
      </c>
      <c r="F36" s="8" t="s">
        <v>75</v>
      </c>
      <c r="G36" s="1">
        <f>(-1*0.003*MAX(J58:J67))/(0.002-0.003)</f>
        <v>67.970801394661507</v>
      </c>
      <c r="H36" s="15" t="s">
        <v>4</v>
      </c>
      <c r="J36" t="s">
        <v>54</v>
      </c>
      <c r="N36" t="s">
        <v>55</v>
      </c>
      <c r="AG36">
        <v>0</v>
      </c>
      <c r="AH36">
        <v>2.9060660171779829E-2</v>
      </c>
      <c r="AI36">
        <v>464.95676560619484</v>
      </c>
      <c r="AJ36">
        <v>486.08005094432997</v>
      </c>
      <c r="AK36">
        <v>0.65</v>
      </c>
      <c r="AL36">
        <v>0.68019555306093815</v>
      </c>
      <c r="AM36">
        <f t="shared" si="5"/>
        <v>2.9060660171779826</v>
      </c>
      <c r="AN36">
        <f t="shared" si="6"/>
        <v>0.95654360779238323</v>
      </c>
      <c r="AO36" t="str">
        <f t="shared" si="7"/>
        <v>phi_L: 0.65
phi_R: 0.68</v>
      </c>
    </row>
    <row r="37" spans="1:41" x14ac:dyDescent="0.25">
      <c r="A37" s="3">
        <f t="shared" ref="A37:A43" si="11">E3-$I$2</f>
        <v>-6</v>
      </c>
      <c r="B37" s="6">
        <f t="shared" ref="B37:B43" si="12">F3-$I$3</f>
        <v>-12</v>
      </c>
      <c r="C37" s="6">
        <f>A37*COS($B$27)+B37*SIN($B$27)</f>
        <v>-10.020310665110607</v>
      </c>
      <c r="D37" s="6">
        <f>-1*A37*SIN($B$27)+B37*COS($B$27)</f>
        <v>-8.9215118771803823</v>
      </c>
      <c r="F37" s="8" t="s">
        <v>24</v>
      </c>
      <c r="G37" s="1">
        <f>MAX(D37:D41)-MIN(D37:D41)</f>
        <v>14.860445023718064</v>
      </c>
      <c r="H37" t="s">
        <v>4</v>
      </c>
      <c r="J37" t="s">
        <v>9</v>
      </c>
      <c r="K37" t="s">
        <v>10</v>
      </c>
      <c r="N37" t="s">
        <v>9</v>
      </c>
      <c r="O37" t="s">
        <v>10</v>
      </c>
      <c r="AG37">
        <v>1.9705718538413446E-13</v>
      </c>
      <c r="AH37">
        <v>2.9789949493661174E-2</v>
      </c>
      <c r="AI37">
        <v>467.78555055855992</v>
      </c>
      <c r="AJ37">
        <v>486.71751167421871</v>
      </c>
      <c r="AK37">
        <v>0.65</v>
      </c>
      <c r="AL37">
        <v>0.66925589553419707</v>
      </c>
      <c r="AM37">
        <f t="shared" si="5"/>
        <v>2.9789949493661174</v>
      </c>
      <c r="AN37">
        <f t="shared" si="6"/>
        <v>0.96110277386458454</v>
      </c>
      <c r="AO37" t="str">
        <f t="shared" si="7"/>
        <v>phi_L: 0.65
phi_R: 0.669</v>
      </c>
    </row>
    <row r="38" spans="1:41" x14ac:dyDescent="0.25">
      <c r="A38" s="3">
        <f t="shared" si="11"/>
        <v>6</v>
      </c>
      <c r="B38" s="6">
        <f t="shared" si="12"/>
        <v>-12</v>
      </c>
      <c r="C38" s="6">
        <f t="shared" ref="C38:C41" si="13">A38*COS($B$27)+B38*SIN($B$27)</f>
        <v>1.1250231026779405</v>
      </c>
      <c r="D38" s="6">
        <f t="shared" ref="D38:D41" si="14">-1*A38*SIN($B$27)+B38*COS($B$27)</f>
        <v>-13.369155658396714</v>
      </c>
      <c r="F38" s="8" t="s">
        <v>25</v>
      </c>
      <c r="G38" s="6">
        <f>MAX(D37:D43)</f>
        <v>13.369155658396714</v>
      </c>
      <c r="H38" t="s">
        <v>4</v>
      </c>
      <c r="J38" s="9">
        <f>MIN(C37:C43,A37:A43)-1</f>
        <v>-11.020310665110607</v>
      </c>
      <c r="K38" s="9">
        <f>G40</f>
        <v>5.0298235686161004</v>
      </c>
      <c r="N38" s="9">
        <f>J38</f>
        <v>-11.020310665110607</v>
      </c>
      <c r="O38" s="9">
        <f>G41</f>
        <v>6.6976899865722235</v>
      </c>
      <c r="AG38">
        <v>0</v>
      </c>
      <c r="AH38">
        <v>3.051923881554252E-2</v>
      </c>
      <c r="AI38">
        <v>470.53745159649191</v>
      </c>
      <c r="AJ38">
        <v>487.29442262697904</v>
      </c>
      <c r="AK38">
        <v>0.65</v>
      </c>
      <c r="AL38">
        <v>0.65883906726067076</v>
      </c>
      <c r="AM38">
        <f t="shared" si="5"/>
        <v>3.0519238815542518</v>
      </c>
      <c r="AN38">
        <f t="shared" si="6"/>
        <v>0.96561222486366416</v>
      </c>
      <c r="AO38" t="str">
        <f t="shared" si="7"/>
        <v>phi_L: 0.65
phi_R: 0.659</v>
      </c>
    </row>
    <row r="39" spans="1:41" x14ac:dyDescent="0.25">
      <c r="A39" s="3">
        <f t="shared" si="11"/>
        <v>6</v>
      </c>
      <c r="B39" s="6">
        <f t="shared" si="12"/>
        <v>4</v>
      </c>
      <c r="C39" s="6">
        <f t="shared" si="13"/>
        <v>7.055214810966385</v>
      </c>
      <c r="D39" s="6">
        <f t="shared" si="14"/>
        <v>1.4912893653213493</v>
      </c>
      <c r="J39" s="9">
        <f>MAX(C37:C43,A37:A43)+1</f>
        <v>44.456311968476257</v>
      </c>
      <c r="K39" s="9">
        <f>K38</f>
        <v>5.0298235686161004</v>
      </c>
      <c r="N39" s="9">
        <f>J39</f>
        <v>44.456311968476257</v>
      </c>
      <c r="O39" s="9">
        <f>G41</f>
        <v>6.6976899865722235</v>
      </c>
      <c r="AG39">
        <v>0</v>
      </c>
      <c r="AH39">
        <v>3.1248528137423865E-2</v>
      </c>
      <c r="AI39">
        <v>473.21590520663955</v>
      </c>
      <c r="AJ39">
        <v>487.5631295884931</v>
      </c>
      <c r="AK39">
        <v>0.65</v>
      </c>
      <c r="AL39">
        <v>0.65375825494068374</v>
      </c>
      <c r="AM39">
        <f t="shared" si="5"/>
        <v>3.1248528137423865</v>
      </c>
      <c r="AN39">
        <f t="shared" si="6"/>
        <v>0.97057360675742088</v>
      </c>
      <c r="AO39" t="str">
        <f t="shared" si="7"/>
        <v>phi_L: 0.65
phi_R: 0.654</v>
      </c>
    </row>
    <row r="40" spans="1:41" x14ac:dyDescent="0.25">
      <c r="A40" s="3">
        <f t="shared" si="11"/>
        <v>42</v>
      </c>
      <c r="B40" s="6">
        <f t="shared" si="12"/>
        <v>4</v>
      </c>
      <c r="C40" s="6">
        <f t="shared" si="13"/>
        <v>40.491216114332033</v>
      </c>
      <c r="D40" s="6">
        <f t="shared" si="14"/>
        <v>-11.851641978327651</v>
      </c>
      <c r="F40" s="8" t="s">
        <v>52</v>
      </c>
      <c r="G40" s="9">
        <f>G38-B28</f>
        <v>5.0298235686161004</v>
      </c>
      <c r="AG40">
        <v>0</v>
      </c>
      <c r="AH40">
        <v>3.1977817459305211E-2</v>
      </c>
      <c r="AI40">
        <v>475.82412886468416</v>
      </c>
      <c r="AJ40">
        <v>487.70613305290192</v>
      </c>
      <c r="AK40">
        <v>0.65</v>
      </c>
      <c r="AL40">
        <v>0.65097954812394832</v>
      </c>
      <c r="AM40">
        <f t="shared" si="5"/>
        <v>3.1977817459305209</v>
      </c>
      <c r="AN40">
        <f t="shared" si="6"/>
        <v>0.97563695967110398</v>
      </c>
      <c r="AO40" t="str">
        <f t="shared" si="7"/>
        <v>phi_L: 0.65
phi_R: 0.651</v>
      </c>
    </row>
    <row r="41" spans="1:41" x14ac:dyDescent="0.25">
      <c r="A41" s="3">
        <f t="shared" si="11"/>
        <v>42</v>
      </c>
      <c r="B41" s="6">
        <f t="shared" si="12"/>
        <v>12</v>
      </c>
      <c r="C41" s="6">
        <f t="shared" si="13"/>
        <v>43.456311968476257</v>
      </c>
      <c r="D41" s="6">
        <f t="shared" si="14"/>
        <v>-4.4214194664686186</v>
      </c>
      <c r="F41" s="8" t="s">
        <v>53</v>
      </c>
      <c r="G41" s="9">
        <f>G38-B29</f>
        <v>6.6976899865722235</v>
      </c>
      <c r="J41" s="9"/>
      <c r="K41" s="9"/>
      <c r="N41" s="9"/>
      <c r="O41" s="9"/>
      <c r="AG41">
        <v>0</v>
      </c>
      <c r="AH41">
        <v>3.2707106781186553E-2</v>
      </c>
      <c r="AI41">
        <v>478.36513926839621</v>
      </c>
      <c r="AJ41">
        <v>489.12053366385845</v>
      </c>
      <c r="AK41">
        <v>0.65</v>
      </c>
      <c r="AL41">
        <v>0.65</v>
      </c>
      <c r="AM41">
        <f t="shared" si="5"/>
        <v>3.2707106781186552</v>
      </c>
      <c r="AN41">
        <f t="shared" si="6"/>
        <v>0.97801074856764503</v>
      </c>
      <c r="AO41" t="str">
        <f t="shared" si="7"/>
        <v>phi_L: 0.65
phi_R: 0.65</v>
      </c>
    </row>
    <row r="42" spans="1:41" x14ac:dyDescent="0.25">
      <c r="A42" s="3">
        <f t="shared" si="11"/>
        <v>-6</v>
      </c>
      <c r="B42" s="6">
        <f t="shared" si="12"/>
        <v>12</v>
      </c>
      <c r="C42" s="6">
        <f t="shared" ref="C42:C43" si="15">A42*COS($B$27)+B42*SIN($B$27)</f>
        <v>-1.1250231026779405</v>
      </c>
      <c r="D42" s="6">
        <f t="shared" ref="D42:D43" si="16">-1*A42*SIN($B$27)+B42*COS($B$27)</f>
        <v>13.369155658396714</v>
      </c>
      <c r="J42" s="9"/>
      <c r="K42" s="9"/>
      <c r="N42" s="9"/>
      <c r="O42" s="9"/>
      <c r="AG42">
        <v>0</v>
      </c>
      <c r="AH42">
        <v>3.3436396103067895E-2</v>
      </c>
      <c r="AI42">
        <v>480.84176869967473</v>
      </c>
      <c r="AJ42">
        <v>491.20794480849167</v>
      </c>
      <c r="AK42">
        <v>0.65</v>
      </c>
      <c r="AL42">
        <v>0.65</v>
      </c>
      <c r="AM42">
        <f t="shared" si="5"/>
        <v>3.3436396103067896</v>
      </c>
      <c r="AN42">
        <f t="shared" si="6"/>
        <v>0.97889656260983637</v>
      </c>
      <c r="AO42" t="str">
        <f t="shared" si="7"/>
        <v>phi_L: 0.65
phi_R: 0.65</v>
      </c>
    </row>
    <row r="43" spans="1:41" x14ac:dyDescent="0.25">
      <c r="A43" s="3">
        <f t="shared" si="11"/>
        <v>-6</v>
      </c>
      <c r="B43" s="6">
        <f t="shared" si="12"/>
        <v>-12</v>
      </c>
      <c r="C43" s="6">
        <f t="shared" si="15"/>
        <v>-10.020310665110607</v>
      </c>
      <c r="D43" s="6">
        <f t="shared" si="16"/>
        <v>-8.9215118771803823</v>
      </c>
      <c r="AG43">
        <v>0</v>
      </c>
      <c r="AH43">
        <v>3.4165685424949237E-2</v>
      </c>
      <c r="AI43">
        <v>483.2566797429177</v>
      </c>
      <c r="AJ43">
        <v>493.23718858285815</v>
      </c>
      <c r="AK43">
        <v>0.65</v>
      </c>
      <c r="AL43">
        <v>0.65</v>
      </c>
      <c r="AM43">
        <f t="shared" si="5"/>
        <v>3.4165685424949235</v>
      </c>
      <c r="AN43">
        <f t="shared" si="6"/>
        <v>0.97976529533667989</v>
      </c>
      <c r="AO43" t="str">
        <f t="shared" si="7"/>
        <v>phi_L: 0.65
phi_R: 0.65</v>
      </c>
    </row>
    <row r="44" spans="1:41" x14ac:dyDescent="0.25">
      <c r="AG44">
        <v>0</v>
      </c>
      <c r="AH44">
        <v>3.4894974746830579E-2</v>
      </c>
      <c r="AI44">
        <v>485.61237855528339</v>
      </c>
      <c r="AJ44">
        <v>495.21078874395801</v>
      </c>
      <c r="AK44">
        <v>0.65</v>
      </c>
      <c r="AL44">
        <v>0.65</v>
      </c>
      <c r="AM44">
        <f t="shared" si="5"/>
        <v>3.4894974746830578</v>
      </c>
      <c r="AN44">
        <f t="shared" si="6"/>
        <v>0.98061752609829078</v>
      </c>
      <c r="AO44" t="str">
        <f t="shared" si="7"/>
        <v>phi_L: 0.65
phi_R: 0.65</v>
      </c>
    </row>
    <row r="45" spans="1:41" x14ac:dyDescent="0.25">
      <c r="A45" t="s">
        <v>28</v>
      </c>
      <c r="AG45">
        <v>0</v>
      </c>
      <c r="AH45">
        <v>3.5624264068711921E-2</v>
      </c>
      <c r="AI45">
        <v>487.91122685762986</v>
      </c>
      <c r="AJ45">
        <v>497.13111778808235</v>
      </c>
      <c r="AK45">
        <v>0.65</v>
      </c>
      <c r="AL45">
        <v>0.65</v>
      </c>
      <c r="AM45">
        <f t="shared" si="5"/>
        <v>3.5624264068711922</v>
      </c>
      <c r="AN45">
        <f t="shared" si="6"/>
        <v>0.9814538044380019</v>
      </c>
      <c r="AO45" t="str">
        <f t="shared" si="7"/>
        <v>phi_L: 0.65
phi_R: 0.65</v>
      </c>
    </row>
    <row r="46" spans="1:41" x14ac:dyDescent="0.25">
      <c r="B46" s="1" t="s">
        <v>29</v>
      </c>
      <c r="C46" s="1" t="s">
        <v>30</v>
      </c>
      <c r="D46" s="1" t="s">
        <v>31</v>
      </c>
      <c r="E46" s="1" t="s">
        <v>32</v>
      </c>
      <c r="F46" s="1" t="s">
        <v>33</v>
      </c>
      <c r="G46" s="1" t="s">
        <v>34</v>
      </c>
      <c r="H46" s="1" t="s">
        <v>35</v>
      </c>
      <c r="I46" s="1" t="s">
        <v>36</v>
      </c>
      <c r="J46" s="1" t="s">
        <v>37</v>
      </c>
      <c r="K46" s="1" t="s">
        <v>38</v>
      </c>
      <c r="L46" s="1" t="s">
        <v>39</v>
      </c>
      <c r="M46" s="1" t="s">
        <v>40</v>
      </c>
      <c r="N46" s="1" t="s">
        <v>41</v>
      </c>
      <c r="O46" s="1" t="s">
        <v>42</v>
      </c>
      <c r="P46" s="1" t="s">
        <v>43</v>
      </c>
      <c r="AG46">
        <v>0</v>
      </c>
      <c r="AH46">
        <v>3.6353553390593263E-2</v>
      </c>
      <c r="AI46">
        <v>490.15545279227263</v>
      </c>
      <c r="AJ46">
        <v>499.00040859506913</v>
      </c>
      <c r="AK46">
        <v>0.65</v>
      </c>
      <c r="AL46">
        <v>0.65</v>
      </c>
      <c r="AM46">
        <f t="shared" si="5"/>
        <v>3.6353553390593261</v>
      </c>
      <c r="AN46">
        <f t="shared" si="6"/>
        <v>0.98227465218375398</v>
      </c>
      <c r="AO46" t="str">
        <f t="shared" si="7"/>
        <v>phi_L: 0.65
phi_R: 0.65</v>
      </c>
    </row>
    <row r="47" spans="1:41" x14ac:dyDescent="0.25">
      <c r="A47" t="s">
        <v>44</v>
      </c>
      <c r="B47" s="6">
        <f>C37</f>
        <v>-10.020310665110607</v>
      </c>
      <c r="C47" s="6">
        <f>D37</f>
        <v>-8.9215118771803823</v>
      </c>
      <c r="D47" s="6">
        <f t="shared" ref="D47:E52" si="17">C38</f>
        <v>1.1250231026779405</v>
      </c>
      <c r="E47" s="6">
        <f t="shared" si="17"/>
        <v>-13.369155658396714</v>
      </c>
      <c r="F47" s="6">
        <f t="shared" ref="F47:F52" si="18">IF(B47=D47,"V",(C47-E47)/(B47-D47))</f>
        <v>-0.39905882352941252</v>
      </c>
      <c r="G47" s="6">
        <f t="shared" ref="G47:G52" si="19">IF(F47="V",0,(-1*B47*F47)+C47)</f>
        <v>-12.920205262598646</v>
      </c>
      <c r="H47" s="6">
        <f>IF(AND(C47&lt;$G$41,E47&lt;$G$41),0,IF(AND(C47&lt;$G$41,E47&gt;$G$41),IF(F47="V",B47,($G$41-G47)/F47),B47))</f>
        <v>0</v>
      </c>
      <c r="I47" s="6">
        <f>IF(AND(C47&lt;$G$41,E47&lt;$G$41),0,IF(AND(C47&lt;$G$41,E47&gt;$G$41),$G$41,C47))</f>
        <v>0</v>
      </c>
      <c r="J47" s="6">
        <f>IF(AND(C47&lt;$G$41,E47&lt;$G$41),0,IF(E47&gt;=$G$41,D47,IF(F47="V",D47,($G$41-G47)/F47)))</f>
        <v>0</v>
      </c>
      <c r="K47" s="6">
        <f>IF(AND(C47&lt;$G$41,E47&lt;$G$41),0,IF(E47&gt;=$G$41,E47,$G$41))</f>
        <v>0</v>
      </c>
      <c r="L47" s="6">
        <f>IF(AND(I47=0,K47=0,H47=0,J47=0),0,$B$31)</f>
        <v>0</v>
      </c>
      <c r="M47" s="6">
        <f>IF(AND(I47=0,K47=0,H47=0,J47=0),0,$B$31)</f>
        <v>0</v>
      </c>
      <c r="N47" s="10">
        <f>(1/6)*(K47-I47)*((L47*((2*H47)+J47))+(M47*(H47+(2*J47))))</f>
        <v>0</v>
      </c>
      <c r="O47" s="10">
        <f>((1/12)*(K47-I47)*(L47*H47*((3*I47)+K47)+L47*J47*(I47+K47)+M47*H47*(I47+K47)+M47*J47*(I47+(3*K47))))</f>
        <v>0</v>
      </c>
      <c r="P47" s="10">
        <f>((-1/24)*(K47-I47)*(H47*H47*((3*L47)+M47)+2*H47*J47*(L47+M47)+J47*J47*(L47+(3*M47))))</f>
        <v>0</v>
      </c>
      <c r="S47" t="e">
        <f>IF(AND(I47=0,K47=0,H47=0,J47=0),NA(),H47)</f>
        <v>#N/A</v>
      </c>
      <c r="T47" t="e">
        <f>IF(AND(I47=0,K47=0,H47=0,J47=0),NA(),I47)</f>
        <v>#N/A</v>
      </c>
      <c r="V47" t="e">
        <f>IF(AND(I47=0,K47=0,H47=0,J47=0),NA(),J47)</f>
        <v>#N/A</v>
      </c>
      <c r="W47" t="e">
        <f>IF(AND(I47=0,K47=0,H47=0,J47=0),NA(),K47)</f>
        <v>#N/A</v>
      </c>
      <c r="AG47">
        <v>0</v>
      </c>
      <c r="AH47">
        <v>3.7082842712474605E-2</v>
      </c>
      <c r="AI47">
        <v>492.34716077446728</v>
      </c>
      <c r="AJ47">
        <v>500.82076497696977</v>
      </c>
      <c r="AK47">
        <v>0.65</v>
      </c>
      <c r="AL47">
        <v>0.65</v>
      </c>
      <c r="AM47">
        <f t="shared" si="5"/>
        <v>3.7082842712474604</v>
      </c>
      <c r="AN47">
        <f t="shared" si="6"/>
        <v>0.98308056535377053</v>
      </c>
      <c r="AO47" t="str">
        <f t="shared" si="7"/>
        <v>phi_L: 0.65
phi_R: 0.65</v>
      </c>
    </row>
    <row r="48" spans="1:41" x14ac:dyDescent="0.25">
      <c r="A48" t="s">
        <v>45</v>
      </c>
      <c r="B48" s="6">
        <f t="shared" ref="B48:C52" si="20">D47</f>
        <v>1.1250231026779405</v>
      </c>
      <c r="C48" s="6">
        <f t="shared" si="20"/>
        <v>-13.369155658396714</v>
      </c>
      <c r="D48" s="6">
        <f t="shared" si="17"/>
        <v>7.055214810966385</v>
      </c>
      <c r="E48" s="6">
        <f t="shared" si="17"/>
        <v>1.4912893653213493</v>
      </c>
      <c r="F48" s="6">
        <f t="shared" si="18"/>
        <v>2.5058962264150892</v>
      </c>
      <c r="G48" s="6">
        <f t="shared" si="19"/>
        <v>-16.188346806027162</v>
      </c>
      <c r="H48" s="6">
        <f t="shared" ref="H48:H52" si="21">IF(AND(C48&lt;$G$41,E48&lt;$G$41),0,IF(AND(C48&lt;$G$41,E48&gt;$G$41),IF(F48="V",B48,($G$41-G48)/F48),B48))</f>
        <v>0</v>
      </c>
      <c r="I48" s="6">
        <f t="shared" ref="I48:I52" si="22">IF(AND(C48&lt;$G$41,E48&lt;$G$41),0,IF(AND(C48&lt;$G$41,E48&gt;$G$41),$G$41,C48))</f>
        <v>0</v>
      </c>
      <c r="J48" s="6">
        <f t="shared" ref="J48:J52" si="23">IF(AND(C48&lt;$G$41,E48&lt;$G$41),0,IF(E48&gt;=$G$41,D48,IF(F48="V",D48,($G$41-G48)/F48)))</f>
        <v>0</v>
      </c>
      <c r="K48" s="6">
        <f t="shared" ref="K48:K52" si="24">IF(AND(C48&lt;$G$41,E48&lt;$G$41),0,IF(E48&gt;=$G$41,E48,$G$41))</f>
        <v>0</v>
      </c>
      <c r="L48" s="6">
        <f t="shared" ref="L48:L52" si="25">IF(AND(I48=0,K48=0,H48=0,J48=0),0,$B$31)</f>
        <v>0</v>
      </c>
      <c r="M48" s="6">
        <f t="shared" ref="M48:M52" si="26">IF(AND(I48=0,K48=0,H48=0,J48=0),0,$B$31)</f>
        <v>0</v>
      </c>
      <c r="N48" s="10">
        <f t="shared" ref="N48:N52" si="27">(1/6)*(K48-I48)*((L48*((2*H48)+J48))+(M48*(H48+(2*J48))))</f>
        <v>0</v>
      </c>
      <c r="O48" s="10">
        <f t="shared" ref="O48:O52" si="28">((1/12)*(K48-I48)*(L48*H48*((3*I48)+K48)+L48*J48*(I48+K48)+M48*H48*(I48+K48)+M48*J48*(I48+(3*K48))))</f>
        <v>0</v>
      </c>
      <c r="P48" s="10">
        <f t="shared" ref="P48:P52" si="29">((-1/24)*(K48-I48)*(H48*H48*((3*L48)+M48)+2*H48*J48*(L48+M48)+J48*J48*(L48+(3*M48))))</f>
        <v>0</v>
      </c>
      <c r="S48" t="e">
        <f t="shared" ref="S48:S52" si="30">IF(AND(I48=0,K48=0,H48=0,J48=0),NA(),H48)</f>
        <v>#N/A</v>
      </c>
      <c r="T48" t="e">
        <f t="shared" ref="T48:T52" si="31">IF(AND(I48=0,K48=0,H48=0,J48=0),NA(),I48)</f>
        <v>#N/A</v>
      </c>
      <c r="V48" t="e">
        <f t="shared" ref="V48:V52" si="32">IF(AND(I48=0,K48=0,H48=0,J48=0),NA(),J48)</f>
        <v>#N/A</v>
      </c>
      <c r="W48" t="e">
        <f t="shared" ref="W48:W52" si="33">IF(AND(I48=0,K48=0,H48=0,J48=0),NA(),K48)</f>
        <v>#N/A</v>
      </c>
      <c r="AD48" t="str">
        <f>_xlfn.CONCAT("% As,",L_Section_Capacity!$F$26)</f>
        <v>% As,web</v>
      </c>
      <c r="AG48">
        <v>0</v>
      </c>
      <c r="AH48">
        <v>3.7812132034355947E-2</v>
      </c>
      <c r="AI48">
        <v>494.4883404481626</v>
      </c>
      <c r="AJ48">
        <v>502.59417125270863</v>
      </c>
      <c r="AK48">
        <v>0.65</v>
      </c>
      <c r="AL48">
        <v>0.65</v>
      </c>
      <c r="AM48">
        <f t="shared" si="5"/>
        <v>3.7812132034355947</v>
      </c>
      <c r="AN48">
        <f t="shared" si="6"/>
        <v>0.98387201589635953</v>
      </c>
      <c r="AO48" t="str">
        <f t="shared" si="7"/>
        <v>phi_L: 0.65
phi_R: 0.65</v>
      </c>
    </row>
    <row r="49" spans="1:41" x14ac:dyDescent="0.25">
      <c r="A49" t="s">
        <v>46</v>
      </c>
      <c r="B49" s="6">
        <f t="shared" si="20"/>
        <v>7.055214810966385</v>
      </c>
      <c r="C49" s="6">
        <f t="shared" si="20"/>
        <v>1.4912893653213493</v>
      </c>
      <c r="D49" s="6">
        <f t="shared" si="17"/>
        <v>40.491216114332033</v>
      </c>
      <c r="E49" s="6">
        <f t="shared" si="17"/>
        <v>-11.851641978327651</v>
      </c>
      <c r="F49" s="6">
        <f t="shared" si="18"/>
        <v>-0.39905882352941252</v>
      </c>
      <c r="G49" s="6">
        <f t="shared" si="19"/>
        <v>4.306735087532882</v>
      </c>
      <c r="H49" s="6">
        <f t="shared" si="21"/>
        <v>0</v>
      </c>
      <c r="I49" s="6">
        <f t="shared" si="22"/>
        <v>0</v>
      </c>
      <c r="J49" s="6">
        <f t="shared" si="23"/>
        <v>0</v>
      </c>
      <c r="K49" s="6">
        <f t="shared" si="24"/>
        <v>0</v>
      </c>
      <c r="L49" s="6">
        <f t="shared" si="25"/>
        <v>0</v>
      </c>
      <c r="M49" s="6">
        <f t="shared" si="26"/>
        <v>0</v>
      </c>
      <c r="N49" s="10">
        <f t="shared" si="27"/>
        <v>0</v>
      </c>
      <c r="O49" s="10">
        <f t="shared" si="28"/>
        <v>0</v>
      </c>
      <c r="P49" s="10">
        <f t="shared" si="29"/>
        <v>0</v>
      </c>
      <c r="S49" t="e">
        <f t="shared" si="30"/>
        <v>#N/A</v>
      </c>
      <c r="T49" t="e">
        <f t="shared" si="31"/>
        <v>#N/A</v>
      </c>
      <c r="V49" t="e">
        <f t="shared" si="32"/>
        <v>#N/A</v>
      </c>
      <c r="W49" t="e">
        <f t="shared" si="33"/>
        <v>#N/A</v>
      </c>
      <c r="AG49">
        <v>0</v>
      </c>
      <c r="AH49">
        <v>3.8541421356237289E-2</v>
      </c>
      <c r="AI49">
        <v>496.58087484258044</v>
      </c>
      <c r="AJ49">
        <v>504.32250095481118</v>
      </c>
      <c r="AK49">
        <v>0.65</v>
      </c>
      <c r="AL49">
        <v>0.65</v>
      </c>
      <c r="AM49">
        <f t="shared" si="5"/>
        <v>3.8541421356237291</v>
      </c>
      <c r="AN49">
        <f t="shared" si="6"/>
        <v>0.98464945328123599</v>
      </c>
      <c r="AO49" t="str">
        <f t="shared" si="7"/>
        <v>phi_L: 0.65
phi_R: 0.65</v>
      </c>
    </row>
    <row r="50" spans="1:41" x14ac:dyDescent="0.25">
      <c r="A50" t="s">
        <v>47</v>
      </c>
      <c r="B50" s="6">
        <f t="shared" si="20"/>
        <v>40.491216114332033</v>
      </c>
      <c r="C50" s="6">
        <f t="shared" si="20"/>
        <v>-11.851641978327651</v>
      </c>
      <c r="D50" s="6">
        <f t="shared" si="17"/>
        <v>43.456311968476257</v>
      </c>
      <c r="E50" s="6">
        <f t="shared" si="17"/>
        <v>-4.4214194664686186</v>
      </c>
      <c r="F50" s="6">
        <f t="shared" si="18"/>
        <v>2.5058962264150879</v>
      </c>
      <c r="G50" s="6">
        <f t="shared" si="19"/>
        <v>-113.31842764219009</v>
      </c>
      <c r="H50" s="6">
        <f t="shared" si="21"/>
        <v>0</v>
      </c>
      <c r="I50" s="6">
        <f t="shared" si="22"/>
        <v>0</v>
      </c>
      <c r="J50" s="6">
        <f t="shared" si="23"/>
        <v>0</v>
      </c>
      <c r="K50" s="6">
        <f t="shared" si="24"/>
        <v>0</v>
      </c>
      <c r="L50" s="6">
        <f t="shared" si="25"/>
        <v>0</v>
      </c>
      <c r="M50" s="6">
        <f t="shared" si="26"/>
        <v>0</v>
      </c>
      <c r="N50" s="10">
        <f t="shared" si="27"/>
        <v>0</v>
      </c>
      <c r="O50" s="10">
        <f t="shared" si="28"/>
        <v>0</v>
      </c>
      <c r="P50" s="10">
        <f t="shared" si="29"/>
        <v>0</v>
      </c>
      <c r="S50" t="e">
        <f t="shared" si="30"/>
        <v>#N/A</v>
      </c>
      <c r="T50" t="e">
        <f t="shared" si="31"/>
        <v>#N/A</v>
      </c>
      <c r="V50" t="e">
        <f t="shared" si="32"/>
        <v>#N/A</v>
      </c>
      <c r="W50" t="e">
        <f t="shared" si="33"/>
        <v>#N/A</v>
      </c>
      <c r="AG50">
        <v>0</v>
      </c>
      <c r="AH50">
        <v>3.9270710678118631E-2</v>
      </c>
      <c r="AI50">
        <v>498.62654781417268</v>
      </c>
      <c r="AJ50">
        <v>506.00752476101121</v>
      </c>
      <c r="AK50">
        <v>0.65</v>
      </c>
      <c r="AL50">
        <v>0.65</v>
      </c>
      <c r="AM50">
        <f t="shared" si="5"/>
        <v>3.927071067811863</v>
      </c>
      <c r="AN50">
        <f t="shared" si="6"/>
        <v>0.9854133059576049</v>
      </c>
      <c r="AO50" t="str">
        <f t="shared" si="7"/>
        <v>phi_L: 0.65
phi_R: 0.65</v>
      </c>
    </row>
    <row r="51" spans="1:41" x14ac:dyDescent="0.25">
      <c r="A51" t="s">
        <v>48</v>
      </c>
      <c r="B51" s="6">
        <f t="shared" si="20"/>
        <v>43.456311968476257</v>
      </c>
      <c r="C51" s="6">
        <f t="shared" si="20"/>
        <v>-4.4214194664686186</v>
      </c>
      <c r="D51" s="6">
        <f t="shared" si="17"/>
        <v>-1.1250231026779405</v>
      </c>
      <c r="E51" s="6">
        <f t="shared" si="17"/>
        <v>13.369155658396714</v>
      </c>
      <c r="F51" s="6">
        <f t="shared" si="18"/>
        <v>-0.39905882352941258</v>
      </c>
      <c r="G51" s="6">
        <f t="shared" si="19"/>
        <v>12.920205262598648</v>
      </c>
      <c r="H51" s="6">
        <f t="shared" si="21"/>
        <v>15.592977549004864</v>
      </c>
      <c r="I51" s="6">
        <f t="shared" si="22"/>
        <v>6.6976899865722235</v>
      </c>
      <c r="J51" s="6">
        <f t="shared" si="23"/>
        <v>-1.1250231026779405</v>
      </c>
      <c r="K51" s="6">
        <f t="shared" si="24"/>
        <v>13.369155658396714</v>
      </c>
      <c r="L51" s="6">
        <f t="shared" si="25"/>
        <v>4.25</v>
      </c>
      <c r="M51" s="6">
        <f t="shared" si="26"/>
        <v>4.25</v>
      </c>
      <c r="N51" s="10">
        <f t="shared" si="27"/>
        <v>205.11023053915494</v>
      </c>
      <c r="O51" s="10">
        <f t="shared" si="28"/>
        <v>1794.4249550834104</v>
      </c>
      <c r="P51" s="10">
        <f t="shared" si="29"/>
        <v>-1072.0741836677321</v>
      </c>
      <c r="S51">
        <f t="shared" si="30"/>
        <v>15.592977549004864</v>
      </c>
      <c r="T51">
        <f t="shared" si="31"/>
        <v>6.6976899865722235</v>
      </c>
      <c r="V51">
        <f t="shared" si="32"/>
        <v>-1.1250231026779405</v>
      </c>
      <c r="W51">
        <f t="shared" si="33"/>
        <v>13.369155658396714</v>
      </c>
      <c r="AG51">
        <v>0</v>
      </c>
      <c r="AH51">
        <v>3.9999999999999973E-2</v>
      </c>
      <c r="AI51">
        <v>500.62705084819919</v>
      </c>
      <c r="AJ51">
        <v>507.65091773213959</v>
      </c>
      <c r="AK51">
        <v>0.65</v>
      </c>
      <c r="AL51">
        <v>0.65</v>
      </c>
      <c r="AM51">
        <f t="shared" si="5"/>
        <v>3.9999999999999973</v>
      </c>
      <c r="AN51">
        <f t="shared" si="6"/>
        <v>0.98616398269244043</v>
      </c>
      <c r="AO51" t="str">
        <f t="shared" si="7"/>
        <v>phi_L: 0.65
phi_R: 0.65</v>
      </c>
    </row>
    <row r="52" spans="1:41" ht="15.75" thickBot="1" x14ac:dyDescent="0.3">
      <c r="A52" t="s">
        <v>49</v>
      </c>
      <c r="B52" s="6">
        <f t="shared" si="20"/>
        <v>-1.1250231026779405</v>
      </c>
      <c r="C52" s="6">
        <f t="shared" si="20"/>
        <v>13.369155658396714</v>
      </c>
      <c r="D52" s="6">
        <f t="shared" si="17"/>
        <v>-10.020310665110607</v>
      </c>
      <c r="E52" s="6">
        <f t="shared" si="17"/>
        <v>-8.9215118771803823</v>
      </c>
      <c r="F52" s="6">
        <f t="shared" si="18"/>
        <v>2.5058962264150888</v>
      </c>
      <c r="G52" s="6">
        <f t="shared" si="19"/>
        <v>16.188346806027159</v>
      </c>
      <c r="H52" s="6">
        <f t="shared" si="21"/>
        <v>-1.1250231026779405</v>
      </c>
      <c r="I52" s="6">
        <f t="shared" si="22"/>
        <v>13.369155658396714</v>
      </c>
      <c r="J52" s="6">
        <f t="shared" si="23"/>
        <v>-3.7873303448930837</v>
      </c>
      <c r="K52" s="6">
        <f t="shared" si="24"/>
        <v>6.6976899865722235</v>
      </c>
      <c r="L52" s="6">
        <f t="shared" si="25"/>
        <v>4.25</v>
      </c>
      <c r="M52" s="6">
        <f t="shared" si="26"/>
        <v>4.25</v>
      </c>
      <c r="N52" s="11">
        <f t="shared" si="27"/>
        <v>69.641769460844884</v>
      </c>
      <c r="O52" s="11">
        <f t="shared" si="28"/>
        <v>656.77827619565369</v>
      </c>
      <c r="P52" s="11">
        <f t="shared" si="29"/>
        <v>93.899905962015822</v>
      </c>
      <c r="S52">
        <f t="shared" si="30"/>
        <v>-1.1250231026779405</v>
      </c>
      <c r="T52">
        <f t="shared" si="31"/>
        <v>13.369155658396714</v>
      </c>
      <c r="V52">
        <f t="shared" si="32"/>
        <v>-3.7873303448930837</v>
      </c>
      <c r="W52">
        <f t="shared" si="33"/>
        <v>6.6976899865722235</v>
      </c>
    </row>
    <row r="53" spans="1:41" ht="15.75" thickTop="1" x14ac:dyDescent="0.25">
      <c r="N53" s="6">
        <f>SUM(N47:N52)</f>
        <v>274.75199999999984</v>
      </c>
      <c r="O53" s="6">
        <f t="shared" ref="O53:P53" si="34">SUM(O47:O52)</f>
        <v>2451.2032312790643</v>
      </c>
      <c r="P53" s="6">
        <f t="shared" si="34"/>
        <v>-978.17427770571624</v>
      </c>
    </row>
    <row r="55" spans="1:41" x14ac:dyDescent="0.25">
      <c r="A55" t="s">
        <v>56</v>
      </c>
    </row>
    <row r="57" spans="1:41" x14ac:dyDescent="0.25">
      <c r="A57">
        <f>A14</f>
        <v>0</v>
      </c>
      <c r="B57" s="1" t="str">
        <f t="shared" ref="B57:D57" si="35">B14</f>
        <v>Bar #</v>
      </c>
      <c r="C57" s="1" t="str">
        <f t="shared" si="35"/>
        <v>As (in^2)</v>
      </c>
      <c r="D57" s="1" t="str">
        <f t="shared" si="35"/>
        <v>x</v>
      </c>
      <c r="E57" s="1" t="str">
        <f>E14</f>
        <v>y</v>
      </c>
      <c r="F57" s="1" t="s">
        <v>57</v>
      </c>
      <c r="G57" s="1" t="s">
        <v>58</v>
      </c>
      <c r="H57" s="1" t="s">
        <v>22</v>
      </c>
      <c r="I57" s="1" t="s">
        <v>23</v>
      </c>
      <c r="J57" s="1" t="s">
        <v>59</v>
      </c>
      <c r="K57" s="1" t="s">
        <v>60</v>
      </c>
      <c r="L57" s="1" t="s">
        <v>61</v>
      </c>
      <c r="M57" s="1" t="s">
        <v>62</v>
      </c>
      <c r="N57" s="1" t="s">
        <v>63</v>
      </c>
      <c r="O57" s="1" t="s">
        <v>64</v>
      </c>
    </row>
    <row r="58" spans="1:41" x14ac:dyDescent="0.25">
      <c r="A58">
        <f t="shared" ref="A58:D67" si="36">A15</f>
        <v>1</v>
      </c>
      <c r="B58" s="1" t="str">
        <f t="shared" si="36"/>
        <v>p1</v>
      </c>
      <c r="C58" s="1">
        <f t="shared" ca="1" si="36"/>
        <v>4.1976000000000004</v>
      </c>
      <c r="D58" s="1">
        <f t="shared" si="36"/>
        <v>6</v>
      </c>
      <c r="E58" s="1">
        <f t="shared" ref="E58" si="37">E15</f>
        <v>2</v>
      </c>
      <c r="F58" s="1">
        <f>D58-$I$2</f>
        <v>0</v>
      </c>
      <c r="G58" s="1">
        <f>E58-$I$3</f>
        <v>-10</v>
      </c>
      <c r="H58" s="6">
        <f>F58*COS($B$27)+G58*SIN($B$27)</f>
        <v>-3.7063698176802777</v>
      </c>
      <c r="I58" s="6">
        <f>-1*F58*SIN($B$27)+G58*COS($B$27)</f>
        <v>-9.2877781398237893</v>
      </c>
      <c r="J58" s="6">
        <f>$G$38-I58</f>
        <v>22.656933798220503</v>
      </c>
      <c r="K58">
        <f ca="1">IF($B$28=0,-1,IF(C58=0,0,(($B$28-J58)/$B$28)*$B$30)*IF($B$28&lt;0,-1,1))</f>
        <v>-5.1506289308176053E-3</v>
      </c>
      <c r="L58">
        <f ca="1">IF(AND(K58&gt;0,J58&lt;=$B$29),MIN((K58*B$13),B$12)-$B$31,MAX(K58*B$13,-1*B$12))</f>
        <v>-60</v>
      </c>
      <c r="M58" s="6">
        <f ca="1">L58*C58</f>
        <v>-251.85600000000002</v>
      </c>
      <c r="N58" s="6">
        <f ca="1">M58*I58</f>
        <v>2339.1826511834606</v>
      </c>
      <c r="O58" s="6">
        <f ca="1">M58*H58*-1</f>
        <v>-933.47147680168416</v>
      </c>
      <c r="Q58">
        <f>IF($B58=0,NA(),H58)</f>
        <v>-3.7063698176802777</v>
      </c>
      <c r="R58">
        <f>IF($B58=0,NA(),I58)</f>
        <v>-9.2877781398237893</v>
      </c>
    </row>
    <row r="59" spans="1:41" x14ac:dyDescent="0.25">
      <c r="A59">
        <f t="shared" si="36"/>
        <v>2</v>
      </c>
      <c r="B59" s="1">
        <f t="shared" si="36"/>
        <v>0</v>
      </c>
      <c r="C59" s="1">
        <f t="shared" ca="1" si="36"/>
        <v>0</v>
      </c>
      <c r="D59" s="1">
        <f t="shared" si="36"/>
        <v>0</v>
      </c>
      <c r="E59" s="1">
        <f t="shared" ref="E59" si="38">E16</f>
        <v>0</v>
      </c>
      <c r="F59" s="1">
        <f t="shared" ref="F59:F67" si="39">D59-$I$2</f>
        <v>-6</v>
      </c>
      <c r="G59" s="1">
        <f t="shared" ref="G59:G67" si="40">E59-$I$3</f>
        <v>-12</v>
      </c>
      <c r="H59" s="6">
        <f t="shared" ref="H59:H67" si="41">F59*COS($B$27)+G59*SIN($B$27)</f>
        <v>-10.020310665110607</v>
      </c>
      <c r="I59" s="6">
        <f t="shared" ref="I59:I67" si="42">-1*F59*SIN($B$27)+G59*COS($B$27)</f>
        <v>-8.9215118771803823</v>
      </c>
      <c r="J59" s="6">
        <f t="shared" ref="J59:J67" si="43">$G$38-I59</f>
        <v>22.290667535577096</v>
      </c>
      <c r="K59">
        <f t="shared" ref="K59:K67" ca="1" si="44">IF($B$28=0,-1,IF(C59=0,0,(($B$28-J59)/$B$28)*$B$30)*IF($B$28&lt;0,-1,1))</f>
        <v>0</v>
      </c>
      <c r="L59">
        <f t="shared" ref="L59:L67" ca="1" si="45">IF(AND(K59&gt;0,J59&lt;=$B$29),MIN((K59*B$13),B$12)-$B$31,MAX(K59*B$13,-1*B$12))</f>
        <v>0</v>
      </c>
      <c r="M59" s="6">
        <f t="shared" ref="M59:M67" ca="1" si="46">L59*C59</f>
        <v>0</v>
      </c>
      <c r="N59" s="6">
        <f t="shared" ref="N59:N67" ca="1" si="47">M59*I59</f>
        <v>0</v>
      </c>
      <c r="O59" s="6">
        <f t="shared" ref="O59:O67" ca="1" si="48">M59*H59*-1</f>
        <v>0</v>
      </c>
      <c r="Q59" t="e">
        <f t="shared" ref="Q59:Q67" si="49">IF($B59=0,NA(),H59)</f>
        <v>#N/A</v>
      </c>
      <c r="R59" t="e">
        <f t="shared" ref="R59:R67" si="50">IF($B59=0,NA(),I59)</f>
        <v>#N/A</v>
      </c>
    </row>
    <row r="60" spans="1:41" x14ac:dyDescent="0.25">
      <c r="A60">
        <f t="shared" si="36"/>
        <v>3</v>
      </c>
      <c r="B60" s="1">
        <f t="shared" si="36"/>
        <v>0</v>
      </c>
      <c r="C60" s="1">
        <f t="shared" ca="1" si="36"/>
        <v>0</v>
      </c>
      <c r="D60" s="1">
        <f t="shared" si="36"/>
        <v>0</v>
      </c>
      <c r="E60" s="1">
        <f t="shared" ref="E60" si="51">E17</f>
        <v>0</v>
      </c>
      <c r="F60" s="1">
        <f t="shared" si="39"/>
        <v>-6</v>
      </c>
      <c r="G60" s="1">
        <f t="shared" si="40"/>
        <v>-12</v>
      </c>
      <c r="H60" s="6">
        <f t="shared" si="41"/>
        <v>-10.020310665110607</v>
      </c>
      <c r="I60" s="6">
        <f t="shared" si="42"/>
        <v>-8.9215118771803823</v>
      </c>
      <c r="J60" s="6">
        <f t="shared" si="43"/>
        <v>22.290667535577096</v>
      </c>
      <c r="K60">
        <f t="shared" ca="1" si="44"/>
        <v>0</v>
      </c>
      <c r="L60">
        <f t="shared" ca="1" si="45"/>
        <v>0</v>
      </c>
      <c r="M60" s="6">
        <f t="shared" ca="1" si="46"/>
        <v>0</v>
      </c>
      <c r="N60" s="6">
        <f t="shared" ca="1" si="47"/>
        <v>0</v>
      </c>
      <c r="O60" s="6">
        <f t="shared" ca="1" si="48"/>
        <v>0</v>
      </c>
      <c r="Q60" t="e">
        <f t="shared" si="49"/>
        <v>#N/A</v>
      </c>
      <c r="R60" t="e">
        <f t="shared" si="50"/>
        <v>#N/A</v>
      </c>
    </row>
    <row r="61" spans="1:41" x14ac:dyDescent="0.25">
      <c r="A61">
        <f t="shared" si="36"/>
        <v>4</v>
      </c>
      <c r="B61" s="1">
        <f t="shared" si="36"/>
        <v>0</v>
      </c>
      <c r="C61" s="1">
        <f t="shared" ca="1" si="36"/>
        <v>0</v>
      </c>
      <c r="D61" s="1">
        <f t="shared" si="36"/>
        <v>0</v>
      </c>
      <c r="E61" s="1">
        <f t="shared" ref="E61" si="52">E18</f>
        <v>0</v>
      </c>
      <c r="F61" s="1">
        <f t="shared" si="39"/>
        <v>-6</v>
      </c>
      <c r="G61" s="1">
        <f t="shared" si="40"/>
        <v>-12</v>
      </c>
      <c r="H61" s="6">
        <f t="shared" si="41"/>
        <v>-10.020310665110607</v>
      </c>
      <c r="I61" s="6">
        <f t="shared" si="42"/>
        <v>-8.9215118771803823</v>
      </c>
      <c r="J61" s="6">
        <f t="shared" si="43"/>
        <v>22.290667535577096</v>
      </c>
      <c r="K61">
        <f t="shared" ca="1" si="44"/>
        <v>0</v>
      </c>
      <c r="L61">
        <f t="shared" ca="1" si="45"/>
        <v>0</v>
      </c>
      <c r="M61" s="6">
        <f t="shared" ca="1" si="46"/>
        <v>0</v>
      </c>
      <c r="N61" s="6">
        <f t="shared" ca="1" si="47"/>
        <v>0</v>
      </c>
      <c r="O61" s="6">
        <f t="shared" ca="1" si="48"/>
        <v>0</v>
      </c>
      <c r="Q61" t="e">
        <f t="shared" si="49"/>
        <v>#N/A</v>
      </c>
      <c r="R61" t="e">
        <f t="shared" si="50"/>
        <v>#N/A</v>
      </c>
    </row>
    <row r="62" spans="1:41" x14ac:dyDescent="0.25">
      <c r="A62">
        <f t="shared" si="36"/>
        <v>5</v>
      </c>
      <c r="B62" s="1">
        <f t="shared" si="36"/>
        <v>0</v>
      </c>
      <c r="C62" s="1">
        <f t="shared" ca="1" si="36"/>
        <v>0</v>
      </c>
      <c r="D62" s="1">
        <f t="shared" si="36"/>
        <v>0</v>
      </c>
      <c r="E62" s="1">
        <f t="shared" ref="E62" si="53">E19</f>
        <v>0</v>
      </c>
      <c r="F62" s="1">
        <f t="shared" si="39"/>
        <v>-6</v>
      </c>
      <c r="G62" s="1">
        <f t="shared" si="40"/>
        <v>-12</v>
      </c>
      <c r="H62" s="6">
        <f t="shared" si="41"/>
        <v>-10.020310665110607</v>
      </c>
      <c r="I62" s="6">
        <f t="shared" si="42"/>
        <v>-8.9215118771803823</v>
      </c>
      <c r="J62" s="6">
        <f t="shared" si="43"/>
        <v>22.290667535577096</v>
      </c>
      <c r="K62">
        <f t="shared" ca="1" si="44"/>
        <v>0</v>
      </c>
      <c r="L62">
        <f t="shared" ca="1" si="45"/>
        <v>0</v>
      </c>
      <c r="M62" s="6">
        <f t="shared" ca="1" si="46"/>
        <v>0</v>
      </c>
      <c r="N62" s="6">
        <f t="shared" ca="1" si="47"/>
        <v>0</v>
      </c>
      <c r="O62" s="6">
        <f t="shared" ca="1" si="48"/>
        <v>0</v>
      </c>
      <c r="Q62" t="e">
        <f t="shared" si="49"/>
        <v>#N/A</v>
      </c>
      <c r="R62" t="e">
        <f t="shared" si="50"/>
        <v>#N/A</v>
      </c>
    </row>
    <row r="63" spans="1:41" x14ac:dyDescent="0.25">
      <c r="A63">
        <f t="shared" si="36"/>
        <v>6</v>
      </c>
      <c r="B63" s="1">
        <f t="shared" si="36"/>
        <v>0</v>
      </c>
      <c r="C63" s="1">
        <f t="shared" ca="1" si="36"/>
        <v>0</v>
      </c>
      <c r="D63" s="1">
        <f t="shared" si="36"/>
        <v>0</v>
      </c>
      <c r="E63" s="1">
        <f t="shared" ref="E63" si="54">E20</f>
        <v>0</v>
      </c>
      <c r="F63" s="1">
        <f t="shared" si="39"/>
        <v>-6</v>
      </c>
      <c r="G63" s="1">
        <f t="shared" si="40"/>
        <v>-12</v>
      </c>
      <c r="H63" s="6">
        <f t="shared" si="41"/>
        <v>-10.020310665110607</v>
      </c>
      <c r="I63" s="6">
        <f t="shared" si="42"/>
        <v>-8.9215118771803823</v>
      </c>
      <c r="J63" s="6">
        <f t="shared" si="43"/>
        <v>22.290667535577096</v>
      </c>
      <c r="K63">
        <f t="shared" ca="1" si="44"/>
        <v>0</v>
      </c>
      <c r="L63">
        <f t="shared" ca="1" si="45"/>
        <v>0</v>
      </c>
      <c r="M63" s="6">
        <f t="shared" ca="1" si="46"/>
        <v>0</v>
      </c>
      <c r="N63" s="6">
        <f t="shared" ca="1" si="47"/>
        <v>0</v>
      </c>
      <c r="O63" s="6">
        <f t="shared" ca="1" si="48"/>
        <v>0</v>
      </c>
      <c r="Q63" t="e">
        <f t="shared" si="49"/>
        <v>#N/A</v>
      </c>
      <c r="R63" t="e">
        <f t="shared" si="50"/>
        <v>#N/A</v>
      </c>
    </row>
    <row r="64" spans="1:41" x14ac:dyDescent="0.25">
      <c r="A64">
        <f>A21</f>
        <v>7</v>
      </c>
      <c r="B64" s="1">
        <f t="shared" ref="B64:D64" si="55">B21</f>
        <v>0</v>
      </c>
      <c r="C64" s="1">
        <f t="shared" ca="1" si="55"/>
        <v>0</v>
      </c>
      <c r="D64" s="1">
        <f t="shared" si="55"/>
        <v>0</v>
      </c>
      <c r="E64" s="1">
        <f>E21</f>
        <v>0</v>
      </c>
      <c r="F64" s="1">
        <f t="shared" si="39"/>
        <v>-6</v>
      </c>
      <c r="G64" s="1">
        <f t="shared" si="40"/>
        <v>-12</v>
      </c>
      <c r="H64" s="6">
        <f t="shared" si="41"/>
        <v>-10.020310665110607</v>
      </c>
      <c r="I64" s="6">
        <f t="shared" si="42"/>
        <v>-8.9215118771803823</v>
      </c>
      <c r="J64" s="6">
        <f t="shared" si="43"/>
        <v>22.290667535577096</v>
      </c>
      <c r="K64">
        <f t="shared" ca="1" si="44"/>
        <v>0</v>
      </c>
      <c r="L64">
        <f t="shared" ca="1" si="45"/>
        <v>0</v>
      </c>
      <c r="M64" s="6">
        <f t="shared" ca="1" si="46"/>
        <v>0</v>
      </c>
      <c r="N64" s="6">
        <f t="shared" ca="1" si="47"/>
        <v>0</v>
      </c>
      <c r="O64" s="6">
        <f t="shared" ca="1" si="48"/>
        <v>0</v>
      </c>
      <c r="Q64" t="e">
        <f t="shared" si="49"/>
        <v>#N/A</v>
      </c>
      <c r="R64" t="e">
        <f t="shared" si="50"/>
        <v>#N/A</v>
      </c>
    </row>
    <row r="65" spans="1:18" x14ac:dyDescent="0.25">
      <c r="A65">
        <f t="shared" si="36"/>
        <v>8</v>
      </c>
      <c r="B65" s="1">
        <f t="shared" si="36"/>
        <v>0</v>
      </c>
      <c r="C65" s="1">
        <f t="shared" ca="1" si="36"/>
        <v>0</v>
      </c>
      <c r="D65" s="1">
        <f t="shared" si="36"/>
        <v>0</v>
      </c>
      <c r="E65" s="1">
        <f t="shared" ref="E65" si="56">E22</f>
        <v>0</v>
      </c>
      <c r="F65" s="1">
        <f t="shared" si="39"/>
        <v>-6</v>
      </c>
      <c r="G65" s="1">
        <f t="shared" si="40"/>
        <v>-12</v>
      </c>
      <c r="H65" s="6">
        <f t="shared" si="41"/>
        <v>-10.020310665110607</v>
      </c>
      <c r="I65" s="6">
        <f t="shared" si="42"/>
        <v>-8.9215118771803823</v>
      </c>
      <c r="J65" s="6">
        <f t="shared" si="43"/>
        <v>22.290667535577096</v>
      </c>
      <c r="K65">
        <f t="shared" ca="1" si="44"/>
        <v>0</v>
      </c>
      <c r="L65">
        <f t="shared" ca="1" si="45"/>
        <v>0</v>
      </c>
      <c r="M65" s="6">
        <f t="shared" ca="1" si="46"/>
        <v>0</v>
      </c>
      <c r="N65" s="6">
        <f t="shared" ca="1" si="47"/>
        <v>0</v>
      </c>
      <c r="O65" s="6">
        <f t="shared" ca="1" si="48"/>
        <v>0</v>
      </c>
      <c r="Q65" t="e">
        <f t="shared" si="49"/>
        <v>#N/A</v>
      </c>
      <c r="R65" t="e">
        <f t="shared" si="50"/>
        <v>#N/A</v>
      </c>
    </row>
    <row r="66" spans="1:18" x14ac:dyDescent="0.25">
      <c r="A66">
        <f t="shared" si="36"/>
        <v>9</v>
      </c>
      <c r="B66" s="1">
        <f t="shared" si="36"/>
        <v>0</v>
      </c>
      <c r="C66" s="1">
        <f t="shared" ca="1" si="36"/>
        <v>0</v>
      </c>
      <c r="D66" s="1">
        <f t="shared" si="36"/>
        <v>0</v>
      </c>
      <c r="E66" s="1">
        <f t="shared" ref="E66" si="57">E23</f>
        <v>0</v>
      </c>
      <c r="F66" s="1">
        <f t="shared" si="39"/>
        <v>-6</v>
      </c>
      <c r="G66" s="1">
        <f t="shared" si="40"/>
        <v>-12</v>
      </c>
      <c r="H66" s="6">
        <f t="shared" si="41"/>
        <v>-10.020310665110607</v>
      </c>
      <c r="I66" s="6">
        <f t="shared" si="42"/>
        <v>-8.9215118771803823</v>
      </c>
      <c r="J66" s="6">
        <f t="shared" si="43"/>
        <v>22.290667535577096</v>
      </c>
      <c r="K66">
        <f t="shared" ca="1" si="44"/>
        <v>0</v>
      </c>
      <c r="L66">
        <f t="shared" ca="1" si="45"/>
        <v>0</v>
      </c>
      <c r="M66" s="6">
        <f t="shared" ca="1" si="46"/>
        <v>0</v>
      </c>
      <c r="N66" s="6">
        <f t="shared" ca="1" si="47"/>
        <v>0</v>
      </c>
      <c r="O66" s="6">
        <f t="shared" ca="1" si="48"/>
        <v>0</v>
      </c>
      <c r="Q66" t="e">
        <f t="shared" si="49"/>
        <v>#N/A</v>
      </c>
      <c r="R66" t="e">
        <f t="shared" si="50"/>
        <v>#N/A</v>
      </c>
    </row>
    <row r="67" spans="1:18" ht="15.75" thickBot="1" x14ac:dyDescent="0.3">
      <c r="A67">
        <f t="shared" si="36"/>
        <v>10</v>
      </c>
      <c r="B67" s="1">
        <f t="shared" si="36"/>
        <v>0</v>
      </c>
      <c r="C67" s="1">
        <f t="shared" ca="1" si="36"/>
        <v>0</v>
      </c>
      <c r="D67" s="1">
        <f t="shared" si="36"/>
        <v>0</v>
      </c>
      <c r="E67" s="1">
        <f t="shared" ref="E67" si="58">E24</f>
        <v>0</v>
      </c>
      <c r="F67" s="1">
        <f t="shared" si="39"/>
        <v>-6</v>
      </c>
      <c r="G67" s="1">
        <f t="shared" si="40"/>
        <v>-12</v>
      </c>
      <c r="H67" s="6">
        <f t="shared" si="41"/>
        <v>-10.020310665110607</v>
      </c>
      <c r="I67" s="6">
        <f t="shared" si="42"/>
        <v>-8.9215118771803823</v>
      </c>
      <c r="J67" s="6">
        <f t="shared" si="43"/>
        <v>22.290667535577096</v>
      </c>
      <c r="K67" s="12">
        <f t="shared" ca="1" si="44"/>
        <v>0</v>
      </c>
      <c r="L67">
        <f t="shared" ca="1" si="45"/>
        <v>0</v>
      </c>
      <c r="M67" s="11">
        <f t="shared" ca="1" si="46"/>
        <v>0</v>
      </c>
      <c r="N67" s="11">
        <f t="shared" ca="1" si="47"/>
        <v>0</v>
      </c>
      <c r="O67" s="11">
        <f t="shared" ca="1" si="48"/>
        <v>0</v>
      </c>
      <c r="Q67" t="e">
        <f t="shared" si="49"/>
        <v>#N/A</v>
      </c>
      <c r="R67" t="e">
        <f t="shared" si="50"/>
        <v>#N/A</v>
      </c>
    </row>
    <row r="68" spans="1:18" ht="15.75" thickTop="1" x14ac:dyDescent="0.25">
      <c r="K68" s="13">
        <f ca="1">MIN(K58:K67)</f>
        <v>-5.1506289308176053E-3</v>
      </c>
      <c r="M68" s="9">
        <f ca="1">SUM(M58:M67)</f>
        <v>-251.85600000000002</v>
      </c>
      <c r="N68" s="9">
        <f t="shared" ref="N68:O68" ca="1" si="59">SUM(N58:N67)</f>
        <v>2339.1826511834606</v>
      </c>
      <c r="O68" s="9">
        <f t="shared" ca="1" si="59"/>
        <v>-933.47147680168416</v>
      </c>
    </row>
    <row r="71" spans="1:18" x14ac:dyDescent="0.25">
      <c r="A71" s="8" t="s">
        <v>65</v>
      </c>
      <c r="B71" s="9">
        <f ca="1">N53+M68</f>
        <v>22.895999999999816</v>
      </c>
      <c r="C71" t="s">
        <v>70</v>
      </c>
    </row>
    <row r="72" spans="1:18" x14ac:dyDescent="0.25">
      <c r="A72" s="8" t="s">
        <v>68</v>
      </c>
      <c r="B72" s="9">
        <f ca="1">O53+N68</f>
        <v>4790.3858824625249</v>
      </c>
      <c r="C72" t="s">
        <v>71</v>
      </c>
    </row>
    <row r="73" spans="1:18" x14ac:dyDescent="0.25">
      <c r="A73" s="8" t="s">
        <v>69</v>
      </c>
      <c r="B73" s="9">
        <f ca="1">P53+O68</f>
        <v>-1911.6457545074004</v>
      </c>
      <c r="C73" t="s">
        <v>71</v>
      </c>
    </row>
    <row r="75" spans="1:18" x14ac:dyDescent="0.25">
      <c r="A75" s="8" t="s">
        <v>66</v>
      </c>
      <c r="B75">
        <f ca="1">((B72*COS(-1*B27))+(B73*SIN(-1*B27)))</f>
        <v>5157.7307407058806</v>
      </c>
      <c r="C75" t="s">
        <v>71</v>
      </c>
    </row>
    <row r="76" spans="1:18" x14ac:dyDescent="0.25">
      <c r="A76" s="8" t="s">
        <v>67</v>
      </c>
      <c r="B76">
        <f ca="1">(-1*(B72)*SIN(-1*B27))+((B73)*COS(-1*B27))</f>
        <v>0</v>
      </c>
      <c r="C76" t="s">
        <v>71</v>
      </c>
    </row>
    <row r="78" spans="1:18" x14ac:dyDescent="0.25">
      <c r="B78">
        <f>ATAN2(1,0)</f>
        <v>0</v>
      </c>
    </row>
    <row r="79" spans="1:18" x14ac:dyDescent="0.25">
      <c r="A79" t="s">
        <v>76</v>
      </c>
      <c r="B79">
        <f ca="1">ATAN2(B75,B76)</f>
        <v>0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vister_na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2020-11-08T14:46:20Z</dcterms:modified>
</cp:coreProperties>
</file>