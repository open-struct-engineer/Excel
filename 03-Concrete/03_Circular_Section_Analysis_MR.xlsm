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028052" documentId="114_{1C343C16-8EA1-436B-9AC3-457546D8BE82}" xr6:coauthVersionLast="47" xr6:coauthVersionMax="47" xr10:uidLastSave="{0E6F4021-C444-493B-95C3-A57F9A802992}"/>
  <bookViews>
    <workbookView xWindow="28680" yWindow="-120" windowWidth="29040" windowHeight="17640" activeTab="3" xr2:uid="{95B8903A-7944-4A5B-B8CD-C02474F51CAC}"/>
  </bookViews>
  <sheets>
    <sheet name="circle_section" sheetId="1" r:id="rId1"/>
    <sheet name="Mx_vs_My" sheetId="4" r:id="rId2"/>
    <sheet name="P_M_Curve_Load_Side" sheetId="2" r:id="rId3"/>
    <sheet name="P_M_Curve_Full" sheetId="5" r:id="rId4"/>
    <sheet name="P_M_Curve (Whitney vs PCA)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G7" i="1" l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37" i="1"/>
  <c r="BC77" i="1"/>
  <c r="AY77" i="1"/>
  <c r="E32" i="1" l="1"/>
  <c r="E33" i="1" s="1"/>
  <c r="Q130" i="1" l="1"/>
  <c r="BP105" i="1" l="1"/>
  <c r="BS104" i="1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S3" i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W2" i="1"/>
  <c r="BS2" i="1"/>
  <c r="BC3" i="1" l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BC2" i="1"/>
  <c r="AY2" i="1"/>
  <c r="I33" i="1"/>
  <c r="O30" i="1"/>
  <c r="D54" i="1" l="1"/>
  <c r="D62" i="1"/>
  <c r="D70" i="1"/>
  <c r="D78" i="1"/>
  <c r="D86" i="1"/>
  <c r="D94" i="1"/>
  <c r="D102" i="1"/>
  <c r="E55" i="1"/>
  <c r="E63" i="1"/>
  <c r="E71" i="1"/>
  <c r="E79" i="1"/>
  <c r="E87" i="1"/>
  <c r="E95" i="1"/>
  <c r="E103" i="1"/>
  <c r="F38" i="1"/>
  <c r="D38" i="1" s="1"/>
  <c r="F39" i="1"/>
  <c r="D39" i="1" s="1"/>
  <c r="F40" i="1"/>
  <c r="D40" i="1" s="1"/>
  <c r="F41" i="1"/>
  <c r="E41" i="1" s="1"/>
  <c r="F42" i="1"/>
  <c r="D42" i="1" s="1"/>
  <c r="F43" i="1"/>
  <c r="D43" i="1" s="1"/>
  <c r="F44" i="1"/>
  <c r="D44" i="1" s="1"/>
  <c r="F45" i="1"/>
  <c r="E45" i="1" s="1"/>
  <c r="F46" i="1"/>
  <c r="D46" i="1" s="1"/>
  <c r="F47" i="1"/>
  <c r="D47" i="1" s="1"/>
  <c r="F48" i="1"/>
  <c r="E48" i="1" s="1"/>
  <c r="F49" i="1"/>
  <c r="E49" i="1" s="1"/>
  <c r="F50" i="1"/>
  <c r="E50" i="1" s="1"/>
  <c r="F51" i="1"/>
  <c r="E51" i="1" s="1"/>
  <c r="F52" i="1"/>
  <c r="E52" i="1" s="1"/>
  <c r="F53" i="1"/>
  <c r="E53" i="1" s="1"/>
  <c r="F54" i="1"/>
  <c r="E54" i="1" s="1"/>
  <c r="F55" i="1"/>
  <c r="D55" i="1" s="1"/>
  <c r="F56" i="1"/>
  <c r="E56" i="1" s="1"/>
  <c r="F57" i="1"/>
  <c r="E57" i="1" s="1"/>
  <c r="F58" i="1"/>
  <c r="E58" i="1" s="1"/>
  <c r="F59" i="1"/>
  <c r="E59" i="1" s="1"/>
  <c r="F60" i="1"/>
  <c r="E60" i="1" s="1"/>
  <c r="F61" i="1"/>
  <c r="E61" i="1" s="1"/>
  <c r="F62" i="1"/>
  <c r="E62" i="1" s="1"/>
  <c r="F63" i="1"/>
  <c r="D63" i="1" s="1"/>
  <c r="F64" i="1"/>
  <c r="E64" i="1" s="1"/>
  <c r="F65" i="1"/>
  <c r="E65" i="1" s="1"/>
  <c r="F66" i="1"/>
  <c r="E66" i="1" s="1"/>
  <c r="F67" i="1"/>
  <c r="E67" i="1" s="1"/>
  <c r="F68" i="1"/>
  <c r="E68" i="1" s="1"/>
  <c r="F69" i="1"/>
  <c r="E69" i="1" s="1"/>
  <c r="F70" i="1"/>
  <c r="E70" i="1" s="1"/>
  <c r="F71" i="1"/>
  <c r="D71" i="1" s="1"/>
  <c r="F72" i="1"/>
  <c r="E72" i="1" s="1"/>
  <c r="F73" i="1"/>
  <c r="E73" i="1" s="1"/>
  <c r="F74" i="1"/>
  <c r="E74" i="1" s="1"/>
  <c r="F75" i="1"/>
  <c r="E75" i="1" s="1"/>
  <c r="F76" i="1"/>
  <c r="E76" i="1" s="1"/>
  <c r="F77" i="1"/>
  <c r="E77" i="1" s="1"/>
  <c r="F78" i="1"/>
  <c r="E78" i="1" s="1"/>
  <c r="F79" i="1"/>
  <c r="D79" i="1" s="1"/>
  <c r="F80" i="1"/>
  <c r="E80" i="1" s="1"/>
  <c r="F81" i="1"/>
  <c r="E81" i="1" s="1"/>
  <c r="F82" i="1"/>
  <c r="E82" i="1" s="1"/>
  <c r="F83" i="1"/>
  <c r="E83" i="1" s="1"/>
  <c r="F84" i="1"/>
  <c r="E84" i="1" s="1"/>
  <c r="F85" i="1"/>
  <c r="E85" i="1" s="1"/>
  <c r="F86" i="1"/>
  <c r="E86" i="1" s="1"/>
  <c r="F87" i="1"/>
  <c r="D87" i="1" s="1"/>
  <c r="F88" i="1"/>
  <c r="E88" i="1" s="1"/>
  <c r="F89" i="1"/>
  <c r="E89" i="1" s="1"/>
  <c r="F90" i="1"/>
  <c r="E90" i="1" s="1"/>
  <c r="F91" i="1"/>
  <c r="E91" i="1" s="1"/>
  <c r="F92" i="1"/>
  <c r="E92" i="1" s="1"/>
  <c r="F93" i="1"/>
  <c r="E93" i="1" s="1"/>
  <c r="F94" i="1"/>
  <c r="E94" i="1" s="1"/>
  <c r="F95" i="1"/>
  <c r="D95" i="1" s="1"/>
  <c r="F96" i="1"/>
  <c r="E96" i="1" s="1"/>
  <c r="F97" i="1"/>
  <c r="E97" i="1" s="1"/>
  <c r="F98" i="1"/>
  <c r="E98" i="1" s="1"/>
  <c r="F99" i="1"/>
  <c r="E99" i="1" s="1"/>
  <c r="F100" i="1"/>
  <c r="E100" i="1" s="1"/>
  <c r="F101" i="1"/>
  <c r="E101" i="1" s="1"/>
  <c r="F102" i="1"/>
  <c r="E102" i="1" s="1"/>
  <c r="F103" i="1"/>
  <c r="D103" i="1" s="1"/>
  <c r="F104" i="1"/>
  <c r="E104" i="1" s="1"/>
  <c r="F105" i="1"/>
  <c r="E105" i="1" s="1"/>
  <c r="F106" i="1"/>
  <c r="E106" i="1" s="1"/>
  <c r="F107" i="1"/>
  <c r="E107" i="1" s="1"/>
  <c r="F108" i="1"/>
  <c r="E108" i="1" s="1"/>
  <c r="F37" i="1"/>
  <c r="D37" i="1" s="1"/>
  <c r="J103" i="1" l="1"/>
  <c r="I103" i="1"/>
  <c r="J95" i="1"/>
  <c r="I95" i="1"/>
  <c r="J87" i="1"/>
  <c r="I87" i="1"/>
  <c r="J79" i="1"/>
  <c r="I79" i="1"/>
  <c r="J71" i="1"/>
  <c r="I71" i="1"/>
  <c r="J63" i="1"/>
  <c r="I63" i="1"/>
  <c r="J55" i="1"/>
  <c r="I55" i="1"/>
  <c r="J102" i="1"/>
  <c r="I102" i="1"/>
  <c r="J94" i="1"/>
  <c r="I94" i="1"/>
  <c r="J86" i="1"/>
  <c r="I86" i="1"/>
  <c r="J78" i="1"/>
  <c r="I78" i="1"/>
  <c r="J70" i="1"/>
  <c r="I70" i="1"/>
  <c r="J62" i="1"/>
  <c r="I62" i="1"/>
  <c r="J54" i="1"/>
  <c r="I54" i="1"/>
  <c r="E47" i="1"/>
  <c r="J47" i="1" s="1"/>
  <c r="E46" i="1"/>
  <c r="I46" i="1" s="1"/>
  <c r="D101" i="1"/>
  <c r="D93" i="1"/>
  <c r="D85" i="1"/>
  <c r="D77" i="1"/>
  <c r="D69" i="1"/>
  <c r="D61" i="1"/>
  <c r="D53" i="1"/>
  <c r="D108" i="1"/>
  <c r="D100" i="1"/>
  <c r="D92" i="1"/>
  <c r="D84" i="1"/>
  <c r="D76" i="1"/>
  <c r="D68" i="1"/>
  <c r="D60" i="1"/>
  <c r="D52" i="1"/>
  <c r="D107" i="1"/>
  <c r="D99" i="1"/>
  <c r="D91" i="1"/>
  <c r="D83" i="1"/>
  <c r="D75" i="1"/>
  <c r="D67" i="1"/>
  <c r="D59" i="1"/>
  <c r="D51" i="1"/>
  <c r="D106" i="1"/>
  <c r="D98" i="1"/>
  <c r="D90" i="1"/>
  <c r="D82" i="1"/>
  <c r="D74" i="1"/>
  <c r="D66" i="1"/>
  <c r="D58" i="1"/>
  <c r="D50" i="1"/>
  <c r="D105" i="1"/>
  <c r="D97" i="1"/>
  <c r="D89" i="1"/>
  <c r="D81" i="1"/>
  <c r="D73" i="1"/>
  <c r="D65" i="1"/>
  <c r="D57" i="1"/>
  <c r="D49" i="1"/>
  <c r="D104" i="1"/>
  <c r="D96" i="1"/>
  <c r="D88" i="1"/>
  <c r="D80" i="1"/>
  <c r="D72" i="1"/>
  <c r="D64" i="1"/>
  <c r="D56" i="1"/>
  <c r="D48" i="1"/>
  <c r="D45" i="1"/>
  <c r="D41" i="1"/>
  <c r="E44" i="1"/>
  <c r="I44" i="1" s="1"/>
  <c r="E40" i="1"/>
  <c r="I40" i="1" s="1"/>
  <c r="E43" i="1"/>
  <c r="I43" i="1" s="1"/>
  <c r="E39" i="1"/>
  <c r="I39" i="1" s="1"/>
  <c r="E42" i="1"/>
  <c r="I42" i="1" s="1"/>
  <c r="E38" i="1"/>
  <c r="I38" i="1" s="1"/>
  <c r="E37" i="1"/>
  <c r="I37" i="1" s="1"/>
  <c r="BF105" i="1"/>
  <c r="BI104" i="1"/>
  <c r="J46" i="1" l="1"/>
  <c r="J49" i="1"/>
  <c r="I49" i="1"/>
  <c r="J51" i="1"/>
  <c r="I51" i="1"/>
  <c r="J52" i="1"/>
  <c r="I52" i="1"/>
  <c r="I56" i="1"/>
  <c r="J56" i="1"/>
  <c r="J57" i="1"/>
  <c r="I57" i="1"/>
  <c r="J58" i="1"/>
  <c r="I58" i="1"/>
  <c r="J59" i="1"/>
  <c r="I59" i="1"/>
  <c r="J60" i="1"/>
  <c r="I60" i="1"/>
  <c r="J61" i="1"/>
  <c r="I61" i="1"/>
  <c r="I47" i="1"/>
  <c r="J48" i="1"/>
  <c r="I48" i="1"/>
  <c r="J67" i="1"/>
  <c r="I67" i="1"/>
  <c r="J69" i="1"/>
  <c r="I69" i="1"/>
  <c r="I72" i="1"/>
  <c r="J72" i="1"/>
  <c r="J73" i="1"/>
  <c r="I73" i="1"/>
  <c r="J74" i="1"/>
  <c r="I74" i="1"/>
  <c r="J75" i="1"/>
  <c r="I75" i="1"/>
  <c r="J76" i="1"/>
  <c r="I76" i="1"/>
  <c r="J77" i="1"/>
  <c r="I77" i="1"/>
  <c r="I64" i="1"/>
  <c r="J64" i="1"/>
  <c r="J80" i="1"/>
  <c r="I80" i="1"/>
  <c r="J66" i="1"/>
  <c r="I66" i="1"/>
  <c r="J81" i="1"/>
  <c r="I81" i="1"/>
  <c r="I88" i="1"/>
  <c r="J88" i="1"/>
  <c r="J89" i="1"/>
  <c r="I89" i="1"/>
  <c r="J90" i="1"/>
  <c r="I90" i="1"/>
  <c r="J91" i="1"/>
  <c r="I91" i="1"/>
  <c r="J92" i="1"/>
  <c r="I92" i="1"/>
  <c r="J93" i="1"/>
  <c r="I93" i="1"/>
  <c r="J65" i="1"/>
  <c r="I65" i="1"/>
  <c r="J83" i="1"/>
  <c r="I83" i="1"/>
  <c r="J84" i="1"/>
  <c r="I84" i="1"/>
  <c r="J96" i="1"/>
  <c r="I96" i="1"/>
  <c r="J97" i="1"/>
  <c r="I97" i="1"/>
  <c r="J98" i="1"/>
  <c r="I98" i="1"/>
  <c r="J99" i="1"/>
  <c r="I99" i="1"/>
  <c r="J100" i="1"/>
  <c r="I100" i="1"/>
  <c r="J101" i="1"/>
  <c r="I101" i="1"/>
  <c r="J68" i="1"/>
  <c r="I68" i="1"/>
  <c r="J82" i="1"/>
  <c r="I82" i="1"/>
  <c r="J85" i="1"/>
  <c r="I85" i="1"/>
  <c r="J45" i="1"/>
  <c r="I45" i="1"/>
  <c r="I104" i="1"/>
  <c r="J104" i="1"/>
  <c r="J105" i="1"/>
  <c r="I105" i="1"/>
  <c r="J106" i="1"/>
  <c r="I106" i="1"/>
  <c r="J107" i="1"/>
  <c r="I107" i="1"/>
  <c r="J108" i="1"/>
  <c r="I108" i="1"/>
  <c r="J50" i="1"/>
  <c r="I50" i="1"/>
  <c r="J53" i="1"/>
  <c r="I53" i="1"/>
  <c r="I41" i="1"/>
  <c r="J41" i="1"/>
  <c r="J40" i="1"/>
  <c r="J39" i="1"/>
  <c r="J42" i="1"/>
  <c r="J44" i="1"/>
  <c r="J43" i="1"/>
  <c r="J38" i="1"/>
  <c r="J37" i="1"/>
  <c r="AY104" i="1"/>
  <c r="AV105" i="1"/>
  <c r="BI105" i="1" l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M2" i="1"/>
  <c r="BI2" i="1"/>
  <c r="B7" i="1"/>
  <c r="AY105" i="1" l="1"/>
  <c r="L11" i="1" l="1"/>
  <c r="B133" i="1" l="1"/>
  <c r="B131" i="1"/>
  <c r="B126" i="1"/>
  <c r="B136" i="1" l="1"/>
  <c r="J136" i="1" l="1"/>
  <c r="K136" i="1" s="1"/>
  <c r="B140" i="1" l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37" i="1"/>
  <c r="AA37" i="1"/>
  <c r="Z37" i="1"/>
  <c r="F10" i="1" l="1"/>
  <c r="F15" i="1" l="1"/>
  <c r="F14" i="1"/>
  <c r="G15" i="1"/>
  <c r="G14" i="1"/>
  <c r="E34" i="1"/>
  <c r="J13" i="1"/>
  <c r="J12" i="1"/>
  <c r="L10" i="1"/>
  <c r="L9" i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1" i="1"/>
  <c r="L51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H17" i="1" l="1"/>
  <c r="G17" i="1"/>
  <c r="H18" i="1"/>
  <c r="G18" i="1"/>
  <c r="O31" i="1"/>
  <c r="O32" i="1" s="1"/>
  <c r="N31" i="1"/>
  <c r="N32" i="1" s="1"/>
  <c r="K37" i="1"/>
  <c r="L37" i="1" s="1"/>
  <c r="L13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G37" i="1"/>
  <c r="A165" i="1" l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L109" i="1"/>
  <c r="J2" i="1" s="1"/>
  <c r="AR3" i="1" l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9" i="1"/>
  <c r="B127" i="1"/>
  <c r="B128" i="1" s="1"/>
  <c r="C19" i="1" s="1"/>
  <c r="B8" i="1"/>
  <c r="B12" i="1" s="1"/>
  <c r="J16" i="1" l="1"/>
  <c r="L16" i="1" s="1"/>
  <c r="CG8" i="1"/>
  <c r="B173" i="1"/>
  <c r="F142" i="1"/>
  <c r="F140" i="1"/>
  <c r="F141" i="1"/>
  <c r="M62" i="1"/>
  <c r="N62" i="1" s="1"/>
  <c r="AD62" i="1" s="1"/>
  <c r="M98" i="1"/>
  <c r="N98" i="1" s="1"/>
  <c r="AD98" i="1" s="1"/>
  <c r="M73" i="1"/>
  <c r="N73" i="1" s="1"/>
  <c r="AD73" i="1" s="1"/>
  <c r="M61" i="1"/>
  <c r="N61" i="1" s="1"/>
  <c r="AD61" i="1" s="1"/>
  <c r="M75" i="1"/>
  <c r="N75" i="1" s="1"/>
  <c r="AD75" i="1" s="1"/>
  <c r="M88" i="1"/>
  <c r="N88" i="1" s="1"/>
  <c r="AD88" i="1" s="1"/>
  <c r="M103" i="1"/>
  <c r="N103" i="1" s="1"/>
  <c r="AD103" i="1" s="1"/>
  <c r="M55" i="1"/>
  <c r="N55" i="1" s="1"/>
  <c r="AD55" i="1" s="1"/>
  <c r="M70" i="1"/>
  <c r="N70" i="1" s="1"/>
  <c r="AD70" i="1" s="1"/>
  <c r="M58" i="1"/>
  <c r="N58" i="1" s="1"/>
  <c r="AD58" i="1" s="1"/>
  <c r="M93" i="1"/>
  <c r="N93" i="1" s="1"/>
  <c r="AD93" i="1" s="1"/>
  <c r="M66" i="1"/>
  <c r="N66" i="1" s="1"/>
  <c r="AD66" i="1" s="1"/>
  <c r="M68" i="1"/>
  <c r="N68" i="1" s="1"/>
  <c r="AD68" i="1" s="1"/>
  <c r="M83" i="1"/>
  <c r="N83" i="1" s="1"/>
  <c r="AD83" i="1" s="1"/>
  <c r="M96" i="1"/>
  <c r="N96" i="1" s="1"/>
  <c r="AD96" i="1" s="1"/>
  <c r="M63" i="1"/>
  <c r="N63" i="1" s="1"/>
  <c r="AD63" i="1" s="1"/>
  <c r="M78" i="1"/>
  <c r="N78" i="1" s="1"/>
  <c r="AD78" i="1" s="1"/>
  <c r="M81" i="1"/>
  <c r="N81" i="1" s="1"/>
  <c r="AD81" i="1" s="1"/>
  <c r="M53" i="1"/>
  <c r="N53" i="1" s="1"/>
  <c r="AD53" i="1" s="1"/>
  <c r="M82" i="1"/>
  <c r="N82" i="1" s="1"/>
  <c r="AD82" i="1" s="1"/>
  <c r="M76" i="1"/>
  <c r="N76" i="1" s="1"/>
  <c r="AD76" i="1" s="1"/>
  <c r="M91" i="1"/>
  <c r="N91" i="1" s="1"/>
  <c r="AD91" i="1" s="1"/>
  <c r="M104" i="1"/>
  <c r="N104" i="1" s="1"/>
  <c r="AD104" i="1" s="1"/>
  <c r="M56" i="1"/>
  <c r="N56" i="1" s="1"/>
  <c r="AD56" i="1" s="1"/>
  <c r="M71" i="1"/>
  <c r="N71" i="1" s="1"/>
  <c r="AD71" i="1" s="1"/>
  <c r="M86" i="1"/>
  <c r="N86" i="1" s="1"/>
  <c r="AD86" i="1" s="1"/>
  <c r="M101" i="1"/>
  <c r="N101" i="1" s="1"/>
  <c r="AD101" i="1" s="1"/>
  <c r="M89" i="1"/>
  <c r="N89" i="1" s="1"/>
  <c r="AD89" i="1" s="1"/>
  <c r="M105" i="1"/>
  <c r="N105" i="1" s="1"/>
  <c r="AD105" i="1" s="1"/>
  <c r="M84" i="1"/>
  <c r="N84" i="1" s="1"/>
  <c r="AD84" i="1" s="1"/>
  <c r="M99" i="1"/>
  <c r="N99" i="1" s="1"/>
  <c r="AD99" i="1" s="1"/>
  <c r="M107" i="1"/>
  <c r="N107" i="1" s="1"/>
  <c r="AD107" i="1" s="1"/>
  <c r="M51" i="1"/>
  <c r="N51" i="1" s="1"/>
  <c r="AD51" i="1" s="1"/>
  <c r="M64" i="1"/>
  <c r="N64" i="1" s="1"/>
  <c r="AD64" i="1" s="1"/>
  <c r="M79" i="1"/>
  <c r="N79" i="1" s="1"/>
  <c r="AD79" i="1" s="1"/>
  <c r="M74" i="1"/>
  <c r="N74" i="1" s="1"/>
  <c r="AD74" i="1" s="1"/>
  <c r="M92" i="1"/>
  <c r="N92" i="1" s="1"/>
  <c r="AD92" i="1" s="1"/>
  <c r="M100" i="1"/>
  <c r="N100" i="1" s="1"/>
  <c r="AD100" i="1" s="1"/>
  <c r="M59" i="1"/>
  <c r="N59" i="1" s="1"/>
  <c r="AD59" i="1" s="1"/>
  <c r="M72" i="1"/>
  <c r="N72" i="1" s="1"/>
  <c r="AD72" i="1" s="1"/>
  <c r="M94" i="1"/>
  <c r="N94" i="1" s="1"/>
  <c r="AD94" i="1" s="1"/>
  <c r="M97" i="1"/>
  <c r="N97" i="1" s="1"/>
  <c r="AD97" i="1" s="1"/>
  <c r="M69" i="1"/>
  <c r="N69" i="1" s="1"/>
  <c r="AD69" i="1" s="1"/>
  <c r="M65" i="1"/>
  <c r="N65" i="1" s="1"/>
  <c r="AD65" i="1" s="1"/>
  <c r="M85" i="1"/>
  <c r="N85" i="1" s="1"/>
  <c r="AD85" i="1" s="1"/>
  <c r="M108" i="1"/>
  <c r="N108" i="1" s="1"/>
  <c r="AD108" i="1" s="1"/>
  <c r="M52" i="1"/>
  <c r="N52" i="1" s="1"/>
  <c r="AD52" i="1" s="1"/>
  <c r="M67" i="1"/>
  <c r="N67" i="1" s="1"/>
  <c r="AD67" i="1" s="1"/>
  <c r="M87" i="1"/>
  <c r="N87" i="1" s="1"/>
  <c r="AD87" i="1" s="1"/>
  <c r="M102" i="1"/>
  <c r="N102" i="1" s="1"/>
  <c r="AD102" i="1" s="1"/>
  <c r="M57" i="1"/>
  <c r="N57" i="1" s="1"/>
  <c r="AD57" i="1" s="1"/>
  <c r="M90" i="1"/>
  <c r="N90" i="1" s="1"/>
  <c r="AD90" i="1" s="1"/>
  <c r="M50" i="1"/>
  <c r="N50" i="1" s="1"/>
  <c r="AD50" i="1" s="1"/>
  <c r="M106" i="1"/>
  <c r="N106" i="1" s="1"/>
  <c r="AD106" i="1" s="1"/>
  <c r="M60" i="1"/>
  <c r="N60" i="1" s="1"/>
  <c r="AD60" i="1" s="1"/>
  <c r="M80" i="1"/>
  <c r="N80" i="1" s="1"/>
  <c r="AD80" i="1" s="1"/>
  <c r="M95" i="1"/>
  <c r="N95" i="1" s="1"/>
  <c r="AD95" i="1" s="1"/>
  <c r="M54" i="1"/>
  <c r="N54" i="1" s="1"/>
  <c r="AD54" i="1" s="1"/>
  <c r="M77" i="1"/>
  <c r="N77" i="1" s="1"/>
  <c r="AD77" i="1" s="1"/>
  <c r="B152" i="1"/>
  <c r="M38" i="1" s="1"/>
  <c r="N38" i="1" s="1"/>
  <c r="AD38" i="1" s="1"/>
  <c r="B220" i="1"/>
  <c r="B165" i="1"/>
  <c r="B154" i="1"/>
  <c r="M40" i="1" s="1"/>
  <c r="N40" i="1" s="1"/>
  <c r="AD40" i="1" s="1"/>
  <c r="B172" i="1"/>
  <c r="B194" i="1"/>
  <c r="B162" i="1"/>
  <c r="M48" i="1" s="1"/>
  <c r="N48" i="1" s="1"/>
  <c r="AD48" i="1" s="1"/>
  <c r="B206" i="1"/>
  <c r="B182" i="1"/>
  <c r="B221" i="1"/>
  <c r="B134" i="1"/>
  <c r="B135" i="1" s="1"/>
  <c r="N135" i="1" s="1"/>
  <c r="B130" i="1"/>
  <c r="B166" i="1"/>
  <c r="B153" i="1"/>
  <c r="M39" i="1" s="1"/>
  <c r="N39" i="1" s="1"/>
  <c r="AD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AD43" i="1" s="1"/>
  <c r="B179" i="1"/>
  <c r="B196" i="1"/>
  <c r="B190" i="1"/>
  <c r="B163" i="1"/>
  <c r="M49" i="1" s="1"/>
  <c r="N49" i="1" s="1"/>
  <c r="AD49" i="1" s="1"/>
  <c r="B209" i="1"/>
  <c r="B158" i="1"/>
  <c r="M44" i="1" s="1"/>
  <c r="B155" i="1"/>
  <c r="M41" i="1" s="1"/>
  <c r="N41" i="1" s="1"/>
  <c r="AD41" i="1" s="1"/>
  <c r="B177" i="1"/>
  <c r="B204" i="1"/>
  <c r="B216" i="1"/>
  <c r="B192" i="1"/>
  <c r="B160" i="1"/>
  <c r="M46" i="1" s="1"/>
  <c r="N46" i="1" s="1"/>
  <c r="AD46" i="1" s="1"/>
  <c r="B171" i="1"/>
  <c r="B217" i="1"/>
  <c r="B202" i="1"/>
  <c r="B219" i="1"/>
  <c r="B174" i="1"/>
  <c r="B159" i="1"/>
  <c r="M45" i="1" s="1"/>
  <c r="N45" i="1" s="1"/>
  <c r="AD45" i="1" s="1"/>
  <c r="B214" i="1"/>
  <c r="B184" i="1"/>
  <c r="B195" i="1"/>
  <c r="B178" i="1"/>
  <c r="B197" i="1"/>
  <c r="B161" i="1"/>
  <c r="M47" i="1" s="1"/>
  <c r="N47" i="1" s="1"/>
  <c r="AD47" i="1" s="1"/>
  <c r="B164" i="1"/>
  <c r="B185" i="1"/>
  <c r="B210" i="1"/>
  <c r="B201" i="1"/>
  <c r="B175" i="1"/>
  <c r="B203" i="1"/>
  <c r="B156" i="1"/>
  <c r="M42" i="1" s="1"/>
  <c r="N42" i="1" s="1"/>
  <c r="AD42" i="1" s="1"/>
  <c r="B167" i="1"/>
  <c r="B168" i="1"/>
  <c r="B199" i="1"/>
  <c r="B151" i="1"/>
  <c r="M37" i="1" s="1"/>
  <c r="N37" i="1" s="1"/>
  <c r="AD37" i="1" s="1"/>
  <c r="F11" i="1"/>
  <c r="F12" i="1" s="1"/>
  <c r="K16" i="1" l="1"/>
  <c r="P39" i="1"/>
  <c r="P95" i="1"/>
  <c r="P94" i="1"/>
  <c r="P71" i="1"/>
  <c r="P70" i="1"/>
  <c r="P41" i="1"/>
  <c r="P80" i="1"/>
  <c r="P72" i="1"/>
  <c r="P56" i="1"/>
  <c r="P55" i="1"/>
  <c r="P103" i="1"/>
  <c r="P47" i="1"/>
  <c r="P106" i="1"/>
  <c r="P100" i="1"/>
  <c r="P91" i="1"/>
  <c r="P88" i="1"/>
  <c r="P58" i="1"/>
  <c r="P49" i="1"/>
  <c r="P50" i="1"/>
  <c r="P92" i="1"/>
  <c r="P76" i="1"/>
  <c r="P75" i="1"/>
  <c r="P90" i="1"/>
  <c r="P74" i="1"/>
  <c r="P82" i="1"/>
  <c r="P61" i="1"/>
  <c r="P97" i="1"/>
  <c r="P57" i="1"/>
  <c r="P79" i="1"/>
  <c r="P53" i="1"/>
  <c r="P73" i="1"/>
  <c r="P48" i="1"/>
  <c r="P102" i="1"/>
  <c r="P64" i="1"/>
  <c r="P81" i="1"/>
  <c r="P98" i="1"/>
  <c r="P59" i="1"/>
  <c r="P43" i="1"/>
  <c r="P87" i="1"/>
  <c r="P51" i="1"/>
  <c r="P78" i="1"/>
  <c r="P62" i="1"/>
  <c r="P54" i="1"/>
  <c r="P42" i="1"/>
  <c r="P67" i="1"/>
  <c r="P107" i="1"/>
  <c r="P63" i="1"/>
  <c r="P86" i="1"/>
  <c r="P40" i="1"/>
  <c r="P52" i="1"/>
  <c r="P99" i="1"/>
  <c r="P96" i="1"/>
  <c r="P83" i="1"/>
  <c r="P45" i="1"/>
  <c r="P84" i="1"/>
  <c r="P46" i="1"/>
  <c r="P85" i="1"/>
  <c r="P105" i="1"/>
  <c r="P68" i="1"/>
  <c r="P104" i="1"/>
  <c r="P38" i="1"/>
  <c r="P65" i="1"/>
  <c r="P89" i="1"/>
  <c r="P66" i="1"/>
  <c r="P60" i="1"/>
  <c r="P108" i="1"/>
  <c r="P77" i="1"/>
  <c r="P69" i="1"/>
  <c r="P101" i="1"/>
  <c r="P93" i="1"/>
  <c r="P37" i="1"/>
  <c r="AC39" i="1"/>
  <c r="AC95" i="1"/>
  <c r="AC94" i="1"/>
  <c r="AC71" i="1"/>
  <c r="AC70" i="1"/>
  <c r="AC80" i="1"/>
  <c r="AC72" i="1"/>
  <c r="AC56" i="1"/>
  <c r="AC55" i="1"/>
  <c r="AC86" i="1"/>
  <c r="AC60" i="1"/>
  <c r="AC59" i="1"/>
  <c r="AC104" i="1"/>
  <c r="AC103" i="1"/>
  <c r="AC41" i="1"/>
  <c r="AC106" i="1"/>
  <c r="AC100" i="1"/>
  <c r="AC91" i="1"/>
  <c r="AC88" i="1"/>
  <c r="AC50" i="1"/>
  <c r="AC92" i="1"/>
  <c r="AC76" i="1"/>
  <c r="AC75" i="1"/>
  <c r="AC54" i="1"/>
  <c r="AC90" i="1"/>
  <c r="AC74" i="1"/>
  <c r="AC82" i="1"/>
  <c r="AC61" i="1"/>
  <c r="AC58" i="1"/>
  <c r="AC45" i="1"/>
  <c r="AC57" i="1"/>
  <c r="AC79" i="1"/>
  <c r="AC53" i="1"/>
  <c r="AC73" i="1"/>
  <c r="AC48" i="1"/>
  <c r="AC102" i="1"/>
  <c r="AC64" i="1"/>
  <c r="AC81" i="1"/>
  <c r="AC98" i="1"/>
  <c r="AC62" i="1"/>
  <c r="AC63" i="1"/>
  <c r="AC78" i="1"/>
  <c r="AC40" i="1"/>
  <c r="AC52" i="1"/>
  <c r="AC99" i="1"/>
  <c r="AC96" i="1"/>
  <c r="AC97" i="1"/>
  <c r="AC42" i="1"/>
  <c r="AC108" i="1"/>
  <c r="AC84" i="1"/>
  <c r="AC83" i="1"/>
  <c r="AC107" i="1"/>
  <c r="AC46" i="1"/>
  <c r="AC85" i="1"/>
  <c r="AC105" i="1"/>
  <c r="AC68" i="1"/>
  <c r="AC49" i="1"/>
  <c r="AC51" i="1"/>
  <c r="AC38" i="1"/>
  <c r="AC65" i="1"/>
  <c r="AC89" i="1"/>
  <c r="AC66" i="1"/>
  <c r="AC47" i="1"/>
  <c r="AC43" i="1"/>
  <c r="AC87" i="1"/>
  <c r="AC67" i="1"/>
  <c r="AC77" i="1"/>
  <c r="AC69" i="1"/>
  <c r="AC101" i="1"/>
  <c r="AC93" i="1"/>
  <c r="AC37" i="1"/>
  <c r="Y37" i="1"/>
  <c r="F144" i="1"/>
  <c r="F143" i="1"/>
  <c r="J135" i="1"/>
  <c r="K135" i="1" s="1"/>
  <c r="F13" i="1"/>
  <c r="Q141" i="1"/>
  <c r="P140" i="1"/>
  <c r="N44" i="1"/>
  <c r="AD44" i="1" s="1"/>
  <c r="J140" i="1"/>
  <c r="K141" i="1"/>
  <c r="M140" i="1"/>
  <c r="N141" i="1"/>
  <c r="U64" i="1"/>
  <c r="V64" i="1"/>
  <c r="X64" i="1"/>
  <c r="Y64" i="1"/>
  <c r="U96" i="1"/>
  <c r="V96" i="1"/>
  <c r="X96" i="1"/>
  <c r="Y96" i="1"/>
  <c r="U90" i="1"/>
  <c r="V90" i="1"/>
  <c r="X90" i="1"/>
  <c r="Y90" i="1"/>
  <c r="U56" i="1"/>
  <c r="V56" i="1"/>
  <c r="X56" i="1"/>
  <c r="Y56" i="1"/>
  <c r="U61" i="1"/>
  <c r="V61" i="1"/>
  <c r="Y61" i="1"/>
  <c r="X61" i="1"/>
  <c r="X95" i="1"/>
  <c r="U95" i="1"/>
  <c r="V95" i="1"/>
  <c r="Y95" i="1"/>
  <c r="U42" i="1"/>
  <c r="V42" i="1"/>
  <c r="X42" i="1"/>
  <c r="Y42" i="1"/>
  <c r="U55" i="1"/>
  <c r="V55" i="1"/>
  <c r="X55" i="1"/>
  <c r="Y55" i="1"/>
  <c r="U106" i="1"/>
  <c r="V106" i="1"/>
  <c r="X106" i="1"/>
  <c r="Y106" i="1"/>
  <c r="U39" i="1"/>
  <c r="V39" i="1"/>
  <c r="X39" i="1"/>
  <c r="Y39" i="1"/>
  <c r="U65" i="1"/>
  <c r="V65" i="1"/>
  <c r="Y65" i="1"/>
  <c r="X65" i="1"/>
  <c r="U74" i="1"/>
  <c r="V74" i="1"/>
  <c r="X74" i="1"/>
  <c r="Y74" i="1"/>
  <c r="U60" i="1"/>
  <c r="V60" i="1"/>
  <c r="X60" i="1"/>
  <c r="Y60" i="1"/>
  <c r="U102" i="1"/>
  <c r="V102" i="1"/>
  <c r="X102" i="1"/>
  <c r="Y102" i="1"/>
  <c r="U84" i="1"/>
  <c r="V84" i="1"/>
  <c r="X84" i="1"/>
  <c r="Y84" i="1"/>
  <c r="U62" i="1"/>
  <c r="V62" i="1"/>
  <c r="X62" i="1"/>
  <c r="Y62" i="1"/>
  <c r="U77" i="1"/>
  <c r="V77" i="1"/>
  <c r="X77" i="1"/>
  <c r="Y77" i="1"/>
  <c r="X79" i="1"/>
  <c r="U79" i="1"/>
  <c r="V79" i="1"/>
  <c r="Y79" i="1"/>
  <c r="U53" i="1"/>
  <c r="V53" i="1"/>
  <c r="Y53" i="1"/>
  <c r="X53" i="1"/>
  <c r="X83" i="1"/>
  <c r="U83" i="1"/>
  <c r="V83" i="1"/>
  <c r="Y83" i="1"/>
  <c r="U57" i="1"/>
  <c r="V57" i="1"/>
  <c r="Y57" i="1"/>
  <c r="X57" i="1"/>
  <c r="U63" i="1"/>
  <c r="V63" i="1"/>
  <c r="X63" i="1"/>
  <c r="Y63" i="1"/>
  <c r="X45" i="1"/>
  <c r="U45" i="1"/>
  <c r="V45" i="1"/>
  <c r="Y45" i="1"/>
  <c r="U54" i="1"/>
  <c r="V54" i="1"/>
  <c r="X54" i="1"/>
  <c r="Y54" i="1"/>
  <c r="X97" i="1"/>
  <c r="U97" i="1"/>
  <c r="V97" i="1"/>
  <c r="Y97" i="1"/>
  <c r="U40" i="1"/>
  <c r="V40" i="1"/>
  <c r="X40" i="1"/>
  <c r="Y40" i="1"/>
  <c r="X105" i="1"/>
  <c r="U105" i="1"/>
  <c r="V105" i="1"/>
  <c r="Y105" i="1"/>
  <c r="U104" i="1"/>
  <c r="V104" i="1"/>
  <c r="X104" i="1"/>
  <c r="Y104" i="1"/>
  <c r="U108" i="1"/>
  <c r="V108" i="1"/>
  <c r="X108" i="1"/>
  <c r="Y108" i="1"/>
  <c r="U68" i="1"/>
  <c r="V68" i="1"/>
  <c r="X68" i="1"/>
  <c r="Y68" i="1"/>
  <c r="X103" i="1"/>
  <c r="U103" i="1"/>
  <c r="V103" i="1"/>
  <c r="Y103" i="1"/>
  <c r="U46" i="1"/>
  <c r="V46" i="1"/>
  <c r="X46" i="1"/>
  <c r="Y46" i="1"/>
  <c r="U43" i="1"/>
  <c r="V43" i="1"/>
  <c r="Y43" i="1"/>
  <c r="X43" i="1"/>
  <c r="U58" i="1"/>
  <c r="V58" i="1"/>
  <c r="X58" i="1"/>
  <c r="Y58" i="1"/>
  <c r="U67" i="1"/>
  <c r="V67" i="1"/>
  <c r="Y67" i="1"/>
  <c r="X67" i="1"/>
  <c r="U38" i="1"/>
  <c r="V38" i="1"/>
  <c r="X38" i="1"/>
  <c r="Y38" i="1"/>
  <c r="U91" i="1"/>
  <c r="V91" i="1"/>
  <c r="Y91" i="1"/>
  <c r="X91" i="1"/>
  <c r="U107" i="1"/>
  <c r="X107" i="1"/>
  <c r="V107" i="1"/>
  <c r="Y107" i="1"/>
  <c r="U98" i="1"/>
  <c r="V98" i="1"/>
  <c r="X98" i="1"/>
  <c r="Y98" i="1"/>
  <c r="U50" i="1"/>
  <c r="V50" i="1"/>
  <c r="X50" i="1"/>
  <c r="Y50" i="1"/>
  <c r="X71" i="1"/>
  <c r="U71" i="1"/>
  <c r="V71" i="1"/>
  <c r="Y71" i="1"/>
  <c r="U66" i="1"/>
  <c r="V66" i="1"/>
  <c r="X66" i="1"/>
  <c r="Y66" i="1"/>
  <c r="U88" i="1"/>
  <c r="V88" i="1"/>
  <c r="X88" i="1"/>
  <c r="Y88" i="1"/>
  <c r="U92" i="1"/>
  <c r="V92" i="1"/>
  <c r="X92" i="1"/>
  <c r="Y92" i="1"/>
  <c r="U70" i="1"/>
  <c r="V70" i="1"/>
  <c r="X70" i="1"/>
  <c r="Y70" i="1"/>
  <c r="U41" i="1"/>
  <c r="X41" i="1"/>
  <c r="V41" i="1"/>
  <c r="Y41" i="1"/>
  <c r="U85" i="1"/>
  <c r="V85" i="1"/>
  <c r="Y85" i="1"/>
  <c r="X85" i="1"/>
  <c r="X49" i="1"/>
  <c r="U49" i="1"/>
  <c r="V49" i="1"/>
  <c r="Y49" i="1"/>
  <c r="U82" i="1"/>
  <c r="V82" i="1"/>
  <c r="X82" i="1"/>
  <c r="Y82" i="1"/>
  <c r="U94" i="1"/>
  <c r="V94" i="1"/>
  <c r="X94" i="1"/>
  <c r="Y94" i="1"/>
  <c r="U59" i="1"/>
  <c r="V59" i="1"/>
  <c r="X59" i="1"/>
  <c r="Y59" i="1"/>
  <c r="X89" i="1"/>
  <c r="U89" i="1"/>
  <c r="V89" i="1"/>
  <c r="Y89" i="1"/>
  <c r="X51" i="1"/>
  <c r="U51" i="1"/>
  <c r="V51" i="1"/>
  <c r="Y51" i="1"/>
  <c r="U81" i="1"/>
  <c r="X81" i="1"/>
  <c r="V81" i="1"/>
  <c r="Y81" i="1"/>
  <c r="U101" i="1"/>
  <c r="V101" i="1"/>
  <c r="X101" i="1"/>
  <c r="Y101" i="1"/>
  <c r="U69" i="1"/>
  <c r="V69" i="1"/>
  <c r="X69" i="1"/>
  <c r="Y69" i="1"/>
  <c r="U48" i="1"/>
  <c r="V48" i="1"/>
  <c r="X48" i="1"/>
  <c r="Y48" i="1"/>
  <c r="U73" i="1"/>
  <c r="V73" i="1"/>
  <c r="Y73" i="1"/>
  <c r="X73" i="1"/>
  <c r="U72" i="1"/>
  <c r="V72" i="1"/>
  <c r="X72" i="1"/>
  <c r="Y72" i="1"/>
  <c r="X75" i="1"/>
  <c r="U75" i="1"/>
  <c r="V75" i="1"/>
  <c r="Y75" i="1"/>
  <c r="U93" i="1"/>
  <c r="V93" i="1"/>
  <c r="X93" i="1"/>
  <c r="Y93" i="1"/>
  <c r="U76" i="1"/>
  <c r="V76" i="1"/>
  <c r="X76" i="1"/>
  <c r="Y76" i="1"/>
  <c r="U86" i="1"/>
  <c r="V86" i="1"/>
  <c r="X86" i="1"/>
  <c r="Y86" i="1"/>
  <c r="X47" i="1"/>
  <c r="U47" i="1"/>
  <c r="V47" i="1"/>
  <c r="Y47" i="1"/>
  <c r="U100" i="1"/>
  <c r="V100" i="1"/>
  <c r="X100" i="1"/>
  <c r="Y100" i="1"/>
  <c r="U78" i="1"/>
  <c r="V78" i="1"/>
  <c r="X78" i="1"/>
  <c r="Y78" i="1"/>
  <c r="U80" i="1"/>
  <c r="V80" i="1"/>
  <c r="X80" i="1"/>
  <c r="Y80" i="1"/>
  <c r="U99" i="1"/>
  <c r="V99" i="1"/>
  <c r="Y99" i="1"/>
  <c r="X99" i="1"/>
  <c r="U87" i="1"/>
  <c r="V87" i="1"/>
  <c r="X87" i="1"/>
  <c r="Y87" i="1"/>
  <c r="U52" i="1"/>
  <c r="V52" i="1"/>
  <c r="X52" i="1"/>
  <c r="Y52" i="1"/>
  <c r="V37" i="1"/>
  <c r="X37" i="1"/>
  <c r="U37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B16" i="1" l="1"/>
  <c r="F18" i="1"/>
  <c r="E18" i="1"/>
  <c r="F17" i="1"/>
  <c r="E17" i="1"/>
  <c r="P44" i="1"/>
  <c r="P109" i="1" s="1"/>
  <c r="R149" i="1" s="1"/>
  <c r="AC44" i="1"/>
  <c r="AD109" i="1"/>
  <c r="B145" i="1"/>
  <c r="B146" i="1" s="1"/>
  <c r="D146" i="1" s="1"/>
  <c r="P141" i="1" s="1"/>
  <c r="Y44" i="1"/>
  <c r="V44" i="1"/>
  <c r="O44" i="1"/>
  <c r="O109" i="1" s="1"/>
  <c r="X44" i="1"/>
  <c r="N109" i="1"/>
  <c r="L149" i="1" s="1"/>
  <c r="U44" i="1"/>
  <c r="D26" i="1"/>
  <c r="B27" i="1" s="1"/>
  <c r="D27" i="1"/>
  <c r="B28" i="1" s="1"/>
  <c r="G28" i="1" s="1"/>
  <c r="CG5" i="1" l="1"/>
  <c r="B17" i="1"/>
  <c r="CG6" i="1" s="1"/>
  <c r="H116" i="1"/>
  <c r="H117" i="1"/>
  <c r="AC109" i="1"/>
  <c r="O149" i="1"/>
  <c r="D145" i="1"/>
  <c r="Q140" i="1" s="1"/>
  <c r="R140" i="1" s="1"/>
  <c r="L19" i="1"/>
  <c r="M141" i="1"/>
  <c r="O141" i="1" s="1"/>
  <c r="N145" i="1"/>
  <c r="K145" i="1"/>
  <c r="Q145" i="1"/>
  <c r="R141" i="1"/>
  <c r="J141" i="1"/>
  <c r="L141" i="1" s="1"/>
  <c r="M19" i="1"/>
  <c r="N19" i="1"/>
  <c r="G26" i="1"/>
  <c r="F26" i="1"/>
  <c r="F27" i="1"/>
  <c r="F28" i="1"/>
  <c r="G27" i="1"/>
  <c r="CH11" i="1" l="1"/>
  <c r="CM11" i="1"/>
  <c r="CJ11" i="1"/>
  <c r="CL11" i="1"/>
  <c r="CK11" i="1"/>
  <c r="CI11" i="1"/>
  <c r="CP11" i="1"/>
  <c r="CS11" i="1"/>
  <c r="CR11" i="1"/>
  <c r="CQ11" i="1"/>
  <c r="CO11" i="1"/>
  <c r="CN11" i="1"/>
  <c r="L24" i="1"/>
  <c r="L25" i="1" s="1"/>
  <c r="CK10" i="1"/>
  <c r="CL10" i="1"/>
  <c r="CH10" i="1"/>
  <c r="CM10" i="1"/>
  <c r="CI10" i="1"/>
  <c r="CJ10" i="1"/>
  <c r="CG9" i="1"/>
  <c r="CQ10" i="1"/>
  <c r="CS10" i="1"/>
  <c r="CO10" i="1"/>
  <c r="CP10" i="1"/>
  <c r="CR10" i="1"/>
  <c r="CN10" i="1"/>
  <c r="J145" i="1"/>
  <c r="L145" i="1" s="1"/>
  <c r="N140" i="1"/>
  <c r="O140" i="1" s="1"/>
  <c r="O142" i="1" s="1"/>
  <c r="P145" i="1"/>
  <c r="R145" i="1" s="1"/>
  <c r="K140" i="1"/>
  <c r="L140" i="1" s="1"/>
  <c r="L142" i="1" s="1"/>
  <c r="M145" i="1"/>
  <c r="O145" i="1" s="1"/>
  <c r="H28" i="1"/>
  <c r="R142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CG11" i="1" l="1"/>
  <c r="CG10" i="1"/>
  <c r="L147" i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L31" i="1" l="1"/>
  <c r="L30" i="1"/>
  <c r="CG14" i="1"/>
  <c r="CG13" i="1"/>
  <c r="E117" i="1"/>
  <c r="E116" i="1"/>
  <c r="L151" i="1"/>
  <c r="L153" i="1" s="1"/>
  <c r="J3" i="1" s="1"/>
  <c r="V147" i="1"/>
  <c r="R153" i="1"/>
  <c r="O153" i="1"/>
  <c r="B113" i="1"/>
  <c r="B117" i="1" s="1"/>
  <c r="B116" i="1" l="1"/>
  <c r="J4" i="1" s="1"/>
  <c r="J5" i="1"/>
  <c r="I117" i="1"/>
  <c r="F117" i="1"/>
  <c r="I116" i="1"/>
  <c r="F116" i="1"/>
  <c r="L4" i="1" l="1"/>
  <c r="L3" i="1" l="1"/>
  <c r="Z38" i="1"/>
  <c r="AA38" i="1" l="1"/>
  <c r="L5" i="1"/>
  <c r="J7" i="1"/>
  <c r="J6" i="1"/>
  <c r="J14" i="1" l="1"/>
  <c r="L6" i="1"/>
</calcChain>
</file>

<file path=xl/sharedStrings.xml><?xml version="1.0" encoding="utf-8"?>
<sst xmlns="http://schemas.openxmlformats.org/spreadsheetml/2006/main" count="239" uniqueCount="159">
  <si>
    <t>in</t>
  </si>
  <si>
    <t>f'c</t>
  </si>
  <si>
    <t>ksi</t>
  </si>
  <si>
    <t>Ec</t>
  </si>
  <si>
    <t>Beta1</t>
  </si>
  <si>
    <t>Ec Calc: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</si>
  <si>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</si>
  <si>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</si>
  <si>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</si>
  <si>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</si>
  <si>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</si>
  <si>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</si>
  <si>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</si>
  <si>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</si>
  <si>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</si>
  <si>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</si>
  <si>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</si>
  <si>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</si>
  <si>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</si>
  <si>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</si>
  <si>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</si>
  <si>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</si>
  <si>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</si>
  <si>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</si>
  <si>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</si>
  <si>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</si>
  <si>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</si>
  <si>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</si>
  <si>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</si>
  <si>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</si>
  <si>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</si>
  <si>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</si>
  <si>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</si>
  <si>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</si>
  <si>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</si>
  <si>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</si>
  <si>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</si>
  <si>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</si>
  <si>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</si>
  <si>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</si>
  <si>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</si>
  <si>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</si>
  <si>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</si>
  <si>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</si>
  <si>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</si>
  <si>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</si>
  <si>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</si>
  <si>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</si>
  <si>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</si>
  <si>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</si>
  <si>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</si>
  <si>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</si>
  <si>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</si>
  <si>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</si>
  <si>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</si>
  <si>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</si>
  <si>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</si>
  <si>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</si>
  <si>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</si>
  <si>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</si>
  <si>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</si>
  <si>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</si>
  <si>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</si>
  <si>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</si>
  <si>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</si>
  <si>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</si>
  <si>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</si>
  <si>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</si>
  <si>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</si>
  <si>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</si>
  <si>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</si>
  <si>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</si>
  <si>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</si>
  <si>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</si>
  <si>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</si>
  <si>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</si>
  <si>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</si>
  <si>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</si>
  <si>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</si>
  <si>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</si>
  <si>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</si>
  <si>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</si>
  <si>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</si>
  <si>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</si>
  <si>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</si>
  <si>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</si>
  <si>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</si>
  <si>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</si>
  <si>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</si>
  <si>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</si>
  <si>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</si>
  <si>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</si>
  <si>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</si>
  <si>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</si>
  <si>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</si>
  <si>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</si>
  <si>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</si>
  <si>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</si>
  <si>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</si>
  <si>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</si>
  <si>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</si>
  <si>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</si>
  <si>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</si>
  <si>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</si>
  <si>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</si>
  <si>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</si>
  <si>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</si>
  <si>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</si>
  <si>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</si>
  <si>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</si>
  <si>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</si>
  <si>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</si>
  <si>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</si>
  <si>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</si>
  <si>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</si>
  <si>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</si>
  <si>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</si>
  <si>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</si>
  <si>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</si>
  <si>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</si>
  <si>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</si>
  <si>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</si>
  <si>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</si>
  <si>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</si>
  <si>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</si>
  <si>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</si>
  <si>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</si>
  <si>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</si>
  <si>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</si>
  <si>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</si>
  <si>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</si>
  <si>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</si>
  <si>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Mx,n</t>
  </si>
  <si>
    <t>My,n</t>
  </si>
  <si>
    <t>M</t>
  </si>
  <si>
    <t>Mn</t>
  </si>
  <si>
    <t>Pn</t>
  </si>
  <si>
    <t>d for all compression:</t>
  </si>
  <si>
    <t>Density:</t>
  </si>
  <si>
    <t>pcf</t>
  </si>
  <si>
    <t>Tie Type:</t>
  </si>
  <si>
    <t>PvM Run Time:</t>
  </si>
  <si>
    <t>Solver Run Time:</t>
  </si>
  <si>
    <t>First Bar @ Angle:</t>
  </si>
  <si>
    <t>cover to main bar:</t>
  </si>
  <si>
    <t>Mu/phiMn</t>
  </si>
  <si>
    <t>|Mu|</t>
  </si>
  <si>
    <t>|phi Mn|</t>
  </si>
  <si>
    <t>Other</t>
  </si>
  <si>
    <t>Bar # :</t>
  </si>
  <si>
    <t># of Bars:</t>
  </si>
  <si>
    <t>Density</t>
  </si>
  <si>
    <t>Whitney</t>
  </si>
  <si>
    <t>a</t>
  </si>
  <si>
    <t>b</t>
  </si>
  <si>
    <t>t1</t>
  </si>
  <si>
    <t>t2</t>
  </si>
  <si>
    <t>r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</si>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</sst>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/>
    <xf numFmtId="167" fontId="0" fillId="0" borderId="0" xfId="0" applyNumberFormat="1"/>
    <xf numFmtId="0" fontId="0" fillId="0" borderId="13" xfId="0" applyFill="1" applyBorder="1" applyAlignment="1">
      <alignment horizontal="right"/>
    </xf>
    <xf numFmtId="169" fontId="0" fillId="2" borderId="0" xfId="0" applyNumberForma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4.xml"/><Relationship Id="rId10" Type="http://schemas.microsoft.com/office/2006/relationships/vbaProject" Target="vbaProject.bin"/><Relationship Id="rId4" Type="http://schemas.openxmlformats.org/officeDocument/2006/relationships/chartsheet" Target="chart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3"/>
          <c:order val="1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3.3753720762956672</c:v>
                </c:pt>
                <c:pt idx="1">
                  <c:v>-11.51550534481937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11.51550534481937</c:v>
                </c:pt>
                <c:pt idx="1">
                  <c:v>-3.3753720762956654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2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2.1249083889176781</c:v>
                </c:pt>
                <c:pt idx="1">
                  <c:v>-11.810366816433234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11.810366816433234</c:v>
                </c:pt>
                <c:pt idx="1">
                  <c:v>-2.1249083889176772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2"/>
          <c:order val="3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8.1875</c:v>
                </c:pt>
                <c:pt idx="1">
                  <c:v>5.7894367709648584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-5.7894367709648593</c:v>
                </c:pt>
                <c:pt idx="6">
                  <c:v>-1.504635446184649E-15</c:v>
                </c:pt>
                <c:pt idx="7">
                  <c:v>5.7894367709648566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0</c:v>
                </c:pt>
                <c:pt idx="1">
                  <c:v>5.7894367709648575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-5.7894367709648575</c:v>
                </c:pt>
                <c:pt idx="6">
                  <c:v>-8.1875</c:v>
                </c:pt>
                <c:pt idx="7">
                  <c:v>-5.7894367709648593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5.0154514872821632E-16</c:v>
                </c:pt>
                <c:pt idx="3">
                  <c:v>-5.7894367709648575</c:v>
                </c:pt>
                <c:pt idx="4">
                  <c:v>-8.1875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8.1875</c:v>
                </c:pt>
                <c:pt idx="3">
                  <c:v>5.7894367709648584</c:v>
                </c:pt>
                <c:pt idx="4">
                  <c:v>1.0030902974564326E-15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188.92359248855291</c:v>
                </c:pt>
                <c:pt idx="1">
                  <c:v>188.49016311963047</c:v>
                </c:pt>
                <c:pt idx="2">
                  <c:v>187.17108586502252</c:v>
                </c:pt>
                <c:pt idx="3">
                  <c:v>184.91356023285431</c:v>
                </c:pt>
                <c:pt idx="4">
                  <c:v>181.67273775482417</c:v>
                </c:pt>
                <c:pt idx="5">
                  <c:v>174.29590601413042</c:v>
                </c:pt>
                <c:pt idx="6">
                  <c:v>164.93468585898373</c:v>
                </c:pt>
                <c:pt idx="7">
                  <c:v>155.10725065147548</c:v>
                </c:pt>
                <c:pt idx="8">
                  <c:v>144.65012571630237</c:v>
                </c:pt>
                <c:pt idx="9">
                  <c:v>133.58915337477967</c:v>
                </c:pt>
                <c:pt idx="10">
                  <c:v>121.91521934139604</c:v>
                </c:pt>
                <c:pt idx="11">
                  <c:v>109.59263746293841</c:v>
                </c:pt>
                <c:pt idx="12">
                  <c:v>96.572578889013059</c:v>
                </c:pt>
                <c:pt idx="13">
                  <c:v>82.628143632192561</c:v>
                </c:pt>
                <c:pt idx="14">
                  <c:v>64.818896396465462</c:v>
                </c:pt>
                <c:pt idx="15">
                  <c:v>48.339309414666495</c:v>
                </c:pt>
                <c:pt idx="16">
                  <c:v>32.183691628697375</c:v>
                </c:pt>
                <c:pt idx="17">
                  <c:v>16.076006467337677</c:v>
                </c:pt>
                <c:pt idx="18">
                  <c:v>1.3315810932251124E-13</c:v>
                </c:pt>
                <c:pt idx="19">
                  <c:v>-16.076006467337368</c:v>
                </c:pt>
                <c:pt idx="20">
                  <c:v>-32.183691628697055</c:v>
                </c:pt>
                <c:pt idx="21">
                  <c:v>-48.339309414666161</c:v>
                </c:pt>
                <c:pt idx="22">
                  <c:v>-64.818896396465092</c:v>
                </c:pt>
                <c:pt idx="23">
                  <c:v>-82.628143632192348</c:v>
                </c:pt>
                <c:pt idx="24">
                  <c:v>-96.572578889012888</c:v>
                </c:pt>
                <c:pt idx="25">
                  <c:v>-109.59263746293816</c:v>
                </c:pt>
                <c:pt idx="26">
                  <c:v>-121.91521934139581</c:v>
                </c:pt>
                <c:pt idx="27">
                  <c:v>-133.58915337477944</c:v>
                </c:pt>
                <c:pt idx="28">
                  <c:v>-144.65012571630214</c:v>
                </c:pt>
                <c:pt idx="29">
                  <c:v>-155.10725065147534</c:v>
                </c:pt>
                <c:pt idx="30">
                  <c:v>-164.93468585898353</c:v>
                </c:pt>
                <c:pt idx="31">
                  <c:v>-174.29590601413014</c:v>
                </c:pt>
                <c:pt idx="32">
                  <c:v>-181.67273775482411</c:v>
                </c:pt>
                <c:pt idx="33">
                  <c:v>-184.91356023285425</c:v>
                </c:pt>
                <c:pt idx="34">
                  <c:v>-187.17108586502246</c:v>
                </c:pt>
                <c:pt idx="35">
                  <c:v>-188.49016311963041</c:v>
                </c:pt>
                <c:pt idx="36">
                  <c:v>-188.92359248855291</c:v>
                </c:pt>
                <c:pt idx="37">
                  <c:v>-188.49016311963058</c:v>
                </c:pt>
                <c:pt idx="38">
                  <c:v>-187.17108586502249</c:v>
                </c:pt>
                <c:pt idx="39">
                  <c:v>-184.91356023285439</c:v>
                </c:pt>
                <c:pt idx="40">
                  <c:v>-181.67273775482417</c:v>
                </c:pt>
                <c:pt idx="41">
                  <c:v>-174.29590601413068</c:v>
                </c:pt>
                <c:pt idx="42">
                  <c:v>-164.9346858589841</c:v>
                </c:pt>
                <c:pt idx="43">
                  <c:v>-155.10725065147588</c:v>
                </c:pt>
                <c:pt idx="44">
                  <c:v>-144.65012571630274</c:v>
                </c:pt>
                <c:pt idx="45">
                  <c:v>-133.58915337478007</c:v>
                </c:pt>
                <c:pt idx="46">
                  <c:v>-121.91521934139639</c:v>
                </c:pt>
                <c:pt idx="47">
                  <c:v>-109.59263746293887</c:v>
                </c:pt>
                <c:pt idx="48">
                  <c:v>-96.572578889013556</c:v>
                </c:pt>
                <c:pt idx="49">
                  <c:v>-82.628143632193044</c:v>
                </c:pt>
                <c:pt idx="50">
                  <c:v>-64.818896396466002</c:v>
                </c:pt>
                <c:pt idx="51">
                  <c:v>-48.339309414667099</c:v>
                </c:pt>
                <c:pt idx="52">
                  <c:v>-32.18369162869795</c:v>
                </c:pt>
                <c:pt idx="53">
                  <c:v>-16.076006467338267</c:v>
                </c:pt>
                <c:pt idx="54">
                  <c:v>-6.9098895094622168E-13</c:v>
                </c:pt>
                <c:pt idx="55">
                  <c:v>16.076006467336789</c:v>
                </c:pt>
                <c:pt idx="56">
                  <c:v>32.183691628696479</c:v>
                </c:pt>
                <c:pt idx="57">
                  <c:v>48.339309414665628</c:v>
                </c:pt>
                <c:pt idx="58">
                  <c:v>64.818896396464581</c:v>
                </c:pt>
                <c:pt idx="59">
                  <c:v>82.628143632191808</c:v>
                </c:pt>
                <c:pt idx="60">
                  <c:v>96.572578889012377</c:v>
                </c:pt>
                <c:pt idx="61">
                  <c:v>109.59263746293776</c:v>
                </c:pt>
                <c:pt idx="62">
                  <c:v>121.9152193413953</c:v>
                </c:pt>
                <c:pt idx="63">
                  <c:v>133.58915337477904</c:v>
                </c:pt>
                <c:pt idx="64">
                  <c:v>144.6501257163018</c:v>
                </c:pt>
                <c:pt idx="65">
                  <c:v>155.10725065147491</c:v>
                </c:pt>
                <c:pt idx="66">
                  <c:v>164.93468585898316</c:v>
                </c:pt>
                <c:pt idx="67">
                  <c:v>174.29590601412986</c:v>
                </c:pt>
                <c:pt idx="68">
                  <c:v>181.67273775482386</c:v>
                </c:pt>
                <c:pt idx="69">
                  <c:v>184.91356023285408</c:v>
                </c:pt>
                <c:pt idx="70">
                  <c:v>187.17108586502232</c:v>
                </c:pt>
                <c:pt idx="71">
                  <c:v>188.49016311963035</c:v>
                </c:pt>
                <c:pt idx="72">
                  <c:v>188.92359248855291</c:v>
                </c:pt>
                <c:pt idx="73">
                  <c:v>188.92359248855291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-8.5265128291212019E-15</c:v>
                </c:pt>
                <c:pt idx="1">
                  <c:v>-16.076006467337528</c:v>
                </c:pt>
                <c:pt idx="2">
                  <c:v>-32.18369162869724</c:v>
                </c:pt>
                <c:pt idx="3">
                  <c:v>-48.339309414666417</c:v>
                </c:pt>
                <c:pt idx="4">
                  <c:v>-64.818896396465419</c:v>
                </c:pt>
                <c:pt idx="5">
                  <c:v>-82.628143632192547</c:v>
                </c:pt>
                <c:pt idx="6">
                  <c:v>-96.572578889013045</c:v>
                </c:pt>
                <c:pt idx="7">
                  <c:v>-109.59263746293837</c:v>
                </c:pt>
                <c:pt idx="8">
                  <c:v>-121.915219341396</c:v>
                </c:pt>
                <c:pt idx="9">
                  <c:v>-133.58915337477961</c:v>
                </c:pt>
                <c:pt idx="10">
                  <c:v>-144.65012571630231</c:v>
                </c:pt>
                <c:pt idx="11">
                  <c:v>-155.10725065147548</c:v>
                </c:pt>
                <c:pt idx="12">
                  <c:v>-164.93468585898373</c:v>
                </c:pt>
                <c:pt idx="13">
                  <c:v>-174.29590601413042</c:v>
                </c:pt>
                <c:pt idx="14">
                  <c:v>-181.67273775482417</c:v>
                </c:pt>
                <c:pt idx="15">
                  <c:v>-184.91356023285428</c:v>
                </c:pt>
                <c:pt idx="16">
                  <c:v>-187.17108586502246</c:v>
                </c:pt>
                <c:pt idx="17">
                  <c:v>-188.49016311963044</c:v>
                </c:pt>
                <c:pt idx="18">
                  <c:v>-188.92359248855291</c:v>
                </c:pt>
                <c:pt idx="19">
                  <c:v>-188.49016311963047</c:v>
                </c:pt>
                <c:pt idx="20">
                  <c:v>-187.17108586502246</c:v>
                </c:pt>
                <c:pt idx="21">
                  <c:v>-184.91356023285431</c:v>
                </c:pt>
                <c:pt idx="22">
                  <c:v>-181.67273775482417</c:v>
                </c:pt>
                <c:pt idx="23">
                  <c:v>-174.29590601413054</c:v>
                </c:pt>
                <c:pt idx="24">
                  <c:v>-164.93468585898393</c:v>
                </c:pt>
                <c:pt idx="25">
                  <c:v>-155.10725065147562</c:v>
                </c:pt>
                <c:pt idx="26">
                  <c:v>-144.65012571630254</c:v>
                </c:pt>
                <c:pt idx="27">
                  <c:v>-133.58915337477984</c:v>
                </c:pt>
                <c:pt idx="28">
                  <c:v>-121.91521934139625</c:v>
                </c:pt>
                <c:pt idx="29">
                  <c:v>-109.59263746293865</c:v>
                </c:pt>
                <c:pt idx="30">
                  <c:v>-96.572578889013329</c:v>
                </c:pt>
                <c:pt idx="31">
                  <c:v>-82.628143632192831</c:v>
                </c:pt>
                <c:pt idx="32">
                  <c:v>-64.81889639646576</c:v>
                </c:pt>
                <c:pt idx="33">
                  <c:v>-48.339309414666801</c:v>
                </c:pt>
                <c:pt idx="34">
                  <c:v>-32.183691628697694</c:v>
                </c:pt>
                <c:pt idx="35">
                  <c:v>-16.076006467337976</c:v>
                </c:pt>
                <c:pt idx="36">
                  <c:v>-4.362457046728562E-13</c:v>
                </c:pt>
                <c:pt idx="37">
                  <c:v>16.076006467337045</c:v>
                </c:pt>
                <c:pt idx="38">
                  <c:v>32.183691628696735</c:v>
                </c:pt>
                <c:pt idx="39">
                  <c:v>48.33930941466587</c:v>
                </c:pt>
                <c:pt idx="40">
                  <c:v>64.818896396464822</c:v>
                </c:pt>
                <c:pt idx="41">
                  <c:v>82.628143632192049</c:v>
                </c:pt>
                <c:pt idx="42">
                  <c:v>96.572578889012561</c:v>
                </c:pt>
                <c:pt idx="43">
                  <c:v>109.59263746293794</c:v>
                </c:pt>
                <c:pt idx="44">
                  <c:v>121.91521934139556</c:v>
                </c:pt>
                <c:pt idx="45">
                  <c:v>133.58915337477924</c:v>
                </c:pt>
                <c:pt idx="46">
                  <c:v>144.65012571630194</c:v>
                </c:pt>
                <c:pt idx="47">
                  <c:v>155.10725065147508</c:v>
                </c:pt>
                <c:pt idx="48">
                  <c:v>164.93468585898336</c:v>
                </c:pt>
                <c:pt idx="49">
                  <c:v>174.29590601412997</c:v>
                </c:pt>
                <c:pt idx="50">
                  <c:v>181.67273775482394</c:v>
                </c:pt>
                <c:pt idx="51">
                  <c:v>184.91356023285419</c:v>
                </c:pt>
                <c:pt idx="52">
                  <c:v>187.17108586502243</c:v>
                </c:pt>
                <c:pt idx="53">
                  <c:v>188.49016311963041</c:v>
                </c:pt>
                <c:pt idx="54">
                  <c:v>188.92359248855291</c:v>
                </c:pt>
                <c:pt idx="55">
                  <c:v>188.49016311963058</c:v>
                </c:pt>
                <c:pt idx="56">
                  <c:v>187.17108586502255</c:v>
                </c:pt>
                <c:pt idx="57">
                  <c:v>184.91356023285439</c:v>
                </c:pt>
                <c:pt idx="58">
                  <c:v>181.67273775482428</c:v>
                </c:pt>
                <c:pt idx="59">
                  <c:v>174.29590601413076</c:v>
                </c:pt>
                <c:pt idx="60">
                  <c:v>164.93468585898415</c:v>
                </c:pt>
                <c:pt idx="61">
                  <c:v>155.10725065147608</c:v>
                </c:pt>
                <c:pt idx="62">
                  <c:v>144.65012571630291</c:v>
                </c:pt>
                <c:pt idx="63">
                  <c:v>133.58915337478024</c:v>
                </c:pt>
                <c:pt idx="64">
                  <c:v>121.91521934139668</c:v>
                </c:pt>
                <c:pt idx="65">
                  <c:v>109.59263746293912</c:v>
                </c:pt>
                <c:pt idx="66">
                  <c:v>96.572578889013812</c:v>
                </c:pt>
                <c:pt idx="67">
                  <c:v>82.628143632193343</c:v>
                </c:pt>
                <c:pt idx="68">
                  <c:v>64.818896396466357</c:v>
                </c:pt>
                <c:pt idx="69">
                  <c:v>48.339309414667404</c:v>
                </c:pt>
                <c:pt idx="70">
                  <c:v>32.18369162869827</c:v>
                </c:pt>
                <c:pt idx="71">
                  <c:v>16.076006467338573</c:v>
                </c:pt>
                <c:pt idx="72">
                  <c:v>1.0232362415080231E-12</c:v>
                </c:pt>
                <c:pt idx="73">
                  <c:v>3.7765376657506072E-14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209.91510276505878</c:v>
                </c:pt>
                <c:pt idx="1">
                  <c:v>209.43351457736719</c:v>
                </c:pt>
                <c:pt idx="2">
                  <c:v>207.96787318335834</c:v>
                </c:pt>
                <c:pt idx="3">
                  <c:v>205.45951136983811</c:v>
                </c:pt>
                <c:pt idx="4">
                  <c:v>201.85859750536019</c:v>
                </c:pt>
                <c:pt idx="5">
                  <c:v>193.66211779347825</c:v>
                </c:pt>
                <c:pt idx="6">
                  <c:v>183.26076206553748</c:v>
                </c:pt>
                <c:pt idx="7">
                  <c:v>172.34138961275053</c:v>
                </c:pt>
                <c:pt idx="8">
                  <c:v>160.72236190700264</c:v>
                </c:pt>
                <c:pt idx="9">
                  <c:v>148.43239263864407</c:v>
                </c:pt>
                <c:pt idx="10">
                  <c:v>135.46135482377338</c:v>
                </c:pt>
                <c:pt idx="11">
                  <c:v>121.76959718104268</c:v>
                </c:pt>
                <c:pt idx="12">
                  <c:v>107.30286543223673</c:v>
                </c:pt>
                <c:pt idx="13">
                  <c:v>91.80904848021396</c:v>
                </c:pt>
                <c:pt idx="14">
                  <c:v>72.020995996072728</c:v>
                </c:pt>
                <c:pt idx="15">
                  <c:v>53.710343794073879</c:v>
                </c:pt>
                <c:pt idx="16">
                  <c:v>35.759657365219304</c:v>
                </c:pt>
                <c:pt idx="17">
                  <c:v>17.862229408152974</c:v>
                </c:pt>
                <c:pt idx="18">
                  <c:v>1.4795345480279026E-13</c:v>
                </c:pt>
                <c:pt idx="19">
                  <c:v>-17.862229408152633</c:v>
                </c:pt>
                <c:pt idx="20">
                  <c:v>-35.759657365218949</c:v>
                </c:pt>
                <c:pt idx="21">
                  <c:v>-53.710343794073509</c:v>
                </c:pt>
                <c:pt idx="22">
                  <c:v>-72.02099599607233</c:v>
                </c:pt>
                <c:pt idx="23">
                  <c:v>-91.809048480213718</c:v>
                </c:pt>
                <c:pt idx="24">
                  <c:v>-107.30286543223654</c:v>
                </c:pt>
                <c:pt idx="25">
                  <c:v>-121.7695971810424</c:v>
                </c:pt>
                <c:pt idx="26">
                  <c:v>-135.46135482377312</c:v>
                </c:pt>
                <c:pt idx="27">
                  <c:v>-148.43239263864382</c:v>
                </c:pt>
                <c:pt idx="28">
                  <c:v>-160.72236190700238</c:v>
                </c:pt>
                <c:pt idx="29">
                  <c:v>-172.34138961275036</c:v>
                </c:pt>
                <c:pt idx="30">
                  <c:v>-183.26076206553725</c:v>
                </c:pt>
                <c:pt idx="31">
                  <c:v>-193.66211779347793</c:v>
                </c:pt>
                <c:pt idx="32">
                  <c:v>-201.85859750536011</c:v>
                </c:pt>
                <c:pt idx="33">
                  <c:v>-205.45951136983805</c:v>
                </c:pt>
                <c:pt idx="34">
                  <c:v>-207.96787318335828</c:v>
                </c:pt>
                <c:pt idx="35">
                  <c:v>-209.43351457736711</c:v>
                </c:pt>
                <c:pt idx="36">
                  <c:v>-209.91510276505878</c:v>
                </c:pt>
                <c:pt idx="37">
                  <c:v>-209.4335145773673</c:v>
                </c:pt>
                <c:pt idx="38">
                  <c:v>-207.96787318335831</c:v>
                </c:pt>
                <c:pt idx="39">
                  <c:v>-205.4595113698382</c:v>
                </c:pt>
                <c:pt idx="40">
                  <c:v>-201.85859750536019</c:v>
                </c:pt>
                <c:pt idx="41">
                  <c:v>-193.66211779347853</c:v>
                </c:pt>
                <c:pt idx="42">
                  <c:v>-183.26076206553788</c:v>
                </c:pt>
                <c:pt idx="43">
                  <c:v>-172.34138961275099</c:v>
                </c:pt>
                <c:pt idx="44">
                  <c:v>-160.72236190700303</c:v>
                </c:pt>
                <c:pt idx="45">
                  <c:v>-148.43239263864453</c:v>
                </c:pt>
                <c:pt idx="46">
                  <c:v>-135.46135482377377</c:v>
                </c:pt>
                <c:pt idx="47">
                  <c:v>-121.76959718104318</c:v>
                </c:pt>
                <c:pt idx="48">
                  <c:v>-107.30286543223728</c:v>
                </c:pt>
                <c:pt idx="49">
                  <c:v>-91.809048480214486</c:v>
                </c:pt>
                <c:pt idx="50">
                  <c:v>-72.020995996073339</c:v>
                </c:pt>
                <c:pt idx="51">
                  <c:v>-53.710343794074554</c:v>
                </c:pt>
                <c:pt idx="52">
                  <c:v>-35.759657365219944</c:v>
                </c:pt>
                <c:pt idx="53">
                  <c:v>-17.862229408153631</c:v>
                </c:pt>
                <c:pt idx="54">
                  <c:v>-7.6776550105135736E-13</c:v>
                </c:pt>
                <c:pt idx="55">
                  <c:v>17.862229408151986</c:v>
                </c:pt>
                <c:pt idx="56">
                  <c:v>35.75965736521831</c:v>
                </c:pt>
                <c:pt idx="57">
                  <c:v>53.710343794072919</c:v>
                </c:pt>
                <c:pt idx="58">
                  <c:v>72.020995996071761</c:v>
                </c:pt>
                <c:pt idx="59">
                  <c:v>91.809048480213121</c:v>
                </c:pt>
                <c:pt idx="60">
                  <c:v>107.30286543223598</c:v>
                </c:pt>
                <c:pt idx="61">
                  <c:v>121.76959718104195</c:v>
                </c:pt>
                <c:pt idx="62">
                  <c:v>135.46135482377255</c:v>
                </c:pt>
                <c:pt idx="63">
                  <c:v>148.43239263864339</c:v>
                </c:pt>
                <c:pt idx="64">
                  <c:v>160.72236190700201</c:v>
                </c:pt>
                <c:pt idx="65">
                  <c:v>172.34138961274991</c:v>
                </c:pt>
                <c:pt idx="66">
                  <c:v>183.26076206553685</c:v>
                </c:pt>
                <c:pt idx="67">
                  <c:v>193.66211779347762</c:v>
                </c:pt>
                <c:pt idx="68">
                  <c:v>201.85859750535982</c:v>
                </c:pt>
                <c:pt idx="69">
                  <c:v>205.45951136983786</c:v>
                </c:pt>
                <c:pt idx="70">
                  <c:v>207.96787318335814</c:v>
                </c:pt>
                <c:pt idx="71">
                  <c:v>209.43351457736705</c:v>
                </c:pt>
                <c:pt idx="72">
                  <c:v>209.91510276505878</c:v>
                </c:pt>
                <c:pt idx="73">
                  <c:v>209.91510276505878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-9.473903143468002E-15</c:v>
                </c:pt>
                <c:pt idx="1">
                  <c:v>-17.86222940815281</c:v>
                </c:pt>
                <c:pt idx="2">
                  <c:v>-35.759657365219155</c:v>
                </c:pt>
                <c:pt idx="3">
                  <c:v>-53.710343794073793</c:v>
                </c:pt>
                <c:pt idx="4">
                  <c:v>-72.020995996072685</c:v>
                </c:pt>
                <c:pt idx="5">
                  <c:v>-91.809048480213946</c:v>
                </c:pt>
                <c:pt idx="6">
                  <c:v>-107.30286543223671</c:v>
                </c:pt>
                <c:pt idx="7">
                  <c:v>-121.76959718104263</c:v>
                </c:pt>
                <c:pt idx="8">
                  <c:v>-135.46135482377332</c:v>
                </c:pt>
                <c:pt idx="9">
                  <c:v>-148.43239263864402</c:v>
                </c:pt>
                <c:pt idx="10">
                  <c:v>-160.72236190700258</c:v>
                </c:pt>
                <c:pt idx="11">
                  <c:v>-172.34138961275053</c:v>
                </c:pt>
                <c:pt idx="12">
                  <c:v>-183.26076206553748</c:v>
                </c:pt>
                <c:pt idx="13">
                  <c:v>-193.66211779347825</c:v>
                </c:pt>
                <c:pt idx="14">
                  <c:v>-201.85859750536019</c:v>
                </c:pt>
                <c:pt idx="15">
                  <c:v>-205.45951136983808</c:v>
                </c:pt>
                <c:pt idx="16">
                  <c:v>-207.96787318335828</c:v>
                </c:pt>
                <c:pt idx="17">
                  <c:v>-209.43351457736713</c:v>
                </c:pt>
                <c:pt idx="18">
                  <c:v>-209.91510276505878</c:v>
                </c:pt>
                <c:pt idx="19">
                  <c:v>-209.43351457736719</c:v>
                </c:pt>
                <c:pt idx="20">
                  <c:v>-207.96787318335828</c:v>
                </c:pt>
                <c:pt idx="21">
                  <c:v>-205.45951136983811</c:v>
                </c:pt>
                <c:pt idx="22">
                  <c:v>-201.85859750536019</c:v>
                </c:pt>
                <c:pt idx="23">
                  <c:v>-193.66211779347836</c:v>
                </c:pt>
                <c:pt idx="24">
                  <c:v>-183.2607620655377</c:v>
                </c:pt>
                <c:pt idx="25">
                  <c:v>-172.3413896127507</c:v>
                </c:pt>
                <c:pt idx="26">
                  <c:v>-160.72236190700281</c:v>
                </c:pt>
                <c:pt idx="27">
                  <c:v>-148.43239263864427</c:v>
                </c:pt>
                <c:pt idx="28">
                  <c:v>-135.4613548237736</c:v>
                </c:pt>
                <c:pt idx="29">
                  <c:v>-121.76959718104294</c:v>
                </c:pt>
                <c:pt idx="30">
                  <c:v>-107.30286543223703</c:v>
                </c:pt>
                <c:pt idx="31">
                  <c:v>-91.809048480214258</c:v>
                </c:pt>
                <c:pt idx="32">
                  <c:v>-72.020995996073069</c:v>
                </c:pt>
                <c:pt idx="33">
                  <c:v>-53.71034379407422</c:v>
                </c:pt>
                <c:pt idx="34">
                  <c:v>-35.75965736521966</c:v>
                </c:pt>
                <c:pt idx="35">
                  <c:v>-17.862229408153308</c:v>
                </c:pt>
                <c:pt idx="36">
                  <c:v>-4.8471744963650685E-13</c:v>
                </c:pt>
                <c:pt idx="37">
                  <c:v>17.86222940815227</c:v>
                </c:pt>
                <c:pt idx="38">
                  <c:v>35.759657365218594</c:v>
                </c:pt>
                <c:pt idx="39">
                  <c:v>53.710343794073189</c:v>
                </c:pt>
                <c:pt idx="40">
                  <c:v>72.020995996072017</c:v>
                </c:pt>
                <c:pt idx="41">
                  <c:v>91.809048480213391</c:v>
                </c:pt>
                <c:pt idx="42">
                  <c:v>107.30286543223617</c:v>
                </c:pt>
                <c:pt idx="43">
                  <c:v>121.76959718104216</c:v>
                </c:pt>
                <c:pt idx="44">
                  <c:v>135.46135482377284</c:v>
                </c:pt>
                <c:pt idx="45">
                  <c:v>148.43239263864359</c:v>
                </c:pt>
                <c:pt idx="46">
                  <c:v>160.72236190700215</c:v>
                </c:pt>
                <c:pt idx="47">
                  <c:v>172.34138961275008</c:v>
                </c:pt>
                <c:pt idx="48">
                  <c:v>183.26076206553705</c:v>
                </c:pt>
                <c:pt idx="49">
                  <c:v>193.66211779347773</c:v>
                </c:pt>
                <c:pt idx="50">
                  <c:v>201.85859750535994</c:v>
                </c:pt>
                <c:pt idx="51">
                  <c:v>205.459511369838</c:v>
                </c:pt>
                <c:pt idx="52">
                  <c:v>207.96787318335825</c:v>
                </c:pt>
                <c:pt idx="53">
                  <c:v>209.43351457736711</c:v>
                </c:pt>
                <c:pt idx="54">
                  <c:v>209.91510276505878</c:v>
                </c:pt>
                <c:pt idx="55">
                  <c:v>209.4335145773673</c:v>
                </c:pt>
                <c:pt idx="56">
                  <c:v>207.96787318335839</c:v>
                </c:pt>
                <c:pt idx="57">
                  <c:v>205.4595113698382</c:v>
                </c:pt>
                <c:pt idx="58">
                  <c:v>201.85859750536031</c:v>
                </c:pt>
                <c:pt idx="59">
                  <c:v>193.66211779347861</c:v>
                </c:pt>
                <c:pt idx="60">
                  <c:v>183.26076206553793</c:v>
                </c:pt>
                <c:pt idx="61">
                  <c:v>172.34138961275119</c:v>
                </c:pt>
                <c:pt idx="62">
                  <c:v>160.72236190700323</c:v>
                </c:pt>
                <c:pt idx="63">
                  <c:v>148.4323926386447</c:v>
                </c:pt>
                <c:pt idx="64">
                  <c:v>135.46135482377409</c:v>
                </c:pt>
                <c:pt idx="65">
                  <c:v>121.76959718104347</c:v>
                </c:pt>
                <c:pt idx="66">
                  <c:v>107.30286543223757</c:v>
                </c:pt>
                <c:pt idx="67">
                  <c:v>91.809048480214827</c:v>
                </c:pt>
                <c:pt idx="68">
                  <c:v>72.020995996073722</c:v>
                </c:pt>
                <c:pt idx="69">
                  <c:v>53.710343794074895</c:v>
                </c:pt>
                <c:pt idx="70">
                  <c:v>35.759657365220299</c:v>
                </c:pt>
                <c:pt idx="71">
                  <c:v>17.862229408153969</c:v>
                </c:pt>
                <c:pt idx="72">
                  <c:v>1.1369291572311368E-12</c:v>
                </c:pt>
                <c:pt idx="73">
                  <c:v>4.196152961945119E-14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30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175.125845712678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175.12584571267797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30</c:v>
                </c:pt>
                <c:pt idx="2">
                  <c:v>175.125845712678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30</c:v>
                </c:pt>
                <c:pt idx="2">
                  <c:v>175.12584571267797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96130619354791"/>
          <c:y val="8.8939232913153282E-2"/>
          <c:w val="0.75684441134620783"/>
          <c:h val="0.84272719894062587"/>
        </c:manualLayout>
      </c:layout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188.92359248855291</c:v>
                </c:pt>
                <c:pt idx="1">
                  <c:v>188.49016311963047</c:v>
                </c:pt>
                <c:pt idx="2">
                  <c:v>187.17108586502252</c:v>
                </c:pt>
                <c:pt idx="3">
                  <c:v>184.91356023285431</c:v>
                </c:pt>
                <c:pt idx="4">
                  <c:v>181.67273775482417</c:v>
                </c:pt>
                <c:pt idx="5">
                  <c:v>174.29590601413042</c:v>
                </c:pt>
                <c:pt idx="6">
                  <c:v>164.93468585898373</c:v>
                </c:pt>
                <c:pt idx="7">
                  <c:v>155.10725065147548</c:v>
                </c:pt>
                <c:pt idx="8">
                  <c:v>144.65012571630237</c:v>
                </c:pt>
                <c:pt idx="9">
                  <c:v>133.58915337477967</c:v>
                </c:pt>
                <c:pt idx="10">
                  <c:v>121.91521934139604</c:v>
                </c:pt>
                <c:pt idx="11">
                  <c:v>109.59263746293841</c:v>
                </c:pt>
                <c:pt idx="12">
                  <c:v>96.572578889013059</c:v>
                </c:pt>
                <c:pt idx="13">
                  <c:v>82.628143632192561</c:v>
                </c:pt>
                <c:pt idx="14">
                  <c:v>64.818896396465462</c:v>
                </c:pt>
                <c:pt idx="15">
                  <c:v>48.339309414666495</c:v>
                </c:pt>
                <c:pt idx="16">
                  <c:v>32.183691628697375</c:v>
                </c:pt>
                <c:pt idx="17">
                  <c:v>16.076006467337677</c:v>
                </c:pt>
                <c:pt idx="18">
                  <c:v>1.3315810932251124E-13</c:v>
                </c:pt>
                <c:pt idx="19">
                  <c:v>-16.076006467337368</c:v>
                </c:pt>
                <c:pt idx="20">
                  <c:v>-32.183691628697055</c:v>
                </c:pt>
                <c:pt idx="21">
                  <c:v>-48.339309414666161</c:v>
                </c:pt>
                <c:pt idx="22">
                  <c:v>-64.818896396465092</c:v>
                </c:pt>
                <c:pt idx="23">
                  <c:v>-82.628143632192348</c:v>
                </c:pt>
                <c:pt idx="24">
                  <c:v>-96.572578889012888</c:v>
                </c:pt>
                <c:pt idx="25">
                  <c:v>-109.59263746293816</c:v>
                </c:pt>
                <c:pt idx="26">
                  <c:v>-121.91521934139581</c:v>
                </c:pt>
                <c:pt idx="27">
                  <c:v>-133.58915337477944</c:v>
                </c:pt>
                <c:pt idx="28">
                  <c:v>-144.65012571630214</c:v>
                </c:pt>
                <c:pt idx="29">
                  <c:v>-155.10725065147534</c:v>
                </c:pt>
                <c:pt idx="30">
                  <c:v>-164.93468585898353</c:v>
                </c:pt>
                <c:pt idx="31">
                  <c:v>-174.29590601413014</c:v>
                </c:pt>
                <c:pt idx="32">
                  <c:v>-181.67273775482411</c:v>
                </c:pt>
                <c:pt idx="33">
                  <c:v>-184.91356023285425</c:v>
                </c:pt>
                <c:pt idx="34">
                  <c:v>-187.17108586502246</c:v>
                </c:pt>
                <c:pt idx="35">
                  <c:v>-188.49016311963041</c:v>
                </c:pt>
                <c:pt idx="36">
                  <c:v>-188.92359248855291</c:v>
                </c:pt>
                <c:pt idx="37">
                  <c:v>-188.49016311963058</c:v>
                </c:pt>
                <c:pt idx="38">
                  <c:v>-187.17108586502249</c:v>
                </c:pt>
                <c:pt idx="39">
                  <c:v>-184.91356023285439</c:v>
                </c:pt>
                <c:pt idx="40">
                  <c:v>-181.67273775482417</c:v>
                </c:pt>
                <c:pt idx="41">
                  <c:v>-174.29590601413068</c:v>
                </c:pt>
                <c:pt idx="42">
                  <c:v>-164.9346858589841</c:v>
                </c:pt>
                <c:pt idx="43">
                  <c:v>-155.10725065147588</c:v>
                </c:pt>
                <c:pt idx="44">
                  <c:v>-144.65012571630274</c:v>
                </c:pt>
                <c:pt idx="45">
                  <c:v>-133.58915337478007</c:v>
                </c:pt>
                <c:pt idx="46">
                  <c:v>-121.91521934139639</c:v>
                </c:pt>
                <c:pt idx="47">
                  <c:v>-109.59263746293887</c:v>
                </c:pt>
                <c:pt idx="48">
                  <c:v>-96.572578889013556</c:v>
                </c:pt>
                <c:pt idx="49">
                  <c:v>-82.628143632193044</c:v>
                </c:pt>
                <c:pt idx="50">
                  <c:v>-64.818896396466002</c:v>
                </c:pt>
                <c:pt idx="51">
                  <c:v>-48.339309414667099</c:v>
                </c:pt>
                <c:pt idx="52">
                  <c:v>-32.18369162869795</c:v>
                </c:pt>
                <c:pt idx="53">
                  <c:v>-16.076006467338267</c:v>
                </c:pt>
                <c:pt idx="54">
                  <c:v>-6.9098895094622168E-13</c:v>
                </c:pt>
                <c:pt idx="55">
                  <c:v>16.076006467336789</c:v>
                </c:pt>
                <c:pt idx="56">
                  <c:v>32.183691628696479</c:v>
                </c:pt>
                <c:pt idx="57">
                  <c:v>48.339309414665628</c:v>
                </c:pt>
                <c:pt idx="58">
                  <c:v>64.818896396464581</c:v>
                </c:pt>
                <c:pt idx="59">
                  <c:v>82.628143632191808</c:v>
                </c:pt>
                <c:pt idx="60">
                  <c:v>96.572578889012377</c:v>
                </c:pt>
                <c:pt idx="61">
                  <c:v>109.59263746293776</c:v>
                </c:pt>
                <c:pt idx="62">
                  <c:v>121.9152193413953</c:v>
                </c:pt>
                <c:pt idx="63">
                  <c:v>133.58915337477904</c:v>
                </c:pt>
                <c:pt idx="64">
                  <c:v>144.6501257163018</c:v>
                </c:pt>
                <c:pt idx="65">
                  <c:v>155.10725065147491</c:v>
                </c:pt>
                <c:pt idx="66">
                  <c:v>164.93468585898316</c:v>
                </c:pt>
                <c:pt idx="67">
                  <c:v>174.29590601412986</c:v>
                </c:pt>
                <c:pt idx="68">
                  <c:v>181.67273775482386</c:v>
                </c:pt>
                <c:pt idx="69">
                  <c:v>184.91356023285408</c:v>
                </c:pt>
                <c:pt idx="70">
                  <c:v>187.17108586502232</c:v>
                </c:pt>
                <c:pt idx="71">
                  <c:v>188.49016311963035</c:v>
                </c:pt>
                <c:pt idx="72">
                  <c:v>188.92359248855291</c:v>
                </c:pt>
                <c:pt idx="73">
                  <c:v>188.92359248855291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-8.5265128291212019E-15</c:v>
                </c:pt>
                <c:pt idx="1">
                  <c:v>-16.076006467337528</c:v>
                </c:pt>
                <c:pt idx="2">
                  <c:v>-32.18369162869724</c:v>
                </c:pt>
                <c:pt idx="3">
                  <c:v>-48.339309414666417</c:v>
                </c:pt>
                <c:pt idx="4">
                  <c:v>-64.818896396465419</c:v>
                </c:pt>
                <c:pt idx="5">
                  <c:v>-82.628143632192547</c:v>
                </c:pt>
                <c:pt idx="6">
                  <c:v>-96.572578889013045</c:v>
                </c:pt>
                <c:pt idx="7">
                  <c:v>-109.59263746293837</c:v>
                </c:pt>
                <c:pt idx="8">
                  <c:v>-121.915219341396</c:v>
                </c:pt>
                <c:pt idx="9">
                  <c:v>-133.58915337477961</c:v>
                </c:pt>
                <c:pt idx="10">
                  <c:v>-144.65012571630231</c:v>
                </c:pt>
                <c:pt idx="11">
                  <c:v>-155.10725065147548</c:v>
                </c:pt>
                <c:pt idx="12">
                  <c:v>-164.93468585898373</c:v>
                </c:pt>
                <c:pt idx="13">
                  <c:v>-174.29590601413042</c:v>
                </c:pt>
                <c:pt idx="14">
                  <c:v>-181.67273775482417</c:v>
                </c:pt>
                <c:pt idx="15">
                  <c:v>-184.91356023285428</c:v>
                </c:pt>
                <c:pt idx="16">
                  <c:v>-187.17108586502246</c:v>
                </c:pt>
                <c:pt idx="17">
                  <c:v>-188.49016311963044</c:v>
                </c:pt>
                <c:pt idx="18">
                  <c:v>-188.92359248855291</c:v>
                </c:pt>
                <c:pt idx="19">
                  <c:v>-188.49016311963047</c:v>
                </c:pt>
                <c:pt idx="20">
                  <c:v>-187.17108586502246</c:v>
                </c:pt>
                <c:pt idx="21">
                  <c:v>-184.91356023285431</c:v>
                </c:pt>
                <c:pt idx="22">
                  <c:v>-181.67273775482417</c:v>
                </c:pt>
                <c:pt idx="23">
                  <c:v>-174.29590601413054</c:v>
                </c:pt>
                <c:pt idx="24">
                  <c:v>-164.93468585898393</c:v>
                </c:pt>
                <c:pt idx="25">
                  <c:v>-155.10725065147562</c:v>
                </c:pt>
                <c:pt idx="26">
                  <c:v>-144.65012571630254</c:v>
                </c:pt>
                <c:pt idx="27">
                  <c:v>-133.58915337477984</c:v>
                </c:pt>
                <c:pt idx="28">
                  <c:v>-121.91521934139625</c:v>
                </c:pt>
                <c:pt idx="29">
                  <c:v>-109.59263746293865</c:v>
                </c:pt>
                <c:pt idx="30">
                  <c:v>-96.572578889013329</c:v>
                </c:pt>
                <c:pt idx="31">
                  <c:v>-82.628143632192831</c:v>
                </c:pt>
                <c:pt idx="32">
                  <c:v>-64.81889639646576</c:v>
                </c:pt>
                <c:pt idx="33">
                  <c:v>-48.339309414666801</c:v>
                </c:pt>
                <c:pt idx="34">
                  <c:v>-32.183691628697694</c:v>
                </c:pt>
                <c:pt idx="35">
                  <c:v>-16.076006467337976</c:v>
                </c:pt>
                <c:pt idx="36">
                  <c:v>-4.362457046728562E-13</c:v>
                </c:pt>
                <c:pt idx="37">
                  <c:v>16.076006467337045</c:v>
                </c:pt>
                <c:pt idx="38">
                  <c:v>32.183691628696735</c:v>
                </c:pt>
                <c:pt idx="39">
                  <c:v>48.33930941466587</c:v>
                </c:pt>
                <c:pt idx="40">
                  <c:v>64.818896396464822</c:v>
                </c:pt>
                <c:pt idx="41">
                  <c:v>82.628143632192049</c:v>
                </c:pt>
                <c:pt idx="42">
                  <c:v>96.572578889012561</c:v>
                </c:pt>
                <c:pt idx="43">
                  <c:v>109.59263746293794</c:v>
                </c:pt>
                <c:pt idx="44">
                  <c:v>121.91521934139556</c:v>
                </c:pt>
                <c:pt idx="45">
                  <c:v>133.58915337477924</c:v>
                </c:pt>
                <c:pt idx="46">
                  <c:v>144.65012571630194</c:v>
                </c:pt>
                <c:pt idx="47">
                  <c:v>155.10725065147508</c:v>
                </c:pt>
                <c:pt idx="48">
                  <c:v>164.93468585898336</c:v>
                </c:pt>
                <c:pt idx="49">
                  <c:v>174.29590601412997</c:v>
                </c:pt>
                <c:pt idx="50">
                  <c:v>181.67273775482394</c:v>
                </c:pt>
                <c:pt idx="51">
                  <c:v>184.91356023285419</c:v>
                </c:pt>
                <c:pt idx="52">
                  <c:v>187.17108586502243</c:v>
                </c:pt>
                <c:pt idx="53">
                  <c:v>188.49016311963041</c:v>
                </c:pt>
                <c:pt idx="54">
                  <c:v>188.92359248855291</c:v>
                </c:pt>
                <c:pt idx="55">
                  <c:v>188.49016311963058</c:v>
                </c:pt>
                <c:pt idx="56">
                  <c:v>187.17108586502255</c:v>
                </c:pt>
                <c:pt idx="57">
                  <c:v>184.91356023285439</c:v>
                </c:pt>
                <c:pt idx="58">
                  <c:v>181.67273775482428</c:v>
                </c:pt>
                <c:pt idx="59">
                  <c:v>174.29590601413076</c:v>
                </c:pt>
                <c:pt idx="60">
                  <c:v>164.93468585898415</c:v>
                </c:pt>
                <c:pt idx="61">
                  <c:v>155.10725065147608</c:v>
                </c:pt>
                <c:pt idx="62">
                  <c:v>144.65012571630291</c:v>
                </c:pt>
                <c:pt idx="63">
                  <c:v>133.58915337478024</c:v>
                </c:pt>
                <c:pt idx="64">
                  <c:v>121.91521934139668</c:v>
                </c:pt>
                <c:pt idx="65">
                  <c:v>109.59263746293912</c:v>
                </c:pt>
                <c:pt idx="66">
                  <c:v>96.572578889013812</c:v>
                </c:pt>
                <c:pt idx="67">
                  <c:v>82.628143632193343</c:v>
                </c:pt>
                <c:pt idx="68">
                  <c:v>64.818896396466357</c:v>
                </c:pt>
                <c:pt idx="69">
                  <c:v>48.339309414667404</c:v>
                </c:pt>
                <c:pt idx="70">
                  <c:v>32.18369162869827</c:v>
                </c:pt>
                <c:pt idx="71">
                  <c:v>16.076006467338573</c:v>
                </c:pt>
                <c:pt idx="72">
                  <c:v>1.0232362415080231E-12</c:v>
                </c:pt>
                <c:pt idx="73">
                  <c:v>3.7765376657506072E-14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6-4EFF-9FED-91A8171ACB73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209.91510276505878</c:v>
                </c:pt>
                <c:pt idx="1">
                  <c:v>209.43351457736719</c:v>
                </c:pt>
                <c:pt idx="2">
                  <c:v>207.96787318335834</c:v>
                </c:pt>
                <c:pt idx="3">
                  <c:v>205.45951136983811</c:v>
                </c:pt>
                <c:pt idx="4">
                  <c:v>201.85859750536019</c:v>
                </c:pt>
                <c:pt idx="5">
                  <c:v>193.66211779347825</c:v>
                </c:pt>
                <c:pt idx="6">
                  <c:v>183.26076206553748</c:v>
                </c:pt>
                <c:pt idx="7">
                  <c:v>172.34138961275053</c:v>
                </c:pt>
                <c:pt idx="8">
                  <c:v>160.72236190700264</c:v>
                </c:pt>
                <c:pt idx="9">
                  <c:v>148.43239263864407</c:v>
                </c:pt>
                <c:pt idx="10">
                  <c:v>135.46135482377338</c:v>
                </c:pt>
                <c:pt idx="11">
                  <c:v>121.76959718104268</c:v>
                </c:pt>
                <c:pt idx="12">
                  <c:v>107.30286543223673</c:v>
                </c:pt>
                <c:pt idx="13">
                  <c:v>91.80904848021396</c:v>
                </c:pt>
                <c:pt idx="14">
                  <c:v>72.020995996072728</c:v>
                </c:pt>
                <c:pt idx="15">
                  <c:v>53.710343794073879</c:v>
                </c:pt>
                <c:pt idx="16">
                  <c:v>35.759657365219304</c:v>
                </c:pt>
                <c:pt idx="17">
                  <c:v>17.862229408152974</c:v>
                </c:pt>
                <c:pt idx="18">
                  <c:v>1.4795345480279026E-13</c:v>
                </c:pt>
                <c:pt idx="19">
                  <c:v>-17.862229408152633</c:v>
                </c:pt>
                <c:pt idx="20">
                  <c:v>-35.759657365218949</c:v>
                </c:pt>
                <c:pt idx="21">
                  <c:v>-53.710343794073509</c:v>
                </c:pt>
                <c:pt idx="22">
                  <c:v>-72.02099599607233</c:v>
                </c:pt>
                <c:pt idx="23">
                  <c:v>-91.809048480213718</c:v>
                </c:pt>
                <c:pt idx="24">
                  <c:v>-107.30286543223654</c:v>
                </c:pt>
                <c:pt idx="25">
                  <c:v>-121.7695971810424</c:v>
                </c:pt>
                <c:pt idx="26">
                  <c:v>-135.46135482377312</c:v>
                </c:pt>
                <c:pt idx="27">
                  <c:v>-148.43239263864382</c:v>
                </c:pt>
                <c:pt idx="28">
                  <c:v>-160.72236190700238</c:v>
                </c:pt>
                <c:pt idx="29">
                  <c:v>-172.34138961275036</c:v>
                </c:pt>
                <c:pt idx="30">
                  <c:v>-183.26076206553725</c:v>
                </c:pt>
                <c:pt idx="31">
                  <c:v>-193.66211779347793</c:v>
                </c:pt>
                <c:pt idx="32">
                  <c:v>-201.85859750536011</c:v>
                </c:pt>
                <c:pt idx="33">
                  <c:v>-205.45951136983805</c:v>
                </c:pt>
                <c:pt idx="34">
                  <c:v>-207.96787318335828</c:v>
                </c:pt>
                <c:pt idx="35">
                  <c:v>-209.43351457736711</c:v>
                </c:pt>
                <c:pt idx="36">
                  <c:v>-209.91510276505878</c:v>
                </c:pt>
                <c:pt idx="37">
                  <c:v>-209.4335145773673</c:v>
                </c:pt>
                <c:pt idx="38">
                  <c:v>-207.96787318335831</c:v>
                </c:pt>
                <c:pt idx="39">
                  <c:v>-205.4595113698382</c:v>
                </c:pt>
                <c:pt idx="40">
                  <c:v>-201.85859750536019</c:v>
                </c:pt>
                <c:pt idx="41">
                  <c:v>-193.66211779347853</c:v>
                </c:pt>
                <c:pt idx="42">
                  <c:v>-183.26076206553788</c:v>
                </c:pt>
                <c:pt idx="43">
                  <c:v>-172.34138961275099</c:v>
                </c:pt>
                <c:pt idx="44">
                  <c:v>-160.72236190700303</c:v>
                </c:pt>
                <c:pt idx="45">
                  <c:v>-148.43239263864453</c:v>
                </c:pt>
                <c:pt idx="46">
                  <c:v>-135.46135482377377</c:v>
                </c:pt>
                <c:pt idx="47">
                  <c:v>-121.76959718104318</c:v>
                </c:pt>
                <c:pt idx="48">
                  <c:v>-107.30286543223728</c:v>
                </c:pt>
                <c:pt idx="49">
                  <c:v>-91.809048480214486</c:v>
                </c:pt>
                <c:pt idx="50">
                  <c:v>-72.020995996073339</c:v>
                </c:pt>
                <c:pt idx="51">
                  <c:v>-53.710343794074554</c:v>
                </c:pt>
                <c:pt idx="52">
                  <c:v>-35.759657365219944</c:v>
                </c:pt>
                <c:pt idx="53">
                  <c:v>-17.862229408153631</c:v>
                </c:pt>
                <c:pt idx="54">
                  <c:v>-7.6776550105135736E-13</c:v>
                </c:pt>
                <c:pt idx="55">
                  <c:v>17.862229408151986</c:v>
                </c:pt>
                <c:pt idx="56">
                  <c:v>35.75965736521831</c:v>
                </c:pt>
                <c:pt idx="57">
                  <c:v>53.710343794072919</c:v>
                </c:pt>
                <c:pt idx="58">
                  <c:v>72.020995996071761</c:v>
                </c:pt>
                <c:pt idx="59">
                  <c:v>91.809048480213121</c:v>
                </c:pt>
                <c:pt idx="60">
                  <c:v>107.30286543223598</c:v>
                </c:pt>
                <c:pt idx="61">
                  <c:v>121.76959718104195</c:v>
                </c:pt>
                <c:pt idx="62">
                  <c:v>135.46135482377255</c:v>
                </c:pt>
                <c:pt idx="63">
                  <c:v>148.43239263864339</c:v>
                </c:pt>
                <c:pt idx="64">
                  <c:v>160.72236190700201</c:v>
                </c:pt>
                <c:pt idx="65">
                  <c:v>172.34138961274991</c:v>
                </c:pt>
                <c:pt idx="66">
                  <c:v>183.26076206553685</c:v>
                </c:pt>
                <c:pt idx="67">
                  <c:v>193.66211779347762</c:v>
                </c:pt>
                <c:pt idx="68">
                  <c:v>201.85859750535982</c:v>
                </c:pt>
                <c:pt idx="69">
                  <c:v>205.45951136983786</c:v>
                </c:pt>
                <c:pt idx="70">
                  <c:v>207.96787318335814</c:v>
                </c:pt>
                <c:pt idx="71">
                  <c:v>209.43351457736705</c:v>
                </c:pt>
                <c:pt idx="72">
                  <c:v>209.91510276505878</c:v>
                </c:pt>
                <c:pt idx="73">
                  <c:v>209.91510276505878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-9.473903143468002E-15</c:v>
                </c:pt>
                <c:pt idx="1">
                  <c:v>-17.86222940815281</c:v>
                </c:pt>
                <c:pt idx="2">
                  <c:v>-35.759657365219155</c:v>
                </c:pt>
                <c:pt idx="3">
                  <c:v>-53.710343794073793</c:v>
                </c:pt>
                <c:pt idx="4">
                  <c:v>-72.020995996072685</c:v>
                </c:pt>
                <c:pt idx="5">
                  <c:v>-91.809048480213946</c:v>
                </c:pt>
                <c:pt idx="6">
                  <c:v>-107.30286543223671</c:v>
                </c:pt>
                <c:pt idx="7">
                  <c:v>-121.76959718104263</c:v>
                </c:pt>
                <c:pt idx="8">
                  <c:v>-135.46135482377332</c:v>
                </c:pt>
                <c:pt idx="9">
                  <c:v>-148.43239263864402</c:v>
                </c:pt>
                <c:pt idx="10">
                  <c:v>-160.72236190700258</c:v>
                </c:pt>
                <c:pt idx="11">
                  <c:v>-172.34138961275053</c:v>
                </c:pt>
                <c:pt idx="12">
                  <c:v>-183.26076206553748</c:v>
                </c:pt>
                <c:pt idx="13">
                  <c:v>-193.66211779347825</c:v>
                </c:pt>
                <c:pt idx="14">
                  <c:v>-201.85859750536019</c:v>
                </c:pt>
                <c:pt idx="15">
                  <c:v>-205.45951136983808</c:v>
                </c:pt>
                <c:pt idx="16">
                  <c:v>-207.96787318335828</c:v>
                </c:pt>
                <c:pt idx="17">
                  <c:v>-209.43351457736713</c:v>
                </c:pt>
                <c:pt idx="18">
                  <c:v>-209.91510276505878</c:v>
                </c:pt>
                <c:pt idx="19">
                  <c:v>-209.43351457736719</c:v>
                </c:pt>
                <c:pt idx="20">
                  <c:v>-207.96787318335828</c:v>
                </c:pt>
                <c:pt idx="21">
                  <c:v>-205.45951136983811</c:v>
                </c:pt>
                <c:pt idx="22">
                  <c:v>-201.85859750536019</c:v>
                </c:pt>
                <c:pt idx="23">
                  <c:v>-193.66211779347836</c:v>
                </c:pt>
                <c:pt idx="24">
                  <c:v>-183.2607620655377</c:v>
                </c:pt>
                <c:pt idx="25">
                  <c:v>-172.3413896127507</c:v>
                </c:pt>
                <c:pt idx="26">
                  <c:v>-160.72236190700281</c:v>
                </c:pt>
                <c:pt idx="27">
                  <c:v>-148.43239263864427</c:v>
                </c:pt>
                <c:pt idx="28">
                  <c:v>-135.4613548237736</c:v>
                </c:pt>
                <c:pt idx="29">
                  <c:v>-121.76959718104294</c:v>
                </c:pt>
                <c:pt idx="30">
                  <c:v>-107.30286543223703</c:v>
                </c:pt>
                <c:pt idx="31">
                  <c:v>-91.809048480214258</c:v>
                </c:pt>
                <c:pt idx="32">
                  <c:v>-72.020995996073069</c:v>
                </c:pt>
                <c:pt idx="33">
                  <c:v>-53.71034379407422</c:v>
                </c:pt>
                <c:pt idx="34">
                  <c:v>-35.75965736521966</c:v>
                </c:pt>
                <c:pt idx="35">
                  <c:v>-17.862229408153308</c:v>
                </c:pt>
                <c:pt idx="36">
                  <c:v>-4.8471744963650685E-13</c:v>
                </c:pt>
                <c:pt idx="37">
                  <c:v>17.86222940815227</c:v>
                </c:pt>
                <c:pt idx="38">
                  <c:v>35.759657365218594</c:v>
                </c:pt>
                <c:pt idx="39">
                  <c:v>53.710343794073189</c:v>
                </c:pt>
                <c:pt idx="40">
                  <c:v>72.020995996072017</c:v>
                </c:pt>
                <c:pt idx="41">
                  <c:v>91.809048480213391</c:v>
                </c:pt>
                <c:pt idx="42">
                  <c:v>107.30286543223617</c:v>
                </c:pt>
                <c:pt idx="43">
                  <c:v>121.76959718104216</c:v>
                </c:pt>
                <c:pt idx="44">
                  <c:v>135.46135482377284</c:v>
                </c:pt>
                <c:pt idx="45">
                  <c:v>148.43239263864359</c:v>
                </c:pt>
                <c:pt idx="46">
                  <c:v>160.72236190700215</c:v>
                </c:pt>
                <c:pt idx="47">
                  <c:v>172.34138961275008</c:v>
                </c:pt>
                <c:pt idx="48">
                  <c:v>183.26076206553705</c:v>
                </c:pt>
                <c:pt idx="49">
                  <c:v>193.66211779347773</c:v>
                </c:pt>
                <c:pt idx="50">
                  <c:v>201.85859750535994</c:v>
                </c:pt>
                <c:pt idx="51">
                  <c:v>205.459511369838</c:v>
                </c:pt>
                <c:pt idx="52">
                  <c:v>207.96787318335825</c:v>
                </c:pt>
                <c:pt idx="53">
                  <c:v>209.43351457736711</c:v>
                </c:pt>
                <c:pt idx="54">
                  <c:v>209.91510276505878</c:v>
                </c:pt>
                <c:pt idx="55">
                  <c:v>209.4335145773673</c:v>
                </c:pt>
                <c:pt idx="56">
                  <c:v>207.96787318335839</c:v>
                </c:pt>
                <c:pt idx="57">
                  <c:v>205.4595113698382</c:v>
                </c:pt>
                <c:pt idx="58">
                  <c:v>201.85859750536031</c:v>
                </c:pt>
                <c:pt idx="59">
                  <c:v>193.66211779347861</c:v>
                </c:pt>
                <c:pt idx="60">
                  <c:v>183.26076206553793</c:v>
                </c:pt>
                <c:pt idx="61">
                  <c:v>172.34138961275119</c:v>
                </c:pt>
                <c:pt idx="62">
                  <c:v>160.72236190700323</c:v>
                </c:pt>
                <c:pt idx="63">
                  <c:v>148.4323926386447</c:v>
                </c:pt>
                <c:pt idx="64">
                  <c:v>135.46135482377409</c:v>
                </c:pt>
                <c:pt idx="65">
                  <c:v>121.76959718104347</c:v>
                </c:pt>
                <c:pt idx="66">
                  <c:v>107.30286543223757</c:v>
                </c:pt>
                <c:pt idx="67">
                  <c:v>91.809048480214827</c:v>
                </c:pt>
                <c:pt idx="68">
                  <c:v>72.020995996073722</c:v>
                </c:pt>
                <c:pt idx="69">
                  <c:v>53.710343794074895</c:v>
                </c:pt>
                <c:pt idx="70">
                  <c:v>35.759657365220299</c:v>
                </c:pt>
                <c:pt idx="71">
                  <c:v>17.862229408153969</c:v>
                </c:pt>
                <c:pt idx="72">
                  <c:v>1.1369291572311368E-12</c:v>
                </c:pt>
                <c:pt idx="73">
                  <c:v>4.196152961945119E-14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96-4EFF-9FED-91A8171ACB73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30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96-4EFF-9FED-91A8171ACB73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175.125845712678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175.12584571267797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96-4EFF-9FED-91A8171ACB73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30</c:v>
                </c:pt>
                <c:pt idx="2">
                  <c:v>175.125845712678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30</c:v>
                </c:pt>
                <c:pt idx="2">
                  <c:v>175.12584571267797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96-4EFF-9FED-91A8171A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5.328154818663223E-4</c:v>
                </c:pt>
                <c:pt idx="1">
                  <c:v>3.7233800807752488</c:v>
                </c:pt>
                <c:pt idx="2">
                  <c:v>10.30796964244017</c:v>
                </c:pt>
                <c:pt idx="3">
                  <c:v>18.555684138750582</c:v>
                </c:pt>
                <c:pt idx="4">
                  <c:v>27.995319012969315</c:v>
                </c:pt>
                <c:pt idx="5">
                  <c:v>38.33478724904402</c:v>
                </c:pt>
                <c:pt idx="6">
                  <c:v>49.364787107888404</c:v>
                </c:pt>
                <c:pt idx="7">
                  <c:v>67.817831303809854</c:v>
                </c:pt>
                <c:pt idx="8">
                  <c:v>85.679625705099326</c:v>
                </c:pt>
                <c:pt idx="9">
                  <c:v>102.51606782226524</c:v>
                </c:pt>
                <c:pt idx="10">
                  <c:v>118.98928807591572</c:v>
                </c:pt>
                <c:pt idx="11">
                  <c:v>141.46904240724285</c:v>
                </c:pt>
                <c:pt idx="12">
                  <c:v>162.3296462997242</c:v>
                </c:pt>
                <c:pt idx="13">
                  <c:v>180.47853482745029</c:v>
                </c:pt>
                <c:pt idx="14">
                  <c:v>198.94833819327468</c:v>
                </c:pt>
                <c:pt idx="15">
                  <c:v>216.4766265108446</c:v>
                </c:pt>
                <c:pt idx="16">
                  <c:v>233.1649762245014</c:v>
                </c:pt>
                <c:pt idx="17">
                  <c:v>249.08380837857047</c:v>
                </c:pt>
                <c:pt idx="18">
                  <c:v>264.28171660241679</c:v>
                </c:pt>
                <c:pt idx="19">
                  <c:v>278.7917882670053</c:v>
                </c:pt>
                <c:pt idx="20">
                  <c:v>292.63598179349663</c:v>
                </c:pt>
                <c:pt idx="21">
                  <c:v>298.48877351412114</c:v>
                </c:pt>
                <c:pt idx="22">
                  <c:v>300.41802827973027</c:v>
                </c:pt>
                <c:pt idx="23">
                  <c:v>301.8739275349522</c:v>
                </c:pt>
                <c:pt idx="24">
                  <c:v>302.89567581388394</c:v>
                </c:pt>
                <c:pt idx="25">
                  <c:v>303.514400512409</c:v>
                </c:pt>
                <c:pt idx="26">
                  <c:v>303.75516643010059</c:v>
                </c:pt>
                <c:pt idx="27">
                  <c:v>303.63845032198401</c:v>
                </c:pt>
                <c:pt idx="28">
                  <c:v>303.18123336511331</c:v>
                </c:pt>
                <c:pt idx="29">
                  <c:v>301.39088269422695</c:v>
                </c:pt>
                <c:pt idx="30">
                  <c:v>298.39457889546611</c:v>
                </c:pt>
                <c:pt idx="31">
                  <c:v>295.29681675499319</c:v>
                </c:pt>
                <c:pt idx="32">
                  <c:v>292.0809203806885</c:v>
                </c:pt>
                <c:pt idx="33">
                  <c:v>289.07830101995762</c:v>
                </c:pt>
                <c:pt idx="34">
                  <c:v>289.78207540581388</c:v>
                </c:pt>
                <c:pt idx="35">
                  <c:v>290.09562978589776</c:v>
                </c:pt>
                <c:pt idx="36">
                  <c:v>290.06354950354677</c:v>
                </c:pt>
                <c:pt idx="37">
                  <c:v>289.67365773859785</c:v>
                </c:pt>
                <c:pt idx="38">
                  <c:v>288.91559985403478</c:v>
                </c:pt>
                <c:pt idx="39">
                  <c:v>287.78071784417818</c:v>
                </c:pt>
                <c:pt idx="40">
                  <c:v>286.26194533674862</c:v>
                </c:pt>
                <c:pt idx="41">
                  <c:v>284.35372007588438</c:v>
                </c:pt>
                <c:pt idx="42">
                  <c:v>282.05191142446267</c:v>
                </c:pt>
                <c:pt idx="43">
                  <c:v>279.35376091483204</c:v>
                </c:pt>
                <c:pt idx="44">
                  <c:v>276.25783427561458</c:v>
                </c:pt>
                <c:pt idx="45">
                  <c:v>272.76398369025844</c:v>
                </c:pt>
                <c:pt idx="46">
                  <c:v>268.87331931735207</c:v>
                </c:pt>
                <c:pt idx="47">
                  <c:v>264.58818933666447</c:v>
                </c:pt>
                <c:pt idx="48">
                  <c:v>259.91216798922858</c:v>
                </c:pt>
                <c:pt idx="49">
                  <c:v>254.8500512635311</c:v>
                </c:pt>
                <c:pt idx="50">
                  <c:v>249.40786005086139</c:v>
                </c:pt>
                <c:pt idx="51">
                  <c:v>243.59285075828734</c:v>
                </c:pt>
                <c:pt idx="52">
                  <c:v>237.41353353461201</c:v>
                </c:pt>
                <c:pt idx="53">
                  <c:v>230.87969844036968</c:v>
                </c:pt>
                <c:pt idx="54">
                  <c:v>224.00245008568052</c:v>
                </c:pt>
                <c:pt idx="55">
                  <c:v>216.64614051467564</c:v>
                </c:pt>
                <c:pt idx="56">
                  <c:v>208.94208379889881</c:v>
                </c:pt>
                <c:pt idx="57">
                  <c:v>200.94257862367817</c:v>
                </c:pt>
                <c:pt idx="58">
                  <c:v>192.66421094484065</c:v>
                </c:pt>
                <c:pt idx="59">
                  <c:v>185.56463855824845</c:v>
                </c:pt>
                <c:pt idx="60">
                  <c:v>176.78510691810891</c:v>
                </c:pt>
                <c:pt idx="61">
                  <c:v>167.78697425158259</c:v>
                </c:pt>
                <c:pt idx="62">
                  <c:v>158.59427641177277</c:v>
                </c:pt>
                <c:pt idx="63">
                  <c:v>149.23331855606932</c:v>
                </c:pt>
                <c:pt idx="64">
                  <c:v>139.73290982280599</c:v>
                </c:pt>
                <c:pt idx="65">
                  <c:v>130.12465124724764</c:v>
                </c:pt>
                <c:pt idx="66">
                  <c:v>120.44329286589289</c:v>
                </c:pt>
                <c:pt idx="67">
                  <c:v>25.231109468687578</c:v>
                </c:pt>
                <c:pt idx="68">
                  <c:v>14.876956119646016</c:v>
                </c:pt>
                <c:pt idx="69">
                  <c:v>11.271369195788456</c:v>
                </c:pt>
                <c:pt idx="70">
                  <c:v>8.3914954288965937</c:v>
                </c:pt>
                <c:pt idx="71">
                  <c:v>6.0382670033838535</c:v>
                </c:pt>
                <c:pt idx="72">
                  <c:v>4.0793240805776501</c:v>
                </c:pt>
                <c:pt idx="73">
                  <c:v>2.4232322886571129</c:v>
                </c:pt>
                <c:pt idx="74">
                  <c:v>1.0048000689043441</c:v>
                </c:pt>
                <c:pt idx="75">
                  <c:v>0.35663773075634159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-259.19946716253861</c:v>
                </c:pt>
                <c:pt idx="1">
                  <c:v>-255.41891989259037</c:v>
                </c:pt>
                <c:pt idx="2">
                  <c:v>-248.56822304612282</c:v>
                </c:pt>
                <c:pt idx="3">
                  <c:v>-239.75714178061921</c:v>
                </c:pt>
                <c:pt idx="4">
                  <c:v>-229.39302954768684</c:v>
                </c:pt>
                <c:pt idx="5">
                  <c:v>-217.71640345336954</c:v>
                </c:pt>
                <c:pt idx="6">
                  <c:v>-204.89296508654107</c:v>
                </c:pt>
                <c:pt idx="7">
                  <c:v>-180.94199782007635</c:v>
                </c:pt>
                <c:pt idx="8">
                  <c:v>-157.51515935006853</c:v>
                </c:pt>
                <c:pt idx="9">
                  <c:v>-135.16781163650464</c:v>
                </c:pt>
                <c:pt idx="10">
                  <c:v>-112.6385309885115</c:v>
                </c:pt>
                <c:pt idx="11">
                  <c:v>-76.764235398958988</c:v>
                </c:pt>
                <c:pt idx="12">
                  <c:v>-43.352737336106593</c:v>
                </c:pt>
                <c:pt idx="13">
                  <c:v>-13.794158740287207</c:v>
                </c:pt>
                <c:pt idx="14">
                  <c:v>16.516282550642913</c:v>
                </c:pt>
                <c:pt idx="15">
                  <c:v>45.85314305443891</c:v>
                </c:pt>
                <c:pt idx="16">
                  <c:v>74.46506156224396</c:v>
                </c:pt>
                <c:pt idx="17">
                  <c:v>102.53655308780843</c:v>
                </c:pt>
                <c:pt idx="18">
                  <c:v>130.20614336964104</c:v>
                </c:pt>
                <c:pt idx="19">
                  <c:v>157.57872961683347</c:v>
                </c:pt>
                <c:pt idx="20">
                  <c:v>190.8235092371095</c:v>
                </c:pt>
                <c:pt idx="21">
                  <c:v>217.07281465177621</c:v>
                </c:pt>
                <c:pt idx="22">
                  <c:v>241.61838913079376</c:v>
                </c:pt>
                <c:pt idx="23">
                  <c:v>264.18831770058159</c:v>
                </c:pt>
                <c:pt idx="24">
                  <c:v>285.09626220200931</c:v>
                </c:pt>
                <c:pt idx="25">
                  <c:v>304.5938100980506</c:v>
                </c:pt>
                <c:pt idx="26">
                  <c:v>322.88453337989745</c:v>
                </c:pt>
                <c:pt idx="27">
                  <c:v>340.13446497349508</c:v>
                </c:pt>
                <c:pt idx="28">
                  <c:v>356.47999886971672</c:v>
                </c:pt>
                <c:pt idx="29">
                  <c:v>374.12103228780018</c:v>
                </c:pt>
                <c:pt idx="30">
                  <c:v>392.91313853813784</c:v>
                </c:pt>
                <c:pt idx="31">
                  <c:v>410.66751983678779</c:v>
                </c:pt>
                <c:pt idx="32">
                  <c:v>427.50420874339426</c:v>
                </c:pt>
                <c:pt idx="33">
                  <c:v>446.34220225567435</c:v>
                </c:pt>
                <c:pt idx="34">
                  <c:v>471.94834551164598</c:v>
                </c:pt>
                <c:pt idx="35">
                  <c:v>497.10081033702954</c:v>
                </c:pt>
                <c:pt idx="36">
                  <c:v>521.90963418487831</c:v>
                </c:pt>
                <c:pt idx="37">
                  <c:v>546.39498786831416</c:v>
                </c:pt>
                <c:pt idx="38">
                  <c:v>570.57374623674116</c:v>
                </c:pt>
                <c:pt idx="39">
                  <c:v>594.45989713633764</c:v>
                </c:pt>
                <c:pt idx="40">
                  <c:v>615.08138602628549</c:v>
                </c:pt>
                <c:pt idx="41">
                  <c:v>638.41440709817391</c:v>
                </c:pt>
                <c:pt idx="42">
                  <c:v>661.48264964336772</c:v>
                </c:pt>
                <c:pt idx="43">
                  <c:v>684.29150674691243</c:v>
                </c:pt>
                <c:pt idx="44">
                  <c:v>706.84475205652723</c:v>
                </c:pt>
                <c:pt idx="45">
                  <c:v>729.14468930546036</c:v>
                </c:pt>
                <c:pt idx="46">
                  <c:v>751.19227840041151</c:v>
                </c:pt>
                <c:pt idx="47">
                  <c:v>772.98724117561812</c:v>
                </c:pt>
                <c:pt idx="48">
                  <c:v>794.52814932662216</c:v>
                </c:pt>
                <c:pt idx="49">
                  <c:v>815.81249654460316</c:v>
                </c:pt>
                <c:pt idx="50">
                  <c:v>836.83675645223525</c:v>
                </c:pt>
                <c:pt idx="51">
                  <c:v>857.59642757653739</c:v>
                </c:pt>
                <c:pt idx="52">
                  <c:v>878.08606626749804</c:v>
                </c:pt>
                <c:pt idx="53">
                  <c:v>898.29930816949877</c:v>
                </c:pt>
                <c:pt idx="54">
                  <c:v>918.22887856259001</c:v>
                </c:pt>
                <c:pt idx="55">
                  <c:v>937.55959600596827</c:v>
                </c:pt>
                <c:pt idx="56">
                  <c:v>956.52577111970595</c:v>
                </c:pt>
                <c:pt idx="57">
                  <c:v>975.19392508120359</c:v>
                </c:pt>
                <c:pt idx="58">
                  <c:v>993.55234423265017</c:v>
                </c:pt>
                <c:pt idx="59">
                  <c:v>1008.6048241891466</c:v>
                </c:pt>
                <c:pt idx="60">
                  <c:v>1026.3045977373799</c:v>
                </c:pt>
                <c:pt idx="61">
                  <c:v>1043.6532436508583</c:v>
                </c:pt>
                <c:pt idx="62">
                  <c:v>1060.634572509455</c:v>
                </c:pt>
                <c:pt idx="63">
                  <c:v>1077.2309842365703</c:v>
                </c:pt>
                <c:pt idx="64">
                  <c:v>1093.4232901541798</c:v>
                </c:pt>
                <c:pt idx="65">
                  <c:v>1109.1904896321116</c:v>
                </c:pt>
                <c:pt idx="66">
                  <c:v>1124.509487435605</c:v>
                </c:pt>
                <c:pt idx="67">
                  <c:v>1251.7607169713633</c:v>
                </c:pt>
                <c:pt idx="68">
                  <c:v>1269.5946828736348</c:v>
                </c:pt>
                <c:pt idx="69">
                  <c:v>1278.8905724261774</c:v>
                </c:pt>
                <c:pt idx="70">
                  <c:v>1285.2198078267584</c:v>
                </c:pt>
                <c:pt idx="71">
                  <c:v>1289.4614265388927</c:v>
                </c:pt>
                <c:pt idx="72">
                  <c:v>1292.9923582866545</c:v>
                </c:pt>
                <c:pt idx="73">
                  <c:v>1295.9774105907427</c:v>
                </c:pt>
                <c:pt idx="74">
                  <c:v>1298.5340891434787</c:v>
                </c:pt>
                <c:pt idx="75">
                  <c:v>1299.4962961564984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5.9201720207369135E-4</c:v>
                </c:pt>
                <c:pt idx="1">
                  <c:v>4.1370889786391656</c:v>
                </c:pt>
                <c:pt idx="2">
                  <c:v>11.453299602711299</c:v>
                </c:pt>
                <c:pt idx="3">
                  <c:v>20.61742682083398</c:v>
                </c:pt>
                <c:pt idx="4">
                  <c:v>31.105910014410352</c:v>
                </c:pt>
                <c:pt idx="5">
                  <c:v>42.594208054493357</c:v>
                </c:pt>
                <c:pt idx="6">
                  <c:v>54.849763453209341</c:v>
                </c:pt>
                <c:pt idx="7">
                  <c:v>75.353145893122061</c:v>
                </c:pt>
                <c:pt idx="8">
                  <c:v>95.199584116777018</c:v>
                </c:pt>
                <c:pt idx="9">
                  <c:v>113.90674202473916</c:v>
                </c:pt>
                <c:pt idx="10">
                  <c:v>132.2103200843508</c:v>
                </c:pt>
                <c:pt idx="11">
                  <c:v>157.18782489693646</c:v>
                </c:pt>
                <c:pt idx="12">
                  <c:v>180.36627366636023</c:v>
                </c:pt>
                <c:pt idx="13">
                  <c:v>200.53170536383365</c:v>
                </c:pt>
                <c:pt idx="14">
                  <c:v>221.05370910363854</c:v>
                </c:pt>
                <c:pt idx="15">
                  <c:v>240.52958501204955</c:v>
                </c:pt>
                <c:pt idx="16">
                  <c:v>259.07219580500151</c:v>
                </c:pt>
                <c:pt idx="17">
                  <c:v>276.75978708730048</c:v>
                </c:pt>
                <c:pt idx="18">
                  <c:v>293.64635178046308</c:v>
                </c:pt>
                <c:pt idx="19">
                  <c:v>309.76865363000587</c:v>
                </c:pt>
                <c:pt idx="20">
                  <c:v>325.15109088166287</c:v>
                </c:pt>
                <c:pt idx="21">
                  <c:v>337.59466928880323</c:v>
                </c:pt>
                <c:pt idx="22">
                  <c:v>351.53730386712323</c:v>
                </c:pt>
                <c:pt idx="23">
                  <c:v>364.76885601868474</c:v>
                </c:pt>
                <c:pt idx="24">
                  <c:v>377.29029649298076</c:v>
                </c:pt>
                <c:pt idx="25">
                  <c:v>389.10023548660172</c:v>
                </c:pt>
                <c:pt idx="26">
                  <c:v>400.19567008285617</c:v>
                </c:pt>
                <c:pt idx="27">
                  <c:v>410.57255440585919</c:v>
                </c:pt>
                <c:pt idx="28">
                  <c:v>420.2262385908902</c:v>
                </c:pt>
                <c:pt idx="29">
                  <c:v>427.72280189454375</c:v>
                </c:pt>
                <c:pt idx="30">
                  <c:v>433.12641253099582</c:v>
                </c:pt>
                <c:pt idx="31">
                  <c:v>437.97222334504949</c:v>
                </c:pt>
                <c:pt idx="32">
                  <c:v>442.23905821399723</c:v>
                </c:pt>
                <c:pt idx="33">
                  <c:v>444.73584772301172</c:v>
                </c:pt>
                <c:pt idx="34">
                  <c:v>445.81857754740599</c:v>
                </c:pt>
                <c:pt idx="35">
                  <c:v>446.30096890138111</c:v>
                </c:pt>
                <c:pt idx="36">
                  <c:v>446.25161462084122</c:v>
                </c:pt>
                <c:pt idx="37">
                  <c:v>445.65178113630441</c:v>
                </c:pt>
                <c:pt idx="38">
                  <c:v>444.48553823697665</c:v>
                </c:pt>
                <c:pt idx="39">
                  <c:v>442.73956591412025</c:v>
                </c:pt>
                <c:pt idx="40">
                  <c:v>440.40299282576706</c:v>
                </c:pt>
                <c:pt idx="41">
                  <c:v>437.46726165520676</c:v>
                </c:pt>
                <c:pt idx="42">
                  <c:v>433.9260175760964</c:v>
                </c:pt>
                <c:pt idx="43">
                  <c:v>429.77501679204926</c:v>
                </c:pt>
                <c:pt idx="44">
                  <c:v>425.01205273171473</c:v>
                </c:pt>
                <c:pt idx="45">
                  <c:v>419.63689798501298</c:v>
                </c:pt>
                <c:pt idx="46">
                  <c:v>413.65126048823396</c:v>
                </c:pt>
                <c:pt idx="47">
                  <c:v>407.05875282563767</c:v>
                </c:pt>
                <c:pt idx="48">
                  <c:v>399.86487382958239</c:v>
                </c:pt>
                <c:pt idx="49">
                  <c:v>392.077001943894</c:v>
                </c:pt>
                <c:pt idx="50">
                  <c:v>383.70440007824828</c:v>
                </c:pt>
                <c:pt idx="51">
                  <c:v>374.75823193582664</c:v>
                </c:pt>
                <c:pt idx="52">
                  <c:v>365.25159005324923</c:v>
                </c:pt>
                <c:pt idx="53">
                  <c:v>355.19953606210714</c:v>
                </c:pt>
                <c:pt idx="54">
                  <c:v>344.61915397796997</c:v>
                </c:pt>
                <c:pt idx="55">
                  <c:v>333.30175463796252</c:v>
                </c:pt>
                <c:pt idx="56">
                  <c:v>321.44935969061351</c:v>
                </c:pt>
                <c:pt idx="57">
                  <c:v>309.14242865181257</c:v>
                </c:pt>
                <c:pt idx="58">
                  <c:v>296.40647837667785</c:v>
                </c:pt>
                <c:pt idx="59">
                  <c:v>285.48405932038219</c:v>
                </c:pt>
                <c:pt idx="60">
                  <c:v>271.97708756632142</c:v>
                </c:pt>
                <c:pt idx="61">
                  <c:v>258.13380654089627</c:v>
                </c:pt>
                <c:pt idx="62">
                  <c:v>243.9911944796504</c:v>
                </c:pt>
                <c:pt idx="63">
                  <c:v>229.58972085549127</c:v>
                </c:pt>
                <c:pt idx="64">
                  <c:v>214.97370741970153</c:v>
                </c:pt>
                <c:pt idx="65">
                  <c:v>200.19177114961175</c:v>
                </c:pt>
                <c:pt idx="66">
                  <c:v>185.2973736398352</c:v>
                </c:pt>
                <c:pt idx="67">
                  <c:v>38.817091490288576</c:v>
                </c:pt>
                <c:pt idx="68">
                  <c:v>22.887624799455409</c:v>
                </c:pt>
                <c:pt idx="69">
                  <c:v>17.3405679935207</c:v>
                </c:pt>
                <c:pt idx="70">
                  <c:v>12.909992967533222</c:v>
                </c:pt>
                <c:pt idx="71">
                  <c:v>9.2896415436674662</c:v>
                </c:pt>
                <c:pt idx="72">
                  <c:v>6.2758832008886918</c:v>
                </c:pt>
                <c:pt idx="73">
                  <c:v>3.7280496748570973</c:v>
                </c:pt>
                <c:pt idx="74">
                  <c:v>1.5458462598528371</c:v>
                </c:pt>
                <c:pt idx="75">
                  <c:v>0.54867343193283324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-287.99940795837625</c:v>
                </c:pt>
                <c:pt idx="1">
                  <c:v>-283.79879988065596</c:v>
                </c:pt>
                <c:pt idx="2">
                  <c:v>-276.18691449569201</c:v>
                </c:pt>
                <c:pt idx="3">
                  <c:v>-266.396824200688</c:v>
                </c:pt>
                <c:pt idx="4">
                  <c:v>-254.88114394187426</c:v>
                </c:pt>
                <c:pt idx="5">
                  <c:v>-241.90711494818837</c:v>
                </c:pt>
                <c:pt idx="6">
                  <c:v>-227.65885009615673</c:v>
                </c:pt>
                <c:pt idx="7">
                  <c:v>-201.04666424452927</c:v>
                </c:pt>
                <c:pt idx="8">
                  <c:v>-175.01684372229838</c:v>
                </c:pt>
                <c:pt idx="9">
                  <c:v>-150.18645737389403</c:v>
                </c:pt>
                <c:pt idx="10">
                  <c:v>-125.15392332056834</c:v>
                </c:pt>
                <c:pt idx="11">
                  <c:v>-85.293594887732212</c:v>
                </c:pt>
                <c:pt idx="12">
                  <c:v>-48.169708151229543</c:v>
                </c:pt>
                <c:pt idx="13">
                  <c:v>-15.326843044763564</c:v>
                </c:pt>
                <c:pt idx="14">
                  <c:v>18.351425056269903</c:v>
                </c:pt>
                <c:pt idx="15">
                  <c:v>50.947936727154342</c:v>
                </c:pt>
                <c:pt idx="16">
                  <c:v>82.738957291382178</c:v>
                </c:pt>
                <c:pt idx="17">
                  <c:v>113.92950343089825</c:v>
                </c:pt>
                <c:pt idx="18">
                  <c:v>144.67349263293448</c:v>
                </c:pt>
                <c:pt idx="19">
                  <c:v>175.08747735203718</c:v>
                </c:pt>
                <c:pt idx="20">
                  <c:v>212.02612137456612</c:v>
                </c:pt>
                <c:pt idx="21">
                  <c:v>245.51216520204954</c:v>
                </c:pt>
                <c:pt idx="22">
                  <c:v>282.73228995653983</c:v>
                </c:pt>
                <c:pt idx="23">
                  <c:v>319.2315123338505</c:v>
                </c:pt>
                <c:pt idx="24">
                  <c:v>355.11914459066111</c:v>
                </c:pt>
                <c:pt idx="25">
                  <c:v>390.48401998990886</c:v>
                </c:pt>
                <c:pt idx="26">
                  <c:v>425.3985000946264</c:v>
                </c:pt>
                <c:pt idx="27">
                  <c:v>459.9215810038246</c:v>
                </c:pt>
                <c:pt idx="28">
                  <c:v>494.10132479243163</c:v>
                </c:pt>
                <c:pt idx="29">
                  <c:v>530.93874223184037</c:v>
                </c:pt>
                <c:pt idx="30">
                  <c:v>570.32221818927815</c:v>
                </c:pt>
                <c:pt idx="31">
                  <c:v>609.08535586330152</c:v>
                </c:pt>
                <c:pt idx="32">
                  <c:v>647.28315156904284</c:v>
                </c:pt>
                <c:pt idx="33">
                  <c:v>686.68031116257589</c:v>
                </c:pt>
                <c:pt idx="34">
                  <c:v>726.07437771022455</c:v>
                </c:pt>
                <c:pt idx="35">
                  <c:v>764.77047744158392</c:v>
                </c:pt>
                <c:pt idx="36">
                  <c:v>802.93789874596666</c:v>
                </c:pt>
                <c:pt idx="37">
                  <c:v>840.60767364356025</c:v>
                </c:pt>
                <c:pt idx="38">
                  <c:v>877.80576344114024</c:v>
                </c:pt>
                <c:pt idx="39">
                  <c:v>914.55368790205785</c:v>
                </c:pt>
                <c:pt idx="40">
                  <c:v>946.27905542505459</c:v>
                </c:pt>
                <c:pt idx="41">
                  <c:v>982.17601092026757</c:v>
                </c:pt>
                <c:pt idx="42">
                  <c:v>1017.6656148359504</c:v>
                </c:pt>
                <c:pt idx="43">
                  <c:v>1052.7561642260191</c:v>
                </c:pt>
                <c:pt idx="44">
                  <c:v>1087.4534647023495</c:v>
                </c:pt>
                <c:pt idx="45">
                  <c:v>1121.7610604699389</c:v>
                </c:pt>
                <c:pt idx="46">
                  <c:v>1155.6804283083254</c:v>
                </c:pt>
                <c:pt idx="47">
                  <c:v>1189.2111402701817</c:v>
                </c:pt>
                <c:pt idx="48">
                  <c:v>1222.350998964034</c:v>
                </c:pt>
                <c:pt idx="49">
                  <c:v>1255.0961485301586</c:v>
                </c:pt>
                <c:pt idx="50">
                  <c:v>1287.4411637726696</c:v>
                </c:pt>
                <c:pt idx="51">
                  <c:v>1319.379119348519</c:v>
                </c:pt>
                <c:pt idx="52">
                  <c:v>1350.9016404115355</c:v>
                </c:pt>
                <c:pt idx="53">
                  <c:v>1381.9989356453827</c:v>
                </c:pt>
                <c:pt idx="54">
                  <c:v>1412.6598131732153</c:v>
                </c:pt>
                <c:pt idx="55">
                  <c:v>1442.3993784707204</c:v>
                </c:pt>
                <c:pt idx="56">
                  <c:v>1471.5781094149322</c:v>
                </c:pt>
                <c:pt idx="57">
                  <c:v>1500.2983462787747</c:v>
                </c:pt>
                <c:pt idx="58">
                  <c:v>1528.5420680502309</c:v>
                </c:pt>
                <c:pt idx="59">
                  <c:v>1551.6997295217639</c:v>
                </c:pt>
                <c:pt idx="60">
                  <c:v>1578.9301503651998</c:v>
                </c:pt>
                <c:pt idx="61">
                  <c:v>1605.6203748474743</c:v>
                </c:pt>
                <c:pt idx="62">
                  <c:v>1631.7454961683923</c:v>
                </c:pt>
                <c:pt idx="63">
                  <c:v>1657.2784372870312</c:v>
                </c:pt>
                <c:pt idx="64">
                  <c:v>1682.1896771602765</c:v>
                </c:pt>
                <c:pt idx="65">
                  <c:v>1706.4469071263254</c:v>
                </c:pt>
                <c:pt idx="66">
                  <c:v>1730.0145960547768</c:v>
                </c:pt>
                <c:pt idx="67">
                  <c:v>1925.785718417482</c:v>
                </c:pt>
                <c:pt idx="68">
                  <c:v>1953.2225890363611</c:v>
                </c:pt>
                <c:pt idx="69">
                  <c:v>1967.5239575787343</c:v>
                </c:pt>
                <c:pt idx="70">
                  <c:v>1977.2612428103973</c:v>
                </c:pt>
                <c:pt idx="71">
                  <c:v>1983.7868100598348</c:v>
                </c:pt>
                <c:pt idx="72">
                  <c:v>1989.2190127486992</c:v>
                </c:pt>
                <c:pt idx="73">
                  <c:v>1993.8114009088349</c:v>
                </c:pt>
                <c:pt idx="74">
                  <c:v>1997.7447525284288</c:v>
                </c:pt>
                <c:pt idx="75">
                  <c:v>1999.2250710099975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42.426406871192853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247.66534612892735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99.999999999948827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169.70654970049617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1040.0152014705741</c:v>
                </c:pt>
                <c:pt idx="1">
                  <c:v>1040.0152014705741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8-4F59-AE7D-D042CB77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  <c:minorUnit val="10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  <c:min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5.328154818663223E-4</c:v>
                </c:pt>
                <c:pt idx="1">
                  <c:v>3.7233800807752488</c:v>
                </c:pt>
                <c:pt idx="2">
                  <c:v>10.30796964244017</c:v>
                </c:pt>
                <c:pt idx="3">
                  <c:v>18.555684138750582</c:v>
                </c:pt>
                <c:pt idx="4">
                  <c:v>27.995319012969315</c:v>
                </c:pt>
                <c:pt idx="5">
                  <c:v>38.33478724904402</c:v>
                </c:pt>
                <c:pt idx="6">
                  <c:v>49.364787107888404</c:v>
                </c:pt>
                <c:pt idx="7">
                  <c:v>67.817831303809854</c:v>
                </c:pt>
                <c:pt idx="8">
                  <c:v>85.679625705099326</c:v>
                </c:pt>
                <c:pt idx="9">
                  <c:v>102.51606782226524</c:v>
                </c:pt>
                <c:pt idx="10">
                  <c:v>118.98928807591572</c:v>
                </c:pt>
                <c:pt idx="11">
                  <c:v>141.46904240724285</c:v>
                </c:pt>
                <c:pt idx="12">
                  <c:v>162.3296462997242</c:v>
                </c:pt>
                <c:pt idx="13">
                  <c:v>180.47853482745029</c:v>
                </c:pt>
                <c:pt idx="14">
                  <c:v>198.94833819327468</c:v>
                </c:pt>
                <c:pt idx="15">
                  <c:v>216.4766265108446</c:v>
                </c:pt>
                <c:pt idx="16">
                  <c:v>233.1649762245014</c:v>
                </c:pt>
                <c:pt idx="17">
                  <c:v>249.08380837857047</c:v>
                </c:pt>
                <c:pt idx="18">
                  <c:v>264.28171660241679</c:v>
                </c:pt>
                <c:pt idx="19">
                  <c:v>278.7917882670053</c:v>
                </c:pt>
                <c:pt idx="20">
                  <c:v>292.63598179349663</c:v>
                </c:pt>
                <c:pt idx="21">
                  <c:v>298.48877351412114</c:v>
                </c:pt>
                <c:pt idx="22">
                  <c:v>300.41802827973027</c:v>
                </c:pt>
                <c:pt idx="23">
                  <c:v>301.8739275349522</c:v>
                </c:pt>
                <c:pt idx="24">
                  <c:v>302.89567581388394</c:v>
                </c:pt>
                <c:pt idx="25">
                  <c:v>303.514400512409</c:v>
                </c:pt>
                <c:pt idx="26">
                  <c:v>303.75516643010059</c:v>
                </c:pt>
                <c:pt idx="27">
                  <c:v>303.63845032198401</c:v>
                </c:pt>
                <c:pt idx="28">
                  <c:v>303.18123336511331</c:v>
                </c:pt>
                <c:pt idx="29">
                  <c:v>301.39088269422695</c:v>
                </c:pt>
                <c:pt idx="30">
                  <c:v>298.39457889546611</c:v>
                </c:pt>
                <c:pt idx="31">
                  <c:v>295.29681675499319</c:v>
                </c:pt>
                <c:pt idx="32">
                  <c:v>292.0809203806885</c:v>
                </c:pt>
                <c:pt idx="33">
                  <c:v>289.07830101995762</c:v>
                </c:pt>
                <c:pt idx="34">
                  <c:v>289.78207540581388</c:v>
                </c:pt>
                <c:pt idx="35">
                  <c:v>290.09562978589776</c:v>
                </c:pt>
                <c:pt idx="36">
                  <c:v>290.06354950354677</c:v>
                </c:pt>
                <c:pt idx="37">
                  <c:v>289.67365773859785</c:v>
                </c:pt>
                <c:pt idx="38">
                  <c:v>288.91559985403478</c:v>
                </c:pt>
                <c:pt idx="39">
                  <c:v>287.78071784417818</c:v>
                </c:pt>
                <c:pt idx="40">
                  <c:v>286.26194533674862</c:v>
                </c:pt>
                <c:pt idx="41">
                  <c:v>284.35372007588438</c:v>
                </c:pt>
                <c:pt idx="42">
                  <c:v>282.05191142446267</c:v>
                </c:pt>
                <c:pt idx="43">
                  <c:v>279.35376091483204</c:v>
                </c:pt>
                <c:pt idx="44">
                  <c:v>276.25783427561458</c:v>
                </c:pt>
                <c:pt idx="45">
                  <c:v>272.76398369025844</c:v>
                </c:pt>
                <c:pt idx="46">
                  <c:v>268.87331931735207</c:v>
                </c:pt>
                <c:pt idx="47">
                  <c:v>264.58818933666447</c:v>
                </c:pt>
                <c:pt idx="48">
                  <c:v>259.91216798922858</c:v>
                </c:pt>
                <c:pt idx="49">
                  <c:v>254.8500512635311</c:v>
                </c:pt>
                <c:pt idx="50">
                  <c:v>249.40786005086139</c:v>
                </c:pt>
                <c:pt idx="51">
                  <c:v>243.59285075828734</c:v>
                </c:pt>
                <c:pt idx="52">
                  <c:v>237.41353353461201</c:v>
                </c:pt>
                <c:pt idx="53">
                  <c:v>230.87969844036968</c:v>
                </c:pt>
                <c:pt idx="54">
                  <c:v>224.00245008568052</c:v>
                </c:pt>
                <c:pt idx="55">
                  <c:v>216.64614051467564</c:v>
                </c:pt>
                <c:pt idx="56">
                  <c:v>208.94208379889881</c:v>
                </c:pt>
                <c:pt idx="57">
                  <c:v>200.94257862367817</c:v>
                </c:pt>
                <c:pt idx="58">
                  <c:v>192.66421094484065</c:v>
                </c:pt>
                <c:pt idx="59">
                  <c:v>185.56463855824845</c:v>
                </c:pt>
                <c:pt idx="60">
                  <c:v>176.78510691810891</c:v>
                </c:pt>
                <c:pt idx="61">
                  <c:v>167.78697425158259</c:v>
                </c:pt>
                <c:pt idx="62">
                  <c:v>158.59427641177277</c:v>
                </c:pt>
                <c:pt idx="63">
                  <c:v>149.23331855606932</c:v>
                </c:pt>
                <c:pt idx="64">
                  <c:v>139.73290982280599</c:v>
                </c:pt>
                <c:pt idx="65">
                  <c:v>130.12465124724764</c:v>
                </c:pt>
                <c:pt idx="66">
                  <c:v>120.44329286589289</c:v>
                </c:pt>
                <c:pt idx="67">
                  <c:v>25.231109468687578</c:v>
                </c:pt>
                <c:pt idx="68">
                  <c:v>14.876956119646016</c:v>
                </c:pt>
                <c:pt idx="69">
                  <c:v>11.271369195788456</c:v>
                </c:pt>
                <c:pt idx="70">
                  <c:v>8.3914954288965937</c:v>
                </c:pt>
                <c:pt idx="71">
                  <c:v>6.0382670033838535</c:v>
                </c:pt>
                <c:pt idx="72">
                  <c:v>4.0793240805776501</c:v>
                </c:pt>
                <c:pt idx="73">
                  <c:v>2.4232322886571129</c:v>
                </c:pt>
                <c:pt idx="74">
                  <c:v>1.0048000689043441</c:v>
                </c:pt>
                <c:pt idx="75">
                  <c:v>0.35663773075634159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-259.19946716253861</c:v>
                </c:pt>
                <c:pt idx="1">
                  <c:v>-255.41891989259037</c:v>
                </c:pt>
                <c:pt idx="2">
                  <c:v>-248.56822304612282</c:v>
                </c:pt>
                <c:pt idx="3">
                  <c:v>-239.75714178061921</c:v>
                </c:pt>
                <c:pt idx="4">
                  <c:v>-229.39302954768684</c:v>
                </c:pt>
                <c:pt idx="5">
                  <c:v>-217.71640345336954</c:v>
                </c:pt>
                <c:pt idx="6">
                  <c:v>-204.89296508654107</c:v>
                </c:pt>
                <c:pt idx="7">
                  <c:v>-180.94199782007635</c:v>
                </c:pt>
                <c:pt idx="8">
                  <c:v>-157.51515935006853</c:v>
                </c:pt>
                <c:pt idx="9">
                  <c:v>-135.16781163650464</c:v>
                </c:pt>
                <c:pt idx="10">
                  <c:v>-112.6385309885115</c:v>
                </c:pt>
                <c:pt idx="11">
                  <c:v>-76.764235398958988</c:v>
                </c:pt>
                <c:pt idx="12">
                  <c:v>-43.352737336106593</c:v>
                </c:pt>
                <c:pt idx="13">
                  <c:v>-13.794158740287207</c:v>
                </c:pt>
                <c:pt idx="14">
                  <c:v>16.516282550642913</c:v>
                </c:pt>
                <c:pt idx="15">
                  <c:v>45.85314305443891</c:v>
                </c:pt>
                <c:pt idx="16">
                  <c:v>74.46506156224396</c:v>
                </c:pt>
                <c:pt idx="17">
                  <c:v>102.53655308780843</c:v>
                </c:pt>
                <c:pt idx="18">
                  <c:v>130.20614336964104</c:v>
                </c:pt>
                <c:pt idx="19">
                  <c:v>157.57872961683347</c:v>
                </c:pt>
                <c:pt idx="20">
                  <c:v>190.8235092371095</c:v>
                </c:pt>
                <c:pt idx="21">
                  <c:v>217.07281465177621</c:v>
                </c:pt>
                <c:pt idx="22">
                  <c:v>241.61838913079376</c:v>
                </c:pt>
                <c:pt idx="23">
                  <c:v>264.18831770058159</c:v>
                </c:pt>
                <c:pt idx="24">
                  <c:v>285.09626220200931</c:v>
                </c:pt>
                <c:pt idx="25">
                  <c:v>304.5938100980506</c:v>
                </c:pt>
                <c:pt idx="26">
                  <c:v>322.88453337989745</c:v>
                </c:pt>
                <c:pt idx="27">
                  <c:v>340.13446497349508</c:v>
                </c:pt>
                <c:pt idx="28">
                  <c:v>356.47999886971672</c:v>
                </c:pt>
                <c:pt idx="29">
                  <c:v>374.12103228780018</c:v>
                </c:pt>
                <c:pt idx="30">
                  <c:v>392.91313853813784</c:v>
                </c:pt>
                <c:pt idx="31">
                  <c:v>410.66751983678779</c:v>
                </c:pt>
                <c:pt idx="32">
                  <c:v>427.50420874339426</c:v>
                </c:pt>
                <c:pt idx="33">
                  <c:v>446.34220225567435</c:v>
                </c:pt>
                <c:pt idx="34">
                  <c:v>471.94834551164598</c:v>
                </c:pt>
                <c:pt idx="35">
                  <c:v>497.10081033702954</c:v>
                </c:pt>
                <c:pt idx="36">
                  <c:v>521.90963418487831</c:v>
                </c:pt>
                <c:pt idx="37">
                  <c:v>546.39498786831416</c:v>
                </c:pt>
                <c:pt idx="38">
                  <c:v>570.57374623674116</c:v>
                </c:pt>
                <c:pt idx="39">
                  <c:v>594.45989713633764</c:v>
                </c:pt>
                <c:pt idx="40">
                  <c:v>615.08138602628549</c:v>
                </c:pt>
                <c:pt idx="41">
                  <c:v>638.41440709817391</c:v>
                </c:pt>
                <c:pt idx="42">
                  <c:v>661.48264964336772</c:v>
                </c:pt>
                <c:pt idx="43">
                  <c:v>684.29150674691243</c:v>
                </c:pt>
                <c:pt idx="44">
                  <c:v>706.84475205652723</c:v>
                </c:pt>
                <c:pt idx="45">
                  <c:v>729.14468930546036</c:v>
                </c:pt>
                <c:pt idx="46">
                  <c:v>751.19227840041151</c:v>
                </c:pt>
                <c:pt idx="47">
                  <c:v>772.98724117561812</c:v>
                </c:pt>
                <c:pt idx="48">
                  <c:v>794.52814932662216</c:v>
                </c:pt>
                <c:pt idx="49">
                  <c:v>815.81249654460316</c:v>
                </c:pt>
                <c:pt idx="50">
                  <c:v>836.83675645223525</c:v>
                </c:pt>
                <c:pt idx="51">
                  <c:v>857.59642757653739</c:v>
                </c:pt>
                <c:pt idx="52">
                  <c:v>878.08606626749804</c:v>
                </c:pt>
                <c:pt idx="53">
                  <c:v>898.29930816949877</c:v>
                </c:pt>
                <c:pt idx="54">
                  <c:v>918.22887856259001</c:v>
                </c:pt>
                <c:pt idx="55">
                  <c:v>937.55959600596827</c:v>
                </c:pt>
                <c:pt idx="56">
                  <c:v>956.52577111970595</c:v>
                </c:pt>
                <c:pt idx="57">
                  <c:v>975.19392508120359</c:v>
                </c:pt>
                <c:pt idx="58">
                  <c:v>993.55234423265017</c:v>
                </c:pt>
                <c:pt idx="59">
                  <c:v>1008.6048241891466</c:v>
                </c:pt>
                <c:pt idx="60">
                  <c:v>1026.3045977373799</c:v>
                </c:pt>
                <c:pt idx="61">
                  <c:v>1043.6532436508583</c:v>
                </c:pt>
                <c:pt idx="62">
                  <c:v>1060.634572509455</c:v>
                </c:pt>
                <c:pt idx="63">
                  <c:v>1077.2309842365703</c:v>
                </c:pt>
                <c:pt idx="64">
                  <c:v>1093.4232901541798</c:v>
                </c:pt>
                <c:pt idx="65">
                  <c:v>1109.1904896321116</c:v>
                </c:pt>
                <c:pt idx="66">
                  <c:v>1124.509487435605</c:v>
                </c:pt>
                <c:pt idx="67">
                  <c:v>1251.7607169713633</c:v>
                </c:pt>
                <c:pt idx="68">
                  <c:v>1269.5946828736348</c:v>
                </c:pt>
                <c:pt idx="69">
                  <c:v>1278.8905724261774</c:v>
                </c:pt>
                <c:pt idx="70">
                  <c:v>1285.2198078267584</c:v>
                </c:pt>
                <c:pt idx="71">
                  <c:v>1289.4614265388927</c:v>
                </c:pt>
                <c:pt idx="72">
                  <c:v>1292.9923582866545</c:v>
                </c:pt>
                <c:pt idx="73">
                  <c:v>1295.9774105907427</c:v>
                </c:pt>
                <c:pt idx="74">
                  <c:v>1298.5340891434787</c:v>
                </c:pt>
                <c:pt idx="75">
                  <c:v>1299.4962961564984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7-415E-A4F7-AB0F6397766B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5.9201720207369135E-4</c:v>
                </c:pt>
                <c:pt idx="1">
                  <c:v>4.1370889786391656</c:v>
                </c:pt>
                <c:pt idx="2">
                  <c:v>11.453299602711299</c:v>
                </c:pt>
                <c:pt idx="3">
                  <c:v>20.61742682083398</c:v>
                </c:pt>
                <c:pt idx="4">
                  <c:v>31.105910014410352</c:v>
                </c:pt>
                <c:pt idx="5">
                  <c:v>42.594208054493357</c:v>
                </c:pt>
                <c:pt idx="6">
                  <c:v>54.849763453209341</c:v>
                </c:pt>
                <c:pt idx="7">
                  <c:v>75.353145893122061</c:v>
                </c:pt>
                <c:pt idx="8">
                  <c:v>95.199584116777018</c:v>
                </c:pt>
                <c:pt idx="9">
                  <c:v>113.90674202473916</c:v>
                </c:pt>
                <c:pt idx="10">
                  <c:v>132.2103200843508</c:v>
                </c:pt>
                <c:pt idx="11">
                  <c:v>157.18782489693646</c:v>
                </c:pt>
                <c:pt idx="12">
                  <c:v>180.36627366636023</c:v>
                </c:pt>
                <c:pt idx="13">
                  <c:v>200.53170536383365</c:v>
                </c:pt>
                <c:pt idx="14">
                  <c:v>221.05370910363854</c:v>
                </c:pt>
                <c:pt idx="15">
                  <c:v>240.52958501204955</c:v>
                </c:pt>
                <c:pt idx="16">
                  <c:v>259.07219580500151</c:v>
                </c:pt>
                <c:pt idx="17">
                  <c:v>276.75978708730048</c:v>
                </c:pt>
                <c:pt idx="18">
                  <c:v>293.64635178046308</c:v>
                </c:pt>
                <c:pt idx="19">
                  <c:v>309.76865363000587</c:v>
                </c:pt>
                <c:pt idx="20">
                  <c:v>325.15109088166287</c:v>
                </c:pt>
                <c:pt idx="21">
                  <c:v>337.59466928880323</c:v>
                </c:pt>
                <c:pt idx="22">
                  <c:v>351.53730386712323</c:v>
                </c:pt>
                <c:pt idx="23">
                  <c:v>364.76885601868474</c:v>
                </c:pt>
                <c:pt idx="24">
                  <c:v>377.29029649298076</c:v>
                </c:pt>
                <c:pt idx="25">
                  <c:v>389.10023548660172</c:v>
                </c:pt>
                <c:pt idx="26">
                  <c:v>400.19567008285617</c:v>
                </c:pt>
                <c:pt idx="27">
                  <c:v>410.57255440585919</c:v>
                </c:pt>
                <c:pt idx="28">
                  <c:v>420.2262385908902</c:v>
                </c:pt>
                <c:pt idx="29">
                  <c:v>427.72280189454375</c:v>
                </c:pt>
                <c:pt idx="30">
                  <c:v>433.12641253099582</c:v>
                </c:pt>
                <c:pt idx="31">
                  <c:v>437.97222334504949</c:v>
                </c:pt>
                <c:pt idx="32">
                  <c:v>442.23905821399723</c:v>
                </c:pt>
                <c:pt idx="33">
                  <c:v>444.73584772301172</c:v>
                </c:pt>
                <c:pt idx="34">
                  <c:v>445.81857754740599</c:v>
                </c:pt>
                <c:pt idx="35">
                  <c:v>446.30096890138111</c:v>
                </c:pt>
                <c:pt idx="36">
                  <c:v>446.25161462084122</c:v>
                </c:pt>
                <c:pt idx="37">
                  <c:v>445.65178113630441</c:v>
                </c:pt>
                <c:pt idx="38">
                  <c:v>444.48553823697665</c:v>
                </c:pt>
                <c:pt idx="39">
                  <c:v>442.73956591412025</c:v>
                </c:pt>
                <c:pt idx="40">
                  <c:v>440.40299282576706</c:v>
                </c:pt>
                <c:pt idx="41">
                  <c:v>437.46726165520676</c:v>
                </c:pt>
                <c:pt idx="42">
                  <c:v>433.9260175760964</c:v>
                </c:pt>
                <c:pt idx="43">
                  <c:v>429.77501679204926</c:v>
                </c:pt>
                <c:pt idx="44">
                  <c:v>425.01205273171473</c:v>
                </c:pt>
                <c:pt idx="45">
                  <c:v>419.63689798501298</c:v>
                </c:pt>
                <c:pt idx="46">
                  <c:v>413.65126048823396</c:v>
                </c:pt>
                <c:pt idx="47">
                  <c:v>407.05875282563767</c:v>
                </c:pt>
                <c:pt idx="48">
                  <c:v>399.86487382958239</c:v>
                </c:pt>
                <c:pt idx="49">
                  <c:v>392.077001943894</c:v>
                </c:pt>
                <c:pt idx="50">
                  <c:v>383.70440007824828</c:v>
                </c:pt>
                <c:pt idx="51">
                  <c:v>374.75823193582664</c:v>
                </c:pt>
                <c:pt idx="52">
                  <c:v>365.25159005324923</c:v>
                </c:pt>
                <c:pt idx="53">
                  <c:v>355.19953606210714</c:v>
                </c:pt>
                <c:pt idx="54">
                  <c:v>344.61915397796997</c:v>
                </c:pt>
                <c:pt idx="55">
                  <c:v>333.30175463796252</c:v>
                </c:pt>
                <c:pt idx="56">
                  <c:v>321.44935969061351</c:v>
                </c:pt>
                <c:pt idx="57">
                  <c:v>309.14242865181257</c:v>
                </c:pt>
                <c:pt idx="58">
                  <c:v>296.40647837667785</c:v>
                </c:pt>
                <c:pt idx="59">
                  <c:v>285.48405932038219</c:v>
                </c:pt>
                <c:pt idx="60">
                  <c:v>271.97708756632142</c:v>
                </c:pt>
                <c:pt idx="61">
                  <c:v>258.13380654089627</c:v>
                </c:pt>
                <c:pt idx="62">
                  <c:v>243.9911944796504</c:v>
                </c:pt>
                <c:pt idx="63">
                  <c:v>229.58972085549127</c:v>
                </c:pt>
                <c:pt idx="64">
                  <c:v>214.97370741970153</c:v>
                </c:pt>
                <c:pt idx="65">
                  <c:v>200.19177114961175</c:v>
                </c:pt>
                <c:pt idx="66">
                  <c:v>185.2973736398352</c:v>
                </c:pt>
                <c:pt idx="67">
                  <c:v>38.817091490288576</c:v>
                </c:pt>
                <c:pt idx="68">
                  <c:v>22.887624799455409</c:v>
                </c:pt>
                <c:pt idx="69">
                  <c:v>17.3405679935207</c:v>
                </c:pt>
                <c:pt idx="70">
                  <c:v>12.909992967533222</c:v>
                </c:pt>
                <c:pt idx="71">
                  <c:v>9.2896415436674662</c:v>
                </c:pt>
                <c:pt idx="72">
                  <c:v>6.2758832008886918</c:v>
                </c:pt>
                <c:pt idx="73">
                  <c:v>3.7280496748570973</c:v>
                </c:pt>
                <c:pt idx="74">
                  <c:v>1.5458462598528371</c:v>
                </c:pt>
                <c:pt idx="75">
                  <c:v>0.54867343193283324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-287.99940795837625</c:v>
                </c:pt>
                <c:pt idx="1">
                  <c:v>-283.79879988065596</c:v>
                </c:pt>
                <c:pt idx="2">
                  <c:v>-276.18691449569201</c:v>
                </c:pt>
                <c:pt idx="3">
                  <c:v>-266.396824200688</c:v>
                </c:pt>
                <c:pt idx="4">
                  <c:v>-254.88114394187426</c:v>
                </c:pt>
                <c:pt idx="5">
                  <c:v>-241.90711494818837</c:v>
                </c:pt>
                <c:pt idx="6">
                  <c:v>-227.65885009615673</c:v>
                </c:pt>
                <c:pt idx="7">
                  <c:v>-201.04666424452927</c:v>
                </c:pt>
                <c:pt idx="8">
                  <c:v>-175.01684372229838</c:v>
                </c:pt>
                <c:pt idx="9">
                  <c:v>-150.18645737389403</c:v>
                </c:pt>
                <c:pt idx="10">
                  <c:v>-125.15392332056834</c:v>
                </c:pt>
                <c:pt idx="11">
                  <c:v>-85.293594887732212</c:v>
                </c:pt>
                <c:pt idx="12">
                  <c:v>-48.169708151229543</c:v>
                </c:pt>
                <c:pt idx="13">
                  <c:v>-15.326843044763564</c:v>
                </c:pt>
                <c:pt idx="14">
                  <c:v>18.351425056269903</c:v>
                </c:pt>
                <c:pt idx="15">
                  <c:v>50.947936727154342</c:v>
                </c:pt>
                <c:pt idx="16">
                  <c:v>82.738957291382178</c:v>
                </c:pt>
                <c:pt idx="17">
                  <c:v>113.92950343089825</c:v>
                </c:pt>
                <c:pt idx="18">
                  <c:v>144.67349263293448</c:v>
                </c:pt>
                <c:pt idx="19">
                  <c:v>175.08747735203718</c:v>
                </c:pt>
                <c:pt idx="20">
                  <c:v>212.02612137456612</c:v>
                </c:pt>
                <c:pt idx="21">
                  <c:v>245.51216520204954</c:v>
                </c:pt>
                <c:pt idx="22">
                  <c:v>282.73228995653983</c:v>
                </c:pt>
                <c:pt idx="23">
                  <c:v>319.2315123338505</c:v>
                </c:pt>
                <c:pt idx="24">
                  <c:v>355.11914459066111</c:v>
                </c:pt>
                <c:pt idx="25">
                  <c:v>390.48401998990886</c:v>
                </c:pt>
                <c:pt idx="26">
                  <c:v>425.3985000946264</c:v>
                </c:pt>
                <c:pt idx="27">
                  <c:v>459.9215810038246</c:v>
                </c:pt>
                <c:pt idx="28">
                  <c:v>494.10132479243163</c:v>
                </c:pt>
                <c:pt idx="29">
                  <c:v>530.93874223184037</c:v>
                </c:pt>
                <c:pt idx="30">
                  <c:v>570.32221818927815</c:v>
                </c:pt>
                <c:pt idx="31">
                  <c:v>609.08535586330152</c:v>
                </c:pt>
                <c:pt idx="32">
                  <c:v>647.28315156904284</c:v>
                </c:pt>
                <c:pt idx="33">
                  <c:v>686.68031116257589</c:v>
                </c:pt>
                <c:pt idx="34">
                  <c:v>726.07437771022455</c:v>
                </c:pt>
                <c:pt idx="35">
                  <c:v>764.77047744158392</c:v>
                </c:pt>
                <c:pt idx="36">
                  <c:v>802.93789874596666</c:v>
                </c:pt>
                <c:pt idx="37">
                  <c:v>840.60767364356025</c:v>
                </c:pt>
                <c:pt idx="38">
                  <c:v>877.80576344114024</c:v>
                </c:pt>
                <c:pt idx="39">
                  <c:v>914.55368790205785</c:v>
                </c:pt>
                <c:pt idx="40">
                  <c:v>946.27905542505459</c:v>
                </c:pt>
                <c:pt idx="41">
                  <c:v>982.17601092026757</c:v>
                </c:pt>
                <c:pt idx="42">
                  <c:v>1017.6656148359504</c:v>
                </c:pt>
                <c:pt idx="43">
                  <c:v>1052.7561642260191</c:v>
                </c:pt>
                <c:pt idx="44">
                  <c:v>1087.4534647023495</c:v>
                </c:pt>
                <c:pt idx="45">
                  <c:v>1121.7610604699389</c:v>
                </c:pt>
                <c:pt idx="46">
                  <c:v>1155.6804283083254</c:v>
                </c:pt>
                <c:pt idx="47">
                  <c:v>1189.2111402701817</c:v>
                </c:pt>
                <c:pt idx="48">
                  <c:v>1222.350998964034</c:v>
                </c:pt>
                <c:pt idx="49">
                  <c:v>1255.0961485301586</c:v>
                </c:pt>
                <c:pt idx="50">
                  <c:v>1287.4411637726696</c:v>
                </c:pt>
                <c:pt idx="51">
                  <c:v>1319.379119348519</c:v>
                </c:pt>
                <c:pt idx="52">
                  <c:v>1350.9016404115355</c:v>
                </c:pt>
                <c:pt idx="53">
                  <c:v>1381.9989356453827</c:v>
                </c:pt>
                <c:pt idx="54">
                  <c:v>1412.6598131732153</c:v>
                </c:pt>
                <c:pt idx="55">
                  <c:v>1442.3993784707204</c:v>
                </c:pt>
                <c:pt idx="56">
                  <c:v>1471.5781094149322</c:v>
                </c:pt>
                <c:pt idx="57">
                  <c:v>1500.2983462787747</c:v>
                </c:pt>
                <c:pt idx="58">
                  <c:v>1528.5420680502309</c:v>
                </c:pt>
                <c:pt idx="59">
                  <c:v>1551.6997295217639</c:v>
                </c:pt>
                <c:pt idx="60">
                  <c:v>1578.9301503651998</c:v>
                </c:pt>
                <c:pt idx="61">
                  <c:v>1605.6203748474743</c:v>
                </c:pt>
                <c:pt idx="62">
                  <c:v>1631.7454961683923</c:v>
                </c:pt>
                <c:pt idx="63">
                  <c:v>1657.2784372870312</c:v>
                </c:pt>
                <c:pt idx="64">
                  <c:v>1682.1896771602765</c:v>
                </c:pt>
                <c:pt idx="65">
                  <c:v>1706.4469071263254</c:v>
                </c:pt>
                <c:pt idx="66">
                  <c:v>1730.0145960547768</c:v>
                </c:pt>
                <c:pt idx="67">
                  <c:v>1925.785718417482</c:v>
                </c:pt>
                <c:pt idx="68">
                  <c:v>1953.2225890363611</c:v>
                </c:pt>
                <c:pt idx="69">
                  <c:v>1967.5239575787343</c:v>
                </c:pt>
                <c:pt idx="70">
                  <c:v>1977.2612428103973</c:v>
                </c:pt>
                <c:pt idx="71">
                  <c:v>1983.7868100598348</c:v>
                </c:pt>
                <c:pt idx="72">
                  <c:v>1989.2190127486992</c:v>
                </c:pt>
                <c:pt idx="73">
                  <c:v>1993.8114009088349</c:v>
                </c:pt>
                <c:pt idx="74">
                  <c:v>1997.7447525284288</c:v>
                </c:pt>
                <c:pt idx="75">
                  <c:v>1999.2250710099975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47-415E-A4F7-AB0F6397766B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42.426406871192853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47-415E-A4F7-AB0F6397766B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247.66534612892735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99.999999999948827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47-415E-A4F7-AB0F6397766B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169.70654970049617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1040.0152014705741</c:v>
                </c:pt>
                <c:pt idx="1">
                  <c:v>1040.0152014705741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47-415E-A4F7-AB0F6397766B}"/>
            </c:ext>
          </c:extLst>
        </c:ser>
        <c:ser>
          <c:idx val="5"/>
          <c:order val="5"/>
          <c:tx>
            <c:v>P_M_180</c:v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circle_section!$BS$2:$BS$77</c:f>
              <c:numCache>
                <c:formatCode>General</c:formatCode>
                <c:ptCount val="76"/>
                <c:pt idx="0">
                  <c:v>-5.328154818577957E-4</c:v>
                </c:pt>
                <c:pt idx="1">
                  <c:v>-3.7233800807752404</c:v>
                </c:pt>
                <c:pt idx="2">
                  <c:v>-10.30796964244016</c:v>
                </c:pt>
                <c:pt idx="3">
                  <c:v>-18.555684138750575</c:v>
                </c:pt>
                <c:pt idx="4">
                  <c:v>-27.995319012969308</c:v>
                </c:pt>
                <c:pt idx="5">
                  <c:v>-38.33478724904402</c:v>
                </c:pt>
                <c:pt idx="6">
                  <c:v>-49.364787107888397</c:v>
                </c:pt>
                <c:pt idx="7">
                  <c:v>-67.817831303809854</c:v>
                </c:pt>
                <c:pt idx="8">
                  <c:v>-85.679625705099298</c:v>
                </c:pt>
                <c:pt idx="9">
                  <c:v>-102.51606782226521</c:v>
                </c:pt>
                <c:pt idx="10">
                  <c:v>-118.98928807591572</c:v>
                </c:pt>
                <c:pt idx="11">
                  <c:v>-141.46904240724282</c:v>
                </c:pt>
                <c:pt idx="12">
                  <c:v>-162.3296462997242</c:v>
                </c:pt>
                <c:pt idx="13">
                  <c:v>-180.47853482745029</c:v>
                </c:pt>
                <c:pt idx="14">
                  <c:v>-198.94833819327468</c:v>
                </c:pt>
                <c:pt idx="15">
                  <c:v>-216.4766265108446</c:v>
                </c:pt>
                <c:pt idx="16">
                  <c:v>-233.16497622450137</c:v>
                </c:pt>
                <c:pt idx="17">
                  <c:v>-249.08380837857044</c:v>
                </c:pt>
                <c:pt idx="18">
                  <c:v>-264.28171660241685</c:v>
                </c:pt>
                <c:pt idx="19">
                  <c:v>-278.7917882670053</c:v>
                </c:pt>
                <c:pt idx="20">
                  <c:v>-292.63598179349657</c:v>
                </c:pt>
                <c:pt idx="21">
                  <c:v>-298.48877351412119</c:v>
                </c:pt>
                <c:pt idx="22">
                  <c:v>-300.41802827973027</c:v>
                </c:pt>
                <c:pt idx="23">
                  <c:v>-301.87392753495226</c:v>
                </c:pt>
                <c:pt idx="24">
                  <c:v>-302.89567581388394</c:v>
                </c:pt>
                <c:pt idx="25">
                  <c:v>-303.51440051240905</c:v>
                </c:pt>
                <c:pt idx="26">
                  <c:v>-303.75516643010059</c:v>
                </c:pt>
                <c:pt idx="27">
                  <c:v>-303.63845032198407</c:v>
                </c:pt>
                <c:pt idx="28">
                  <c:v>-303.18123336511337</c:v>
                </c:pt>
                <c:pt idx="29">
                  <c:v>-301.39088269422695</c:v>
                </c:pt>
                <c:pt idx="30">
                  <c:v>-298.39457889546611</c:v>
                </c:pt>
                <c:pt idx="31">
                  <c:v>-295.29681675499319</c:v>
                </c:pt>
                <c:pt idx="32">
                  <c:v>-292.0809203806885</c:v>
                </c:pt>
                <c:pt idx="33">
                  <c:v>-289.07830101995756</c:v>
                </c:pt>
                <c:pt idx="34">
                  <c:v>-289.78207540581388</c:v>
                </c:pt>
                <c:pt idx="35">
                  <c:v>-290.09562978589776</c:v>
                </c:pt>
                <c:pt idx="36">
                  <c:v>-290.06354950354677</c:v>
                </c:pt>
                <c:pt idx="37">
                  <c:v>-289.67365773859785</c:v>
                </c:pt>
                <c:pt idx="38">
                  <c:v>-288.91559985403484</c:v>
                </c:pt>
                <c:pt idx="39">
                  <c:v>-287.78071784417818</c:v>
                </c:pt>
                <c:pt idx="40">
                  <c:v>-286.26194533674862</c:v>
                </c:pt>
                <c:pt idx="41">
                  <c:v>-284.35372007588438</c:v>
                </c:pt>
                <c:pt idx="42">
                  <c:v>-282.05191142446273</c:v>
                </c:pt>
                <c:pt idx="43">
                  <c:v>-279.35376091483204</c:v>
                </c:pt>
                <c:pt idx="44">
                  <c:v>-276.25783427561458</c:v>
                </c:pt>
                <c:pt idx="45">
                  <c:v>-272.76398369025839</c:v>
                </c:pt>
                <c:pt idx="46">
                  <c:v>-268.87331931735207</c:v>
                </c:pt>
                <c:pt idx="47">
                  <c:v>-264.58818933666447</c:v>
                </c:pt>
                <c:pt idx="48">
                  <c:v>-259.91216798922858</c:v>
                </c:pt>
                <c:pt idx="49">
                  <c:v>-254.8500512635311</c:v>
                </c:pt>
                <c:pt idx="50">
                  <c:v>-249.40786005086136</c:v>
                </c:pt>
                <c:pt idx="51">
                  <c:v>-243.59285075828731</c:v>
                </c:pt>
                <c:pt idx="52">
                  <c:v>-237.41353353461201</c:v>
                </c:pt>
                <c:pt idx="53">
                  <c:v>-230.87969844036968</c:v>
                </c:pt>
                <c:pt idx="54">
                  <c:v>-224.00245008568052</c:v>
                </c:pt>
                <c:pt idx="55">
                  <c:v>-216.64614051467561</c:v>
                </c:pt>
                <c:pt idx="56">
                  <c:v>-208.94208379889884</c:v>
                </c:pt>
                <c:pt idx="57">
                  <c:v>-200.94257862367817</c:v>
                </c:pt>
                <c:pt idx="58">
                  <c:v>-192.66421094484062</c:v>
                </c:pt>
                <c:pt idx="59">
                  <c:v>-185.56463855824842</c:v>
                </c:pt>
                <c:pt idx="60">
                  <c:v>-176.78510691810888</c:v>
                </c:pt>
                <c:pt idx="61">
                  <c:v>-167.78697425158259</c:v>
                </c:pt>
                <c:pt idx="62">
                  <c:v>-158.59427641177277</c:v>
                </c:pt>
                <c:pt idx="63">
                  <c:v>-149.23331855606932</c:v>
                </c:pt>
                <c:pt idx="64">
                  <c:v>-139.73290982280596</c:v>
                </c:pt>
                <c:pt idx="65">
                  <c:v>-130.12465124724764</c:v>
                </c:pt>
                <c:pt idx="66">
                  <c:v>-120.44329286589287</c:v>
                </c:pt>
                <c:pt idx="67">
                  <c:v>-25.231109468687588</c:v>
                </c:pt>
                <c:pt idx="68">
                  <c:v>-14.876956119646019</c:v>
                </c:pt>
                <c:pt idx="69">
                  <c:v>-11.271369195788445</c:v>
                </c:pt>
                <c:pt idx="70">
                  <c:v>-8.3914954288965973</c:v>
                </c:pt>
                <c:pt idx="71">
                  <c:v>-6.0382670033838517</c:v>
                </c:pt>
                <c:pt idx="72">
                  <c:v>-4.0793240805776554</c:v>
                </c:pt>
                <c:pt idx="73">
                  <c:v>-2.4232322886571072</c:v>
                </c:pt>
                <c:pt idx="74">
                  <c:v>-1.004800068904341</c:v>
                </c:pt>
              </c:numCache>
            </c:numRef>
          </c:xVal>
          <c:yVal>
            <c:numRef>
              <c:f>circle_section!$BP$2:$BP$77</c:f>
              <c:numCache>
                <c:formatCode>General</c:formatCode>
                <c:ptCount val="76"/>
                <c:pt idx="0">
                  <c:v>-259.19946716253861</c:v>
                </c:pt>
                <c:pt idx="1">
                  <c:v>-255.41891989259037</c:v>
                </c:pt>
                <c:pt idx="2">
                  <c:v>-248.56822304612282</c:v>
                </c:pt>
                <c:pt idx="3">
                  <c:v>-239.75714178061921</c:v>
                </c:pt>
                <c:pt idx="4">
                  <c:v>-229.39302954768684</c:v>
                </c:pt>
                <c:pt idx="5">
                  <c:v>-217.71640345336954</c:v>
                </c:pt>
                <c:pt idx="6">
                  <c:v>-204.89296508654107</c:v>
                </c:pt>
                <c:pt idx="7">
                  <c:v>-180.94199782007635</c:v>
                </c:pt>
                <c:pt idx="8">
                  <c:v>-157.51515935006853</c:v>
                </c:pt>
                <c:pt idx="9">
                  <c:v>-135.16781163650464</c:v>
                </c:pt>
                <c:pt idx="10">
                  <c:v>-112.63853098851153</c:v>
                </c:pt>
                <c:pt idx="11">
                  <c:v>-76.764235398958974</c:v>
                </c:pt>
                <c:pt idx="12">
                  <c:v>-43.352737336106593</c:v>
                </c:pt>
                <c:pt idx="13">
                  <c:v>-13.794158740287207</c:v>
                </c:pt>
                <c:pt idx="14">
                  <c:v>16.516282550642938</c:v>
                </c:pt>
                <c:pt idx="15">
                  <c:v>45.853143054438881</c:v>
                </c:pt>
                <c:pt idx="16">
                  <c:v>74.46506156224396</c:v>
                </c:pt>
                <c:pt idx="17">
                  <c:v>102.53655308780843</c:v>
                </c:pt>
                <c:pt idx="18">
                  <c:v>130.20614336964104</c:v>
                </c:pt>
                <c:pt idx="19">
                  <c:v>157.57872961683347</c:v>
                </c:pt>
                <c:pt idx="20">
                  <c:v>190.8235092371095</c:v>
                </c:pt>
                <c:pt idx="21">
                  <c:v>217.07281465177624</c:v>
                </c:pt>
                <c:pt idx="22">
                  <c:v>241.61838913079376</c:v>
                </c:pt>
                <c:pt idx="23">
                  <c:v>264.18831770058159</c:v>
                </c:pt>
                <c:pt idx="24">
                  <c:v>285.09626220200931</c:v>
                </c:pt>
                <c:pt idx="25">
                  <c:v>304.5938100980506</c:v>
                </c:pt>
                <c:pt idx="26">
                  <c:v>322.88453337989745</c:v>
                </c:pt>
                <c:pt idx="27">
                  <c:v>340.13446497349508</c:v>
                </c:pt>
                <c:pt idx="28">
                  <c:v>356.47999886971678</c:v>
                </c:pt>
                <c:pt idx="29">
                  <c:v>374.12103228780018</c:v>
                </c:pt>
                <c:pt idx="30">
                  <c:v>392.91313853813784</c:v>
                </c:pt>
                <c:pt idx="31">
                  <c:v>410.66751983678779</c:v>
                </c:pt>
                <c:pt idx="32">
                  <c:v>427.50420874339426</c:v>
                </c:pt>
                <c:pt idx="33">
                  <c:v>446.34220225567435</c:v>
                </c:pt>
                <c:pt idx="34">
                  <c:v>471.94834551164598</c:v>
                </c:pt>
                <c:pt idx="35">
                  <c:v>497.10081033702954</c:v>
                </c:pt>
                <c:pt idx="36">
                  <c:v>521.90963418487831</c:v>
                </c:pt>
                <c:pt idx="37">
                  <c:v>546.39498786831427</c:v>
                </c:pt>
                <c:pt idx="38">
                  <c:v>570.57374623674116</c:v>
                </c:pt>
                <c:pt idx="39">
                  <c:v>594.45989713633764</c:v>
                </c:pt>
                <c:pt idx="40">
                  <c:v>615.08138602628549</c:v>
                </c:pt>
                <c:pt idx="41">
                  <c:v>638.41440709817391</c:v>
                </c:pt>
                <c:pt idx="42">
                  <c:v>661.48264964336772</c:v>
                </c:pt>
                <c:pt idx="43">
                  <c:v>684.29150674691243</c:v>
                </c:pt>
                <c:pt idx="44">
                  <c:v>706.84475205652723</c:v>
                </c:pt>
                <c:pt idx="45">
                  <c:v>729.14468930546013</c:v>
                </c:pt>
                <c:pt idx="46">
                  <c:v>751.19227840041151</c:v>
                </c:pt>
                <c:pt idx="47">
                  <c:v>772.98724117561812</c:v>
                </c:pt>
                <c:pt idx="48">
                  <c:v>794.52814932662216</c:v>
                </c:pt>
                <c:pt idx="49">
                  <c:v>815.81249654460316</c:v>
                </c:pt>
                <c:pt idx="50">
                  <c:v>836.83675645223525</c:v>
                </c:pt>
                <c:pt idx="51">
                  <c:v>857.59642757653739</c:v>
                </c:pt>
                <c:pt idx="52">
                  <c:v>878.08606626749804</c:v>
                </c:pt>
                <c:pt idx="53">
                  <c:v>898.29930816949877</c:v>
                </c:pt>
                <c:pt idx="54">
                  <c:v>918.22887856259001</c:v>
                </c:pt>
                <c:pt idx="55">
                  <c:v>937.55959600596827</c:v>
                </c:pt>
                <c:pt idx="56">
                  <c:v>956.52577111970595</c:v>
                </c:pt>
                <c:pt idx="57">
                  <c:v>975.19392508120359</c:v>
                </c:pt>
                <c:pt idx="58">
                  <c:v>993.55234423265017</c:v>
                </c:pt>
                <c:pt idx="59">
                  <c:v>1008.6048241891466</c:v>
                </c:pt>
                <c:pt idx="60">
                  <c:v>1026.3045977373799</c:v>
                </c:pt>
                <c:pt idx="61">
                  <c:v>1043.6532436508583</c:v>
                </c:pt>
                <c:pt idx="62">
                  <c:v>1060.634572509455</c:v>
                </c:pt>
                <c:pt idx="63">
                  <c:v>1077.2309842365703</c:v>
                </c:pt>
                <c:pt idx="64">
                  <c:v>1093.4232901541798</c:v>
                </c:pt>
                <c:pt idx="65">
                  <c:v>1109.1904896321116</c:v>
                </c:pt>
                <c:pt idx="66">
                  <c:v>1124.509487435605</c:v>
                </c:pt>
                <c:pt idx="67">
                  <c:v>1251.7607169713633</c:v>
                </c:pt>
                <c:pt idx="68">
                  <c:v>1269.5946828736348</c:v>
                </c:pt>
                <c:pt idx="69">
                  <c:v>1278.8905724261774</c:v>
                </c:pt>
                <c:pt idx="70">
                  <c:v>1285.2198078267584</c:v>
                </c:pt>
                <c:pt idx="71">
                  <c:v>1289.4614265388927</c:v>
                </c:pt>
                <c:pt idx="72">
                  <c:v>1292.9923582866545</c:v>
                </c:pt>
                <c:pt idx="73">
                  <c:v>1295.9774105907425</c:v>
                </c:pt>
                <c:pt idx="74">
                  <c:v>1298.5340891434787</c:v>
                </c:pt>
                <c:pt idx="75">
                  <c:v>1299.3774352584048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47-415E-A4F7-AB0F6397766B}"/>
            </c:ext>
          </c:extLst>
        </c:ser>
        <c:ser>
          <c:idx val="6"/>
          <c:order val="6"/>
          <c:tx>
            <c:v>P_M_Nominal_180</c:v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circle_section!$BW$2:$BW$77</c:f>
              <c:numCache>
                <c:formatCode>General</c:formatCode>
                <c:ptCount val="76"/>
                <c:pt idx="0">
                  <c:v>-5.9201720206421748E-4</c:v>
                </c:pt>
                <c:pt idx="1">
                  <c:v>-4.1370889786391558</c:v>
                </c:pt>
                <c:pt idx="2">
                  <c:v>-11.453299602711288</c:v>
                </c:pt>
                <c:pt idx="3">
                  <c:v>-20.617426820833973</c:v>
                </c:pt>
                <c:pt idx="4">
                  <c:v>-31.105910014410341</c:v>
                </c:pt>
                <c:pt idx="5">
                  <c:v>-42.594208054493357</c:v>
                </c:pt>
                <c:pt idx="6">
                  <c:v>-54.849763453209327</c:v>
                </c:pt>
                <c:pt idx="7">
                  <c:v>-75.353145893122061</c:v>
                </c:pt>
                <c:pt idx="8">
                  <c:v>-95.19958411677699</c:v>
                </c:pt>
                <c:pt idx="9">
                  <c:v>-113.90674202473912</c:v>
                </c:pt>
                <c:pt idx="10">
                  <c:v>-132.2103200843508</c:v>
                </c:pt>
                <c:pt idx="11">
                  <c:v>-157.18782489693646</c:v>
                </c:pt>
                <c:pt idx="12">
                  <c:v>-180.36627366636023</c:v>
                </c:pt>
                <c:pt idx="13">
                  <c:v>-200.53170536383365</c:v>
                </c:pt>
                <c:pt idx="14">
                  <c:v>-221.05370910363854</c:v>
                </c:pt>
                <c:pt idx="15">
                  <c:v>-240.52958501204955</c:v>
                </c:pt>
                <c:pt idx="16">
                  <c:v>-259.07219580500151</c:v>
                </c:pt>
                <c:pt idx="17">
                  <c:v>-276.75978708730048</c:v>
                </c:pt>
                <c:pt idx="18">
                  <c:v>-293.64635178046314</c:v>
                </c:pt>
                <c:pt idx="19">
                  <c:v>-309.76865363000587</c:v>
                </c:pt>
                <c:pt idx="20">
                  <c:v>-325.15109088166287</c:v>
                </c:pt>
                <c:pt idx="21">
                  <c:v>-337.59466928880323</c:v>
                </c:pt>
                <c:pt idx="22">
                  <c:v>-351.53730386712323</c:v>
                </c:pt>
                <c:pt idx="23">
                  <c:v>-364.76885601868486</c:v>
                </c:pt>
                <c:pt idx="24">
                  <c:v>-377.2902964929807</c:v>
                </c:pt>
                <c:pt idx="25">
                  <c:v>-389.10023548660178</c:v>
                </c:pt>
                <c:pt idx="26">
                  <c:v>-400.19567008285617</c:v>
                </c:pt>
                <c:pt idx="27">
                  <c:v>-410.57255440585931</c:v>
                </c:pt>
                <c:pt idx="28">
                  <c:v>-420.22623859089032</c:v>
                </c:pt>
                <c:pt idx="29">
                  <c:v>-427.72280189454381</c:v>
                </c:pt>
                <c:pt idx="30">
                  <c:v>-433.12641253099582</c:v>
                </c:pt>
                <c:pt idx="31">
                  <c:v>-437.97222334504949</c:v>
                </c:pt>
                <c:pt idx="32">
                  <c:v>-442.23905821399717</c:v>
                </c:pt>
                <c:pt idx="33">
                  <c:v>-444.7358477230116</c:v>
                </c:pt>
                <c:pt idx="34">
                  <c:v>-445.81857754740594</c:v>
                </c:pt>
                <c:pt idx="35">
                  <c:v>-446.30096890138117</c:v>
                </c:pt>
                <c:pt idx="36">
                  <c:v>-446.25161462084117</c:v>
                </c:pt>
                <c:pt idx="37">
                  <c:v>-445.65178113630435</c:v>
                </c:pt>
                <c:pt idx="38">
                  <c:v>-444.48553823697665</c:v>
                </c:pt>
                <c:pt idx="39">
                  <c:v>-442.73956591412025</c:v>
                </c:pt>
                <c:pt idx="40">
                  <c:v>-440.40299282576711</c:v>
                </c:pt>
                <c:pt idx="41">
                  <c:v>-437.46726165520676</c:v>
                </c:pt>
                <c:pt idx="42">
                  <c:v>-433.92601757609651</c:v>
                </c:pt>
                <c:pt idx="43">
                  <c:v>-429.77501679204926</c:v>
                </c:pt>
                <c:pt idx="44">
                  <c:v>-425.01205273171473</c:v>
                </c:pt>
                <c:pt idx="45">
                  <c:v>-419.63689798501287</c:v>
                </c:pt>
                <c:pt idx="46">
                  <c:v>-413.65126048823396</c:v>
                </c:pt>
                <c:pt idx="47">
                  <c:v>-407.05875282563761</c:v>
                </c:pt>
                <c:pt idx="48">
                  <c:v>-399.86487382958239</c:v>
                </c:pt>
                <c:pt idx="49">
                  <c:v>-392.077001943894</c:v>
                </c:pt>
                <c:pt idx="50">
                  <c:v>-383.70440007824823</c:v>
                </c:pt>
                <c:pt idx="51">
                  <c:v>-374.75823193582664</c:v>
                </c:pt>
                <c:pt idx="52">
                  <c:v>-365.25159005324923</c:v>
                </c:pt>
                <c:pt idx="53">
                  <c:v>-355.1995360621072</c:v>
                </c:pt>
                <c:pt idx="54">
                  <c:v>-344.61915397797003</c:v>
                </c:pt>
                <c:pt idx="55">
                  <c:v>-333.30175463796246</c:v>
                </c:pt>
                <c:pt idx="56">
                  <c:v>-321.44935969061356</c:v>
                </c:pt>
                <c:pt idx="57">
                  <c:v>-309.14242865181257</c:v>
                </c:pt>
                <c:pt idx="58">
                  <c:v>-296.40647837667785</c:v>
                </c:pt>
                <c:pt idx="59">
                  <c:v>-285.48405932038219</c:v>
                </c:pt>
                <c:pt idx="60">
                  <c:v>-271.97708756632136</c:v>
                </c:pt>
                <c:pt idx="61">
                  <c:v>-258.13380654089627</c:v>
                </c:pt>
                <c:pt idx="62">
                  <c:v>-243.9911944796504</c:v>
                </c:pt>
                <c:pt idx="63">
                  <c:v>-229.58972085549127</c:v>
                </c:pt>
                <c:pt idx="64">
                  <c:v>-214.97370741970147</c:v>
                </c:pt>
                <c:pt idx="65">
                  <c:v>-200.19177114961175</c:v>
                </c:pt>
                <c:pt idx="66">
                  <c:v>-185.29737363983517</c:v>
                </c:pt>
                <c:pt idx="67">
                  <c:v>-38.817091490288597</c:v>
                </c:pt>
                <c:pt idx="68">
                  <c:v>-22.887624799455413</c:v>
                </c:pt>
                <c:pt idx="69">
                  <c:v>-17.340567993520683</c:v>
                </c:pt>
                <c:pt idx="70">
                  <c:v>-12.909992967533226</c:v>
                </c:pt>
                <c:pt idx="71">
                  <c:v>-9.2896415436674644</c:v>
                </c:pt>
                <c:pt idx="72">
                  <c:v>-6.2758832008887007</c:v>
                </c:pt>
                <c:pt idx="73">
                  <c:v>-3.7280496748570879</c:v>
                </c:pt>
                <c:pt idx="74">
                  <c:v>-1.5458462598528324</c:v>
                </c:pt>
              </c:numCache>
            </c:numRef>
          </c:xVal>
          <c:yVal>
            <c:numRef>
              <c:f>circle_section!$BT$2:$BT$77</c:f>
              <c:numCache>
                <c:formatCode>General</c:formatCode>
                <c:ptCount val="76"/>
                <c:pt idx="0">
                  <c:v>-287.99940795837625</c:v>
                </c:pt>
                <c:pt idx="1">
                  <c:v>-283.79879988065596</c:v>
                </c:pt>
                <c:pt idx="2">
                  <c:v>-276.18691449569201</c:v>
                </c:pt>
                <c:pt idx="3">
                  <c:v>-266.396824200688</c:v>
                </c:pt>
                <c:pt idx="4">
                  <c:v>-254.88114394187426</c:v>
                </c:pt>
                <c:pt idx="5">
                  <c:v>-241.90711494818837</c:v>
                </c:pt>
                <c:pt idx="6">
                  <c:v>-227.65885009615673</c:v>
                </c:pt>
                <c:pt idx="7">
                  <c:v>-201.04666424452927</c:v>
                </c:pt>
                <c:pt idx="8">
                  <c:v>-175.01684372229838</c:v>
                </c:pt>
                <c:pt idx="9">
                  <c:v>-150.18645737389403</c:v>
                </c:pt>
                <c:pt idx="10">
                  <c:v>-125.15392332056837</c:v>
                </c:pt>
                <c:pt idx="11">
                  <c:v>-85.293594887732198</c:v>
                </c:pt>
                <c:pt idx="12">
                  <c:v>-48.169708151229543</c:v>
                </c:pt>
                <c:pt idx="13">
                  <c:v>-15.326843044763564</c:v>
                </c:pt>
                <c:pt idx="14">
                  <c:v>18.351425056269932</c:v>
                </c:pt>
                <c:pt idx="15">
                  <c:v>50.947936727154314</c:v>
                </c:pt>
                <c:pt idx="16">
                  <c:v>82.738957291382178</c:v>
                </c:pt>
                <c:pt idx="17">
                  <c:v>113.92950343089825</c:v>
                </c:pt>
                <c:pt idx="18">
                  <c:v>144.67349263293448</c:v>
                </c:pt>
                <c:pt idx="19">
                  <c:v>175.08747735203718</c:v>
                </c:pt>
                <c:pt idx="20">
                  <c:v>212.02612137456612</c:v>
                </c:pt>
                <c:pt idx="21">
                  <c:v>245.51216520204957</c:v>
                </c:pt>
                <c:pt idx="22">
                  <c:v>282.73228995653983</c:v>
                </c:pt>
                <c:pt idx="23">
                  <c:v>319.2315123338505</c:v>
                </c:pt>
                <c:pt idx="24">
                  <c:v>355.11914459066111</c:v>
                </c:pt>
                <c:pt idx="25">
                  <c:v>390.48401998990886</c:v>
                </c:pt>
                <c:pt idx="26">
                  <c:v>425.3985000946264</c:v>
                </c:pt>
                <c:pt idx="27">
                  <c:v>459.9215810038246</c:v>
                </c:pt>
                <c:pt idx="28">
                  <c:v>494.10132479243168</c:v>
                </c:pt>
                <c:pt idx="29">
                  <c:v>530.93874223184037</c:v>
                </c:pt>
                <c:pt idx="30">
                  <c:v>570.32221818927815</c:v>
                </c:pt>
                <c:pt idx="31">
                  <c:v>609.08535586330152</c:v>
                </c:pt>
                <c:pt idx="32">
                  <c:v>647.28315156904284</c:v>
                </c:pt>
                <c:pt idx="33">
                  <c:v>686.68031116257589</c:v>
                </c:pt>
                <c:pt idx="34">
                  <c:v>726.07437771022455</c:v>
                </c:pt>
                <c:pt idx="35">
                  <c:v>764.77047744158392</c:v>
                </c:pt>
                <c:pt idx="36">
                  <c:v>802.93789874596666</c:v>
                </c:pt>
                <c:pt idx="37">
                  <c:v>840.60767364356036</c:v>
                </c:pt>
                <c:pt idx="38">
                  <c:v>877.80576344114024</c:v>
                </c:pt>
                <c:pt idx="39">
                  <c:v>914.55368790205785</c:v>
                </c:pt>
                <c:pt idx="40">
                  <c:v>946.27905542505459</c:v>
                </c:pt>
                <c:pt idx="41">
                  <c:v>982.17601092026757</c:v>
                </c:pt>
                <c:pt idx="42">
                  <c:v>1017.6656148359504</c:v>
                </c:pt>
                <c:pt idx="43">
                  <c:v>1052.7561642260191</c:v>
                </c:pt>
                <c:pt idx="44">
                  <c:v>1087.4534647023495</c:v>
                </c:pt>
                <c:pt idx="45">
                  <c:v>1121.7610604699387</c:v>
                </c:pt>
                <c:pt idx="46">
                  <c:v>1155.6804283083254</c:v>
                </c:pt>
                <c:pt idx="47">
                  <c:v>1189.2111402701817</c:v>
                </c:pt>
                <c:pt idx="48">
                  <c:v>1222.350998964034</c:v>
                </c:pt>
                <c:pt idx="49">
                  <c:v>1255.0961485301586</c:v>
                </c:pt>
                <c:pt idx="50">
                  <c:v>1287.4411637726696</c:v>
                </c:pt>
                <c:pt idx="51">
                  <c:v>1319.379119348519</c:v>
                </c:pt>
                <c:pt idx="52">
                  <c:v>1350.9016404115355</c:v>
                </c:pt>
                <c:pt idx="53">
                  <c:v>1381.9989356453827</c:v>
                </c:pt>
                <c:pt idx="54">
                  <c:v>1412.6598131732153</c:v>
                </c:pt>
                <c:pt idx="55">
                  <c:v>1442.3993784707204</c:v>
                </c:pt>
                <c:pt idx="56">
                  <c:v>1471.5781094149322</c:v>
                </c:pt>
                <c:pt idx="57">
                  <c:v>1500.2983462787747</c:v>
                </c:pt>
                <c:pt idx="58">
                  <c:v>1528.5420680502309</c:v>
                </c:pt>
                <c:pt idx="59">
                  <c:v>1551.6997295217639</c:v>
                </c:pt>
                <c:pt idx="60">
                  <c:v>1578.9301503651998</c:v>
                </c:pt>
                <c:pt idx="61">
                  <c:v>1605.6203748474743</c:v>
                </c:pt>
                <c:pt idx="62">
                  <c:v>1631.7454961683923</c:v>
                </c:pt>
                <c:pt idx="63">
                  <c:v>1657.2784372870312</c:v>
                </c:pt>
                <c:pt idx="64">
                  <c:v>1682.1896771602765</c:v>
                </c:pt>
                <c:pt idx="65">
                  <c:v>1706.4469071263254</c:v>
                </c:pt>
                <c:pt idx="66">
                  <c:v>1730.0145960547768</c:v>
                </c:pt>
                <c:pt idx="67">
                  <c:v>1925.785718417482</c:v>
                </c:pt>
                <c:pt idx="68">
                  <c:v>1953.2225890363611</c:v>
                </c:pt>
                <c:pt idx="69">
                  <c:v>1967.5239575787343</c:v>
                </c:pt>
                <c:pt idx="70">
                  <c:v>1977.2612428103973</c:v>
                </c:pt>
                <c:pt idx="71">
                  <c:v>1983.7868100598348</c:v>
                </c:pt>
                <c:pt idx="72">
                  <c:v>1989.2190127486992</c:v>
                </c:pt>
                <c:pt idx="73">
                  <c:v>1993.8114009088345</c:v>
                </c:pt>
                <c:pt idx="74">
                  <c:v>1997.7447525284288</c:v>
                </c:pt>
                <c:pt idx="75">
                  <c:v>1999.0422080898536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B47-415E-A4F7-AB0F6397766B}"/>
            </c:ext>
          </c:extLst>
        </c:ser>
        <c:ser>
          <c:idx val="7"/>
          <c:order val="7"/>
          <c:tx>
            <c:v>min_e_line_180</c:v>
          </c:tx>
          <c:spPr>
            <a:ln w="952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circle_section!$BS$104:$BS$105</c:f>
              <c:numCache>
                <c:formatCode>General</c:formatCode>
                <c:ptCount val="2"/>
                <c:pt idx="0">
                  <c:v>-169.70654970049617</c:v>
                </c:pt>
                <c:pt idx="1">
                  <c:v>0</c:v>
                </c:pt>
              </c:numCache>
            </c:numRef>
          </c:xVal>
          <c:yVal>
            <c:numRef>
              <c:f>circle_section!$BP$104:$BP$105</c:f>
              <c:numCache>
                <c:formatCode>General</c:formatCode>
                <c:ptCount val="2"/>
                <c:pt idx="0">
                  <c:v>1040.0152014705741</c:v>
                </c:pt>
                <c:pt idx="1">
                  <c:v>1040.0152014705741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47-415E-A4F7-AB0F63977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  <c:minorUnit val="25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  <c:minorUnit val="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(Chart only Accurate if</a:t>
            </a:r>
            <a:r>
              <a:rPr lang="en-US" baseline="0"/>
              <a:t> the Compare Macro has been run)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 (PCA)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5.328154818663223E-4</c:v>
                </c:pt>
                <c:pt idx="1">
                  <c:v>3.7233800807752488</c:v>
                </c:pt>
                <c:pt idx="2">
                  <c:v>10.30796964244017</c:v>
                </c:pt>
                <c:pt idx="3">
                  <c:v>18.555684138750582</c:v>
                </c:pt>
                <c:pt idx="4">
                  <c:v>27.995319012969315</c:v>
                </c:pt>
                <c:pt idx="5">
                  <c:v>38.33478724904402</c:v>
                </c:pt>
                <c:pt idx="6">
                  <c:v>49.364787107888404</c:v>
                </c:pt>
                <c:pt idx="7">
                  <c:v>67.817831303809854</c:v>
                </c:pt>
                <c:pt idx="8">
                  <c:v>85.679625705099326</c:v>
                </c:pt>
                <c:pt idx="9">
                  <c:v>102.51606782226524</c:v>
                </c:pt>
                <c:pt idx="10">
                  <c:v>118.98928807591572</c:v>
                </c:pt>
                <c:pt idx="11">
                  <c:v>141.46904240724285</c:v>
                </c:pt>
                <c:pt idx="12">
                  <c:v>162.3296462997242</c:v>
                </c:pt>
                <c:pt idx="13">
                  <c:v>180.47853482745029</c:v>
                </c:pt>
                <c:pt idx="14">
                  <c:v>198.94833819327468</c:v>
                </c:pt>
                <c:pt idx="15">
                  <c:v>216.4766265108446</c:v>
                </c:pt>
                <c:pt idx="16">
                  <c:v>233.1649762245014</c:v>
                </c:pt>
                <c:pt idx="17">
                  <c:v>249.08380837857047</c:v>
                </c:pt>
                <c:pt idx="18">
                  <c:v>264.28171660241679</c:v>
                </c:pt>
                <c:pt idx="19">
                  <c:v>278.7917882670053</c:v>
                </c:pt>
                <c:pt idx="20">
                  <c:v>292.63598179349663</c:v>
                </c:pt>
                <c:pt idx="21">
                  <c:v>298.48877351412114</c:v>
                </c:pt>
                <c:pt idx="22">
                  <c:v>300.41802827973027</c:v>
                </c:pt>
                <c:pt idx="23">
                  <c:v>301.8739275349522</c:v>
                </c:pt>
                <c:pt idx="24">
                  <c:v>302.89567581388394</c:v>
                </c:pt>
                <c:pt idx="25">
                  <c:v>303.514400512409</c:v>
                </c:pt>
                <c:pt idx="26">
                  <c:v>303.75516643010059</c:v>
                </c:pt>
                <c:pt idx="27">
                  <c:v>303.63845032198401</c:v>
                </c:pt>
                <c:pt idx="28">
                  <c:v>303.18123336511331</c:v>
                </c:pt>
                <c:pt idx="29">
                  <c:v>301.39088269422695</c:v>
                </c:pt>
                <c:pt idx="30">
                  <c:v>298.39457889546611</c:v>
                </c:pt>
                <c:pt idx="31">
                  <c:v>295.29681675499319</c:v>
                </c:pt>
                <c:pt idx="32">
                  <c:v>292.0809203806885</c:v>
                </c:pt>
                <c:pt idx="33">
                  <c:v>289.07830101995762</c:v>
                </c:pt>
                <c:pt idx="34">
                  <c:v>289.78207540581388</c:v>
                </c:pt>
                <c:pt idx="35">
                  <c:v>290.09562978589776</c:v>
                </c:pt>
                <c:pt idx="36">
                  <c:v>290.06354950354677</c:v>
                </c:pt>
                <c:pt idx="37">
                  <c:v>289.67365773859785</c:v>
                </c:pt>
                <c:pt idx="38">
                  <c:v>288.91559985403478</c:v>
                </c:pt>
                <c:pt idx="39">
                  <c:v>287.78071784417818</c:v>
                </c:pt>
                <c:pt idx="40">
                  <c:v>286.26194533674862</c:v>
                </c:pt>
                <c:pt idx="41">
                  <c:v>284.35372007588438</c:v>
                </c:pt>
                <c:pt idx="42">
                  <c:v>282.05191142446267</c:v>
                </c:pt>
                <c:pt idx="43">
                  <c:v>279.35376091483204</c:v>
                </c:pt>
                <c:pt idx="44">
                  <c:v>276.25783427561458</c:v>
                </c:pt>
                <c:pt idx="45">
                  <c:v>272.76398369025844</c:v>
                </c:pt>
                <c:pt idx="46">
                  <c:v>268.87331931735207</c:v>
                </c:pt>
                <c:pt idx="47">
                  <c:v>264.58818933666447</c:v>
                </c:pt>
                <c:pt idx="48">
                  <c:v>259.91216798922858</c:v>
                </c:pt>
                <c:pt idx="49">
                  <c:v>254.8500512635311</c:v>
                </c:pt>
                <c:pt idx="50">
                  <c:v>249.40786005086139</c:v>
                </c:pt>
                <c:pt idx="51">
                  <c:v>243.59285075828734</c:v>
                </c:pt>
                <c:pt idx="52">
                  <c:v>237.41353353461201</c:v>
                </c:pt>
                <c:pt idx="53">
                  <c:v>230.87969844036968</c:v>
                </c:pt>
                <c:pt idx="54">
                  <c:v>224.00245008568052</c:v>
                </c:pt>
                <c:pt idx="55">
                  <c:v>216.64614051467564</c:v>
                </c:pt>
                <c:pt idx="56">
                  <c:v>208.94208379889881</c:v>
                </c:pt>
                <c:pt idx="57">
                  <c:v>200.94257862367817</c:v>
                </c:pt>
                <c:pt idx="58">
                  <c:v>192.66421094484065</c:v>
                </c:pt>
                <c:pt idx="59">
                  <c:v>185.56463855824845</c:v>
                </c:pt>
                <c:pt idx="60">
                  <c:v>176.78510691810891</c:v>
                </c:pt>
                <c:pt idx="61">
                  <c:v>167.78697425158259</c:v>
                </c:pt>
                <c:pt idx="62">
                  <c:v>158.59427641177277</c:v>
                </c:pt>
                <c:pt idx="63">
                  <c:v>149.23331855606932</c:v>
                </c:pt>
                <c:pt idx="64">
                  <c:v>139.73290982280599</c:v>
                </c:pt>
                <c:pt idx="65">
                  <c:v>130.12465124724764</c:v>
                </c:pt>
                <c:pt idx="66">
                  <c:v>120.44329286589289</c:v>
                </c:pt>
                <c:pt idx="67">
                  <c:v>25.231109468687578</c:v>
                </c:pt>
                <c:pt idx="68">
                  <c:v>14.876956119646016</c:v>
                </c:pt>
                <c:pt idx="69">
                  <c:v>11.271369195788456</c:v>
                </c:pt>
                <c:pt idx="70">
                  <c:v>8.3914954288965937</c:v>
                </c:pt>
                <c:pt idx="71">
                  <c:v>6.0382670033838535</c:v>
                </c:pt>
                <c:pt idx="72">
                  <c:v>4.0793240805776501</c:v>
                </c:pt>
                <c:pt idx="73">
                  <c:v>2.4232322886571129</c:v>
                </c:pt>
                <c:pt idx="74">
                  <c:v>1.0048000689043441</c:v>
                </c:pt>
                <c:pt idx="75">
                  <c:v>0.35663773075634159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-259.19946716253861</c:v>
                </c:pt>
                <c:pt idx="1">
                  <c:v>-255.41891989259037</c:v>
                </c:pt>
                <c:pt idx="2">
                  <c:v>-248.56822304612282</c:v>
                </c:pt>
                <c:pt idx="3">
                  <c:v>-239.75714178061921</c:v>
                </c:pt>
                <c:pt idx="4">
                  <c:v>-229.39302954768684</c:v>
                </c:pt>
                <c:pt idx="5">
                  <c:v>-217.71640345336954</c:v>
                </c:pt>
                <c:pt idx="6">
                  <c:v>-204.89296508654107</c:v>
                </c:pt>
                <c:pt idx="7">
                  <c:v>-180.94199782007635</c:v>
                </c:pt>
                <c:pt idx="8">
                  <c:v>-157.51515935006853</c:v>
                </c:pt>
                <c:pt idx="9">
                  <c:v>-135.16781163650464</c:v>
                </c:pt>
                <c:pt idx="10">
                  <c:v>-112.6385309885115</c:v>
                </c:pt>
                <c:pt idx="11">
                  <c:v>-76.764235398958988</c:v>
                </c:pt>
                <c:pt idx="12">
                  <c:v>-43.352737336106593</c:v>
                </c:pt>
                <c:pt idx="13">
                  <c:v>-13.794158740287207</c:v>
                </c:pt>
                <c:pt idx="14">
                  <c:v>16.516282550642913</c:v>
                </c:pt>
                <c:pt idx="15">
                  <c:v>45.85314305443891</c:v>
                </c:pt>
                <c:pt idx="16">
                  <c:v>74.46506156224396</c:v>
                </c:pt>
                <c:pt idx="17">
                  <c:v>102.53655308780843</c:v>
                </c:pt>
                <c:pt idx="18">
                  <c:v>130.20614336964104</c:v>
                </c:pt>
                <c:pt idx="19">
                  <c:v>157.57872961683347</c:v>
                </c:pt>
                <c:pt idx="20">
                  <c:v>190.8235092371095</c:v>
                </c:pt>
                <c:pt idx="21">
                  <c:v>217.07281465177621</c:v>
                </c:pt>
                <c:pt idx="22">
                  <c:v>241.61838913079376</c:v>
                </c:pt>
                <c:pt idx="23">
                  <c:v>264.18831770058159</c:v>
                </c:pt>
                <c:pt idx="24">
                  <c:v>285.09626220200931</c:v>
                </c:pt>
                <c:pt idx="25">
                  <c:v>304.5938100980506</c:v>
                </c:pt>
                <c:pt idx="26">
                  <c:v>322.88453337989745</c:v>
                </c:pt>
                <c:pt idx="27">
                  <c:v>340.13446497349508</c:v>
                </c:pt>
                <c:pt idx="28">
                  <c:v>356.47999886971672</c:v>
                </c:pt>
                <c:pt idx="29">
                  <c:v>374.12103228780018</c:v>
                </c:pt>
                <c:pt idx="30">
                  <c:v>392.91313853813784</c:v>
                </c:pt>
                <c:pt idx="31">
                  <c:v>410.66751983678779</c:v>
                </c:pt>
                <c:pt idx="32">
                  <c:v>427.50420874339426</c:v>
                </c:pt>
                <c:pt idx="33">
                  <c:v>446.34220225567435</c:v>
                </c:pt>
                <c:pt idx="34">
                  <c:v>471.94834551164598</c:v>
                </c:pt>
                <c:pt idx="35">
                  <c:v>497.10081033702954</c:v>
                </c:pt>
                <c:pt idx="36">
                  <c:v>521.90963418487831</c:v>
                </c:pt>
                <c:pt idx="37">
                  <c:v>546.39498786831416</c:v>
                </c:pt>
                <c:pt idx="38">
                  <c:v>570.57374623674116</c:v>
                </c:pt>
                <c:pt idx="39">
                  <c:v>594.45989713633764</c:v>
                </c:pt>
                <c:pt idx="40">
                  <c:v>615.08138602628549</c:v>
                </c:pt>
                <c:pt idx="41">
                  <c:v>638.41440709817391</c:v>
                </c:pt>
                <c:pt idx="42">
                  <c:v>661.48264964336772</c:v>
                </c:pt>
                <c:pt idx="43">
                  <c:v>684.29150674691243</c:v>
                </c:pt>
                <c:pt idx="44">
                  <c:v>706.84475205652723</c:v>
                </c:pt>
                <c:pt idx="45">
                  <c:v>729.14468930546036</c:v>
                </c:pt>
                <c:pt idx="46">
                  <c:v>751.19227840041151</c:v>
                </c:pt>
                <c:pt idx="47">
                  <c:v>772.98724117561812</c:v>
                </c:pt>
                <c:pt idx="48">
                  <c:v>794.52814932662216</c:v>
                </c:pt>
                <c:pt idx="49">
                  <c:v>815.81249654460316</c:v>
                </c:pt>
                <c:pt idx="50">
                  <c:v>836.83675645223525</c:v>
                </c:pt>
                <c:pt idx="51">
                  <c:v>857.59642757653739</c:v>
                </c:pt>
                <c:pt idx="52">
                  <c:v>878.08606626749804</c:v>
                </c:pt>
                <c:pt idx="53">
                  <c:v>898.29930816949877</c:v>
                </c:pt>
                <c:pt idx="54">
                  <c:v>918.22887856259001</c:v>
                </c:pt>
                <c:pt idx="55">
                  <c:v>937.55959600596827</c:v>
                </c:pt>
                <c:pt idx="56">
                  <c:v>956.52577111970595</c:v>
                </c:pt>
                <c:pt idx="57">
                  <c:v>975.19392508120359</c:v>
                </c:pt>
                <c:pt idx="58">
                  <c:v>993.55234423265017</c:v>
                </c:pt>
                <c:pt idx="59">
                  <c:v>1008.6048241891466</c:v>
                </c:pt>
                <c:pt idx="60">
                  <c:v>1026.3045977373799</c:v>
                </c:pt>
                <c:pt idx="61">
                  <c:v>1043.6532436508583</c:v>
                </c:pt>
                <c:pt idx="62">
                  <c:v>1060.634572509455</c:v>
                </c:pt>
                <c:pt idx="63">
                  <c:v>1077.2309842365703</c:v>
                </c:pt>
                <c:pt idx="64">
                  <c:v>1093.4232901541798</c:v>
                </c:pt>
                <c:pt idx="65">
                  <c:v>1109.1904896321116</c:v>
                </c:pt>
                <c:pt idx="66">
                  <c:v>1124.509487435605</c:v>
                </c:pt>
                <c:pt idx="67">
                  <c:v>1251.7607169713633</c:v>
                </c:pt>
                <c:pt idx="68">
                  <c:v>1269.5946828736348</c:v>
                </c:pt>
                <c:pt idx="69">
                  <c:v>1278.8905724261774</c:v>
                </c:pt>
                <c:pt idx="70">
                  <c:v>1285.2198078267584</c:v>
                </c:pt>
                <c:pt idx="71">
                  <c:v>1289.4614265388927</c:v>
                </c:pt>
                <c:pt idx="72">
                  <c:v>1292.9923582866545</c:v>
                </c:pt>
                <c:pt idx="73">
                  <c:v>1295.9774105907427</c:v>
                </c:pt>
                <c:pt idx="74">
                  <c:v>1298.5340891434787</c:v>
                </c:pt>
                <c:pt idx="75">
                  <c:v>1299.4962961564984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0-444F-AC6A-F5609F267C14}"/>
            </c:ext>
          </c:extLst>
        </c:ser>
        <c:ser>
          <c:idx val="1"/>
          <c:order val="1"/>
          <c:tx>
            <c:v>P_M_Nominal (PCA)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5.9201720207369135E-4</c:v>
                </c:pt>
                <c:pt idx="1">
                  <c:v>4.1370889786391656</c:v>
                </c:pt>
                <c:pt idx="2">
                  <c:v>11.453299602711299</c:v>
                </c:pt>
                <c:pt idx="3">
                  <c:v>20.61742682083398</c:v>
                </c:pt>
                <c:pt idx="4">
                  <c:v>31.105910014410352</c:v>
                </c:pt>
                <c:pt idx="5">
                  <c:v>42.594208054493357</c:v>
                </c:pt>
                <c:pt idx="6">
                  <c:v>54.849763453209341</c:v>
                </c:pt>
                <c:pt idx="7">
                  <c:v>75.353145893122061</c:v>
                </c:pt>
                <c:pt idx="8">
                  <c:v>95.199584116777018</c:v>
                </c:pt>
                <c:pt idx="9">
                  <c:v>113.90674202473916</c:v>
                </c:pt>
                <c:pt idx="10">
                  <c:v>132.2103200843508</c:v>
                </c:pt>
                <c:pt idx="11">
                  <c:v>157.18782489693646</c:v>
                </c:pt>
                <c:pt idx="12">
                  <c:v>180.36627366636023</c:v>
                </c:pt>
                <c:pt idx="13">
                  <c:v>200.53170536383365</c:v>
                </c:pt>
                <c:pt idx="14">
                  <c:v>221.05370910363854</c:v>
                </c:pt>
                <c:pt idx="15">
                  <c:v>240.52958501204955</c:v>
                </c:pt>
                <c:pt idx="16">
                  <c:v>259.07219580500151</c:v>
                </c:pt>
                <c:pt idx="17">
                  <c:v>276.75978708730048</c:v>
                </c:pt>
                <c:pt idx="18">
                  <c:v>293.64635178046308</c:v>
                </c:pt>
                <c:pt idx="19">
                  <c:v>309.76865363000587</c:v>
                </c:pt>
                <c:pt idx="20">
                  <c:v>325.15109088166287</c:v>
                </c:pt>
                <c:pt idx="21">
                  <c:v>337.59466928880323</c:v>
                </c:pt>
                <c:pt idx="22">
                  <c:v>351.53730386712323</c:v>
                </c:pt>
                <c:pt idx="23">
                  <c:v>364.76885601868474</c:v>
                </c:pt>
                <c:pt idx="24">
                  <c:v>377.29029649298076</c:v>
                </c:pt>
                <c:pt idx="25">
                  <c:v>389.10023548660172</c:v>
                </c:pt>
                <c:pt idx="26">
                  <c:v>400.19567008285617</c:v>
                </c:pt>
                <c:pt idx="27">
                  <c:v>410.57255440585919</c:v>
                </c:pt>
                <c:pt idx="28">
                  <c:v>420.2262385908902</c:v>
                </c:pt>
                <c:pt idx="29">
                  <c:v>427.72280189454375</c:v>
                </c:pt>
                <c:pt idx="30">
                  <c:v>433.12641253099582</c:v>
                </c:pt>
                <c:pt idx="31">
                  <c:v>437.97222334504949</c:v>
                </c:pt>
                <c:pt idx="32">
                  <c:v>442.23905821399723</c:v>
                </c:pt>
                <c:pt idx="33">
                  <c:v>444.73584772301172</c:v>
                </c:pt>
                <c:pt idx="34">
                  <c:v>445.81857754740599</c:v>
                </c:pt>
                <c:pt idx="35">
                  <c:v>446.30096890138111</c:v>
                </c:pt>
                <c:pt idx="36">
                  <c:v>446.25161462084122</c:v>
                </c:pt>
                <c:pt idx="37">
                  <c:v>445.65178113630441</c:v>
                </c:pt>
                <c:pt idx="38">
                  <c:v>444.48553823697665</c:v>
                </c:pt>
                <c:pt idx="39">
                  <c:v>442.73956591412025</c:v>
                </c:pt>
                <c:pt idx="40">
                  <c:v>440.40299282576706</c:v>
                </c:pt>
                <c:pt idx="41">
                  <c:v>437.46726165520676</c:v>
                </c:pt>
                <c:pt idx="42">
                  <c:v>433.9260175760964</c:v>
                </c:pt>
                <c:pt idx="43">
                  <c:v>429.77501679204926</c:v>
                </c:pt>
                <c:pt idx="44">
                  <c:v>425.01205273171473</c:v>
                </c:pt>
                <c:pt idx="45">
                  <c:v>419.63689798501298</c:v>
                </c:pt>
                <c:pt idx="46">
                  <c:v>413.65126048823396</c:v>
                </c:pt>
                <c:pt idx="47">
                  <c:v>407.05875282563767</c:v>
                </c:pt>
                <c:pt idx="48">
                  <c:v>399.86487382958239</c:v>
                </c:pt>
                <c:pt idx="49">
                  <c:v>392.077001943894</c:v>
                </c:pt>
                <c:pt idx="50">
                  <c:v>383.70440007824828</c:v>
                </c:pt>
                <c:pt idx="51">
                  <c:v>374.75823193582664</c:v>
                </c:pt>
                <c:pt idx="52">
                  <c:v>365.25159005324923</c:v>
                </c:pt>
                <c:pt idx="53">
                  <c:v>355.19953606210714</c:v>
                </c:pt>
                <c:pt idx="54">
                  <c:v>344.61915397796997</c:v>
                </c:pt>
                <c:pt idx="55">
                  <c:v>333.30175463796252</c:v>
                </c:pt>
                <c:pt idx="56">
                  <c:v>321.44935969061351</c:v>
                </c:pt>
                <c:pt idx="57">
                  <c:v>309.14242865181257</c:v>
                </c:pt>
                <c:pt idx="58">
                  <c:v>296.40647837667785</c:v>
                </c:pt>
                <c:pt idx="59">
                  <c:v>285.48405932038219</c:v>
                </c:pt>
                <c:pt idx="60">
                  <c:v>271.97708756632142</c:v>
                </c:pt>
                <c:pt idx="61">
                  <c:v>258.13380654089627</c:v>
                </c:pt>
                <c:pt idx="62">
                  <c:v>243.9911944796504</c:v>
                </c:pt>
                <c:pt idx="63">
                  <c:v>229.58972085549127</c:v>
                </c:pt>
                <c:pt idx="64">
                  <c:v>214.97370741970153</c:v>
                </c:pt>
                <c:pt idx="65">
                  <c:v>200.19177114961175</c:v>
                </c:pt>
                <c:pt idx="66">
                  <c:v>185.2973736398352</c:v>
                </c:pt>
                <c:pt idx="67">
                  <c:v>38.817091490288576</c:v>
                </c:pt>
                <c:pt idx="68">
                  <c:v>22.887624799455409</c:v>
                </c:pt>
                <c:pt idx="69">
                  <c:v>17.3405679935207</c:v>
                </c:pt>
                <c:pt idx="70">
                  <c:v>12.909992967533222</c:v>
                </c:pt>
                <c:pt idx="71">
                  <c:v>9.2896415436674662</c:v>
                </c:pt>
                <c:pt idx="72">
                  <c:v>6.2758832008886918</c:v>
                </c:pt>
                <c:pt idx="73">
                  <c:v>3.7280496748570973</c:v>
                </c:pt>
                <c:pt idx="74">
                  <c:v>1.5458462598528371</c:v>
                </c:pt>
                <c:pt idx="75">
                  <c:v>0.54867343193283324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-287.99940795837625</c:v>
                </c:pt>
                <c:pt idx="1">
                  <c:v>-283.79879988065596</c:v>
                </c:pt>
                <c:pt idx="2">
                  <c:v>-276.18691449569201</c:v>
                </c:pt>
                <c:pt idx="3">
                  <c:v>-266.396824200688</c:v>
                </c:pt>
                <c:pt idx="4">
                  <c:v>-254.88114394187426</c:v>
                </c:pt>
                <c:pt idx="5">
                  <c:v>-241.90711494818837</c:v>
                </c:pt>
                <c:pt idx="6">
                  <c:v>-227.65885009615673</c:v>
                </c:pt>
                <c:pt idx="7">
                  <c:v>-201.04666424452927</c:v>
                </c:pt>
                <c:pt idx="8">
                  <c:v>-175.01684372229838</c:v>
                </c:pt>
                <c:pt idx="9">
                  <c:v>-150.18645737389403</c:v>
                </c:pt>
                <c:pt idx="10">
                  <c:v>-125.15392332056834</c:v>
                </c:pt>
                <c:pt idx="11">
                  <c:v>-85.293594887732212</c:v>
                </c:pt>
                <c:pt idx="12">
                  <c:v>-48.169708151229543</c:v>
                </c:pt>
                <c:pt idx="13">
                  <c:v>-15.326843044763564</c:v>
                </c:pt>
                <c:pt idx="14">
                  <c:v>18.351425056269903</c:v>
                </c:pt>
                <c:pt idx="15">
                  <c:v>50.947936727154342</c:v>
                </c:pt>
                <c:pt idx="16">
                  <c:v>82.738957291382178</c:v>
                </c:pt>
                <c:pt idx="17">
                  <c:v>113.92950343089825</c:v>
                </c:pt>
                <c:pt idx="18">
                  <c:v>144.67349263293448</c:v>
                </c:pt>
                <c:pt idx="19">
                  <c:v>175.08747735203718</c:v>
                </c:pt>
                <c:pt idx="20">
                  <c:v>212.02612137456612</c:v>
                </c:pt>
                <c:pt idx="21">
                  <c:v>245.51216520204954</c:v>
                </c:pt>
                <c:pt idx="22">
                  <c:v>282.73228995653983</c:v>
                </c:pt>
                <c:pt idx="23">
                  <c:v>319.2315123338505</c:v>
                </c:pt>
                <c:pt idx="24">
                  <c:v>355.11914459066111</c:v>
                </c:pt>
                <c:pt idx="25">
                  <c:v>390.48401998990886</c:v>
                </c:pt>
                <c:pt idx="26">
                  <c:v>425.3985000946264</c:v>
                </c:pt>
                <c:pt idx="27">
                  <c:v>459.9215810038246</c:v>
                </c:pt>
                <c:pt idx="28">
                  <c:v>494.10132479243163</c:v>
                </c:pt>
                <c:pt idx="29">
                  <c:v>530.93874223184037</c:v>
                </c:pt>
                <c:pt idx="30">
                  <c:v>570.32221818927815</c:v>
                </c:pt>
                <c:pt idx="31">
                  <c:v>609.08535586330152</c:v>
                </c:pt>
                <c:pt idx="32">
                  <c:v>647.28315156904284</c:v>
                </c:pt>
                <c:pt idx="33">
                  <c:v>686.68031116257589</c:v>
                </c:pt>
                <c:pt idx="34">
                  <c:v>726.07437771022455</c:v>
                </c:pt>
                <c:pt idx="35">
                  <c:v>764.77047744158392</c:v>
                </c:pt>
                <c:pt idx="36">
                  <c:v>802.93789874596666</c:v>
                </c:pt>
                <c:pt idx="37">
                  <c:v>840.60767364356025</c:v>
                </c:pt>
                <c:pt idx="38">
                  <c:v>877.80576344114024</c:v>
                </c:pt>
                <c:pt idx="39">
                  <c:v>914.55368790205785</c:v>
                </c:pt>
                <c:pt idx="40">
                  <c:v>946.27905542505459</c:v>
                </c:pt>
                <c:pt idx="41">
                  <c:v>982.17601092026757</c:v>
                </c:pt>
                <c:pt idx="42">
                  <c:v>1017.6656148359504</c:v>
                </c:pt>
                <c:pt idx="43">
                  <c:v>1052.7561642260191</c:v>
                </c:pt>
                <c:pt idx="44">
                  <c:v>1087.4534647023495</c:v>
                </c:pt>
                <c:pt idx="45">
                  <c:v>1121.7610604699389</c:v>
                </c:pt>
                <c:pt idx="46">
                  <c:v>1155.6804283083254</c:v>
                </c:pt>
                <c:pt idx="47">
                  <c:v>1189.2111402701817</c:v>
                </c:pt>
                <c:pt idx="48">
                  <c:v>1222.350998964034</c:v>
                </c:pt>
                <c:pt idx="49">
                  <c:v>1255.0961485301586</c:v>
                </c:pt>
                <c:pt idx="50">
                  <c:v>1287.4411637726696</c:v>
                </c:pt>
                <c:pt idx="51">
                  <c:v>1319.379119348519</c:v>
                </c:pt>
                <c:pt idx="52">
                  <c:v>1350.9016404115355</c:v>
                </c:pt>
                <c:pt idx="53">
                  <c:v>1381.9989356453827</c:v>
                </c:pt>
                <c:pt idx="54">
                  <c:v>1412.6598131732153</c:v>
                </c:pt>
                <c:pt idx="55">
                  <c:v>1442.3993784707204</c:v>
                </c:pt>
                <c:pt idx="56">
                  <c:v>1471.5781094149322</c:v>
                </c:pt>
                <c:pt idx="57">
                  <c:v>1500.2983462787747</c:v>
                </c:pt>
                <c:pt idx="58">
                  <c:v>1528.5420680502309</c:v>
                </c:pt>
                <c:pt idx="59">
                  <c:v>1551.6997295217639</c:v>
                </c:pt>
                <c:pt idx="60">
                  <c:v>1578.9301503651998</c:v>
                </c:pt>
                <c:pt idx="61">
                  <c:v>1605.6203748474743</c:v>
                </c:pt>
                <c:pt idx="62">
                  <c:v>1631.7454961683923</c:v>
                </c:pt>
                <c:pt idx="63">
                  <c:v>1657.2784372870312</c:v>
                </c:pt>
                <c:pt idx="64">
                  <c:v>1682.1896771602765</c:v>
                </c:pt>
                <c:pt idx="65">
                  <c:v>1706.4469071263254</c:v>
                </c:pt>
                <c:pt idx="66">
                  <c:v>1730.0145960547768</c:v>
                </c:pt>
                <c:pt idx="67">
                  <c:v>1925.785718417482</c:v>
                </c:pt>
                <c:pt idx="68">
                  <c:v>1953.2225890363611</c:v>
                </c:pt>
                <c:pt idx="69">
                  <c:v>1967.5239575787343</c:v>
                </c:pt>
                <c:pt idx="70">
                  <c:v>1977.2612428103973</c:v>
                </c:pt>
                <c:pt idx="71">
                  <c:v>1983.7868100598348</c:v>
                </c:pt>
                <c:pt idx="72">
                  <c:v>1989.2190127486992</c:v>
                </c:pt>
                <c:pt idx="73">
                  <c:v>1993.8114009088349</c:v>
                </c:pt>
                <c:pt idx="74">
                  <c:v>1997.7447525284288</c:v>
                </c:pt>
                <c:pt idx="75">
                  <c:v>1999.2250710099975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40-444F-AC6A-F5609F267C14}"/>
            </c:ext>
          </c:extLst>
        </c:ser>
        <c:ser>
          <c:idx val="5"/>
          <c:order val="2"/>
          <c:tx>
            <c:v>P_M (Whitney)</c:v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circle_section!$BI$2:$BI$102</c:f>
              <c:numCache>
                <c:formatCode>General</c:formatCode>
                <c:ptCount val="101"/>
                <c:pt idx="0">
                  <c:v>5.3281548186845384E-4</c:v>
                </c:pt>
                <c:pt idx="1">
                  <c:v>3.7233800807752546</c:v>
                </c:pt>
                <c:pt idx="2">
                  <c:v>10.307969642440172</c:v>
                </c:pt>
                <c:pt idx="3">
                  <c:v>18.555684138750589</c:v>
                </c:pt>
                <c:pt idx="4">
                  <c:v>27.995319012969318</c:v>
                </c:pt>
                <c:pt idx="5">
                  <c:v>38.33478724904402</c:v>
                </c:pt>
                <c:pt idx="6">
                  <c:v>49.36478710788839</c:v>
                </c:pt>
                <c:pt idx="7">
                  <c:v>60.923328008258636</c:v>
                </c:pt>
                <c:pt idx="8">
                  <c:v>84.03827873321579</c:v>
                </c:pt>
                <c:pt idx="9">
                  <c:v>106.15721911352823</c:v>
                </c:pt>
                <c:pt idx="10">
                  <c:v>126.49344481436549</c:v>
                </c:pt>
                <c:pt idx="11">
                  <c:v>145.50282826926082</c:v>
                </c:pt>
                <c:pt idx="12">
                  <c:v>163.4713211202355</c:v>
                </c:pt>
                <c:pt idx="13">
                  <c:v>180.58221705586965</c:v>
                </c:pt>
                <c:pt idx="14">
                  <c:v>196.95429475423532</c:v>
                </c:pt>
                <c:pt idx="15">
                  <c:v>212.24259417800187</c:v>
                </c:pt>
                <c:pt idx="16">
                  <c:v>229.79401674655165</c:v>
                </c:pt>
                <c:pt idx="17">
                  <c:v>246.47441902914824</c:v>
                </c:pt>
                <c:pt idx="18">
                  <c:v>262.3493006323888</c:v>
                </c:pt>
                <c:pt idx="19">
                  <c:v>277.46510060822004</c:v>
                </c:pt>
                <c:pt idx="20">
                  <c:v>290.49970457088114</c:v>
                </c:pt>
                <c:pt idx="21">
                  <c:v>293.41173648948251</c:v>
                </c:pt>
                <c:pt idx="22">
                  <c:v>295.742332037827</c:v>
                </c:pt>
                <c:pt idx="23">
                  <c:v>297.55275929037714</c:v>
                </c:pt>
                <c:pt idx="24">
                  <c:v>298.89102352598451</c:v>
                </c:pt>
                <c:pt idx="25">
                  <c:v>298.75762702974851</c:v>
                </c:pt>
                <c:pt idx="26">
                  <c:v>298.00894416629365</c:v>
                </c:pt>
                <c:pt idx="27">
                  <c:v>297.03686219350078</c:v>
                </c:pt>
                <c:pt idx="28">
                  <c:v>295.83892949915383</c:v>
                </c:pt>
                <c:pt idx="29">
                  <c:v>294.41338654768219</c:v>
                </c:pt>
                <c:pt idx="30">
                  <c:v>291.95031396550138</c:v>
                </c:pt>
                <c:pt idx="31">
                  <c:v>290.08383257283333</c:v>
                </c:pt>
                <c:pt idx="32">
                  <c:v>287.68929383780596</c:v>
                </c:pt>
                <c:pt idx="33">
                  <c:v>288.87585228645889</c:v>
                </c:pt>
                <c:pt idx="34">
                  <c:v>289.73391263003646</c:v>
                </c:pt>
                <c:pt idx="35">
                  <c:v>290.24831561851676</c:v>
                </c:pt>
                <c:pt idx="36">
                  <c:v>290.40592652815161</c:v>
                </c:pt>
                <c:pt idx="37">
                  <c:v>290.19547312796732</c:v>
                </c:pt>
                <c:pt idx="38">
                  <c:v>289.60741015701052</c:v>
                </c:pt>
                <c:pt idx="39">
                  <c:v>288.53476309416101</c:v>
                </c:pt>
                <c:pt idx="40">
                  <c:v>286.83982219932221</c:v>
                </c:pt>
                <c:pt idx="41">
                  <c:v>284.76402156685316</c:v>
                </c:pt>
                <c:pt idx="42">
                  <c:v>282.30261681268496</c:v>
                </c:pt>
                <c:pt idx="43">
                  <c:v>279.45229281142866</c:v>
                </c:pt>
                <c:pt idx="44">
                  <c:v>276.21110923616942</c:v>
                </c:pt>
                <c:pt idx="45">
                  <c:v>272.57845719489717</c:v>
                </c:pt>
                <c:pt idx="46">
                  <c:v>268.55502586197798</c:v>
                </c:pt>
                <c:pt idx="47">
                  <c:v>264.14277825942526</c:v>
                </c:pt>
                <c:pt idx="48">
                  <c:v>259.34493556528275</c:v>
                </c:pt>
                <c:pt idx="49">
                  <c:v>254.16596952503539</c:v>
                </c:pt>
                <c:pt idx="50">
                  <c:v>249.39059769108695</c:v>
                </c:pt>
                <c:pt idx="51">
                  <c:v>243.467811613142</c:v>
                </c:pt>
                <c:pt idx="52">
                  <c:v>237.18486265729234</c:v>
                </c:pt>
                <c:pt idx="53">
                  <c:v>230.55130627155566</c:v>
                </c:pt>
                <c:pt idx="54">
                  <c:v>223.57802983157055</c:v>
                </c:pt>
                <c:pt idx="55">
                  <c:v>216.27729490999664</c:v>
                </c:pt>
                <c:pt idx="56">
                  <c:v>208.6627899283344</c:v>
                </c:pt>
                <c:pt idx="57">
                  <c:v>200.74969448555092</c:v>
                </c:pt>
                <c:pt idx="58">
                  <c:v>192.55475704975663</c:v>
                </c:pt>
                <c:pt idx="59">
                  <c:v>184.09638819518068</c:v>
                </c:pt>
                <c:pt idx="60">
                  <c:v>175.3947722073959</c:v>
                </c:pt>
                <c:pt idx="61">
                  <c:v>166.47200072274873</c:v>
                </c:pt>
                <c:pt idx="62">
                  <c:v>157.3522331979398</c:v>
                </c:pt>
                <c:pt idx="63">
                  <c:v>148.06189054793737</c:v>
                </c:pt>
                <c:pt idx="64">
                  <c:v>138.62989043611361</c:v>
                </c:pt>
                <c:pt idx="65">
                  <c:v>130.96859505088057</c:v>
                </c:pt>
                <c:pt idx="66">
                  <c:v>121.35153132550388</c:v>
                </c:pt>
                <c:pt idx="67">
                  <c:v>28.84266671411925</c:v>
                </c:pt>
                <c:pt idx="68">
                  <c:v>15.563527248412132</c:v>
                </c:pt>
                <c:pt idx="69">
                  <c:v>11.847006080289749</c:v>
                </c:pt>
                <c:pt idx="70">
                  <c:v>8.8564284889606331</c:v>
                </c:pt>
                <c:pt idx="71">
                  <c:v>6.3980319187857226</c:v>
                </c:pt>
                <c:pt idx="72">
                  <c:v>4.3418103961154904</c:v>
                </c:pt>
                <c:pt idx="73">
                  <c:v>2.9087753956774969</c:v>
                </c:pt>
                <c:pt idx="74">
                  <c:v>1.7721877086013353</c:v>
                </c:pt>
                <c:pt idx="75">
                  <c:v>0.78475840440108058</c:v>
                </c:pt>
              </c:numCache>
            </c:numRef>
          </c:xVal>
          <c:yVal>
            <c:numRef>
              <c:f>circle_section!$BF$2:$BF$102</c:f>
              <c:numCache>
                <c:formatCode>General</c:formatCode>
                <c:ptCount val="101"/>
                <c:pt idx="0">
                  <c:v>-259.19946716253861</c:v>
                </c:pt>
                <c:pt idx="1">
                  <c:v>-255.41891989259037</c:v>
                </c:pt>
                <c:pt idx="2">
                  <c:v>-248.56822304612282</c:v>
                </c:pt>
                <c:pt idx="3">
                  <c:v>-239.75714178061921</c:v>
                </c:pt>
                <c:pt idx="4">
                  <c:v>-229.39302954768684</c:v>
                </c:pt>
                <c:pt idx="5">
                  <c:v>-217.71640345336954</c:v>
                </c:pt>
                <c:pt idx="6">
                  <c:v>-204.89296508654107</c:v>
                </c:pt>
                <c:pt idx="7">
                  <c:v>-191.04691868073155</c:v>
                </c:pt>
                <c:pt idx="8">
                  <c:v>-158.57343533816331</c:v>
                </c:pt>
                <c:pt idx="9">
                  <c:v>-127.29098670618851</c:v>
                </c:pt>
                <c:pt idx="10">
                  <c:v>-98.366160462430926</c:v>
                </c:pt>
                <c:pt idx="11">
                  <c:v>-71.003591825211331</c:v>
                </c:pt>
                <c:pt idx="12">
                  <c:v>-44.685531635407884</c:v>
                </c:pt>
                <c:pt idx="13">
                  <c:v>-19.063825646473401</c:v>
                </c:pt>
                <c:pt idx="14">
                  <c:v>6.1015560831438824</c:v>
                </c:pt>
                <c:pt idx="15">
                  <c:v>35.203796253471531</c:v>
                </c:pt>
                <c:pt idx="16">
                  <c:v>69.312608553190316</c:v>
                </c:pt>
                <c:pt idx="17">
                  <c:v>102.2343742799994</c:v>
                </c:pt>
                <c:pt idx="18">
                  <c:v>134.21538537495806</c:v>
                </c:pt>
                <c:pt idx="19">
                  <c:v>165.44561474398162</c:v>
                </c:pt>
                <c:pt idx="20">
                  <c:v>195.16285798219579</c:v>
                </c:pt>
                <c:pt idx="21">
                  <c:v>217.23425037972029</c:v>
                </c:pt>
                <c:pt idx="22">
                  <c:v>237.64281009786396</c:v>
                </c:pt>
                <c:pt idx="23">
                  <c:v>256.65733653884956</c:v>
                </c:pt>
                <c:pt idx="24">
                  <c:v>274.4918907817667</c:v>
                </c:pt>
                <c:pt idx="25">
                  <c:v>295.33903298694355</c:v>
                </c:pt>
                <c:pt idx="26">
                  <c:v>316.08020581188481</c:v>
                </c:pt>
                <c:pt idx="27">
                  <c:v>335.47359544543468</c:v>
                </c:pt>
                <c:pt idx="28">
                  <c:v>353.70136473161091</c:v>
                </c:pt>
                <c:pt idx="29">
                  <c:v>370.91406534404013</c:v>
                </c:pt>
                <c:pt idx="30">
                  <c:v>384.13879786200829</c:v>
                </c:pt>
                <c:pt idx="31">
                  <c:v>399.74178270181932</c:v>
                </c:pt>
                <c:pt idx="32">
                  <c:v>418.60275570726441</c:v>
                </c:pt>
                <c:pt idx="33">
                  <c:v>444.85045225567427</c:v>
                </c:pt>
                <c:pt idx="34">
                  <c:v>470.68272454963596</c:v>
                </c:pt>
                <c:pt idx="35">
                  <c:v>496.12956290836632</c:v>
                </c:pt>
                <c:pt idx="36">
                  <c:v>521.21640743467663</c:v>
                </c:pt>
                <c:pt idx="37">
                  <c:v>545.96475475179091</c:v>
                </c:pt>
                <c:pt idx="38">
                  <c:v>570.39266597020287</c:v>
                </c:pt>
                <c:pt idx="39">
                  <c:v>594.35809776158032</c:v>
                </c:pt>
                <c:pt idx="40">
                  <c:v>617.6651082826894</c:v>
                </c:pt>
                <c:pt idx="41">
                  <c:v>640.71468554833314</c:v>
                </c:pt>
                <c:pt idx="42">
                  <c:v>663.51298073508315</c:v>
                </c:pt>
                <c:pt idx="43">
                  <c:v>686.06444537588686</c:v>
                </c:pt>
                <c:pt idx="44">
                  <c:v>708.3719971567142</c:v>
                </c:pt>
                <c:pt idx="45">
                  <c:v>730.43715992996067</c:v>
                </c:pt>
                <c:pt idx="46">
                  <c:v>752.26018153321036</c:v>
                </c:pt>
                <c:pt idx="47">
                  <c:v>773.84013232973803</c:v>
                </c:pt>
                <c:pt idx="48">
                  <c:v>795.17498683034353</c:v>
                </c:pt>
                <c:pt idx="49">
                  <c:v>816.26169028859863</c:v>
                </c:pt>
                <c:pt idx="50">
                  <c:v>834.11271136746018</c:v>
                </c:pt>
                <c:pt idx="51">
                  <c:v>854.69008438663616</c:v>
                </c:pt>
                <c:pt idx="52">
                  <c:v>875.00443607772831</c:v>
                </c:pt>
                <c:pt idx="53">
                  <c:v>895.04900525173321</c:v>
                </c:pt>
                <c:pt idx="54">
                  <c:v>914.81614974907257</c:v>
                </c:pt>
                <c:pt idx="55">
                  <c:v>934.29734300433768</c:v>
                </c:pt>
                <c:pt idx="56">
                  <c:v>953.48315951098402</c:v>
                </c:pt>
                <c:pt idx="57">
                  <c:v>972.36324852876919</c:v>
                </c:pt>
                <c:pt idx="58">
                  <c:v>990.92629498742565</c:v>
                </c:pt>
                <c:pt idx="59">
                  <c:v>1009.159966068437</c:v>
                </c:pt>
                <c:pt idx="60">
                  <c:v>1027.0508413555403</c:v>
                </c:pt>
                <c:pt idx="61">
                  <c:v>1044.5843236803198</c:v>
                </c:pt>
                <c:pt idx="62">
                  <c:v>1061.7445267757009</c:v>
                </c:pt>
                <c:pt idx="63">
                  <c:v>1078.5141344725043</c:v>
                </c:pt>
                <c:pt idx="64">
                  <c:v>1094.8742242584881</c:v>
                </c:pt>
                <c:pt idx="65">
                  <c:v>1107.8205437599267</c:v>
                </c:pt>
                <c:pt idx="66">
                  <c:v>1123.2972353403486</c:v>
                </c:pt>
                <c:pt idx="67">
                  <c:v>1249.7529677407194</c:v>
                </c:pt>
                <c:pt idx="68">
                  <c:v>1268.972281883784</c:v>
                </c:pt>
                <c:pt idx="69">
                  <c:v>1276.8914701663889</c:v>
                </c:pt>
                <c:pt idx="70">
                  <c:v>1283.2638252785382</c:v>
                </c:pt>
                <c:pt idx="71">
                  <c:v>1288.5022574203763</c:v>
                </c:pt>
                <c:pt idx="72">
                  <c:v>1292.8856644077807</c:v>
                </c:pt>
                <c:pt idx="73">
                  <c:v>1295.4045010291916</c:v>
                </c:pt>
                <c:pt idx="74">
                  <c:v>1297.2075919942829</c:v>
                </c:pt>
                <c:pt idx="75">
                  <c:v>1298.7740615431508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40-444F-AC6A-F5609F267C14}"/>
            </c:ext>
          </c:extLst>
        </c:ser>
        <c:ser>
          <c:idx val="6"/>
          <c:order val="3"/>
          <c:tx>
            <c:v>P_M_Nominal (Whitney)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circle_section!$BM$2:$BM$102</c:f>
              <c:numCache>
                <c:formatCode>General</c:formatCode>
                <c:ptCount val="101"/>
                <c:pt idx="0">
                  <c:v>5.920172020760599E-4</c:v>
                </c:pt>
                <c:pt idx="1">
                  <c:v>4.1370889786391718</c:v>
                </c:pt>
                <c:pt idx="2">
                  <c:v>11.453299602711303</c:v>
                </c:pt>
                <c:pt idx="3">
                  <c:v>20.617426820833984</c:v>
                </c:pt>
                <c:pt idx="4">
                  <c:v>31.105910014410352</c:v>
                </c:pt>
                <c:pt idx="5">
                  <c:v>42.594208054493357</c:v>
                </c:pt>
                <c:pt idx="6">
                  <c:v>54.84976345320932</c:v>
                </c:pt>
                <c:pt idx="7">
                  <c:v>67.692586675842932</c:v>
                </c:pt>
                <c:pt idx="8">
                  <c:v>93.375865259128659</c:v>
                </c:pt>
                <c:pt idx="9">
                  <c:v>117.95246568169802</c:v>
                </c:pt>
                <c:pt idx="10">
                  <c:v>140.54827201596166</c:v>
                </c:pt>
                <c:pt idx="11">
                  <c:v>161.66980918806757</c:v>
                </c:pt>
                <c:pt idx="12">
                  <c:v>181.6348012447061</c:v>
                </c:pt>
                <c:pt idx="13">
                  <c:v>200.64690783985517</c:v>
                </c:pt>
                <c:pt idx="14">
                  <c:v>218.8381052824837</c:v>
                </c:pt>
                <c:pt idx="15">
                  <c:v>235.82510464222426</c:v>
                </c:pt>
                <c:pt idx="16">
                  <c:v>255.32668527394625</c:v>
                </c:pt>
                <c:pt idx="17">
                  <c:v>273.86046558794249</c:v>
                </c:pt>
                <c:pt idx="18">
                  <c:v>291.49922292487645</c:v>
                </c:pt>
                <c:pt idx="19">
                  <c:v>308.29455623135556</c:v>
                </c:pt>
                <c:pt idx="20">
                  <c:v>324.28273423792331</c:v>
                </c:pt>
                <c:pt idx="21">
                  <c:v>339.48883286061613</c:v>
                </c:pt>
                <c:pt idx="22">
                  <c:v>353.9297118454873</c:v>
                </c:pt>
                <c:pt idx="23">
                  <c:v>367.61618878114507</c:v>
                </c:pt>
                <c:pt idx="24">
                  <c:v>380.55464851965013</c:v>
                </c:pt>
                <c:pt idx="25">
                  <c:v>391.37646539395593</c:v>
                </c:pt>
                <c:pt idx="26">
                  <c:v>401.10751065229266</c:v>
                </c:pt>
                <c:pt idx="27">
                  <c:v>410.22106288400397</c:v>
                </c:pt>
                <c:pt idx="28">
                  <c:v>418.70164540131384</c:v>
                </c:pt>
                <c:pt idx="29">
                  <c:v>426.53501177288916</c:v>
                </c:pt>
                <c:pt idx="30">
                  <c:v>432.50971026378738</c:v>
                </c:pt>
                <c:pt idx="31">
                  <c:v>439.0109090943447</c:v>
                </c:pt>
                <c:pt idx="32">
                  <c:v>442.59891359662458</c:v>
                </c:pt>
                <c:pt idx="33">
                  <c:v>444.42438813301368</c:v>
                </c:pt>
                <c:pt idx="34">
                  <c:v>445.74448096928683</c:v>
                </c:pt>
                <c:pt idx="35">
                  <c:v>446.5358701823335</c:v>
                </c:pt>
                <c:pt idx="36">
                  <c:v>446.77834850484862</c:v>
                </c:pt>
                <c:pt idx="37">
                  <c:v>446.45457404302658</c:v>
                </c:pt>
                <c:pt idx="38">
                  <c:v>445.54986178001616</c:v>
                </c:pt>
                <c:pt idx="39">
                  <c:v>443.89963552947847</c:v>
                </c:pt>
                <c:pt idx="40">
                  <c:v>441.29203415280341</c:v>
                </c:pt>
                <c:pt idx="41">
                  <c:v>438.09849471823566</c:v>
                </c:pt>
                <c:pt idx="42">
                  <c:v>434.31171817336144</c:v>
                </c:pt>
                <c:pt idx="43">
                  <c:v>429.92660432527487</c:v>
                </c:pt>
                <c:pt idx="44">
                  <c:v>424.9401680556453</c:v>
                </c:pt>
                <c:pt idx="45">
                  <c:v>419.35147260753405</c:v>
                </c:pt>
                <c:pt idx="46">
                  <c:v>413.16157824919679</c:v>
                </c:pt>
                <c:pt idx="47">
                  <c:v>406.37350501450038</c:v>
                </c:pt>
                <c:pt idx="48">
                  <c:v>398.99220856197348</c:v>
                </c:pt>
                <c:pt idx="49">
                  <c:v>391.02456850005444</c:v>
                </c:pt>
                <c:pt idx="50">
                  <c:v>383.6778426016723</c:v>
                </c:pt>
                <c:pt idx="51">
                  <c:v>374.56586402021844</c:v>
                </c:pt>
                <c:pt idx="52">
                  <c:v>364.89978870352667</c:v>
                </c:pt>
                <c:pt idx="53">
                  <c:v>354.69431734085487</c:v>
                </c:pt>
                <c:pt idx="54">
                  <c:v>343.96619974087776</c:v>
                </c:pt>
                <c:pt idx="55">
                  <c:v>332.73429986153326</c:v>
                </c:pt>
                <c:pt idx="56">
                  <c:v>321.01967681282218</c:v>
                </c:pt>
                <c:pt idx="57">
                  <c:v>308.8456838239245</c:v>
                </c:pt>
                <c:pt idx="58">
                  <c:v>296.2380877688563</c:v>
                </c:pt>
                <c:pt idx="59">
                  <c:v>283.22521260797026</c:v>
                </c:pt>
                <c:pt idx="60">
                  <c:v>269.83811108830139</c:v>
                </c:pt>
                <c:pt idx="61">
                  <c:v>256.11077034269033</c:v>
                </c:pt>
                <c:pt idx="62">
                  <c:v>242.08035876606124</c:v>
                </c:pt>
                <c:pt idx="63">
                  <c:v>227.78752391990361</c:v>
                </c:pt>
                <c:pt idx="64">
                  <c:v>213.27675451709788</c:v>
                </c:pt>
                <c:pt idx="65">
                  <c:v>201.49014623212392</c:v>
                </c:pt>
                <c:pt idx="66">
                  <c:v>186.69466357769829</c:v>
                </c:pt>
                <c:pt idx="67">
                  <c:v>44.373333406337302</c:v>
                </c:pt>
                <c:pt idx="68">
                  <c:v>23.943888074480203</c:v>
                </c:pt>
                <c:pt idx="69">
                  <c:v>18.226163200445768</c:v>
                </c:pt>
                <c:pt idx="70">
                  <c:v>13.625274598400972</c:v>
                </c:pt>
                <c:pt idx="71">
                  <c:v>9.8431260289011124</c:v>
                </c:pt>
                <c:pt idx="72">
                  <c:v>6.6797083017161372</c:v>
                </c:pt>
                <c:pt idx="73">
                  <c:v>4.4750390702730716</c:v>
                </c:pt>
                <c:pt idx="74">
                  <c:v>2.7264426286174386</c:v>
                </c:pt>
                <c:pt idx="75">
                  <c:v>1.2073206221555084</c:v>
                </c:pt>
              </c:numCache>
            </c:numRef>
          </c:xVal>
          <c:yVal>
            <c:numRef>
              <c:f>circle_section!$BJ$2:$BJ$102</c:f>
              <c:numCache>
                <c:formatCode>General</c:formatCode>
                <c:ptCount val="101"/>
                <c:pt idx="0">
                  <c:v>-287.99940795837625</c:v>
                </c:pt>
                <c:pt idx="1">
                  <c:v>-283.79879988065596</c:v>
                </c:pt>
                <c:pt idx="2">
                  <c:v>-276.18691449569201</c:v>
                </c:pt>
                <c:pt idx="3">
                  <c:v>-266.396824200688</c:v>
                </c:pt>
                <c:pt idx="4">
                  <c:v>-254.88114394187426</c:v>
                </c:pt>
                <c:pt idx="5">
                  <c:v>-241.90711494818837</c:v>
                </c:pt>
                <c:pt idx="6">
                  <c:v>-227.65885009615673</c:v>
                </c:pt>
                <c:pt idx="7">
                  <c:v>-212.27435408970172</c:v>
                </c:pt>
                <c:pt idx="8">
                  <c:v>-176.19270593129255</c:v>
                </c:pt>
                <c:pt idx="9">
                  <c:v>-141.43442967354278</c:v>
                </c:pt>
                <c:pt idx="10">
                  <c:v>-109.29573384714547</c:v>
                </c:pt>
                <c:pt idx="11">
                  <c:v>-78.892879805790372</c:v>
                </c:pt>
                <c:pt idx="12">
                  <c:v>-49.650590706008757</c:v>
                </c:pt>
                <c:pt idx="13">
                  <c:v>-21.182028496081557</c:v>
                </c:pt>
                <c:pt idx="14">
                  <c:v>6.7795067590487577</c:v>
                </c:pt>
                <c:pt idx="15">
                  <c:v>39.115329170523921</c:v>
                </c:pt>
                <c:pt idx="16">
                  <c:v>77.014009503544798</c:v>
                </c:pt>
                <c:pt idx="17">
                  <c:v>113.59374919999934</c:v>
                </c:pt>
                <c:pt idx="18">
                  <c:v>149.12820597217561</c:v>
                </c:pt>
                <c:pt idx="19">
                  <c:v>183.82846082664625</c:v>
                </c:pt>
                <c:pt idx="20">
                  <c:v>217.85889697079494</c:v>
                </c:pt>
                <c:pt idx="21">
                  <c:v>251.34850773566671</c:v>
                </c:pt>
                <c:pt idx="22">
                  <c:v>284.39909403747748</c:v>
                </c:pt>
                <c:pt idx="23">
                  <c:v>317.09130208083718</c:v>
                </c:pt>
                <c:pt idx="24">
                  <c:v>349.48913415216077</c:v>
                </c:pt>
                <c:pt idx="25">
                  <c:v>386.89806172476153</c:v>
                </c:pt>
                <c:pt idx="26">
                  <c:v>425.43066911751151</c:v>
                </c:pt>
                <c:pt idx="27">
                  <c:v>463.30389392376122</c:v>
                </c:pt>
                <c:pt idx="28">
                  <c:v>500.59450811472499</c:v>
                </c:pt>
                <c:pt idx="29">
                  <c:v>537.36631028707495</c:v>
                </c:pt>
                <c:pt idx="30">
                  <c:v>569.08231372551063</c:v>
                </c:pt>
                <c:pt idx="31">
                  <c:v>604.96650871729628</c:v>
                </c:pt>
                <c:pt idx="32">
                  <c:v>644.00423954963753</c:v>
                </c:pt>
                <c:pt idx="33">
                  <c:v>684.38531116257582</c:v>
                </c:pt>
                <c:pt idx="34">
                  <c:v>724.1272685379015</c:v>
                </c:pt>
                <c:pt idx="35">
                  <c:v>763.27625062825587</c:v>
                </c:pt>
                <c:pt idx="36">
                  <c:v>801.87139605334858</c:v>
                </c:pt>
                <c:pt idx="37">
                  <c:v>839.94577654121679</c:v>
                </c:pt>
                <c:pt idx="38">
                  <c:v>877.52717841569665</c:v>
                </c:pt>
                <c:pt idx="39">
                  <c:v>914.39707347935428</c:v>
                </c:pt>
                <c:pt idx="40">
                  <c:v>950.254012742599</c:v>
                </c:pt>
                <c:pt idx="41">
                  <c:v>985.71490084358936</c:v>
                </c:pt>
                <c:pt idx="42">
                  <c:v>1020.7892011308971</c:v>
                </c:pt>
                <c:pt idx="43">
                  <c:v>1055.4837621167489</c:v>
                </c:pt>
                <c:pt idx="44">
                  <c:v>1089.8030725487911</c:v>
                </c:pt>
                <c:pt idx="45">
                  <c:v>1123.749476815324</c:v>
                </c:pt>
                <c:pt idx="46">
                  <c:v>1157.323356204939</c:v>
                </c:pt>
                <c:pt idx="47">
                  <c:v>1190.5232805072892</c:v>
                </c:pt>
                <c:pt idx="48">
                  <c:v>1223.3461335851439</c:v>
                </c:pt>
                <c:pt idx="49">
                  <c:v>1255.7872158286132</c:v>
                </c:pt>
                <c:pt idx="50">
                  <c:v>1283.2503251807079</c:v>
                </c:pt>
                <c:pt idx="51">
                  <c:v>1314.9078221332863</c:v>
                </c:pt>
                <c:pt idx="52">
                  <c:v>1346.1606708888128</c:v>
                </c:pt>
                <c:pt idx="53">
                  <c:v>1376.9984696180511</c:v>
                </c:pt>
                <c:pt idx="54">
                  <c:v>1407.4094611524192</c:v>
                </c:pt>
                <c:pt idx="55">
                  <c:v>1437.380527698981</c:v>
                </c:pt>
                <c:pt idx="56">
                  <c:v>1466.8971684784369</c:v>
                </c:pt>
                <c:pt idx="57">
                  <c:v>1495.9434592750295</c:v>
                </c:pt>
                <c:pt idx="58">
                  <c:v>1524.5019922883471</c:v>
                </c:pt>
                <c:pt idx="59">
                  <c:v>1552.5537939514415</c:v>
                </c:pt>
                <c:pt idx="60">
                  <c:v>1580.0782174700621</c:v>
                </c:pt>
                <c:pt idx="61">
                  <c:v>1607.0528056620303</c:v>
                </c:pt>
                <c:pt idx="62">
                  <c:v>1633.453118116463</c:v>
                </c:pt>
                <c:pt idx="63">
                  <c:v>1659.2525145730835</c:v>
                </c:pt>
                <c:pt idx="64">
                  <c:v>1684.4218834745971</c:v>
                </c:pt>
                <c:pt idx="65">
                  <c:v>1704.3392980921949</c:v>
                </c:pt>
                <c:pt idx="66">
                  <c:v>1728.1495928313054</c:v>
                </c:pt>
                <c:pt idx="67">
                  <c:v>1922.6968734472607</c:v>
                </c:pt>
                <c:pt idx="68">
                  <c:v>1952.2650490519754</c:v>
                </c:pt>
                <c:pt idx="69">
                  <c:v>1964.4484156405983</c:v>
                </c:pt>
                <c:pt idx="70">
                  <c:v>1974.2520388900587</c:v>
                </c:pt>
                <c:pt idx="71">
                  <c:v>1982.3111652621174</c:v>
                </c:pt>
                <c:pt idx="72">
                  <c:v>1989.0548683196625</c:v>
                </c:pt>
                <c:pt idx="73">
                  <c:v>1992.9300015833717</c:v>
                </c:pt>
                <c:pt idx="74">
                  <c:v>1995.703987683512</c:v>
                </c:pt>
                <c:pt idx="75">
                  <c:v>1998.1139408356164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40-444F-AC6A-F5609F267C14}"/>
            </c:ext>
          </c:extLst>
        </c:ser>
        <c:ser>
          <c:idx val="4"/>
          <c:order val="4"/>
          <c:tx>
            <c:v>min_e_line (PCA)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169.70654970049617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1040.0152014705741</c:v>
                </c:pt>
                <c:pt idx="1">
                  <c:v>1040.0152014705741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40-444F-AC6A-F5609F267C14}"/>
            </c:ext>
          </c:extLst>
        </c:ser>
        <c:ser>
          <c:idx val="7"/>
          <c:order val="5"/>
          <c:tx>
            <c:v>min_e_line (Whitney)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circle_section!$BI$104:$BI$105</c:f>
              <c:numCache>
                <c:formatCode>General</c:formatCode>
                <c:ptCount val="2"/>
                <c:pt idx="0">
                  <c:v>168.83537061084087</c:v>
                </c:pt>
                <c:pt idx="1">
                  <c:v>0</c:v>
                </c:pt>
              </c:numCache>
            </c:numRef>
          </c:xVal>
          <c:yVal>
            <c:numRef>
              <c:f>circle_section!$BF$104:$BF$105</c:f>
              <c:numCache>
                <c:formatCode>General</c:formatCode>
                <c:ptCount val="2"/>
                <c:pt idx="0">
                  <c:v>1040.0152014705741</c:v>
                </c:pt>
                <c:pt idx="1">
                  <c:v>1040.0152014705741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40-444F-AC6A-F5609F267C14}"/>
            </c:ext>
          </c:extLst>
        </c:ser>
        <c:ser>
          <c:idx val="2"/>
          <c:order val="6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42.426406871192853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40-444F-AC6A-F5609F267C14}"/>
            </c:ext>
          </c:extLst>
        </c:ser>
        <c:ser>
          <c:idx val="3"/>
          <c:order val="7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247.66534612892735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99.999999999948827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40-444F-AC6A-F5609F267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3FD4D41-D9E6-4342-B858-3A96133753D0}">
  <sheetPr codeName="Chart3"/>
  <sheetViews>
    <sheetView zoomScale="13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55BB521-54CB-4F13-9A81-6C1017224D5E}">
  <sheetPr codeName="Chart4"/>
  <sheetViews>
    <sheetView tabSelected="1" zoomScale="13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8DE4CE-2F35-4E62-B1E3-69E698A57B9F}">
  <sheetPr codeName="Chart2"/>
  <sheetViews>
    <sheetView zoomScale="10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0</xdr:row>
      <xdr:rowOff>66675</xdr:rowOff>
    </xdr:from>
    <xdr:to>
      <xdr:col>23</xdr:col>
      <xdr:colOff>333375</xdr:colOff>
      <xdr:row>28</xdr:row>
      <xdr:rowOff>177801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3</xdr:row>
          <xdr:rowOff>28575</xdr:rowOff>
        </xdr:from>
        <xdr:to>
          <xdr:col>6</xdr:col>
          <xdr:colOff>390525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Brent's Method to solve for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590550</xdr:colOff>
      <xdr:row>4</xdr:row>
      <xdr:rowOff>25400</xdr:rowOff>
    </xdr:from>
    <xdr:to>
      <xdr:col>31</xdr:col>
      <xdr:colOff>590550</xdr:colOff>
      <xdr:row>32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85725</xdr:rowOff>
        </xdr:from>
        <xdr:to>
          <xdr:col>33</xdr:col>
          <xdr:colOff>523875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95250</xdr:colOff>
          <xdr:row>4</xdr:row>
          <xdr:rowOff>190500</xdr:rowOff>
        </xdr:from>
        <xdr:to>
          <xdr:col>34</xdr:col>
          <xdr:colOff>504825</xdr:colOff>
          <xdr:row>7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Full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5882" cy="629397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CX362"/>
  <sheetViews>
    <sheetView zoomScale="75" zoomScaleNormal="75" workbookViewId="0">
      <selection activeCell="J10" sqref="J10"/>
    </sheetView>
  </sheetViews>
  <sheetFormatPr defaultColWidth="8.85546875"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8" max="8" width="14" bestFit="1" customWidth="1"/>
    <col min="9" max="9" width="13.28515625" bestFit="1" customWidth="1"/>
    <col min="10" max="10" width="12" bestFit="1" customWidth="1"/>
    <col min="12" max="12" width="13.85546875" customWidth="1"/>
    <col min="13" max="13" width="14.85546875" bestFit="1" customWidth="1"/>
    <col min="14" max="14" width="9" bestFit="1" customWidth="1"/>
    <col min="15" max="15" width="14.7109375" bestFit="1" customWidth="1"/>
    <col min="16" max="17" width="9" bestFit="1" customWidth="1"/>
    <col min="18" max="18" width="10.85546875" bestFit="1" customWidth="1"/>
    <col min="19" max="21" width="9" bestFit="1" customWidth="1"/>
    <col min="22" max="22" width="11.42578125" customWidth="1"/>
    <col min="23" max="24" width="9" bestFit="1" customWidth="1"/>
    <col min="25" max="25" width="13.85546875" bestFit="1" customWidth="1"/>
    <col min="26" max="26" width="11" bestFit="1" customWidth="1"/>
    <col min="27" max="27" width="9" bestFit="1" customWidth="1"/>
    <col min="28" max="28" width="10.85546875" bestFit="1" customWidth="1"/>
    <col min="29" max="30" width="9" bestFit="1" customWidth="1"/>
    <col min="31" max="31" width="10.7109375" bestFit="1" customWidth="1"/>
    <col min="32" max="33" width="9" bestFit="1" customWidth="1"/>
    <col min="81" max="81" width="11" customWidth="1"/>
    <col min="84" max="84" width="11" bestFit="1" customWidth="1"/>
    <col min="85" max="86" width="12" bestFit="1" customWidth="1"/>
    <col min="89" max="89" width="10" bestFit="1" customWidth="1"/>
    <col min="104" max="104" width="12" bestFit="1" customWidth="1"/>
  </cols>
  <sheetData>
    <row r="1" spans="1:102" ht="15.75" thickBot="1" x14ac:dyDescent="0.3">
      <c r="A1" s="2" t="s">
        <v>140</v>
      </c>
      <c r="B1" s="5" t="s">
        <v>148</v>
      </c>
      <c r="E1" s="2" t="s">
        <v>69</v>
      </c>
      <c r="F1" s="34">
        <v>1E-10</v>
      </c>
      <c r="L1" s="1">
        <v>1</v>
      </c>
      <c r="Z1" s="2" t="s">
        <v>81</v>
      </c>
      <c r="AA1" s="1">
        <v>2.33</v>
      </c>
      <c r="AB1" t="s">
        <v>82</v>
      </c>
      <c r="AI1">
        <v>0</v>
      </c>
      <c r="AJ1" t="s">
        <v>80</v>
      </c>
      <c r="AK1" s="1" t="s">
        <v>56</v>
      </c>
      <c r="AL1" s="1" t="s">
        <v>57</v>
      </c>
      <c r="AM1" s="1" t="s">
        <v>78</v>
      </c>
      <c r="AN1" s="1" t="s">
        <v>79</v>
      </c>
      <c r="AR1" t="s">
        <v>13</v>
      </c>
      <c r="AS1" t="s">
        <v>14</v>
      </c>
      <c r="AU1">
        <v>28.9079611519604</v>
      </c>
      <c r="AV1" s="1" t="s">
        <v>21</v>
      </c>
      <c r="AW1" s="1" t="s">
        <v>56</v>
      </c>
      <c r="AX1" s="1" t="s">
        <v>57</v>
      </c>
      <c r="AY1" s="1" t="s">
        <v>134</v>
      </c>
      <c r="AZ1" s="1" t="s">
        <v>136</v>
      </c>
      <c r="BA1" s="1" t="s">
        <v>132</v>
      </c>
      <c r="BB1" s="1" t="s">
        <v>133</v>
      </c>
      <c r="BC1" s="1" t="s">
        <v>135</v>
      </c>
      <c r="BF1" s="1" t="s">
        <v>21</v>
      </c>
      <c r="BG1" s="1" t="s">
        <v>56</v>
      </c>
      <c r="BH1" s="1" t="s">
        <v>57</v>
      </c>
      <c r="BI1" s="1" t="s">
        <v>134</v>
      </c>
      <c r="BJ1" s="1" t="s">
        <v>136</v>
      </c>
      <c r="BK1" s="1" t="s">
        <v>132</v>
      </c>
      <c r="BL1" s="1" t="s">
        <v>133</v>
      </c>
      <c r="BM1" s="1" t="s">
        <v>135</v>
      </c>
      <c r="BP1" s="1" t="s">
        <v>21</v>
      </c>
      <c r="BQ1" s="1" t="s">
        <v>56</v>
      </c>
      <c r="BR1" s="1" t="s">
        <v>57</v>
      </c>
      <c r="BS1" s="1" t="s">
        <v>134</v>
      </c>
      <c r="BT1" s="1" t="s">
        <v>136</v>
      </c>
      <c r="BU1" s="1" t="s">
        <v>132</v>
      </c>
      <c r="BV1" s="1" t="s">
        <v>133</v>
      </c>
      <c r="BW1" s="1" t="s">
        <v>135</v>
      </c>
      <c r="BX1" s="1"/>
      <c r="BY1" s="1"/>
      <c r="BZ1" s="1"/>
      <c r="CA1" s="1"/>
      <c r="CB1" s="1"/>
      <c r="CE1" s="1"/>
      <c r="CI1" s="1"/>
    </row>
    <row r="2" spans="1:102" x14ac:dyDescent="0.25">
      <c r="A2" t="s">
        <v>126</v>
      </c>
      <c r="B2" s="5" t="s">
        <v>152</v>
      </c>
      <c r="E2" s="2" t="s">
        <v>70</v>
      </c>
      <c r="F2" s="8">
        <v>75</v>
      </c>
      <c r="G2">
        <v>159</v>
      </c>
      <c r="H2">
        <v>3</v>
      </c>
      <c r="I2" s="16" t="s">
        <v>61</v>
      </c>
      <c r="J2" s="17">
        <f ca="1">IF(L109&gt;=0,IF(B1="Spiral",0.75,0.65),IF(ABS(L109)&lt;0.002,IF(B1="Spiral",0.75,0.65),IF(ABS(L109)&gt;0.005,0.9,IF(B1="Spiral",0.75+((ABS(L109)-0.002)*(50)),0.65+((ABS(L109)-0.002)*(250/3))))))</f>
        <v>0.9</v>
      </c>
      <c r="K2" s="18"/>
      <c r="L2" s="19" t="s">
        <v>62</v>
      </c>
      <c r="N2">
        <v>14.457046796694284</v>
      </c>
      <c r="Z2" t="s">
        <v>77</v>
      </c>
      <c r="AA2" s="5">
        <v>72</v>
      </c>
      <c r="AJ2">
        <v>0</v>
      </c>
      <c r="AK2">
        <v>188.92359248855291</v>
      </c>
      <c r="AL2">
        <v>-8.5265128291212019E-15</v>
      </c>
      <c r="AM2">
        <v>209.91510276505878</v>
      </c>
      <c r="AN2">
        <v>-9.473903143468002E-15</v>
      </c>
      <c r="AQ2">
        <v>0</v>
      </c>
      <c r="AR2">
        <f>$B$3*COS(RADIANS(AQ2))</f>
        <v>12</v>
      </c>
      <c r="AS2">
        <f>$B$3*SIN(RADIANS(AQ2))</f>
        <v>0</v>
      </c>
      <c r="AV2">
        <v>-259.19946716253861</v>
      </c>
      <c r="AW2">
        <v>3.767574403889546E-4</v>
      </c>
      <c r="AX2">
        <v>3.7675744030875422E-4</v>
      </c>
      <c r="AY2">
        <f t="shared" ref="AY2:AY65" si="0">SQRT(POWER(AW2,2)+POWER(AX2,2))</f>
        <v>5.328154818663223E-4</v>
      </c>
      <c r="AZ2">
        <v>-287.99940795837625</v>
      </c>
      <c r="BA2">
        <v>4.1861937820994954E-4</v>
      </c>
      <c r="BB2">
        <v>4.1861937812083798E-4</v>
      </c>
      <c r="BC2">
        <f t="shared" ref="BC2:BC65" si="1">SQRT(POWER(BA2,2)+POWER(BB2,2))</f>
        <v>5.9201720207369135E-4</v>
      </c>
      <c r="BF2">
        <v>-259.19946716253861</v>
      </c>
      <c r="BG2">
        <v>2.0492903152594932E-4</v>
      </c>
      <c r="BH2">
        <v>4.9182967555501281E-4</v>
      </c>
      <c r="BI2">
        <f>SQRT(POWER(BG2,2)+POWER(BH2,2))</f>
        <v>5.3281548186845384E-4</v>
      </c>
      <c r="BJ2">
        <v>-287.99940795837625</v>
      </c>
      <c r="BK2">
        <v>2.2769892391772146E-4</v>
      </c>
      <c r="BL2">
        <v>5.464774172833476E-4</v>
      </c>
      <c r="BM2">
        <f>SQRT(POWER(BK2,2)+POWER(BL2,2))</f>
        <v>5.920172020760599E-4</v>
      </c>
      <c r="BP2">
        <v>-259.19946716253861</v>
      </c>
      <c r="BQ2">
        <v>3.8058499026615558E-14</v>
      </c>
      <c r="BR2">
        <v>5.328154818577957E-4</v>
      </c>
      <c r="BS2">
        <f>SQRT(POWER(BQ2,2)+POWER(BR2,2))*-1</f>
        <v>-5.328154818577957E-4</v>
      </c>
      <c r="BT2">
        <v>-287.99940795837625</v>
      </c>
      <c r="BU2">
        <v>4.2287221140683949E-14</v>
      </c>
      <c r="BV2">
        <v>5.9201720206421748E-4</v>
      </c>
      <c r="BW2">
        <f>SQRT(POWER(BU2,2)+POWER(BV2,2))*-1</f>
        <v>-5.9201720206421748E-4</v>
      </c>
      <c r="CF2" t="s">
        <v>153</v>
      </c>
      <c r="CG2">
        <v>0</v>
      </c>
    </row>
    <row r="3" spans="1:102" x14ac:dyDescent="0.25">
      <c r="A3" s="2" t="s">
        <v>12</v>
      </c>
      <c r="B3" s="8">
        <v>12</v>
      </c>
      <c r="C3" t="s">
        <v>0</v>
      </c>
      <c r="E3" s="2" t="s">
        <v>84</v>
      </c>
      <c r="F3" s="8">
        <v>0</v>
      </c>
      <c r="I3" s="20" t="s">
        <v>63</v>
      </c>
      <c r="J3" s="7">
        <f ca="1">J2*IF(B2="Whitney",B112,L153)</f>
        <v>99.999999999948827</v>
      </c>
      <c r="K3" s="21" t="s">
        <v>22</v>
      </c>
      <c r="L3" s="22">
        <f ca="1">J3-J9</f>
        <v>-5.1173287829442415E-11</v>
      </c>
      <c r="N3">
        <v>15.035490134686977</v>
      </c>
      <c r="AJ3">
        <v>8.7266462599716474E-2</v>
      </c>
      <c r="AK3">
        <v>188.49016311963047</v>
      </c>
      <c r="AL3">
        <v>-16.076006467337528</v>
      </c>
      <c r="AM3">
        <v>209.43351457736719</v>
      </c>
      <c r="AN3">
        <v>-17.86222940815281</v>
      </c>
      <c r="AQ3">
        <v>1</v>
      </c>
      <c r="AR3">
        <f t="shared" ref="AR3:AR66" si="2">$B$3*COS(RADIANS(AQ3))</f>
        <v>11.998172341876696</v>
      </c>
      <c r="AS3">
        <f t="shared" ref="AS3:AS66" si="3">$B$3*SIN(RADIANS(AQ3))</f>
        <v>0.20942887724740214</v>
      </c>
      <c r="AV3">
        <v>-255.41891989259037</v>
      </c>
      <c r="AW3">
        <v>2.6328273042918253</v>
      </c>
      <c r="AX3">
        <v>2.632827303810362</v>
      </c>
      <c r="AY3">
        <f t="shared" si="0"/>
        <v>3.7233800807752488</v>
      </c>
      <c r="AZ3">
        <v>-283.79879988065596</v>
      </c>
      <c r="BA3">
        <v>2.9253636714353615</v>
      </c>
      <c r="BB3">
        <v>2.9253636709004023</v>
      </c>
      <c r="BC3">
        <f t="shared" si="1"/>
        <v>4.1370889786391656</v>
      </c>
      <c r="BF3">
        <v>-255.41891989259037</v>
      </c>
      <c r="BG3">
        <v>1.4320692621508797</v>
      </c>
      <c r="BH3">
        <v>3.4369662282769928</v>
      </c>
      <c r="BI3">
        <f t="shared" ref="BI3:BI66" si="4">SQRT(POWER(BG3,2)+POWER(BH3,2))</f>
        <v>3.7233800807752546</v>
      </c>
      <c r="BJ3">
        <v>-283.79879988065596</v>
      </c>
      <c r="BK3">
        <v>1.591188069056533</v>
      </c>
      <c r="BL3">
        <v>3.8188513647522142</v>
      </c>
      <c r="BM3">
        <f t="shared" ref="BM3:BM66" si="5">SQRT(POWER(BK3,2)+POWER(BL3,2))</f>
        <v>4.1370889786391718</v>
      </c>
      <c r="BP3">
        <v>-255.41891989259037</v>
      </c>
      <c r="BQ3">
        <v>3.4042721085719684E-10</v>
      </c>
      <c r="BR3">
        <v>3.7233800807752404</v>
      </c>
      <c r="BS3">
        <f t="shared" ref="BS3:BS66" si="6">SQRT(POWER(BQ3,2)+POWER(BR3,2))*-1</f>
        <v>-3.7233800807752404</v>
      </c>
      <c r="BT3">
        <v>-283.79879988065596</v>
      </c>
      <c r="BU3">
        <v>3.7825245650799646E-10</v>
      </c>
      <c r="BV3">
        <v>4.1370889786391558</v>
      </c>
      <c r="BW3">
        <f t="shared" ref="BW3:BW66" si="7">SQRT(POWER(BU3,2)+POWER(BV3,2))*-1</f>
        <v>-4.1370889786391558</v>
      </c>
      <c r="CF3" t="s">
        <v>154</v>
      </c>
      <c r="CG3">
        <v>0</v>
      </c>
    </row>
    <row r="4" spans="1:102" x14ac:dyDescent="0.25">
      <c r="A4" s="2" t="s">
        <v>5</v>
      </c>
      <c r="B4" s="5" t="s">
        <v>151</v>
      </c>
      <c r="I4" s="20" t="s">
        <v>64</v>
      </c>
      <c r="J4" s="7">
        <f ca="1">J2*IF(B2="Whitney",(B116/12),(O153/12))</f>
        <v>175.125845712678</v>
      </c>
      <c r="K4" s="21" t="s">
        <v>65</v>
      </c>
      <c r="L4" s="23" t="str">
        <f>IF(J10=0,J4,"")</f>
        <v/>
      </c>
      <c r="AF4" s="2" t="s">
        <v>141</v>
      </c>
      <c r="AG4" s="1">
        <v>7.77</v>
      </c>
      <c r="AH4" t="s">
        <v>82</v>
      </c>
      <c r="AJ4">
        <v>0.17453292519943295</v>
      </c>
      <c r="AK4">
        <v>187.17108586502252</v>
      </c>
      <c r="AL4">
        <v>-32.18369162869724</v>
      </c>
      <c r="AM4">
        <v>207.96787318335834</v>
      </c>
      <c r="AN4">
        <v>-35.759657365219155</v>
      </c>
      <c r="AQ4">
        <v>2</v>
      </c>
      <c r="AR4">
        <f t="shared" si="2"/>
        <v>11.992689924229149</v>
      </c>
      <c r="AS4">
        <f t="shared" si="3"/>
        <v>0.4187939604300116</v>
      </c>
      <c r="AV4">
        <v>-248.56822304612282</v>
      </c>
      <c r="AW4">
        <v>7.2888352351009571</v>
      </c>
      <c r="AX4">
        <v>7.288835233768074</v>
      </c>
      <c r="AY4">
        <f t="shared" si="0"/>
        <v>10.30796964244017</v>
      </c>
      <c r="AZ4">
        <v>-276.18691449569201</v>
      </c>
      <c r="BA4">
        <v>8.0987058167788408</v>
      </c>
      <c r="BB4">
        <v>8.0987058152978602</v>
      </c>
      <c r="BC4">
        <f t="shared" si="1"/>
        <v>11.453299602711299</v>
      </c>
      <c r="BF4">
        <v>-248.56822304612282</v>
      </c>
      <c r="BG4">
        <v>3.9646037095008149</v>
      </c>
      <c r="BH4">
        <v>9.5150489003515144</v>
      </c>
      <c r="BI4">
        <f t="shared" si="4"/>
        <v>10.307969642440172</v>
      </c>
      <c r="BJ4">
        <v>-276.18691449569201</v>
      </c>
      <c r="BK4">
        <v>4.4051152327786829</v>
      </c>
      <c r="BL4">
        <v>10.572276555946127</v>
      </c>
      <c r="BM4">
        <f t="shared" si="5"/>
        <v>11.453299602711303</v>
      </c>
      <c r="BP4">
        <v>-248.56822304612282</v>
      </c>
      <c r="BQ4">
        <v>9.4247255405903435E-10</v>
      </c>
      <c r="BR4">
        <v>10.30796964244016</v>
      </c>
      <c r="BS4">
        <f t="shared" si="6"/>
        <v>-10.30796964244016</v>
      </c>
      <c r="BT4">
        <v>-276.18691449569201</v>
      </c>
      <c r="BU4">
        <v>1.0471917267322605E-9</v>
      </c>
      <c r="BV4">
        <v>11.453299602711288</v>
      </c>
      <c r="BW4">
        <f t="shared" si="7"/>
        <v>-11.453299602711288</v>
      </c>
    </row>
    <row r="5" spans="1:102" x14ac:dyDescent="0.25">
      <c r="A5" s="2" t="s">
        <v>1</v>
      </c>
      <c r="B5" s="3">
        <v>4.5</v>
      </c>
      <c r="C5" t="s">
        <v>2</v>
      </c>
      <c r="I5" s="20" t="s">
        <v>66</v>
      </c>
      <c r="J5" s="7">
        <f ca="1">J2*IF(B2="Whitney",(B117/12),(R153/12))</f>
        <v>175.12584571267797</v>
      </c>
      <c r="K5" s="21" t="s">
        <v>65</v>
      </c>
      <c r="L5" s="23" t="str">
        <f>IF(J11=0,J5,"")</f>
        <v/>
      </c>
      <c r="AJ5">
        <v>0.26179938779914941</v>
      </c>
      <c r="AK5">
        <v>184.91356023285431</v>
      </c>
      <c r="AL5">
        <v>-48.339309414666417</v>
      </c>
      <c r="AM5">
        <v>205.45951136983811</v>
      </c>
      <c r="AN5">
        <v>-53.710343794073793</v>
      </c>
      <c r="AQ5">
        <v>3</v>
      </c>
      <c r="AR5">
        <f t="shared" si="2"/>
        <v>11.983554417054886</v>
      </c>
      <c r="AS5">
        <f t="shared" si="3"/>
        <v>0.62803147491532596</v>
      </c>
      <c r="AV5">
        <v>-239.75714178061921</v>
      </c>
      <c r="AW5">
        <v>13.120850085265877</v>
      </c>
      <c r="AX5">
        <v>13.120850082866522</v>
      </c>
      <c r="AY5">
        <f t="shared" si="0"/>
        <v>18.555684138750582</v>
      </c>
      <c r="AZ5">
        <v>-266.396824200688</v>
      </c>
      <c r="BA5">
        <v>14.578722316962086</v>
      </c>
      <c r="BB5">
        <v>14.578722314296135</v>
      </c>
      <c r="BC5">
        <f t="shared" si="1"/>
        <v>20.61742682083398</v>
      </c>
      <c r="BF5">
        <v>-239.75714178061921</v>
      </c>
      <c r="BG5">
        <v>7.1368015933932307</v>
      </c>
      <c r="BH5">
        <v>17.128323819732625</v>
      </c>
      <c r="BI5">
        <f t="shared" si="4"/>
        <v>18.555684138750589</v>
      </c>
      <c r="BJ5">
        <v>-266.396824200688</v>
      </c>
      <c r="BK5">
        <v>7.9297795482147002</v>
      </c>
      <c r="BL5">
        <v>19.031470910814026</v>
      </c>
      <c r="BM5">
        <f t="shared" si="5"/>
        <v>20.617426820833984</v>
      </c>
      <c r="BP5">
        <v>-239.75714178061921</v>
      </c>
      <c r="BQ5">
        <v>1.696581532008215E-9</v>
      </c>
      <c r="BR5">
        <v>18.555684138750575</v>
      </c>
      <c r="BS5">
        <f t="shared" si="6"/>
        <v>-18.555684138750575</v>
      </c>
      <c r="BT5">
        <v>-266.396824200688</v>
      </c>
      <c r="BU5">
        <v>1.8850905911202388E-9</v>
      </c>
      <c r="BV5">
        <v>20.617426820833973</v>
      </c>
      <c r="BW5">
        <f t="shared" si="7"/>
        <v>-20.617426820833973</v>
      </c>
      <c r="CF5" t="s">
        <v>155</v>
      </c>
      <c r="CG5">
        <f>B16</f>
        <v>0.60738376611547074</v>
      </c>
      <c r="CH5" t="s">
        <v>17</v>
      </c>
    </row>
    <row r="6" spans="1:102" ht="15.75" thickBot="1" x14ac:dyDescent="0.3">
      <c r="A6" s="2" t="s">
        <v>138</v>
      </c>
      <c r="B6" s="8">
        <v>145</v>
      </c>
      <c r="C6" t="s">
        <v>139</v>
      </c>
      <c r="I6" s="24" t="s">
        <v>67</v>
      </c>
      <c r="J6" s="25">
        <f ca="1">IF(AND(J4=0,J5=0),0,MOD(ATAN2(J4,J5),2*PI()))</f>
        <v>0.78539816339744828</v>
      </c>
      <c r="K6" s="26" t="s">
        <v>17</v>
      </c>
      <c r="L6" s="27">
        <f ca="1">IF((J12-J6)=0,0,ATAN2(COS(J12-J6),SIN(J12-J6)))</f>
        <v>0</v>
      </c>
      <c r="M6" s="48"/>
      <c r="AJ6">
        <v>0.3490658503988659</v>
      </c>
      <c r="AK6">
        <v>181.67273775482417</v>
      </c>
      <c r="AL6">
        <v>-64.818896396465419</v>
      </c>
      <c r="AM6">
        <v>201.85859750536019</v>
      </c>
      <c r="AN6">
        <v>-72.020995996072685</v>
      </c>
      <c r="AQ6">
        <v>4</v>
      </c>
      <c r="AR6">
        <f t="shared" si="2"/>
        <v>11.970768603117889</v>
      </c>
      <c r="AS6">
        <f t="shared" si="3"/>
        <v>0.83707768492950363</v>
      </c>
      <c r="AV6">
        <v>-229.39302954768684</v>
      </c>
      <c r="AW6">
        <v>19.795679917361259</v>
      </c>
      <c r="AX6">
        <v>19.795679913741317</v>
      </c>
      <c r="AY6">
        <f t="shared" si="0"/>
        <v>27.995319012969315</v>
      </c>
      <c r="AZ6">
        <v>-254.88114394187426</v>
      </c>
      <c r="BA6">
        <v>21.995199908179178</v>
      </c>
      <c r="BB6">
        <v>21.995199904157019</v>
      </c>
      <c r="BC6">
        <f t="shared" si="1"/>
        <v>31.105910014410352</v>
      </c>
      <c r="BF6">
        <v>-229.39302954768684</v>
      </c>
      <c r="BG6">
        <v>10.767430389603584</v>
      </c>
      <c r="BH6">
        <v>25.8418329350486</v>
      </c>
      <c r="BI6">
        <f t="shared" si="4"/>
        <v>27.995319012969318</v>
      </c>
      <c r="BJ6">
        <v>-254.88114394187426</v>
      </c>
      <c r="BK6">
        <v>11.963811544003983</v>
      </c>
      <c r="BL6">
        <v>28.713147705609554</v>
      </c>
      <c r="BM6">
        <f t="shared" si="5"/>
        <v>31.105910014410352</v>
      </c>
      <c r="BP6">
        <v>-229.39302954768684</v>
      </c>
      <c r="BQ6">
        <v>2.5596707442251237E-9</v>
      </c>
      <c r="BR6">
        <v>27.995319012969308</v>
      </c>
      <c r="BS6">
        <f t="shared" si="6"/>
        <v>-27.995319012969308</v>
      </c>
      <c r="BT6">
        <v>-254.88114394187426</v>
      </c>
      <c r="BU6">
        <v>2.8440786046945816E-9</v>
      </c>
      <c r="BV6">
        <v>31.105910014410341</v>
      </c>
      <c r="BW6">
        <f t="shared" si="7"/>
        <v>-31.105910014410341</v>
      </c>
      <c r="CF6" t="s">
        <v>156</v>
      </c>
      <c r="CG6">
        <f>B17</f>
        <v>2.5342088874743225</v>
      </c>
      <c r="CH6" t="s">
        <v>17</v>
      </c>
    </row>
    <row r="7" spans="1:102" ht="15.75" thickBot="1" x14ac:dyDescent="0.3">
      <c r="A7" s="2" t="s">
        <v>3</v>
      </c>
      <c r="B7" s="4">
        <f>IF(B4="Density",(POWER(B6,1.5)*33*SQRT(1000*B5))/1000,(57000*SQRT(1000*B5))/1000)</f>
        <v>3865.2020403207894</v>
      </c>
      <c r="C7" t="s">
        <v>2</v>
      </c>
      <c r="E7" t="s">
        <v>142</v>
      </c>
      <c r="F7" s="1">
        <v>0.39</v>
      </c>
      <c r="G7" t="s">
        <v>82</v>
      </c>
      <c r="I7" s="20" t="s">
        <v>147</v>
      </c>
      <c r="J7" s="7">
        <f ca="1">SQRT(POWER(J4,2)+POWER(J5,2))</f>
        <v>247.66534612892735</v>
      </c>
      <c r="K7" s="21" t="s">
        <v>65</v>
      </c>
      <c r="L7" s="28"/>
      <c r="AJ7">
        <v>0.43633231299858238</v>
      </c>
      <c r="AK7">
        <v>174.29590601413042</v>
      </c>
      <c r="AL7">
        <v>-82.628143632192547</v>
      </c>
      <c r="AM7">
        <v>193.66211779347825</v>
      </c>
      <c r="AN7">
        <v>-91.809048480213946</v>
      </c>
      <c r="AQ7">
        <v>5</v>
      </c>
      <c r="AR7">
        <f t="shared" si="2"/>
        <v>11.954336377100947</v>
      </c>
      <c r="AS7">
        <f t="shared" si="3"/>
        <v>1.0458689129718981</v>
      </c>
      <c r="AV7">
        <v>-217.71640345336954</v>
      </c>
      <c r="AW7">
        <v>27.106788019142623</v>
      </c>
      <c r="AX7">
        <v>27.106788019142623</v>
      </c>
      <c r="AY7">
        <f t="shared" si="0"/>
        <v>38.33478724904402</v>
      </c>
      <c r="AZ7">
        <v>-241.90711494818837</v>
      </c>
      <c r="BA7">
        <v>30.118653354602912</v>
      </c>
      <c r="BB7">
        <v>30.118653354602912</v>
      </c>
      <c r="BC7">
        <f t="shared" si="1"/>
        <v>42.594208054493357</v>
      </c>
      <c r="BF7">
        <v>-217.71640345336954</v>
      </c>
      <c r="BG7">
        <v>14.744148941940013</v>
      </c>
      <c r="BH7">
        <v>35.385957460656016</v>
      </c>
      <c r="BI7">
        <f t="shared" si="4"/>
        <v>38.33478724904402</v>
      </c>
      <c r="BJ7">
        <v>-241.90711494818837</v>
      </c>
      <c r="BK7">
        <v>16.382387713266681</v>
      </c>
      <c r="BL7">
        <v>39.317730511840018</v>
      </c>
      <c r="BM7">
        <f t="shared" si="5"/>
        <v>42.594208054493357</v>
      </c>
      <c r="BP7">
        <v>-217.71640345336954</v>
      </c>
      <c r="BQ7">
        <v>3.5050339509089043E-9</v>
      </c>
      <c r="BR7">
        <v>38.33478724904402</v>
      </c>
      <c r="BS7">
        <f t="shared" si="6"/>
        <v>-38.33478724904402</v>
      </c>
      <c r="BT7">
        <v>-241.90711494818837</v>
      </c>
      <c r="BU7">
        <v>3.89448216767656E-9</v>
      </c>
      <c r="BV7">
        <v>42.594208054493357</v>
      </c>
      <c r="BW7">
        <f t="shared" si="7"/>
        <v>-42.594208054493357</v>
      </c>
      <c r="BX7" s="47"/>
      <c r="BY7" s="47"/>
      <c r="BZ7" s="47"/>
      <c r="CA7" s="47"/>
      <c r="CB7" s="47"/>
      <c r="CC7" s="47"/>
      <c r="CD7" s="47"/>
      <c r="CE7" s="47"/>
      <c r="CF7" s="47" t="s">
        <v>157</v>
      </c>
      <c r="CG7" s="47">
        <f>B3</f>
        <v>12</v>
      </c>
      <c r="CH7" s="47" t="s">
        <v>0</v>
      </c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</row>
    <row r="8" spans="1:102" x14ac:dyDescent="0.25">
      <c r="A8" s="2" t="s">
        <v>4</v>
      </c>
      <c r="B8" s="9">
        <f>IF(B5&lt;=4,0.85,IF(B5&lt;=8,0.85 - ((0.05*(B5-4))/1),0.65))</f>
        <v>0.82499999999999996</v>
      </c>
      <c r="I8" s="16" t="s">
        <v>68</v>
      </c>
      <c r="J8" s="29"/>
      <c r="K8" s="18"/>
      <c r="AJ8">
        <v>0.52359877559829882</v>
      </c>
      <c r="AK8">
        <v>164.93468585898373</v>
      </c>
      <c r="AL8">
        <v>-96.572578889013045</v>
      </c>
      <c r="AM8">
        <v>183.26076206553748</v>
      </c>
      <c r="AN8">
        <v>-107.30286543223671</v>
      </c>
      <c r="AQ8">
        <v>6</v>
      </c>
      <c r="AR8">
        <f t="shared" si="2"/>
        <v>11.934262744419279</v>
      </c>
      <c r="AS8">
        <f t="shared" si="3"/>
        <v>1.2543415592118417</v>
      </c>
      <c r="AV8">
        <v>-204.89296508654107</v>
      </c>
      <c r="AW8">
        <v>34.906175715818151</v>
      </c>
      <c r="AX8">
        <v>34.906175715818151</v>
      </c>
      <c r="AY8">
        <f t="shared" si="0"/>
        <v>49.364787107888404</v>
      </c>
      <c r="AZ8">
        <v>-227.65885009615673</v>
      </c>
      <c r="BA8">
        <v>38.784639684242386</v>
      </c>
      <c r="BB8">
        <v>38.784639684242386</v>
      </c>
      <c r="BC8">
        <f t="shared" si="1"/>
        <v>54.849763453209341</v>
      </c>
      <c r="BF8">
        <v>-204.89296508654107</v>
      </c>
      <c r="BG8">
        <v>18.986456579957071</v>
      </c>
      <c r="BH8">
        <v>45.567495791896974</v>
      </c>
      <c r="BI8">
        <f t="shared" si="4"/>
        <v>49.36478710788839</v>
      </c>
      <c r="BJ8">
        <v>-227.65885009615673</v>
      </c>
      <c r="BK8">
        <v>21.096062866618968</v>
      </c>
      <c r="BL8">
        <v>50.630550879885526</v>
      </c>
      <c r="BM8">
        <f t="shared" si="5"/>
        <v>54.84976345320932</v>
      </c>
      <c r="BP8">
        <v>-204.89296508654107</v>
      </c>
      <c r="BQ8">
        <v>4.5135341753109106E-9</v>
      </c>
      <c r="BR8">
        <v>49.364787107888397</v>
      </c>
      <c r="BS8">
        <f t="shared" si="6"/>
        <v>-49.364787107888397</v>
      </c>
      <c r="BT8">
        <v>-227.65885009615673</v>
      </c>
      <c r="BU8">
        <v>5.0150379725676786E-9</v>
      </c>
      <c r="BV8">
        <v>54.849763453209327</v>
      </c>
      <c r="BW8">
        <f t="shared" si="7"/>
        <v>-54.849763453209327</v>
      </c>
      <c r="CF8" s="47" t="s">
        <v>158</v>
      </c>
      <c r="CG8">
        <f>B9</f>
        <v>3.8249999999999997</v>
      </c>
    </row>
    <row r="9" spans="1:102" x14ac:dyDescent="0.25">
      <c r="A9" s="2" t="s">
        <v>6</v>
      </c>
      <c r="B9" s="1">
        <f>0.85*B5</f>
        <v>3.8249999999999997</v>
      </c>
      <c r="C9" t="s">
        <v>2</v>
      </c>
      <c r="D9">
        <v>8</v>
      </c>
      <c r="I9" s="20" t="s">
        <v>21</v>
      </c>
      <c r="J9" s="30">
        <v>100</v>
      </c>
      <c r="K9" s="21" t="s">
        <v>22</v>
      </c>
      <c r="L9" s="28" t="str">
        <f>"+ Compression"</f>
        <v>+ Compression</v>
      </c>
      <c r="AJ9">
        <v>0.6108652381980153</v>
      </c>
      <c r="AK9">
        <v>155.10725065147548</v>
      </c>
      <c r="AL9">
        <v>-109.59263746293837</v>
      </c>
      <c r="AM9">
        <v>172.34138961275053</v>
      </c>
      <c r="AN9">
        <v>-121.76959718104263</v>
      </c>
      <c r="AQ9">
        <v>7</v>
      </c>
      <c r="AR9">
        <f t="shared" si="2"/>
        <v>11.910553819695863</v>
      </c>
      <c r="AS9">
        <f t="shared" si="3"/>
        <v>1.4624321208617697</v>
      </c>
      <c r="AV9">
        <v>-180.94199782007635</v>
      </c>
      <c r="AW9">
        <v>47.954448404228103</v>
      </c>
      <c r="AX9">
        <v>47.954448396350436</v>
      </c>
      <c r="AY9">
        <f t="shared" si="0"/>
        <v>67.817831303809854</v>
      </c>
      <c r="AZ9">
        <v>-201.04666424452927</v>
      </c>
      <c r="BA9">
        <v>53.282720449142332</v>
      </c>
      <c r="BB9">
        <v>53.282720440389369</v>
      </c>
      <c r="BC9">
        <f t="shared" si="1"/>
        <v>75.353145893122061</v>
      </c>
      <c r="BF9">
        <v>-191.04691868073155</v>
      </c>
      <c r="BG9">
        <v>23.432049239087501</v>
      </c>
      <c r="BH9">
        <v>56.236918159327061</v>
      </c>
      <c r="BI9">
        <f t="shared" si="4"/>
        <v>60.923328008258636</v>
      </c>
      <c r="BJ9">
        <v>-212.27435408970172</v>
      </c>
      <c r="BK9">
        <v>26.035610265652778</v>
      </c>
      <c r="BL9">
        <v>62.485464621474513</v>
      </c>
      <c r="BM9">
        <f t="shared" si="5"/>
        <v>67.692586675842932</v>
      </c>
      <c r="BP9">
        <v>-180.94199782007635</v>
      </c>
      <c r="BQ9">
        <v>6.8311055422566157E-9</v>
      </c>
      <c r="BR9">
        <v>67.817831303809854</v>
      </c>
      <c r="BS9">
        <f t="shared" si="6"/>
        <v>-67.817831303809854</v>
      </c>
      <c r="BT9">
        <v>-201.04666424452927</v>
      </c>
      <c r="BU9">
        <v>7.5901172691740174E-9</v>
      </c>
      <c r="BV9">
        <v>75.353145893122061</v>
      </c>
      <c r="BW9">
        <f t="shared" si="7"/>
        <v>-75.353145893122061</v>
      </c>
      <c r="CF9" t="s">
        <v>21</v>
      </c>
      <c r="CG9">
        <f>((CG8*CG7)/4)*((CG7*SIN(2*CG6))+(4*CG2*SIN(CG6))+(2*CG7*CG6)-(CG7*SIN(2*CG5))-(4*CG2*SIN(CG5))-(2*CG7*CG5))</f>
        <v>272.51841482667231</v>
      </c>
    </row>
    <row r="10" spans="1:102" x14ac:dyDescent="0.25">
      <c r="A10" s="2" t="s">
        <v>7</v>
      </c>
      <c r="B10" s="6">
        <v>0.78539816339744828</v>
      </c>
      <c r="C10" t="s">
        <v>8</v>
      </c>
      <c r="E10" t="s">
        <v>18</v>
      </c>
      <c r="F10" s="36">
        <f>B3-B11</f>
        <v>5.755943433935327</v>
      </c>
      <c r="I10" s="20" t="s">
        <v>56</v>
      </c>
      <c r="J10" s="30">
        <v>30</v>
      </c>
      <c r="K10" s="21" t="s">
        <v>65</v>
      </c>
      <c r="L10" s="28" t="str">
        <f>"+ Puts Top of Section in Compression"</f>
        <v>+ Puts Top of Section in Compression</v>
      </c>
      <c r="AJ10">
        <v>0.69813170079773179</v>
      </c>
      <c r="AK10">
        <v>144.65012571630237</v>
      </c>
      <c r="AL10">
        <v>-121.915219341396</v>
      </c>
      <c r="AM10">
        <v>160.72236190700264</v>
      </c>
      <c r="AN10">
        <v>-135.46135482377332</v>
      </c>
      <c r="AQ10">
        <v>8</v>
      </c>
      <c r="AR10">
        <f t="shared" si="2"/>
        <v>11.883216824898845</v>
      </c>
      <c r="AS10">
        <f t="shared" si="3"/>
        <v>1.6700772115207854</v>
      </c>
      <c r="AV10">
        <v>-157.51515935006853</v>
      </c>
      <c r="AW10">
        <v>60.58464435031275</v>
      </c>
      <c r="AX10">
        <v>60.58464434088917</v>
      </c>
      <c r="AY10">
        <f t="shared" si="0"/>
        <v>85.679625705099326</v>
      </c>
      <c r="AZ10">
        <v>-175.01684372229838</v>
      </c>
      <c r="BA10">
        <v>67.316271500347497</v>
      </c>
      <c r="BB10">
        <v>67.316271489876854</v>
      </c>
      <c r="BC10">
        <f t="shared" si="1"/>
        <v>95.199584116777018</v>
      </c>
      <c r="BF10">
        <v>-158.57343533816331</v>
      </c>
      <c r="BG10">
        <v>32.322414897390686</v>
      </c>
      <c r="BH10">
        <v>77.573795753737656</v>
      </c>
      <c r="BI10">
        <f t="shared" si="4"/>
        <v>84.03827873321579</v>
      </c>
      <c r="BJ10">
        <v>-176.19270593129255</v>
      </c>
      <c r="BK10">
        <v>35.913794330434094</v>
      </c>
      <c r="BL10">
        <v>86.193106393041845</v>
      </c>
      <c r="BM10">
        <f t="shared" si="5"/>
        <v>93.375865259128659</v>
      </c>
      <c r="BP10">
        <v>-157.51515935006853</v>
      </c>
      <c r="BQ10">
        <v>9.0042718374580416E-9</v>
      </c>
      <c r="BR10">
        <v>85.679625705099298</v>
      </c>
      <c r="BS10">
        <f t="shared" si="6"/>
        <v>-85.679625705099298</v>
      </c>
      <c r="BT10">
        <v>-175.01684372229838</v>
      </c>
      <c r="BU10">
        <v>1.0004746486064491E-8</v>
      </c>
      <c r="BV10">
        <v>95.19958411677699</v>
      </c>
      <c r="BW10">
        <f t="shared" si="7"/>
        <v>-95.19958411677699</v>
      </c>
      <c r="CF10" t="s">
        <v>56</v>
      </c>
      <c r="CG10">
        <f>((-1*CG8*CG7)/12)*(CH10-CI10+CJ10-CK10+CL10-CM10-CN10+CO10-CP10+CQ10-CR10+CS10)</f>
        <v>2439.7303946848001</v>
      </c>
      <c r="CH10">
        <f>POWER(CG7,2)*COS(3*CG6)</f>
        <v>35.815187593407664</v>
      </c>
      <c r="CI10">
        <f>3*CG3*CG7*SIN(2*CG6)</f>
        <v>0</v>
      </c>
      <c r="CJ10">
        <f>3*CG2*CG7*COS(2*CG6)</f>
        <v>0</v>
      </c>
      <c r="CK10">
        <f>12*CG2*CG3*SIN(CG6)</f>
        <v>0</v>
      </c>
      <c r="CL10">
        <f>3*POWER(CG7,2)*COS(CG6)</f>
        <v>-354.73419343455799</v>
      </c>
      <c r="CM10">
        <f>6*CG3*CG7*CG6</f>
        <v>0</v>
      </c>
      <c r="CN10">
        <f>POWER(CG7,2)*COS(3*CG5)</f>
        <v>-35.815187593407614</v>
      </c>
      <c r="CO10">
        <f>3*CG3*CG7*SIN(2*CG5)</f>
        <v>0</v>
      </c>
      <c r="CP10">
        <f>3*CG2*CG7*COS(2*CG5)</f>
        <v>0</v>
      </c>
      <c r="CQ10">
        <f>12*CG2*CG3*SIN(CG5)</f>
        <v>0</v>
      </c>
      <c r="CR10">
        <f>3*POWER(CG7,2)*COS(CG5)</f>
        <v>354.73419343455799</v>
      </c>
      <c r="CS10">
        <f>6*CG3*CG7*CG5</f>
        <v>0</v>
      </c>
    </row>
    <row r="11" spans="1:102" x14ac:dyDescent="0.25">
      <c r="A11" s="2" t="s">
        <v>9</v>
      </c>
      <c r="B11" s="50">
        <v>6.244056566064673</v>
      </c>
      <c r="C11" t="s">
        <v>0</v>
      </c>
      <c r="E11" t="s">
        <v>75</v>
      </c>
      <c r="F11" s="9">
        <f>B3-B12</f>
        <v>6.848653332996645</v>
      </c>
      <c r="G11" s="1"/>
      <c r="I11" s="20" t="s">
        <v>57</v>
      </c>
      <c r="J11" s="30">
        <v>30</v>
      </c>
      <c r="K11" s="21" t="s">
        <v>65</v>
      </c>
      <c r="L11" s="28" t="str">
        <f>"+ Puts Left of Section in Compression"</f>
        <v>+ Puts Left of Section in Compression</v>
      </c>
      <c r="AJ11">
        <v>0.78539816339744828</v>
      </c>
      <c r="AK11">
        <v>133.58915337477967</v>
      </c>
      <c r="AL11">
        <v>-133.58915337477961</v>
      </c>
      <c r="AM11">
        <v>148.43239263864407</v>
      </c>
      <c r="AN11">
        <v>-148.43239263864402</v>
      </c>
      <c r="AQ11">
        <v>9</v>
      </c>
      <c r="AR11">
        <f t="shared" si="2"/>
        <v>11.852260087141653</v>
      </c>
      <c r="AS11">
        <f t="shared" si="3"/>
        <v>1.8772135804827705</v>
      </c>
      <c r="AV11">
        <v>-135.16781163650464</v>
      </c>
      <c r="AW11">
        <v>72.489806743207069</v>
      </c>
      <c r="AX11">
        <v>72.489806732200478</v>
      </c>
      <c r="AY11">
        <f t="shared" si="0"/>
        <v>102.51606782226524</v>
      </c>
      <c r="AZ11">
        <v>-150.18645737389403</v>
      </c>
      <c r="BA11">
        <v>80.544229714674515</v>
      </c>
      <c r="BB11">
        <v>80.54422970244498</v>
      </c>
      <c r="BC11">
        <f t="shared" si="1"/>
        <v>113.90674202473916</v>
      </c>
      <c r="BF11">
        <v>-127.29098670618851</v>
      </c>
      <c r="BG11">
        <v>40.829699659049332</v>
      </c>
      <c r="BH11">
        <v>97.991279181718355</v>
      </c>
      <c r="BI11">
        <f t="shared" si="4"/>
        <v>106.15721911352823</v>
      </c>
      <c r="BJ11">
        <v>-141.43442967354278</v>
      </c>
      <c r="BK11">
        <v>45.366332954499256</v>
      </c>
      <c r="BL11">
        <v>108.87919909079817</v>
      </c>
      <c r="BM11">
        <f t="shared" si="5"/>
        <v>117.95246568169802</v>
      </c>
      <c r="BP11">
        <v>-135.16781163650464</v>
      </c>
      <c r="BQ11">
        <v>1.0963728123044341E-8</v>
      </c>
      <c r="BR11">
        <v>102.51606782226521</v>
      </c>
      <c r="BS11">
        <f t="shared" si="6"/>
        <v>-102.51606782226521</v>
      </c>
      <c r="BT11">
        <v>-150.18645737389403</v>
      </c>
      <c r="BU11">
        <v>1.2181920136715934E-8</v>
      </c>
      <c r="BV11">
        <v>113.90674202473912</v>
      </c>
      <c r="BW11">
        <f t="shared" si="7"/>
        <v>-113.90674202473912</v>
      </c>
      <c r="CF11" t="s">
        <v>57</v>
      </c>
      <c r="CG11">
        <f>((CG8*CG7)/12)*(CH11+CI11+CJ11-CK11+CL11-CM11-CN11-CO11-CP11+CQ11-CR11+CS11)</f>
        <v>0</v>
      </c>
      <c r="CH11">
        <f>POWER(CG7,2)*SIN(3*CG6)</f>
        <v>139.47498821526753</v>
      </c>
      <c r="CI11">
        <f>3*CG2*CG7*SIN(2*CG6)</f>
        <v>0</v>
      </c>
      <c r="CJ11">
        <f>3*CG3*CG7*COS(2*CG6)</f>
        <v>0</v>
      </c>
      <c r="CK11">
        <f>3*POWER(CG7,2)*SIN(CG6)</f>
        <v>246.55151998787923</v>
      </c>
      <c r="CL11">
        <f>12*CG2*CG3*COS(CG6)</f>
        <v>0</v>
      </c>
      <c r="CM11">
        <f>6*CG2*CG7*CG6</f>
        <v>0</v>
      </c>
      <c r="CN11">
        <f>POWER(CG7,2)*SIN(3*CG5)</f>
        <v>139.47498821526753</v>
      </c>
      <c r="CO11">
        <f>3*CG2*CG7*SIN(2*CG5)</f>
        <v>0</v>
      </c>
      <c r="CP11">
        <f>3*CG3*CG7*COS(2*CG5)</f>
        <v>0</v>
      </c>
      <c r="CQ11">
        <f>3*POWER(CG7,2)*SIN(CG5)</f>
        <v>246.55151998787923</v>
      </c>
      <c r="CR11">
        <f>12*CG2*CG3*COS(CG5)</f>
        <v>0</v>
      </c>
      <c r="CS11">
        <f>6*CG2*CG7*CG5</f>
        <v>0</v>
      </c>
    </row>
    <row r="12" spans="1:102" ht="15.75" thickBot="1" x14ac:dyDescent="0.3">
      <c r="A12" s="2" t="s">
        <v>10</v>
      </c>
      <c r="B12" s="7">
        <f>B11*B8</f>
        <v>5.151346667003355</v>
      </c>
      <c r="C12" t="s">
        <v>0</v>
      </c>
      <c r="E12" t="s">
        <v>19</v>
      </c>
      <c r="F12" s="9">
        <f>IF(B11&lt;0,0,IF(F11&lt;(-1*B3),0,SQRT(POWER(B3,2)-POWER(F11,2))))</f>
        <v>9.8537275954043881</v>
      </c>
      <c r="G12" s="9">
        <f>F11</f>
        <v>6.848653332996645</v>
      </c>
      <c r="I12" s="24" t="s">
        <v>67</v>
      </c>
      <c r="J12" s="25">
        <f>IF(AND(J10=0,J11=0),0,MOD(ATAN2(J10,J11),2*PI()))</f>
        <v>0.78539816339744828</v>
      </c>
      <c r="K12" s="26" t="s">
        <v>17</v>
      </c>
      <c r="AJ12">
        <v>0.87266462599716477</v>
      </c>
      <c r="AK12">
        <v>121.91521934139604</v>
      </c>
      <c r="AL12">
        <v>-144.65012571630231</v>
      </c>
      <c r="AM12">
        <v>135.46135482377338</v>
      </c>
      <c r="AN12">
        <v>-160.72236190700258</v>
      </c>
      <c r="AQ12">
        <v>10</v>
      </c>
      <c r="AR12">
        <f t="shared" si="2"/>
        <v>11.817693036146496</v>
      </c>
      <c r="AS12">
        <f t="shared" si="3"/>
        <v>2.0837781320031641</v>
      </c>
      <c r="AV12">
        <v>-112.6385309885115</v>
      </c>
      <c r="AW12">
        <v>84.138132487039584</v>
      </c>
      <c r="AX12">
        <v>84.138132487039627</v>
      </c>
      <c r="AY12">
        <f t="shared" si="0"/>
        <v>118.98928807591572</v>
      </c>
      <c r="AZ12">
        <v>-125.15392332056834</v>
      </c>
      <c r="BA12">
        <v>93.486813874488419</v>
      </c>
      <c r="BB12">
        <v>93.486813874488476</v>
      </c>
      <c r="BC12">
        <f t="shared" si="1"/>
        <v>132.2103200843508</v>
      </c>
      <c r="BF12">
        <v>-98.366160462430926</v>
      </c>
      <c r="BG12">
        <v>48.651324928602122</v>
      </c>
      <c r="BH12">
        <v>116.76317982864506</v>
      </c>
      <c r="BI12">
        <f t="shared" si="4"/>
        <v>126.49344481436549</v>
      </c>
      <c r="BJ12">
        <v>-109.29573384714547</v>
      </c>
      <c r="BK12">
        <v>54.057027698446802</v>
      </c>
      <c r="BL12">
        <v>129.7368664762723</v>
      </c>
      <c r="BM12">
        <f t="shared" si="5"/>
        <v>140.54827201596166</v>
      </c>
      <c r="BP12">
        <v>-112.63853098851153</v>
      </c>
      <c r="BQ12">
        <v>6.3418070981524296E-9</v>
      </c>
      <c r="BR12">
        <v>118.98928807591572</v>
      </c>
      <c r="BS12">
        <f t="shared" si="6"/>
        <v>-118.98928807591572</v>
      </c>
      <c r="BT12">
        <v>-125.15392332056837</v>
      </c>
      <c r="BU12">
        <v>7.0464523312804769E-9</v>
      </c>
      <c r="BV12">
        <v>132.2103200843508</v>
      </c>
      <c r="BW12">
        <f t="shared" si="7"/>
        <v>-132.2103200843508</v>
      </c>
    </row>
    <row r="13" spans="1:102" ht="15.75" thickBot="1" x14ac:dyDescent="0.3">
      <c r="A13" s="2" t="s">
        <v>11</v>
      </c>
      <c r="B13" s="1">
        <v>3.0000000000000001E-3</v>
      </c>
      <c r="E13" t="s">
        <v>20</v>
      </c>
      <c r="F13" s="1">
        <f>IF(B11&lt;0,0,IF(F11&lt;(-1*B3),0,-1*SQRT(POWER(B3,2)-POWER(F11,2))))</f>
        <v>-9.8537275954043881</v>
      </c>
      <c r="G13" s="9">
        <f>F11</f>
        <v>6.848653332996645</v>
      </c>
      <c r="I13" s="31" t="s">
        <v>146</v>
      </c>
      <c r="J13" s="32">
        <f>SQRT(POWER(J10,2)+POWER(J11,2))</f>
        <v>42.426406871192853</v>
      </c>
      <c r="K13" s="33" t="s">
        <v>65</v>
      </c>
      <c r="L13">
        <f>DEGREES(J12)</f>
        <v>45</v>
      </c>
      <c r="AJ13">
        <v>0.95993108859688125</v>
      </c>
      <c r="AK13">
        <v>109.59263746293841</v>
      </c>
      <c r="AL13">
        <v>-155.10725065147548</v>
      </c>
      <c r="AM13">
        <v>121.76959718104268</v>
      </c>
      <c r="AN13">
        <v>-172.34138961275053</v>
      </c>
      <c r="AQ13">
        <v>11</v>
      </c>
      <c r="AR13">
        <f t="shared" si="2"/>
        <v>11.779526201371969</v>
      </c>
      <c r="AS13">
        <f t="shared" si="3"/>
        <v>2.2897079445185375</v>
      </c>
      <c r="AV13">
        <v>-76.764235398958988</v>
      </c>
      <c r="AW13">
        <v>100.03371921412865</v>
      </c>
      <c r="AX13">
        <v>100.03371921412869</v>
      </c>
      <c r="AY13">
        <f t="shared" si="0"/>
        <v>141.46904240724285</v>
      </c>
      <c r="AZ13">
        <v>-85.293594887732212</v>
      </c>
      <c r="BA13">
        <v>111.14857690458739</v>
      </c>
      <c r="BB13">
        <v>111.14857690458743</v>
      </c>
      <c r="BC13">
        <f t="shared" si="1"/>
        <v>157.18782489693646</v>
      </c>
      <c r="BF13">
        <v>-71.003591825211331</v>
      </c>
      <c r="BG13">
        <v>55.962626257408019</v>
      </c>
      <c r="BH13">
        <v>134.3103030177792</v>
      </c>
      <c r="BI13">
        <f t="shared" si="4"/>
        <v>145.50282826926082</v>
      </c>
      <c r="BJ13">
        <v>-78.892879805790372</v>
      </c>
      <c r="BK13">
        <v>62.180695841564464</v>
      </c>
      <c r="BL13">
        <v>149.23367001975467</v>
      </c>
      <c r="BM13">
        <f t="shared" si="5"/>
        <v>161.66980918806757</v>
      </c>
      <c r="BP13">
        <v>-76.764235398958974</v>
      </c>
      <c r="BQ13">
        <v>2.2748097780477263E-14</v>
      </c>
      <c r="BR13">
        <v>141.46904240724282</v>
      </c>
      <c r="BS13">
        <f t="shared" si="6"/>
        <v>-141.46904240724282</v>
      </c>
      <c r="BT13">
        <v>-85.293594887732198</v>
      </c>
      <c r="BU13">
        <v>2.5275664200530293E-14</v>
      </c>
      <c r="BV13">
        <v>157.18782489693646</v>
      </c>
      <c r="BW13">
        <f t="shared" si="7"/>
        <v>-157.18782489693646</v>
      </c>
      <c r="CG13">
        <f>((CG10*COS(B10))-(CG11*SIN(B10)))</f>
        <v>1725.1499063485544</v>
      </c>
    </row>
    <row r="14" spans="1:102" ht="15.75" thickBot="1" x14ac:dyDescent="0.3">
      <c r="F14" s="1">
        <f>IF(B11&lt;0,0,IF(F10&lt;(-1*B3),0,SQRT(POWER(B3,2)-POWER(F10,2))))</f>
        <v>10.529440402288092</v>
      </c>
      <c r="G14" s="36">
        <f>F10</f>
        <v>5.755943433935327</v>
      </c>
      <c r="I14" s="49" t="s">
        <v>145</v>
      </c>
      <c r="J14" s="32">
        <f ca="1">J13/J7</f>
        <v>0.17130538258310432</v>
      </c>
      <c r="K14" s="33"/>
      <c r="AJ14">
        <v>1.0471975511965976</v>
      </c>
      <c r="AK14">
        <v>96.572578889013059</v>
      </c>
      <c r="AL14">
        <v>-164.93468585898373</v>
      </c>
      <c r="AM14">
        <v>107.30286543223673</v>
      </c>
      <c r="AN14">
        <v>-183.26076206553748</v>
      </c>
      <c r="AQ14">
        <v>12</v>
      </c>
      <c r="AR14">
        <f t="shared" si="2"/>
        <v>11.737771208805668</v>
      </c>
      <c r="AS14">
        <f t="shared" si="3"/>
        <v>2.4949402898131119</v>
      </c>
      <c r="AV14">
        <v>-43.352737336106593</v>
      </c>
      <c r="AW14">
        <v>114.78439369790908</v>
      </c>
      <c r="AX14">
        <v>114.7843936743884</v>
      </c>
      <c r="AY14">
        <f t="shared" si="0"/>
        <v>162.3296462997242</v>
      </c>
      <c r="AZ14">
        <v>-48.169708151229543</v>
      </c>
      <c r="BA14">
        <v>127.53821521989897</v>
      </c>
      <c r="BB14">
        <v>127.53821519376488</v>
      </c>
      <c r="BC14">
        <f t="shared" si="1"/>
        <v>180.36627366636023</v>
      </c>
      <c r="BF14">
        <v>-44.685531635407884</v>
      </c>
      <c r="BG14">
        <v>62.873585046244422</v>
      </c>
      <c r="BH14">
        <v>150.8966041109866</v>
      </c>
      <c r="BI14">
        <f t="shared" si="4"/>
        <v>163.4713211202355</v>
      </c>
      <c r="BJ14">
        <v>-49.650590706008757</v>
      </c>
      <c r="BK14">
        <v>69.859538940271577</v>
      </c>
      <c r="BL14">
        <v>167.66289345665177</v>
      </c>
      <c r="BM14">
        <f t="shared" si="5"/>
        <v>181.6348012447061</v>
      </c>
      <c r="BP14">
        <v>-43.352737336106593</v>
      </c>
      <c r="BQ14">
        <v>-8.4014294914075919E-15</v>
      </c>
      <c r="BR14">
        <v>162.3296462997242</v>
      </c>
      <c r="BS14">
        <f t="shared" si="6"/>
        <v>-162.3296462997242</v>
      </c>
      <c r="BT14">
        <v>-48.169708151229543</v>
      </c>
      <c r="BU14">
        <v>-9.3349216571195457E-15</v>
      </c>
      <c r="BV14">
        <v>180.36627366636023</v>
      </c>
      <c r="BW14">
        <f t="shared" si="7"/>
        <v>-180.36627366636023</v>
      </c>
      <c r="CG14">
        <f>((CG10)*SIN(B10))+((CG11)*COS(B10))</f>
        <v>1725.1499063485539</v>
      </c>
    </row>
    <row r="15" spans="1:102" x14ac:dyDescent="0.25">
      <c r="F15" s="1">
        <f>IF(B11&lt;0,0,IF(F10&lt;(-1*B3),0,-1*SQRT(POWER(B3,2)-POWER(F10,2))))</f>
        <v>-10.529440402288092</v>
      </c>
      <c r="G15" s="36">
        <f>F10</f>
        <v>5.755943433935327</v>
      </c>
      <c r="J15" s="1" t="s">
        <v>34</v>
      </c>
      <c r="K15" t="s">
        <v>76</v>
      </c>
      <c r="AJ15">
        <v>1.134464013796314</v>
      </c>
      <c r="AK15">
        <v>82.628143632192561</v>
      </c>
      <c r="AL15">
        <v>-174.29590601413042</v>
      </c>
      <c r="AM15">
        <v>91.80904848021396</v>
      </c>
      <c r="AN15">
        <v>-193.66211779347825</v>
      </c>
      <c r="AQ15">
        <v>13</v>
      </c>
      <c r="AR15">
        <f t="shared" si="2"/>
        <v>11.692440777422823</v>
      </c>
      <c r="AS15">
        <f t="shared" si="3"/>
        <v>2.6994126521263802</v>
      </c>
      <c r="AV15">
        <v>-13.794158740287207</v>
      </c>
      <c r="AW15">
        <v>127.61759583510256</v>
      </c>
      <c r="AX15">
        <v>127.61759583510262</v>
      </c>
      <c r="AY15">
        <f t="shared" si="0"/>
        <v>180.47853482745029</v>
      </c>
      <c r="AZ15">
        <v>-15.326843044763564</v>
      </c>
      <c r="BA15">
        <v>141.79732870566951</v>
      </c>
      <c r="BB15">
        <v>141.79732870566957</v>
      </c>
      <c r="BC15">
        <f t="shared" si="1"/>
        <v>200.53170536383365</v>
      </c>
      <c r="BF15">
        <v>-19.063825646473401</v>
      </c>
      <c r="BG15">
        <v>69.454698867642193</v>
      </c>
      <c r="BH15">
        <v>166.69127728234122</v>
      </c>
      <c r="BI15">
        <f t="shared" si="4"/>
        <v>180.58221705586965</v>
      </c>
      <c r="BJ15">
        <v>-21.182028496081557</v>
      </c>
      <c r="BK15">
        <v>77.171887630713542</v>
      </c>
      <c r="BL15">
        <v>185.21253031371245</v>
      </c>
      <c r="BM15">
        <f t="shared" si="5"/>
        <v>200.64690783985517</v>
      </c>
      <c r="BP15">
        <v>-13.794158740287207</v>
      </c>
      <c r="BQ15">
        <v>2.5137718748746601E-14</v>
      </c>
      <c r="BR15">
        <v>180.47853482745029</v>
      </c>
      <c r="BS15">
        <f t="shared" si="6"/>
        <v>-180.47853482745029</v>
      </c>
      <c r="BT15">
        <v>-15.326843044763564</v>
      </c>
      <c r="BU15">
        <v>2.7930798609718443E-14</v>
      </c>
      <c r="BV15">
        <v>200.53170536383365</v>
      </c>
      <c r="BW15">
        <f t="shared" si="7"/>
        <v>-200.53170536383365</v>
      </c>
    </row>
    <row r="16" spans="1:102" x14ac:dyDescent="0.25">
      <c r="A16" s="2" t="s">
        <v>15</v>
      </c>
      <c r="B16">
        <f>IF(B11&lt;0,0,ATAN2(F12,G12))</f>
        <v>0.60738376611547074</v>
      </c>
      <c r="C16" t="s">
        <v>17</v>
      </c>
      <c r="E16" s="1" t="s">
        <v>46</v>
      </c>
      <c r="F16" s="1" t="s">
        <v>47</v>
      </c>
      <c r="I16" s="1" t="s">
        <v>73</v>
      </c>
      <c r="J16" s="4">
        <f ca="1">((((PI()*B3*B3)-C109)*B9)+(C35*C109))*IF(B1="Spiral",0.85,0.8)*IF(B1="Spiral",0.75,0.65)</f>
        <v>1040.0152014705741</v>
      </c>
      <c r="K16" s="1">
        <f ca="1">J16/IF(B1="Spiral",0.75,0.65)</f>
        <v>1600.0233868778062</v>
      </c>
      <c r="L16">
        <f ca="1">J16/IF(B1="Spiral",0.85,0.8)</f>
        <v>1300.0190018382175</v>
      </c>
      <c r="AJ16">
        <v>1.2217304763960304</v>
      </c>
      <c r="AK16">
        <v>64.818896396465462</v>
      </c>
      <c r="AL16">
        <v>-181.67273775482417</v>
      </c>
      <c r="AM16">
        <v>72.020995996072728</v>
      </c>
      <c r="AN16">
        <v>-201.85859750536019</v>
      </c>
      <c r="AQ16">
        <v>14</v>
      </c>
      <c r="AR16">
        <f t="shared" si="2"/>
        <v>11.643548715311958</v>
      </c>
      <c r="AS16">
        <f t="shared" si="3"/>
        <v>2.9030627471960129</v>
      </c>
      <c r="AV16">
        <v>16.516282550642913</v>
      </c>
      <c r="AW16">
        <v>140.67771904225913</v>
      </c>
      <c r="AX16">
        <v>140.67771904225916</v>
      </c>
      <c r="AY16">
        <f t="shared" si="0"/>
        <v>198.94833819327468</v>
      </c>
      <c r="AZ16">
        <v>18.351425056269903</v>
      </c>
      <c r="BA16">
        <v>156.30857671362125</v>
      </c>
      <c r="BB16">
        <v>156.30857671362128</v>
      </c>
      <c r="BC16">
        <f t="shared" si="1"/>
        <v>221.05370910363854</v>
      </c>
      <c r="BF16">
        <v>6.1015560831438824</v>
      </c>
      <c r="BG16">
        <v>75.75165182855207</v>
      </c>
      <c r="BH16">
        <v>181.80396438852492</v>
      </c>
      <c r="BI16">
        <f t="shared" si="4"/>
        <v>196.95429475423532</v>
      </c>
      <c r="BJ16">
        <v>6.7795067590487577</v>
      </c>
      <c r="BK16">
        <v>84.168502031724515</v>
      </c>
      <c r="BL16">
        <v>202.00440487613878</v>
      </c>
      <c r="BM16">
        <f t="shared" si="5"/>
        <v>218.8381052824837</v>
      </c>
      <c r="BP16">
        <v>16.516282550642938</v>
      </c>
      <c r="BQ16">
        <v>7.9238060426458036E-15</v>
      </c>
      <c r="BR16">
        <v>198.94833819327468</v>
      </c>
      <c r="BS16">
        <f t="shared" si="6"/>
        <v>-198.94833819327468</v>
      </c>
      <c r="BT16">
        <v>18.351425056269932</v>
      </c>
      <c r="BU16">
        <v>8.8042289362731151E-15</v>
      </c>
      <c r="BV16">
        <v>221.05370910363854</v>
      </c>
      <c r="BW16">
        <f t="shared" si="7"/>
        <v>-221.05370910363854</v>
      </c>
    </row>
    <row r="17" spans="1:75" x14ac:dyDescent="0.25">
      <c r="A17" s="2" t="s">
        <v>16</v>
      </c>
      <c r="B17">
        <f>IF(B11&lt;0,0,IF(AND(B16&lt;0,ATAN2(F13,G13)&lt;0),(2*PI())+ATAN2(F13,G13),ATAN2(F13,G13)))</f>
        <v>2.5342088874743225</v>
      </c>
      <c r="C17" t="s">
        <v>17</v>
      </c>
      <c r="E17" s="7">
        <f>IF(B2="Whitney",F12*COS($B$10)-G12*SIN($B$10),NA())</f>
        <v>2.1249083889176781</v>
      </c>
      <c r="F17" s="7">
        <f>F12*SIN($B$10)+G12*COS($B$10)</f>
        <v>11.810366816433234</v>
      </c>
      <c r="G17" s="7">
        <f>F14*COS($B$10)-G14*SIN($B$10)</f>
        <v>3.3753720762956672</v>
      </c>
      <c r="H17" s="7">
        <f>F14*SIN($B$10)+G14*COS($B$10)</f>
        <v>11.51550534481937</v>
      </c>
      <c r="I17" s="1" t="s">
        <v>74</v>
      </c>
      <c r="J17" s="4">
        <f ca="1">-1*C109*C35*0.9</f>
        <v>-259.2</v>
      </c>
      <c r="K17" s="1">
        <f ca="1">J17/0.9</f>
        <v>-288</v>
      </c>
      <c r="AJ17">
        <v>1.3089969389957468</v>
      </c>
      <c r="AK17">
        <v>48.339309414666495</v>
      </c>
      <c r="AL17">
        <v>-184.91356023285428</v>
      </c>
      <c r="AM17">
        <v>53.710343794073879</v>
      </c>
      <c r="AN17">
        <v>-205.45951136983808</v>
      </c>
      <c r="AQ17">
        <v>15</v>
      </c>
      <c r="AR17">
        <f t="shared" si="2"/>
        <v>11.59110991546882</v>
      </c>
      <c r="AS17">
        <f t="shared" si="3"/>
        <v>3.1058285412302489</v>
      </c>
      <c r="AV17">
        <v>45.85314305443891</v>
      </c>
      <c r="AW17">
        <v>153.07209057420576</v>
      </c>
      <c r="AX17">
        <v>153.07209057420576</v>
      </c>
      <c r="AY17">
        <f t="shared" si="0"/>
        <v>216.4766265108446</v>
      </c>
      <c r="AZ17">
        <v>50.947936727154342</v>
      </c>
      <c r="BA17">
        <v>170.0801006380064</v>
      </c>
      <c r="BB17">
        <v>170.0801006380064</v>
      </c>
      <c r="BC17">
        <f t="shared" si="1"/>
        <v>240.52958501204955</v>
      </c>
      <c r="BF17">
        <v>35.203796253471531</v>
      </c>
      <c r="BG17">
        <v>81.631767003695899</v>
      </c>
      <c r="BH17">
        <v>195.9162407746287</v>
      </c>
      <c r="BI17">
        <f t="shared" si="4"/>
        <v>212.24259417800187</v>
      </c>
      <c r="BJ17">
        <v>39.115329170523921</v>
      </c>
      <c r="BK17">
        <v>90.701963337439892</v>
      </c>
      <c r="BL17">
        <v>217.68471197180966</v>
      </c>
      <c r="BM17">
        <f t="shared" si="5"/>
        <v>235.82510464222426</v>
      </c>
      <c r="BP17">
        <v>45.853143054438881</v>
      </c>
      <c r="BQ17">
        <v>-9.3477814487871038E-15</v>
      </c>
      <c r="BR17">
        <v>216.4766265108446</v>
      </c>
      <c r="BS17">
        <f t="shared" si="6"/>
        <v>-216.4766265108446</v>
      </c>
      <c r="BT17">
        <v>50.947936727154314</v>
      </c>
      <c r="BU17">
        <v>-1.0386423831985671E-14</v>
      </c>
      <c r="BV17">
        <v>240.52958501204955</v>
      </c>
      <c r="BW17">
        <f t="shared" si="7"/>
        <v>-240.52958501204955</v>
      </c>
    </row>
    <row r="18" spans="1:75" x14ac:dyDescent="0.25">
      <c r="C18" s="1"/>
      <c r="D18" s="1"/>
      <c r="E18" s="7">
        <f>IF(B2="Whitney",F13*COS($B$10)-G13*SIN($B$10),NA())</f>
        <v>-11.810366816433234</v>
      </c>
      <c r="F18" s="7">
        <f>F13*SIN($B$10)+G13*COS($B$10)</f>
        <v>-2.1249083889176772</v>
      </c>
      <c r="G18" s="7">
        <f>F15*COS($B$10)-G15*SIN($B$10)</f>
        <v>-11.51550534481937</v>
      </c>
      <c r="H18" s="7">
        <f>F15*SIN($B$10)+G15*COS($B$10)</f>
        <v>-3.3753720762956654</v>
      </c>
      <c r="AJ18">
        <v>1.3962634015954631</v>
      </c>
      <c r="AK18">
        <v>32.183691628697375</v>
      </c>
      <c r="AL18">
        <v>-187.17108586502246</v>
      </c>
      <c r="AM18">
        <v>35.759657365219304</v>
      </c>
      <c r="AN18">
        <v>-207.96787318335828</v>
      </c>
      <c r="AQ18">
        <v>16</v>
      </c>
      <c r="AR18">
        <f t="shared" si="2"/>
        <v>11.535140351259827</v>
      </c>
      <c r="AS18">
        <f t="shared" si="3"/>
        <v>3.3076482698039902</v>
      </c>
      <c r="AV18">
        <v>74.46506156224396</v>
      </c>
      <c r="AW18">
        <v>164.87253582354504</v>
      </c>
      <c r="AX18">
        <v>164.87253582354506</v>
      </c>
      <c r="AY18">
        <f t="shared" si="0"/>
        <v>233.1649762245014</v>
      </c>
      <c r="AZ18">
        <v>82.738957291382178</v>
      </c>
      <c r="BA18">
        <v>183.1917064706056</v>
      </c>
      <c r="BB18">
        <v>183.19170647060562</v>
      </c>
      <c r="BC18">
        <f t="shared" si="1"/>
        <v>259.07219580500151</v>
      </c>
      <c r="BF18">
        <v>69.312608553190316</v>
      </c>
      <c r="BG18">
        <v>88.382314142569172</v>
      </c>
      <c r="BH18">
        <v>212.11755391602713</v>
      </c>
      <c r="BI18">
        <f t="shared" si="4"/>
        <v>229.79401674655165</v>
      </c>
      <c r="BJ18">
        <v>77.014009503544798</v>
      </c>
      <c r="BK18">
        <v>98.2025712695213</v>
      </c>
      <c r="BL18">
        <v>235.68617101780791</v>
      </c>
      <c r="BM18">
        <f t="shared" si="5"/>
        <v>255.32668527394625</v>
      </c>
      <c r="BP18">
        <v>74.46506156224396</v>
      </c>
      <c r="BQ18">
        <v>-8.3254961554540384E-15</v>
      </c>
      <c r="BR18">
        <v>233.16497622450137</v>
      </c>
      <c r="BS18">
        <f t="shared" si="6"/>
        <v>-233.16497622450137</v>
      </c>
      <c r="BT18">
        <v>82.738957291382178</v>
      </c>
      <c r="BU18">
        <v>-9.2505512838378195E-15</v>
      </c>
      <c r="BV18">
        <v>259.07219580500151</v>
      </c>
      <c r="BW18">
        <f t="shared" si="7"/>
        <v>-259.07219580500151</v>
      </c>
    </row>
    <row r="19" spans="1:75" x14ac:dyDescent="0.25">
      <c r="A19" t="s">
        <v>137</v>
      </c>
      <c r="C19" s="1">
        <f ca="1">IF(B2="Whitney",((B13*B3)-(B13*MIN(J37:J108)))/(B13-(C35/F35)),MAX(((B13*B3)-(B13*MIN(J37:J108)))/(B13-(C35/F35)),((B13*B3)-(B13*(-1*B3)))/(B13-B128)))</f>
        <v>65.048611111111114</v>
      </c>
      <c r="D19" t="s">
        <v>0</v>
      </c>
      <c r="L19">
        <f>IF(B16=0,(($B$3*$B$3*B16)/2),(($F$11*$F$11)/(2*TAN(B16)))+(($B$3*$B$3*B16)/2))</f>
        <v>77.474013329667542</v>
      </c>
      <c r="M19">
        <f>IF(B16=0,-1*POWER($B$3,3)*COS(B16)*(1/3),(POWER($F$11,3)/(3*TAN(B16)))-(POWER($B$3,3)*COS(B16)*(1/3)))</f>
        <v>-318.91900584115047</v>
      </c>
      <c r="N19">
        <f>IF(B16=0,POWER($B$3,3)*SIN(B16)*(1/3),(POWER($F$11,3)/(6*POWER(SIN(B16),2)))+(POWER($B$3,3)*SIN(B16)*(1/3)))</f>
        <v>493.10303997575841</v>
      </c>
      <c r="AJ19">
        <v>1.4835298641951795</v>
      </c>
      <c r="AK19">
        <v>16.076006467337677</v>
      </c>
      <c r="AL19">
        <v>-188.49016311963044</v>
      </c>
      <c r="AM19">
        <v>17.862229408152974</v>
      </c>
      <c r="AN19">
        <v>-209.43351457736713</v>
      </c>
      <c r="AQ19">
        <v>17</v>
      </c>
      <c r="AR19">
        <f t="shared" si="2"/>
        <v>11.475657071556425</v>
      </c>
      <c r="AS19">
        <f t="shared" si="3"/>
        <v>3.5084604566728412</v>
      </c>
      <c r="AV19">
        <v>102.53655308780843</v>
      </c>
      <c r="AW19">
        <v>176.12884998825774</v>
      </c>
      <c r="AX19">
        <v>176.1288499882578</v>
      </c>
      <c r="AY19">
        <f t="shared" si="0"/>
        <v>249.08380837857047</v>
      </c>
      <c r="AZ19">
        <v>113.92950343089825</v>
      </c>
      <c r="BA19">
        <v>195.69872220917526</v>
      </c>
      <c r="BB19">
        <v>195.69872220917532</v>
      </c>
      <c r="BC19">
        <f t="shared" si="1"/>
        <v>276.75978708730048</v>
      </c>
      <c r="BF19">
        <v>102.2343742799994</v>
      </c>
      <c r="BG19">
        <v>94.797853483930766</v>
      </c>
      <c r="BH19">
        <v>227.51484832993944</v>
      </c>
      <c r="BI19">
        <f t="shared" si="4"/>
        <v>246.47441902914824</v>
      </c>
      <c r="BJ19">
        <v>113.59374919999934</v>
      </c>
      <c r="BK19">
        <v>105.33094831547862</v>
      </c>
      <c r="BL19">
        <v>252.79427592215492</v>
      </c>
      <c r="BM19">
        <f t="shared" si="5"/>
        <v>273.86046558794249</v>
      </c>
      <c r="BP19">
        <v>102.53655308780843</v>
      </c>
      <c r="BQ19">
        <v>6.7317193197668172E-15</v>
      </c>
      <c r="BR19">
        <v>249.08380837857044</v>
      </c>
      <c r="BS19">
        <f t="shared" si="6"/>
        <v>-249.08380837857044</v>
      </c>
      <c r="BT19">
        <v>113.92950343089825</v>
      </c>
      <c r="BU19">
        <v>7.4796881330742408E-15</v>
      </c>
      <c r="BV19">
        <v>276.75978708730048</v>
      </c>
      <c r="BW19">
        <f t="shared" si="7"/>
        <v>-276.75978708730048</v>
      </c>
    </row>
    <row r="20" spans="1:75" x14ac:dyDescent="0.25">
      <c r="L20">
        <f>IF(B17=0,(($B$3*$B$3*B17)/2),(($F$11*$F$11)/(2*TAN(B17)))+(($B$3*$B$3*B17)/2))</f>
        <v>148.72065772879756</v>
      </c>
      <c r="M20">
        <f>IF(B17=0,-1*POWER($B$3,3)*COS(B17)*(1/3),(POWER($F$11,3)/(3*TAN(B17)))-(POWER($B$3,3)*COS(B17)*(1/3)))</f>
        <v>318.91900584115047</v>
      </c>
      <c r="N20">
        <f>IF(B17=0,POWER($B$3,3)*SIN(B17)*(1/3),(POWER($F$11,3)/(6*POWER(SIN(B17),2)))+(POWER($B$3,3)*SIN(B17)*(1/3)))</f>
        <v>493.10303997575841</v>
      </c>
      <c r="AJ20">
        <v>1.5707963267948959</v>
      </c>
      <c r="AK20">
        <v>1.3315810932251124E-13</v>
      </c>
      <c r="AL20">
        <v>-188.92359248855291</v>
      </c>
      <c r="AM20">
        <v>1.4795345480279026E-13</v>
      </c>
      <c r="AN20">
        <v>-209.91510276505878</v>
      </c>
      <c r="AQ20">
        <v>18</v>
      </c>
      <c r="AR20">
        <f t="shared" si="2"/>
        <v>11.412678195541842</v>
      </c>
      <c r="AS20">
        <f t="shared" si="3"/>
        <v>3.7082039324993685</v>
      </c>
      <c r="AV20">
        <v>130.20614336964104</v>
      </c>
      <c r="AW20">
        <v>186.87539395319027</v>
      </c>
      <c r="AX20">
        <v>186.87539395319033</v>
      </c>
      <c r="AY20">
        <f t="shared" si="0"/>
        <v>264.28171660241679</v>
      </c>
      <c r="AZ20">
        <v>144.67349263293448</v>
      </c>
      <c r="BA20">
        <v>207.63932661465586</v>
      </c>
      <c r="BB20">
        <v>207.63932661465591</v>
      </c>
      <c r="BC20">
        <f t="shared" si="1"/>
        <v>293.64635178046308</v>
      </c>
      <c r="BF20">
        <v>134.21538537495806</v>
      </c>
      <c r="BG20">
        <v>100.90357718279505</v>
      </c>
      <c r="BH20">
        <v>242.16858519225661</v>
      </c>
      <c r="BI20">
        <f t="shared" si="4"/>
        <v>262.3493006323888</v>
      </c>
      <c r="BJ20">
        <v>149.12820597217561</v>
      </c>
      <c r="BK20">
        <v>112.11508575866117</v>
      </c>
      <c r="BL20">
        <v>269.07620576917401</v>
      </c>
      <c r="BM20">
        <f t="shared" si="5"/>
        <v>291.49922292487645</v>
      </c>
      <c r="BP20">
        <v>130.20614336964104</v>
      </c>
      <c r="BQ20">
        <v>2.600802926758732E-14</v>
      </c>
      <c r="BR20">
        <v>264.28171660241685</v>
      </c>
      <c r="BS20">
        <f t="shared" si="6"/>
        <v>-264.28171660241685</v>
      </c>
      <c r="BT20">
        <v>144.67349263293448</v>
      </c>
      <c r="BU20">
        <v>2.8897810297319244E-14</v>
      </c>
      <c r="BV20">
        <v>293.64635178046314</v>
      </c>
      <c r="BW20">
        <f t="shared" si="7"/>
        <v>-293.64635178046314</v>
      </c>
    </row>
    <row r="21" spans="1:75" x14ac:dyDescent="0.25">
      <c r="L21">
        <f>L20-L19</f>
        <v>71.24664439913002</v>
      </c>
      <c r="M21">
        <f>M20-M19</f>
        <v>637.83801168230093</v>
      </c>
      <c r="N21">
        <f>N20-N19</f>
        <v>0</v>
      </c>
      <c r="AJ21">
        <v>1.6580627893946123</v>
      </c>
      <c r="AK21">
        <v>-16.076006467337368</v>
      </c>
      <c r="AL21">
        <v>-188.49016311963047</v>
      </c>
      <c r="AM21">
        <v>-17.862229408152633</v>
      </c>
      <c r="AN21">
        <v>-209.43351457736719</v>
      </c>
      <c r="AQ21">
        <v>19</v>
      </c>
      <c r="AR21">
        <f t="shared" si="2"/>
        <v>11.346222907191802</v>
      </c>
      <c r="AS21">
        <f t="shared" si="3"/>
        <v>3.9068178534858804</v>
      </c>
      <c r="AV21">
        <v>157.57872961683347</v>
      </c>
      <c r="AW21">
        <v>197.13556402272357</v>
      </c>
      <c r="AX21">
        <v>197.13556402272363</v>
      </c>
      <c r="AY21">
        <f t="shared" si="0"/>
        <v>278.7917882670053</v>
      </c>
      <c r="AZ21">
        <v>175.08747735203718</v>
      </c>
      <c r="BA21">
        <v>219.03951558080396</v>
      </c>
      <c r="BB21">
        <v>219.03951558080402</v>
      </c>
      <c r="BC21">
        <f t="shared" si="1"/>
        <v>309.76865363000587</v>
      </c>
      <c r="BF21">
        <v>165.44561474398162</v>
      </c>
      <c r="BG21">
        <v>106.71734638777689</v>
      </c>
      <c r="BH21">
        <v>256.12163133066463</v>
      </c>
      <c r="BI21">
        <f t="shared" si="4"/>
        <v>277.46510060822004</v>
      </c>
      <c r="BJ21">
        <v>183.82846082664625</v>
      </c>
      <c r="BK21">
        <v>118.5748293197521</v>
      </c>
      <c r="BL21">
        <v>284.57959036740516</v>
      </c>
      <c r="BM21">
        <f t="shared" si="5"/>
        <v>308.29455623135556</v>
      </c>
      <c r="BP21">
        <v>157.57872961683347</v>
      </c>
      <c r="BQ21">
        <v>-9.793771656200656E-15</v>
      </c>
      <c r="BR21">
        <v>278.7917882670053</v>
      </c>
      <c r="BS21">
        <f t="shared" si="6"/>
        <v>-278.7917882670053</v>
      </c>
      <c r="BT21">
        <v>175.08747735203718</v>
      </c>
      <c r="BU21">
        <v>-1.0881968506889617E-14</v>
      </c>
      <c r="BV21">
        <v>309.76865363000587</v>
      </c>
      <c r="BW21">
        <f t="shared" si="7"/>
        <v>-309.76865363000587</v>
      </c>
    </row>
    <row r="22" spans="1:75" x14ac:dyDescent="0.25">
      <c r="A22" s="35" t="s">
        <v>71</v>
      </c>
      <c r="L22">
        <f>L21*B9</f>
        <v>272.51841482667231</v>
      </c>
      <c r="M22">
        <f>M21*B9</f>
        <v>2439.730394684801</v>
      </c>
      <c r="N22">
        <f>N21*B9</f>
        <v>0</v>
      </c>
      <c r="AJ22">
        <v>1.7453292519943286</v>
      </c>
      <c r="AK22">
        <v>-32.183691628697055</v>
      </c>
      <c r="AL22">
        <v>-187.17108586502246</v>
      </c>
      <c r="AM22">
        <v>-35.759657365218949</v>
      </c>
      <c r="AN22">
        <v>-207.96787318335828</v>
      </c>
      <c r="AQ22">
        <v>20</v>
      </c>
      <c r="AR22">
        <f t="shared" si="2"/>
        <v>11.276311449430901</v>
      </c>
      <c r="AS22">
        <f t="shared" si="3"/>
        <v>4.1042417199080248</v>
      </c>
      <c r="AV22">
        <v>190.8235092371095</v>
      </c>
      <c r="AW22">
        <v>206.92488714536452</v>
      </c>
      <c r="AX22">
        <v>206.92488714536449</v>
      </c>
      <c r="AY22">
        <f t="shared" si="0"/>
        <v>292.63598179349663</v>
      </c>
      <c r="AZ22">
        <v>212.02612137456612</v>
      </c>
      <c r="BA22">
        <v>229.91654127262723</v>
      </c>
      <c r="BB22">
        <v>229.9165412726272</v>
      </c>
      <c r="BC22">
        <f t="shared" si="1"/>
        <v>325.15109088166287</v>
      </c>
      <c r="BF22">
        <v>195.16285798219579</v>
      </c>
      <c r="BG22">
        <v>111.7306556041851</v>
      </c>
      <c r="BH22">
        <v>268.15357345004412</v>
      </c>
      <c r="BI22">
        <f t="shared" si="4"/>
        <v>290.49970457088114</v>
      </c>
      <c r="BJ22">
        <v>217.85889697079494</v>
      </c>
      <c r="BK22">
        <v>124.72412855304748</v>
      </c>
      <c r="BL22">
        <v>299.3379085273138</v>
      </c>
      <c r="BM22">
        <f t="shared" si="5"/>
        <v>324.28273423792331</v>
      </c>
      <c r="BP22">
        <v>190.8235092371095</v>
      </c>
      <c r="BQ22">
        <v>2.709878867670151E-14</v>
      </c>
      <c r="BR22">
        <v>292.63598179349657</v>
      </c>
      <c r="BS22">
        <f t="shared" si="6"/>
        <v>-292.63598179349657</v>
      </c>
      <c r="BT22">
        <v>212.02612137456612</v>
      </c>
      <c r="BU22">
        <v>3.0109765196335011E-14</v>
      </c>
      <c r="BV22">
        <v>325.15109088166287</v>
      </c>
      <c r="BW22">
        <f t="shared" si="7"/>
        <v>-325.15109088166287</v>
      </c>
    </row>
    <row r="23" spans="1:75" x14ac:dyDescent="0.25">
      <c r="B23" s="1"/>
      <c r="C23" s="1"/>
      <c r="D23" s="1"/>
      <c r="E23" s="1"/>
      <c r="F23" s="1"/>
      <c r="G23" s="1"/>
      <c r="H23" s="1" t="s">
        <v>34</v>
      </c>
      <c r="I23" s="1" t="s">
        <v>35</v>
      </c>
      <c r="J23" s="1" t="s">
        <v>36</v>
      </c>
      <c r="AJ23">
        <v>1.832595714594045</v>
      </c>
      <c r="AK23">
        <v>-48.339309414666161</v>
      </c>
      <c r="AL23">
        <v>-184.91356023285431</v>
      </c>
      <c r="AM23">
        <v>-53.710343794073509</v>
      </c>
      <c r="AN23">
        <v>-205.45951136983811</v>
      </c>
      <c r="AQ23">
        <v>21</v>
      </c>
      <c r="AR23">
        <f t="shared" si="2"/>
        <v>11.202965117966421</v>
      </c>
      <c r="AS23">
        <f t="shared" si="3"/>
        <v>4.3004153945436032</v>
      </c>
      <c r="AV23">
        <v>217.07281465177621</v>
      </c>
      <c r="AW23">
        <v>211.06343585989057</v>
      </c>
      <c r="AX23">
        <v>211.06343585989063</v>
      </c>
      <c r="AY23">
        <f t="shared" si="0"/>
        <v>298.48877351412114</v>
      </c>
      <c r="AZ23">
        <v>245.51216520204954</v>
      </c>
      <c r="BA23">
        <v>238.71547994654262</v>
      </c>
      <c r="BB23">
        <v>238.71547994654267</v>
      </c>
      <c r="BC23">
        <f t="shared" si="1"/>
        <v>337.59466928880323</v>
      </c>
      <c r="BF23">
        <v>217.23425037972029</v>
      </c>
      <c r="BG23">
        <v>112.85066789530758</v>
      </c>
      <c r="BH23">
        <v>270.84160290722787</v>
      </c>
      <c r="BI23">
        <f t="shared" si="4"/>
        <v>293.41173648948251</v>
      </c>
      <c r="BJ23">
        <v>251.34850773566671</v>
      </c>
      <c r="BK23">
        <v>130.57262804036563</v>
      </c>
      <c r="BL23">
        <v>313.37430724884842</v>
      </c>
      <c r="BM23">
        <f t="shared" si="5"/>
        <v>339.48883286061613</v>
      </c>
      <c r="BP23">
        <v>217.07281465177624</v>
      </c>
      <c r="BQ23">
        <v>3.6307165167224254E-14</v>
      </c>
      <c r="BR23">
        <v>298.48877351412119</v>
      </c>
      <c r="BS23">
        <f t="shared" si="6"/>
        <v>-298.48877351412119</v>
      </c>
      <c r="BT23">
        <v>245.51216520204957</v>
      </c>
      <c r="BU23">
        <v>4.106387410534607E-14</v>
      </c>
      <c r="BV23">
        <v>337.59466928880323</v>
      </c>
      <c r="BW23">
        <f t="shared" si="7"/>
        <v>-337.59466928880323</v>
      </c>
    </row>
    <row r="24" spans="1:75" x14ac:dyDescent="0.25">
      <c r="A24" s="1" t="s">
        <v>23</v>
      </c>
      <c r="B24" s="1"/>
      <c r="C24" s="1"/>
      <c r="D24" s="1"/>
      <c r="E24" s="1"/>
      <c r="F24" s="1"/>
      <c r="G24" s="1"/>
      <c r="H24" s="1">
        <f>IF(F11&lt;(-1*B3),B9*POWER(B3,2)*(2*PI())*(1/2),B9*POWER(B3,2)*(B17-B16)*(1/2))</f>
        <v>530.64763842222771</v>
      </c>
      <c r="I24" s="1">
        <f>IF(F11&lt;(-1*B3),0,(1/3)*B9*POWER(B3,3)*((COS(B16)-COS(B17))))</f>
        <v>3618.288773032491</v>
      </c>
      <c r="J24" s="1">
        <f>IF(F11&lt;(-1*B3),0,(1/3)*B9*POWER(B3,3)*((SIN(B17)-SIN(B16))))</f>
        <v>0</v>
      </c>
      <c r="L24">
        <f>(((POWER(B3,2)-POWER(F11,2))*TAN(B17))+((POWER(F11,2)-POWER(B3,2))*TAN(B16)))/(2*TAN(B16)*TAN(B17))</f>
        <v>139.70002145003005</v>
      </c>
      <c r="AJ24">
        <v>1.9198621771937614</v>
      </c>
      <c r="AK24">
        <v>-64.818896396465092</v>
      </c>
      <c r="AL24">
        <v>-181.67273775482417</v>
      </c>
      <c r="AM24">
        <v>-72.02099599607233</v>
      </c>
      <c r="AN24">
        <v>-201.85859750536019</v>
      </c>
      <c r="AQ24">
        <v>22</v>
      </c>
      <c r="AR24">
        <f t="shared" si="2"/>
        <v>11.126206254801449</v>
      </c>
      <c r="AS24">
        <f t="shared" si="3"/>
        <v>4.4952791209909444</v>
      </c>
      <c r="AV24">
        <v>241.61838913079376</v>
      </c>
      <c r="AW24">
        <v>212.42762500789462</v>
      </c>
      <c r="AX24">
        <v>212.42762496668394</v>
      </c>
      <c r="AY24">
        <f t="shared" si="0"/>
        <v>300.41802827973027</v>
      </c>
      <c r="AZ24">
        <v>282.73228995653983</v>
      </c>
      <c r="BA24">
        <v>248.57441142859034</v>
      </c>
      <c r="BB24">
        <v>248.57441138036722</v>
      </c>
      <c r="BC24">
        <f t="shared" si="1"/>
        <v>351.53730386712323</v>
      </c>
      <c r="BF24">
        <v>237.64281009786396</v>
      </c>
      <c r="BG24">
        <v>113.74705078377966</v>
      </c>
      <c r="BH24">
        <v>272.99292188107108</v>
      </c>
      <c r="BI24">
        <f t="shared" si="4"/>
        <v>295.742332037827</v>
      </c>
      <c r="BJ24">
        <v>284.39909403747748</v>
      </c>
      <c r="BK24">
        <v>136.1268122482644</v>
      </c>
      <c r="BL24">
        <v>326.70434939583441</v>
      </c>
      <c r="BM24">
        <f t="shared" si="5"/>
        <v>353.9297118454873</v>
      </c>
      <c r="BP24">
        <v>241.61838913079376</v>
      </c>
      <c r="BQ24">
        <v>-9.7505845182677214E-15</v>
      </c>
      <c r="BR24">
        <v>300.41802827973027</v>
      </c>
      <c r="BS24">
        <f t="shared" si="6"/>
        <v>-300.41802827973027</v>
      </c>
      <c r="BT24">
        <v>282.73228995653983</v>
      </c>
      <c r="BU24">
        <v>-1.1409748650266406E-14</v>
      </c>
      <c r="BV24">
        <v>351.53730386712323</v>
      </c>
      <c r="BW24">
        <f t="shared" si="7"/>
        <v>-351.53730386712323</v>
      </c>
    </row>
    <row r="25" spans="1:75" x14ac:dyDescent="0.25">
      <c r="A25" s="1" t="s">
        <v>24</v>
      </c>
      <c r="B25" s="1" t="s">
        <v>28</v>
      </c>
      <c r="C25" s="1" t="s">
        <v>29</v>
      </c>
      <c r="D25" s="1" t="s">
        <v>30</v>
      </c>
      <c r="E25" s="1" t="s">
        <v>31</v>
      </c>
      <c r="F25" s="1" t="s">
        <v>32</v>
      </c>
      <c r="G25" s="1" t="s">
        <v>33</v>
      </c>
      <c r="H25" s="1" t="s">
        <v>34</v>
      </c>
      <c r="I25" s="1" t="s">
        <v>35</v>
      </c>
      <c r="J25" s="1" t="s">
        <v>36</v>
      </c>
      <c r="L25">
        <f>B9*L24</f>
        <v>534.35258204636489</v>
      </c>
      <c r="AJ25">
        <v>2.007128639793478</v>
      </c>
      <c r="AK25">
        <v>-82.628143632192348</v>
      </c>
      <c r="AL25">
        <v>-174.29590601413054</v>
      </c>
      <c r="AM25">
        <v>-91.809048480213718</v>
      </c>
      <c r="AN25">
        <v>-193.66211779347836</v>
      </c>
      <c r="AQ25">
        <v>23</v>
      </c>
      <c r="AR25">
        <f t="shared" si="2"/>
        <v>11.046058241429284</v>
      </c>
      <c r="AS25">
        <f t="shared" si="3"/>
        <v>4.688773541871285</v>
      </c>
      <c r="AV25">
        <v>264.18831770058159</v>
      </c>
      <c r="AW25">
        <v>213.45710122338113</v>
      </c>
      <c r="AX25">
        <v>213.45710122338113</v>
      </c>
      <c r="AY25">
        <f t="shared" si="0"/>
        <v>301.8739275349522</v>
      </c>
      <c r="AZ25">
        <v>319.2315123338505</v>
      </c>
      <c r="BA25">
        <v>257.93053165647137</v>
      </c>
      <c r="BB25">
        <v>257.93053165647137</v>
      </c>
      <c r="BC25">
        <f t="shared" si="1"/>
        <v>364.76885601868474</v>
      </c>
      <c r="BF25">
        <v>256.65733653884956</v>
      </c>
      <c r="BG25">
        <v>114.44336895783739</v>
      </c>
      <c r="BH25">
        <v>274.66408549880964</v>
      </c>
      <c r="BI25">
        <f t="shared" si="4"/>
        <v>297.55275929037714</v>
      </c>
      <c r="BJ25">
        <v>317.09130208083718</v>
      </c>
      <c r="BK25">
        <v>141.39084183890199</v>
      </c>
      <c r="BL25">
        <v>339.33802041336463</v>
      </c>
      <c r="BM25">
        <f t="shared" si="5"/>
        <v>367.61618878114507</v>
      </c>
      <c r="BP25">
        <v>264.18831770058159</v>
      </c>
      <c r="BQ25">
        <v>8.0973976027590992E-15</v>
      </c>
      <c r="BR25">
        <v>301.87392753495226</v>
      </c>
      <c r="BS25">
        <f t="shared" si="6"/>
        <v>-301.87392753495226</v>
      </c>
      <c r="BT25">
        <v>319.2315123338505</v>
      </c>
      <c r="BU25">
        <v>9.7844768655778924E-15</v>
      </c>
      <c r="BV25">
        <v>364.76885601868486</v>
      </c>
      <c r="BW25">
        <f t="shared" si="7"/>
        <v>-364.76885601868486</v>
      </c>
    </row>
    <row r="26" spans="1:75" x14ac:dyDescent="0.25">
      <c r="A26" s="1" t="s">
        <v>25</v>
      </c>
      <c r="B26" s="1">
        <v>0</v>
      </c>
      <c r="C26" s="1">
        <v>0</v>
      </c>
      <c r="D26" s="9">
        <f>F12</f>
        <v>9.8537275954043881</v>
      </c>
      <c r="E26" s="9">
        <f>G12</f>
        <v>6.848653332996645</v>
      </c>
      <c r="F26" s="7">
        <f>IF(AND(C26=0,E26=0,B26=0,D26=0),0,$B$9)</f>
        <v>3.8249999999999997</v>
      </c>
      <c r="G26" s="7">
        <f>IF(AND(C26=0,E26=0,B26=0,D26=0),0,$B$9)</f>
        <v>3.8249999999999997</v>
      </c>
      <c r="H26" s="7">
        <f>(1/6)*(E26-C26)*((F26*((2*B26)+D26))+(G26*(B26+(2*D26))))</f>
        <v>129.06461179777764</v>
      </c>
      <c r="I26" s="7">
        <f>((1/12)*(E26-C26)*(F26*B26*((3*C26)+E26)+F26*D26*(C26+E26)+G26*B26*(C26+E26)+G26*D26*(C26+(3*E26))))</f>
        <v>589.27918917384534</v>
      </c>
      <c r="J26" s="7">
        <f t="shared" ref="J26" si="8">((-1/24)*(E26-C26)*(B26*B26*((3*F26)+G26)+2*B26*D26*(F26+G26)+D26*D26*(F26+(3*G26))))</f>
        <v>-423.92250895397211</v>
      </c>
      <c r="AJ26">
        <v>2.0943951023931944</v>
      </c>
      <c r="AK26">
        <v>-96.572578889012888</v>
      </c>
      <c r="AL26">
        <v>-164.93468585898393</v>
      </c>
      <c r="AM26">
        <v>-107.30286543223654</v>
      </c>
      <c r="AN26">
        <v>-183.2607620655377</v>
      </c>
      <c r="AQ26">
        <v>24</v>
      </c>
      <c r="AR26">
        <f t="shared" si="2"/>
        <v>10.962545491711211</v>
      </c>
      <c r="AS26">
        <f t="shared" si="3"/>
        <v>4.8808397169096027</v>
      </c>
      <c r="AV26">
        <v>285.09626220200931</v>
      </c>
      <c r="AW26">
        <v>214.17958636007944</v>
      </c>
      <c r="AX26">
        <v>214.1795863600795</v>
      </c>
      <c r="AY26">
        <f t="shared" si="0"/>
        <v>302.89567581388394</v>
      </c>
      <c r="AZ26">
        <v>355.11914459066111</v>
      </c>
      <c r="BA26">
        <v>266.78452712606975</v>
      </c>
      <c r="BB26">
        <v>266.7845271260698</v>
      </c>
      <c r="BC26">
        <f t="shared" si="1"/>
        <v>377.29029649298076</v>
      </c>
      <c r="BF26">
        <v>274.4918907817667</v>
      </c>
      <c r="BG26">
        <v>114.95808597153248</v>
      </c>
      <c r="BH26">
        <v>275.89940633167799</v>
      </c>
      <c r="BI26">
        <f t="shared" si="4"/>
        <v>298.89102352598451</v>
      </c>
      <c r="BJ26">
        <v>349.48913415216077</v>
      </c>
      <c r="BK26">
        <v>146.36717250755774</v>
      </c>
      <c r="BL26">
        <v>351.2812140181386</v>
      </c>
      <c r="BM26">
        <f t="shared" si="5"/>
        <v>380.55464851965013</v>
      </c>
      <c r="BP26">
        <v>285.09626220200931</v>
      </c>
      <c r="BQ26">
        <v>2.4835356850204763E-14</v>
      </c>
      <c r="BR26">
        <v>302.89567581388394</v>
      </c>
      <c r="BS26">
        <f t="shared" si="6"/>
        <v>-302.89567581388394</v>
      </c>
      <c r="BT26">
        <v>355.11914459066111</v>
      </c>
      <c r="BU26">
        <v>3.0935202770211461E-14</v>
      </c>
      <c r="BV26">
        <v>377.2902964929807</v>
      </c>
      <c r="BW26">
        <f t="shared" si="7"/>
        <v>-377.2902964929807</v>
      </c>
    </row>
    <row r="27" spans="1:75" x14ac:dyDescent="0.25">
      <c r="A27" s="1" t="s">
        <v>27</v>
      </c>
      <c r="B27" s="9">
        <f>D26</f>
        <v>9.8537275954043881</v>
      </c>
      <c r="C27" s="9">
        <f>E26</f>
        <v>6.848653332996645</v>
      </c>
      <c r="D27" s="1">
        <f>F13</f>
        <v>-9.8537275954043881</v>
      </c>
      <c r="E27" s="9">
        <f>G13</f>
        <v>6.848653332996645</v>
      </c>
      <c r="F27" s="7">
        <f>IF(AND(C27=0,E27=0,B27=0,D27=0),0,$B$9)</f>
        <v>3.8249999999999997</v>
      </c>
      <c r="G27" s="7">
        <f>IF(AND(C27=0,E27=0,B27=0,D27=0),0,$B$9)</f>
        <v>3.8249999999999997</v>
      </c>
      <c r="H27" s="7">
        <f t="shared" ref="H27:H28" si="9">(1/6)*(E27-C27)*((F27*((2*B27)+D27))+(G27*(B27+(2*D27))))</f>
        <v>0</v>
      </c>
      <c r="I27" s="7">
        <f t="shared" ref="I27:I28" si="10">((1/12)*(E27-C27)*(F27*B27*((3*C27)+E27)+F27*D27*(C27+E27)+G27*B27*(C27+E27)+G27*D27*(C27+(3*E27))))</f>
        <v>0</v>
      </c>
      <c r="J27" s="7">
        <f t="shared" ref="J27:J28" si="11">((-1/24)*(E27-C27)*(B27*B27*((3*F27)+G27)+2*B27*D27*(F27+G27)+D27*D27*(F27+(3*G27))))</f>
        <v>0</v>
      </c>
      <c r="AJ27">
        <v>2.1816615649929108</v>
      </c>
      <c r="AK27">
        <v>-109.59263746293816</v>
      </c>
      <c r="AL27">
        <v>-155.10725065147562</v>
      </c>
      <c r="AM27">
        <v>-121.7695971810424</v>
      </c>
      <c r="AN27">
        <v>-172.3413896127507</v>
      </c>
      <c r="AQ27">
        <v>25</v>
      </c>
      <c r="AR27">
        <f t="shared" si="2"/>
        <v>10.875693444439799</v>
      </c>
      <c r="AS27">
        <f t="shared" si="3"/>
        <v>5.0714191408883931</v>
      </c>
      <c r="AV27">
        <v>304.5938100980506</v>
      </c>
      <c r="AW27">
        <v>214.61709079009415</v>
      </c>
      <c r="AX27">
        <v>214.61709079009415</v>
      </c>
      <c r="AY27">
        <f t="shared" si="0"/>
        <v>303.514400512409</v>
      </c>
      <c r="AZ27">
        <v>390.48401998990886</v>
      </c>
      <c r="BA27">
        <v>275.13541507385861</v>
      </c>
      <c r="BB27">
        <v>275.13541507385861</v>
      </c>
      <c r="BC27">
        <f t="shared" si="1"/>
        <v>389.10023548660172</v>
      </c>
      <c r="BF27">
        <v>295.33903298694355</v>
      </c>
      <c r="BG27">
        <v>114.90677964681693</v>
      </c>
      <c r="BH27">
        <v>275.77627109605379</v>
      </c>
      <c r="BI27">
        <f t="shared" si="4"/>
        <v>298.75762702974851</v>
      </c>
      <c r="BJ27">
        <v>386.89806172476153</v>
      </c>
      <c r="BK27">
        <v>150.52940979309406</v>
      </c>
      <c r="BL27">
        <v>361.27058342966302</v>
      </c>
      <c r="BM27">
        <f t="shared" si="5"/>
        <v>391.37646539395593</v>
      </c>
      <c r="BP27">
        <v>304.5938100980506</v>
      </c>
      <c r="BQ27">
        <v>-1.6902772586321618E-14</v>
      </c>
      <c r="BR27">
        <v>303.51440051240905</v>
      </c>
      <c r="BS27">
        <f t="shared" si="6"/>
        <v>-303.51440051240905</v>
      </c>
      <c r="BT27">
        <v>390.48401998990886</v>
      </c>
      <c r="BU27">
        <v>-2.1669063420420231E-14</v>
      </c>
      <c r="BV27">
        <v>389.10023548660178</v>
      </c>
      <c r="BW27">
        <f t="shared" si="7"/>
        <v>-389.10023548660178</v>
      </c>
    </row>
    <row r="28" spans="1:75" ht="15.75" thickBot="1" x14ac:dyDescent="0.3">
      <c r="A28" s="1" t="s">
        <v>26</v>
      </c>
      <c r="B28" s="1">
        <f>D27</f>
        <v>-9.8537275954043881</v>
      </c>
      <c r="C28" s="9">
        <f>E27</f>
        <v>6.848653332996645</v>
      </c>
      <c r="D28" s="1">
        <v>0</v>
      </c>
      <c r="E28" s="1">
        <v>0</v>
      </c>
      <c r="F28" s="7">
        <f>IF(AND(C28=0,E28=0,B28=0,D28=0),0,$B$9)</f>
        <v>3.8249999999999997</v>
      </c>
      <c r="G28" s="7">
        <f>IF(AND(C28=0,E28=0,B28=0,D28=0),0,$B$9)</f>
        <v>3.8249999999999997</v>
      </c>
      <c r="H28" s="11">
        <f t="shared" si="9"/>
        <v>129.06461179777764</v>
      </c>
      <c r="I28" s="11">
        <f t="shared" si="10"/>
        <v>589.27918917384534</v>
      </c>
      <c r="J28" s="11">
        <f t="shared" si="11"/>
        <v>423.92250895397211</v>
      </c>
      <c r="AJ28">
        <v>2.2689280275926271</v>
      </c>
      <c r="AK28">
        <v>-121.91521934139581</v>
      </c>
      <c r="AL28">
        <v>-144.65012571630254</v>
      </c>
      <c r="AM28">
        <v>-135.46135482377312</v>
      </c>
      <c r="AN28">
        <v>-160.72236190700281</v>
      </c>
      <c r="AQ28">
        <v>26</v>
      </c>
      <c r="AR28">
        <f t="shared" si="2"/>
        <v>10.785528555590005</v>
      </c>
      <c r="AS28">
        <f t="shared" si="3"/>
        <v>5.2604537614689288</v>
      </c>
      <c r="AV28">
        <v>322.88453337989745</v>
      </c>
      <c r="AW28">
        <v>214.78733800317244</v>
      </c>
      <c r="AX28">
        <v>214.78733800317249</v>
      </c>
      <c r="AY28">
        <f t="shared" si="0"/>
        <v>303.75516643010059</v>
      </c>
      <c r="AZ28">
        <v>425.3985000946264</v>
      </c>
      <c r="BA28">
        <v>282.98107211708191</v>
      </c>
      <c r="BB28">
        <v>282.98107211708196</v>
      </c>
      <c r="BC28">
        <f t="shared" si="1"/>
        <v>400.19567008285617</v>
      </c>
      <c r="BF28">
        <v>316.08020581188481</v>
      </c>
      <c r="BG28">
        <v>114.61882469631186</v>
      </c>
      <c r="BH28">
        <v>275.08517922335483</v>
      </c>
      <c r="BI28">
        <f t="shared" si="4"/>
        <v>298.00894416629365</v>
      </c>
      <c r="BJ28">
        <v>425.43066911751151</v>
      </c>
      <c r="BK28">
        <v>154.27211950448944</v>
      </c>
      <c r="BL28">
        <v>370.2530867464464</v>
      </c>
      <c r="BM28">
        <f t="shared" si="5"/>
        <v>401.10751065229266</v>
      </c>
      <c r="BP28">
        <v>322.88453337989745</v>
      </c>
      <c r="BQ28">
        <v>1.3214121156350964E-14</v>
      </c>
      <c r="BR28">
        <v>303.75516643010059</v>
      </c>
      <c r="BS28">
        <f t="shared" si="6"/>
        <v>-303.75516643010059</v>
      </c>
      <c r="BT28">
        <v>425.3985000946264</v>
      </c>
      <c r="BU28">
        <v>1.7409527985555551E-14</v>
      </c>
      <c r="BV28">
        <v>400.19567008285617</v>
      </c>
      <c r="BW28">
        <f t="shared" si="7"/>
        <v>-400.19567008285617</v>
      </c>
    </row>
    <row r="29" spans="1:7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258.12922359555529</v>
      </c>
      <c r="I29" s="7">
        <f t="shared" ref="I29:J29" si="12">SUM(I26:I28)</f>
        <v>1178.5583783476907</v>
      </c>
      <c r="J29" s="7">
        <f t="shared" si="12"/>
        <v>0</v>
      </c>
      <c r="AJ29">
        <v>2.3561944901923435</v>
      </c>
      <c r="AK29">
        <v>-133.58915337477944</v>
      </c>
      <c r="AL29">
        <v>-133.58915337477984</v>
      </c>
      <c r="AM29">
        <v>-148.43239263864382</v>
      </c>
      <c r="AN29">
        <v>-148.43239263864427</v>
      </c>
      <c r="AQ29">
        <v>27</v>
      </c>
      <c r="AR29">
        <f t="shared" si="2"/>
        <v>10.692078290260415</v>
      </c>
      <c r="AS29">
        <f t="shared" si="3"/>
        <v>5.447885996874561</v>
      </c>
      <c r="AV29">
        <v>340.13446497349508</v>
      </c>
      <c r="AW29">
        <v>214.70480725164953</v>
      </c>
      <c r="AX29">
        <v>214.70480725164953</v>
      </c>
      <c r="AY29">
        <f t="shared" si="0"/>
        <v>303.63845032198401</v>
      </c>
      <c r="AZ29">
        <v>459.9215810038246</v>
      </c>
      <c r="BA29">
        <v>290.31863738946578</v>
      </c>
      <c r="BB29">
        <v>290.31863738946578</v>
      </c>
      <c r="BC29">
        <f t="shared" si="1"/>
        <v>410.57255440585919</v>
      </c>
      <c r="BF29">
        <v>335.47359544543468</v>
      </c>
      <c r="BG29">
        <v>114.24494701480423</v>
      </c>
      <c r="BH29">
        <v>274.18787278679076</v>
      </c>
      <c r="BI29">
        <f t="shared" si="4"/>
        <v>297.03686219350078</v>
      </c>
      <c r="BJ29">
        <v>463.30389392376122</v>
      </c>
      <c r="BK29">
        <v>157.77733190236054</v>
      </c>
      <c r="BL29">
        <v>378.66559649835403</v>
      </c>
      <c r="BM29">
        <f t="shared" si="5"/>
        <v>410.22106288400397</v>
      </c>
      <c r="BP29">
        <v>340.13446497349508</v>
      </c>
      <c r="BQ29">
        <v>-2.2589941794719402E-14</v>
      </c>
      <c r="BR29">
        <v>303.63845032198407</v>
      </c>
      <c r="BS29">
        <f t="shared" si="6"/>
        <v>-303.63845032198407</v>
      </c>
      <c r="BT29">
        <v>459.9215810038246</v>
      </c>
      <c r="BU29">
        <v>-3.0545571869117495E-14</v>
      </c>
      <c r="BV29">
        <v>410.57255440585931</v>
      </c>
      <c r="BW29">
        <f t="shared" si="7"/>
        <v>-410.57255440585931</v>
      </c>
    </row>
    <row r="30" spans="1:75" x14ac:dyDescent="0.25">
      <c r="A30" s="2" t="s">
        <v>149</v>
      </c>
      <c r="B30" s="5">
        <v>7</v>
      </c>
      <c r="C30" s="1"/>
      <c r="D30" s="2" t="s">
        <v>143</v>
      </c>
      <c r="E30" s="8">
        <v>0</v>
      </c>
      <c r="F30" s="1" t="s">
        <v>45</v>
      </c>
      <c r="G30" s="1"/>
      <c r="H30" s="7"/>
      <c r="I30" s="1"/>
      <c r="J30" s="1"/>
      <c r="L30">
        <f>((I31*COS(B10))-(J31*SIN(B10)))</f>
        <v>1725.1499063485546</v>
      </c>
      <c r="N30">
        <v>-3.0000000000000001E-3</v>
      </c>
      <c r="O30">
        <f>0.002</f>
        <v>2E-3</v>
      </c>
      <c r="AJ30">
        <v>2.4434609527920599</v>
      </c>
      <c r="AK30">
        <v>-144.65012571630214</v>
      </c>
      <c r="AL30">
        <v>-121.91521934139625</v>
      </c>
      <c r="AM30">
        <v>-160.72236190700238</v>
      </c>
      <c r="AN30">
        <v>-135.4613548237736</v>
      </c>
      <c r="AQ30">
        <v>28</v>
      </c>
      <c r="AR30">
        <f t="shared" si="2"/>
        <v>10.595371114307124</v>
      </c>
      <c r="AS30">
        <f t="shared" si="3"/>
        <v>5.6336587534306899</v>
      </c>
      <c r="AV30">
        <v>356.47999886971672</v>
      </c>
      <c r="AW30">
        <v>214.38150604097274</v>
      </c>
      <c r="AX30">
        <v>214.38150604097279</v>
      </c>
      <c r="AY30">
        <f t="shared" si="0"/>
        <v>303.18123336511331</v>
      </c>
      <c r="AZ30">
        <v>494.10132479243163</v>
      </c>
      <c r="BA30">
        <v>297.14482294013447</v>
      </c>
      <c r="BB30">
        <v>297.14482294013453</v>
      </c>
      <c r="BC30">
        <f t="shared" si="1"/>
        <v>420.2262385908902</v>
      </c>
      <c r="BF30">
        <v>353.70136473161091</v>
      </c>
      <c r="BG30">
        <v>113.78420365352071</v>
      </c>
      <c r="BH30">
        <v>273.08208876844969</v>
      </c>
      <c r="BI30">
        <f t="shared" si="4"/>
        <v>295.83892949915383</v>
      </c>
      <c r="BJ30">
        <v>500.59450811472499</v>
      </c>
      <c r="BK30">
        <v>161.03909438512071</v>
      </c>
      <c r="BL30">
        <v>386.49382652428972</v>
      </c>
      <c r="BM30">
        <f t="shared" si="5"/>
        <v>418.70164540131384</v>
      </c>
      <c r="BP30">
        <v>356.47999886971678</v>
      </c>
      <c r="BQ30">
        <v>-1.260515771694501E-15</v>
      </c>
      <c r="BR30">
        <v>303.18123336511337</v>
      </c>
      <c r="BS30">
        <f t="shared" si="6"/>
        <v>-303.18123336511337</v>
      </c>
      <c r="BT30">
        <v>494.10132479243168</v>
      </c>
      <c r="BU30">
        <v>-1.7471457436343605E-15</v>
      </c>
      <c r="BV30">
        <v>420.22623859089032</v>
      </c>
      <c r="BW30">
        <f t="shared" si="7"/>
        <v>-420.22623859089032</v>
      </c>
    </row>
    <row r="31" spans="1:75" x14ac:dyDescent="0.25">
      <c r="A31" s="2" t="s">
        <v>150</v>
      </c>
      <c r="B31" s="5">
        <v>8</v>
      </c>
      <c r="C31" s="1"/>
      <c r="D31" s="2" t="s">
        <v>144</v>
      </c>
      <c r="E31" s="8">
        <v>3.375</v>
      </c>
      <c r="F31" s="1"/>
      <c r="G31" s="1" t="s">
        <v>72</v>
      </c>
      <c r="H31" s="7">
        <f>H24-H29</f>
        <v>272.51841482667243</v>
      </c>
      <c r="I31" s="7">
        <f>(I24-I29)</f>
        <v>2439.7303946848006</v>
      </c>
      <c r="J31" s="7">
        <f t="shared" ref="J31" si="13">J24-J29</f>
        <v>0</v>
      </c>
      <c r="L31">
        <f>((I31)*SIN(B10))+((J31)*COS(B10))</f>
        <v>1725.1499063485544</v>
      </c>
      <c r="N31">
        <f ca="1">((B13*MIN(J37:J108))-(N30*B3))/(B13-N30)</f>
        <v>1.9062500000000004</v>
      </c>
      <c r="O31">
        <f ca="1">((B13*MAX(J37:J108))-(O30*B3))/(B13-O30)</f>
        <v>0.56250000000000044</v>
      </c>
      <c r="AJ31">
        <v>2.5307274153917763</v>
      </c>
      <c r="AK31">
        <v>-155.10725065147534</v>
      </c>
      <c r="AL31">
        <v>-109.59263746293865</v>
      </c>
      <c r="AM31">
        <v>-172.34138961275036</v>
      </c>
      <c r="AN31">
        <v>-121.76959718104294</v>
      </c>
      <c r="AQ31">
        <v>29</v>
      </c>
      <c r="AR31">
        <f t="shared" si="2"/>
        <v>10.495436485672748</v>
      </c>
      <c r="AS31">
        <f t="shared" si="3"/>
        <v>5.8177154429560449</v>
      </c>
      <c r="AV31">
        <v>374.12103228780018</v>
      </c>
      <c r="AW31">
        <v>213.11553694088715</v>
      </c>
      <c r="AX31">
        <v>213.11553694088713</v>
      </c>
      <c r="AY31">
        <f t="shared" si="0"/>
        <v>301.39088269422695</v>
      </c>
      <c r="AZ31">
        <v>530.93874223184037</v>
      </c>
      <c r="BA31">
        <v>302.44569368774222</v>
      </c>
      <c r="BB31">
        <v>302.44569368774216</v>
      </c>
      <c r="BC31">
        <f t="shared" si="1"/>
        <v>427.72280189454375</v>
      </c>
      <c r="BF31">
        <v>370.91406534404013</v>
      </c>
      <c r="BG31">
        <v>113.23591790295472</v>
      </c>
      <c r="BH31">
        <v>271.76620296709126</v>
      </c>
      <c r="BI31">
        <f t="shared" si="4"/>
        <v>294.41338654768219</v>
      </c>
      <c r="BJ31">
        <v>537.36631028707495</v>
      </c>
      <c r="BK31">
        <v>164.0519276049574</v>
      </c>
      <c r="BL31">
        <v>393.72462625189763</v>
      </c>
      <c r="BM31">
        <f t="shared" si="5"/>
        <v>426.53501177288916</v>
      </c>
      <c r="BP31">
        <v>374.12103228780018</v>
      </c>
      <c r="BQ31">
        <v>1.294976290273114E-14</v>
      </c>
      <c r="BR31">
        <v>301.39088269422695</v>
      </c>
      <c r="BS31">
        <f t="shared" si="6"/>
        <v>-301.39088269422695</v>
      </c>
      <c r="BT31">
        <v>530.93874223184037</v>
      </c>
      <c r="BU31">
        <v>1.8377824913322371E-14</v>
      </c>
      <c r="BV31">
        <v>427.72280189454381</v>
      </c>
      <c r="BW31">
        <f t="shared" si="7"/>
        <v>-427.72280189454381</v>
      </c>
    </row>
    <row r="32" spans="1:75" x14ac:dyDescent="0.25">
      <c r="A32" s="2" t="s">
        <v>83</v>
      </c>
      <c r="B32" s="37">
        <f ca="1">C109/(PI()*B3*B3)</f>
        <v>1.0610329539459689E-2</v>
      </c>
      <c r="D32" t="s">
        <v>45</v>
      </c>
      <c r="E32" s="14">
        <f>360/B31</f>
        <v>45</v>
      </c>
      <c r="N32">
        <f ca="1">B3-N31</f>
        <v>10.09375</v>
      </c>
      <c r="O32">
        <f ca="1">B3-O31</f>
        <v>11.4375</v>
      </c>
      <c r="AJ32">
        <v>2.6179938779914926</v>
      </c>
      <c r="AK32">
        <v>-164.93468585898353</v>
      </c>
      <c r="AL32">
        <v>-96.572578889013329</v>
      </c>
      <c r="AM32">
        <v>-183.26076206553725</v>
      </c>
      <c r="AN32">
        <v>-107.30286543223703</v>
      </c>
      <c r="AQ32">
        <v>30</v>
      </c>
      <c r="AR32">
        <f t="shared" si="2"/>
        <v>10.392304845413264</v>
      </c>
      <c r="AS32">
        <f t="shared" si="3"/>
        <v>5.9999999999999991</v>
      </c>
      <c r="AV32">
        <v>392.91313853813784</v>
      </c>
      <c r="AW32">
        <v>210.99683020628834</v>
      </c>
      <c r="AX32">
        <v>210.99683020628834</v>
      </c>
      <c r="AY32">
        <f t="shared" si="0"/>
        <v>298.39457889546611</v>
      </c>
      <c r="AZ32">
        <v>570.32221818927815</v>
      </c>
      <c r="BA32">
        <v>306.26662341166917</v>
      </c>
      <c r="BB32">
        <v>306.26662341166917</v>
      </c>
      <c r="BC32">
        <f t="shared" si="1"/>
        <v>433.12641253099582</v>
      </c>
      <c r="BF32">
        <v>384.13879786200829</v>
      </c>
      <c r="BG32">
        <v>112.28858229442361</v>
      </c>
      <c r="BH32">
        <v>269.49259750661668</v>
      </c>
      <c r="BI32">
        <f t="shared" si="4"/>
        <v>291.95031396550138</v>
      </c>
      <c r="BJ32">
        <v>569.08231372551063</v>
      </c>
      <c r="BK32">
        <v>166.34988856299512</v>
      </c>
      <c r="BL32">
        <v>399.23973255118835</v>
      </c>
      <c r="BM32">
        <f t="shared" si="5"/>
        <v>432.50971026378738</v>
      </c>
      <c r="BP32">
        <v>392.91313853813784</v>
      </c>
      <c r="BQ32">
        <v>3.9885991069059892E-15</v>
      </c>
      <c r="BR32">
        <v>298.39457889546611</v>
      </c>
      <c r="BS32">
        <f t="shared" si="6"/>
        <v>-298.39457889546611</v>
      </c>
      <c r="BT32">
        <v>570.32221818927815</v>
      </c>
      <c r="BU32">
        <v>5.7895409112098117E-15</v>
      </c>
      <c r="BV32">
        <v>433.12641253099582</v>
      </c>
      <c r="BW32">
        <f t="shared" si="7"/>
        <v>-433.12641253099582</v>
      </c>
    </row>
    <row r="33" spans="1:75" x14ac:dyDescent="0.25">
      <c r="D33" s="2" t="s">
        <v>13</v>
      </c>
      <c r="E33" s="14">
        <f>(B3-E31)*COS(RADIANS(E32))</f>
        <v>6.0987959877339728</v>
      </c>
      <c r="I33">
        <f>C35/F35</f>
        <v>2.0689655172413794E-3</v>
      </c>
      <c r="AJ33">
        <v>2.705260340591209</v>
      </c>
      <c r="AK33">
        <v>-174.29590601413014</v>
      </c>
      <c r="AL33">
        <v>-82.628143632192831</v>
      </c>
      <c r="AM33">
        <v>-193.66211779347793</v>
      </c>
      <c r="AN33">
        <v>-91.809048480214258</v>
      </c>
      <c r="AQ33">
        <v>31</v>
      </c>
      <c r="AR33">
        <f t="shared" si="2"/>
        <v>10.286007608425347</v>
      </c>
      <c r="AS33">
        <f t="shared" si="3"/>
        <v>6.1804568989206494</v>
      </c>
      <c r="AV33">
        <v>410.66751983678779</v>
      </c>
      <c r="AW33">
        <v>208.80638159025699</v>
      </c>
      <c r="AX33">
        <v>208.80638159025699</v>
      </c>
      <c r="AY33">
        <f t="shared" si="0"/>
        <v>295.29681675499319</v>
      </c>
      <c r="AZ33">
        <v>609.08535586330152</v>
      </c>
      <c r="BA33">
        <v>309.69312909863362</v>
      </c>
      <c r="BB33">
        <v>309.69312909863362</v>
      </c>
      <c r="BC33">
        <f t="shared" si="1"/>
        <v>437.97222334504949</v>
      </c>
      <c r="BF33">
        <v>399.74178270181932</v>
      </c>
      <c r="BG33">
        <v>111.57070483570514</v>
      </c>
      <c r="BH33">
        <v>267.76969160569229</v>
      </c>
      <c r="BI33">
        <f t="shared" si="4"/>
        <v>290.08383257283333</v>
      </c>
      <c r="BJ33">
        <v>604.96650871729628</v>
      </c>
      <c r="BK33">
        <v>168.85034965167105</v>
      </c>
      <c r="BL33">
        <v>405.24083916401048</v>
      </c>
      <c r="BM33">
        <f t="shared" si="5"/>
        <v>439.0109090943447</v>
      </c>
      <c r="BP33">
        <v>410.66751983678779</v>
      </c>
      <c r="BQ33">
        <v>-9.6397681834500307E-15</v>
      </c>
      <c r="BR33">
        <v>295.29681675499319</v>
      </c>
      <c r="BS33">
        <f t="shared" si="6"/>
        <v>-295.29681675499319</v>
      </c>
      <c r="BT33">
        <v>609.08535586330152</v>
      </c>
      <c r="BU33">
        <v>-1.4297311939327194E-14</v>
      </c>
      <c r="BV33">
        <v>437.97222334504949</v>
      </c>
      <c r="BW33">
        <f t="shared" si="7"/>
        <v>-437.97222334504949</v>
      </c>
    </row>
    <row r="34" spans="1:75" x14ac:dyDescent="0.25">
      <c r="A34" t="s">
        <v>37</v>
      </c>
      <c r="D34" s="2" t="s">
        <v>14</v>
      </c>
      <c r="E34" s="14">
        <f>(B3-E31)*SIN(RADIANS(E32))</f>
        <v>6.0987959877339719</v>
      </c>
      <c r="Z34" t="str">
        <f>"Mx vs My @ Pu = " &amp;AI1&amp;" Kips"</f>
        <v>Mx vs My @ Pu = 0 Kips</v>
      </c>
      <c r="AJ34">
        <v>2.7925268031909254</v>
      </c>
      <c r="AK34">
        <v>-181.67273775482411</v>
      </c>
      <c r="AL34">
        <v>-64.81889639646576</v>
      </c>
      <c r="AM34">
        <v>-201.85859750536011</v>
      </c>
      <c r="AN34">
        <v>-72.020995996073069</v>
      </c>
      <c r="AQ34">
        <v>32</v>
      </c>
      <c r="AR34">
        <f t="shared" si="2"/>
        <v>10.176577153877112</v>
      </c>
      <c r="AS34">
        <f t="shared" si="3"/>
        <v>6.3590311707984588</v>
      </c>
      <c r="AV34">
        <v>427.50420874339426</v>
      </c>
      <c r="AW34">
        <v>206.53239945639294</v>
      </c>
      <c r="AX34">
        <v>206.53239945639291</v>
      </c>
      <c r="AY34">
        <f t="shared" si="0"/>
        <v>292.0809203806885</v>
      </c>
      <c r="AZ34">
        <v>647.28315156904284</v>
      </c>
      <c r="BA34">
        <v>312.71023696866979</v>
      </c>
      <c r="BB34">
        <v>312.71023696866973</v>
      </c>
      <c r="BC34">
        <f t="shared" si="1"/>
        <v>442.23905821399723</v>
      </c>
      <c r="BF34">
        <v>418.60275570726441</v>
      </c>
      <c r="BG34">
        <v>110.64972839915616</v>
      </c>
      <c r="BH34">
        <v>265.55934815797474</v>
      </c>
      <c r="BI34">
        <f t="shared" si="4"/>
        <v>287.68929383780596</v>
      </c>
      <c r="BJ34">
        <v>644.00423954963753</v>
      </c>
      <c r="BK34">
        <v>170.23035138331716</v>
      </c>
      <c r="BL34">
        <v>408.55284331996114</v>
      </c>
      <c r="BM34">
        <f t="shared" si="5"/>
        <v>442.59891359662458</v>
      </c>
      <c r="BP34">
        <v>427.50420874339426</v>
      </c>
      <c r="BQ34">
        <v>9.1223685929068462E-15</v>
      </c>
      <c r="BR34">
        <v>292.0809203806885</v>
      </c>
      <c r="BS34">
        <f t="shared" si="6"/>
        <v>-292.0809203806885</v>
      </c>
      <c r="BT34">
        <v>647.28315156904284</v>
      </c>
      <c r="BU34">
        <v>1.3812157569039225E-14</v>
      </c>
      <c r="BV34">
        <v>442.23905821399717</v>
      </c>
      <c r="BW34">
        <f t="shared" si="7"/>
        <v>-442.23905821399717</v>
      </c>
    </row>
    <row r="35" spans="1:75" x14ac:dyDescent="0.25">
      <c r="B35" s="1" t="s">
        <v>54</v>
      </c>
      <c r="C35" s="8">
        <v>60</v>
      </c>
      <c r="D35" s="1" t="s">
        <v>2</v>
      </c>
      <c r="E35" s="1" t="s">
        <v>55</v>
      </c>
      <c r="F35" s="8">
        <v>29000</v>
      </c>
      <c r="G35" s="1" t="s">
        <v>2</v>
      </c>
      <c r="Q35" s="1" t="s">
        <v>39</v>
      </c>
      <c r="R35" s="1" t="s">
        <v>40</v>
      </c>
      <c r="S35" s="1" t="s">
        <v>41</v>
      </c>
      <c r="U35" s="1" t="s">
        <v>117</v>
      </c>
      <c r="X35" t="s">
        <v>118</v>
      </c>
      <c r="AJ35">
        <v>2.8797932657906418</v>
      </c>
      <c r="AK35">
        <v>-184.91356023285425</v>
      </c>
      <c r="AL35">
        <v>-48.339309414666801</v>
      </c>
      <c r="AM35">
        <v>-205.45951136983805</v>
      </c>
      <c r="AN35">
        <v>-53.71034379407422</v>
      </c>
      <c r="AQ35">
        <v>33</v>
      </c>
      <c r="AR35">
        <f t="shared" si="2"/>
        <v>10.064046815345089</v>
      </c>
      <c r="AS35">
        <f t="shared" si="3"/>
        <v>6.5356684201803255</v>
      </c>
      <c r="AV35">
        <v>446.34220225567435</v>
      </c>
      <c r="AW35">
        <v>204.40922694509808</v>
      </c>
      <c r="AX35">
        <v>204.40922694509808</v>
      </c>
      <c r="AY35">
        <f t="shared" si="0"/>
        <v>289.07830101995762</v>
      </c>
      <c r="AZ35">
        <v>686.68031116257589</v>
      </c>
      <c r="BA35">
        <v>314.47573376168936</v>
      </c>
      <c r="BB35">
        <v>314.47573376168936</v>
      </c>
      <c r="BC35">
        <f t="shared" si="1"/>
        <v>444.73584772301172</v>
      </c>
      <c r="BF35">
        <v>444.85045225567427</v>
      </c>
      <c r="BG35">
        <v>111.10609703325345</v>
      </c>
      <c r="BH35">
        <v>266.65463287980822</v>
      </c>
      <c r="BI35">
        <f t="shared" si="4"/>
        <v>288.87585228645889</v>
      </c>
      <c r="BJ35">
        <v>684.38531116257582</v>
      </c>
      <c r="BK35">
        <v>170.93245697423606</v>
      </c>
      <c r="BL35">
        <v>410.23789673816646</v>
      </c>
      <c r="BM35">
        <f t="shared" si="5"/>
        <v>444.42438813301368</v>
      </c>
      <c r="BP35">
        <v>446.34220225567435</v>
      </c>
      <c r="BQ35">
        <v>-3.9387518048600301E-15</v>
      </c>
      <c r="BR35">
        <v>289.07830101995756</v>
      </c>
      <c r="BS35">
        <f t="shared" si="6"/>
        <v>-289.07830101995756</v>
      </c>
      <c r="BT35">
        <v>686.68031116257589</v>
      </c>
      <c r="BU35">
        <v>-6.0596181613231232E-15</v>
      </c>
      <c r="BV35">
        <v>444.7358477230116</v>
      </c>
      <c r="BW35">
        <f t="shared" si="7"/>
        <v>-444.7358477230116</v>
      </c>
    </row>
    <row r="36" spans="1:75" x14ac:dyDescent="0.25">
      <c r="B36" s="1" t="s">
        <v>38</v>
      </c>
      <c r="C36" t="s">
        <v>42</v>
      </c>
      <c r="D36" s="1" t="s">
        <v>13</v>
      </c>
      <c r="E36" s="1" t="s">
        <v>14</v>
      </c>
      <c r="G36" s="1" t="s">
        <v>43</v>
      </c>
      <c r="H36" s="1" t="s">
        <v>44</v>
      </c>
      <c r="I36" s="1" t="s">
        <v>46</v>
      </c>
      <c r="J36" s="1" t="s">
        <v>47</v>
      </c>
      <c r="K36" s="1" t="s">
        <v>48</v>
      </c>
      <c r="L36" s="1" t="s">
        <v>49</v>
      </c>
      <c r="M36" s="1" t="s">
        <v>50</v>
      </c>
      <c r="N36" s="1" t="s">
        <v>51</v>
      </c>
      <c r="O36" s="1" t="s">
        <v>52</v>
      </c>
      <c r="P36" s="1" t="s">
        <v>53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2.9670597283903581</v>
      </c>
      <c r="AK36">
        <v>-187.17108586502246</v>
      </c>
      <c r="AL36">
        <v>-32.183691628697694</v>
      </c>
      <c r="AM36">
        <v>-207.96787318335828</v>
      </c>
      <c r="AN36">
        <v>-35.75965736521966</v>
      </c>
      <c r="AQ36">
        <v>34</v>
      </c>
      <c r="AR36">
        <f t="shared" si="2"/>
        <v>9.9484508706604995</v>
      </c>
      <c r="AS36">
        <f t="shared" si="3"/>
        <v>6.7103148416489624</v>
      </c>
      <c r="AV36">
        <v>471.94834551164598</v>
      </c>
      <c r="AW36">
        <v>204.90687060466644</v>
      </c>
      <c r="AX36">
        <v>204.90687056685849</v>
      </c>
      <c r="AY36">
        <f t="shared" si="0"/>
        <v>289.78207540581388</v>
      </c>
      <c r="AZ36">
        <v>726.07437771022455</v>
      </c>
      <c r="BA36">
        <v>315.2413393917945</v>
      </c>
      <c r="BB36">
        <v>315.24133933362845</v>
      </c>
      <c r="BC36">
        <f t="shared" si="1"/>
        <v>445.81857754740599</v>
      </c>
      <c r="BF36">
        <v>470.68272454963596</v>
      </c>
      <c r="BG36">
        <v>111.43612026163719</v>
      </c>
      <c r="BH36">
        <v>267.446688573524</v>
      </c>
      <c r="BI36">
        <f t="shared" si="4"/>
        <v>289.73391263003646</v>
      </c>
      <c r="BJ36">
        <v>724.1272685379015</v>
      </c>
      <c r="BK36">
        <v>171.44018501790336</v>
      </c>
      <c r="BL36">
        <v>411.45644395926769</v>
      </c>
      <c r="BM36">
        <f t="shared" si="5"/>
        <v>445.74448096928683</v>
      </c>
      <c r="BP36">
        <v>471.94834551164598</v>
      </c>
      <c r="BQ36">
        <v>-1.2293182320882142E-14</v>
      </c>
      <c r="BR36">
        <v>289.78207540581388</v>
      </c>
      <c r="BS36">
        <f t="shared" si="6"/>
        <v>-289.78207540581388</v>
      </c>
      <c r="BT36">
        <v>726.07437771022455</v>
      </c>
      <c r="BU36">
        <v>-1.8912588185972525E-14</v>
      </c>
      <c r="BV36">
        <v>445.81857754740594</v>
      </c>
      <c r="BW36">
        <f t="shared" si="7"/>
        <v>-445.81857754740594</v>
      </c>
    </row>
    <row r="37" spans="1:75" x14ac:dyDescent="0.25">
      <c r="A37">
        <v>1</v>
      </c>
      <c r="B37" s="5">
        <f>$B$30</f>
        <v>7</v>
      </c>
      <c r="C37" s="1">
        <f t="shared" ref="C37:C68" ca="1" si="14">IF(A37&lt;=$B$31,OFFSET($Q$36,MATCH(B37,$Q$36:$Q$47,0)-1,2),0)</f>
        <v>0.6</v>
      </c>
      <c r="D37" s="46">
        <f ca="1">IF($E$32*(A37-1)&gt;=360,0,(($B$3-F37)*COS(RADIANS(($E$32*(A37-1))+$E$30))))</f>
        <v>8.1875</v>
      </c>
      <c r="E37" s="46">
        <f ca="1">IF($E$32*(A37-1)&gt;=360,0,($B$3-F37)*SIN(RADIANS(($E$32*(A37-1))+$E$30)))</f>
        <v>0</v>
      </c>
      <c r="F37" s="1">
        <f ca="1">$E$31+(OFFSET($Q$36,MATCH(B37,$Q$36:$Q$47,0)-1,1)/2)</f>
        <v>3.8125</v>
      </c>
      <c r="G37">
        <f ca="1">IF(C37=0,NA(),D37)</f>
        <v>8.1875</v>
      </c>
      <c r="H37">
        <f ca="1">IF(C37=0,NA(),E37)</f>
        <v>0</v>
      </c>
      <c r="I37" s="7">
        <f ca="1">D37*COS(-1*$B$10)-E37*SIN(-1*$B$10)</f>
        <v>5.7894367709648584</v>
      </c>
      <c r="J37" s="7">
        <f ca="1">D37*SIN(-1*$B$10)+E37*COS(-1*$B$10)</f>
        <v>-5.7894367709648575</v>
      </c>
      <c r="K37">
        <f ca="1">IF(B37=0,0,$B$3-J37)</f>
        <v>17.789436770964858</v>
      </c>
      <c r="L37" s="15">
        <f ca="1">IF($B$11&lt;=0,-1,IF(C37=0,0,(($B$11-K37)/$B$11)*$B$13)*IF($B$11&lt;0,-1,1))</f>
        <v>-5.5470574694889488E-3</v>
      </c>
      <c r="M37" s="9">
        <f t="shared" ref="M37:M68" ca="1" si="15">IF(AND(L37&gt;0,K37&lt;=$B$12),MIN((L37*F$35),C$35)-IF($B$2="Whitney",$B$9,B151),MAX(L37*F$35,-1*C$35))</f>
        <v>-60</v>
      </c>
      <c r="N37" s="7">
        <f ca="1">M37*C37</f>
        <v>-36</v>
      </c>
      <c r="O37" s="7">
        <f ca="1">N37*J37</f>
        <v>208.41972375473486</v>
      </c>
      <c r="P37" s="7">
        <f ca="1">-1*N37*I37</f>
        <v>208.41972375473489</v>
      </c>
      <c r="Q37" s="1">
        <v>3</v>
      </c>
      <c r="R37" s="7">
        <v>0.375</v>
      </c>
      <c r="S37" s="7">
        <v>0.11</v>
      </c>
      <c r="U37">
        <f ca="1">IF(AND(N37&lt;0,C37&gt;0),D37,NA())</f>
        <v>8.1875</v>
      </c>
      <c r="V37">
        <f ca="1">IF(AND(N37&lt;0,C37&gt;0),E37,NA())</f>
        <v>0</v>
      </c>
      <c r="X37" t="e">
        <f ca="1">IF(AND(N37&gt;=0,C37&gt;0),D37,NA())</f>
        <v>#N/A</v>
      </c>
      <c r="Y37" t="e">
        <f ca="1">IF(AND(N37&gt;=0,C37&gt;0),E37,NA())</f>
        <v>#N/A</v>
      </c>
      <c r="Z37" s="10">
        <f>J10</f>
        <v>30</v>
      </c>
      <c r="AA37" s="10">
        <f>J11</f>
        <v>30</v>
      </c>
      <c r="AC37">
        <f ca="1">IF(N37=0,0,N37*E37)</f>
        <v>0</v>
      </c>
      <c r="AD37">
        <f ca="1">IF(N37=0,0,-1*N37*D37)</f>
        <v>294.75</v>
      </c>
      <c r="AJ37">
        <v>3.0543261909900745</v>
      </c>
      <c r="AK37">
        <v>-188.49016311963041</v>
      </c>
      <c r="AL37">
        <v>-16.076006467337976</v>
      </c>
      <c r="AM37">
        <v>-209.43351457736711</v>
      </c>
      <c r="AN37">
        <v>-17.862229408153308</v>
      </c>
      <c r="AQ37">
        <v>35</v>
      </c>
      <c r="AR37">
        <f t="shared" si="2"/>
        <v>9.8298245314679011</v>
      </c>
      <c r="AS37">
        <f t="shared" si="3"/>
        <v>6.8829172362125526</v>
      </c>
      <c r="AV37">
        <v>497.10081033702954</v>
      </c>
      <c r="AW37">
        <v>205.12858701419049</v>
      </c>
      <c r="AX37">
        <v>205.12858701419049</v>
      </c>
      <c r="AY37">
        <f t="shared" si="0"/>
        <v>290.09562978589776</v>
      </c>
      <c r="AZ37">
        <v>764.77047744158392</v>
      </c>
      <c r="BA37">
        <v>315.58244156029303</v>
      </c>
      <c r="BB37">
        <v>315.58244156029303</v>
      </c>
      <c r="BC37">
        <f t="shared" si="1"/>
        <v>446.30096890138111</v>
      </c>
      <c r="BF37">
        <v>496.12956290836632</v>
      </c>
      <c r="BG37">
        <v>111.63396754558337</v>
      </c>
      <c r="BH37">
        <v>267.92152210940009</v>
      </c>
      <c r="BI37">
        <f t="shared" si="4"/>
        <v>290.24831561851676</v>
      </c>
      <c r="BJ37">
        <v>763.27625062825587</v>
      </c>
      <c r="BK37">
        <v>171.74456545474365</v>
      </c>
      <c r="BL37">
        <v>412.18695709138473</v>
      </c>
      <c r="BM37">
        <f t="shared" si="5"/>
        <v>446.5358701823335</v>
      </c>
      <c r="BP37">
        <v>497.10081033702954</v>
      </c>
      <c r="BQ37">
        <v>1.5111248930663377E-14</v>
      </c>
      <c r="BR37">
        <v>290.09562978589776</v>
      </c>
      <c r="BS37">
        <f t="shared" si="6"/>
        <v>-290.09562978589776</v>
      </c>
      <c r="BT37">
        <v>764.77047744158392</v>
      </c>
      <c r="BU37">
        <v>2.3248075277943656E-14</v>
      </c>
      <c r="BV37">
        <v>446.30096890138117</v>
      </c>
      <c r="BW37">
        <f t="shared" si="7"/>
        <v>-446.30096890138117</v>
      </c>
    </row>
    <row r="38" spans="1:75" x14ac:dyDescent="0.25">
      <c r="A38">
        <v>2</v>
      </c>
      <c r="B38" s="5">
        <f t="shared" ref="B38:B101" si="16">$B$30</f>
        <v>7</v>
      </c>
      <c r="C38" s="1">
        <f t="shared" ca="1" si="14"/>
        <v>0.6</v>
      </c>
      <c r="D38" s="46">
        <f t="shared" ref="D38:D101" ca="1" si="17">IF($E$32*(A38-1)&gt;=360,0,(($B$3-F38)*COS(RADIANS(($E$32*(A38-1))+$E$30))))</f>
        <v>5.7894367709648584</v>
      </c>
      <c r="E38" s="46">
        <f t="shared" ref="E38:E101" ca="1" si="18">IF($E$32*(A38-1)&gt;=360,0,($B$3-F38)*SIN(RADIANS(($E$32*(A38-1))+$E$30)))</f>
        <v>5.7894367709648575</v>
      </c>
      <c r="F38" s="1">
        <f t="shared" ref="F38:F101" ca="1" si="19">$E$31+(OFFSET($Q$36,MATCH(B38,$Q$36:$Q$47,0)-1,1)/2)</f>
        <v>3.8125</v>
      </c>
      <c r="G38">
        <f t="shared" ref="G38:G101" ca="1" si="20">IF(C38=0,NA(),D38)</f>
        <v>5.7894367709648584</v>
      </c>
      <c r="H38">
        <f t="shared" ref="H38:H101" ca="1" si="21">IF(C38=0,NA(),E38)</f>
        <v>5.7894367709648575</v>
      </c>
      <c r="I38" s="7">
        <f t="shared" ref="I38:I101" ca="1" si="22">D38*COS(-1*$B$10)-E38*SIN(-1*$B$10)</f>
        <v>8.1875</v>
      </c>
      <c r="J38" s="7">
        <f t="shared" ref="J38:J101" ca="1" si="23">D38*SIN(-1*$B$10)+E38*COS(-1*$B$10)</f>
        <v>0</v>
      </c>
      <c r="K38">
        <f t="shared" ref="K38:K101" ca="1" si="24">IF(B38=0,0,$B$3-J38)</f>
        <v>12</v>
      </c>
      <c r="L38" s="15">
        <f t="shared" ref="L38:L101" ca="1" si="25">IF($B$11&lt;=0,-1,IF(C38=0,0,(($B$11-K38)/$B$11)*$B$13)*IF($B$11&lt;0,-1,1))</f>
        <v>-2.765482682468564E-3</v>
      </c>
      <c r="M38" s="9">
        <f t="shared" ca="1" si="15"/>
        <v>-60</v>
      </c>
      <c r="N38" s="7">
        <f t="shared" ref="N38:N101" ca="1" si="26">M38*C38</f>
        <v>-36</v>
      </c>
      <c r="O38" s="7">
        <f t="shared" ref="O38:O101" ca="1" si="27">N38*J38</f>
        <v>0</v>
      </c>
      <c r="P38" s="7">
        <f t="shared" ref="P38:P101" ca="1" si="28">-1*N38*I38</f>
        <v>294.75</v>
      </c>
      <c r="Q38" s="1">
        <v>4</v>
      </c>
      <c r="R38" s="7">
        <v>0.5</v>
      </c>
      <c r="S38" s="7">
        <v>0.2</v>
      </c>
      <c r="U38">
        <f t="shared" ref="U38:U101" ca="1" si="29">IF(AND(N38&lt;0,C38&gt;0),D38,NA())</f>
        <v>5.7894367709648584</v>
      </c>
      <c r="V38">
        <f t="shared" ref="V38:V101" ca="1" si="30">IF(AND(N38&lt;0,C38&gt;0),E38,NA())</f>
        <v>5.7894367709648575</v>
      </c>
      <c r="X38" t="e">
        <f t="shared" ref="X38:X101" ca="1" si="31">IF(AND(N38&gt;=0,C38&gt;0),D38,NA())</f>
        <v>#N/A</v>
      </c>
      <c r="Y38" t="e">
        <f t="shared" ref="Y38:Y101" ca="1" si="32">IF(AND(N38&gt;=0,C38&gt;0),E38,NA())</f>
        <v>#N/A</v>
      </c>
      <c r="Z38" s="10">
        <f ca="1">J4</f>
        <v>175.125845712678</v>
      </c>
      <c r="AA38" s="10">
        <f ca="1">J5</f>
        <v>175.12584571267797</v>
      </c>
      <c r="AC38">
        <f t="shared" ref="AC38:AC101" ca="1" si="33">IF(N38=0,0,N38*E38)</f>
        <v>-208.41972375473486</v>
      </c>
      <c r="AD38">
        <f t="shared" ref="AD38:AD101" ca="1" si="34">IF(N38=0,0,-1*N38*D38)</f>
        <v>208.41972375473489</v>
      </c>
      <c r="AJ38">
        <v>3.1415926535897909</v>
      </c>
      <c r="AK38">
        <v>-188.92359248855291</v>
      </c>
      <c r="AL38">
        <v>-4.362457046728562E-13</v>
      </c>
      <c r="AM38">
        <v>-209.91510276505878</v>
      </c>
      <c r="AN38">
        <v>-4.8471744963650685E-13</v>
      </c>
      <c r="AQ38">
        <v>36</v>
      </c>
      <c r="AR38">
        <f t="shared" si="2"/>
        <v>9.7082039324993694</v>
      </c>
      <c r="AS38">
        <f t="shared" si="3"/>
        <v>7.0534230275096776</v>
      </c>
      <c r="AV38">
        <v>521.90963418487831</v>
      </c>
      <c r="AW38">
        <v>205.10590282899776</v>
      </c>
      <c r="AX38">
        <v>205.10590282899773</v>
      </c>
      <c r="AY38">
        <f t="shared" si="0"/>
        <v>290.06354950354677</v>
      </c>
      <c r="AZ38">
        <v>802.93789874596666</v>
      </c>
      <c r="BA38">
        <v>315.54754281384271</v>
      </c>
      <c r="BB38">
        <v>315.54754281384265</v>
      </c>
      <c r="BC38">
        <f t="shared" si="1"/>
        <v>446.25161462084122</v>
      </c>
      <c r="BF38">
        <v>521.21640743467663</v>
      </c>
      <c r="BG38">
        <v>111.69458712621216</v>
      </c>
      <c r="BH38">
        <v>268.0670091029092</v>
      </c>
      <c r="BI38">
        <f t="shared" si="4"/>
        <v>290.40592652815161</v>
      </c>
      <c r="BJ38">
        <v>801.87139605334858</v>
      </c>
      <c r="BK38">
        <v>171.83782634801869</v>
      </c>
      <c r="BL38">
        <v>412.41078323524488</v>
      </c>
      <c r="BM38">
        <f t="shared" si="5"/>
        <v>446.77834850484862</v>
      </c>
      <c r="BP38">
        <v>521.90963418487831</v>
      </c>
      <c r="BQ38">
        <v>1.9308054735792568E-14</v>
      </c>
      <c r="BR38">
        <v>290.06354950354677</v>
      </c>
      <c r="BS38">
        <f t="shared" si="6"/>
        <v>-290.06354950354677</v>
      </c>
      <c r="BT38">
        <v>802.93789874596666</v>
      </c>
      <c r="BU38">
        <v>2.9704699593527026E-14</v>
      </c>
      <c r="BV38">
        <v>446.25161462084117</v>
      </c>
      <c r="BW38">
        <f t="shared" si="7"/>
        <v>-446.25161462084117</v>
      </c>
    </row>
    <row r="39" spans="1:75" x14ac:dyDescent="0.25">
      <c r="A39">
        <v>3</v>
      </c>
      <c r="B39" s="5">
        <f t="shared" si="16"/>
        <v>7</v>
      </c>
      <c r="C39" s="1">
        <f t="shared" ca="1" si="14"/>
        <v>0.6</v>
      </c>
      <c r="D39" s="46">
        <f t="shared" ca="1" si="17"/>
        <v>5.0154514872821632E-16</v>
      </c>
      <c r="E39" s="46">
        <f t="shared" ca="1" si="18"/>
        <v>8.1875</v>
      </c>
      <c r="F39" s="1">
        <f t="shared" ca="1" si="19"/>
        <v>3.8125</v>
      </c>
      <c r="G39">
        <f t="shared" ca="1" si="20"/>
        <v>5.0154514872821632E-16</v>
      </c>
      <c r="H39">
        <f t="shared" ca="1" si="21"/>
        <v>8.1875</v>
      </c>
      <c r="I39" s="7">
        <f t="shared" ca="1" si="22"/>
        <v>5.7894367709648575</v>
      </c>
      <c r="J39" s="7">
        <f t="shared" ca="1" si="23"/>
        <v>5.7894367709648584</v>
      </c>
      <c r="K39">
        <f t="shared" ca="1" si="24"/>
        <v>6.2105632290351416</v>
      </c>
      <c r="L39" s="15">
        <f t="shared" ca="1" si="25"/>
        <v>1.6092104551820527E-5</v>
      </c>
      <c r="M39" s="9">
        <f t="shared" ca="1" si="15"/>
        <v>0.46667103200279531</v>
      </c>
      <c r="N39" s="7">
        <f t="shared" ca="1" si="26"/>
        <v>0.28000261920167718</v>
      </c>
      <c r="O39" s="7">
        <f t="shared" ca="1" si="27"/>
        <v>1.6210574595726608</v>
      </c>
      <c r="P39" s="7">
        <f t="shared" ca="1" si="28"/>
        <v>-1.6210574595726606</v>
      </c>
      <c r="Q39" s="1">
        <v>5</v>
      </c>
      <c r="R39" s="7">
        <v>0.625</v>
      </c>
      <c r="S39" s="7">
        <v>0.31</v>
      </c>
      <c r="U39" t="e">
        <f t="shared" ca="1" si="29"/>
        <v>#N/A</v>
      </c>
      <c r="V39" t="e">
        <f t="shared" ca="1" si="30"/>
        <v>#N/A</v>
      </c>
      <c r="X39">
        <f t="shared" ca="1" si="31"/>
        <v>5.0154514872821632E-16</v>
      </c>
      <c r="Y39">
        <f t="shared" ca="1" si="32"/>
        <v>8.1875</v>
      </c>
      <c r="AC39">
        <f t="shared" ca="1" si="33"/>
        <v>2.2925214447137319</v>
      </c>
      <c r="AD39">
        <f t="shared" ca="1" si="34"/>
        <v>-1.4043395529179531E-16</v>
      </c>
      <c r="AJ39">
        <v>3.2288591161895073</v>
      </c>
      <c r="AK39">
        <v>-188.49016311963058</v>
      </c>
      <c r="AL39">
        <v>16.076006467337045</v>
      </c>
      <c r="AM39">
        <v>-209.4335145773673</v>
      </c>
      <c r="AN39">
        <v>17.86222940815227</v>
      </c>
      <c r="AQ39">
        <v>37</v>
      </c>
      <c r="AR39">
        <f t="shared" si="2"/>
        <v>9.583626120567514</v>
      </c>
      <c r="AS39">
        <f t="shared" si="3"/>
        <v>7.2217802778245792</v>
      </c>
      <c r="AV39">
        <v>546.39498786831416</v>
      </c>
      <c r="AW39">
        <v>204.83020771807358</v>
      </c>
      <c r="AX39">
        <v>204.83020771807358</v>
      </c>
      <c r="AY39">
        <f t="shared" si="0"/>
        <v>289.67365773859785</v>
      </c>
      <c r="AZ39">
        <v>840.60767364356025</v>
      </c>
      <c r="BA39">
        <v>315.12339648934397</v>
      </c>
      <c r="BB39">
        <v>315.12339648934397</v>
      </c>
      <c r="BC39">
        <f t="shared" si="1"/>
        <v>445.65178113630441</v>
      </c>
      <c r="BF39">
        <v>545.96475475179091</v>
      </c>
      <c r="BG39">
        <v>111.61364351075663</v>
      </c>
      <c r="BH39">
        <v>267.87274442581599</v>
      </c>
      <c r="BI39">
        <f t="shared" si="4"/>
        <v>290.19547312796732</v>
      </c>
      <c r="BJ39">
        <v>839.94577654121679</v>
      </c>
      <c r="BK39">
        <v>171.71329770885635</v>
      </c>
      <c r="BL39">
        <v>412.11191450125534</v>
      </c>
      <c r="BM39">
        <f t="shared" si="5"/>
        <v>446.45457404302658</v>
      </c>
      <c r="BP39">
        <v>546.39498786831427</v>
      </c>
      <c r="BQ39">
        <v>1.4968734074404145E-14</v>
      </c>
      <c r="BR39">
        <v>289.67365773859785</v>
      </c>
      <c r="BS39">
        <f t="shared" si="6"/>
        <v>-289.67365773859785</v>
      </c>
      <c r="BT39">
        <v>840.60767364356036</v>
      </c>
      <c r="BU39">
        <v>2.3028821652929454E-14</v>
      </c>
      <c r="BV39">
        <v>445.65178113630435</v>
      </c>
      <c r="BW39">
        <f t="shared" si="7"/>
        <v>-445.65178113630435</v>
      </c>
    </row>
    <row r="40" spans="1:75" x14ac:dyDescent="0.25">
      <c r="A40">
        <v>4</v>
      </c>
      <c r="B40" s="5">
        <f t="shared" si="16"/>
        <v>7</v>
      </c>
      <c r="C40" s="1">
        <f t="shared" ca="1" si="14"/>
        <v>0.6</v>
      </c>
      <c r="D40" s="46">
        <f t="shared" ca="1" si="17"/>
        <v>-5.7894367709648575</v>
      </c>
      <c r="E40" s="46">
        <f t="shared" ca="1" si="18"/>
        <v>5.7894367709648584</v>
      </c>
      <c r="F40" s="1">
        <f t="shared" ca="1" si="19"/>
        <v>3.8125</v>
      </c>
      <c r="G40">
        <f t="shared" ca="1" si="20"/>
        <v>-5.7894367709648575</v>
      </c>
      <c r="H40">
        <f t="shared" ca="1" si="21"/>
        <v>5.7894367709648584</v>
      </c>
      <c r="I40" s="7">
        <f t="shared" ca="1" si="22"/>
        <v>0</v>
      </c>
      <c r="J40" s="7">
        <f t="shared" ca="1" si="23"/>
        <v>8.1875</v>
      </c>
      <c r="K40">
        <f t="shared" ca="1" si="24"/>
        <v>3.8125</v>
      </c>
      <c r="L40" s="15">
        <f t="shared" ca="1" si="25"/>
        <v>1.1682581060907167E-3</v>
      </c>
      <c r="M40" s="9">
        <f t="shared" ca="1" si="15"/>
        <v>30.054485076630787</v>
      </c>
      <c r="N40" s="7">
        <f t="shared" ca="1" si="26"/>
        <v>18.032691045978471</v>
      </c>
      <c r="O40" s="7">
        <f t="shared" ca="1" si="27"/>
        <v>147.64265793894873</v>
      </c>
      <c r="P40" s="7">
        <f t="shared" ca="1" si="28"/>
        <v>0</v>
      </c>
      <c r="Q40" s="1">
        <v>6</v>
      </c>
      <c r="R40" s="7">
        <v>0.75</v>
      </c>
      <c r="S40" s="7">
        <v>0.44</v>
      </c>
      <c r="U40" t="e">
        <f t="shared" ca="1" si="29"/>
        <v>#N/A</v>
      </c>
      <c r="V40" t="e">
        <f t="shared" ca="1" si="30"/>
        <v>#N/A</v>
      </c>
      <c r="X40">
        <f t="shared" ca="1" si="31"/>
        <v>-5.7894367709648575</v>
      </c>
      <c r="Y40">
        <f t="shared" ca="1" si="32"/>
        <v>5.7894367709648584</v>
      </c>
      <c r="AC40">
        <f ca="1">IF(N40=0,0,N40*E40)</f>
        <v>104.39912462103651</v>
      </c>
      <c r="AD40">
        <f t="shared" ca="1" si="34"/>
        <v>104.39912462103649</v>
      </c>
      <c r="AJ40">
        <v>3.3161255787892236</v>
      </c>
      <c r="AK40">
        <v>-187.17108586502249</v>
      </c>
      <c r="AL40">
        <v>32.183691628696735</v>
      </c>
      <c r="AM40">
        <v>-207.96787318335831</v>
      </c>
      <c r="AN40">
        <v>35.759657365218594</v>
      </c>
      <c r="AQ40">
        <v>38</v>
      </c>
      <c r="AR40">
        <f t="shared" si="2"/>
        <v>9.4561290432806633</v>
      </c>
      <c r="AS40">
        <f t="shared" si="3"/>
        <v>7.3879377039078999</v>
      </c>
      <c r="AV40">
        <v>570.57374623674116</v>
      </c>
      <c r="AW40">
        <v>204.2941798473671</v>
      </c>
      <c r="AX40">
        <v>204.2941798473671</v>
      </c>
      <c r="AY40">
        <f t="shared" si="0"/>
        <v>288.91559985403478</v>
      </c>
      <c r="AZ40">
        <v>877.80576344114024</v>
      </c>
      <c r="BA40">
        <v>314.29873822671863</v>
      </c>
      <c r="BB40">
        <v>314.29873822671863</v>
      </c>
      <c r="BC40">
        <f t="shared" si="1"/>
        <v>444.48553823697665</v>
      </c>
      <c r="BF40">
        <v>570.39266597020287</v>
      </c>
      <c r="BG40">
        <v>111.38746544500405</v>
      </c>
      <c r="BH40">
        <v>267.32991706800971</v>
      </c>
      <c r="BI40">
        <f t="shared" si="4"/>
        <v>289.60741015701052</v>
      </c>
      <c r="BJ40">
        <v>877.52717841569665</v>
      </c>
      <c r="BK40">
        <v>171.36533145385238</v>
      </c>
      <c r="BL40">
        <v>411.27679548924567</v>
      </c>
      <c r="BM40">
        <f t="shared" si="5"/>
        <v>445.54986178001616</v>
      </c>
      <c r="BP40">
        <v>570.57374623674116</v>
      </c>
      <c r="BQ40">
        <v>2.7576943251830344E-14</v>
      </c>
      <c r="BR40">
        <v>288.91559985403484</v>
      </c>
      <c r="BS40">
        <f t="shared" si="6"/>
        <v>-288.91559985403484</v>
      </c>
      <c r="BT40">
        <v>877.80576344114024</v>
      </c>
      <c r="BU40">
        <v>4.242606654127745E-14</v>
      </c>
      <c r="BV40">
        <v>444.48553823697665</v>
      </c>
      <c r="BW40">
        <f t="shared" si="7"/>
        <v>-444.48553823697665</v>
      </c>
    </row>
    <row r="41" spans="1:75" x14ac:dyDescent="0.25">
      <c r="A41">
        <v>5</v>
      </c>
      <c r="B41" s="5">
        <f t="shared" si="16"/>
        <v>7</v>
      </c>
      <c r="C41" s="1">
        <f t="shared" ca="1" si="14"/>
        <v>0.6</v>
      </c>
      <c r="D41" s="46">
        <f t="shared" ca="1" si="17"/>
        <v>-8.1875</v>
      </c>
      <c r="E41" s="46">
        <f t="shared" ca="1" si="18"/>
        <v>1.0030902974564326E-15</v>
      </c>
      <c r="F41" s="1">
        <f t="shared" ca="1" si="19"/>
        <v>3.8125</v>
      </c>
      <c r="G41">
        <f t="shared" ca="1" si="20"/>
        <v>-8.1875</v>
      </c>
      <c r="H41">
        <f t="shared" ca="1" si="21"/>
        <v>1.0030902974564326E-15</v>
      </c>
      <c r="I41" s="7">
        <f t="shared" ca="1" si="22"/>
        <v>-5.7894367709648575</v>
      </c>
      <c r="J41" s="7">
        <f t="shared" ca="1" si="23"/>
        <v>5.7894367709648584</v>
      </c>
      <c r="K41">
        <f t="shared" ca="1" si="24"/>
        <v>6.2105632290351416</v>
      </c>
      <c r="L41" s="15">
        <f t="shared" ca="1" si="25"/>
        <v>1.6092104551820527E-5</v>
      </c>
      <c r="M41" s="9">
        <f t="shared" ca="1" si="15"/>
        <v>0.46667103200279531</v>
      </c>
      <c r="N41" s="7">
        <f t="shared" ca="1" si="26"/>
        <v>0.28000261920167718</v>
      </c>
      <c r="O41" s="7">
        <f t="shared" ca="1" si="27"/>
        <v>1.6210574595726608</v>
      </c>
      <c r="P41" s="7">
        <f t="shared" ca="1" si="28"/>
        <v>1.6210574595726606</v>
      </c>
      <c r="Q41" s="1">
        <v>7</v>
      </c>
      <c r="R41" s="7">
        <v>0.875</v>
      </c>
      <c r="S41" s="7">
        <v>0.6</v>
      </c>
      <c r="U41" t="e">
        <f t="shared" ca="1" si="29"/>
        <v>#N/A</v>
      </c>
      <c r="V41" t="e">
        <f t="shared" ca="1" si="30"/>
        <v>#N/A</v>
      </c>
      <c r="X41">
        <f t="shared" ca="1" si="31"/>
        <v>-8.1875</v>
      </c>
      <c r="Y41">
        <f t="shared" ca="1" si="32"/>
        <v>1.0030902974564326E-15</v>
      </c>
      <c r="AC41">
        <f t="shared" ca="1" si="33"/>
        <v>2.8086791058359062E-16</v>
      </c>
      <c r="AD41">
        <f t="shared" ca="1" si="34"/>
        <v>2.2925214447137319</v>
      </c>
      <c r="AJ41">
        <v>3.40339204138894</v>
      </c>
      <c r="AK41">
        <v>-184.91356023285439</v>
      </c>
      <c r="AL41">
        <v>48.33930941466587</v>
      </c>
      <c r="AM41">
        <v>-205.4595113698382</v>
      </c>
      <c r="AN41">
        <v>53.710343794073189</v>
      </c>
      <c r="AQ41">
        <v>39</v>
      </c>
      <c r="AR41">
        <f t="shared" si="2"/>
        <v>9.3257515374836508</v>
      </c>
      <c r="AS41">
        <f t="shared" si="3"/>
        <v>7.5518446925980491</v>
      </c>
      <c r="AV41">
        <v>594.45989713633764</v>
      </c>
      <c r="AW41">
        <v>203.49169710118369</v>
      </c>
      <c r="AX41">
        <v>203.49169706351805</v>
      </c>
      <c r="AY41">
        <f t="shared" si="0"/>
        <v>287.78071784417818</v>
      </c>
      <c r="AZ41">
        <v>914.55368790205785</v>
      </c>
      <c r="BA41">
        <v>313.06414938643644</v>
      </c>
      <c r="BB41">
        <v>313.06414932848929</v>
      </c>
      <c r="BC41">
        <f t="shared" si="1"/>
        <v>442.73956591412025</v>
      </c>
      <c r="BF41">
        <v>594.35809776158032</v>
      </c>
      <c r="BG41">
        <v>110.97490889835396</v>
      </c>
      <c r="BH41">
        <v>266.33978131102697</v>
      </c>
      <c r="BI41">
        <f t="shared" si="4"/>
        <v>288.53476309416101</v>
      </c>
      <c r="BJ41">
        <v>914.39707347935428</v>
      </c>
      <c r="BK41">
        <v>170.73062907439069</v>
      </c>
      <c r="BL41">
        <v>409.75350970927224</v>
      </c>
      <c r="BM41">
        <f t="shared" si="5"/>
        <v>443.89963552947847</v>
      </c>
      <c r="BP41">
        <v>594.45989713633764</v>
      </c>
      <c r="BQ41">
        <v>-1.3269537109061713E-15</v>
      </c>
      <c r="BR41">
        <v>287.78071784417818</v>
      </c>
      <c r="BS41">
        <f t="shared" si="6"/>
        <v>-287.78071784417818</v>
      </c>
      <c r="BT41">
        <v>914.55368790205785</v>
      </c>
      <c r="BU41">
        <v>-2.0414672475479558E-15</v>
      </c>
      <c r="BV41">
        <v>442.73956591412025</v>
      </c>
      <c r="BW41">
        <f t="shared" si="7"/>
        <v>-442.73956591412025</v>
      </c>
    </row>
    <row r="42" spans="1:75" x14ac:dyDescent="0.25">
      <c r="A42">
        <v>6</v>
      </c>
      <c r="B42" s="5">
        <f t="shared" si="16"/>
        <v>7</v>
      </c>
      <c r="C42" s="1">
        <f t="shared" ca="1" si="14"/>
        <v>0.6</v>
      </c>
      <c r="D42" s="46">
        <f t="shared" ca="1" si="17"/>
        <v>-5.7894367709648593</v>
      </c>
      <c r="E42" s="46">
        <f t="shared" ca="1" si="18"/>
        <v>-5.7894367709648575</v>
      </c>
      <c r="F42" s="1">
        <f t="shared" ca="1" si="19"/>
        <v>3.8125</v>
      </c>
      <c r="G42">
        <f t="shared" ca="1" si="20"/>
        <v>-5.7894367709648593</v>
      </c>
      <c r="H42">
        <f t="shared" ca="1" si="21"/>
        <v>-5.7894367709648575</v>
      </c>
      <c r="I42" s="7">
        <f t="shared" ca="1" si="22"/>
        <v>-8.1875</v>
      </c>
      <c r="J42" s="7">
        <f t="shared" ca="1" si="23"/>
        <v>0</v>
      </c>
      <c r="K42">
        <f t="shared" ca="1" si="24"/>
        <v>12</v>
      </c>
      <c r="L42" s="15">
        <f t="shared" ca="1" si="25"/>
        <v>-2.765482682468564E-3</v>
      </c>
      <c r="M42" s="9">
        <f t="shared" ca="1" si="15"/>
        <v>-60</v>
      </c>
      <c r="N42" s="7">
        <f t="shared" ca="1" si="26"/>
        <v>-36</v>
      </c>
      <c r="O42" s="7">
        <f t="shared" ca="1" si="27"/>
        <v>0</v>
      </c>
      <c r="P42" s="7">
        <f t="shared" ca="1" si="28"/>
        <v>-294.75</v>
      </c>
      <c r="Q42" s="1">
        <v>8</v>
      </c>
      <c r="R42" s="7">
        <v>1</v>
      </c>
      <c r="S42" s="7">
        <v>0.79</v>
      </c>
      <c r="U42">
        <f t="shared" ca="1" si="29"/>
        <v>-5.7894367709648593</v>
      </c>
      <c r="V42">
        <f t="shared" ca="1" si="30"/>
        <v>-5.7894367709648575</v>
      </c>
      <c r="X42" t="e">
        <f t="shared" ca="1" si="31"/>
        <v>#N/A</v>
      </c>
      <c r="Y42" t="e">
        <f t="shared" ca="1" si="32"/>
        <v>#N/A</v>
      </c>
      <c r="AC42">
        <f t="shared" ca="1" si="33"/>
        <v>208.41972375473486</v>
      </c>
      <c r="AD42">
        <f t="shared" ca="1" si="34"/>
        <v>-208.41972375473495</v>
      </c>
      <c r="AJ42">
        <v>3.4906585039886564</v>
      </c>
      <c r="AK42">
        <v>-181.67273775482417</v>
      </c>
      <c r="AL42">
        <v>64.818896396464822</v>
      </c>
      <c r="AM42">
        <v>-201.85859750536019</v>
      </c>
      <c r="AN42">
        <v>72.020995996072017</v>
      </c>
      <c r="AQ42">
        <v>40</v>
      </c>
      <c r="AR42">
        <f t="shared" si="2"/>
        <v>9.1925333174277366</v>
      </c>
      <c r="AS42">
        <f t="shared" si="3"/>
        <v>7.713451316238471</v>
      </c>
      <c r="AV42">
        <v>615.08138602628549</v>
      </c>
      <c r="AW42">
        <v>202.41776274326773</v>
      </c>
      <c r="AX42">
        <v>202.4177627432677</v>
      </c>
      <c r="AY42">
        <f t="shared" si="0"/>
        <v>286.26194533674862</v>
      </c>
      <c r="AZ42">
        <v>946.27905542505459</v>
      </c>
      <c r="BA42">
        <v>311.41194268195034</v>
      </c>
      <c r="BB42">
        <v>311.41194268195028</v>
      </c>
      <c r="BC42">
        <f t="shared" si="1"/>
        <v>440.40299282576706</v>
      </c>
      <c r="BF42">
        <v>617.6651082826894</v>
      </c>
      <c r="BG42">
        <v>110.32300853820085</v>
      </c>
      <c r="BH42">
        <v>264.77522049168203</v>
      </c>
      <c r="BI42">
        <f t="shared" si="4"/>
        <v>286.83982219932221</v>
      </c>
      <c r="BJ42">
        <v>950.254012742599</v>
      </c>
      <c r="BK42">
        <v>169.72770544338593</v>
      </c>
      <c r="BL42">
        <v>407.34649306412621</v>
      </c>
      <c r="BM42">
        <f t="shared" si="5"/>
        <v>441.29203415280341</v>
      </c>
      <c r="BP42">
        <v>615.08138602628549</v>
      </c>
      <c r="BQ42">
        <v>1.4494386497809651E-14</v>
      </c>
      <c r="BR42">
        <v>286.26194533674862</v>
      </c>
      <c r="BS42">
        <f t="shared" si="6"/>
        <v>-286.26194533674862</v>
      </c>
      <c r="BT42">
        <v>946.27905542505459</v>
      </c>
      <c r="BU42">
        <v>2.2299056150476385E-14</v>
      </c>
      <c r="BV42">
        <v>440.40299282576711</v>
      </c>
      <c r="BW42">
        <f t="shared" si="7"/>
        <v>-440.40299282576711</v>
      </c>
    </row>
    <row r="43" spans="1:75" x14ac:dyDescent="0.25">
      <c r="A43">
        <v>7</v>
      </c>
      <c r="B43" s="5">
        <f t="shared" si="16"/>
        <v>7</v>
      </c>
      <c r="C43" s="1">
        <f t="shared" ca="1" si="14"/>
        <v>0.6</v>
      </c>
      <c r="D43" s="46">
        <f t="shared" ca="1" si="17"/>
        <v>-1.504635446184649E-15</v>
      </c>
      <c r="E43" s="46">
        <f t="shared" ca="1" si="18"/>
        <v>-8.1875</v>
      </c>
      <c r="F43" s="1">
        <f t="shared" ca="1" si="19"/>
        <v>3.8125</v>
      </c>
      <c r="G43">
        <f t="shared" ca="1" si="20"/>
        <v>-1.504635446184649E-15</v>
      </c>
      <c r="H43">
        <f t="shared" ca="1" si="21"/>
        <v>-8.1875</v>
      </c>
      <c r="I43" s="7">
        <f t="shared" ca="1" si="22"/>
        <v>-5.7894367709648584</v>
      </c>
      <c r="J43" s="7">
        <f t="shared" ca="1" si="23"/>
        <v>-5.7894367709648575</v>
      </c>
      <c r="K43">
        <f t="shared" ca="1" si="24"/>
        <v>17.789436770964858</v>
      </c>
      <c r="L43" s="15">
        <f t="shared" ca="1" si="25"/>
        <v>-5.5470574694889488E-3</v>
      </c>
      <c r="M43" s="9">
        <f t="shared" ca="1" si="15"/>
        <v>-60</v>
      </c>
      <c r="N43" s="7">
        <f t="shared" ca="1" si="26"/>
        <v>-36</v>
      </c>
      <c r="O43" s="7">
        <f t="shared" ca="1" si="27"/>
        <v>208.41972375473486</v>
      </c>
      <c r="P43" s="7">
        <f t="shared" ca="1" si="28"/>
        <v>-208.41972375473489</v>
      </c>
      <c r="Q43" s="1">
        <v>9</v>
      </c>
      <c r="R43" s="7">
        <v>1.1279999999999999</v>
      </c>
      <c r="S43" s="7">
        <v>1</v>
      </c>
      <c r="U43">
        <f t="shared" ca="1" si="29"/>
        <v>-1.504635446184649E-15</v>
      </c>
      <c r="V43">
        <f t="shared" ca="1" si="30"/>
        <v>-8.1875</v>
      </c>
      <c r="X43" t="e">
        <f t="shared" ca="1" si="31"/>
        <v>#N/A</v>
      </c>
      <c r="Y43" t="e">
        <f t="shared" ca="1" si="32"/>
        <v>#N/A</v>
      </c>
      <c r="AC43">
        <f t="shared" ca="1" si="33"/>
        <v>294.75</v>
      </c>
      <c r="AD43">
        <f t="shared" ca="1" si="34"/>
        <v>-5.4166876062647362E-14</v>
      </c>
      <c r="AJ43">
        <v>3.5779249665883728</v>
      </c>
      <c r="AK43">
        <v>-174.29590601413068</v>
      </c>
      <c r="AL43">
        <v>82.628143632192049</v>
      </c>
      <c r="AM43">
        <v>-193.66211779347853</v>
      </c>
      <c r="AN43">
        <v>91.809048480213391</v>
      </c>
      <c r="AQ43">
        <v>41</v>
      </c>
      <c r="AR43">
        <f t="shared" si="2"/>
        <v>9.0565149626732637</v>
      </c>
      <c r="AS43">
        <f t="shared" si="3"/>
        <v>7.8727083478860873</v>
      </c>
      <c r="AV43">
        <v>638.41440709817391</v>
      </c>
      <c r="AW43">
        <v>201.06844372127918</v>
      </c>
      <c r="AX43">
        <v>201.06844372127915</v>
      </c>
      <c r="AY43">
        <f t="shared" si="0"/>
        <v>284.35372007588438</v>
      </c>
      <c r="AZ43">
        <v>982.17601092026757</v>
      </c>
      <c r="BA43">
        <v>309.33606726350644</v>
      </c>
      <c r="BB43">
        <v>309.33606726350638</v>
      </c>
      <c r="BC43">
        <f t="shared" si="1"/>
        <v>437.46726165520676</v>
      </c>
      <c r="BF43">
        <v>640.71468554833314</v>
      </c>
      <c r="BG43">
        <v>109.52462367955896</v>
      </c>
      <c r="BH43">
        <v>262.85909683094138</v>
      </c>
      <c r="BI43">
        <f t="shared" si="4"/>
        <v>284.76402156685316</v>
      </c>
      <c r="BJ43">
        <v>985.71490084358936</v>
      </c>
      <c r="BK43">
        <v>168.49942104547532</v>
      </c>
      <c r="BL43">
        <v>404.39861050914055</v>
      </c>
      <c r="BM43">
        <f t="shared" si="5"/>
        <v>438.09849471823566</v>
      </c>
      <c r="BP43">
        <v>638.41440709817391</v>
      </c>
      <c r="BQ43">
        <v>2.9564095503521084E-15</v>
      </c>
      <c r="BR43">
        <v>284.35372007588438</v>
      </c>
      <c r="BS43">
        <f t="shared" si="6"/>
        <v>-284.35372007588438</v>
      </c>
      <c r="BT43">
        <v>982.17601092026757</v>
      </c>
      <c r="BU43">
        <v>4.5483223851570899E-15</v>
      </c>
      <c r="BV43">
        <v>437.46726165520676</v>
      </c>
      <c r="BW43">
        <f t="shared" si="7"/>
        <v>-437.46726165520676</v>
      </c>
    </row>
    <row r="44" spans="1:75" x14ac:dyDescent="0.25">
      <c r="A44">
        <v>8</v>
      </c>
      <c r="B44" s="5">
        <f t="shared" si="16"/>
        <v>7</v>
      </c>
      <c r="C44" s="1">
        <f t="shared" ca="1" si="14"/>
        <v>0.6</v>
      </c>
      <c r="D44" s="46">
        <f t="shared" ca="1" si="17"/>
        <v>5.7894367709648566</v>
      </c>
      <c r="E44" s="46">
        <f t="shared" ca="1" si="18"/>
        <v>-5.7894367709648593</v>
      </c>
      <c r="F44" s="1">
        <f t="shared" ca="1" si="19"/>
        <v>3.8125</v>
      </c>
      <c r="G44">
        <f t="shared" ca="1" si="20"/>
        <v>5.7894367709648566</v>
      </c>
      <c r="H44">
        <f t="shared" ca="1" si="21"/>
        <v>-5.7894367709648593</v>
      </c>
      <c r="I44" s="7">
        <f t="shared" ca="1" si="22"/>
        <v>0</v>
      </c>
      <c r="J44" s="7">
        <f t="shared" ca="1" si="23"/>
        <v>-8.1875</v>
      </c>
      <c r="K44">
        <f t="shared" ca="1" si="24"/>
        <v>20.1875</v>
      </c>
      <c r="L44" s="15">
        <f t="shared" ca="1" si="25"/>
        <v>-6.6992234710278441E-3</v>
      </c>
      <c r="M44" s="9">
        <f t="shared" ca="1" si="15"/>
        <v>-60</v>
      </c>
      <c r="N44" s="7">
        <f t="shared" ca="1" si="26"/>
        <v>-36</v>
      </c>
      <c r="O44" s="7">
        <f t="shared" ca="1" si="27"/>
        <v>294.75</v>
      </c>
      <c r="P44" s="7">
        <f t="shared" ca="1" si="28"/>
        <v>0</v>
      </c>
      <c r="Q44" s="1">
        <v>10</v>
      </c>
      <c r="R44" s="7">
        <v>1.27</v>
      </c>
      <c r="S44" s="7">
        <v>1.27</v>
      </c>
      <c r="U44">
        <f t="shared" ca="1" si="29"/>
        <v>5.7894367709648566</v>
      </c>
      <c r="V44">
        <f t="shared" ca="1" si="30"/>
        <v>-5.7894367709648593</v>
      </c>
      <c r="X44" t="e">
        <f t="shared" ca="1" si="31"/>
        <v>#N/A</v>
      </c>
      <c r="Y44" t="e">
        <f t="shared" ca="1" si="32"/>
        <v>#N/A</v>
      </c>
      <c r="AC44">
        <f t="shared" ca="1" si="33"/>
        <v>208.41972375473495</v>
      </c>
      <c r="AD44">
        <f t="shared" ca="1" si="34"/>
        <v>208.41972375473483</v>
      </c>
      <c r="AJ44">
        <v>3.6651914291880892</v>
      </c>
      <c r="AK44">
        <v>-164.9346858589841</v>
      </c>
      <c r="AL44">
        <v>96.572578889012561</v>
      </c>
      <c r="AM44">
        <v>-183.26076206553788</v>
      </c>
      <c r="AN44">
        <v>107.30286543223617</v>
      </c>
      <c r="AQ44">
        <v>42</v>
      </c>
      <c r="AR44">
        <f t="shared" si="2"/>
        <v>8.9177379057287318</v>
      </c>
      <c r="AS44">
        <f t="shared" si="3"/>
        <v>8.0295672763062989</v>
      </c>
      <c r="AV44">
        <v>661.48264964336772</v>
      </c>
      <c r="AW44">
        <v>199.44081921486503</v>
      </c>
      <c r="AX44">
        <v>199.44081921486503</v>
      </c>
      <c r="AY44">
        <f t="shared" si="0"/>
        <v>282.05191142446267</v>
      </c>
      <c r="AZ44">
        <v>1017.6656148359504</v>
      </c>
      <c r="BA44">
        <v>306.83202956133078</v>
      </c>
      <c r="BB44">
        <v>306.83202956133078</v>
      </c>
      <c r="BC44">
        <f t="shared" si="1"/>
        <v>433.9260175760964</v>
      </c>
      <c r="BF44">
        <v>663.51298073508315</v>
      </c>
      <c r="BG44">
        <v>108.5779295433404</v>
      </c>
      <c r="BH44">
        <v>260.5870309040169</v>
      </c>
      <c r="BI44">
        <f t="shared" si="4"/>
        <v>282.30261681268496</v>
      </c>
      <c r="BJ44">
        <v>1020.7892011308971</v>
      </c>
      <c r="BK44">
        <v>167.04296852821599</v>
      </c>
      <c r="BL44">
        <v>400.90312446771827</v>
      </c>
      <c r="BM44">
        <f t="shared" si="5"/>
        <v>434.31171817336144</v>
      </c>
      <c r="BP44">
        <v>661.48264964336772</v>
      </c>
      <c r="BQ44">
        <v>-1.6580605889122844E-14</v>
      </c>
      <c r="BR44">
        <v>282.05191142446273</v>
      </c>
      <c r="BS44">
        <f t="shared" si="6"/>
        <v>-282.05191142446273</v>
      </c>
      <c r="BT44">
        <v>1017.6656148359504</v>
      </c>
      <c r="BU44">
        <v>-2.5508624444804373E-14</v>
      </c>
      <c r="BV44">
        <v>433.92601757609651</v>
      </c>
      <c r="BW44">
        <f t="shared" si="7"/>
        <v>-433.92601757609651</v>
      </c>
    </row>
    <row r="45" spans="1:75" x14ac:dyDescent="0.25">
      <c r="A45">
        <v>9</v>
      </c>
      <c r="B45" s="5">
        <f t="shared" si="16"/>
        <v>7</v>
      </c>
      <c r="C45" s="1">
        <f t="shared" ca="1" si="14"/>
        <v>0</v>
      </c>
      <c r="D45" s="46">
        <f t="shared" si="17"/>
        <v>0</v>
      </c>
      <c r="E45" s="46">
        <f t="shared" si="18"/>
        <v>0</v>
      </c>
      <c r="F45" s="1">
        <f t="shared" ca="1" si="19"/>
        <v>3.8125</v>
      </c>
      <c r="G45" t="e">
        <f t="shared" ca="1" si="20"/>
        <v>#N/A</v>
      </c>
      <c r="H45" t="e">
        <f t="shared" ca="1" si="21"/>
        <v>#N/A</v>
      </c>
      <c r="I45" s="7">
        <f t="shared" si="22"/>
        <v>0</v>
      </c>
      <c r="J45" s="7">
        <f t="shared" si="23"/>
        <v>0</v>
      </c>
      <c r="K45">
        <f t="shared" si="24"/>
        <v>12</v>
      </c>
      <c r="L45" s="15">
        <f t="shared" ca="1" si="25"/>
        <v>0</v>
      </c>
      <c r="M45" s="9">
        <f t="shared" ca="1" si="15"/>
        <v>0</v>
      </c>
      <c r="N45" s="7">
        <f t="shared" ca="1" si="26"/>
        <v>0</v>
      </c>
      <c r="O45" s="7">
        <f t="shared" ca="1" si="27"/>
        <v>0</v>
      </c>
      <c r="P45" s="7">
        <f t="shared" ca="1" si="28"/>
        <v>0</v>
      </c>
      <c r="Q45" s="1">
        <v>11</v>
      </c>
      <c r="R45" s="7">
        <v>1.41</v>
      </c>
      <c r="S45" s="7">
        <v>1.56</v>
      </c>
      <c r="U45" t="e">
        <f t="shared" ca="1" si="29"/>
        <v>#N/A</v>
      </c>
      <c r="V45" t="e">
        <f t="shared" ca="1" si="30"/>
        <v>#N/A</v>
      </c>
      <c r="X45" t="e">
        <f t="shared" ca="1" si="31"/>
        <v>#N/A</v>
      </c>
      <c r="Y45" t="e">
        <f t="shared" ca="1" si="32"/>
        <v>#N/A</v>
      </c>
      <c r="AC45">
        <f t="shared" ca="1" si="33"/>
        <v>0</v>
      </c>
      <c r="AD45">
        <f t="shared" ca="1" si="34"/>
        <v>0</v>
      </c>
      <c r="AJ45">
        <v>3.7524578917878055</v>
      </c>
      <c r="AK45">
        <v>-155.10725065147588</v>
      </c>
      <c r="AL45">
        <v>109.59263746293794</v>
      </c>
      <c r="AM45">
        <v>-172.34138961275099</v>
      </c>
      <c r="AN45">
        <v>121.76959718104216</v>
      </c>
      <c r="AQ45">
        <v>43</v>
      </c>
      <c r="AR45">
        <f t="shared" si="2"/>
        <v>8.7762444194300464</v>
      </c>
      <c r="AS45">
        <f t="shared" si="3"/>
        <v>8.1839803207499813</v>
      </c>
      <c r="AV45">
        <v>684.29150674691243</v>
      </c>
      <c r="AW45">
        <v>197.53293869284326</v>
      </c>
      <c r="AX45">
        <v>197.53293869284323</v>
      </c>
      <c r="AY45">
        <f t="shared" si="0"/>
        <v>279.35376091483204</v>
      </c>
      <c r="AZ45">
        <v>1052.7561642260191</v>
      </c>
      <c r="BA45">
        <v>303.89682875822041</v>
      </c>
      <c r="BB45">
        <v>303.89682875822035</v>
      </c>
      <c r="BC45">
        <f t="shared" si="1"/>
        <v>429.77501679204926</v>
      </c>
      <c r="BF45">
        <v>686.06444537588686</v>
      </c>
      <c r="BG45">
        <v>107.48165108131874</v>
      </c>
      <c r="BH45">
        <v>257.95596259516492</v>
      </c>
      <c r="BI45">
        <f t="shared" si="4"/>
        <v>279.45229281142866</v>
      </c>
      <c r="BJ45">
        <v>1055.4837621167489</v>
      </c>
      <c r="BK45">
        <v>165.3563862789519</v>
      </c>
      <c r="BL45">
        <v>396.85532706948447</v>
      </c>
      <c r="BM45">
        <f t="shared" si="5"/>
        <v>429.92660432527487</v>
      </c>
      <c r="BP45">
        <v>684.29150674691243</v>
      </c>
      <c r="BQ45">
        <v>2.0902487188537021E-15</v>
      </c>
      <c r="BR45">
        <v>279.35376091483204</v>
      </c>
      <c r="BS45">
        <f t="shared" si="6"/>
        <v>-279.35376091483204</v>
      </c>
      <c r="BT45">
        <v>1052.7561642260191</v>
      </c>
      <c r="BU45">
        <v>3.215767259774926E-15</v>
      </c>
      <c r="BV45">
        <v>429.77501679204926</v>
      </c>
      <c r="BW45">
        <f t="shared" si="7"/>
        <v>-429.77501679204926</v>
      </c>
    </row>
    <row r="46" spans="1:75" x14ac:dyDescent="0.25">
      <c r="A46">
        <v>10</v>
      </c>
      <c r="B46" s="5">
        <f t="shared" si="16"/>
        <v>7</v>
      </c>
      <c r="C46" s="1">
        <f t="shared" ca="1" si="14"/>
        <v>0</v>
      </c>
      <c r="D46" s="46">
        <f t="shared" si="17"/>
        <v>0</v>
      </c>
      <c r="E46" s="46">
        <f t="shared" si="18"/>
        <v>0</v>
      </c>
      <c r="F46" s="1">
        <f t="shared" ca="1" si="19"/>
        <v>3.8125</v>
      </c>
      <c r="G46" t="e">
        <f t="shared" ca="1" si="20"/>
        <v>#N/A</v>
      </c>
      <c r="H46" t="e">
        <f t="shared" ca="1" si="21"/>
        <v>#N/A</v>
      </c>
      <c r="I46" s="7">
        <f t="shared" si="22"/>
        <v>0</v>
      </c>
      <c r="J46" s="7">
        <f t="shared" si="23"/>
        <v>0</v>
      </c>
      <c r="K46">
        <f t="shared" si="24"/>
        <v>12</v>
      </c>
      <c r="L46" s="15">
        <f t="shared" ca="1" si="25"/>
        <v>0</v>
      </c>
      <c r="M46" s="9">
        <f t="shared" ca="1" si="15"/>
        <v>0</v>
      </c>
      <c r="N46" s="7">
        <f t="shared" ca="1" si="26"/>
        <v>0</v>
      </c>
      <c r="O46" s="7">
        <f t="shared" ca="1" si="27"/>
        <v>0</v>
      </c>
      <c r="P46" s="7">
        <f t="shared" ca="1" si="28"/>
        <v>0</v>
      </c>
      <c r="Q46" s="1">
        <v>14</v>
      </c>
      <c r="R46" s="7">
        <v>1.6930000000000001</v>
      </c>
      <c r="S46" s="7">
        <v>2.25</v>
      </c>
      <c r="U46" t="e">
        <f t="shared" ca="1" si="29"/>
        <v>#N/A</v>
      </c>
      <c r="V46" t="e">
        <f t="shared" ca="1" si="30"/>
        <v>#N/A</v>
      </c>
      <c r="X46" t="e">
        <f t="shared" ca="1" si="31"/>
        <v>#N/A</v>
      </c>
      <c r="Y46" t="e">
        <f t="shared" ca="1" si="32"/>
        <v>#N/A</v>
      </c>
      <c r="AC46">
        <f t="shared" ca="1" si="33"/>
        <v>0</v>
      </c>
      <c r="AD46">
        <f t="shared" ca="1" si="34"/>
        <v>0</v>
      </c>
      <c r="AJ46">
        <v>3.8397243543875219</v>
      </c>
      <c r="AK46">
        <v>-144.65012571630274</v>
      </c>
      <c r="AL46">
        <v>121.91521934139556</v>
      </c>
      <c r="AM46">
        <v>-160.72236190700303</v>
      </c>
      <c r="AN46">
        <v>135.46135482377284</v>
      </c>
      <c r="AQ46">
        <v>44</v>
      </c>
      <c r="AR46">
        <f t="shared" si="2"/>
        <v>8.6320776040638147</v>
      </c>
      <c r="AS46">
        <f t="shared" si="3"/>
        <v>8.335900445507967</v>
      </c>
      <c r="AV46">
        <v>706.84475205652723</v>
      </c>
      <c r="AW46">
        <v>195.34378797219648</v>
      </c>
      <c r="AX46">
        <v>195.34378797219654</v>
      </c>
      <c r="AY46">
        <f t="shared" si="0"/>
        <v>276.25783427561458</v>
      </c>
      <c r="AZ46">
        <v>1087.4534647023495</v>
      </c>
      <c r="BA46">
        <v>300.52890457260997</v>
      </c>
      <c r="BB46">
        <v>300.52890457261003</v>
      </c>
      <c r="BC46">
        <f t="shared" si="1"/>
        <v>425.01205273171473</v>
      </c>
      <c r="BF46">
        <v>708.3719971567142</v>
      </c>
      <c r="BG46">
        <v>106.23504201391134</v>
      </c>
      <c r="BH46">
        <v>254.96410083338719</v>
      </c>
      <c r="BI46">
        <f t="shared" si="4"/>
        <v>276.21110923616942</v>
      </c>
      <c r="BJ46">
        <v>1089.8030725487911</v>
      </c>
      <c r="BK46">
        <v>163.4385261752482</v>
      </c>
      <c r="BL46">
        <v>392.25246282059567</v>
      </c>
      <c r="BM46">
        <f t="shared" si="5"/>
        <v>424.9401680556453</v>
      </c>
      <c r="BP46">
        <v>706.84475205652723</v>
      </c>
      <c r="BQ46">
        <v>2.2159579910944634E-14</v>
      </c>
      <c r="BR46">
        <v>276.25783427561458</v>
      </c>
      <c r="BS46">
        <f t="shared" si="6"/>
        <v>-276.25783427561458</v>
      </c>
      <c r="BT46">
        <v>1087.4534647023495</v>
      </c>
      <c r="BU46">
        <v>3.4091661401453284E-14</v>
      </c>
      <c r="BV46">
        <v>425.01205273171473</v>
      </c>
      <c r="BW46">
        <f t="shared" si="7"/>
        <v>-425.01205273171473</v>
      </c>
    </row>
    <row r="47" spans="1:75" x14ac:dyDescent="0.25">
      <c r="A47">
        <v>11</v>
      </c>
      <c r="B47" s="5">
        <f t="shared" si="16"/>
        <v>7</v>
      </c>
      <c r="C47" s="1">
        <f t="shared" ca="1" si="14"/>
        <v>0</v>
      </c>
      <c r="D47" s="46">
        <f t="shared" si="17"/>
        <v>0</v>
      </c>
      <c r="E47" s="46">
        <f t="shared" si="18"/>
        <v>0</v>
      </c>
      <c r="F47" s="1">
        <f t="shared" ca="1" si="19"/>
        <v>3.8125</v>
      </c>
      <c r="G47" t="e">
        <f t="shared" ca="1" si="20"/>
        <v>#N/A</v>
      </c>
      <c r="H47" t="e">
        <f t="shared" ca="1" si="21"/>
        <v>#N/A</v>
      </c>
      <c r="I47" s="7">
        <f t="shared" si="22"/>
        <v>0</v>
      </c>
      <c r="J47" s="7">
        <f t="shared" si="23"/>
        <v>0</v>
      </c>
      <c r="K47">
        <f t="shared" si="24"/>
        <v>12</v>
      </c>
      <c r="L47" s="15">
        <f t="shared" ca="1" si="25"/>
        <v>0</v>
      </c>
      <c r="M47" s="9">
        <f t="shared" ca="1" si="15"/>
        <v>0</v>
      </c>
      <c r="N47" s="7">
        <f t="shared" ca="1" si="26"/>
        <v>0</v>
      </c>
      <c r="O47" s="7">
        <f t="shared" ca="1" si="27"/>
        <v>0</v>
      </c>
      <c r="P47" s="7">
        <f t="shared" ca="1" si="28"/>
        <v>0</v>
      </c>
      <c r="Q47" s="1">
        <v>18</v>
      </c>
      <c r="R47" s="7">
        <v>2.2570000000000001</v>
      </c>
      <c r="S47" s="7">
        <v>4</v>
      </c>
      <c r="U47" t="e">
        <f t="shared" ca="1" si="29"/>
        <v>#N/A</v>
      </c>
      <c r="V47" t="e">
        <f t="shared" ca="1" si="30"/>
        <v>#N/A</v>
      </c>
      <c r="X47" t="e">
        <f t="shared" ca="1" si="31"/>
        <v>#N/A</v>
      </c>
      <c r="Y47" t="e">
        <f t="shared" ca="1" si="32"/>
        <v>#N/A</v>
      </c>
      <c r="AC47">
        <f t="shared" ca="1" si="33"/>
        <v>0</v>
      </c>
      <c r="AD47">
        <f t="shared" ca="1" si="34"/>
        <v>0</v>
      </c>
      <c r="AJ47">
        <v>3.9269908169872383</v>
      </c>
      <c r="AK47">
        <v>-133.58915337478007</v>
      </c>
      <c r="AL47">
        <v>133.58915337477924</v>
      </c>
      <c r="AM47">
        <v>-148.43239263864453</v>
      </c>
      <c r="AN47">
        <v>148.43239263864359</v>
      </c>
      <c r="AQ47">
        <v>45</v>
      </c>
      <c r="AR47">
        <f t="shared" si="2"/>
        <v>8.4852813742385713</v>
      </c>
      <c r="AS47">
        <f t="shared" si="3"/>
        <v>8.4852813742385695</v>
      </c>
      <c r="AV47">
        <v>729.14468930546036</v>
      </c>
      <c r="AW47">
        <v>192.87326254875339</v>
      </c>
      <c r="AX47">
        <v>192.87326251292382</v>
      </c>
      <c r="AY47">
        <f t="shared" si="0"/>
        <v>272.76398369025844</v>
      </c>
      <c r="AZ47">
        <v>1121.7610604699389</v>
      </c>
      <c r="BA47">
        <v>296.72809622885137</v>
      </c>
      <c r="BB47">
        <v>296.72809617372894</v>
      </c>
      <c r="BC47">
        <f t="shared" si="1"/>
        <v>419.63689798501298</v>
      </c>
      <c r="BF47">
        <v>730.43715992996067</v>
      </c>
      <c r="BG47">
        <v>104.83786815188355</v>
      </c>
      <c r="BH47">
        <v>251.61088356452044</v>
      </c>
      <c r="BI47">
        <f t="shared" si="4"/>
        <v>272.57845719489717</v>
      </c>
      <c r="BJ47">
        <v>1123.749476815324</v>
      </c>
      <c r="BK47">
        <v>161.28902792597469</v>
      </c>
      <c r="BL47">
        <v>387.0936670223391</v>
      </c>
      <c r="BM47">
        <f t="shared" si="5"/>
        <v>419.35147260753405</v>
      </c>
      <c r="BP47">
        <v>729.14468930546013</v>
      </c>
      <c r="BQ47">
        <v>-1.2373473471413971E-14</v>
      </c>
      <c r="BR47">
        <v>272.76398369025839</v>
      </c>
      <c r="BS47">
        <f t="shared" si="6"/>
        <v>-272.76398369025839</v>
      </c>
      <c r="BT47">
        <v>1121.7610604699387</v>
      </c>
      <c r="BU47">
        <v>-1.903611303294457E-14</v>
      </c>
      <c r="BV47">
        <v>419.63689798501287</v>
      </c>
      <c r="BW47">
        <f t="shared" si="7"/>
        <v>-419.63689798501287</v>
      </c>
    </row>
    <row r="48" spans="1:75" x14ac:dyDescent="0.25">
      <c r="A48">
        <v>12</v>
      </c>
      <c r="B48" s="5">
        <f t="shared" si="16"/>
        <v>7</v>
      </c>
      <c r="C48" s="1">
        <f t="shared" ca="1" si="14"/>
        <v>0</v>
      </c>
      <c r="D48" s="46">
        <f t="shared" si="17"/>
        <v>0</v>
      </c>
      <c r="E48" s="46">
        <f t="shared" si="18"/>
        <v>0</v>
      </c>
      <c r="F48" s="1">
        <f t="shared" ca="1" si="19"/>
        <v>3.8125</v>
      </c>
      <c r="G48" t="e">
        <f t="shared" ca="1" si="20"/>
        <v>#N/A</v>
      </c>
      <c r="H48" t="e">
        <f t="shared" ca="1" si="21"/>
        <v>#N/A</v>
      </c>
      <c r="I48" s="7">
        <f t="shared" si="22"/>
        <v>0</v>
      </c>
      <c r="J48" s="7">
        <f t="shared" si="23"/>
        <v>0</v>
      </c>
      <c r="K48">
        <f t="shared" si="24"/>
        <v>12</v>
      </c>
      <c r="L48" s="15">
        <f t="shared" ca="1" si="25"/>
        <v>0</v>
      </c>
      <c r="M48" s="9">
        <f t="shared" ca="1" si="15"/>
        <v>0</v>
      </c>
      <c r="N48" s="7">
        <f t="shared" ca="1" si="26"/>
        <v>0</v>
      </c>
      <c r="O48" s="7">
        <f t="shared" ca="1" si="27"/>
        <v>0</v>
      </c>
      <c r="P48" s="7">
        <f t="shared" ca="1" si="28"/>
        <v>0</v>
      </c>
      <c r="U48" t="e">
        <f t="shared" ca="1" si="29"/>
        <v>#N/A</v>
      </c>
      <c r="V48" t="e">
        <f t="shared" ca="1" si="30"/>
        <v>#N/A</v>
      </c>
      <c r="X48" t="e">
        <f t="shared" ca="1" si="31"/>
        <v>#N/A</v>
      </c>
      <c r="Y48" t="e">
        <f t="shared" ca="1" si="32"/>
        <v>#N/A</v>
      </c>
      <c r="AC48">
        <f t="shared" ca="1" si="33"/>
        <v>0</v>
      </c>
      <c r="AD48">
        <f t="shared" ca="1" si="34"/>
        <v>0</v>
      </c>
      <c r="AJ48">
        <v>4.0142572795869551</v>
      </c>
      <c r="AK48">
        <v>-121.91521934139639</v>
      </c>
      <c r="AL48">
        <v>144.65012571630194</v>
      </c>
      <c r="AM48">
        <v>-135.46135482377377</v>
      </c>
      <c r="AN48">
        <v>160.72236190700215</v>
      </c>
      <c r="AQ48">
        <v>46</v>
      </c>
      <c r="AR48">
        <f t="shared" si="2"/>
        <v>8.335900445507967</v>
      </c>
      <c r="AS48">
        <f t="shared" si="3"/>
        <v>8.632077604063813</v>
      </c>
      <c r="AV48">
        <v>751.19227840041151</v>
      </c>
      <c r="AW48">
        <v>190.1221473694356</v>
      </c>
      <c r="AX48">
        <v>190.1221473694356</v>
      </c>
      <c r="AY48">
        <f t="shared" si="0"/>
        <v>268.87331931735207</v>
      </c>
      <c r="AZ48">
        <v>1155.6804283083254</v>
      </c>
      <c r="BA48">
        <v>292.49561133759323</v>
      </c>
      <c r="BB48">
        <v>292.49561133759323</v>
      </c>
      <c r="BC48">
        <f t="shared" si="1"/>
        <v>413.65126048823396</v>
      </c>
      <c r="BF48">
        <v>752.26018153321036</v>
      </c>
      <c r="BG48">
        <v>103.29039456229924</v>
      </c>
      <c r="BH48">
        <v>247.89694694951811</v>
      </c>
      <c r="BI48">
        <f t="shared" si="4"/>
        <v>268.55502586197798</v>
      </c>
      <c r="BJ48">
        <v>1157.323356204939</v>
      </c>
      <c r="BK48">
        <v>158.90829932661421</v>
      </c>
      <c r="BL48">
        <v>381.37991838387399</v>
      </c>
      <c r="BM48">
        <f t="shared" si="5"/>
        <v>413.16157824919679</v>
      </c>
      <c r="BP48">
        <v>751.19227840041151</v>
      </c>
      <c r="BQ48">
        <v>-9.2994551496965244E-15</v>
      </c>
      <c r="BR48">
        <v>268.87331931735207</v>
      </c>
      <c r="BS48">
        <f t="shared" si="6"/>
        <v>-268.87331931735207</v>
      </c>
      <c r="BT48">
        <v>1155.6804283083254</v>
      </c>
      <c r="BU48">
        <v>-1.430685407645619E-14</v>
      </c>
      <c r="BV48">
        <v>413.65126048823396</v>
      </c>
      <c r="BW48">
        <f t="shared" si="7"/>
        <v>-413.65126048823396</v>
      </c>
    </row>
    <row r="49" spans="1:75" x14ac:dyDescent="0.25">
      <c r="A49">
        <v>13</v>
      </c>
      <c r="B49" s="5">
        <f t="shared" si="16"/>
        <v>7</v>
      </c>
      <c r="C49" s="1">
        <f t="shared" ca="1" si="14"/>
        <v>0</v>
      </c>
      <c r="D49" s="46">
        <f t="shared" si="17"/>
        <v>0</v>
      </c>
      <c r="E49" s="46">
        <f t="shared" si="18"/>
        <v>0</v>
      </c>
      <c r="F49" s="1">
        <f t="shared" ca="1" si="19"/>
        <v>3.8125</v>
      </c>
      <c r="G49" t="e">
        <f t="shared" ca="1" si="20"/>
        <v>#N/A</v>
      </c>
      <c r="H49" t="e">
        <f t="shared" ca="1" si="21"/>
        <v>#N/A</v>
      </c>
      <c r="I49" s="7">
        <f t="shared" si="22"/>
        <v>0</v>
      </c>
      <c r="J49" s="7">
        <f t="shared" si="23"/>
        <v>0</v>
      </c>
      <c r="K49">
        <f t="shared" si="24"/>
        <v>12</v>
      </c>
      <c r="L49" s="15">
        <f t="shared" ca="1" si="25"/>
        <v>0</v>
      </c>
      <c r="M49" s="9">
        <f t="shared" ca="1" si="15"/>
        <v>0</v>
      </c>
      <c r="N49" s="7">
        <f t="shared" ca="1" si="26"/>
        <v>0</v>
      </c>
      <c r="O49" s="7">
        <f t="shared" ca="1" si="27"/>
        <v>0</v>
      </c>
      <c r="P49" s="7">
        <f t="shared" ca="1" si="28"/>
        <v>0</v>
      </c>
      <c r="U49" t="e">
        <f t="shared" ca="1" si="29"/>
        <v>#N/A</v>
      </c>
      <c r="V49" t="e">
        <f t="shared" ca="1" si="30"/>
        <v>#N/A</v>
      </c>
      <c r="X49" t="e">
        <f t="shared" ca="1" si="31"/>
        <v>#N/A</v>
      </c>
      <c r="Y49" t="e">
        <f t="shared" ca="1" si="32"/>
        <v>#N/A</v>
      </c>
      <c r="AC49">
        <f t="shared" ca="1" si="33"/>
        <v>0</v>
      </c>
      <c r="AD49">
        <f t="shared" ca="1" si="34"/>
        <v>0</v>
      </c>
      <c r="AJ49">
        <v>4.1015237421866715</v>
      </c>
      <c r="AK49">
        <v>-109.59263746293887</v>
      </c>
      <c r="AL49">
        <v>155.10725065147508</v>
      </c>
      <c r="AM49">
        <v>-121.76959718104318</v>
      </c>
      <c r="AN49">
        <v>172.34138961275008</v>
      </c>
      <c r="AQ49">
        <v>47</v>
      </c>
      <c r="AR49">
        <f t="shared" si="2"/>
        <v>8.1839803207499813</v>
      </c>
      <c r="AS49">
        <f t="shared" si="3"/>
        <v>8.7762444194300464</v>
      </c>
      <c r="AV49">
        <v>772.98724117561812</v>
      </c>
      <c r="AW49">
        <v>187.09210290182563</v>
      </c>
      <c r="AX49">
        <v>187.09210290182563</v>
      </c>
      <c r="AY49">
        <f t="shared" si="0"/>
        <v>264.58818933666447</v>
      </c>
      <c r="AZ49">
        <v>1189.2111402701817</v>
      </c>
      <c r="BA49">
        <v>287.83400446434712</v>
      </c>
      <c r="BB49">
        <v>287.83400446434712</v>
      </c>
      <c r="BC49">
        <f t="shared" si="1"/>
        <v>407.05875282563767</v>
      </c>
      <c r="BF49">
        <v>773.84013232973803</v>
      </c>
      <c r="BG49">
        <v>101.5933762536251</v>
      </c>
      <c r="BH49">
        <v>243.82410300870023</v>
      </c>
      <c r="BI49">
        <f t="shared" si="4"/>
        <v>264.14277825942526</v>
      </c>
      <c r="BJ49">
        <v>1190.5232805072892</v>
      </c>
      <c r="BK49">
        <v>156.29750192865399</v>
      </c>
      <c r="BL49">
        <v>375.11400462876958</v>
      </c>
      <c r="BM49">
        <f t="shared" si="5"/>
        <v>406.37350501450038</v>
      </c>
      <c r="BP49">
        <v>772.98724117561812</v>
      </c>
      <c r="BQ49">
        <v>-3.47367313856904E-15</v>
      </c>
      <c r="BR49">
        <v>264.58818933666447</v>
      </c>
      <c r="BS49">
        <f t="shared" si="6"/>
        <v>-264.58818933666447</v>
      </c>
      <c r="BT49">
        <v>1189.2111402701817</v>
      </c>
      <c r="BU49">
        <v>-5.3441125208754458E-15</v>
      </c>
      <c r="BV49">
        <v>407.05875282563761</v>
      </c>
      <c r="BW49">
        <f t="shared" si="7"/>
        <v>-407.05875282563761</v>
      </c>
    </row>
    <row r="50" spans="1:75" x14ac:dyDescent="0.25">
      <c r="A50">
        <v>14</v>
      </c>
      <c r="B50" s="5">
        <f t="shared" si="16"/>
        <v>7</v>
      </c>
      <c r="C50" s="1">
        <f t="shared" ca="1" si="14"/>
        <v>0</v>
      </c>
      <c r="D50" s="46">
        <f t="shared" si="17"/>
        <v>0</v>
      </c>
      <c r="E50" s="46">
        <f t="shared" si="18"/>
        <v>0</v>
      </c>
      <c r="F50" s="1">
        <f t="shared" ca="1" si="19"/>
        <v>3.8125</v>
      </c>
      <c r="G50" t="e">
        <f t="shared" ca="1" si="20"/>
        <v>#N/A</v>
      </c>
      <c r="H50" t="e">
        <f t="shared" ca="1" si="21"/>
        <v>#N/A</v>
      </c>
      <c r="I50" s="7">
        <f t="shared" si="22"/>
        <v>0</v>
      </c>
      <c r="J50" s="7">
        <f t="shared" si="23"/>
        <v>0</v>
      </c>
      <c r="K50">
        <f t="shared" si="24"/>
        <v>12</v>
      </c>
      <c r="L50" s="15">
        <f t="shared" ca="1" si="25"/>
        <v>0</v>
      </c>
      <c r="M50" s="9">
        <f t="shared" ca="1" si="15"/>
        <v>0</v>
      </c>
      <c r="N50" s="7">
        <f t="shared" ca="1" si="26"/>
        <v>0</v>
      </c>
      <c r="O50" s="7">
        <f t="shared" ca="1" si="27"/>
        <v>0</v>
      </c>
      <c r="P50" s="7">
        <f t="shared" ca="1" si="28"/>
        <v>0</v>
      </c>
      <c r="U50" t="e">
        <f t="shared" ca="1" si="29"/>
        <v>#N/A</v>
      </c>
      <c r="V50" t="e">
        <f t="shared" ca="1" si="30"/>
        <v>#N/A</v>
      </c>
      <c r="X50" t="e">
        <f t="shared" ca="1" si="31"/>
        <v>#N/A</v>
      </c>
      <c r="Y50" t="e">
        <f t="shared" ca="1" si="32"/>
        <v>#N/A</v>
      </c>
      <c r="AC50">
        <f t="shared" ca="1" si="33"/>
        <v>0</v>
      </c>
      <c r="AD50">
        <f t="shared" ca="1" si="34"/>
        <v>0</v>
      </c>
      <c r="AJ50">
        <v>4.1887902047863879</v>
      </c>
      <c r="AK50">
        <v>-96.572578889013556</v>
      </c>
      <c r="AL50">
        <v>164.93468585898336</v>
      </c>
      <c r="AM50">
        <v>-107.30286543223728</v>
      </c>
      <c r="AN50">
        <v>183.26076206553705</v>
      </c>
      <c r="AQ50">
        <v>48</v>
      </c>
      <c r="AR50">
        <f t="shared" si="2"/>
        <v>8.0295672763062989</v>
      </c>
      <c r="AS50">
        <f t="shared" si="3"/>
        <v>8.9177379057287318</v>
      </c>
      <c r="AV50">
        <v>794.52814932662216</v>
      </c>
      <c r="AW50">
        <v>183.78565649808058</v>
      </c>
      <c r="AX50">
        <v>183.78565649808067</v>
      </c>
      <c r="AY50">
        <f t="shared" si="0"/>
        <v>259.91216798922858</v>
      </c>
      <c r="AZ50">
        <v>1222.350998964034</v>
      </c>
      <c r="BA50">
        <v>282.74716384320089</v>
      </c>
      <c r="BB50">
        <v>282.74716384320101</v>
      </c>
      <c r="BC50">
        <f t="shared" si="1"/>
        <v>399.86487382958239</v>
      </c>
      <c r="BF50">
        <v>795.17498683034353</v>
      </c>
      <c r="BG50">
        <v>99.7480521404934</v>
      </c>
      <c r="BH50">
        <v>239.39532513718407</v>
      </c>
      <c r="BI50">
        <f t="shared" si="4"/>
        <v>259.34493556528275</v>
      </c>
      <c r="BJ50">
        <v>1223.3461335851439</v>
      </c>
      <c r="BK50">
        <v>153.45854175460522</v>
      </c>
      <c r="BL50">
        <v>368.30050021105239</v>
      </c>
      <c r="BM50">
        <f t="shared" si="5"/>
        <v>398.99220856197348</v>
      </c>
      <c r="BP50">
        <v>794.52814932662216</v>
      </c>
      <c r="BQ50">
        <v>1.1173125674875859E-14</v>
      </c>
      <c r="BR50">
        <v>259.91216798922858</v>
      </c>
      <c r="BS50">
        <f t="shared" si="6"/>
        <v>-259.91216798922858</v>
      </c>
      <c r="BT50">
        <v>1222.350998964034</v>
      </c>
      <c r="BU50">
        <v>1.7189424115193628E-14</v>
      </c>
      <c r="BV50">
        <v>399.86487382958239</v>
      </c>
      <c r="BW50">
        <f t="shared" si="7"/>
        <v>-399.86487382958239</v>
      </c>
    </row>
    <row r="51" spans="1:75" x14ac:dyDescent="0.25">
      <c r="A51">
        <v>15</v>
      </c>
      <c r="B51" s="5">
        <f t="shared" si="16"/>
        <v>7</v>
      </c>
      <c r="C51" s="1">
        <f t="shared" ca="1" si="14"/>
        <v>0</v>
      </c>
      <c r="D51" s="46">
        <f t="shared" si="17"/>
        <v>0</v>
      </c>
      <c r="E51" s="46">
        <f t="shared" si="18"/>
        <v>0</v>
      </c>
      <c r="F51" s="1">
        <f t="shared" ca="1" si="19"/>
        <v>3.8125</v>
      </c>
      <c r="G51" t="e">
        <f t="shared" ca="1" si="20"/>
        <v>#N/A</v>
      </c>
      <c r="H51" t="e">
        <f t="shared" ca="1" si="21"/>
        <v>#N/A</v>
      </c>
      <c r="I51" s="7">
        <f t="shared" si="22"/>
        <v>0</v>
      </c>
      <c r="J51" s="7">
        <f t="shared" si="23"/>
        <v>0</v>
      </c>
      <c r="K51">
        <f t="shared" si="24"/>
        <v>12</v>
      </c>
      <c r="L51" s="15">
        <f t="shared" ca="1" si="25"/>
        <v>0</v>
      </c>
      <c r="M51" s="9">
        <f t="shared" ca="1" si="15"/>
        <v>0</v>
      </c>
      <c r="N51" s="7">
        <f t="shared" ca="1" si="26"/>
        <v>0</v>
      </c>
      <c r="O51" s="7">
        <f t="shared" ca="1" si="27"/>
        <v>0</v>
      </c>
      <c r="P51" s="7">
        <f t="shared" ca="1" si="28"/>
        <v>0</v>
      </c>
      <c r="U51" t="e">
        <f t="shared" ca="1" si="29"/>
        <v>#N/A</v>
      </c>
      <c r="V51" t="e">
        <f t="shared" ca="1" si="30"/>
        <v>#N/A</v>
      </c>
      <c r="X51" t="e">
        <f t="shared" ca="1" si="31"/>
        <v>#N/A</v>
      </c>
      <c r="Y51" t="e">
        <f t="shared" ca="1" si="32"/>
        <v>#N/A</v>
      </c>
      <c r="AC51">
        <f t="shared" ca="1" si="33"/>
        <v>0</v>
      </c>
      <c r="AD51">
        <f t="shared" ca="1" si="34"/>
        <v>0</v>
      </c>
      <c r="AJ51">
        <v>4.2760566673861042</v>
      </c>
      <c r="AK51">
        <v>-82.628143632193044</v>
      </c>
      <c r="AL51">
        <v>174.29590601412997</v>
      </c>
      <c r="AM51">
        <v>-91.809048480214486</v>
      </c>
      <c r="AN51">
        <v>193.66211779347773</v>
      </c>
      <c r="AQ51">
        <v>49</v>
      </c>
      <c r="AR51">
        <f t="shared" si="2"/>
        <v>7.8727083478860873</v>
      </c>
      <c r="AS51">
        <f t="shared" si="3"/>
        <v>9.0565149626732637</v>
      </c>
      <c r="AV51">
        <v>815.81249654460316</v>
      </c>
      <c r="AW51">
        <v>180.20619943418208</v>
      </c>
      <c r="AX51">
        <v>180.20619943418214</v>
      </c>
      <c r="AY51">
        <f t="shared" si="0"/>
        <v>254.8500512635311</v>
      </c>
      <c r="AZ51">
        <v>1255.0961485301586</v>
      </c>
      <c r="BA51">
        <v>277.24030682181859</v>
      </c>
      <c r="BB51">
        <v>277.24030682181865</v>
      </c>
      <c r="BC51">
        <f t="shared" si="1"/>
        <v>392.077001943894</v>
      </c>
      <c r="BF51">
        <v>816.26169028859863</v>
      </c>
      <c r="BG51">
        <v>97.756142125013653</v>
      </c>
      <c r="BH51">
        <v>234.61474110003266</v>
      </c>
      <c r="BI51">
        <f t="shared" si="4"/>
        <v>254.16596952503539</v>
      </c>
      <c r="BJ51">
        <v>1255.7872158286132</v>
      </c>
      <c r="BK51">
        <v>150.39406480771331</v>
      </c>
      <c r="BL51">
        <v>360.94575553851178</v>
      </c>
      <c r="BM51">
        <f t="shared" si="5"/>
        <v>391.02456850005444</v>
      </c>
      <c r="BP51">
        <v>815.81249654460316</v>
      </c>
      <c r="BQ51">
        <v>2.5892492609315378E-14</v>
      </c>
      <c r="BR51">
        <v>254.8500512635311</v>
      </c>
      <c r="BS51">
        <f t="shared" si="6"/>
        <v>-254.8500512635311</v>
      </c>
      <c r="BT51">
        <v>1255.0961485301586</v>
      </c>
      <c r="BU51">
        <v>3.9834604014331347E-14</v>
      </c>
      <c r="BV51">
        <v>392.077001943894</v>
      </c>
      <c r="BW51">
        <f t="shared" si="7"/>
        <v>-392.077001943894</v>
      </c>
    </row>
    <row r="52" spans="1:75" x14ac:dyDescent="0.25">
      <c r="A52">
        <v>16</v>
      </c>
      <c r="B52" s="5">
        <f t="shared" si="16"/>
        <v>7</v>
      </c>
      <c r="C52" s="1">
        <f t="shared" ca="1" si="14"/>
        <v>0</v>
      </c>
      <c r="D52" s="46">
        <f t="shared" si="17"/>
        <v>0</v>
      </c>
      <c r="E52" s="46">
        <f t="shared" si="18"/>
        <v>0</v>
      </c>
      <c r="F52" s="1">
        <f t="shared" ca="1" si="19"/>
        <v>3.8125</v>
      </c>
      <c r="G52" t="e">
        <f t="shared" ca="1" si="20"/>
        <v>#N/A</v>
      </c>
      <c r="H52" t="e">
        <f t="shared" ca="1" si="21"/>
        <v>#N/A</v>
      </c>
      <c r="I52" s="7">
        <f t="shared" si="22"/>
        <v>0</v>
      </c>
      <c r="J52" s="7">
        <f t="shared" si="23"/>
        <v>0</v>
      </c>
      <c r="K52">
        <f t="shared" si="24"/>
        <v>12</v>
      </c>
      <c r="L52" s="15">
        <f t="shared" ca="1" si="25"/>
        <v>0</v>
      </c>
      <c r="M52" s="9">
        <f t="shared" ca="1" si="15"/>
        <v>0</v>
      </c>
      <c r="N52" s="7">
        <f t="shared" ca="1" si="26"/>
        <v>0</v>
      </c>
      <c r="O52" s="7">
        <f t="shared" ca="1" si="27"/>
        <v>0</v>
      </c>
      <c r="P52" s="7">
        <f t="shared" ca="1" si="28"/>
        <v>0</v>
      </c>
      <c r="U52" t="e">
        <f t="shared" ca="1" si="29"/>
        <v>#N/A</v>
      </c>
      <c r="V52" t="e">
        <f t="shared" ca="1" si="30"/>
        <v>#N/A</v>
      </c>
      <c r="X52" t="e">
        <f t="shared" ca="1" si="31"/>
        <v>#N/A</v>
      </c>
      <c r="Y52" t="e">
        <f t="shared" ca="1" si="32"/>
        <v>#N/A</v>
      </c>
      <c r="AC52">
        <f t="shared" ca="1" si="33"/>
        <v>0</v>
      </c>
      <c r="AD52">
        <f t="shared" ca="1" si="34"/>
        <v>0</v>
      </c>
      <c r="AJ52">
        <v>4.3633231299858206</v>
      </c>
      <c r="AK52">
        <v>-64.818896396466002</v>
      </c>
      <c r="AL52">
        <v>181.67273775482394</v>
      </c>
      <c r="AM52">
        <v>-72.020995996073339</v>
      </c>
      <c r="AN52">
        <v>201.85859750535994</v>
      </c>
      <c r="AQ52">
        <v>50</v>
      </c>
      <c r="AR52">
        <f t="shared" si="2"/>
        <v>7.7134513162384728</v>
      </c>
      <c r="AS52">
        <f t="shared" si="3"/>
        <v>9.1925333174277366</v>
      </c>
      <c r="AV52">
        <v>836.83675645223525</v>
      </c>
      <c r="AW52">
        <v>176.35798913962859</v>
      </c>
      <c r="AX52">
        <v>176.35798910675044</v>
      </c>
      <c r="AY52">
        <f t="shared" si="0"/>
        <v>249.40786005086139</v>
      </c>
      <c r="AZ52">
        <v>1287.4411637726696</v>
      </c>
      <c r="BA52">
        <v>271.31998329173626</v>
      </c>
      <c r="BB52">
        <v>271.31998324115449</v>
      </c>
      <c r="BC52">
        <f t="shared" si="1"/>
        <v>383.70440007824828</v>
      </c>
      <c r="BF52">
        <v>834.11271136746018</v>
      </c>
      <c r="BG52">
        <v>95.919460650418102</v>
      </c>
      <c r="BH52">
        <v>230.20670556100333</v>
      </c>
      <c r="BI52">
        <f t="shared" si="4"/>
        <v>249.39059769108695</v>
      </c>
      <c r="BJ52">
        <v>1283.2503251807079</v>
      </c>
      <c r="BK52">
        <v>147.56840100064323</v>
      </c>
      <c r="BL52">
        <v>354.16416240154359</v>
      </c>
      <c r="BM52">
        <f t="shared" si="5"/>
        <v>383.6778426016723</v>
      </c>
      <c r="BP52">
        <v>836.83675645223525</v>
      </c>
      <c r="BQ52">
        <v>-1.4766402698895539E-14</v>
      </c>
      <c r="BR52">
        <v>249.40786005086136</v>
      </c>
      <c r="BS52">
        <f t="shared" si="6"/>
        <v>-249.40786005086136</v>
      </c>
      <c r="BT52">
        <v>1287.4411637726696</v>
      </c>
      <c r="BU52">
        <v>-2.2717542613685444E-14</v>
      </c>
      <c r="BV52">
        <v>383.70440007824823</v>
      </c>
      <c r="BW52">
        <f t="shared" si="7"/>
        <v>-383.70440007824823</v>
      </c>
    </row>
    <row r="53" spans="1:75" x14ac:dyDescent="0.25">
      <c r="A53">
        <v>17</v>
      </c>
      <c r="B53" s="5">
        <f t="shared" si="16"/>
        <v>7</v>
      </c>
      <c r="C53" s="1">
        <f t="shared" ca="1" si="14"/>
        <v>0</v>
      </c>
      <c r="D53" s="46">
        <f t="shared" si="17"/>
        <v>0</v>
      </c>
      <c r="E53" s="46">
        <f t="shared" si="18"/>
        <v>0</v>
      </c>
      <c r="F53" s="1">
        <f t="shared" ca="1" si="19"/>
        <v>3.8125</v>
      </c>
      <c r="G53" t="e">
        <f t="shared" ca="1" si="20"/>
        <v>#N/A</v>
      </c>
      <c r="H53" t="e">
        <f t="shared" ca="1" si="21"/>
        <v>#N/A</v>
      </c>
      <c r="I53" s="7">
        <f t="shared" si="22"/>
        <v>0</v>
      </c>
      <c r="J53" s="7">
        <f t="shared" si="23"/>
        <v>0</v>
      </c>
      <c r="K53">
        <f t="shared" si="24"/>
        <v>12</v>
      </c>
      <c r="L53" s="15">
        <f t="shared" ca="1" si="25"/>
        <v>0</v>
      </c>
      <c r="M53" s="9">
        <f t="shared" ca="1" si="15"/>
        <v>0</v>
      </c>
      <c r="N53" s="7">
        <f t="shared" ca="1" si="26"/>
        <v>0</v>
      </c>
      <c r="O53" s="7">
        <f t="shared" ca="1" si="27"/>
        <v>0</v>
      </c>
      <c r="P53" s="7">
        <f t="shared" ca="1" si="28"/>
        <v>0</v>
      </c>
      <c r="U53" t="e">
        <f t="shared" ca="1" si="29"/>
        <v>#N/A</v>
      </c>
      <c r="V53" t="e">
        <f t="shared" ca="1" si="30"/>
        <v>#N/A</v>
      </c>
      <c r="X53" t="e">
        <f t="shared" ca="1" si="31"/>
        <v>#N/A</v>
      </c>
      <c r="Y53" t="e">
        <f t="shared" ca="1" si="32"/>
        <v>#N/A</v>
      </c>
      <c r="AC53">
        <f t="shared" ca="1" si="33"/>
        <v>0</v>
      </c>
      <c r="AD53">
        <f t="shared" ca="1" si="34"/>
        <v>0</v>
      </c>
      <c r="AJ53">
        <v>4.450589592585537</v>
      </c>
      <c r="AK53">
        <v>-48.339309414667099</v>
      </c>
      <c r="AL53">
        <v>184.91356023285419</v>
      </c>
      <c r="AM53">
        <v>-53.710343794074554</v>
      </c>
      <c r="AN53">
        <v>205.459511369838</v>
      </c>
      <c r="AQ53">
        <v>51</v>
      </c>
      <c r="AR53">
        <f t="shared" si="2"/>
        <v>7.55184469259805</v>
      </c>
      <c r="AS53">
        <f t="shared" si="3"/>
        <v>9.3257515374836508</v>
      </c>
      <c r="AV53">
        <v>857.59642757653739</v>
      </c>
      <c r="AW53">
        <v>172.24615661974761</v>
      </c>
      <c r="AX53">
        <v>172.24615661974761</v>
      </c>
      <c r="AY53">
        <f t="shared" si="0"/>
        <v>243.59285075828734</v>
      </c>
      <c r="AZ53">
        <v>1319.379119348519</v>
      </c>
      <c r="BA53">
        <v>264.99408710730398</v>
      </c>
      <c r="BB53">
        <v>264.99408710730398</v>
      </c>
      <c r="BC53">
        <f t="shared" si="1"/>
        <v>374.75823193582664</v>
      </c>
      <c r="BF53">
        <v>854.69008438663616</v>
      </c>
      <c r="BG53">
        <v>93.641466005054653</v>
      </c>
      <c r="BH53">
        <v>224.73951841213108</v>
      </c>
      <c r="BI53">
        <f t="shared" si="4"/>
        <v>243.467811613142</v>
      </c>
      <c r="BJ53">
        <v>1314.9078221332863</v>
      </c>
      <c r="BK53">
        <v>144.06379385393024</v>
      </c>
      <c r="BL53">
        <v>345.75310524943239</v>
      </c>
      <c r="BM53">
        <f t="shared" si="5"/>
        <v>374.56586402021844</v>
      </c>
      <c r="BP53">
        <v>857.59642757653739</v>
      </c>
      <c r="BQ53">
        <v>-2.1747315969337664E-14</v>
      </c>
      <c r="BR53">
        <v>243.59285075828731</v>
      </c>
      <c r="BS53">
        <f t="shared" si="6"/>
        <v>-243.59285075828731</v>
      </c>
      <c r="BT53">
        <v>1319.379119348519</v>
      </c>
      <c r="BU53">
        <v>-3.3457409183596404E-14</v>
      </c>
      <c r="BV53">
        <v>374.75823193582664</v>
      </c>
      <c r="BW53">
        <f t="shared" si="7"/>
        <v>-374.75823193582664</v>
      </c>
    </row>
    <row r="54" spans="1:75" x14ac:dyDescent="0.25">
      <c r="A54">
        <v>18</v>
      </c>
      <c r="B54" s="5">
        <f t="shared" si="16"/>
        <v>7</v>
      </c>
      <c r="C54" s="1">
        <f t="shared" ca="1" si="14"/>
        <v>0</v>
      </c>
      <c r="D54" s="46">
        <f t="shared" si="17"/>
        <v>0</v>
      </c>
      <c r="E54" s="46">
        <f t="shared" si="18"/>
        <v>0</v>
      </c>
      <c r="F54" s="1">
        <f t="shared" ca="1" si="19"/>
        <v>3.8125</v>
      </c>
      <c r="G54" t="e">
        <f t="shared" ca="1" si="20"/>
        <v>#N/A</v>
      </c>
      <c r="H54" t="e">
        <f t="shared" ca="1" si="21"/>
        <v>#N/A</v>
      </c>
      <c r="I54" s="7">
        <f t="shared" si="22"/>
        <v>0</v>
      </c>
      <c r="J54" s="7">
        <f t="shared" si="23"/>
        <v>0</v>
      </c>
      <c r="K54">
        <f t="shared" si="24"/>
        <v>12</v>
      </c>
      <c r="L54" s="15">
        <f t="shared" ca="1" si="25"/>
        <v>0</v>
      </c>
      <c r="M54" s="9">
        <f t="shared" ca="1" si="15"/>
        <v>0</v>
      </c>
      <c r="N54" s="7">
        <f t="shared" ca="1" si="26"/>
        <v>0</v>
      </c>
      <c r="O54" s="7">
        <f t="shared" ca="1" si="27"/>
        <v>0</v>
      </c>
      <c r="P54" s="7">
        <f t="shared" ca="1" si="28"/>
        <v>0</v>
      </c>
      <c r="U54" t="e">
        <f t="shared" ca="1" si="29"/>
        <v>#N/A</v>
      </c>
      <c r="V54" t="e">
        <f t="shared" ca="1" si="30"/>
        <v>#N/A</v>
      </c>
      <c r="X54" t="e">
        <f t="shared" ca="1" si="31"/>
        <v>#N/A</v>
      </c>
      <c r="Y54" t="e">
        <f t="shared" ca="1" si="32"/>
        <v>#N/A</v>
      </c>
      <c r="AC54">
        <f t="shared" ca="1" si="33"/>
        <v>0</v>
      </c>
      <c r="AD54">
        <f t="shared" ca="1" si="34"/>
        <v>0</v>
      </c>
      <c r="AJ54">
        <v>4.5378560551852534</v>
      </c>
      <c r="AK54">
        <v>-32.18369162869795</v>
      </c>
      <c r="AL54">
        <v>187.17108586502243</v>
      </c>
      <c r="AM54">
        <v>-35.759657365219944</v>
      </c>
      <c r="AN54">
        <v>207.96787318335825</v>
      </c>
      <c r="AQ54">
        <v>52</v>
      </c>
      <c r="AR54">
        <f t="shared" si="2"/>
        <v>7.3879377039078999</v>
      </c>
      <c r="AS54">
        <f t="shared" si="3"/>
        <v>9.4561290432806651</v>
      </c>
      <c r="AV54">
        <v>878.08606626749804</v>
      </c>
      <c r="AW54">
        <v>167.87671950778395</v>
      </c>
      <c r="AX54">
        <v>167.87671950778397</v>
      </c>
      <c r="AY54">
        <f t="shared" si="0"/>
        <v>237.41353353461201</v>
      </c>
      <c r="AZ54">
        <v>1350.9016404115355</v>
      </c>
      <c r="BA54">
        <v>258.27187616582142</v>
      </c>
      <c r="BB54">
        <v>258.27187616582148</v>
      </c>
      <c r="BC54">
        <f t="shared" si="1"/>
        <v>365.25159005324923</v>
      </c>
      <c r="BF54">
        <v>875.00443607772831</v>
      </c>
      <c r="BG54">
        <v>91.224947175881667</v>
      </c>
      <c r="BH54">
        <v>218.93987322211601</v>
      </c>
      <c r="BI54">
        <f t="shared" si="4"/>
        <v>237.18486265729234</v>
      </c>
      <c r="BJ54">
        <v>1346.1606708888128</v>
      </c>
      <c r="BK54">
        <v>140.34607257827949</v>
      </c>
      <c r="BL54">
        <v>336.83057418787075</v>
      </c>
      <c r="BM54">
        <f t="shared" si="5"/>
        <v>364.89978870352667</v>
      </c>
      <c r="BP54">
        <v>878.08606626749804</v>
      </c>
      <c r="BQ54">
        <v>1.1382536238108468E-14</v>
      </c>
      <c r="BR54">
        <v>237.41353353461201</v>
      </c>
      <c r="BS54">
        <f t="shared" si="6"/>
        <v>-237.41353353461201</v>
      </c>
      <c r="BT54">
        <v>1350.9016404115355</v>
      </c>
      <c r="BU54">
        <v>1.7511594212474566E-14</v>
      </c>
      <c r="BV54">
        <v>365.25159005324923</v>
      </c>
      <c r="BW54">
        <f t="shared" si="7"/>
        <v>-365.25159005324923</v>
      </c>
    </row>
    <row r="55" spans="1:75" x14ac:dyDescent="0.25">
      <c r="A55">
        <v>19</v>
      </c>
      <c r="B55" s="5">
        <f t="shared" si="16"/>
        <v>7</v>
      </c>
      <c r="C55" s="1">
        <f t="shared" ca="1" si="14"/>
        <v>0</v>
      </c>
      <c r="D55" s="46">
        <f t="shared" si="17"/>
        <v>0</v>
      </c>
      <c r="E55" s="46">
        <f t="shared" si="18"/>
        <v>0</v>
      </c>
      <c r="F55" s="1">
        <f t="shared" ca="1" si="19"/>
        <v>3.8125</v>
      </c>
      <c r="G55" t="e">
        <f t="shared" ca="1" si="20"/>
        <v>#N/A</v>
      </c>
      <c r="H55" t="e">
        <f t="shared" ca="1" si="21"/>
        <v>#N/A</v>
      </c>
      <c r="I55" s="7">
        <f t="shared" si="22"/>
        <v>0</v>
      </c>
      <c r="J55" s="7">
        <f t="shared" si="23"/>
        <v>0</v>
      </c>
      <c r="K55">
        <f t="shared" si="24"/>
        <v>12</v>
      </c>
      <c r="L55" s="15">
        <f t="shared" ca="1" si="25"/>
        <v>0</v>
      </c>
      <c r="M55" s="9">
        <f t="shared" ca="1" si="15"/>
        <v>0</v>
      </c>
      <c r="N55" s="7">
        <f t="shared" ca="1" si="26"/>
        <v>0</v>
      </c>
      <c r="O55" s="7">
        <f t="shared" ca="1" si="27"/>
        <v>0</v>
      </c>
      <c r="P55" s="7">
        <f t="shared" ca="1" si="28"/>
        <v>0</v>
      </c>
      <c r="U55" t="e">
        <f t="shared" ca="1" si="29"/>
        <v>#N/A</v>
      </c>
      <c r="V55" t="e">
        <f t="shared" ca="1" si="30"/>
        <v>#N/A</v>
      </c>
      <c r="X55" t="e">
        <f t="shared" ca="1" si="31"/>
        <v>#N/A</v>
      </c>
      <c r="Y55" t="e">
        <f t="shared" ca="1" si="32"/>
        <v>#N/A</v>
      </c>
      <c r="AC55">
        <f t="shared" ca="1" si="33"/>
        <v>0</v>
      </c>
      <c r="AD55">
        <f t="shared" ca="1" si="34"/>
        <v>0</v>
      </c>
      <c r="AJ55">
        <v>4.6251225177849697</v>
      </c>
      <c r="AK55">
        <v>-16.076006467338267</v>
      </c>
      <c r="AL55">
        <v>188.49016311963041</v>
      </c>
      <c r="AM55">
        <v>-17.862229408153631</v>
      </c>
      <c r="AN55">
        <v>209.43351457736711</v>
      </c>
      <c r="AQ55">
        <v>53</v>
      </c>
      <c r="AR55">
        <f t="shared" si="2"/>
        <v>7.2217802778245801</v>
      </c>
      <c r="AS55">
        <f t="shared" si="3"/>
        <v>9.583626120567514</v>
      </c>
      <c r="AV55">
        <v>898.29930816949877</v>
      </c>
      <c r="AW55">
        <v>163.25660040549056</v>
      </c>
      <c r="AX55">
        <v>163.25660040549056</v>
      </c>
      <c r="AY55">
        <f t="shared" si="0"/>
        <v>230.87969844036968</v>
      </c>
      <c r="AZ55">
        <v>1381.9989356453827</v>
      </c>
      <c r="BA55">
        <v>251.16400062383161</v>
      </c>
      <c r="BB55">
        <v>251.16400062383161</v>
      </c>
      <c r="BC55">
        <f t="shared" si="1"/>
        <v>355.19953606210714</v>
      </c>
      <c r="BF55">
        <v>895.04900525173321</v>
      </c>
      <c r="BG55">
        <v>88.673579335213745</v>
      </c>
      <c r="BH55">
        <v>212.81659040451291</v>
      </c>
      <c r="BI55">
        <f t="shared" si="4"/>
        <v>230.55130627155566</v>
      </c>
      <c r="BJ55">
        <v>1376.9984696180511</v>
      </c>
      <c r="BK55">
        <v>136.42089128494422</v>
      </c>
      <c r="BL55">
        <v>327.410139083866</v>
      </c>
      <c r="BM55">
        <f t="shared" si="5"/>
        <v>354.69431734085487</v>
      </c>
      <c r="BP55">
        <v>898.29930816949877</v>
      </c>
      <c r="BQ55">
        <v>-7.2760197547153517E-16</v>
      </c>
      <c r="BR55">
        <v>230.87969844036968</v>
      </c>
      <c r="BS55">
        <f t="shared" si="6"/>
        <v>-230.87969844036968</v>
      </c>
      <c r="BT55">
        <v>1381.9989356453827</v>
      </c>
      <c r="BU55">
        <v>-1.1193876545715926E-15</v>
      </c>
      <c r="BV55">
        <v>355.1995360621072</v>
      </c>
      <c r="BW55">
        <f t="shared" si="7"/>
        <v>-355.1995360621072</v>
      </c>
    </row>
    <row r="56" spans="1:75" x14ac:dyDescent="0.25">
      <c r="A56">
        <v>20</v>
      </c>
      <c r="B56" s="5">
        <f t="shared" si="16"/>
        <v>7</v>
      </c>
      <c r="C56" s="1">
        <f t="shared" ca="1" si="14"/>
        <v>0</v>
      </c>
      <c r="D56" s="46">
        <f t="shared" si="17"/>
        <v>0</v>
      </c>
      <c r="E56" s="46">
        <f t="shared" si="18"/>
        <v>0</v>
      </c>
      <c r="F56" s="1">
        <f t="shared" ca="1" si="19"/>
        <v>3.8125</v>
      </c>
      <c r="G56" t="e">
        <f t="shared" ca="1" si="20"/>
        <v>#N/A</v>
      </c>
      <c r="H56" t="e">
        <f t="shared" ca="1" si="21"/>
        <v>#N/A</v>
      </c>
      <c r="I56" s="7">
        <f t="shared" si="22"/>
        <v>0</v>
      </c>
      <c r="J56" s="7">
        <f t="shared" si="23"/>
        <v>0</v>
      </c>
      <c r="K56">
        <f t="shared" si="24"/>
        <v>12</v>
      </c>
      <c r="L56" s="15">
        <f t="shared" ca="1" si="25"/>
        <v>0</v>
      </c>
      <c r="M56" s="9">
        <f t="shared" ca="1" si="15"/>
        <v>0</v>
      </c>
      <c r="N56" s="7">
        <f t="shared" ca="1" si="26"/>
        <v>0</v>
      </c>
      <c r="O56" s="7">
        <f t="shared" ca="1" si="27"/>
        <v>0</v>
      </c>
      <c r="P56" s="7">
        <f t="shared" ca="1" si="28"/>
        <v>0</v>
      </c>
      <c r="U56" t="e">
        <f t="shared" ca="1" si="29"/>
        <v>#N/A</v>
      </c>
      <c r="V56" t="e">
        <f t="shared" ca="1" si="30"/>
        <v>#N/A</v>
      </c>
      <c r="X56" t="e">
        <f t="shared" ca="1" si="31"/>
        <v>#N/A</v>
      </c>
      <c r="Y56" t="e">
        <f t="shared" ca="1" si="32"/>
        <v>#N/A</v>
      </c>
      <c r="AC56">
        <f t="shared" ca="1" si="33"/>
        <v>0</v>
      </c>
      <c r="AD56">
        <f t="shared" ca="1" si="34"/>
        <v>0</v>
      </c>
      <c r="AJ56">
        <v>4.7123889803846861</v>
      </c>
      <c r="AK56">
        <v>-6.9098895094622168E-13</v>
      </c>
      <c r="AL56">
        <v>188.92359248855291</v>
      </c>
      <c r="AM56">
        <v>-7.6776550105135736E-13</v>
      </c>
      <c r="AN56">
        <v>209.91510276505878</v>
      </c>
      <c r="AQ56">
        <v>54</v>
      </c>
      <c r="AR56">
        <f t="shared" si="2"/>
        <v>7.0534230275096776</v>
      </c>
      <c r="AS56">
        <f t="shared" si="3"/>
        <v>9.7082039324993694</v>
      </c>
      <c r="AV56">
        <v>918.22887856259001</v>
      </c>
      <c r="AW56">
        <v>158.39365145798581</v>
      </c>
      <c r="AX56">
        <v>158.39365145798584</v>
      </c>
      <c r="AY56">
        <f t="shared" si="0"/>
        <v>224.00245008568052</v>
      </c>
      <c r="AZ56">
        <v>1412.6598131732153</v>
      </c>
      <c r="BA56">
        <v>243.68254070459355</v>
      </c>
      <c r="BB56">
        <v>243.68254070459358</v>
      </c>
      <c r="BC56">
        <f t="shared" si="1"/>
        <v>344.61915397796997</v>
      </c>
      <c r="BF56">
        <v>914.81614974907257</v>
      </c>
      <c r="BG56">
        <v>85.991549935219467</v>
      </c>
      <c r="BH56">
        <v>206.37971984452665</v>
      </c>
      <c r="BI56">
        <f t="shared" si="4"/>
        <v>223.57802983157055</v>
      </c>
      <c r="BJ56">
        <v>1407.4094611524192</v>
      </c>
      <c r="BK56">
        <v>132.29469220802994</v>
      </c>
      <c r="BL56">
        <v>317.50726129927176</v>
      </c>
      <c r="BM56">
        <f t="shared" si="5"/>
        <v>343.96619974087776</v>
      </c>
      <c r="BP56">
        <v>918.22887856259001</v>
      </c>
      <c r="BQ56">
        <v>1.0945885145006406E-14</v>
      </c>
      <c r="BR56">
        <v>224.00245008568052</v>
      </c>
      <c r="BS56">
        <f t="shared" si="6"/>
        <v>-224.00245008568052</v>
      </c>
      <c r="BT56">
        <v>1412.6598131732153</v>
      </c>
      <c r="BU56">
        <v>1.6839823300009855E-14</v>
      </c>
      <c r="BV56">
        <v>344.61915397797003</v>
      </c>
      <c r="BW56">
        <f t="shared" si="7"/>
        <v>-344.61915397797003</v>
      </c>
    </row>
    <row r="57" spans="1:75" x14ac:dyDescent="0.25">
      <c r="A57">
        <v>21</v>
      </c>
      <c r="B57" s="5">
        <f t="shared" si="16"/>
        <v>7</v>
      </c>
      <c r="C57" s="1">
        <f t="shared" ca="1" si="14"/>
        <v>0</v>
      </c>
      <c r="D57" s="46">
        <f t="shared" si="17"/>
        <v>0</v>
      </c>
      <c r="E57" s="46">
        <f t="shared" si="18"/>
        <v>0</v>
      </c>
      <c r="F57" s="1">
        <f t="shared" ca="1" si="19"/>
        <v>3.8125</v>
      </c>
      <c r="G57" t="e">
        <f t="shared" ca="1" si="20"/>
        <v>#N/A</v>
      </c>
      <c r="H57" t="e">
        <f t="shared" ca="1" si="21"/>
        <v>#N/A</v>
      </c>
      <c r="I57" s="7">
        <f t="shared" si="22"/>
        <v>0</v>
      </c>
      <c r="J57" s="7">
        <f t="shared" si="23"/>
        <v>0</v>
      </c>
      <c r="K57">
        <f t="shared" si="24"/>
        <v>12</v>
      </c>
      <c r="L57" s="15">
        <f t="shared" ca="1" si="25"/>
        <v>0</v>
      </c>
      <c r="M57" s="9">
        <f t="shared" ca="1" si="15"/>
        <v>0</v>
      </c>
      <c r="N57" s="7">
        <f t="shared" ca="1" si="26"/>
        <v>0</v>
      </c>
      <c r="O57" s="7">
        <f t="shared" ca="1" si="27"/>
        <v>0</v>
      </c>
      <c r="P57" s="7">
        <f t="shared" ca="1" si="28"/>
        <v>0</v>
      </c>
      <c r="U57" t="e">
        <f t="shared" ca="1" si="29"/>
        <v>#N/A</v>
      </c>
      <c r="V57" t="e">
        <f t="shared" ca="1" si="30"/>
        <v>#N/A</v>
      </c>
      <c r="X57" t="e">
        <f t="shared" ca="1" si="31"/>
        <v>#N/A</v>
      </c>
      <c r="Y57" t="e">
        <f t="shared" ca="1" si="32"/>
        <v>#N/A</v>
      </c>
      <c r="AC57">
        <f t="shared" ca="1" si="33"/>
        <v>0</v>
      </c>
      <c r="AD57">
        <f t="shared" ca="1" si="34"/>
        <v>0</v>
      </c>
      <c r="AJ57">
        <v>4.7996554429844025</v>
      </c>
      <c r="AK57">
        <v>16.076006467336789</v>
      </c>
      <c r="AL57">
        <v>188.49016311963058</v>
      </c>
      <c r="AM57">
        <v>17.862229408151986</v>
      </c>
      <c r="AN57">
        <v>209.4335145773673</v>
      </c>
      <c r="AQ57">
        <v>55</v>
      </c>
      <c r="AR57">
        <f t="shared" si="2"/>
        <v>6.8829172362125544</v>
      </c>
      <c r="AS57">
        <f t="shared" si="3"/>
        <v>9.8298245314679011</v>
      </c>
      <c r="AV57">
        <v>937.55959600596827</v>
      </c>
      <c r="AW57">
        <v>153.19195507582077</v>
      </c>
      <c r="AX57">
        <v>153.19195507582077</v>
      </c>
      <c r="AY57">
        <f t="shared" si="0"/>
        <v>216.64614051467564</v>
      </c>
      <c r="AZ57">
        <v>1442.3993784707204</v>
      </c>
      <c r="BA57">
        <v>235.67993088587809</v>
      </c>
      <c r="BB57">
        <v>235.67993088587809</v>
      </c>
      <c r="BC57">
        <f t="shared" si="1"/>
        <v>333.30175463796252</v>
      </c>
      <c r="BF57">
        <v>934.29734300433768</v>
      </c>
      <c r="BG57">
        <v>83.183574965383315</v>
      </c>
      <c r="BH57">
        <v>199.64057991691996</v>
      </c>
      <c r="BI57">
        <f t="shared" si="4"/>
        <v>216.27729490999664</v>
      </c>
      <c r="BJ57">
        <v>1437.380527698981</v>
      </c>
      <c r="BK57">
        <v>127.97473071597433</v>
      </c>
      <c r="BL57">
        <v>307.13935371833838</v>
      </c>
      <c r="BM57">
        <f t="shared" si="5"/>
        <v>332.73429986153326</v>
      </c>
      <c r="BP57">
        <v>937.55959600596827</v>
      </c>
      <c r="BQ57">
        <v>-1.754305583279769E-14</v>
      </c>
      <c r="BR57">
        <v>216.64614051467561</v>
      </c>
      <c r="BS57">
        <f t="shared" si="6"/>
        <v>-216.64614051467561</v>
      </c>
      <c r="BT57">
        <v>1442.3993784707204</v>
      </c>
      <c r="BU57">
        <v>-2.6989316665842598E-14</v>
      </c>
      <c r="BV57">
        <v>333.30175463796246</v>
      </c>
      <c r="BW57">
        <f t="shared" si="7"/>
        <v>-333.30175463796246</v>
      </c>
    </row>
    <row r="58" spans="1:75" x14ac:dyDescent="0.25">
      <c r="A58">
        <v>22</v>
      </c>
      <c r="B58" s="5">
        <f t="shared" si="16"/>
        <v>7</v>
      </c>
      <c r="C58" s="1">
        <f t="shared" ca="1" si="14"/>
        <v>0</v>
      </c>
      <c r="D58" s="46">
        <f t="shared" si="17"/>
        <v>0</v>
      </c>
      <c r="E58" s="46">
        <f t="shared" si="18"/>
        <v>0</v>
      </c>
      <c r="F58" s="1">
        <f t="shared" ca="1" si="19"/>
        <v>3.8125</v>
      </c>
      <c r="G58" t="e">
        <f t="shared" ca="1" si="20"/>
        <v>#N/A</v>
      </c>
      <c r="H58" t="e">
        <f t="shared" ca="1" si="21"/>
        <v>#N/A</v>
      </c>
      <c r="I58" s="7">
        <f t="shared" si="22"/>
        <v>0</v>
      </c>
      <c r="J58" s="7">
        <f t="shared" si="23"/>
        <v>0</v>
      </c>
      <c r="K58">
        <f t="shared" si="24"/>
        <v>12</v>
      </c>
      <c r="L58" s="15">
        <f t="shared" ca="1" si="25"/>
        <v>0</v>
      </c>
      <c r="M58" s="9">
        <f t="shared" ca="1" si="15"/>
        <v>0</v>
      </c>
      <c r="N58" s="7">
        <f t="shared" ca="1" si="26"/>
        <v>0</v>
      </c>
      <c r="O58" s="7">
        <f t="shared" ca="1" si="27"/>
        <v>0</v>
      </c>
      <c r="P58" s="7">
        <f t="shared" ca="1" si="28"/>
        <v>0</v>
      </c>
      <c r="U58" t="e">
        <f t="shared" ca="1" si="29"/>
        <v>#N/A</v>
      </c>
      <c r="V58" t="e">
        <f t="shared" ca="1" si="30"/>
        <v>#N/A</v>
      </c>
      <c r="X58" t="e">
        <f t="shared" ca="1" si="31"/>
        <v>#N/A</v>
      </c>
      <c r="Y58" t="e">
        <f t="shared" ca="1" si="32"/>
        <v>#N/A</v>
      </c>
      <c r="AC58">
        <f t="shared" ca="1" si="33"/>
        <v>0</v>
      </c>
      <c r="AD58">
        <f t="shared" ca="1" si="34"/>
        <v>0</v>
      </c>
      <c r="AJ58">
        <v>4.8869219055841189</v>
      </c>
      <c r="AK58">
        <v>32.183691628696479</v>
      </c>
      <c r="AL58">
        <v>187.17108586502255</v>
      </c>
      <c r="AM58">
        <v>35.75965736521831</v>
      </c>
      <c r="AN58">
        <v>207.96787318335839</v>
      </c>
      <c r="AQ58">
        <v>56</v>
      </c>
      <c r="AR58">
        <f t="shared" si="2"/>
        <v>6.7103148416489615</v>
      </c>
      <c r="AS58">
        <f t="shared" si="3"/>
        <v>9.9484508706605013</v>
      </c>
      <c r="AV58">
        <v>956.52577111970595</v>
      </c>
      <c r="AW58">
        <v>147.74436434273369</v>
      </c>
      <c r="AX58">
        <v>147.74436431616473</v>
      </c>
      <c r="AY58">
        <f t="shared" si="0"/>
        <v>208.94208379889881</v>
      </c>
      <c r="AZ58">
        <v>1471.5781094149322</v>
      </c>
      <c r="BA58">
        <v>227.29902206574414</v>
      </c>
      <c r="BB58">
        <v>227.2990220248688</v>
      </c>
      <c r="BC58">
        <f t="shared" si="1"/>
        <v>321.44935969061351</v>
      </c>
      <c r="BF58">
        <v>953.48315951098402</v>
      </c>
      <c r="BG58">
        <v>80.25491920320556</v>
      </c>
      <c r="BH58">
        <v>192.61180608769331</v>
      </c>
      <c r="BI58">
        <f t="shared" si="4"/>
        <v>208.6627899283344</v>
      </c>
      <c r="BJ58">
        <v>1466.8971684784369</v>
      </c>
      <c r="BK58">
        <v>123.46910646647009</v>
      </c>
      <c r="BL58">
        <v>296.32585551952815</v>
      </c>
      <c r="BM58">
        <f t="shared" si="5"/>
        <v>321.01967681282218</v>
      </c>
      <c r="BP58">
        <v>956.52577111970595</v>
      </c>
      <c r="BQ58">
        <v>-1.3314672279969432E-14</v>
      </c>
      <c r="BR58">
        <v>208.94208379889884</v>
      </c>
      <c r="BS58">
        <f t="shared" si="6"/>
        <v>-208.94208379889884</v>
      </c>
      <c r="BT58">
        <v>1471.5781094149322</v>
      </c>
      <c r="BU58">
        <v>-2.0484111199952971E-14</v>
      </c>
      <c r="BV58">
        <v>321.44935969061356</v>
      </c>
      <c r="BW58">
        <f t="shared" si="7"/>
        <v>-321.44935969061356</v>
      </c>
    </row>
    <row r="59" spans="1:75" x14ac:dyDescent="0.25">
      <c r="A59">
        <v>23</v>
      </c>
      <c r="B59" s="5">
        <f t="shared" si="16"/>
        <v>7</v>
      </c>
      <c r="C59" s="1">
        <f t="shared" ca="1" si="14"/>
        <v>0</v>
      </c>
      <c r="D59" s="46">
        <f t="shared" si="17"/>
        <v>0</v>
      </c>
      <c r="E59" s="46">
        <f t="shared" si="18"/>
        <v>0</v>
      </c>
      <c r="F59" s="1">
        <f t="shared" ca="1" si="19"/>
        <v>3.8125</v>
      </c>
      <c r="G59" t="e">
        <f t="shared" ca="1" si="20"/>
        <v>#N/A</v>
      </c>
      <c r="H59" t="e">
        <f t="shared" ca="1" si="21"/>
        <v>#N/A</v>
      </c>
      <c r="I59" s="7">
        <f t="shared" si="22"/>
        <v>0</v>
      </c>
      <c r="J59" s="7">
        <f t="shared" si="23"/>
        <v>0</v>
      </c>
      <c r="K59">
        <f t="shared" si="24"/>
        <v>12</v>
      </c>
      <c r="L59" s="15">
        <f t="shared" ca="1" si="25"/>
        <v>0</v>
      </c>
      <c r="M59" s="9">
        <f t="shared" ca="1" si="15"/>
        <v>0</v>
      </c>
      <c r="N59" s="7">
        <f t="shared" ca="1" si="26"/>
        <v>0</v>
      </c>
      <c r="O59" s="7">
        <f t="shared" ca="1" si="27"/>
        <v>0</v>
      </c>
      <c r="P59" s="7">
        <f t="shared" ca="1" si="28"/>
        <v>0</v>
      </c>
      <c r="U59" t="e">
        <f t="shared" ca="1" si="29"/>
        <v>#N/A</v>
      </c>
      <c r="V59" t="e">
        <f t="shared" ca="1" si="30"/>
        <v>#N/A</v>
      </c>
      <c r="X59" t="e">
        <f t="shared" ca="1" si="31"/>
        <v>#N/A</v>
      </c>
      <c r="Y59" t="e">
        <f t="shared" ca="1" si="32"/>
        <v>#N/A</v>
      </c>
      <c r="AC59">
        <f t="shared" ca="1" si="33"/>
        <v>0</v>
      </c>
      <c r="AD59">
        <f t="shared" ca="1" si="34"/>
        <v>0</v>
      </c>
      <c r="AJ59">
        <v>4.9741883681838353</v>
      </c>
      <c r="AK59">
        <v>48.339309414665628</v>
      </c>
      <c r="AL59">
        <v>184.91356023285439</v>
      </c>
      <c r="AM59">
        <v>53.710343794072919</v>
      </c>
      <c r="AN59">
        <v>205.4595113698382</v>
      </c>
      <c r="AQ59">
        <v>57</v>
      </c>
      <c r="AR59">
        <f t="shared" si="2"/>
        <v>6.5356684201803255</v>
      </c>
      <c r="AS59">
        <f t="shared" si="3"/>
        <v>10.064046815345089</v>
      </c>
      <c r="AV59">
        <v>975.19392508120359</v>
      </c>
      <c r="AW59">
        <v>142.08785997391379</v>
      </c>
      <c r="AX59">
        <v>142.08785997391385</v>
      </c>
      <c r="AY59">
        <f t="shared" si="0"/>
        <v>200.94257862367817</v>
      </c>
      <c r="AZ59">
        <v>1500.2983462787747</v>
      </c>
      <c r="BA59">
        <v>218.59670765217507</v>
      </c>
      <c r="BB59">
        <v>218.59670765217516</v>
      </c>
      <c r="BC59">
        <f t="shared" si="1"/>
        <v>309.14242865181257</v>
      </c>
      <c r="BF59">
        <v>972.36324852876919</v>
      </c>
      <c r="BG59">
        <v>77.211420955981154</v>
      </c>
      <c r="BH59">
        <v>185.3074102943547</v>
      </c>
      <c r="BI59">
        <f t="shared" si="4"/>
        <v>200.74969448555092</v>
      </c>
      <c r="BJ59">
        <v>1495.9434592750295</v>
      </c>
      <c r="BK59">
        <v>118.78680147074023</v>
      </c>
      <c r="BL59">
        <v>285.08832352977646</v>
      </c>
      <c r="BM59">
        <f t="shared" si="5"/>
        <v>308.8456838239245</v>
      </c>
      <c r="BP59">
        <v>975.19392508120359</v>
      </c>
      <c r="BQ59">
        <v>9.9181741656066167E-15</v>
      </c>
      <c r="BR59">
        <v>200.94257862367817</v>
      </c>
      <c r="BS59">
        <f t="shared" si="6"/>
        <v>-200.94257862367817</v>
      </c>
      <c r="BT59">
        <v>1500.2983462787747</v>
      </c>
      <c r="BU59">
        <v>1.525872948554864E-14</v>
      </c>
      <c r="BV59">
        <v>309.14242865181257</v>
      </c>
      <c r="BW59">
        <f t="shared" si="7"/>
        <v>-309.14242865181257</v>
      </c>
    </row>
    <row r="60" spans="1:75" x14ac:dyDescent="0.25">
      <c r="A60">
        <v>24</v>
      </c>
      <c r="B60" s="5">
        <f t="shared" si="16"/>
        <v>7</v>
      </c>
      <c r="C60" s="1">
        <f t="shared" ca="1" si="14"/>
        <v>0</v>
      </c>
      <c r="D60" s="46">
        <f t="shared" si="17"/>
        <v>0</v>
      </c>
      <c r="E60" s="46">
        <f t="shared" si="18"/>
        <v>0</v>
      </c>
      <c r="F60" s="1">
        <f t="shared" ca="1" si="19"/>
        <v>3.8125</v>
      </c>
      <c r="G60" t="e">
        <f t="shared" ca="1" si="20"/>
        <v>#N/A</v>
      </c>
      <c r="H60" t="e">
        <f t="shared" ca="1" si="21"/>
        <v>#N/A</v>
      </c>
      <c r="I60" s="7">
        <f t="shared" si="22"/>
        <v>0</v>
      </c>
      <c r="J60" s="7">
        <f t="shared" si="23"/>
        <v>0</v>
      </c>
      <c r="K60">
        <f t="shared" si="24"/>
        <v>12</v>
      </c>
      <c r="L60" s="15">
        <f t="shared" ca="1" si="25"/>
        <v>0</v>
      </c>
      <c r="M60" s="9">
        <f t="shared" ca="1" si="15"/>
        <v>0</v>
      </c>
      <c r="N60" s="7">
        <f t="shared" ca="1" si="26"/>
        <v>0</v>
      </c>
      <c r="O60" s="7">
        <f t="shared" ca="1" si="27"/>
        <v>0</v>
      </c>
      <c r="P60" s="7">
        <f t="shared" ca="1" si="28"/>
        <v>0</v>
      </c>
      <c r="U60" t="e">
        <f t="shared" ca="1" si="29"/>
        <v>#N/A</v>
      </c>
      <c r="V60" t="e">
        <f t="shared" ca="1" si="30"/>
        <v>#N/A</v>
      </c>
      <c r="X60" t="e">
        <f t="shared" ca="1" si="31"/>
        <v>#N/A</v>
      </c>
      <c r="Y60" t="e">
        <f t="shared" ca="1" si="32"/>
        <v>#N/A</v>
      </c>
      <c r="AC60">
        <f t="shared" ca="1" si="33"/>
        <v>0</v>
      </c>
      <c r="AD60">
        <f t="shared" ca="1" si="34"/>
        <v>0</v>
      </c>
      <c r="AJ60">
        <v>5.0614548307835516</v>
      </c>
      <c r="AK60">
        <v>64.818896396464581</v>
      </c>
      <c r="AL60">
        <v>181.67273775482428</v>
      </c>
      <c r="AM60">
        <v>72.020995996071761</v>
      </c>
      <c r="AN60">
        <v>201.85859750536031</v>
      </c>
      <c r="AQ60">
        <v>58</v>
      </c>
      <c r="AR60">
        <f t="shared" si="2"/>
        <v>6.3590311707984588</v>
      </c>
      <c r="AS60">
        <f t="shared" si="3"/>
        <v>10.176577153877112</v>
      </c>
      <c r="AV60">
        <v>993.55234423265017</v>
      </c>
      <c r="AW60">
        <v>136.23417005105225</v>
      </c>
      <c r="AX60">
        <v>136.23417005105227</v>
      </c>
      <c r="AY60">
        <f t="shared" si="0"/>
        <v>192.66421094484065</v>
      </c>
      <c r="AZ60">
        <v>1528.5420680502309</v>
      </c>
      <c r="BA60">
        <v>209.59103084777269</v>
      </c>
      <c r="BB60">
        <v>209.59103084777271</v>
      </c>
      <c r="BC60">
        <f t="shared" si="1"/>
        <v>296.40647837667785</v>
      </c>
      <c r="BF60">
        <v>990.92629498742565</v>
      </c>
      <c r="BG60">
        <v>74.059521957299467</v>
      </c>
      <c r="BH60">
        <v>177.74285265502823</v>
      </c>
      <c r="BI60">
        <f t="shared" si="4"/>
        <v>192.55475704975663</v>
      </c>
      <c r="BJ60">
        <v>1524.5019922883471</v>
      </c>
      <c r="BK60">
        <v>113.93772608815303</v>
      </c>
      <c r="BL60">
        <v>273.45054254619725</v>
      </c>
      <c r="BM60">
        <f t="shared" si="5"/>
        <v>296.2380877688563</v>
      </c>
      <c r="BP60">
        <v>993.55234423265017</v>
      </c>
      <c r="BQ60">
        <v>1.1720326588282277E-14</v>
      </c>
      <c r="BR60">
        <v>192.66421094484062</v>
      </c>
      <c r="BS60">
        <f t="shared" si="6"/>
        <v>-192.66421094484062</v>
      </c>
      <c r="BT60">
        <v>1528.5420680502309</v>
      </c>
      <c r="BU60">
        <v>1.8031271674280425E-14</v>
      </c>
      <c r="BV60">
        <v>296.40647837667785</v>
      </c>
      <c r="BW60">
        <f t="shared" si="7"/>
        <v>-296.40647837667785</v>
      </c>
    </row>
    <row r="61" spans="1:75" x14ac:dyDescent="0.25">
      <c r="A61">
        <v>25</v>
      </c>
      <c r="B61" s="5">
        <f t="shared" si="16"/>
        <v>7</v>
      </c>
      <c r="C61" s="1">
        <f t="shared" ca="1" si="14"/>
        <v>0</v>
      </c>
      <c r="D61" s="46">
        <f t="shared" si="17"/>
        <v>0</v>
      </c>
      <c r="E61" s="46">
        <f t="shared" si="18"/>
        <v>0</v>
      </c>
      <c r="F61" s="1">
        <f t="shared" ca="1" si="19"/>
        <v>3.8125</v>
      </c>
      <c r="G61" t="e">
        <f t="shared" ca="1" si="20"/>
        <v>#N/A</v>
      </c>
      <c r="H61" t="e">
        <f t="shared" ca="1" si="21"/>
        <v>#N/A</v>
      </c>
      <c r="I61" s="7">
        <f t="shared" si="22"/>
        <v>0</v>
      </c>
      <c r="J61" s="7">
        <f t="shared" si="23"/>
        <v>0</v>
      </c>
      <c r="K61">
        <f t="shared" si="24"/>
        <v>12</v>
      </c>
      <c r="L61" s="15">
        <f t="shared" ca="1" si="25"/>
        <v>0</v>
      </c>
      <c r="M61" s="9">
        <f t="shared" ca="1" si="15"/>
        <v>0</v>
      </c>
      <c r="N61" s="7">
        <f t="shared" ca="1" si="26"/>
        <v>0</v>
      </c>
      <c r="O61" s="7">
        <f t="shared" ca="1" si="27"/>
        <v>0</v>
      </c>
      <c r="P61" s="7">
        <f t="shared" ca="1" si="28"/>
        <v>0</v>
      </c>
      <c r="U61" t="e">
        <f t="shared" ca="1" si="29"/>
        <v>#N/A</v>
      </c>
      <c r="V61" t="e">
        <f t="shared" ca="1" si="30"/>
        <v>#N/A</v>
      </c>
      <c r="X61" t="e">
        <f t="shared" ca="1" si="31"/>
        <v>#N/A</v>
      </c>
      <c r="Y61" t="e">
        <f t="shared" ca="1" si="32"/>
        <v>#N/A</v>
      </c>
      <c r="AC61">
        <f t="shared" ca="1" si="33"/>
        <v>0</v>
      </c>
      <c r="AD61">
        <f t="shared" ca="1" si="34"/>
        <v>0</v>
      </c>
      <c r="AJ61">
        <v>5.148721293383268</v>
      </c>
      <c r="AK61">
        <v>82.628143632191808</v>
      </c>
      <c r="AL61">
        <v>174.29590601413076</v>
      </c>
      <c r="AM61">
        <v>91.809048480213121</v>
      </c>
      <c r="AN61">
        <v>193.66211779347861</v>
      </c>
      <c r="AQ61">
        <v>59</v>
      </c>
      <c r="AR61">
        <f t="shared" si="2"/>
        <v>6.1804568989206494</v>
      </c>
      <c r="AS61">
        <f t="shared" si="3"/>
        <v>10.286007608425347</v>
      </c>
      <c r="AV61">
        <v>1008.6048241891466</v>
      </c>
      <c r="AW61">
        <v>131.21401428472464</v>
      </c>
      <c r="AX61">
        <v>131.21401426121167</v>
      </c>
      <c r="AY61">
        <f t="shared" si="0"/>
        <v>185.56463855824845</v>
      </c>
      <c r="AZ61">
        <v>1551.6997295217639</v>
      </c>
      <c r="BA61">
        <v>201.86771428419175</v>
      </c>
      <c r="BB61">
        <v>201.86771424801796</v>
      </c>
      <c r="BC61">
        <f t="shared" si="1"/>
        <v>285.48405932038219</v>
      </c>
      <c r="BF61">
        <v>1009.159966068437</v>
      </c>
      <c r="BG61">
        <v>70.806303162956681</v>
      </c>
      <c r="BH61">
        <v>169.93512756021377</v>
      </c>
      <c r="BI61">
        <f t="shared" si="4"/>
        <v>184.09638819518068</v>
      </c>
      <c r="BJ61">
        <v>1552.5537939514415</v>
      </c>
      <c r="BK61">
        <v>108.93277409685643</v>
      </c>
      <c r="BL61">
        <v>261.43865778494427</v>
      </c>
      <c r="BM61">
        <f t="shared" si="5"/>
        <v>283.22521260797026</v>
      </c>
      <c r="BP61">
        <v>1008.6048241891466</v>
      </c>
      <c r="BQ61">
        <v>-1.6368010016078392E-14</v>
      </c>
      <c r="BR61">
        <v>185.56463855824842</v>
      </c>
      <c r="BS61">
        <f t="shared" si="6"/>
        <v>-185.56463855824842</v>
      </c>
      <c r="BT61">
        <v>1551.6997295217639</v>
      </c>
      <c r="BU61">
        <v>-2.5181553870889831E-14</v>
      </c>
      <c r="BV61">
        <v>285.48405932038219</v>
      </c>
      <c r="BW61">
        <f t="shared" si="7"/>
        <v>-285.48405932038219</v>
      </c>
    </row>
    <row r="62" spans="1:75" x14ac:dyDescent="0.25">
      <c r="A62">
        <v>26</v>
      </c>
      <c r="B62" s="5">
        <f t="shared" si="16"/>
        <v>7</v>
      </c>
      <c r="C62" s="1">
        <f t="shared" ca="1" si="14"/>
        <v>0</v>
      </c>
      <c r="D62" s="46">
        <f t="shared" si="17"/>
        <v>0</v>
      </c>
      <c r="E62" s="46">
        <f t="shared" si="18"/>
        <v>0</v>
      </c>
      <c r="F62" s="1">
        <f t="shared" ca="1" si="19"/>
        <v>3.8125</v>
      </c>
      <c r="G62" t="e">
        <f t="shared" ca="1" si="20"/>
        <v>#N/A</v>
      </c>
      <c r="H62" t="e">
        <f t="shared" ca="1" si="21"/>
        <v>#N/A</v>
      </c>
      <c r="I62" s="7">
        <f t="shared" si="22"/>
        <v>0</v>
      </c>
      <c r="J62" s="7">
        <f t="shared" si="23"/>
        <v>0</v>
      </c>
      <c r="K62">
        <f t="shared" si="24"/>
        <v>12</v>
      </c>
      <c r="L62" s="15">
        <f t="shared" ca="1" si="25"/>
        <v>0</v>
      </c>
      <c r="M62" s="9">
        <f t="shared" ca="1" si="15"/>
        <v>0</v>
      </c>
      <c r="N62" s="7">
        <f t="shared" ca="1" si="26"/>
        <v>0</v>
      </c>
      <c r="O62" s="7">
        <f t="shared" ca="1" si="27"/>
        <v>0</v>
      </c>
      <c r="P62" s="7">
        <f t="shared" ca="1" si="28"/>
        <v>0</v>
      </c>
      <c r="U62" t="e">
        <f t="shared" ca="1" si="29"/>
        <v>#N/A</v>
      </c>
      <c r="V62" t="e">
        <f t="shared" ca="1" si="30"/>
        <v>#N/A</v>
      </c>
      <c r="X62" t="e">
        <f t="shared" ca="1" si="31"/>
        <v>#N/A</v>
      </c>
      <c r="Y62" t="e">
        <f t="shared" ca="1" si="32"/>
        <v>#N/A</v>
      </c>
      <c r="AC62">
        <f t="shared" ca="1" si="33"/>
        <v>0</v>
      </c>
      <c r="AD62">
        <f t="shared" ca="1" si="34"/>
        <v>0</v>
      </c>
      <c r="AJ62">
        <v>5.2359877559829844</v>
      </c>
      <c r="AK62">
        <v>96.572578889012377</v>
      </c>
      <c r="AL62">
        <v>164.93468585898415</v>
      </c>
      <c r="AM62">
        <v>107.30286543223598</v>
      </c>
      <c r="AN62">
        <v>183.26076206553793</v>
      </c>
      <c r="AQ62">
        <v>60</v>
      </c>
      <c r="AR62">
        <f t="shared" si="2"/>
        <v>6.0000000000000018</v>
      </c>
      <c r="AS62">
        <f t="shared" si="3"/>
        <v>10.392304845413264</v>
      </c>
      <c r="AV62">
        <v>1026.3045977373799</v>
      </c>
      <c r="AW62">
        <v>125.00594792579635</v>
      </c>
      <c r="AX62">
        <v>125.00594790337097</v>
      </c>
      <c r="AY62">
        <f t="shared" si="0"/>
        <v>176.78510691810891</v>
      </c>
      <c r="AZ62">
        <v>1578.9301503651998</v>
      </c>
      <c r="BA62">
        <v>192.31684296276362</v>
      </c>
      <c r="BB62">
        <v>192.31684292826301</v>
      </c>
      <c r="BC62">
        <f t="shared" si="1"/>
        <v>271.97708756632142</v>
      </c>
      <c r="BF62">
        <v>1027.0508413555403</v>
      </c>
      <c r="BG62">
        <v>67.459527772075347</v>
      </c>
      <c r="BH62">
        <v>161.90286665298083</v>
      </c>
      <c r="BI62">
        <f t="shared" si="4"/>
        <v>175.3947722073959</v>
      </c>
      <c r="BJ62">
        <v>1580.0782174700621</v>
      </c>
      <c r="BK62">
        <v>103.78388888011591</v>
      </c>
      <c r="BL62">
        <v>249.08133331227819</v>
      </c>
      <c r="BM62">
        <f t="shared" si="5"/>
        <v>269.83811108830139</v>
      </c>
      <c r="BP62">
        <v>1026.3045977373799</v>
      </c>
      <c r="BQ62">
        <v>-1.1435752654937158E-14</v>
      </c>
      <c r="BR62">
        <v>176.78510691810888</v>
      </c>
      <c r="BS62">
        <f t="shared" si="6"/>
        <v>-176.78510691810888</v>
      </c>
      <c r="BT62">
        <v>1578.9301503651998</v>
      </c>
      <c r="BU62">
        <v>-1.7593465622980242E-14</v>
      </c>
      <c r="BV62">
        <v>271.97708756632136</v>
      </c>
      <c r="BW62">
        <f t="shared" si="7"/>
        <v>-271.97708756632136</v>
      </c>
    </row>
    <row r="63" spans="1:75" x14ac:dyDescent="0.25">
      <c r="A63">
        <v>27</v>
      </c>
      <c r="B63" s="5">
        <f t="shared" si="16"/>
        <v>7</v>
      </c>
      <c r="C63" s="1">
        <f t="shared" ca="1" si="14"/>
        <v>0</v>
      </c>
      <c r="D63" s="46">
        <f t="shared" si="17"/>
        <v>0</v>
      </c>
      <c r="E63" s="46">
        <f t="shared" si="18"/>
        <v>0</v>
      </c>
      <c r="F63" s="1">
        <f t="shared" ca="1" si="19"/>
        <v>3.8125</v>
      </c>
      <c r="G63" t="e">
        <f t="shared" ca="1" si="20"/>
        <v>#N/A</v>
      </c>
      <c r="H63" t="e">
        <f t="shared" ca="1" si="21"/>
        <v>#N/A</v>
      </c>
      <c r="I63" s="7">
        <f t="shared" si="22"/>
        <v>0</v>
      </c>
      <c r="J63" s="7">
        <f t="shared" si="23"/>
        <v>0</v>
      </c>
      <c r="K63">
        <f t="shared" si="24"/>
        <v>12</v>
      </c>
      <c r="L63" s="15">
        <f t="shared" ca="1" si="25"/>
        <v>0</v>
      </c>
      <c r="M63" s="9">
        <f t="shared" ca="1" si="15"/>
        <v>0</v>
      </c>
      <c r="N63" s="7">
        <f t="shared" ca="1" si="26"/>
        <v>0</v>
      </c>
      <c r="O63" s="7">
        <f t="shared" ca="1" si="27"/>
        <v>0</v>
      </c>
      <c r="P63" s="7">
        <f t="shared" ca="1" si="28"/>
        <v>0</v>
      </c>
      <c r="U63" t="e">
        <f t="shared" ca="1" si="29"/>
        <v>#N/A</v>
      </c>
      <c r="V63" t="e">
        <f t="shared" ca="1" si="30"/>
        <v>#N/A</v>
      </c>
      <c r="X63" t="e">
        <f t="shared" ca="1" si="31"/>
        <v>#N/A</v>
      </c>
      <c r="Y63" t="e">
        <f t="shared" ca="1" si="32"/>
        <v>#N/A</v>
      </c>
      <c r="AC63">
        <f t="shared" ca="1" si="33"/>
        <v>0</v>
      </c>
      <c r="AD63">
        <f t="shared" ca="1" si="34"/>
        <v>0</v>
      </c>
      <c r="AJ63">
        <v>5.3232542185827008</v>
      </c>
      <c r="AK63">
        <v>109.59263746293776</v>
      </c>
      <c r="AL63">
        <v>155.10725065147608</v>
      </c>
      <c r="AM63">
        <v>121.76959718104195</v>
      </c>
      <c r="AN63">
        <v>172.34138961275119</v>
      </c>
      <c r="AQ63">
        <v>61</v>
      </c>
      <c r="AR63">
        <f t="shared" si="2"/>
        <v>5.8177154429560449</v>
      </c>
      <c r="AS63">
        <f t="shared" si="3"/>
        <v>10.495436485672748</v>
      </c>
      <c r="AV63">
        <v>1043.6532436508583</v>
      </c>
      <c r="AW63">
        <v>118.64330728806668</v>
      </c>
      <c r="AX63">
        <v>118.64330728806671</v>
      </c>
      <c r="AY63">
        <f t="shared" si="0"/>
        <v>167.78697425158259</v>
      </c>
      <c r="AZ63">
        <v>1605.6203748474743</v>
      </c>
      <c r="BA63">
        <v>182.52816505856413</v>
      </c>
      <c r="BB63">
        <v>182.52816505856416</v>
      </c>
      <c r="BC63">
        <f t="shared" si="1"/>
        <v>258.13380654089627</v>
      </c>
      <c r="BF63">
        <v>1044.5843236803198</v>
      </c>
      <c r="BG63">
        <v>64.027692585672597</v>
      </c>
      <c r="BH63">
        <v>153.66646220561421</v>
      </c>
      <c r="BI63">
        <f t="shared" si="4"/>
        <v>166.47200072274873</v>
      </c>
      <c r="BJ63">
        <v>1607.0528056620303</v>
      </c>
      <c r="BK63">
        <v>98.504142439496306</v>
      </c>
      <c r="BL63">
        <v>236.40994185479107</v>
      </c>
      <c r="BM63">
        <f t="shared" si="5"/>
        <v>256.11077034269033</v>
      </c>
      <c r="BP63">
        <v>1043.6532436508583</v>
      </c>
      <c r="BQ63">
        <v>-6.6194007175035096E-16</v>
      </c>
      <c r="BR63">
        <v>167.78697425158259</v>
      </c>
      <c r="BS63">
        <f t="shared" si="6"/>
        <v>-167.78697425158259</v>
      </c>
      <c r="BT63">
        <v>1605.6203748474743</v>
      </c>
      <c r="BU63">
        <v>-1.0183693411543861E-15</v>
      </c>
      <c r="BV63">
        <v>258.13380654089627</v>
      </c>
      <c r="BW63">
        <f t="shared" si="7"/>
        <v>-258.13380654089627</v>
      </c>
    </row>
    <row r="64" spans="1:75" x14ac:dyDescent="0.25">
      <c r="A64">
        <v>28</v>
      </c>
      <c r="B64" s="5">
        <f t="shared" si="16"/>
        <v>7</v>
      </c>
      <c r="C64" s="1">
        <f t="shared" ca="1" si="14"/>
        <v>0</v>
      </c>
      <c r="D64" s="46">
        <f t="shared" si="17"/>
        <v>0</v>
      </c>
      <c r="E64" s="46">
        <f t="shared" si="18"/>
        <v>0</v>
      </c>
      <c r="F64" s="1">
        <f t="shared" ca="1" si="19"/>
        <v>3.8125</v>
      </c>
      <c r="G64" t="e">
        <f t="shared" ca="1" si="20"/>
        <v>#N/A</v>
      </c>
      <c r="H64" t="e">
        <f t="shared" ca="1" si="21"/>
        <v>#N/A</v>
      </c>
      <c r="I64" s="7">
        <f t="shared" si="22"/>
        <v>0</v>
      </c>
      <c r="J64" s="7">
        <f t="shared" si="23"/>
        <v>0</v>
      </c>
      <c r="K64">
        <f t="shared" si="24"/>
        <v>12</v>
      </c>
      <c r="L64" s="15">
        <f t="shared" ca="1" si="25"/>
        <v>0</v>
      </c>
      <c r="M64" s="9">
        <f t="shared" ca="1" si="15"/>
        <v>0</v>
      </c>
      <c r="N64" s="7">
        <f t="shared" ca="1" si="26"/>
        <v>0</v>
      </c>
      <c r="O64" s="7">
        <f t="shared" ca="1" si="27"/>
        <v>0</v>
      </c>
      <c r="P64" s="7">
        <f t="shared" ca="1" si="28"/>
        <v>0</v>
      </c>
      <c r="U64" t="e">
        <f t="shared" ca="1" si="29"/>
        <v>#N/A</v>
      </c>
      <c r="V64" t="e">
        <f t="shared" ca="1" si="30"/>
        <v>#N/A</v>
      </c>
      <c r="X64" t="e">
        <f t="shared" ca="1" si="31"/>
        <v>#N/A</v>
      </c>
      <c r="Y64" t="e">
        <f t="shared" ca="1" si="32"/>
        <v>#N/A</v>
      </c>
      <c r="AC64">
        <f t="shared" ca="1" si="33"/>
        <v>0</v>
      </c>
      <c r="AD64">
        <f t="shared" ca="1" si="34"/>
        <v>0</v>
      </c>
      <c r="AJ64">
        <v>5.4105206811824171</v>
      </c>
      <c r="AK64">
        <v>121.9152193413953</v>
      </c>
      <c r="AL64">
        <v>144.65012571630291</v>
      </c>
      <c r="AM64">
        <v>135.46135482377255</v>
      </c>
      <c r="AN64">
        <v>160.72236190700323</v>
      </c>
      <c r="AQ64">
        <v>62</v>
      </c>
      <c r="AR64">
        <f t="shared" si="2"/>
        <v>5.6336587534306908</v>
      </c>
      <c r="AS64">
        <f t="shared" si="3"/>
        <v>10.595371114307122</v>
      </c>
      <c r="AV64">
        <v>1060.634572509455</v>
      </c>
      <c r="AW64">
        <v>112.14308831822012</v>
      </c>
      <c r="AX64">
        <v>112.14308829805637</v>
      </c>
      <c r="AY64">
        <f t="shared" si="0"/>
        <v>158.59427641177277</v>
      </c>
      <c r="AZ64">
        <v>1631.7454961683923</v>
      </c>
      <c r="BA64">
        <v>172.52782818187711</v>
      </c>
      <c r="BB64">
        <v>172.52782815085595</v>
      </c>
      <c r="BC64">
        <f t="shared" si="1"/>
        <v>243.9911944796504</v>
      </c>
      <c r="BF64">
        <v>1061.7445267757009</v>
      </c>
      <c r="BG64">
        <v>60.520089702542968</v>
      </c>
      <c r="BH64">
        <v>145.24821525504188</v>
      </c>
      <c r="BI64">
        <f t="shared" si="4"/>
        <v>157.3522331979398</v>
      </c>
      <c r="BJ64">
        <v>1633.453118116463</v>
      </c>
      <c r="BK64">
        <v>93.107830311604559</v>
      </c>
      <c r="BL64">
        <v>223.45879270006444</v>
      </c>
      <c r="BM64">
        <f t="shared" si="5"/>
        <v>242.08035876606124</v>
      </c>
      <c r="BP64">
        <v>1060.634572509455</v>
      </c>
      <c r="BQ64">
        <v>-1.5629094570981371E-14</v>
      </c>
      <c r="BR64">
        <v>158.59427641177277</v>
      </c>
      <c r="BS64">
        <f t="shared" si="6"/>
        <v>-158.59427641177277</v>
      </c>
      <c r="BT64">
        <v>1631.7454961683923</v>
      </c>
      <c r="BU64">
        <v>-2.4044760878432876E-14</v>
      </c>
      <c r="BV64">
        <v>243.9911944796504</v>
      </c>
      <c r="BW64">
        <f t="shared" si="7"/>
        <v>-243.9911944796504</v>
      </c>
    </row>
    <row r="65" spans="1:75" x14ac:dyDescent="0.25">
      <c r="A65">
        <v>29</v>
      </c>
      <c r="B65" s="5">
        <f t="shared" si="16"/>
        <v>7</v>
      </c>
      <c r="C65" s="1">
        <f t="shared" ca="1" si="14"/>
        <v>0</v>
      </c>
      <c r="D65" s="46">
        <f t="shared" si="17"/>
        <v>0</v>
      </c>
      <c r="E65" s="46">
        <f t="shared" si="18"/>
        <v>0</v>
      </c>
      <c r="F65" s="1">
        <f t="shared" ca="1" si="19"/>
        <v>3.8125</v>
      </c>
      <c r="G65" t="e">
        <f t="shared" ca="1" si="20"/>
        <v>#N/A</v>
      </c>
      <c r="H65" t="e">
        <f t="shared" ca="1" si="21"/>
        <v>#N/A</v>
      </c>
      <c r="I65" s="7">
        <f t="shared" si="22"/>
        <v>0</v>
      </c>
      <c r="J65" s="7">
        <f t="shared" si="23"/>
        <v>0</v>
      </c>
      <c r="K65">
        <f t="shared" si="24"/>
        <v>12</v>
      </c>
      <c r="L65" s="15">
        <f t="shared" ca="1" si="25"/>
        <v>0</v>
      </c>
      <c r="M65" s="9">
        <f t="shared" ca="1" si="15"/>
        <v>0</v>
      </c>
      <c r="N65" s="7">
        <f t="shared" ca="1" si="26"/>
        <v>0</v>
      </c>
      <c r="O65" s="7">
        <f t="shared" ca="1" si="27"/>
        <v>0</v>
      </c>
      <c r="P65" s="7">
        <f t="shared" ca="1" si="28"/>
        <v>0</v>
      </c>
      <c r="U65" t="e">
        <f t="shared" ca="1" si="29"/>
        <v>#N/A</v>
      </c>
      <c r="V65" t="e">
        <f t="shared" ca="1" si="30"/>
        <v>#N/A</v>
      </c>
      <c r="X65" t="e">
        <f t="shared" ca="1" si="31"/>
        <v>#N/A</v>
      </c>
      <c r="Y65" t="e">
        <f t="shared" ca="1" si="32"/>
        <v>#N/A</v>
      </c>
      <c r="AC65">
        <f t="shared" ca="1" si="33"/>
        <v>0</v>
      </c>
      <c r="AD65">
        <f t="shared" ca="1" si="34"/>
        <v>0</v>
      </c>
      <c r="AJ65">
        <v>5.4977871437821335</v>
      </c>
      <c r="AK65">
        <v>133.58915337477904</v>
      </c>
      <c r="AL65">
        <v>133.58915337478024</v>
      </c>
      <c r="AM65">
        <v>148.43239263864339</v>
      </c>
      <c r="AN65">
        <v>148.4323926386447</v>
      </c>
      <c r="AQ65">
        <v>63</v>
      </c>
      <c r="AR65">
        <f t="shared" si="2"/>
        <v>5.4478859968745619</v>
      </c>
      <c r="AS65">
        <f t="shared" si="3"/>
        <v>10.692078290260413</v>
      </c>
      <c r="AV65">
        <v>1077.2309842365703</v>
      </c>
      <c r="AW65">
        <v>105.52389152996885</v>
      </c>
      <c r="AX65">
        <v>105.52389152996885</v>
      </c>
      <c r="AY65">
        <f t="shared" si="0"/>
        <v>149.23331855606932</v>
      </c>
      <c r="AZ65">
        <v>1657.2784372870312</v>
      </c>
      <c r="BA65">
        <v>162.34444850764439</v>
      </c>
      <c r="BB65">
        <v>162.34444850764439</v>
      </c>
      <c r="BC65">
        <f t="shared" si="1"/>
        <v>229.58972085549127</v>
      </c>
      <c r="BF65">
        <v>1078.5141344725043</v>
      </c>
      <c r="BG65">
        <v>56.946880987253415</v>
      </c>
      <c r="BH65">
        <v>136.67251434890989</v>
      </c>
      <c r="BI65">
        <f t="shared" si="4"/>
        <v>148.06189054793737</v>
      </c>
      <c r="BJ65">
        <v>1659.2525145730835</v>
      </c>
      <c r="BK65">
        <v>87.610586134236016</v>
      </c>
      <c r="BL65">
        <v>210.26540669063058</v>
      </c>
      <c r="BM65">
        <f t="shared" si="5"/>
        <v>227.78752391990361</v>
      </c>
      <c r="BP65">
        <v>1077.2309842365703</v>
      </c>
      <c r="BQ65">
        <v>-1.4663013462836811E-14</v>
      </c>
      <c r="BR65">
        <v>149.23331855606932</v>
      </c>
      <c r="BS65">
        <f t="shared" si="6"/>
        <v>-149.23331855606932</v>
      </c>
      <c r="BT65">
        <v>1657.2784372870312</v>
      </c>
      <c r="BU65">
        <v>-2.2558482250518169E-14</v>
      </c>
      <c r="BV65">
        <v>229.58972085549127</v>
      </c>
      <c r="BW65">
        <f t="shared" si="7"/>
        <v>-229.58972085549127</v>
      </c>
    </row>
    <row r="66" spans="1:75" x14ac:dyDescent="0.25">
      <c r="A66">
        <v>30</v>
      </c>
      <c r="B66" s="5">
        <f t="shared" si="16"/>
        <v>7</v>
      </c>
      <c r="C66" s="1">
        <f t="shared" ca="1" si="14"/>
        <v>0</v>
      </c>
      <c r="D66" s="46">
        <f t="shared" si="17"/>
        <v>0</v>
      </c>
      <c r="E66" s="46">
        <f t="shared" si="18"/>
        <v>0</v>
      </c>
      <c r="F66" s="1">
        <f t="shared" ca="1" si="19"/>
        <v>3.8125</v>
      </c>
      <c r="G66" t="e">
        <f t="shared" ca="1" si="20"/>
        <v>#N/A</v>
      </c>
      <c r="H66" t="e">
        <f t="shared" ca="1" si="21"/>
        <v>#N/A</v>
      </c>
      <c r="I66" s="7">
        <f t="shared" si="22"/>
        <v>0</v>
      </c>
      <c r="J66" s="7">
        <f t="shared" si="23"/>
        <v>0</v>
      </c>
      <c r="K66">
        <f t="shared" si="24"/>
        <v>12</v>
      </c>
      <c r="L66" s="15">
        <f t="shared" ca="1" si="25"/>
        <v>0</v>
      </c>
      <c r="M66" s="9">
        <f t="shared" ca="1" si="15"/>
        <v>0</v>
      </c>
      <c r="N66" s="7">
        <f t="shared" ca="1" si="26"/>
        <v>0</v>
      </c>
      <c r="O66" s="7">
        <f t="shared" ca="1" si="27"/>
        <v>0</v>
      </c>
      <c r="P66" s="7">
        <f t="shared" ca="1" si="28"/>
        <v>0</v>
      </c>
      <c r="U66" t="e">
        <f t="shared" ca="1" si="29"/>
        <v>#N/A</v>
      </c>
      <c r="V66" t="e">
        <f t="shared" ca="1" si="30"/>
        <v>#N/A</v>
      </c>
      <c r="X66" t="e">
        <f t="shared" ca="1" si="31"/>
        <v>#N/A</v>
      </c>
      <c r="Y66" t="e">
        <f t="shared" ca="1" si="32"/>
        <v>#N/A</v>
      </c>
      <c r="AC66">
        <f t="shared" ca="1" si="33"/>
        <v>0</v>
      </c>
      <c r="AD66">
        <f t="shared" ca="1" si="34"/>
        <v>0</v>
      </c>
      <c r="AJ66">
        <v>5.5850536063818499</v>
      </c>
      <c r="AK66">
        <v>144.6501257163018</v>
      </c>
      <c r="AL66">
        <v>121.91521934139668</v>
      </c>
      <c r="AM66">
        <v>160.72236190700201</v>
      </c>
      <c r="AN66">
        <v>135.46135482377409</v>
      </c>
      <c r="AQ66">
        <v>64</v>
      </c>
      <c r="AR66">
        <f t="shared" si="2"/>
        <v>5.2604537614689297</v>
      </c>
      <c r="AS66">
        <f t="shared" si="3"/>
        <v>10.785528555590005</v>
      </c>
      <c r="AV66">
        <v>1093.4232901541798</v>
      </c>
      <c r="AW66">
        <v>98.806088090634447</v>
      </c>
      <c r="AX66">
        <v>98.806088090634447</v>
      </c>
      <c r="AY66">
        <f t="shared" ref="AY66:AY77" si="35">SQRT(POWER(AW66,2)+POWER(AX66,2))</f>
        <v>139.73290982280599</v>
      </c>
      <c r="AZ66">
        <v>1682.1896771602765</v>
      </c>
      <c r="BA66">
        <v>152.00936629328376</v>
      </c>
      <c r="BB66">
        <v>152.00936629328376</v>
      </c>
      <c r="BC66">
        <f t="shared" ref="BC66:BC77" si="36">SQRT(POWER(BA66,2)+POWER(BB66,2))</f>
        <v>214.97370741970153</v>
      </c>
      <c r="BF66">
        <v>1094.8742242584881</v>
      </c>
      <c r="BG66">
        <v>53.319188635654946</v>
      </c>
      <c r="BH66">
        <v>127.9660527076002</v>
      </c>
      <c r="BI66">
        <f t="shared" si="4"/>
        <v>138.62989043611361</v>
      </c>
      <c r="BJ66">
        <v>1684.4218834745971</v>
      </c>
      <c r="BK66">
        <v>82.029520977930687</v>
      </c>
      <c r="BL66">
        <v>196.87085031938491</v>
      </c>
      <c r="BM66">
        <f t="shared" si="5"/>
        <v>213.27675451709788</v>
      </c>
      <c r="BP66">
        <v>1093.4232901541798</v>
      </c>
      <c r="BQ66">
        <v>1.3178205710905462E-14</v>
      </c>
      <c r="BR66">
        <v>139.73290982280596</v>
      </c>
      <c r="BS66">
        <f t="shared" si="6"/>
        <v>-139.73290982280596</v>
      </c>
      <c r="BT66">
        <v>1682.1896771602765</v>
      </c>
      <c r="BU66">
        <v>2.027416263216225E-14</v>
      </c>
      <c r="BV66">
        <v>214.97370741970147</v>
      </c>
      <c r="BW66">
        <f t="shared" si="7"/>
        <v>-214.97370741970147</v>
      </c>
    </row>
    <row r="67" spans="1:75" x14ac:dyDescent="0.25">
      <c r="A67">
        <v>31</v>
      </c>
      <c r="B67" s="5">
        <f t="shared" si="16"/>
        <v>7</v>
      </c>
      <c r="C67" s="1">
        <f t="shared" ca="1" si="14"/>
        <v>0</v>
      </c>
      <c r="D67" s="46">
        <f t="shared" si="17"/>
        <v>0</v>
      </c>
      <c r="E67" s="46">
        <f t="shared" si="18"/>
        <v>0</v>
      </c>
      <c r="F67" s="1">
        <f t="shared" ca="1" si="19"/>
        <v>3.8125</v>
      </c>
      <c r="G67" t="e">
        <f t="shared" ca="1" si="20"/>
        <v>#N/A</v>
      </c>
      <c r="H67" t="e">
        <f t="shared" ca="1" si="21"/>
        <v>#N/A</v>
      </c>
      <c r="I67" s="7">
        <f t="shared" si="22"/>
        <v>0</v>
      </c>
      <c r="J67" s="7">
        <f t="shared" si="23"/>
        <v>0</v>
      </c>
      <c r="K67">
        <f t="shared" si="24"/>
        <v>12</v>
      </c>
      <c r="L67" s="15">
        <f t="shared" ca="1" si="25"/>
        <v>0</v>
      </c>
      <c r="M67" s="9">
        <f t="shared" ca="1" si="15"/>
        <v>0</v>
      </c>
      <c r="N67" s="7">
        <f t="shared" ca="1" si="26"/>
        <v>0</v>
      </c>
      <c r="O67" s="7">
        <f t="shared" ca="1" si="27"/>
        <v>0</v>
      </c>
      <c r="P67" s="7">
        <f t="shared" ca="1" si="28"/>
        <v>0</v>
      </c>
      <c r="U67" t="e">
        <f t="shared" ca="1" si="29"/>
        <v>#N/A</v>
      </c>
      <c r="V67" t="e">
        <f t="shared" ca="1" si="30"/>
        <v>#N/A</v>
      </c>
      <c r="X67" t="e">
        <f t="shared" ca="1" si="31"/>
        <v>#N/A</v>
      </c>
      <c r="Y67" t="e">
        <f t="shared" ca="1" si="32"/>
        <v>#N/A</v>
      </c>
      <c r="AC67">
        <f t="shared" ca="1" si="33"/>
        <v>0</v>
      </c>
      <c r="AD67">
        <f t="shared" ca="1" si="34"/>
        <v>0</v>
      </c>
      <c r="AJ67">
        <v>5.6723200689815663</v>
      </c>
      <c r="AK67">
        <v>155.10725065147491</v>
      </c>
      <c r="AL67">
        <v>109.59263746293912</v>
      </c>
      <c r="AM67">
        <v>172.34138961274991</v>
      </c>
      <c r="AN67">
        <v>121.76959718104347</v>
      </c>
      <c r="AQ67">
        <v>65</v>
      </c>
      <c r="AR67">
        <f t="shared" ref="AR67:AR130" si="37">$B$3*COS(RADIANS(AQ67))</f>
        <v>5.0714191408883931</v>
      </c>
      <c r="AS67">
        <f t="shared" ref="AS67:AS130" si="38">$B$3*SIN(RADIANS(AQ67))</f>
        <v>10.875693444439799</v>
      </c>
      <c r="AV67">
        <v>1109.1904896321116</v>
      </c>
      <c r="AW67">
        <v>92.01202329646334</v>
      </c>
      <c r="AX67">
        <v>92.01202329646334</v>
      </c>
      <c r="AY67">
        <f t="shared" si="35"/>
        <v>130.12465124724764</v>
      </c>
      <c r="AZ67">
        <v>1706.4469071263254</v>
      </c>
      <c r="BA67">
        <v>141.55695891763591</v>
      </c>
      <c r="BB67">
        <v>141.55695891763591</v>
      </c>
      <c r="BC67">
        <f t="shared" si="36"/>
        <v>200.19177114961175</v>
      </c>
      <c r="BF67">
        <v>1107.8205437599267</v>
      </c>
      <c r="BG67">
        <v>50.372536558030994</v>
      </c>
      <c r="BH67">
        <v>120.89408773927435</v>
      </c>
      <c r="BI67">
        <f t="shared" ref="BI67:BI77" si="39">SQRT(POWER(BG67,2)+POWER(BH67,2))</f>
        <v>130.96859505088057</v>
      </c>
      <c r="BJ67">
        <v>1704.3392980921949</v>
      </c>
      <c r="BK67">
        <v>77.496210089278449</v>
      </c>
      <c r="BL67">
        <v>185.99090421426823</v>
      </c>
      <c r="BM67">
        <f t="shared" ref="BM67:BM77" si="40">SQRT(POWER(BK67,2)+POWER(BL67,2))</f>
        <v>201.49014623212392</v>
      </c>
      <c r="BP67">
        <v>1109.1904896321116</v>
      </c>
      <c r="BQ67">
        <v>-1.2369665337444609E-14</v>
      </c>
      <c r="BR67">
        <v>130.12465124724764</v>
      </c>
      <c r="BS67">
        <f t="shared" ref="BS67:BS76" si="41">SQRT(POWER(BQ67,2)+POWER(BR67,2))*-1</f>
        <v>-130.12465124724764</v>
      </c>
      <c r="BT67">
        <v>1706.4469071263254</v>
      </c>
      <c r="BU67">
        <v>-1.9030254365299398E-14</v>
      </c>
      <c r="BV67">
        <v>200.19177114961175</v>
      </c>
      <c r="BW67">
        <f t="shared" ref="BW67:BW76" si="42">SQRT(POWER(BU67,2)+POWER(BV67,2))*-1</f>
        <v>-200.19177114961175</v>
      </c>
    </row>
    <row r="68" spans="1:75" x14ac:dyDescent="0.25">
      <c r="A68">
        <v>32</v>
      </c>
      <c r="B68" s="5">
        <f t="shared" si="16"/>
        <v>7</v>
      </c>
      <c r="C68" s="1">
        <f t="shared" ca="1" si="14"/>
        <v>0</v>
      </c>
      <c r="D68" s="46">
        <f t="shared" si="17"/>
        <v>0</v>
      </c>
      <c r="E68" s="46">
        <f t="shared" si="18"/>
        <v>0</v>
      </c>
      <c r="F68" s="1">
        <f t="shared" ca="1" si="19"/>
        <v>3.8125</v>
      </c>
      <c r="G68" t="e">
        <f t="shared" ca="1" si="20"/>
        <v>#N/A</v>
      </c>
      <c r="H68" t="e">
        <f t="shared" ca="1" si="21"/>
        <v>#N/A</v>
      </c>
      <c r="I68" s="7">
        <f t="shared" si="22"/>
        <v>0</v>
      </c>
      <c r="J68" s="7">
        <f t="shared" si="23"/>
        <v>0</v>
      </c>
      <c r="K68">
        <f t="shared" si="24"/>
        <v>12</v>
      </c>
      <c r="L68" s="15">
        <f t="shared" ca="1" si="25"/>
        <v>0</v>
      </c>
      <c r="M68" s="9">
        <f t="shared" ca="1" si="15"/>
        <v>0</v>
      </c>
      <c r="N68" s="7">
        <f t="shared" ca="1" si="26"/>
        <v>0</v>
      </c>
      <c r="O68" s="7">
        <f t="shared" ca="1" si="27"/>
        <v>0</v>
      </c>
      <c r="P68" s="7">
        <f t="shared" ca="1" si="28"/>
        <v>0</v>
      </c>
      <c r="U68" t="e">
        <f t="shared" ca="1" si="29"/>
        <v>#N/A</v>
      </c>
      <c r="V68" t="e">
        <f t="shared" ca="1" si="30"/>
        <v>#N/A</v>
      </c>
      <c r="X68" t="e">
        <f t="shared" ca="1" si="31"/>
        <v>#N/A</v>
      </c>
      <c r="Y68" t="e">
        <f t="shared" ca="1" si="32"/>
        <v>#N/A</v>
      </c>
      <c r="AC68">
        <f t="shared" ca="1" si="33"/>
        <v>0</v>
      </c>
      <c r="AD68">
        <f t="shared" ca="1" si="34"/>
        <v>0</v>
      </c>
      <c r="AJ68">
        <v>5.7595865315812826</v>
      </c>
      <c r="AK68">
        <v>164.93468585898316</v>
      </c>
      <c r="AL68">
        <v>96.572578889013812</v>
      </c>
      <c r="AM68">
        <v>183.26076206553685</v>
      </c>
      <c r="AN68">
        <v>107.30286543223757</v>
      </c>
      <c r="AQ68">
        <v>66</v>
      </c>
      <c r="AR68">
        <f t="shared" si="37"/>
        <v>4.8808397169096027</v>
      </c>
      <c r="AS68">
        <f t="shared" si="38"/>
        <v>10.962545491711211</v>
      </c>
      <c r="AV68">
        <v>1124.509487435605</v>
      </c>
      <c r="AW68">
        <v>85.166269133910177</v>
      </c>
      <c r="AX68">
        <v>85.166269133910177</v>
      </c>
      <c r="AY68">
        <f t="shared" si="35"/>
        <v>120.44329286589289</v>
      </c>
      <c r="AZ68">
        <v>1730.0145960547768</v>
      </c>
      <c r="BA68">
        <v>131.02502943678488</v>
      </c>
      <c r="BB68">
        <v>131.02502943678488</v>
      </c>
      <c r="BC68">
        <f t="shared" si="36"/>
        <v>185.2973736398352</v>
      </c>
      <c r="BF68">
        <v>1123.2972353403486</v>
      </c>
      <c r="BG68">
        <v>46.67366590435158</v>
      </c>
      <c r="BH68">
        <v>112.01679814248273</v>
      </c>
      <c r="BI68">
        <f t="shared" si="39"/>
        <v>121.35153132550388</v>
      </c>
      <c r="BJ68">
        <v>1728.1495928313054</v>
      </c>
      <c r="BK68">
        <v>71.805639852848586</v>
      </c>
      <c r="BL68">
        <v>172.33353560381957</v>
      </c>
      <c r="BM68">
        <f t="shared" si="40"/>
        <v>186.69466357769829</v>
      </c>
      <c r="BP68">
        <v>1124.509487435605</v>
      </c>
      <c r="BQ68">
        <v>-2.7923373463117637E-15</v>
      </c>
      <c r="BR68">
        <v>120.44329286589287</v>
      </c>
      <c r="BS68">
        <f t="shared" si="41"/>
        <v>-120.44329286589287</v>
      </c>
      <c r="BT68">
        <v>1730.0145960547768</v>
      </c>
      <c r="BU68">
        <v>-4.2959036097104056E-15</v>
      </c>
      <c r="BV68">
        <v>185.29737363983517</v>
      </c>
      <c r="BW68">
        <f t="shared" si="42"/>
        <v>-185.29737363983517</v>
      </c>
    </row>
    <row r="69" spans="1:75" x14ac:dyDescent="0.25">
      <c r="A69">
        <v>33</v>
      </c>
      <c r="B69" s="5">
        <f t="shared" si="16"/>
        <v>7</v>
      </c>
      <c r="C69" s="1">
        <f t="shared" ref="C69:C100" ca="1" si="43">IF(A69&lt;=$B$31,OFFSET($Q$36,MATCH(B69,$Q$36:$Q$47,0)-1,2),0)</f>
        <v>0</v>
      </c>
      <c r="D69" s="46">
        <f t="shared" si="17"/>
        <v>0</v>
      </c>
      <c r="E69" s="46">
        <f t="shared" si="18"/>
        <v>0</v>
      </c>
      <c r="F69" s="1">
        <f t="shared" ca="1" si="19"/>
        <v>3.8125</v>
      </c>
      <c r="G69" t="e">
        <f t="shared" ca="1" si="20"/>
        <v>#N/A</v>
      </c>
      <c r="H69" t="e">
        <f t="shared" ca="1" si="21"/>
        <v>#N/A</v>
      </c>
      <c r="I69" s="7">
        <f t="shared" si="22"/>
        <v>0</v>
      </c>
      <c r="J69" s="7">
        <f t="shared" si="23"/>
        <v>0</v>
      </c>
      <c r="K69">
        <f t="shared" si="24"/>
        <v>12</v>
      </c>
      <c r="L69" s="15">
        <f t="shared" ca="1" si="25"/>
        <v>0</v>
      </c>
      <c r="M69" s="9">
        <f t="shared" ref="M69:M100" ca="1" si="44">IF(AND(L69&gt;0,K69&lt;=$B$12),MIN((L69*F$35),C$35)-IF($B$2="Whitney",$B$9,B183),MAX(L69*F$35,-1*C$35))</f>
        <v>0</v>
      </c>
      <c r="N69" s="7">
        <f t="shared" ca="1" si="26"/>
        <v>0</v>
      </c>
      <c r="O69" s="7">
        <f t="shared" ca="1" si="27"/>
        <v>0</v>
      </c>
      <c r="P69" s="7">
        <f t="shared" ca="1" si="28"/>
        <v>0</v>
      </c>
      <c r="U69" t="e">
        <f t="shared" ca="1" si="29"/>
        <v>#N/A</v>
      </c>
      <c r="V69" t="e">
        <f t="shared" ca="1" si="30"/>
        <v>#N/A</v>
      </c>
      <c r="X69" t="e">
        <f t="shared" ca="1" si="31"/>
        <v>#N/A</v>
      </c>
      <c r="Y69" t="e">
        <f t="shared" ca="1" si="32"/>
        <v>#N/A</v>
      </c>
      <c r="AC69">
        <f t="shared" ca="1" si="33"/>
        <v>0</v>
      </c>
      <c r="AD69">
        <f t="shared" ca="1" si="34"/>
        <v>0</v>
      </c>
      <c r="AJ69">
        <v>5.846852994180999</v>
      </c>
      <c r="AK69">
        <v>174.29590601412986</v>
      </c>
      <c r="AL69">
        <v>82.628143632193343</v>
      </c>
      <c r="AM69">
        <v>193.66211779347762</v>
      </c>
      <c r="AN69">
        <v>91.809048480214827</v>
      </c>
      <c r="AQ69">
        <v>67</v>
      </c>
      <c r="AR69">
        <f t="shared" si="37"/>
        <v>4.688773541871285</v>
      </c>
      <c r="AS69">
        <f t="shared" si="38"/>
        <v>11.046058241429284</v>
      </c>
      <c r="AV69">
        <v>1251.7607169713633</v>
      </c>
      <c r="AW69">
        <v>17.841088602169091</v>
      </c>
      <c r="AX69">
        <v>17.841088602169098</v>
      </c>
      <c r="AY69">
        <f t="shared" si="35"/>
        <v>25.231109468687578</v>
      </c>
      <c r="AZ69">
        <v>1925.785718417482</v>
      </c>
      <c r="BA69">
        <v>27.447828618721676</v>
      </c>
      <c r="BB69">
        <v>27.447828618721687</v>
      </c>
      <c r="BC69">
        <f t="shared" si="36"/>
        <v>38.817091490288576</v>
      </c>
      <c r="BF69">
        <v>1249.7529677407194</v>
      </c>
      <c r="BG69">
        <v>11.09333335287749</v>
      </c>
      <c r="BH69">
        <v>26.624000043263568</v>
      </c>
      <c r="BI69">
        <f t="shared" si="39"/>
        <v>28.84266671411925</v>
      </c>
      <c r="BJ69">
        <v>1922.6968734472607</v>
      </c>
      <c r="BK69">
        <v>17.0666666967346</v>
      </c>
      <c r="BL69">
        <v>40.960000066559331</v>
      </c>
      <c r="BM69">
        <f t="shared" si="40"/>
        <v>44.373333406337302</v>
      </c>
      <c r="BP69">
        <v>1251.7607169713633</v>
      </c>
      <c r="BQ69">
        <v>5.6168878770534205E-16</v>
      </c>
      <c r="BR69">
        <v>25.231109468687588</v>
      </c>
      <c r="BS69">
        <f t="shared" si="41"/>
        <v>-25.231109468687588</v>
      </c>
      <c r="BT69">
        <v>1925.785718417482</v>
      </c>
      <c r="BU69">
        <v>8.6413659646975702E-16</v>
      </c>
      <c r="BV69">
        <v>38.817091490288597</v>
      </c>
      <c r="BW69">
        <f t="shared" si="42"/>
        <v>-38.817091490288597</v>
      </c>
    </row>
    <row r="70" spans="1:75" x14ac:dyDescent="0.25">
      <c r="A70">
        <v>34</v>
      </c>
      <c r="B70" s="5">
        <f t="shared" si="16"/>
        <v>7</v>
      </c>
      <c r="C70" s="1">
        <f t="shared" ca="1" si="43"/>
        <v>0</v>
      </c>
      <c r="D70" s="46">
        <f t="shared" si="17"/>
        <v>0</v>
      </c>
      <c r="E70" s="46">
        <f t="shared" si="18"/>
        <v>0</v>
      </c>
      <c r="F70" s="1">
        <f t="shared" ca="1" si="19"/>
        <v>3.8125</v>
      </c>
      <c r="G70" t="e">
        <f t="shared" ca="1" si="20"/>
        <v>#N/A</v>
      </c>
      <c r="H70" t="e">
        <f t="shared" ca="1" si="21"/>
        <v>#N/A</v>
      </c>
      <c r="I70" s="7">
        <f t="shared" si="22"/>
        <v>0</v>
      </c>
      <c r="J70" s="7">
        <f t="shared" si="23"/>
        <v>0</v>
      </c>
      <c r="K70">
        <f t="shared" si="24"/>
        <v>12</v>
      </c>
      <c r="L70" s="15">
        <f t="shared" ca="1" si="25"/>
        <v>0</v>
      </c>
      <c r="M70" s="9">
        <f t="shared" ca="1" si="44"/>
        <v>0</v>
      </c>
      <c r="N70" s="7">
        <f t="shared" ca="1" si="26"/>
        <v>0</v>
      </c>
      <c r="O70" s="7">
        <f t="shared" ca="1" si="27"/>
        <v>0</v>
      </c>
      <c r="P70" s="7">
        <f t="shared" ca="1" si="28"/>
        <v>0</v>
      </c>
      <c r="U70" t="e">
        <f t="shared" ca="1" si="29"/>
        <v>#N/A</v>
      </c>
      <c r="V70" t="e">
        <f t="shared" ca="1" si="30"/>
        <v>#N/A</v>
      </c>
      <c r="X70" t="e">
        <f t="shared" ca="1" si="31"/>
        <v>#N/A</v>
      </c>
      <c r="Y70" t="e">
        <f t="shared" ca="1" si="32"/>
        <v>#N/A</v>
      </c>
      <c r="AC70">
        <f t="shared" ca="1" si="33"/>
        <v>0</v>
      </c>
      <c r="AD70">
        <f t="shared" ca="1" si="34"/>
        <v>0</v>
      </c>
      <c r="AJ70">
        <v>5.9341194567807154</v>
      </c>
      <c r="AK70">
        <v>181.67273775482386</v>
      </c>
      <c r="AL70">
        <v>64.818896396466357</v>
      </c>
      <c r="AM70">
        <v>201.85859750535982</v>
      </c>
      <c r="AN70">
        <v>72.020995996073722</v>
      </c>
      <c r="AQ70">
        <v>68</v>
      </c>
      <c r="AR70">
        <f t="shared" si="37"/>
        <v>4.4952791209909435</v>
      </c>
      <c r="AS70">
        <f t="shared" si="38"/>
        <v>11.126206254801449</v>
      </c>
      <c r="AV70">
        <v>1269.5946828736348</v>
      </c>
      <c r="AW70">
        <v>10.519596555616404</v>
      </c>
      <c r="AX70">
        <v>10.519596555616404</v>
      </c>
      <c r="AY70">
        <f t="shared" si="35"/>
        <v>14.876956119646016</v>
      </c>
      <c r="AZ70">
        <v>1953.2225890363611</v>
      </c>
      <c r="BA70">
        <v>16.183994700948315</v>
      </c>
      <c r="BB70">
        <v>16.183994700948315</v>
      </c>
      <c r="BC70">
        <f t="shared" si="36"/>
        <v>22.887624799455409</v>
      </c>
      <c r="BF70">
        <v>1268.972281883784</v>
      </c>
      <c r="BG70">
        <v>5.9859720186200471</v>
      </c>
      <c r="BH70">
        <v>14.366332844688124</v>
      </c>
      <c r="BI70">
        <f t="shared" si="39"/>
        <v>15.563527248412132</v>
      </c>
      <c r="BJ70">
        <v>1952.2650490519754</v>
      </c>
      <c r="BK70">
        <v>9.2091877209539188</v>
      </c>
      <c r="BL70">
        <v>22.102050530289421</v>
      </c>
      <c r="BM70">
        <f t="shared" si="40"/>
        <v>23.943888074480203</v>
      </c>
      <c r="BP70">
        <v>1269.5946828736348</v>
      </c>
      <c r="BQ70">
        <v>4.6266534529293051E-16</v>
      </c>
      <c r="BR70">
        <v>14.876956119646019</v>
      </c>
      <c r="BS70">
        <f t="shared" si="41"/>
        <v>-14.876956119646019</v>
      </c>
      <c r="BT70">
        <v>1953.2225890363611</v>
      </c>
      <c r="BU70">
        <v>7.117928389122008E-16</v>
      </c>
      <c r="BV70">
        <v>22.887624799455413</v>
      </c>
      <c r="BW70">
        <f t="shared" si="42"/>
        <v>-22.887624799455413</v>
      </c>
    </row>
    <row r="71" spans="1:75" x14ac:dyDescent="0.25">
      <c r="A71">
        <v>35</v>
      </c>
      <c r="B71" s="5">
        <f t="shared" si="16"/>
        <v>7</v>
      </c>
      <c r="C71" s="1">
        <f t="shared" ca="1" si="43"/>
        <v>0</v>
      </c>
      <c r="D71" s="46">
        <f t="shared" si="17"/>
        <v>0</v>
      </c>
      <c r="E71" s="46">
        <f t="shared" si="18"/>
        <v>0</v>
      </c>
      <c r="F71" s="1">
        <f t="shared" ca="1" si="19"/>
        <v>3.8125</v>
      </c>
      <c r="G71" t="e">
        <f t="shared" ca="1" si="20"/>
        <v>#N/A</v>
      </c>
      <c r="H71" t="e">
        <f t="shared" ca="1" si="21"/>
        <v>#N/A</v>
      </c>
      <c r="I71" s="7">
        <f t="shared" si="22"/>
        <v>0</v>
      </c>
      <c r="J71" s="7">
        <f t="shared" si="23"/>
        <v>0</v>
      </c>
      <c r="K71">
        <f t="shared" si="24"/>
        <v>12</v>
      </c>
      <c r="L71" s="15">
        <f t="shared" ca="1" si="25"/>
        <v>0</v>
      </c>
      <c r="M71" s="9">
        <f t="shared" ca="1" si="44"/>
        <v>0</v>
      </c>
      <c r="N71" s="7">
        <f t="shared" ca="1" si="26"/>
        <v>0</v>
      </c>
      <c r="O71" s="7">
        <f t="shared" ca="1" si="27"/>
        <v>0</v>
      </c>
      <c r="P71" s="7">
        <f t="shared" ca="1" si="28"/>
        <v>0</v>
      </c>
      <c r="U71" t="e">
        <f t="shared" ca="1" si="29"/>
        <v>#N/A</v>
      </c>
      <c r="V71" t="e">
        <f t="shared" ca="1" si="30"/>
        <v>#N/A</v>
      </c>
      <c r="X71" t="e">
        <f t="shared" ca="1" si="31"/>
        <v>#N/A</v>
      </c>
      <c r="Y71" t="e">
        <f t="shared" ca="1" si="32"/>
        <v>#N/A</v>
      </c>
      <c r="AC71">
        <f t="shared" ca="1" si="33"/>
        <v>0</v>
      </c>
      <c r="AD71">
        <f t="shared" ca="1" si="34"/>
        <v>0</v>
      </c>
      <c r="AJ71">
        <v>6.0213859193804318</v>
      </c>
      <c r="AK71">
        <v>184.91356023285408</v>
      </c>
      <c r="AL71">
        <v>48.339309414667404</v>
      </c>
      <c r="AM71">
        <v>205.45951136983786</v>
      </c>
      <c r="AN71">
        <v>53.710343794074895</v>
      </c>
      <c r="AQ71">
        <v>69</v>
      </c>
      <c r="AR71">
        <f t="shared" si="37"/>
        <v>4.3004153945436041</v>
      </c>
      <c r="AS71">
        <f t="shared" si="38"/>
        <v>11.202965117966421</v>
      </c>
      <c r="AV71">
        <v>1278.8905724261774</v>
      </c>
      <c r="AW71">
        <v>7.9700615915991779</v>
      </c>
      <c r="AX71">
        <v>7.9700615915991815</v>
      </c>
      <c r="AY71">
        <f t="shared" si="35"/>
        <v>11.271369195788456</v>
      </c>
      <c r="AZ71">
        <v>1967.5239575787343</v>
      </c>
      <c r="BA71">
        <v>12.261633217844889</v>
      </c>
      <c r="BB71">
        <v>12.261633217844894</v>
      </c>
      <c r="BC71">
        <f t="shared" si="36"/>
        <v>17.3405679935207</v>
      </c>
      <c r="BF71">
        <v>1276.8914701663889</v>
      </c>
      <c r="BG71">
        <v>4.5565408001114394</v>
      </c>
      <c r="BH71">
        <v>10.935697920267462</v>
      </c>
      <c r="BI71">
        <f t="shared" si="39"/>
        <v>11.847006080289749</v>
      </c>
      <c r="BJ71">
        <v>1964.4484156405983</v>
      </c>
      <c r="BK71">
        <v>7.0100627694022144</v>
      </c>
      <c r="BL71">
        <v>16.824150646565325</v>
      </c>
      <c r="BM71">
        <f t="shared" si="40"/>
        <v>18.226163200445768</v>
      </c>
      <c r="BP71">
        <v>1278.8905724261774</v>
      </c>
      <c r="BQ71">
        <v>-6.24151333079871E-15</v>
      </c>
      <c r="BR71">
        <v>11.271369195788445</v>
      </c>
      <c r="BS71">
        <f t="shared" si="41"/>
        <v>-11.271369195788445</v>
      </c>
      <c r="BT71">
        <v>1967.5239575787343</v>
      </c>
      <c r="BU71">
        <v>-9.6023282012287837E-15</v>
      </c>
      <c r="BV71">
        <v>17.340567993520683</v>
      </c>
      <c r="BW71">
        <f t="shared" si="42"/>
        <v>-17.340567993520683</v>
      </c>
    </row>
    <row r="72" spans="1:75" x14ac:dyDescent="0.25">
      <c r="A72">
        <v>36</v>
      </c>
      <c r="B72" s="5">
        <f t="shared" si="16"/>
        <v>7</v>
      </c>
      <c r="C72" s="1">
        <f t="shared" ca="1" si="43"/>
        <v>0</v>
      </c>
      <c r="D72" s="46">
        <f t="shared" si="17"/>
        <v>0</v>
      </c>
      <c r="E72" s="46">
        <f t="shared" si="18"/>
        <v>0</v>
      </c>
      <c r="F72" s="1">
        <f t="shared" ca="1" si="19"/>
        <v>3.8125</v>
      </c>
      <c r="G72" t="e">
        <f t="shared" ca="1" si="20"/>
        <v>#N/A</v>
      </c>
      <c r="H72" t="e">
        <f t="shared" ca="1" si="21"/>
        <v>#N/A</v>
      </c>
      <c r="I72" s="7">
        <f t="shared" si="22"/>
        <v>0</v>
      </c>
      <c r="J72" s="7">
        <f t="shared" si="23"/>
        <v>0</v>
      </c>
      <c r="K72">
        <f t="shared" si="24"/>
        <v>12</v>
      </c>
      <c r="L72" s="15">
        <f t="shared" ca="1" si="25"/>
        <v>0</v>
      </c>
      <c r="M72" s="9">
        <f t="shared" ca="1" si="44"/>
        <v>0</v>
      </c>
      <c r="N72" s="7">
        <f t="shared" ca="1" si="26"/>
        <v>0</v>
      </c>
      <c r="O72" s="7">
        <f t="shared" ca="1" si="27"/>
        <v>0</v>
      </c>
      <c r="P72" s="7">
        <f t="shared" ca="1" si="28"/>
        <v>0</v>
      </c>
      <c r="U72" t="e">
        <f t="shared" ca="1" si="29"/>
        <v>#N/A</v>
      </c>
      <c r="V72" t="e">
        <f t="shared" ca="1" si="30"/>
        <v>#N/A</v>
      </c>
      <c r="X72" t="e">
        <f t="shared" ca="1" si="31"/>
        <v>#N/A</v>
      </c>
      <c r="Y72" t="e">
        <f t="shared" ca="1" si="32"/>
        <v>#N/A</v>
      </c>
      <c r="AC72">
        <f t="shared" ca="1" si="33"/>
        <v>0</v>
      </c>
      <c r="AD72">
        <f t="shared" ca="1" si="34"/>
        <v>0</v>
      </c>
      <c r="AJ72">
        <v>6.1086523819801481</v>
      </c>
      <c r="AK72">
        <v>187.17108586502232</v>
      </c>
      <c r="AL72">
        <v>32.18369162869827</v>
      </c>
      <c r="AM72">
        <v>207.96787318335814</v>
      </c>
      <c r="AN72">
        <v>35.759657365220299</v>
      </c>
      <c r="AQ72">
        <v>70</v>
      </c>
      <c r="AR72">
        <f t="shared" si="37"/>
        <v>4.1042417199080257</v>
      </c>
      <c r="AS72">
        <f t="shared" si="38"/>
        <v>11.276311449430899</v>
      </c>
      <c r="AV72">
        <v>1285.2198078267584</v>
      </c>
      <c r="AW72">
        <v>5.9336833220686964</v>
      </c>
      <c r="AX72">
        <v>5.9336833220687</v>
      </c>
      <c r="AY72">
        <f t="shared" si="35"/>
        <v>8.3914954288965937</v>
      </c>
      <c r="AZ72">
        <v>1977.2612428103973</v>
      </c>
      <c r="BA72">
        <v>9.128743572413379</v>
      </c>
      <c r="BB72">
        <v>9.1287435724133843</v>
      </c>
      <c r="BC72">
        <f t="shared" si="36"/>
        <v>12.909992967533222</v>
      </c>
      <c r="BF72">
        <v>1283.2638252785382</v>
      </c>
      <c r="BG72">
        <v>3.4063186500033074</v>
      </c>
      <c r="BH72">
        <v>8.1751647588726399</v>
      </c>
      <c r="BI72">
        <f t="shared" si="39"/>
        <v>8.8564284889606331</v>
      </c>
      <c r="BJ72">
        <v>1974.2520388900587</v>
      </c>
      <c r="BK72">
        <v>5.2404902307743191</v>
      </c>
      <c r="BL72">
        <v>12.577176552111753</v>
      </c>
      <c r="BM72">
        <f t="shared" si="40"/>
        <v>13.625274598400972</v>
      </c>
      <c r="BP72">
        <v>1285.2198078267584</v>
      </c>
      <c r="BQ72">
        <v>-1.9967989571372816E-15</v>
      </c>
      <c r="BR72">
        <v>8.3914954288965973</v>
      </c>
      <c r="BS72">
        <f t="shared" si="41"/>
        <v>-8.3914954288965973</v>
      </c>
      <c r="BT72">
        <v>1977.2612428103973</v>
      </c>
      <c r="BU72">
        <v>-3.0719983955958177E-15</v>
      </c>
      <c r="BV72">
        <v>12.909992967533226</v>
      </c>
      <c r="BW72">
        <f t="shared" si="42"/>
        <v>-12.909992967533226</v>
      </c>
    </row>
    <row r="73" spans="1:75" x14ac:dyDescent="0.25">
      <c r="A73">
        <v>37</v>
      </c>
      <c r="B73" s="5">
        <f t="shared" si="16"/>
        <v>7</v>
      </c>
      <c r="C73" s="1">
        <f t="shared" ca="1" si="43"/>
        <v>0</v>
      </c>
      <c r="D73" s="46">
        <f t="shared" si="17"/>
        <v>0</v>
      </c>
      <c r="E73" s="46">
        <f t="shared" si="18"/>
        <v>0</v>
      </c>
      <c r="F73" s="1">
        <f t="shared" ca="1" si="19"/>
        <v>3.8125</v>
      </c>
      <c r="G73" t="e">
        <f t="shared" ca="1" si="20"/>
        <v>#N/A</v>
      </c>
      <c r="H73" t="e">
        <f t="shared" ca="1" si="21"/>
        <v>#N/A</v>
      </c>
      <c r="I73" s="7">
        <f t="shared" si="22"/>
        <v>0</v>
      </c>
      <c r="J73" s="7">
        <f t="shared" si="23"/>
        <v>0</v>
      </c>
      <c r="K73">
        <f t="shared" si="24"/>
        <v>12</v>
      </c>
      <c r="L73" s="15">
        <f t="shared" ca="1" si="25"/>
        <v>0</v>
      </c>
      <c r="M73" s="9">
        <f t="shared" ca="1" si="44"/>
        <v>0</v>
      </c>
      <c r="N73" s="7">
        <f t="shared" ca="1" si="26"/>
        <v>0</v>
      </c>
      <c r="O73" s="7">
        <f t="shared" ca="1" si="27"/>
        <v>0</v>
      </c>
      <c r="P73" s="7">
        <f t="shared" ca="1" si="28"/>
        <v>0</v>
      </c>
      <c r="U73" t="e">
        <f t="shared" ca="1" si="29"/>
        <v>#N/A</v>
      </c>
      <c r="V73" t="e">
        <f t="shared" ca="1" si="30"/>
        <v>#N/A</v>
      </c>
      <c r="X73" t="e">
        <f t="shared" ca="1" si="31"/>
        <v>#N/A</v>
      </c>
      <c r="Y73" t="e">
        <f t="shared" ca="1" si="32"/>
        <v>#N/A</v>
      </c>
      <c r="AC73">
        <f t="shared" ca="1" si="33"/>
        <v>0</v>
      </c>
      <c r="AD73">
        <f t="shared" ca="1" si="34"/>
        <v>0</v>
      </c>
      <c r="AJ73">
        <v>6.1959188445798645</v>
      </c>
      <c r="AK73">
        <v>188.49016311963035</v>
      </c>
      <c r="AL73">
        <v>16.076006467338573</v>
      </c>
      <c r="AM73">
        <v>209.43351457736705</v>
      </c>
      <c r="AN73">
        <v>17.862229408153969</v>
      </c>
      <c r="AQ73">
        <v>71</v>
      </c>
      <c r="AR73">
        <f t="shared" si="37"/>
        <v>3.9068178534858813</v>
      </c>
      <c r="AS73">
        <f t="shared" si="38"/>
        <v>11.346222907191802</v>
      </c>
      <c r="AV73">
        <v>1289.4614265388927</v>
      </c>
      <c r="AW73">
        <v>4.2696995447076951</v>
      </c>
      <c r="AX73">
        <v>4.2696995447076977</v>
      </c>
      <c r="AY73">
        <f t="shared" si="35"/>
        <v>6.0382670033838535</v>
      </c>
      <c r="AZ73">
        <v>1983.7868100598348</v>
      </c>
      <c r="BA73">
        <v>6.5687685303195309</v>
      </c>
      <c r="BB73">
        <v>6.5687685303195344</v>
      </c>
      <c r="BC73">
        <f t="shared" si="36"/>
        <v>9.2896415436674662</v>
      </c>
      <c r="BF73">
        <v>1288.5022574203763</v>
      </c>
      <c r="BG73">
        <v>2.4607815072252768</v>
      </c>
      <c r="BH73">
        <v>5.9058756173406675</v>
      </c>
      <c r="BI73">
        <f t="shared" si="39"/>
        <v>6.3980319187857226</v>
      </c>
      <c r="BJ73">
        <v>1982.3111652621174</v>
      </c>
      <c r="BK73">
        <v>3.7858177034235028</v>
      </c>
      <c r="BL73">
        <v>9.0859624882164116</v>
      </c>
      <c r="BM73">
        <f t="shared" si="40"/>
        <v>9.8431260289011124</v>
      </c>
      <c r="BP73">
        <v>1289.4614265388927</v>
      </c>
      <c r="BQ73">
        <v>-6.1351897318996988E-15</v>
      </c>
      <c r="BR73">
        <v>6.0382670033838517</v>
      </c>
      <c r="BS73">
        <f t="shared" si="41"/>
        <v>-6.0382670033838517</v>
      </c>
      <c r="BT73">
        <v>1983.7868100598348</v>
      </c>
      <c r="BU73">
        <v>-9.4387534336918445E-15</v>
      </c>
      <c r="BV73">
        <v>9.2896415436674644</v>
      </c>
      <c r="BW73">
        <f t="shared" si="42"/>
        <v>-9.2896415436674644</v>
      </c>
    </row>
    <row r="74" spans="1:75" x14ac:dyDescent="0.25">
      <c r="A74">
        <v>38</v>
      </c>
      <c r="B74" s="5">
        <f t="shared" si="16"/>
        <v>7</v>
      </c>
      <c r="C74" s="1">
        <f t="shared" ca="1" si="43"/>
        <v>0</v>
      </c>
      <c r="D74" s="46">
        <f t="shared" si="17"/>
        <v>0</v>
      </c>
      <c r="E74" s="46">
        <f t="shared" si="18"/>
        <v>0</v>
      </c>
      <c r="F74" s="1">
        <f t="shared" ca="1" si="19"/>
        <v>3.8125</v>
      </c>
      <c r="G74" t="e">
        <f t="shared" ca="1" si="20"/>
        <v>#N/A</v>
      </c>
      <c r="H74" t="e">
        <f t="shared" ca="1" si="21"/>
        <v>#N/A</v>
      </c>
      <c r="I74" s="7">
        <f t="shared" si="22"/>
        <v>0</v>
      </c>
      <c r="J74" s="7">
        <f t="shared" si="23"/>
        <v>0</v>
      </c>
      <c r="K74">
        <f t="shared" si="24"/>
        <v>12</v>
      </c>
      <c r="L74" s="15">
        <f t="shared" ca="1" si="25"/>
        <v>0</v>
      </c>
      <c r="M74" s="9">
        <f t="shared" ca="1" si="44"/>
        <v>0</v>
      </c>
      <c r="N74" s="7">
        <f t="shared" ca="1" si="26"/>
        <v>0</v>
      </c>
      <c r="O74" s="7">
        <f t="shared" ca="1" si="27"/>
        <v>0</v>
      </c>
      <c r="P74" s="7">
        <f t="shared" ca="1" si="28"/>
        <v>0</v>
      </c>
      <c r="U74" t="e">
        <f t="shared" ca="1" si="29"/>
        <v>#N/A</v>
      </c>
      <c r="V74" t="e">
        <f t="shared" ca="1" si="30"/>
        <v>#N/A</v>
      </c>
      <c r="X74" t="e">
        <f t="shared" ca="1" si="31"/>
        <v>#N/A</v>
      </c>
      <c r="Y74" t="e">
        <f t="shared" ca="1" si="32"/>
        <v>#N/A</v>
      </c>
      <c r="AC74">
        <f t="shared" ca="1" si="33"/>
        <v>0</v>
      </c>
      <c r="AD74">
        <f t="shared" ca="1" si="34"/>
        <v>0</v>
      </c>
      <c r="AJ74">
        <v>6.2831853071795809</v>
      </c>
      <c r="AK74">
        <v>188.92359248855291</v>
      </c>
      <c r="AL74">
        <v>1.0232362415080231E-12</v>
      </c>
      <c r="AM74">
        <v>209.91510276505878</v>
      </c>
      <c r="AN74">
        <v>1.1369291572311368E-12</v>
      </c>
      <c r="AQ74">
        <v>72</v>
      </c>
      <c r="AR74">
        <f t="shared" si="37"/>
        <v>3.7082039324993694</v>
      </c>
      <c r="AS74">
        <f t="shared" si="38"/>
        <v>11.412678195541842</v>
      </c>
      <c r="AV74">
        <v>1292.9923582866545</v>
      </c>
      <c r="AW74">
        <v>2.8845177200340331</v>
      </c>
      <c r="AX74">
        <v>2.8845177200340362</v>
      </c>
      <c r="AY74">
        <f t="shared" si="35"/>
        <v>4.0793240805776501</v>
      </c>
      <c r="AZ74">
        <v>1989.2190127486992</v>
      </c>
      <c r="BA74">
        <v>4.4377195692831277</v>
      </c>
      <c r="BB74">
        <v>4.4377195692831322</v>
      </c>
      <c r="BC74">
        <f t="shared" si="36"/>
        <v>6.2758832008886918</v>
      </c>
      <c r="BF74">
        <v>1292.8856644077807</v>
      </c>
      <c r="BG74">
        <v>1.6699270754678228</v>
      </c>
      <c r="BH74">
        <v>4.0078249810135214</v>
      </c>
      <c r="BI74">
        <f t="shared" si="39"/>
        <v>4.3418103961154904</v>
      </c>
      <c r="BJ74">
        <v>1989.0548683196625</v>
      </c>
      <c r="BK74">
        <v>2.5691185776428043</v>
      </c>
      <c r="BL74">
        <v>6.1658845861746476</v>
      </c>
      <c r="BM74">
        <f t="shared" si="40"/>
        <v>6.6797083017161372</v>
      </c>
      <c r="BP74">
        <v>1292.9923582866545</v>
      </c>
      <c r="BQ74">
        <v>-3.9174278293175933E-15</v>
      </c>
      <c r="BR74">
        <v>4.0793240805776554</v>
      </c>
      <c r="BS74">
        <f t="shared" si="41"/>
        <v>-4.0793240805776554</v>
      </c>
      <c r="BT74">
        <v>1989.2190127486992</v>
      </c>
      <c r="BU74">
        <v>-6.0268120451039895E-15</v>
      </c>
      <c r="BV74">
        <v>6.2758832008887007</v>
      </c>
      <c r="BW74">
        <f t="shared" si="42"/>
        <v>-6.2758832008887007</v>
      </c>
    </row>
    <row r="75" spans="1:75" x14ac:dyDescent="0.25">
      <c r="A75">
        <v>39</v>
      </c>
      <c r="B75" s="5">
        <f t="shared" si="16"/>
        <v>7</v>
      </c>
      <c r="C75" s="1">
        <f t="shared" ca="1" si="43"/>
        <v>0</v>
      </c>
      <c r="D75" s="46">
        <f t="shared" si="17"/>
        <v>0</v>
      </c>
      <c r="E75" s="46">
        <f t="shared" si="18"/>
        <v>0</v>
      </c>
      <c r="F75" s="1">
        <f t="shared" ca="1" si="19"/>
        <v>3.8125</v>
      </c>
      <c r="G75" t="e">
        <f t="shared" ca="1" si="20"/>
        <v>#N/A</v>
      </c>
      <c r="H75" t="e">
        <f t="shared" ca="1" si="21"/>
        <v>#N/A</v>
      </c>
      <c r="I75" s="7">
        <f t="shared" si="22"/>
        <v>0</v>
      </c>
      <c r="J75" s="7">
        <f t="shared" si="23"/>
        <v>0</v>
      </c>
      <c r="K75">
        <f t="shared" si="24"/>
        <v>12</v>
      </c>
      <c r="L75" s="15">
        <f t="shared" ca="1" si="25"/>
        <v>0</v>
      </c>
      <c r="M75" s="9">
        <f t="shared" ca="1" si="44"/>
        <v>0</v>
      </c>
      <c r="N75" s="7">
        <f t="shared" ca="1" si="26"/>
        <v>0</v>
      </c>
      <c r="O75" s="7">
        <f t="shared" ca="1" si="27"/>
        <v>0</v>
      </c>
      <c r="P75" s="7">
        <f t="shared" ca="1" si="28"/>
        <v>0</v>
      </c>
      <c r="U75" t="e">
        <f t="shared" ca="1" si="29"/>
        <v>#N/A</v>
      </c>
      <c r="V75" t="e">
        <f t="shared" ca="1" si="30"/>
        <v>#N/A</v>
      </c>
      <c r="X75" t="e">
        <f t="shared" ca="1" si="31"/>
        <v>#N/A</v>
      </c>
      <c r="Y75" t="e">
        <f t="shared" ca="1" si="32"/>
        <v>#N/A</v>
      </c>
      <c r="AC75">
        <f t="shared" ca="1" si="33"/>
        <v>0</v>
      </c>
      <c r="AD75">
        <f t="shared" ca="1" si="34"/>
        <v>0</v>
      </c>
      <c r="AJ75">
        <v>6.3704517697792973</v>
      </c>
      <c r="AK75">
        <v>188.92359248855291</v>
      </c>
      <c r="AL75">
        <v>3.7765376657506072E-14</v>
      </c>
      <c r="AM75">
        <v>209.91510276505878</v>
      </c>
      <c r="AN75">
        <v>4.196152961945119E-14</v>
      </c>
      <c r="AQ75">
        <v>73</v>
      </c>
      <c r="AR75">
        <f t="shared" si="37"/>
        <v>3.5084604566728412</v>
      </c>
      <c r="AS75">
        <f t="shared" si="38"/>
        <v>11.475657071556425</v>
      </c>
      <c r="AV75">
        <v>1295.9774105907427</v>
      </c>
      <c r="AW75">
        <v>1.713483983468878</v>
      </c>
      <c r="AX75">
        <v>1.7134839839304061</v>
      </c>
      <c r="AY75">
        <f t="shared" si="35"/>
        <v>2.4232322886571129</v>
      </c>
      <c r="AZ75">
        <v>1993.8114009088349</v>
      </c>
      <c r="BA75">
        <v>2.6361292053367351</v>
      </c>
      <c r="BB75">
        <v>2.6361292060467787</v>
      </c>
      <c r="BC75">
        <f t="shared" si="36"/>
        <v>3.7280496748570973</v>
      </c>
      <c r="BF75">
        <v>1295.4045010291916</v>
      </c>
      <c r="BG75">
        <v>1.118759767568263</v>
      </c>
      <c r="BH75">
        <v>2.6850234421638453</v>
      </c>
      <c r="BI75">
        <f t="shared" si="39"/>
        <v>2.9087753956774969</v>
      </c>
      <c r="BJ75">
        <v>1992.9300015833717</v>
      </c>
      <c r="BK75">
        <v>1.721168873181943</v>
      </c>
      <c r="BL75">
        <v>4.1308052956366845</v>
      </c>
      <c r="BM75">
        <f t="shared" si="40"/>
        <v>4.4750390702730716</v>
      </c>
      <c r="BP75">
        <v>1295.9774105907425</v>
      </c>
      <c r="BQ75">
        <v>-1.1676259915660768E-10</v>
      </c>
      <c r="BR75">
        <v>2.4232322886571072</v>
      </c>
      <c r="BS75">
        <f t="shared" si="41"/>
        <v>-2.4232322886571072</v>
      </c>
      <c r="BT75">
        <v>1993.8114009088345</v>
      </c>
      <c r="BU75">
        <v>-1.7963476793324256E-10</v>
      </c>
      <c r="BV75">
        <v>3.7280496748570879</v>
      </c>
      <c r="BW75">
        <f t="shared" si="42"/>
        <v>-3.7280496748570879</v>
      </c>
    </row>
    <row r="76" spans="1:75" x14ac:dyDescent="0.25">
      <c r="A76">
        <v>40</v>
      </c>
      <c r="B76" s="5">
        <f t="shared" si="16"/>
        <v>7</v>
      </c>
      <c r="C76" s="1">
        <f t="shared" ca="1" si="43"/>
        <v>0</v>
      </c>
      <c r="D76" s="46">
        <f t="shared" si="17"/>
        <v>0</v>
      </c>
      <c r="E76" s="46">
        <f t="shared" si="18"/>
        <v>0</v>
      </c>
      <c r="F76" s="1">
        <f t="shared" ca="1" si="19"/>
        <v>3.8125</v>
      </c>
      <c r="G76" t="e">
        <f t="shared" ca="1" si="20"/>
        <v>#N/A</v>
      </c>
      <c r="H76" t="e">
        <f t="shared" ca="1" si="21"/>
        <v>#N/A</v>
      </c>
      <c r="I76" s="7">
        <f t="shared" si="22"/>
        <v>0</v>
      </c>
      <c r="J76" s="7">
        <f t="shared" si="23"/>
        <v>0</v>
      </c>
      <c r="K76">
        <f t="shared" si="24"/>
        <v>12</v>
      </c>
      <c r="L76" s="15">
        <f t="shared" ca="1" si="25"/>
        <v>0</v>
      </c>
      <c r="M76" s="9">
        <f t="shared" ca="1" si="44"/>
        <v>0</v>
      </c>
      <c r="N76" s="7">
        <f t="shared" ca="1" si="26"/>
        <v>0</v>
      </c>
      <c r="O76" s="7">
        <f t="shared" ca="1" si="27"/>
        <v>0</v>
      </c>
      <c r="P76" s="7">
        <f t="shared" ca="1" si="28"/>
        <v>0</v>
      </c>
      <c r="U76" t="e">
        <f t="shared" ca="1" si="29"/>
        <v>#N/A</v>
      </c>
      <c r="V76" t="e">
        <f t="shared" ca="1" si="30"/>
        <v>#N/A</v>
      </c>
      <c r="X76" t="e">
        <f t="shared" ca="1" si="31"/>
        <v>#N/A</v>
      </c>
      <c r="Y76" t="e">
        <f t="shared" ca="1" si="32"/>
        <v>#N/A</v>
      </c>
      <c r="AC76">
        <f t="shared" ca="1" si="33"/>
        <v>0</v>
      </c>
      <c r="AD76">
        <f t="shared" ca="1" si="34"/>
        <v>0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Q76">
        <v>74</v>
      </c>
      <c r="AR76">
        <f t="shared" si="37"/>
        <v>3.3076482698039902</v>
      </c>
      <c r="AS76">
        <f t="shared" si="38"/>
        <v>11.535140351259827</v>
      </c>
      <c r="AV76">
        <v>1298.5340891434787</v>
      </c>
      <c r="AW76">
        <v>0.71050094245894191</v>
      </c>
      <c r="AX76">
        <v>0.71050094245900197</v>
      </c>
      <c r="AY76">
        <f t="shared" si="35"/>
        <v>1.0048000689043441</v>
      </c>
      <c r="AZ76">
        <v>1997.7447525284288</v>
      </c>
      <c r="BA76">
        <v>1.0930783730137568</v>
      </c>
      <c r="BB76">
        <v>1.0930783730138491</v>
      </c>
      <c r="BC76">
        <f t="shared" si="36"/>
        <v>1.5458462598528371</v>
      </c>
      <c r="BF76">
        <v>1297.2075919942829</v>
      </c>
      <c r="BG76">
        <v>0.68161065728831505</v>
      </c>
      <c r="BH76">
        <v>1.6358655771146486</v>
      </c>
      <c r="BI76">
        <f t="shared" si="39"/>
        <v>1.7721877086013353</v>
      </c>
      <c r="BJ76">
        <v>1995.703987683512</v>
      </c>
      <c r="BK76">
        <v>1.0486317804435616</v>
      </c>
      <c r="BL76">
        <v>2.5167162724840746</v>
      </c>
      <c r="BM76">
        <f t="shared" si="40"/>
        <v>2.7264426286174386</v>
      </c>
      <c r="BP76">
        <v>1298.5340891434787</v>
      </c>
      <c r="BQ76">
        <v>-5.4098850193198456E-16</v>
      </c>
      <c r="BR76">
        <v>1.004800068904341</v>
      </c>
      <c r="BS76">
        <f t="shared" si="41"/>
        <v>-1.004800068904341</v>
      </c>
      <c r="BT76">
        <v>1997.7447525284288</v>
      </c>
      <c r="BU76">
        <v>-8.3229000297228389E-16</v>
      </c>
      <c r="BV76">
        <v>1.5458462598528324</v>
      </c>
      <c r="BW76">
        <f t="shared" si="42"/>
        <v>-1.5458462598528324</v>
      </c>
    </row>
    <row r="77" spans="1:75" x14ac:dyDescent="0.25">
      <c r="A77">
        <v>41</v>
      </c>
      <c r="B77" s="5">
        <f t="shared" si="16"/>
        <v>7</v>
      </c>
      <c r="C77" s="1">
        <f t="shared" ca="1" si="43"/>
        <v>0</v>
      </c>
      <c r="D77" s="46">
        <f t="shared" si="17"/>
        <v>0</v>
      </c>
      <c r="E77" s="46">
        <f t="shared" si="18"/>
        <v>0</v>
      </c>
      <c r="F77" s="1">
        <f t="shared" ca="1" si="19"/>
        <v>3.8125</v>
      </c>
      <c r="G77" t="e">
        <f t="shared" ca="1" si="20"/>
        <v>#N/A</v>
      </c>
      <c r="H77" t="e">
        <f t="shared" ca="1" si="21"/>
        <v>#N/A</v>
      </c>
      <c r="I77" s="7">
        <f t="shared" si="22"/>
        <v>0</v>
      </c>
      <c r="J77" s="7">
        <f t="shared" si="23"/>
        <v>0</v>
      </c>
      <c r="K77">
        <f t="shared" si="24"/>
        <v>12</v>
      </c>
      <c r="L77" s="15">
        <f t="shared" ca="1" si="25"/>
        <v>0</v>
      </c>
      <c r="M77" s="9">
        <f t="shared" ca="1" si="44"/>
        <v>0</v>
      </c>
      <c r="N77" s="7">
        <f t="shared" ca="1" si="26"/>
        <v>0</v>
      </c>
      <c r="O77" s="7">
        <f t="shared" ca="1" si="27"/>
        <v>0</v>
      </c>
      <c r="P77" s="7">
        <f t="shared" ca="1" si="28"/>
        <v>0</v>
      </c>
      <c r="U77" t="e">
        <f t="shared" ca="1" si="29"/>
        <v>#N/A</v>
      </c>
      <c r="V77" t="e">
        <f t="shared" ca="1" si="30"/>
        <v>#N/A</v>
      </c>
      <c r="X77" t="e">
        <f t="shared" ca="1" si="31"/>
        <v>#N/A</v>
      </c>
      <c r="Y77" t="e">
        <f t="shared" ca="1" si="32"/>
        <v>#N/A</v>
      </c>
      <c r="AC77">
        <f t="shared" ca="1" si="33"/>
        <v>0</v>
      </c>
      <c r="AD77">
        <f t="shared" ca="1" si="34"/>
        <v>0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Q77">
        <v>75</v>
      </c>
      <c r="AR77">
        <f t="shared" si="37"/>
        <v>3.1058285412302489</v>
      </c>
      <c r="AS77">
        <f t="shared" si="38"/>
        <v>11.59110991546882</v>
      </c>
      <c r="AV77">
        <v>1299.4962961564984</v>
      </c>
      <c r="AW77">
        <v>0.25218095784479005</v>
      </c>
      <c r="AX77">
        <v>0.25218095784479255</v>
      </c>
      <c r="AY77">
        <f t="shared" si="35"/>
        <v>0.35663773075634159</v>
      </c>
      <c r="AZ77">
        <v>1999.2250710099975</v>
      </c>
      <c r="BA77">
        <v>0.38797070437660008</v>
      </c>
      <c r="BB77">
        <v>0.38797070437660391</v>
      </c>
      <c r="BC77">
        <f t="shared" si="36"/>
        <v>0.54867343193283324</v>
      </c>
      <c r="BF77">
        <v>1298.7740615431508</v>
      </c>
      <c r="BG77">
        <v>0.30183015553887527</v>
      </c>
      <c r="BH77">
        <v>0.72439237329330586</v>
      </c>
      <c r="BI77">
        <f t="shared" si="39"/>
        <v>0.78475840440108058</v>
      </c>
      <c r="BJ77">
        <v>1998.1139408356164</v>
      </c>
      <c r="BK77">
        <v>0.46435408544442347</v>
      </c>
      <c r="BL77">
        <v>1.1144498050666243</v>
      </c>
      <c r="BM77">
        <f t="shared" si="40"/>
        <v>1.2073206221555084</v>
      </c>
      <c r="BP77">
        <v>1299.3774352584048</v>
      </c>
      <c r="BQ77">
        <v>-7.6517336802066448E-15</v>
      </c>
      <c r="BR77">
        <v>0.43773553101824048</v>
      </c>
      <c r="BT77">
        <v>1999.0422080898536</v>
      </c>
      <c r="BU77">
        <v>-1.1771897969548684E-14</v>
      </c>
      <c r="BV77">
        <v>0.67343927848960072</v>
      </c>
    </row>
    <row r="78" spans="1:75" x14ac:dyDescent="0.25">
      <c r="A78">
        <v>42</v>
      </c>
      <c r="B78" s="5">
        <f t="shared" si="16"/>
        <v>7</v>
      </c>
      <c r="C78" s="1">
        <f t="shared" ca="1" si="43"/>
        <v>0</v>
      </c>
      <c r="D78" s="46">
        <f t="shared" si="17"/>
        <v>0</v>
      </c>
      <c r="E78" s="46">
        <f t="shared" si="18"/>
        <v>0</v>
      </c>
      <c r="F78" s="1">
        <f t="shared" ca="1" si="19"/>
        <v>3.8125</v>
      </c>
      <c r="G78" t="e">
        <f t="shared" ca="1" si="20"/>
        <v>#N/A</v>
      </c>
      <c r="H78" t="e">
        <f t="shared" ca="1" si="21"/>
        <v>#N/A</v>
      </c>
      <c r="I78" s="7">
        <f t="shared" si="22"/>
        <v>0</v>
      </c>
      <c r="J78" s="7">
        <f t="shared" si="23"/>
        <v>0</v>
      </c>
      <c r="K78">
        <f t="shared" si="24"/>
        <v>12</v>
      </c>
      <c r="L78" s="15">
        <f t="shared" ca="1" si="25"/>
        <v>0</v>
      </c>
      <c r="M78" s="9">
        <f t="shared" ca="1" si="44"/>
        <v>0</v>
      </c>
      <c r="N78" s="7">
        <f t="shared" ca="1" si="26"/>
        <v>0</v>
      </c>
      <c r="O78" s="7">
        <f t="shared" ca="1" si="27"/>
        <v>0</v>
      </c>
      <c r="P78" s="7">
        <f t="shared" ca="1" si="28"/>
        <v>0</v>
      </c>
      <c r="U78" t="e">
        <f t="shared" ca="1" si="29"/>
        <v>#N/A</v>
      </c>
      <c r="V78" t="e">
        <f t="shared" ca="1" si="30"/>
        <v>#N/A</v>
      </c>
      <c r="X78" t="e">
        <f t="shared" ca="1" si="31"/>
        <v>#N/A</v>
      </c>
      <c r="Y78" t="e">
        <f t="shared" ca="1" si="32"/>
        <v>#N/A</v>
      </c>
      <c r="AC78">
        <f t="shared" ca="1" si="33"/>
        <v>0</v>
      </c>
      <c r="AD78">
        <f t="shared" ca="1" si="34"/>
        <v>0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Q78">
        <v>76</v>
      </c>
      <c r="AR78">
        <f t="shared" si="37"/>
        <v>2.903062747196012</v>
      </c>
      <c r="AS78">
        <f t="shared" si="38"/>
        <v>11.643548715311958</v>
      </c>
    </row>
    <row r="79" spans="1:75" x14ac:dyDescent="0.25">
      <c r="A79">
        <v>43</v>
      </c>
      <c r="B79" s="5">
        <f t="shared" si="16"/>
        <v>7</v>
      </c>
      <c r="C79" s="1">
        <f t="shared" ca="1" si="43"/>
        <v>0</v>
      </c>
      <c r="D79" s="46">
        <f t="shared" si="17"/>
        <v>0</v>
      </c>
      <c r="E79" s="46">
        <f t="shared" si="18"/>
        <v>0</v>
      </c>
      <c r="F79" s="1">
        <f t="shared" ca="1" si="19"/>
        <v>3.8125</v>
      </c>
      <c r="G79" t="e">
        <f t="shared" ca="1" si="20"/>
        <v>#N/A</v>
      </c>
      <c r="H79" t="e">
        <f t="shared" ca="1" si="21"/>
        <v>#N/A</v>
      </c>
      <c r="I79" s="7">
        <f t="shared" si="22"/>
        <v>0</v>
      </c>
      <c r="J79" s="7">
        <f t="shared" si="23"/>
        <v>0</v>
      </c>
      <c r="K79">
        <f t="shared" si="24"/>
        <v>12</v>
      </c>
      <c r="L79" s="15">
        <f t="shared" ca="1" si="25"/>
        <v>0</v>
      </c>
      <c r="M79" s="9">
        <f t="shared" ca="1" si="44"/>
        <v>0</v>
      </c>
      <c r="N79" s="7">
        <f t="shared" ca="1" si="26"/>
        <v>0</v>
      </c>
      <c r="O79" s="7">
        <f t="shared" ca="1" si="27"/>
        <v>0</v>
      </c>
      <c r="P79" s="7">
        <f t="shared" ca="1" si="28"/>
        <v>0</v>
      </c>
      <c r="U79" t="e">
        <f t="shared" ca="1" si="29"/>
        <v>#N/A</v>
      </c>
      <c r="V79" t="e">
        <f t="shared" ca="1" si="30"/>
        <v>#N/A</v>
      </c>
      <c r="X79" t="e">
        <f t="shared" ca="1" si="31"/>
        <v>#N/A</v>
      </c>
      <c r="Y79" t="e">
        <f t="shared" ca="1" si="32"/>
        <v>#N/A</v>
      </c>
      <c r="AC79">
        <f t="shared" ca="1" si="33"/>
        <v>0</v>
      </c>
      <c r="AD79">
        <f t="shared" ca="1" si="34"/>
        <v>0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Q79">
        <v>77</v>
      </c>
      <c r="AR79">
        <f t="shared" si="37"/>
        <v>2.6994126521263793</v>
      </c>
      <c r="AS79">
        <f t="shared" si="38"/>
        <v>11.692440777422823</v>
      </c>
    </row>
    <row r="80" spans="1:75" x14ac:dyDescent="0.25">
      <c r="A80">
        <v>44</v>
      </c>
      <c r="B80" s="5">
        <f t="shared" si="16"/>
        <v>7</v>
      </c>
      <c r="C80" s="1">
        <f t="shared" ca="1" si="43"/>
        <v>0</v>
      </c>
      <c r="D80" s="46">
        <f t="shared" si="17"/>
        <v>0</v>
      </c>
      <c r="E80" s="46">
        <f t="shared" si="18"/>
        <v>0</v>
      </c>
      <c r="F80" s="1">
        <f t="shared" ca="1" si="19"/>
        <v>3.8125</v>
      </c>
      <c r="G80" t="e">
        <f t="shared" ca="1" si="20"/>
        <v>#N/A</v>
      </c>
      <c r="H80" t="e">
        <f t="shared" ca="1" si="21"/>
        <v>#N/A</v>
      </c>
      <c r="I80" s="7">
        <f t="shared" si="22"/>
        <v>0</v>
      </c>
      <c r="J80" s="7">
        <f t="shared" si="23"/>
        <v>0</v>
      </c>
      <c r="K80">
        <f t="shared" si="24"/>
        <v>12</v>
      </c>
      <c r="L80" s="15">
        <f t="shared" ca="1" si="25"/>
        <v>0</v>
      </c>
      <c r="M80" s="9">
        <f t="shared" ca="1" si="44"/>
        <v>0</v>
      </c>
      <c r="N80" s="7">
        <f t="shared" ca="1" si="26"/>
        <v>0</v>
      </c>
      <c r="O80" s="7">
        <f t="shared" ca="1" si="27"/>
        <v>0</v>
      </c>
      <c r="P80" s="7">
        <f t="shared" ca="1" si="28"/>
        <v>0</v>
      </c>
      <c r="U80" t="e">
        <f t="shared" ca="1" si="29"/>
        <v>#N/A</v>
      </c>
      <c r="V80" t="e">
        <f t="shared" ca="1" si="30"/>
        <v>#N/A</v>
      </c>
      <c r="X80" t="e">
        <f t="shared" ca="1" si="31"/>
        <v>#N/A</v>
      </c>
      <c r="Y80" t="e">
        <f t="shared" ca="1" si="32"/>
        <v>#N/A</v>
      </c>
      <c r="AC80">
        <f t="shared" ca="1" si="33"/>
        <v>0</v>
      </c>
      <c r="AD80">
        <f t="shared" ca="1" si="34"/>
        <v>0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Q80">
        <v>78</v>
      </c>
      <c r="AR80">
        <f t="shared" si="37"/>
        <v>2.4949402898131137</v>
      </c>
      <c r="AS80">
        <f t="shared" si="38"/>
        <v>11.737771208805666</v>
      </c>
    </row>
    <row r="81" spans="1:45" x14ac:dyDescent="0.25">
      <c r="A81">
        <v>45</v>
      </c>
      <c r="B81" s="5">
        <f t="shared" si="16"/>
        <v>7</v>
      </c>
      <c r="C81" s="1">
        <f t="shared" ca="1" si="43"/>
        <v>0</v>
      </c>
      <c r="D81" s="46">
        <f t="shared" si="17"/>
        <v>0</v>
      </c>
      <c r="E81" s="46">
        <f t="shared" si="18"/>
        <v>0</v>
      </c>
      <c r="F81" s="1">
        <f t="shared" ca="1" si="19"/>
        <v>3.8125</v>
      </c>
      <c r="G81" t="e">
        <f t="shared" ca="1" si="20"/>
        <v>#N/A</v>
      </c>
      <c r="H81" t="e">
        <f t="shared" ca="1" si="21"/>
        <v>#N/A</v>
      </c>
      <c r="I81" s="7">
        <f t="shared" si="22"/>
        <v>0</v>
      </c>
      <c r="J81" s="7">
        <f t="shared" si="23"/>
        <v>0</v>
      </c>
      <c r="K81">
        <f t="shared" si="24"/>
        <v>12</v>
      </c>
      <c r="L81" s="15">
        <f t="shared" ca="1" si="25"/>
        <v>0</v>
      </c>
      <c r="M81" s="9">
        <f t="shared" ca="1" si="44"/>
        <v>0</v>
      </c>
      <c r="N81" s="7">
        <f t="shared" ca="1" si="26"/>
        <v>0</v>
      </c>
      <c r="O81" s="7">
        <f t="shared" ca="1" si="27"/>
        <v>0</v>
      </c>
      <c r="P81" s="7">
        <f t="shared" ca="1" si="28"/>
        <v>0</v>
      </c>
      <c r="U81" t="e">
        <f t="shared" ca="1" si="29"/>
        <v>#N/A</v>
      </c>
      <c r="V81" t="e">
        <f t="shared" ca="1" si="30"/>
        <v>#N/A</v>
      </c>
      <c r="X81" t="e">
        <f t="shared" ca="1" si="31"/>
        <v>#N/A</v>
      </c>
      <c r="Y81" t="e">
        <f t="shared" ca="1" si="32"/>
        <v>#N/A</v>
      </c>
      <c r="AC81">
        <f t="shared" ca="1" si="33"/>
        <v>0</v>
      </c>
      <c r="AD81">
        <f t="shared" ca="1" si="34"/>
        <v>0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Q81">
        <v>79</v>
      </c>
      <c r="AR81">
        <f t="shared" si="37"/>
        <v>2.2897079445185389</v>
      </c>
      <c r="AS81">
        <f t="shared" si="38"/>
        <v>11.779526201371969</v>
      </c>
    </row>
    <row r="82" spans="1:45" x14ac:dyDescent="0.25">
      <c r="A82">
        <v>46</v>
      </c>
      <c r="B82" s="5">
        <f t="shared" si="16"/>
        <v>7</v>
      </c>
      <c r="C82" s="1">
        <f t="shared" ca="1" si="43"/>
        <v>0</v>
      </c>
      <c r="D82" s="46">
        <f t="shared" si="17"/>
        <v>0</v>
      </c>
      <c r="E82" s="46">
        <f t="shared" si="18"/>
        <v>0</v>
      </c>
      <c r="F82" s="1">
        <f t="shared" ca="1" si="19"/>
        <v>3.8125</v>
      </c>
      <c r="G82" t="e">
        <f t="shared" ca="1" si="20"/>
        <v>#N/A</v>
      </c>
      <c r="H82" t="e">
        <f t="shared" ca="1" si="21"/>
        <v>#N/A</v>
      </c>
      <c r="I82" s="7">
        <f t="shared" si="22"/>
        <v>0</v>
      </c>
      <c r="J82" s="7">
        <f t="shared" si="23"/>
        <v>0</v>
      </c>
      <c r="K82">
        <f t="shared" si="24"/>
        <v>12</v>
      </c>
      <c r="L82" s="15">
        <f t="shared" ca="1" si="25"/>
        <v>0</v>
      </c>
      <c r="M82" s="9">
        <f t="shared" ca="1" si="44"/>
        <v>0</v>
      </c>
      <c r="N82" s="7">
        <f t="shared" ca="1" si="26"/>
        <v>0</v>
      </c>
      <c r="O82" s="7">
        <f t="shared" ca="1" si="27"/>
        <v>0</v>
      </c>
      <c r="P82" s="7">
        <f t="shared" ca="1" si="28"/>
        <v>0</v>
      </c>
      <c r="U82" t="e">
        <f t="shared" ca="1" si="29"/>
        <v>#N/A</v>
      </c>
      <c r="V82" t="e">
        <f t="shared" ca="1" si="30"/>
        <v>#N/A</v>
      </c>
      <c r="X82" t="e">
        <f t="shared" ca="1" si="31"/>
        <v>#N/A</v>
      </c>
      <c r="Y82" t="e">
        <f t="shared" ca="1" si="32"/>
        <v>#N/A</v>
      </c>
      <c r="AC82">
        <f t="shared" ca="1" si="33"/>
        <v>0</v>
      </c>
      <c r="AD82">
        <f t="shared" ca="1" si="34"/>
        <v>0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Q82">
        <v>80</v>
      </c>
      <c r="AR82">
        <f t="shared" si="37"/>
        <v>2.083778132003165</v>
      </c>
      <c r="AS82">
        <f t="shared" si="38"/>
        <v>11.817693036146496</v>
      </c>
    </row>
    <row r="83" spans="1:45" x14ac:dyDescent="0.25">
      <c r="A83">
        <v>47</v>
      </c>
      <c r="B83" s="5">
        <f t="shared" si="16"/>
        <v>7</v>
      </c>
      <c r="C83" s="1">
        <f t="shared" ca="1" si="43"/>
        <v>0</v>
      </c>
      <c r="D83" s="46">
        <f t="shared" si="17"/>
        <v>0</v>
      </c>
      <c r="E83" s="46">
        <f t="shared" si="18"/>
        <v>0</v>
      </c>
      <c r="F83" s="1">
        <f t="shared" ca="1" si="19"/>
        <v>3.8125</v>
      </c>
      <c r="G83" t="e">
        <f t="shared" ca="1" si="20"/>
        <v>#N/A</v>
      </c>
      <c r="H83" t="e">
        <f t="shared" ca="1" si="21"/>
        <v>#N/A</v>
      </c>
      <c r="I83" s="7">
        <f t="shared" si="22"/>
        <v>0</v>
      </c>
      <c r="J83" s="7">
        <f t="shared" si="23"/>
        <v>0</v>
      </c>
      <c r="K83">
        <f t="shared" si="24"/>
        <v>12</v>
      </c>
      <c r="L83" s="15">
        <f t="shared" ca="1" si="25"/>
        <v>0</v>
      </c>
      <c r="M83" s="9">
        <f t="shared" ca="1" si="44"/>
        <v>0</v>
      </c>
      <c r="N83" s="7">
        <f t="shared" ca="1" si="26"/>
        <v>0</v>
      </c>
      <c r="O83" s="7">
        <f t="shared" ca="1" si="27"/>
        <v>0</v>
      </c>
      <c r="P83" s="7">
        <f t="shared" ca="1" si="28"/>
        <v>0</v>
      </c>
      <c r="U83" t="e">
        <f t="shared" ca="1" si="29"/>
        <v>#N/A</v>
      </c>
      <c r="V83" t="e">
        <f t="shared" ca="1" si="30"/>
        <v>#N/A</v>
      </c>
      <c r="X83" t="e">
        <f t="shared" ca="1" si="31"/>
        <v>#N/A</v>
      </c>
      <c r="Y83" t="e">
        <f t="shared" ca="1" si="32"/>
        <v>#N/A</v>
      </c>
      <c r="AC83">
        <f t="shared" ca="1" si="33"/>
        <v>0</v>
      </c>
      <c r="AD83">
        <f t="shared" ca="1" si="34"/>
        <v>0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Q83">
        <v>81</v>
      </c>
      <c r="AR83">
        <f t="shared" si="37"/>
        <v>1.877213580482771</v>
      </c>
      <c r="AS83">
        <f t="shared" si="38"/>
        <v>11.852260087141653</v>
      </c>
    </row>
    <row r="84" spans="1:45" x14ac:dyDescent="0.25">
      <c r="A84">
        <v>48</v>
      </c>
      <c r="B84" s="5">
        <f t="shared" si="16"/>
        <v>7</v>
      </c>
      <c r="C84" s="1">
        <f t="shared" ca="1" si="43"/>
        <v>0</v>
      </c>
      <c r="D84" s="46">
        <f t="shared" si="17"/>
        <v>0</v>
      </c>
      <c r="E84" s="46">
        <f t="shared" si="18"/>
        <v>0</v>
      </c>
      <c r="F84" s="1">
        <f t="shared" ca="1" si="19"/>
        <v>3.8125</v>
      </c>
      <c r="G84" t="e">
        <f t="shared" ca="1" si="20"/>
        <v>#N/A</v>
      </c>
      <c r="H84" t="e">
        <f t="shared" ca="1" si="21"/>
        <v>#N/A</v>
      </c>
      <c r="I84" s="7">
        <f t="shared" si="22"/>
        <v>0</v>
      </c>
      <c r="J84" s="7">
        <f t="shared" si="23"/>
        <v>0</v>
      </c>
      <c r="K84">
        <f t="shared" si="24"/>
        <v>12</v>
      </c>
      <c r="L84" s="15">
        <f t="shared" ca="1" si="25"/>
        <v>0</v>
      </c>
      <c r="M84" s="9">
        <f t="shared" ca="1" si="44"/>
        <v>0</v>
      </c>
      <c r="N84" s="7">
        <f t="shared" ca="1" si="26"/>
        <v>0</v>
      </c>
      <c r="O84" s="7">
        <f t="shared" ca="1" si="27"/>
        <v>0</v>
      </c>
      <c r="P84" s="7">
        <f t="shared" ca="1" si="28"/>
        <v>0</v>
      </c>
      <c r="U84" t="e">
        <f t="shared" ca="1" si="29"/>
        <v>#N/A</v>
      </c>
      <c r="V84" t="e">
        <f t="shared" ca="1" si="30"/>
        <v>#N/A</v>
      </c>
      <c r="X84" t="e">
        <f t="shared" ca="1" si="31"/>
        <v>#N/A</v>
      </c>
      <c r="Y84" t="e">
        <f t="shared" ca="1" si="32"/>
        <v>#N/A</v>
      </c>
      <c r="AC84">
        <f t="shared" ca="1" si="33"/>
        <v>0</v>
      </c>
      <c r="AD84">
        <f t="shared" ca="1" si="34"/>
        <v>0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Q84">
        <v>82</v>
      </c>
      <c r="AR84">
        <f t="shared" si="37"/>
        <v>1.6700772115207856</v>
      </c>
      <c r="AS84">
        <f t="shared" si="38"/>
        <v>11.883216824898845</v>
      </c>
    </row>
    <row r="85" spans="1:45" x14ac:dyDescent="0.25">
      <c r="A85">
        <v>49</v>
      </c>
      <c r="B85" s="5">
        <f t="shared" si="16"/>
        <v>7</v>
      </c>
      <c r="C85" s="1">
        <f t="shared" ca="1" si="43"/>
        <v>0</v>
      </c>
      <c r="D85" s="46">
        <f t="shared" si="17"/>
        <v>0</v>
      </c>
      <c r="E85" s="46">
        <f t="shared" si="18"/>
        <v>0</v>
      </c>
      <c r="F85" s="1">
        <f t="shared" ca="1" si="19"/>
        <v>3.8125</v>
      </c>
      <c r="G85" t="e">
        <f t="shared" ca="1" si="20"/>
        <v>#N/A</v>
      </c>
      <c r="H85" t="e">
        <f t="shared" ca="1" si="21"/>
        <v>#N/A</v>
      </c>
      <c r="I85" s="7">
        <f t="shared" si="22"/>
        <v>0</v>
      </c>
      <c r="J85" s="7">
        <f t="shared" si="23"/>
        <v>0</v>
      </c>
      <c r="K85">
        <f t="shared" si="24"/>
        <v>12</v>
      </c>
      <c r="L85" s="15">
        <f t="shared" ca="1" si="25"/>
        <v>0</v>
      </c>
      <c r="M85" s="9">
        <f t="shared" ca="1" si="44"/>
        <v>0</v>
      </c>
      <c r="N85" s="7">
        <f t="shared" ca="1" si="26"/>
        <v>0</v>
      </c>
      <c r="O85" s="7">
        <f t="shared" ca="1" si="27"/>
        <v>0</v>
      </c>
      <c r="P85" s="7">
        <f t="shared" ca="1" si="28"/>
        <v>0</v>
      </c>
      <c r="U85" t="e">
        <f t="shared" ca="1" si="29"/>
        <v>#N/A</v>
      </c>
      <c r="V85" t="e">
        <f t="shared" ca="1" si="30"/>
        <v>#N/A</v>
      </c>
      <c r="X85" t="e">
        <f t="shared" ca="1" si="31"/>
        <v>#N/A</v>
      </c>
      <c r="Y85" t="e">
        <f t="shared" ca="1" si="32"/>
        <v>#N/A</v>
      </c>
      <c r="AC85">
        <f t="shared" ca="1" si="33"/>
        <v>0</v>
      </c>
      <c r="AD85">
        <f t="shared" ca="1" si="34"/>
        <v>0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Q85">
        <v>83</v>
      </c>
      <c r="AR85">
        <f t="shared" si="37"/>
        <v>1.4624321208617699</v>
      </c>
      <c r="AS85">
        <f t="shared" si="38"/>
        <v>11.910553819695863</v>
      </c>
    </row>
    <row r="86" spans="1:45" x14ac:dyDescent="0.25">
      <c r="A86">
        <v>50</v>
      </c>
      <c r="B86" s="5">
        <f t="shared" si="16"/>
        <v>7</v>
      </c>
      <c r="C86" s="1">
        <f t="shared" ca="1" si="43"/>
        <v>0</v>
      </c>
      <c r="D86" s="46">
        <f t="shared" si="17"/>
        <v>0</v>
      </c>
      <c r="E86" s="46">
        <f t="shared" si="18"/>
        <v>0</v>
      </c>
      <c r="F86" s="1">
        <f t="shared" ca="1" si="19"/>
        <v>3.8125</v>
      </c>
      <c r="G86" t="e">
        <f t="shared" ca="1" si="20"/>
        <v>#N/A</v>
      </c>
      <c r="H86" t="e">
        <f t="shared" ca="1" si="21"/>
        <v>#N/A</v>
      </c>
      <c r="I86" s="7">
        <f t="shared" si="22"/>
        <v>0</v>
      </c>
      <c r="J86" s="7">
        <f t="shared" si="23"/>
        <v>0</v>
      </c>
      <c r="K86">
        <f t="shared" si="24"/>
        <v>12</v>
      </c>
      <c r="L86" s="15">
        <f t="shared" ca="1" si="25"/>
        <v>0</v>
      </c>
      <c r="M86" s="9">
        <f t="shared" ca="1" si="44"/>
        <v>0</v>
      </c>
      <c r="N86" s="7">
        <f t="shared" ca="1" si="26"/>
        <v>0</v>
      </c>
      <c r="O86" s="7">
        <f t="shared" ca="1" si="27"/>
        <v>0</v>
      </c>
      <c r="P86" s="7">
        <f t="shared" ca="1" si="28"/>
        <v>0</v>
      </c>
      <c r="U86" t="e">
        <f t="shared" ca="1" si="29"/>
        <v>#N/A</v>
      </c>
      <c r="V86" t="e">
        <f t="shared" ca="1" si="30"/>
        <v>#N/A</v>
      </c>
      <c r="X86" t="e">
        <f t="shared" ca="1" si="31"/>
        <v>#N/A</v>
      </c>
      <c r="Y86" t="e">
        <f t="shared" ca="1" si="32"/>
        <v>#N/A</v>
      </c>
      <c r="AC86">
        <f t="shared" ca="1" si="33"/>
        <v>0</v>
      </c>
      <c r="AD86">
        <f t="shared" ca="1" si="34"/>
        <v>0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Q86">
        <v>84</v>
      </c>
      <c r="AR86">
        <f t="shared" si="37"/>
        <v>1.2543415592118414</v>
      </c>
      <c r="AS86">
        <f t="shared" si="38"/>
        <v>11.934262744419279</v>
      </c>
    </row>
    <row r="87" spans="1:45" x14ac:dyDescent="0.25">
      <c r="A87">
        <v>51</v>
      </c>
      <c r="B87" s="5">
        <f t="shared" si="16"/>
        <v>7</v>
      </c>
      <c r="C87" s="1">
        <f t="shared" ca="1" si="43"/>
        <v>0</v>
      </c>
      <c r="D87" s="46">
        <f t="shared" si="17"/>
        <v>0</v>
      </c>
      <c r="E87" s="46">
        <f t="shared" si="18"/>
        <v>0</v>
      </c>
      <c r="F87" s="1">
        <f t="shared" ca="1" si="19"/>
        <v>3.8125</v>
      </c>
      <c r="G87" t="e">
        <f t="shared" ca="1" si="20"/>
        <v>#N/A</v>
      </c>
      <c r="H87" t="e">
        <f t="shared" ca="1" si="21"/>
        <v>#N/A</v>
      </c>
      <c r="I87" s="7">
        <f t="shared" si="22"/>
        <v>0</v>
      </c>
      <c r="J87" s="7">
        <f t="shared" si="23"/>
        <v>0</v>
      </c>
      <c r="K87">
        <f t="shared" si="24"/>
        <v>12</v>
      </c>
      <c r="L87" s="15">
        <f t="shared" ca="1" si="25"/>
        <v>0</v>
      </c>
      <c r="M87" s="9">
        <f t="shared" ca="1" si="44"/>
        <v>0</v>
      </c>
      <c r="N87" s="7">
        <f t="shared" ca="1" si="26"/>
        <v>0</v>
      </c>
      <c r="O87" s="7">
        <f t="shared" ca="1" si="27"/>
        <v>0</v>
      </c>
      <c r="P87" s="7">
        <f t="shared" ca="1" si="28"/>
        <v>0</v>
      </c>
      <c r="U87" t="e">
        <f t="shared" ca="1" si="29"/>
        <v>#N/A</v>
      </c>
      <c r="V87" t="e">
        <f t="shared" ca="1" si="30"/>
        <v>#N/A</v>
      </c>
      <c r="X87" t="e">
        <f t="shared" ca="1" si="31"/>
        <v>#N/A</v>
      </c>
      <c r="Y87" t="e">
        <f t="shared" ca="1" si="32"/>
        <v>#N/A</v>
      </c>
      <c r="AC87">
        <f t="shared" ca="1" si="33"/>
        <v>0</v>
      </c>
      <c r="AD87">
        <f t="shared" ca="1" si="34"/>
        <v>0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Q87">
        <v>85</v>
      </c>
      <c r="AR87">
        <f t="shared" si="37"/>
        <v>1.0458689129718977</v>
      </c>
      <c r="AS87">
        <f t="shared" si="38"/>
        <v>11.954336377100947</v>
      </c>
    </row>
    <row r="88" spans="1:45" x14ac:dyDescent="0.25">
      <c r="A88">
        <v>52</v>
      </c>
      <c r="B88" s="5">
        <f t="shared" si="16"/>
        <v>7</v>
      </c>
      <c r="C88" s="1">
        <f t="shared" ca="1" si="43"/>
        <v>0</v>
      </c>
      <c r="D88" s="46">
        <f t="shared" si="17"/>
        <v>0</v>
      </c>
      <c r="E88" s="46">
        <f t="shared" si="18"/>
        <v>0</v>
      </c>
      <c r="F88" s="1">
        <f t="shared" ca="1" si="19"/>
        <v>3.8125</v>
      </c>
      <c r="G88" t="e">
        <f t="shared" ca="1" si="20"/>
        <v>#N/A</v>
      </c>
      <c r="H88" t="e">
        <f t="shared" ca="1" si="21"/>
        <v>#N/A</v>
      </c>
      <c r="I88" s="7">
        <f t="shared" si="22"/>
        <v>0</v>
      </c>
      <c r="J88" s="7">
        <f t="shared" si="23"/>
        <v>0</v>
      </c>
      <c r="K88">
        <f t="shared" si="24"/>
        <v>12</v>
      </c>
      <c r="L88" s="15">
        <f t="shared" ca="1" si="25"/>
        <v>0</v>
      </c>
      <c r="M88" s="9">
        <f t="shared" ca="1" si="44"/>
        <v>0</v>
      </c>
      <c r="N88" s="7">
        <f t="shared" ca="1" si="26"/>
        <v>0</v>
      </c>
      <c r="O88" s="7">
        <f t="shared" ca="1" si="27"/>
        <v>0</v>
      </c>
      <c r="P88" s="7">
        <f t="shared" ca="1" si="28"/>
        <v>0</v>
      </c>
      <c r="U88" t="e">
        <f t="shared" ca="1" si="29"/>
        <v>#N/A</v>
      </c>
      <c r="V88" t="e">
        <f t="shared" ca="1" si="30"/>
        <v>#N/A</v>
      </c>
      <c r="X88" t="e">
        <f t="shared" ca="1" si="31"/>
        <v>#N/A</v>
      </c>
      <c r="Y88" t="e">
        <f t="shared" ca="1" si="32"/>
        <v>#N/A</v>
      </c>
      <c r="AC88">
        <f t="shared" ca="1" si="33"/>
        <v>0</v>
      </c>
      <c r="AD88">
        <f t="shared" ca="1" si="34"/>
        <v>0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Q88">
        <v>86</v>
      </c>
      <c r="AR88">
        <f t="shared" si="37"/>
        <v>0.83707768492950274</v>
      </c>
      <c r="AS88">
        <f t="shared" si="38"/>
        <v>11.970768603117889</v>
      </c>
    </row>
    <row r="89" spans="1:45" x14ac:dyDescent="0.25">
      <c r="A89">
        <v>53</v>
      </c>
      <c r="B89" s="5">
        <f t="shared" si="16"/>
        <v>7</v>
      </c>
      <c r="C89" s="1">
        <f t="shared" ca="1" si="43"/>
        <v>0</v>
      </c>
      <c r="D89" s="46">
        <f t="shared" si="17"/>
        <v>0</v>
      </c>
      <c r="E89" s="46">
        <f t="shared" si="18"/>
        <v>0</v>
      </c>
      <c r="F89" s="1">
        <f t="shared" ca="1" si="19"/>
        <v>3.8125</v>
      </c>
      <c r="G89" t="e">
        <f t="shared" ca="1" si="20"/>
        <v>#N/A</v>
      </c>
      <c r="H89" t="e">
        <f t="shared" ca="1" si="21"/>
        <v>#N/A</v>
      </c>
      <c r="I89" s="7">
        <f t="shared" si="22"/>
        <v>0</v>
      </c>
      <c r="J89" s="7">
        <f t="shared" si="23"/>
        <v>0</v>
      </c>
      <c r="K89">
        <f t="shared" si="24"/>
        <v>12</v>
      </c>
      <c r="L89" s="15">
        <f t="shared" ca="1" si="25"/>
        <v>0</v>
      </c>
      <c r="M89" s="9">
        <f t="shared" ca="1" si="44"/>
        <v>0</v>
      </c>
      <c r="N89" s="7">
        <f t="shared" ca="1" si="26"/>
        <v>0</v>
      </c>
      <c r="O89" s="7">
        <f t="shared" ca="1" si="27"/>
        <v>0</v>
      </c>
      <c r="P89" s="7">
        <f t="shared" ca="1" si="28"/>
        <v>0</v>
      </c>
      <c r="U89" t="e">
        <f t="shared" ca="1" si="29"/>
        <v>#N/A</v>
      </c>
      <c r="V89" t="e">
        <f t="shared" ca="1" si="30"/>
        <v>#N/A</v>
      </c>
      <c r="X89" t="e">
        <f t="shared" ca="1" si="31"/>
        <v>#N/A</v>
      </c>
      <c r="Y89" t="e">
        <f t="shared" ca="1" si="32"/>
        <v>#N/A</v>
      </c>
      <c r="AC89">
        <f t="shared" ca="1" si="33"/>
        <v>0</v>
      </c>
      <c r="AD89">
        <f t="shared" ca="1" si="34"/>
        <v>0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Q89">
        <v>87</v>
      </c>
      <c r="AR89">
        <f t="shared" si="37"/>
        <v>0.62803147491532763</v>
      </c>
      <c r="AS89">
        <f t="shared" si="38"/>
        <v>11.983554417054886</v>
      </c>
    </row>
    <row r="90" spans="1:45" x14ac:dyDescent="0.25">
      <c r="A90">
        <v>54</v>
      </c>
      <c r="B90" s="5">
        <f t="shared" si="16"/>
        <v>7</v>
      </c>
      <c r="C90" s="1">
        <f t="shared" ca="1" si="43"/>
        <v>0</v>
      </c>
      <c r="D90" s="46">
        <f t="shared" si="17"/>
        <v>0</v>
      </c>
      <c r="E90" s="46">
        <f t="shared" si="18"/>
        <v>0</v>
      </c>
      <c r="F90" s="1">
        <f t="shared" ca="1" si="19"/>
        <v>3.8125</v>
      </c>
      <c r="G90" t="e">
        <f t="shared" ca="1" si="20"/>
        <v>#N/A</v>
      </c>
      <c r="H90" t="e">
        <f t="shared" ca="1" si="21"/>
        <v>#N/A</v>
      </c>
      <c r="I90" s="7">
        <f t="shared" si="22"/>
        <v>0</v>
      </c>
      <c r="J90" s="7">
        <f t="shared" si="23"/>
        <v>0</v>
      </c>
      <c r="K90">
        <f t="shared" si="24"/>
        <v>12</v>
      </c>
      <c r="L90" s="15">
        <f t="shared" ca="1" si="25"/>
        <v>0</v>
      </c>
      <c r="M90" s="9">
        <f t="shared" ca="1" si="44"/>
        <v>0</v>
      </c>
      <c r="N90" s="7">
        <f t="shared" ca="1" si="26"/>
        <v>0</v>
      </c>
      <c r="O90" s="7">
        <f t="shared" ca="1" si="27"/>
        <v>0</v>
      </c>
      <c r="P90" s="7">
        <f t="shared" ca="1" si="28"/>
        <v>0</v>
      </c>
      <c r="U90" t="e">
        <f t="shared" ca="1" si="29"/>
        <v>#N/A</v>
      </c>
      <c r="V90" t="e">
        <f t="shared" ca="1" si="30"/>
        <v>#N/A</v>
      </c>
      <c r="X90" t="e">
        <f t="shared" ca="1" si="31"/>
        <v>#N/A</v>
      </c>
      <c r="Y90" t="e">
        <f t="shared" ca="1" si="32"/>
        <v>#N/A</v>
      </c>
      <c r="AC90">
        <f t="shared" ca="1" si="33"/>
        <v>0</v>
      </c>
      <c r="AD90">
        <f t="shared" ca="1" si="34"/>
        <v>0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Q90">
        <v>88</v>
      </c>
      <c r="AR90">
        <f t="shared" si="37"/>
        <v>0.41879396043001293</v>
      </c>
      <c r="AS90">
        <f t="shared" si="38"/>
        <v>11.992689924229149</v>
      </c>
    </row>
    <row r="91" spans="1:45" x14ac:dyDescent="0.25">
      <c r="A91">
        <v>55</v>
      </c>
      <c r="B91" s="5">
        <f t="shared" si="16"/>
        <v>7</v>
      </c>
      <c r="C91" s="1">
        <f t="shared" ca="1" si="43"/>
        <v>0</v>
      </c>
      <c r="D91" s="46">
        <f t="shared" si="17"/>
        <v>0</v>
      </c>
      <c r="E91" s="46">
        <f t="shared" si="18"/>
        <v>0</v>
      </c>
      <c r="F91" s="1">
        <f t="shared" ca="1" si="19"/>
        <v>3.8125</v>
      </c>
      <c r="G91" t="e">
        <f t="shared" ca="1" si="20"/>
        <v>#N/A</v>
      </c>
      <c r="H91" t="e">
        <f t="shared" ca="1" si="21"/>
        <v>#N/A</v>
      </c>
      <c r="I91" s="7">
        <f t="shared" si="22"/>
        <v>0</v>
      </c>
      <c r="J91" s="7">
        <f t="shared" si="23"/>
        <v>0</v>
      </c>
      <c r="K91">
        <f t="shared" si="24"/>
        <v>12</v>
      </c>
      <c r="L91" s="15">
        <f t="shared" ca="1" si="25"/>
        <v>0</v>
      </c>
      <c r="M91" s="9">
        <f t="shared" ca="1" si="44"/>
        <v>0</v>
      </c>
      <c r="N91" s="7">
        <f t="shared" ca="1" si="26"/>
        <v>0</v>
      </c>
      <c r="O91" s="7">
        <f t="shared" ca="1" si="27"/>
        <v>0</v>
      </c>
      <c r="P91" s="7">
        <f t="shared" ca="1" si="28"/>
        <v>0</v>
      </c>
      <c r="U91" t="e">
        <f t="shared" ca="1" si="29"/>
        <v>#N/A</v>
      </c>
      <c r="V91" t="e">
        <f t="shared" ca="1" si="30"/>
        <v>#N/A</v>
      </c>
      <c r="X91" t="e">
        <f t="shared" ca="1" si="31"/>
        <v>#N/A</v>
      </c>
      <c r="Y91" t="e">
        <f t="shared" ca="1" si="32"/>
        <v>#N/A</v>
      </c>
      <c r="AC91">
        <f t="shared" ca="1" si="33"/>
        <v>0</v>
      </c>
      <c r="AD91">
        <f t="shared" ca="1" si="34"/>
        <v>0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Q91">
        <v>89</v>
      </c>
      <c r="AR91">
        <f t="shared" si="37"/>
        <v>0.20942887724740317</v>
      </c>
      <c r="AS91">
        <f t="shared" si="38"/>
        <v>11.998172341876696</v>
      </c>
    </row>
    <row r="92" spans="1:45" x14ac:dyDescent="0.25">
      <c r="A92">
        <v>56</v>
      </c>
      <c r="B92" s="5">
        <f t="shared" si="16"/>
        <v>7</v>
      </c>
      <c r="C92" s="1">
        <f t="shared" ca="1" si="43"/>
        <v>0</v>
      </c>
      <c r="D92" s="46">
        <f t="shared" si="17"/>
        <v>0</v>
      </c>
      <c r="E92" s="46">
        <f t="shared" si="18"/>
        <v>0</v>
      </c>
      <c r="F92" s="1">
        <f t="shared" ca="1" si="19"/>
        <v>3.8125</v>
      </c>
      <c r="G92" t="e">
        <f t="shared" ca="1" si="20"/>
        <v>#N/A</v>
      </c>
      <c r="H92" t="e">
        <f t="shared" ca="1" si="21"/>
        <v>#N/A</v>
      </c>
      <c r="I92" s="7">
        <f t="shared" si="22"/>
        <v>0</v>
      </c>
      <c r="J92" s="7">
        <f t="shared" si="23"/>
        <v>0</v>
      </c>
      <c r="K92">
        <f t="shared" si="24"/>
        <v>12</v>
      </c>
      <c r="L92" s="15">
        <f t="shared" ca="1" si="25"/>
        <v>0</v>
      </c>
      <c r="M92" s="9">
        <f t="shared" ca="1" si="44"/>
        <v>0</v>
      </c>
      <c r="N92" s="7">
        <f t="shared" ca="1" si="26"/>
        <v>0</v>
      </c>
      <c r="O92" s="7">
        <f t="shared" ca="1" si="27"/>
        <v>0</v>
      </c>
      <c r="P92" s="7">
        <f t="shared" ca="1" si="28"/>
        <v>0</v>
      </c>
      <c r="U92" t="e">
        <f t="shared" ca="1" si="29"/>
        <v>#N/A</v>
      </c>
      <c r="V92" t="e">
        <f t="shared" ca="1" si="30"/>
        <v>#N/A</v>
      </c>
      <c r="X92" t="e">
        <f t="shared" ca="1" si="31"/>
        <v>#N/A</v>
      </c>
      <c r="Y92" t="e">
        <f t="shared" ca="1" si="32"/>
        <v>#N/A</v>
      </c>
      <c r="AC92">
        <f t="shared" ca="1" si="33"/>
        <v>0</v>
      </c>
      <c r="AD92">
        <f t="shared" ca="1" si="34"/>
        <v>0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Q92">
        <v>90</v>
      </c>
      <c r="AR92">
        <f t="shared" si="37"/>
        <v>7.3508907294517201E-16</v>
      </c>
      <c r="AS92">
        <f t="shared" si="38"/>
        <v>12</v>
      </c>
    </row>
    <row r="93" spans="1:45" x14ac:dyDescent="0.25">
      <c r="A93">
        <v>57</v>
      </c>
      <c r="B93" s="5">
        <f t="shared" si="16"/>
        <v>7</v>
      </c>
      <c r="C93" s="1">
        <f t="shared" ca="1" si="43"/>
        <v>0</v>
      </c>
      <c r="D93" s="46">
        <f t="shared" si="17"/>
        <v>0</v>
      </c>
      <c r="E93" s="46">
        <f t="shared" si="18"/>
        <v>0</v>
      </c>
      <c r="F93" s="1">
        <f t="shared" ca="1" si="19"/>
        <v>3.8125</v>
      </c>
      <c r="G93" t="e">
        <f t="shared" ca="1" si="20"/>
        <v>#N/A</v>
      </c>
      <c r="H93" t="e">
        <f t="shared" ca="1" si="21"/>
        <v>#N/A</v>
      </c>
      <c r="I93" s="7">
        <f t="shared" si="22"/>
        <v>0</v>
      </c>
      <c r="J93" s="7">
        <f t="shared" si="23"/>
        <v>0</v>
      </c>
      <c r="K93">
        <f t="shared" si="24"/>
        <v>12</v>
      </c>
      <c r="L93" s="15">
        <f t="shared" ca="1" si="25"/>
        <v>0</v>
      </c>
      <c r="M93" s="9">
        <f t="shared" ca="1" si="44"/>
        <v>0</v>
      </c>
      <c r="N93" s="7">
        <f t="shared" ca="1" si="26"/>
        <v>0</v>
      </c>
      <c r="O93" s="7">
        <f t="shared" ca="1" si="27"/>
        <v>0</v>
      </c>
      <c r="P93" s="7">
        <f t="shared" ca="1" si="28"/>
        <v>0</v>
      </c>
      <c r="U93" t="e">
        <f t="shared" ca="1" si="29"/>
        <v>#N/A</v>
      </c>
      <c r="V93" t="e">
        <f t="shared" ca="1" si="30"/>
        <v>#N/A</v>
      </c>
      <c r="X93" t="e">
        <f t="shared" ca="1" si="31"/>
        <v>#N/A</v>
      </c>
      <c r="Y93" t="e">
        <f t="shared" ca="1" si="32"/>
        <v>#N/A</v>
      </c>
      <c r="AC93">
        <f t="shared" ca="1" si="33"/>
        <v>0</v>
      </c>
      <c r="AD93">
        <f t="shared" ca="1" si="34"/>
        <v>0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Q93">
        <v>91</v>
      </c>
      <c r="AR93">
        <f t="shared" si="37"/>
        <v>-0.20942887724740172</v>
      </c>
      <c r="AS93">
        <f t="shared" si="38"/>
        <v>11.998172341876696</v>
      </c>
    </row>
    <row r="94" spans="1:45" x14ac:dyDescent="0.25">
      <c r="A94">
        <v>58</v>
      </c>
      <c r="B94" s="5">
        <f t="shared" si="16"/>
        <v>7</v>
      </c>
      <c r="C94" s="1">
        <f t="shared" ca="1" si="43"/>
        <v>0</v>
      </c>
      <c r="D94" s="46">
        <f t="shared" si="17"/>
        <v>0</v>
      </c>
      <c r="E94" s="46">
        <f t="shared" si="18"/>
        <v>0</v>
      </c>
      <c r="F94" s="1">
        <f t="shared" ca="1" si="19"/>
        <v>3.8125</v>
      </c>
      <c r="G94" t="e">
        <f t="shared" ca="1" si="20"/>
        <v>#N/A</v>
      </c>
      <c r="H94" t="e">
        <f t="shared" ca="1" si="21"/>
        <v>#N/A</v>
      </c>
      <c r="I94" s="7">
        <f t="shared" si="22"/>
        <v>0</v>
      </c>
      <c r="J94" s="7">
        <f t="shared" si="23"/>
        <v>0</v>
      </c>
      <c r="K94">
        <f t="shared" si="24"/>
        <v>12</v>
      </c>
      <c r="L94" s="15">
        <f t="shared" ca="1" si="25"/>
        <v>0</v>
      </c>
      <c r="M94" s="9">
        <f t="shared" ca="1" si="44"/>
        <v>0</v>
      </c>
      <c r="N94" s="7">
        <f t="shared" ca="1" si="26"/>
        <v>0</v>
      </c>
      <c r="O94" s="7">
        <f t="shared" ca="1" si="27"/>
        <v>0</v>
      </c>
      <c r="P94" s="7">
        <f t="shared" ca="1" si="28"/>
        <v>0</v>
      </c>
      <c r="U94" t="e">
        <f t="shared" ca="1" si="29"/>
        <v>#N/A</v>
      </c>
      <c r="V94" t="e">
        <f t="shared" ca="1" si="30"/>
        <v>#N/A</v>
      </c>
      <c r="X94" t="e">
        <f t="shared" ca="1" si="31"/>
        <v>#N/A</v>
      </c>
      <c r="Y94" t="e">
        <f t="shared" ca="1" si="32"/>
        <v>#N/A</v>
      </c>
      <c r="AC94">
        <f t="shared" ca="1" si="33"/>
        <v>0</v>
      </c>
      <c r="AD94">
        <f t="shared" ca="1" si="34"/>
        <v>0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Q94">
        <v>92</v>
      </c>
      <c r="AR94">
        <f t="shared" si="37"/>
        <v>-0.41879396043001149</v>
      </c>
      <c r="AS94">
        <f t="shared" si="38"/>
        <v>11.992689924229149</v>
      </c>
    </row>
    <row r="95" spans="1:45" x14ac:dyDescent="0.25">
      <c r="A95">
        <v>59</v>
      </c>
      <c r="B95" s="5">
        <f t="shared" si="16"/>
        <v>7</v>
      </c>
      <c r="C95" s="1">
        <f t="shared" ca="1" si="43"/>
        <v>0</v>
      </c>
      <c r="D95" s="46">
        <f t="shared" si="17"/>
        <v>0</v>
      </c>
      <c r="E95" s="46">
        <f t="shared" si="18"/>
        <v>0</v>
      </c>
      <c r="F95" s="1">
        <f t="shared" ca="1" si="19"/>
        <v>3.8125</v>
      </c>
      <c r="G95" t="e">
        <f t="shared" ca="1" si="20"/>
        <v>#N/A</v>
      </c>
      <c r="H95" t="e">
        <f t="shared" ca="1" si="21"/>
        <v>#N/A</v>
      </c>
      <c r="I95" s="7">
        <f t="shared" si="22"/>
        <v>0</v>
      </c>
      <c r="J95" s="7">
        <f t="shared" si="23"/>
        <v>0</v>
      </c>
      <c r="K95">
        <f t="shared" si="24"/>
        <v>12</v>
      </c>
      <c r="L95" s="15">
        <f t="shared" ca="1" si="25"/>
        <v>0</v>
      </c>
      <c r="M95" s="9">
        <f t="shared" ca="1" si="44"/>
        <v>0</v>
      </c>
      <c r="N95" s="7">
        <f t="shared" ca="1" si="26"/>
        <v>0</v>
      </c>
      <c r="O95" s="7">
        <f t="shared" ca="1" si="27"/>
        <v>0</v>
      </c>
      <c r="P95" s="7">
        <f t="shared" ca="1" si="28"/>
        <v>0</v>
      </c>
      <c r="U95" t="e">
        <f t="shared" ca="1" si="29"/>
        <v>#N/A</v>
      </c>
      <c r="V95" t="e">
        <f t="shared" ca="1" si="30"/>
        <v>#N/A</v>
      </c>
      <c r="X95" t="e">
        <f t="shared" ca="1" si="31"/>
        <v>#N/A</v>
      </c>
      <c r="Y95" t="e">
        <f t="shared" ca="1" si="32"/>
        <v>#N/A</v>
      </c>
      <c r="AC95">
        <f t="shared" ca="1" si="33"/>
        <v>0</v>
      </c>
      <c r="AD95">
        <f t="shared" ca="1" si="34"/>
        <v>0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Q95">
        <v>93</v>
      </c>
      <c r="AR95">
        <f t="shared" si="37"/>
        <v>-0.62803147491532607</v>
      </c>
      <c r="AS95">
        <f t="shared" si="38"/>
        <v>11.983554417054886</v>
      </c>
    </row>
    <row r="96" spans="1:45" x14ac:dyDescent="0.25">
      <c r="A96">
        <v>60</v>
      </c>
      <c r="B96" s="5">
        <f t="shared" si="16"/>
        <v>7</v>
      </c>
      <c r="C96" s="1">
        <f t="shared" ca="1" si="43"/>
        <v>0</v>
      </c>
      <c r="D96" s="46">
        <f t="shared" si="17"/>
        <v>0</v>
      </c>
      <c r="E96" s="46">
        <f t="shared" si="18"/>
        <v>0</v>
      </c>
      <c r="F96" s="1">
        <f t="shared" ca="1" si="19"/>
        <v>3.8125</v>
      </c>
      <c r="G96" t="e">
        <f t="shared" ca="1" si="20"/>
        <v>#N/A</v>
      </c>
      <c r="H96" t="e">
        <f t="shared" ca="1" si="21"/>
        <v>#N/A</v>
      </c>
      <c r="I96" s="7">
        <f t="shared" si="22"/>
        <v>0</v>
      </c>
      <c r="J96" s="7">
        <f t="shared" si="23"/>
        <v>0</v>
      </c>
      <c r="K96">
        <f t="shared" si="24"/>
        <v>12</v>
      </c>
      <c r="L96" s="15">
        <f t="shared" ca="1" si="25"/>
        <v>0</v>
      </c>
      <c r="M96" s="9">
        <f t="shared" ca="1" si="44"/>
        <v>0</v>
      </c>
      <c r="N96" s="7">
        <f t="shared" ca="1" si="26"/>
        <v>0</v>
      </c>
      <c r="O96" s="7">
        <f t="shared" ca="1" si="27"/>
        <v>0</v>
      </c>
      <c r="P96" s="7">
        <f t="shared" ca="1" si="28"/>
        <v>0</v>
      </c>
      <c r="U96" t="e">
        <f t="shared" ca="1" si="29"/>
        <v>#N/A</v>
      </c>
      <c r="V96" t="e">
        <f t="shared" ca="1" si="30"/>
        <v>#N/A</v>
      </c>
      <c r="X96" t="e">
        <f t="shared" ca="1" si="31"/>
        <v>#N/A</v>
      </c>
      <c r="Y96" t="e">
        <f t="shared" ca="1" si="32"/>
        <v>#N/A</v>
      </c>
      <c r="AC96">
        <f t="shared" ca="1" si="33"/>
        <v>0</v>
      </c>
      <c r="AD96">
        <f t="shared" ca="1" si="34"/>
        <v>0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Q96">
        <v>94</v>
      </c>
      <c r="AR96">
        <f t="shared" si="37"/>
        <v>-0.83707768492950396</v>
      </c>
      <c r="AS96">
        <f t="shared" si="38"/>
        <v>11.970768603117889</v>
      </c>
    </row>
    <row r="97" spans="1:71" x14ac:dyDescent="0.25">
      <c r="A97">
        <v>61</v>
      </c>
      <c r="B97" s="5">
        <f t="shared" si="16"/>
        <v>7</v>
      </c>
      <c r="C97" s="1">
        <f t="shared" ca="1" si="43"/>
        <v>0</v>
      </c>
      <c r="D97" s="46">
        <f t="shared" si="17"/>
        <v>0</v>
      </c>
      <c r="E97" s="46">
        <f t="shared" si="18"/>
        <v>0</v>
      </c>
      <c r="F97" s="1">
        <f t="shared" ca="1" si="19"/>
        <v>3.8125</v>
      </c>
      <c r="G97" t="e">
        <f t="shared" ca="1" si="20"/>
        <v>#N/A</v>
      </c>
      <c r="H97" t="e">
        <f t="shared" ca="1" si="21"/>
        <v>#N/A</v>
      </c>
      <c r="I97" s="7">
        <f t="shared" si="22"/>
        <v>0</v>
      </c>
      <c r="J97" s="7">
        <f t="shared" si="23"/>
        <v>0</v>
      </c>
      <c r="K97">
        <f t="shared" si="24"/>
        <v>12</v>
      </c>
      <c r="L97" s="15">
        <f t="shared" ca="1" si="25"/>
        <v>0</v>
      </c>
      <c r="M97" s="9">
        <f t="shared" ca="1" si="44"/>
        <v>0</v>
      </c>
      <c r="N97" s="7">
        <f t="shared" ca="1" si="26"/>
        <v>0</v>
      </c>
      <c r="O97" s="7">
        <f t="shared" ca="1" si="27"/>
        <v>0</v>
      </c>
      <c r="P97" s="7">
        <f t="shared" ca="1" si="28"/>
        <v>0</v>
      </c>
      <c r="U97" t="e">
        <f t="shared" ca="1" si="29"/>
        <v>#N/A</v>
      </c>
      <c r="V97" t="e">
        <f t="shared" ca="1" si="30"/>
        <v>#N/A</v>
      </c>
      <c r="X97" t="e">
        <f t="shared" ca="1" si="31"/>
        <v>#N/A</v>
      </c>
      <c r="Y97" t="e">
        <f t="shared" ca="1" si="32"/>
        <v>#N/A</v>
      </c>
      <c r="AC97">
        <f t="shared" ca="1" si="33"/>
        <v>0</v>
      </c>
      <c r="AD97">
        <f t="shared" ca="1" si="34"/>
        <v>0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Q97">
        <v>95</v>
      </c>
      <c r="AR97">
        <f t="shared" si="37"/>
        <v>-1.0458689129718988</v>
      </c>
      <c r="AS97">
        <f t="shared" si="38"/>
        <v>11.954336377100947</v>
      </c>
    </row>
    <row r="98" spans="1:71" x14ac:dyDescent="0.25">
      <c r="A98">
        <v>62</v>
      </c>
      <c r="B98" s="5">
        <f t="shared" si="16"/>
        <v>7</v>
      </c>
      <c r="C98" s="1">
        <f t="shared" ca="1" si="43"/>
        <v>0</v>
      </c>
      <c r="D98" s="46">
        <f t="shared" si="17"/>
        <v>0</v>
      </c>
      <c r="E98" s="46">
        <f t="shared" si="18"/>
        <v>0</v>
      </c>
      <c r="F98" s="1">
        <f t="shared" ca="1" si="19"/>
        <v>3.8125</v>
      </c>
      <c r="G98" t="e">
        <f t="shared" ca="1" si="20"/>
        <v>#N/A</v>
      </c>
      <c r="H98" t="e">
        <f t="shared" ca="1" si="21"/>
        <v>#N/A</v>
      </c>
      <c r="I98" s="7">
        <f t="shared" si="22"/>
        <v>0</v>
      </c>
      <c r="J98" s="7">
        <f t="shared" si="23"/>
        <v>0</v>
      </c>
      <c r="K98">
        <f t="shared" si="24"/>
        <v>12</v>
      </c>
      <c r="L98" s="15">
        <f t="shared" ca="1" si="25"/>
        <v>0</v>
      </c>
      <c r="M98" s="9">
        <f t="shared" ca="1" si="44"/>
        <v>0</v>
      </c>
      <c r="N98" s="7">
        <f t="shared" ca="1" si="26"/>
        <v>0</v>
      </c>
      <c r="O98" s="7">
        <f t="shared" ca="1" si="27"/>
        <v>0</v>
      </c>
      <c r="P98" s="7">
        <f t="shared" ca="1" si="28"/>
        <v>0</v>
      </c>
      <c r="U98" t="e">
        <f t="shared" ca="1" si="29"/>
        <v>#N/A</v>
      </c>
      <c r="V98" t="e">
        <f t="shared" ca="1" si="30"/>
        <v>#N/A</v>
      </c>
      <c r="X98" t="e">
        <f t="shared" ca="1" si="31"/>
        <v>#N/A</v>
      </c>
      <c r="Y98" t="e">
        <f t="shared" ca="1" si="32"/>
        <v>#N/A</v>
      </c>
      <c r="AC98">
        <f t="shared" ca="1" si="33"/>
        <v>0</v>
      </c>
      <c r="AD98">
        <f t="shared" ca="1" si="34"/>
        <v>0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Q98">
        <v>96</v>
      </c>
      <c r="AR98">
        <f t="shared" si="37"/>
        <v>-1.2543415592118428</v>
      </c>
      <c r="AS98">
        <f t="shared" si="38"/>
        <v>11.934262744419279</v>
      </c>
    </row>
    <row r="99" spans="1:71" x14ac:dyDescent="0.25">
      <c r="A99">
        <v>63</v>
      </c>
      <c r="B99" s="5">
        <f t="shared" si="16"/>
        <v>7</v>
      </c>
      <c r="C99" s="1">
        <f t="shared" ca="1" si="43"/>
        <v>0</v>
      </c>
      <c r="D99" s="46">
        <f t="shared" si="17"/>
        <v>0</v>
      </c>
      <c r="E99" s="46">
        <f t="shared" si="18"/>
        <v>0</v>
      </c>
      <c r="F99" s="1">
        <f t="shared" ca="1" si="19"/>
        <v>3.8125</v>
      </c>
      <c r="G99" t="e">
        <f t="shared" ca="1" si="20"/>
        <v>#N/A</v>
      </c>
      <c r="H99" t="e">
        <f t="shared" ca="1" si="21"/>
        <v>#N/A</v>
      </c>
      <c r="I99" s="7">
        <f t="shared" si="22"/>
        <v>0</v>
      </c>
      <c r="J99" s="7">
        <f t="shared" si="23"/>
        <v>0</v>
      </c>
      <c r="K99">
        <f t="shared" si="24"/>
        <v>12</v>
      </c>
      <c r="L99" s="15">
        <f t="shared" ca="1" si="25"/>
        <v>0</v>
      </c>
      <c r="M99" s="9">
        <f t="shared" ca="1" si="44"/>
        <v>0</v>
      </c>
      <c r="N99" s="7">
        <f t="shared" ca="1" si="26"/>
        <v>0</v>
      </c>
      <c r="O99" s="7">
        <f t="shared" ca="1" si="27"/>
        <v>0</v>
      </c>
      <c r="P99" s="7">
        <f t="shared" ca="1" si="28"/>
        <v>0</v>
      </c>
      <c r="U99" t="e">
        <f t="shared" ca="1" si="29"/>
        <v>#N/A</v>
      </c>
      <c r="V99" t="e">
        <f t="shared" ca="1" si="30"/>
        <v>#N/A</v>
      </c>
      <c r="X99" t="e">
        <f t="shared" ca="1" si="31"/>
        <v>#N/A</v>
      </c>
      <c r="Y99" t="e">
        <f t="shared" ca="1" si="32"/>
        <v>#N/A</v>
      </c>
      <c r="AC99">
        <f t="shared" ca="1" si="33"/>
        <v>0</v>
      </c>
      <c r="AD99">
        <f t="shared" ca="1" si="34"/>
        <v>0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Q99">
        <v>97</v>
      </c>
      <c r="AR99">
        <f t="shared" si="37"/>
        <v>-1.4624321208617683</v>
      </c>
      <c r="AS99">
        <f t="shared" si="38"/>
        <v>11.910553819695865</v>
      </c>
    </row>
    <row r="100" spans="1:71" x14ac:dyDescent="0.25">
      <c r="A100">
        <v>64</v>
      </c>
      <c r="B100" s="5">
        <f t="shared" si="16"/>
        <v>7</v>
      </c>
      <c r="C100" s="1">
        <f t="shared" ca="1" si="43"/>
        <v>0</v>
      </c>
      <c r="D100" s="46">
        <f t="shared" si="17"/>
        <v>0</v>
      </c>
      <c r="E100" s="46">
        <f t="shared" si="18"/>
        <v>0</v>
      </c>
      <c r="F100" s="1">
        <f t="shared" ca="1" si="19"/>
        <v>3.8125</v>
      </c>
      <c r="G100" t="e">
        <f t="shared" ca="1" si="20"/>
        <v>#N/A</v>
      </c>
      <c r="H100" t="e">
        <f t="shared" ca="1" si="21"/>
        <v>#N/A</v>
      </c>
      <c r="I100" s="7">
        <f t="shared" si="22"/>
        <v>0</v>
      </c>
      <c r="J100" s="7">
        <f t="shared" si="23"/>
        <v>0</v>
      </c>
      <c r="K100">
        <f t="shared" si="24"/>
        <v>12</v>
      </c>
      <c r="L100" s="15">
        <f t="shared" ca="1" si="25"/>
        <v>0</v>
      </c>
      <c r="M100" s="9">
        <f t="shared" ca="1" si="44"/>
        <v>0</v>
      </c>
      <c r="N100" s="7">
        <f t="shared" ca="1" si="26"/>
        <v>0</v>
      </c>
      <c r="O100" s="7">
        <f t="shared" ca="1" si="27"/>
        <v>0</v>
      </c>
      <c r="P100" s="7">
        <f t="shared" ca="1" si="28"/>
        <v>0</v>
      </c>
      <c r="U100" t="e">
        <f t="shared" ca="1" si="29"/>
        <v>#N/A</v>
      </c>
      <c r="V100" t="e">
        <f t="shared" ca="1" si="30"/>
        <v>#N/A</v>
      </c>
      <c r="X100" t="e">
        <f t="shared" ca="1" si="31"/>
        <v>#N/A</v>
      </c>
      <c r="Y100" t="e">
        <f t="shared" ca="1" si="32"/>
        <v>#N/A</v>
      </c>
      <c r="AC100">
        <f t="shared" ca="1" si="33"/>
        <v>0</v>
      </c>
      <c r="AD100">
        <f t="shared" ca="1" si="34"/>
        <v>0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Q100">
        <v>98</v>
      </c>
      <c r="AR100">
        <f t="shared" si="37"/>
        <v>-1.6700772115207843</v>
      </c>
      <c r="AS100">
        <f t="shared" si="38"/>
        <v>11.883216824898845</v>
      </c>
    </row>
    <row r="101" spans="1:71" x14ac:dyDescent="0.25">
      <c r="A101">
        <v>65</v>
      </c>
      <c r="B101" s="5">
        <f t="shared" si="16"/>
        <v>7</v>
      </c>
      <c r="C101" s="1">
        <f t="shared" ref="C101:C108" ca="1" si="45">IF(A101&lt;=$B$31,OFFSET($Q$36,MATCH(B101,$Q$36:$Q$47,0)-1,2),0)</f>
        <v>0</v>
      </c>
      <c r="D101" s="46">
        <f t="shared" si="17"/>
        <v>0</v>
      </c>
      <c r="E101" s="46">
        <f t="shared" si="18"/>
        <v>0</v>
      </c>
      <c r="F101" s="1">
        <f t="shared" ca="1" si="19"/>
        <v>3.8125</v>
      </c>
      <c r="G101" t="e">
        <f t="shared" ca="1" si="20"/>
        <v>#N/A</v>
      </c>
      <c r="H101" t="e">
        <f t="shared" ca="1" si="21"/>
        <v>#N/A</v>
      </c>
      <c r="I101" s="7">
        <f t="shared" si="22"/>
        <v>0</v>
      </c>
      <c r="J101" s="7">
        <f t="shared" si="23"/>
        <v>0</v>
      </c>
      <c r="K101">
        <f t="shared" si="24"/>
        <v>12</v>
      </c>
      <c r="L101" s="15">
        <f t="shared" ca="1" si="25"/>
        <v>0</v>
      </c>
      <c r="M101" s="9">
        <f t="shared" ref="M101:M108" ca="1" si="46">IF(AND(L101&gt;0,K101&lt;=$B$12),MIN((L101*F$35),C$35)-IF($B$2="Whitney",$B$9,B215),MAX(L101*F$35,-1*C$35))</f>
        <v>0</v>
      </c>
      <c r="N101" s="7">
        <f t="shared" ca="1" si="26"/>
        <v>0</v>
      </c>
      <c r="O101" s="7">
        <f t="shared" ca="1" si="27"/>
        <v>0</v>
      </c>
      <c r="P101" s="7">
        <f t="shared" ca="1" si="28"/>
        <v>0</v>
      </c>
      <c r="U101" t="e">
        <f t="shared" ca="1" si="29"/>
        <v>#N/A</v>
      </c>
      <c r="V101" t="e">
        <f t="shared" ca="1" si="30"/>
        <v>#N/A</v>
      </c>
      <c r="X101" t="e">
        <f t="shared" ca="1" si="31"/>
        <v>#N/A</v>
      </c>
      <c r="Y101" t="e">
        <f t="shared" ca="1" si="32"/>
        <v>#N/A</v>
      </c>
      <c r="AC101">
        <f t="shared" ca="1" si="33"/>
        <v>0</v>
      </c>
      <c r="AD101">
        <f t="shared" ca="1" si="34"/>
        <v>0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Q101">
        <v>99</v>
      </c>
      <c r="AR101">
        <f t="shared" si="37"/>
        <v>-1.8772135804827697</v>
      </c>
      <c r="AS101">
        <f t="shared" si="38"/>
        <v>11.852260087141653</v>
      </c>
    </row>
    <row r="102" spans="1:71" x14ac:dyDescent="0.25">
      <c r="A102">
        <v>66</v>
      </c>
      <c r="B102" s="5">
        <f t="shared" ref="B102:B108" si="47">$B$30</f>
        <v>7</v>
      </c>
      <c r="C102" s="1">
        <f t="shared" ca="1" si="45"/>
        <v>0</v>
      </c>
      <c r="D102" s="46">
        <f t="shared" ref="D102:D108" si="48">IF($E$32*(A102-1)&gt;=360,0,(($B$3-F102)*COS(RADIANS(($E$32*(A102-1))+$E$30))))</f>
        <v>0</v>
      </c>
      <c r="E102" s="46">
        <f t="shared" ref="E102:E108" si="49">IF($E$32*(A102-1)&gt;=360,0,($B$3-F102)*SIN(RADIANS(($E$32*(A102-1))+$E$30)))</f>
        <v>0</v>
      </c>
      <c r="F102" s="1">
        <f t="shared" ref="F102:F108" ca="1" si="50">$E$31+(OFFSET($Q$36,MATCH(B102,$Q$36:$Q$47,0)-1,1)/2)</f>
        <v>3.8125</v>
      </c>
      <c r="G102" t="e">
        <f t="shared" ref="G102:G108" ca="1" si="51">IF(C102=0,NA(),D102)</f>
        <v>#N/A</v>
      </c>
      <c r="H102" t="e">
        <f t="shared" ref="H102:H108" ca="1" si="52">IF(C102=0,NA(),E102)</f>
        <v>#N/A</v>
      </c>
      <c r="I102" s="7">
        <f t="shared" ref="I102:I108" si="53">D102*COS(-1*$B$10)-E102*SIN(-1*$B$10)</f>
        <v>0</v>
      </c>
      <c r="J102" s="7">
        <f t="shared" ref="J102:J108" si="54">D102*SIN(-1*$B$10)+E102*COS(-1*$B$10)</f>
        <v>0</v>
      </c>
      <c r="K102">
        <f t="shared" ref="K102:K108" si="55">IF(B102=0,0,$B$3-J102)</f>
        <v>12</v>
      </c>
      <c r="L102" s="15">
        <f t="shared" ref="L102:L108" ca="1" si="56">IF($B$11&lt;=0,-1,IF(C102=0,0,(($B$11-K102)/$B$11)*$B$13)*IF($B$11&lt;0,-1,1))</f>
        <v>0</v>
      </c>
      <c r="M102" s="9">
        <f t="shared" ca="1" si="46"/>
        <v>0</v>
      </c>
      <c r="N102" s="7">
        <f t="shared" ref="N102:N108" ca="1" si="57">M102*C102</f>
        <v>0</v>
      </c>
      <c r="O102" s="7">
        <f t="shared" ref="O102:O108" ca="1" si="58">N102*J102</f>
        <v>0</v>
      </c>
      <c r="P102" s="7">
        <f t="shared" ref="P102:P108" ca="1" si="59">-1*N102*I102</f>
        <v>0</v>
      </c>
      <c r="U102" t="e">
        <f t="shared" ref="U102:U108" ca="1" si="60">IF(AND(N102&lt;0,C102&gt;0),D102,NA())</f>
        <v>#N/A</v>
      </c>
      <c r="V102" t="e">
        <f t="shared" ref="V102:V108" ca="1" si="61">IF(AND(N102&lt;0,C102&gt;0),E102,NA())</f>
        <v>#N/A</v>
      </c>
      <c r="X102" t="e">
        <f t="shared" ref="X102:X108" ca="1" si="62">IF(AND(N102&gt;=0,C102&gt;0),D102,NA())</f>
        <v>#N/A</v>
      </c>
      <c r="Y102" t="e">
        <f t="shared" ref="Y102:Y108" ca="1" si="63">IF(AND(N102&gt;=0,C102&gt;0),E102,NA())</f>
        <v>#N/A</v>
      </c>
      <c r="AC102">
        <f t="shared" ref="AC102:AC108" ca="1" si="64">IF(N102=0,0,N102*E102)</f>
        <v>0</v>
      </c>
      <c r="AD102">
        <f t="shared" ref="AD102:AD108" ca="1" si="65">IF(N102=0,0,-1*N102*D102)</f>
        <v>0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Q102">
        <v>100</v>
      </c>
      <c r="AR102">
        <f t="shared" si="37"/>
        <v>-2.0837781320031636</v>
      </c>
      <c r="AS102">
        <f t="shared" si="38"/>
        <v>11.817693036146496</v>
      </c>
    </row>
    <row r="103" spans="1:71" x14ac:dyDescent="0.25">
      <c r="A103">
        <v>67</v>
      </c>
      <c r="B103" s="5">
        <f t="shared" si="47"/>
        <v>7</v>
      </c>
      <c r="C103" s="1">
        <f t="shared" ca="1" si="45"/>
        <v>0</v>
      </c>
      <c r="D103" s="46">
        <f t="shared" si="48"/>
        <v>0</v>
      </c>
      <c r="E103" s="46">
        <f t="shared" si="49"/>
        <v>0</v>
      </c>
      <c r="F103" s="1">
        <f t="shared" ca="1" si="50"/>
        <v>3.8125</v>
      </c>
      <c r="G103" t="e">
        <f t="shared" ca="1" si="51"/>
        <v>#N/A</v>
      </c>
      <c r="H103" t="e">
        <f t="shared" ca="1" si="52"/>
        <v>#N/A</v>
      </c>
      <c r="I103" s="7">
        <f t="shared" si="53"/>
        <v>0</v>
      </c>
      <c r="J103" s="7">
        <f t="shared" si="54"/>
        <v>0</v>
      </c>
      <c r="K103">
        <f t="shared" si="55"/>
        <v>12</v>
      </c>
      <c r="L103" s="15">
        <f t="shared" ca="1" si="56"/>
        <v>0</v>
      </c>
      <c r="M103" s="9">
        <f t="shared" ca="1" si="46"/>
        <v>0</v>
      </c>
      <c r="N103" s="7">
        <f t="shared" ca="1" si="57"/>
        <v>0</v>
      </c>
      <c r="O103" s="7">
        <f t="shared" ca="1" si="58"/>
        <v>0</v>
      </c>
      <c r="P103" s="7">
        <f t="shared" ca="1" si="59"/>
        <v>0</v>
      </c>
      <c r="U103" t="e">
        <f t="shared" ca="1" si="60"/>
        <v>#N/A</v>
      </c>
      <c r="V103" t="e">
        <f t="shared" ca="1" si="61"/>
        <v>#N/A</v>
      </c>
      <c r="X103" t="e">
        <f t="shared" ca="1" si="62"/>
        <v>#N/A</v>
      </c>
      <c r="Y103" t="e">
        <f t="shared" ca="1" si="63"/>
        <v>#N/A</v>
      </c>
      <c r="AC103">
        <f t="shared" ca="1" si="64"/>
        <v>0</v>
      </c>
      <c r="AD103">
        <f t="shared" ca="1" si="65"/>
        <v>0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Q103">
        <v>101</v>
      </c>
      <c r="AR103">
        <f t="shared" si="37"/>
        <v>-2.2897079445185375</v>
      </c>
      <c r="AS103">
        <f t="shared" si="38"/>
        <v>11.779526201371969</v>
      </c>
    </row>
    <row r="104" spans="1:71" x14ac:dyDescent="0.25">
      <c r="A104">
        <v>68</v>
      </c>
      <c r="B104" s="5">
        <f t="shared" si="47"/>
        <v>7</v>
      </c>
      <c r="C104" s="1">
        <f t="shared" ca="1" si="45"/>
        <v>0</v>
      </c>
      <c r="D104" s="46">
        <f t="shared" si="48"/>
        <v>0</v>
      </c>
      <c r="E104" s="46">
        <f t="shared" si="49"/>
        <v>0</v>
      </c>
      <c r="F104" s="1">
        <f t="shared" ca="1" si="50"/>
        <v>3.8125</v>
      </c>
      <c r="G104" t="e">
        <f t="shared" ca="1" si="51"/>
        <v>#N/A</v>
      </c>
      <c r="H104" t="e">
        <f t="shared" ca="1" si="52"/>
        <v>#N/A</v>
      </c>
      <c r="I104" s="7">
        <f t="shared" si="53"/>
        <v>0</v>
      </c>
      <c r="J104" s="7">
        <f t="shared" si="54"/>
        <v>0</v>
      </c>
      <c r="K104">
        <f t="shared" si="55"/>
        <v>12</v>
      </c>
      <c r="L104" s="15">
        <f t="shared" ca="1" si="56"/>
        <v>0</v>
      </c>
      <c r="M104" s="9">
        <f t="shared" ca="1" si="46"/>
        <v>0</v>
      </c>
      <c r="N104" s="7">
        <f t="shared" ca="1" si="57"/>
        <v>0</v>
      </c>
      <c r="O104" s="7">
        <f t="shared" ca="1" si="58"/>
        <v>0</v>
      </c>
      <c r="P104" s="7">
        <f t="shared" ca="1" si="59"/>
        <v>0</v>
      </c>
      <c r="U104" t="e">
        <f t="shared" ca="1" si="60"/>
        <v>#N/A</v>
      </c>
      <c r="V104" t="e">
        <f t="shared" ca="1" si="61"/>
        <v>#N/A</v>
      </c>
      <c r="X104" t="e">
        <f t="shared" ca="1" si="62"/>
        <v>#N/A</v>
      </c>
      <c r="Y104" t="e">
        <f t="shared" ca="1" si="63"/>
        <v>#N/A</v>
      </c>
      <c r="AC104">
        <f t="shared" ca="1" si="64"/>
        <v>0</v>
      </c>
      <c r="AD104">
        <f t="shared" ca="1" si="65"/>
        <v>0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Q104">
        <v>102</v>
      </c>
      <c r="AR104">
        <f t="shared" si="37"/>
        <v>-2.4949402898131119</v>
      </c>
      <c r="AS104">
        <f t="shared" si="38"/>
        <v>11.737771208805668</v>
      </c>
      <c r="AV104">
        <v>1040.0152014705741</v>
      </c>
      <c r="AW104">
        <v>120.00065210499271</v>
      </c>
      <c r="AX104">
        <v>120.0006521049927</v>
      </c>
      <c r="AY104">
        <f t="shared" ref="AY104:AY105" si="66">SQRT(POWER(AW104,2)+POWER(AX104,2))</f>
        <v>169.70654970049617</v>
      </c>
      <c r="BF104">
        <v>1040.0152014705741</v>
      </c>
      <c r="BG104">
        <v>64.936681004169557</v>
      </c>
      <c r="BH104">
        <v>155.84803441000696</v>
      </c>
      <c r="BI104">
        <f t="shared" ref="BI104:BI105" si="67">SQRT(POWER(BG104,2)+POWER(BH104,2))</f>
        <v>168.83537061084087</v>
      </c>
      <c r="BP104">
        <v>1040.0152014705741</v>
      </c>
      <c r="BQ104">
        <v>2.2540280342227293E-16</v>
      </c>
      <c r="BR104">
        <v>169.70654970049617</v>
      </c>
      <c r="BS104">
        <f t="shared" ref="BS104" si="68">SQRT(POWER(BQ104,2)+POWER(BR104,2))*-1</f>
        <v>-169.70654970049617</v>
      </c>
    </row>
    <row r="105" spans="1:71" x14ac:dyDescent="0.25">
      <c r="A105">
        <v>69</v>
      </c>
      <c r="B105" s="5">
        <f t="shared" si="47"/>
        <v>7</v>
      </c>
      <c r="C105" s="1">
        <f t="shared" ca="1" si="45"/>
        <v>0</v>
      </c>
      <c r="D105" s="46">
        <f t="shared" si="48"/>
        <v>0</v>
      </c>
      <c r="E105" s="46">
        <f t="shared" si="49"/>
        <v>0</v>
      </c>
      <c r="F105" s="1">
        <f t="shared" ca="1" si="50"/>
        <v>3.8125</v>
      </c>
      <c r="G105" t="e">
        <f t="shared" ca="1" si="51"/>
        <v>#N/A</v>
      </c>
      <c r="H105" t="e">
        <f t="shared" ca="1" si="52"/>
        <v>#N/A</v>
      </c>
      <c r="I105" s="7">
        <f t="shared" si="53"/>
        <v>0</v>
      </c>
      <c r="J105" s="7">
        <f t="shared" si="54"/>
        <v>0</v>
      </c>
      <c r="K105">
        <f t="shared" si="55"/>
        <v>12</v>
      </c>
      <c r="L105" s="15">
        <f t="shared" ca="1" si="56"/>
        <v>0</v>
      </c>
      <c r="M105" s="9">
        <f t="shared" ca="1" si="46"/>
        <v>0</v>
      </c>
      <c r="N105" s="7">
        <f t="shared" ca="1" si="57"/>
        <v>0</v>
      </c>
      <c r="O105" s="7">
        <f t="shared" ca="1" si="58"/>
        <v>0</v>
      </c>
      <c r="P105" s="7">
        <f t="shared" ca="1" si="59"/>
        <v>0</v>
      </c>
      <c r="U105" t="e">
        <f t="shared" ca="1" si="60"/>
        <v>#N/A</v>
      </c>
      <c r="V105" t="e">
        <f t="shared" ca="1" si="61"/>
        <v>#N/A</v>
      </c>
      <c r="X105" t="e">
        <f t="shared" ca="1" si="62"/>
        <v>#N/A</v>
      </c>
      <c r="Y105" t="e">
        <f t="shared" ca="1" si="63"/>
        <v>#N/A</v>
      </c>
      <c r="AC105">
        <f t="shared" ca="1" si="64"/>
        <v>0</v>
      </c>
      <c r="AD105">
        <f t="shared" ca="1" si="65"/>
        <v>0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Q105">
        <v>103</v>
      </c>
      <c r="AR105">
        <f t="shared" si="37"/>
        <v>-2.6994126521263802</v>
      </c>
      <c r="AS105">
        <f t="shared" si="38"/>
        <v>11.692440777422823</v>
      </c>
      <c r="AV105">
        <f>AV104</f>
        <v>1040.0152014705741</v>
      </c>
      <c r="AW105">
        <v>0</v>
      </c>
      <c r="AX105">
        <v>0</v>
      </c>
      <c r="AY105">
        <f t="shared" si="66"/>
        <v>0</v>
      </c>
      <c r="BF105">
        <f>BF104</f>
        <v>1040.0152014705741</v>
      </c>
      <c r="BG105">
        <v>0</v>
      </c>
      <c r="BH105">
        <v>0</v>
      </c>
      <c r="BI105">
        <f t="shared" si="67"/>
        <v>0</v>
      </c>
      <c r="BP105">
        <f>BP104</f>
        <v>1040.0152014705741</v>
      </c>
      <c r="BQ105">
        <v>0</v>
      </c>
      <c r="BR105">
        <v>0</v>
      </c>
      <c r="BS105">
        <v>0</v>
      </c>
    </row>
    <row r="106" spans="1:71" x14ac:dyDescent="0.25">
      <c r="A106">
        <v>70</v>
      </c>
      <c r="B106" s="5">
        <f t="shared" si="47"/>
        <v>7</v>
      </c>
      <c r="C106" s="1">
        <f t="shared" ca="1" si="45"/>
        <v>0</v>
      </c>
      <c r="D106" s="46">
        <f t="shared" si="48"/>
        <v>0</v>
      </c>
      <c r="E106" s="46">
        <f t="shared" si="49"/>
        <v>0</v>
      </c>
      <c r="F106" s="1">
        <f t="shared" ca="1" si="50"/>
        <v>3.8125</v>
      </c>
      <c r="G106" t="e">
        <f t="shared" ca="1" si="51"/>
        <v>#N/A</v>
      </c>
      <c r="H106" t="e">
        <f t="shared" ca="1" si="52"/>
        <v>#N/A</v>
      </c>
      <c r="I106" s="7">
        <f t="shared" si="53"/>
        <v>0</v>
      </c>
      <c r="J106" s="7">
        <f t="shared" si="54"/>
        <v>0</v>
      </c>
      <c r="K106">
        <f t="shared" si="55"/>
        <v>12</v>
      </c>
      <c r="L106" s="15">
        <f t="shared" ca="1" si="56"/>
        <v>0</v>
      </c>
      <c r="M106" s="9">
        <f t="shared" ca="1" si="46"/>
        <v>0</v>
      </c>
      <c r="N106" s="7">
        <f t="shared" ca="1" si="57"/>
        <v>0</v>
      </c>
      <c r="O106" s="7">
        <f t="shared" ca="1" si="58"/>
        <v>0</v>
      </c>
      <c r="P106" s="7">
        <f t="shared" ca="1" si="59"/>
        <v>0</v>
      </c>
      <c r="U106" t="e">
        <f t="shared" ca="1" si="60"/>
        <v>#N/A</v>
      </c>
      <c r="V106" t="e">
        <f t="shared" ca="1" si="61"/>
        <v>#N/A</v>
      </c>
      <c r="X106" t="e">
        <f t="shared" ca="1" si="62"/>
        <v>#N/A</v>
      </c>
      <c r="Y106" t="e">
        <f t="shared" ca="1" si="63"/>
        <v>#N/A</v>
      </c>
      <c r="AC106">
        <f t="shared" ca="1" si="64"/>
        <v>0</v>
      </c>
      <c r="AD106">
        <f t="shared" ca="1" si="65"/>
        <v>0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Q106">
        <v>104</v>
      </c>
      <c r="AR106">
        <f t="shared" si="37"/>
        <v>-2.9030627471960133</v>
      </c>
      <c r="AS106">
        <f t="shared" si="38"/>
        <v>11.643548715311958</v>
      </c>
    </row>
    <row r="107" spans="1:71" x14ac:dyDescent="0.25">
      <c r="A107">
        <v>71</v>
      </c>
      <c r="B107" s="5">
        <f t="shared" si="47"/>
        <v>7</v>
      </c>
      <c r="C107" s="1">
        <f t="shared" ca="1" si="45"/>
        <v>0</v>
      </c>
      <c r="D107" s="46">
        <f t="shared" si="48"/>
        <v>0</v>
      </c>
      <c r="E107" s="46">
        <f t="shared" si="49"/>
        <v>0</v>
      </c>
      <c r="F107" s="1">
        <f t="shared" ca="1" si="50"/>
        <v>3.8125</v>
      </c>
      <c r="G107" t="e">
        <f t="shared" ca="1" si="51"/>
        <v>#N/A</v>
      </c>
      <c r="H107" t="e">
        <f t="shared" ca="1" si="52"/>
        <v>#N/A</v>
      </c>
      <c r="I107" s="7">
        <f t="shared" si="53"/>
        <v>0</v>
      </c>
      <c r="J107" s="7">
        <f t="shared" si="54"/>
        <v>0</v>
      </c>
      <c r="K107">
        <f t="shared" si="55"/>
        <v>12</v>
      </c>
      <c r="L107" s="15">
        <f t="shared" ca="1" si="56"/>
        <v>0</v>
      </c>
      <c r="M107" s="9">
        <f t="shared" ca="1" si="46"/>
        <v>0</v>
      </c>
      <c r="N107" s="7">
        <f t="shared" ca="1" si="57"/>
        <v>0</v>
      </c>
      <c r="O107" s="7">
        <f t="shared" ca="1" si="58"/>
        <v>0</v>
      </c>
      <c r="P107" s="7">
        <f t="shared" ca="1" si="59"/>
        <v>0</v>
      </c>
      <c r="U107" t="e">
        <f t="shared" ca="1" si="60"/>
        <v>#N/A</v>
      </c>
      <c r="V107" t="e">
        <f t="shared" ca="1" si="61"/>
        <v>#N/A</v>
      </c>
      <c r="X107" t="e">
        <f t="shared" ca="1" si="62"/>
        <v>#N/A</v>
      </c>
      <c r="Y107" t="e">
        <f t="shared" ca="1" si="63"/>
        <v>#N/A</v>
      </c>
      <c r="AC107">
        <f t="shared" ca="1" si="64"/>
        <v>0</v>
      </c>
      <c r="AD107">
        <f t="shared" ca="1" si="65"/>
        <v>0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Q107">
        <v>105</v>
      </c>
      <c r="AR107">
        <f t="shared" si="37"/>
        <v>-3.1058285412302502</v>
      </c>
      <c r="AS107">
        <f t="shared" si="38"/>
        <v>11.59110991546882</v>
      </c>
    </row>
    <row r="108" spans="1:71" ht="15.75" thickBot="1" x14ac:dyDescent="0.3">
      <c r="A108">
        <v>72</v>
      </c>
      <c r="B108" s="5">
        <f t="shared" si="47"/>
        <v>7</v>
      </c>
      <c r="C108" s="12">
        <f t="shared" ca="1" si="45"/>
        <v>0</v>
      </c>
      <c r="D108" s="46">
        <f t="shared" si="48"/>
        <v>0</v>
      </c>
      <c r="E108" s="46">
        <f t="shared" si="49"/>
        <v>0</v>
      </c>
      <c r="F108" s="1">
        <f t="shared" ca="1" si="50"/>
        <v>3.8125</v>
      </c>
      <c r="G108" t="e">
        <f t="shared" ca="1" si="51"/>
        <v>#N/A</v>
      </c>
      <c r="H108" t="e">
        <f t="shared" ca="1" si="52"/>
        <v>#N/A</v>
      </c>
      <c r="I108" s="7">
        <f t="shared" si="53"/>
        <v>0</v>
      </c>
      <c r="J108" s="7">
        <f t="shared" si="54"/>
        <v>0</v>
      </c>
      <c r="K108">
        <f t="shared" si="55"/>
        <v>12</v>
      </c>
      <c r="L108" s="15">
        <f t="shared" ca="1" si="56"/>
        <v>0</v>
      </c>
      <c r="M108" s="9">
        <f t="shared" ca="1" si="46"/>
        <v>0</v>
      </c>
      <c r="N108" s="7">
        <f t="shared" ca="1" si="57"/>
        <v>0</v>
      </c>
      <c r="O108" s="7">
        <f t="shared" ca="1" si="58"/>
        <v>0</v>
      </c>
      <c r="P108" s="7">
        <f t="shared" ca="1" si="59"/>
        <v>0</v>
      </c>
      <c r="U108" t="e">
        <f t="shared" ca="1" si="60"/>
        <v>#N/A</v>
      </c>
      <c r="V108" t="e">
        <f t="shared" ca="1" si="61"/>
        <v>#N/A</v>
      </c>
      <c r="X108" t="e">
        <f t="shared" ca="1" si="62"/>
        <v>#N/A</v>
      </c>
      <c r="Y108" t="e">
        <f t="shared" ca="1" si="63"/>
        <v>#N/A</v>
      </c>
      <c r="AC108">
        <f t="shared" ca="1" si="64"/>
        <v>0</v>
      </c>
      <c r="AD108">
        <f t="shared" ca="1" si="65"/>
        <v>0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Q108">
        <v>106</v>
      </c>
      <c r="AR108">
        <f t="shared" si="37"/>
        <v>-3.3076482698039884</v>
      </c>
      <c r="AS108">
        <f t="shared" si="38"/>
        <v>11.535140351259827</v>
      </c>
    </row>
    <row r="109" spans="1:71" ht="15.75" thickTop="1" x14ac:dyDescent="0.25">
      <c r="C109" s="13">
        <f ca="1">SUM(C37:C108)</f>
        <v>4.8</v>
      </c>
      <c r="L109" s="15">
        <f ca="1">MIN(L37:L108)</f>
        <v>-6.6992234710278441E-3</v>
      </c>
      <c r="M109" s="9"/>
      <c r="N109" s="7">
        <f ca="1">SUM(N37:N108)</f>
        <v>-161.40730371561818</v>
      </c>
      <c r="O109" s="7">
        <f t="shared" ref="O109:P109" ca="1" si="69">SUM(O37:O108)</f>
        <v>862.47422036756382</v>
      </c>
      <c r="P109" s="7">
        <f t="shared" ca="1" si="69"/>
        <v>0</v>
      </c>
      <c r="AC109" s="7">
        <f ca="1">SUM(AC37:AC108)</f>
        <v>609.86136982048515</v>
      </c>
      <c r="AD109" s="7">
        <f t="shared" ref="AD109" ca="1" si="70">SUM(AD37:AD108)</f>
        <v>609.86136982048492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Q109">
        <v>107</v>
      </c>
      <c r="AR109">
        <f t="shared" si="37"/>
        <v>-3.5084604566728399</v>
      </c>
      <c r="AS109">
        <f t="shared" si="38"/>
        <v>11.475657071556427</v>
      </c>
    </row>
    <row r="110" spans="1:71" x14ac:dyDescent="0.25">
      <c r="M110" s="9"/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Q110">
        <v>108</v>
      </c>
      <c r="AR110">
        <f t="shared" si="37"/>
        <v>-3.7082039324993681</v>
      </c>
      <c r="AS110">
        <f t="shared" si="38"/>
        <v>11.412678195541844</v>
      </c>
    </row>
    <row r="111" spans="1:71" x14ac:dyDescent="0.25">
      <c r="M111" s="9"/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Q111">
        <v>109</v>
      </c>
      <c r="AR111">
        <f t="shared" si="37"/>
        <v>-3.9068178534858795</v>
      </c>
      <c r="AS111">
        <f t="shared" si="38"/>
        <v>11.346222907191802</v>
      </c>
    </row>
    <row r="112" spans="1:71" x14ac:dyDescent="0.25">
      <c r="A112" t="s">
        <v>21</v>
      </c>
      <c r="B112" s="10">
        <f ca="1">H31+N109</f>
        <v>111.11111111105424</v>
      </c>
      <c r="M112" s="9"/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Q112">
        <v>110</v>
      </c>
      <c r="AR112">
        <f t="shared" si="37"/>
        <v>-4.1042417199080248</v>
      </c>
      <c r="AS112">
        <f t="shared" si="38"/>
        <v>11.276311449430901</v>
      </c>
    </row>
    <row r="113" spans="1:45" x14ac:dyDescent="0.25">
      <c r="A113" t="s">
        <v>56</v>
      </c>
      <c r="B113" s="10">
        <f ca="1">I31+O109</f>
        <v>3302.2046150523643</v>
      </c>
      <c r="M113" s="9"/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Q113">
        <v>111</v>
      </c>
      <c r="AR113">
        <f t="shared" si="37"/>
        <v>-4.3004153945436032</v>
      </c>
      <c r="AS113">
        <f t="shared" si="38"/>
        <v>11.202965117966421</v>
      </c>
    </row>
    <row r="114" spans="1:45" x14ac:dyDescent="0.25">
      <c r="A114" t="s">
        <v>57</v>
      </c>
      <c r="B114" s="10">
        <f ca="1">J31+P109</f>
        <v>0</v>
      </c>
      <c r="M114" s="9"/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Q114">
        <v>112</v>
      </c>
      <c r="AR114">
        <f t="shared" si="37"/>
        <v>-4.4952791209909453</v>
      </c>
      <c r="AS114">
        <f t="shared" si="38"/>
        <v>11.126206254801449</v>
      </c>
    </row>
    <row r="115" spans="1:45" x14ac:dyDescent="0.25">
      <c r="M115" s="9"/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Q115">
        <v>113</v>
      </c>
      <c r="AR115">
        <f t="shared" si="37"/>
        <v>-4.688773541871285</v>
      </c>
      <c r="AS115">
        <f t="shared" si="38"/>
        <v>11.046058241429282</v>
      </c>
    </row>
    <row r="116" spans="1:45" x14ac:dyDescent="0.25">
      <c r="A116" s="2" t="s">
        <v>58</v>
      </c>
      <c r="B116">
        <f ca="1">((B113*COS(B10))-(B114*SIN(B10)))</f>
        <v>2335.0112761690398</v>
      </c>
      <c r="C116" t="s">
        <v>59</v>
      </c>
      <c r="E116">
        <f>((I31*COS(B10))-(J31*SIN(B10)))</f>
        <v>1725.1499063485546</v>
      </c>
      <c r="F116" s="10">
        <f ca="1">E116+AC109</f>
        <v>2335.0112761690398</v>
      </c>
      <c r="H116">
        <f ca="1">((O109*COS(B10))-(P109*SIN(B10)))</f>
        <v>609.86136982048515</v>
      </c>
      <c r="I116">
        <f ca="1">E116+H116</f>
        <v>2335.0112761690398</v>
      </c>
      <c r="M116" s="9"/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Q116">
        <v>114</v>
      </c>
      <c r="AR116">
        <f t="shared" si="37"/>
        <v>-4.8808397169096036</v>
      </c>
      <c r="AS116">
        <f t="shared" si="38"/>
        <v>10.962545491711211</v>
      </c>
    </row>
    <row r="117" spans="1:45" x14ac:dyDescent="0.25">
      <c r="A117" s="2" t="s">
        <v>60</v>
      </c>
      <c r="B117">
        <f ca="1">((B113)*SIN(B10))+((B114)*COS(B10))</f>
        <v>2335.0112761690393</v>
      </c>
      <c r="C117" t="s">
        <v>59</v>
      </c>
      <c r="E117">
        <f>((I31)*SIN(B10))+((J31)*COS(B10))</f>
        <v>1725.1499063485544</v>
      </c>
      <c r="F117" s="10">
        <f ca="1">E117+AD109</f>
        <v>2335.0112761690393</v>
      </c>
      <c r="H117">
        <f ca="1">((O109)*SIN(B10))+((P109)*COS(B10))</f>
        <v>609.86136982048504</v>
      </c>
      <c r="I117">
        <f ca="1">E117+H117</f>
        <v>2335.0112761690393</v>
      </c>
      <c r="M117" s="9"/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Q117">
        <v>115</v>
      </c>
      <c r="AR117">
        <f t="shared" si="37"/>
        <v>-5.0714191408883922</v>
      </c>
      <c r="AS117">
        <f t="shared" si="38"/>
        <v>10.875693444439801</v>
      </c>
    </row>
    <row r="118" spans="1:45" x14ac:dyDescent="0.25">
      <c r="M118" s="9"/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Q118">
        <v>116</v>
      </c>
      <c r="AR118">
        <f t="shared" si="37"/>
        <v>-5.2604537614689306</v>
      </c>
      <c r="AS118">
        <f t="shared" si="38"/>
        <v>10.785528555590004</v>
      </c>
    </row>
    <row r="119" spans="1:45" x14ac:dyDescent="0.25">
      <c r="M119" s="9"/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Q119">
        <v>117</v>
      </c>
      <c r="AR119">
        <f t="shared" si="37"/>
        <v>-5.4478859968745601</v>
      </c>
      <c r="AS119">
        <f t="shared" si="38"/>
        <v>10.692078290260415</v>
      </c>
    </row>
    <row r="120" spans="1:45" x14ac:dyDescent="0.25">
      <c r="A120" t="s">
        <v>107</v>
      </c>
      <c r="M120" s="9"/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Q120">
        <v>118</v>
      </c>
      <c r="AR120">
        <f t="shared" si="37"/>
        <v>-5.6336587534306908</v>
      </c>
      <c r="AS120">
        <f t="shared" si="38"/>
        <v>10.595371114307122</v>
      </c>
    </row>
    <row r="121" spans="1:45" ht="18" x14ac:dyDescent="0.35">
      <c r="A121" t="s">
        <v>85</v>
      </c>
      <c r="B121" t="s">
        <v>86</v>
      </c>
      <c r="M121" s="9"/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Q121">
        <v>119</v>
      </c>
      <c r="AR121">
        <f t="shared" si="37"/>
        <v>-5.817715442956044</v>
      </c>
      <c r="AS121">
        <f t="shared" si="38"/>
        <v>10.49543648567275</v>
      </c>
    </row>
    <row r="122" spans="1:45" ht="18" x14ac:dyDescent="0.35">
      <c r="A122" t="s">
        <v>87</v>
      </c>
      <c r="B122" t="s">
        <v>88</v>
      </c>
      <c r="M122" s="9"/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Q122">
        <v>120</v>
      </c>
      <c r="AR122">
        <f t="shared" si="37"/>
        <v>-5.9999999999999973</v>
      </c>
      <c r="AS122">
        <f t="shared" si="38"/>
        <v>10.392304845413264</v>
      </c>
    </row>
    <row r="123" spans="1:45" ht="18" x14ac:dyDescent="0.35">
      <c r="A123" t="s">
        <v>89</v>
      </c>
      <c r="M123" s="9"/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Q123">
        <v>121</v>
      </c>
      <c r="AR123">
        <f t="shared" si="37"/>
        <v>-6.1804568989206512</v>
      </c>
      <c r="AS123">
        <f t="shared" si="38"/>
        <v>10.286007608425347</v>
      </c>
    </row>
    <row r="124" spans="1:45" ht="18.75" x14ac:dyDescent="0.35">
      <c r="A124" t="s">
        <v>90</v>
      </c>
      <c r="B124" t="s">
        <v>91</v>
      </c>
      <c r="M124" s="9"/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Q124">
        <v>122</v>
      </c>
      <c r="AR124">
        <f t="shared" si="37"/>
        <v>-6.3590311707984579</v>
      </c>
      <c r="AS124">
        <f t="shared" si="38"/>
        <v>10.176577153877112</v>
      </c>
    </row>
    <row r="125" spans="1:45" x14ac:dyDescent="0.25">
      <c r="M125" s="9"/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Q125">
        <v>123</v>
      </c>
      <c r="AR125">
        <f t="shared" si="37"/>
        <v>-6.5356684201803255</v>
      </c>
      <c r="AS125">
        <f t="shared" si="38"/>
        <v>10.064046815345087</v>
      </c>
    </row>
    <row r="126" spans="1:45" x14ac:dyDescent="0.25">
      <c r="A126" t="s">
        <v>92</v>
      </c>
      <c r="B126" s="4">
        <f>B5*1000</f>
        <v>4500</v>
      </c>
      <c r="C126" t="s">
        <v>93</v>
      </c>
      <c r="M126" s="9"/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Q126">
        <v>124</v>
      </c>
      <c r="AR126">
        <f t="shared" si="37"/>
        <v>-6.7103148416489606</v>
      </c>
      <c r="AS126">
        <f t="shared" si="38"/>
        <v>9.9484508706605013</v>
      </c>
    </row>
    <row r="127" spans="1:45" x14ac:dyDescent="0.25">
      <c r="A127" t="s">
        <v>3</v>
      </c>
      <c r="B127" s="4">
        <f>B7*1000</f>
        <v>3865202.0403207894</v>
      </c>
      <c r="C127" t="s">
        <v>93</v>
      </c>
      <c r="M127" s="9"/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Q127">
        <v>125</v>
      </c>
      <c r="AR127">
        <f t="shared" si="37"/>
        <v>-6.8829172362125544</v>
      </c>
      <c r="AS127">
        <f t="shared" si="38"/>
        <v>9.8298245314678994</v>
      </c>
    </row>
    <row r="128" spans="1:45" ht="18" x14ac:dyDescent="0.35">
      <c r="A128" t="s">
        <v>85</v>
      </c>
      <c r="B128" s="1">
        <f>(2*0.85*B126)/B127</f>
        <v>1.9791979617616818E-3</v>
      </c>
      <c r="C128" t="s">
        <v>94</v>
      </c>
      <c r="M128" s="9"/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Q128">
        <v>126</v>
      </c>
      <c r="AR128">
        <f t="shared" si="37"/>
        <v>-7.0534230275096768</v>
      </c>
      <c r="AS128">
        <f t="shared" si="38"/>
        <v>9.7082039324993694</v>
      </c>
    </row>
    <row r="129" spans="1:45" ht="18" x14ac:dyDescent="0.35">
      <c r="A129" t="s">
        <v>95</v>
      </c>
      <c r="B129" s="1">
        <v>3.0000000000000001E-3</v>
      </c>
      <c r="C129" t="s">
        <v>94</v>
      </c>
      <c r="M129" s="9"/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Q129">
        <v>127</v>
      </c>
      <c r="AR129">
        <f t="shared" si="37"/>
        <v>-7.2217802778245801</v>
      </c>
      <c r="AS129">
        <f t="shared" si="38"/>
        <v>9.5836261205675122</v>
      </c>
    </row>
    <row r="130" spans="1:45" ht="18" x14ac:dyDescent="0.35">
      <c r="A130" t="s">
        <v>96</v>
      </c>
      <c r="B130" s="1">
        <f>B129/B128</f>
        <v>1.5157655060081527</v>
      </c>
      <c r="C130" t="s">
        <v>97</v>
      </c>
      <c r="M130" s="9"/>
      <c r="Q130">
        <f>1.80832-SIN(1.80832)</f>
        <v>0.83639637458165028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Q130">
        <v>128</v>
      </c>
      <c r="AR130">
        <f t="shared" si="37"/>
        <v>-7.3879377039078999</v>
      </c>
      <c r="AS130">
        <f t="shared" si="38"/>
        <v>9.4561290432806651</v>
      </c>
    </row>
    <row r="131" spans="1:45" ht="18" x14ac:dyDescent="0.35">
      <c r="A131" t="s">
        <v>98</v>
      </c>
      <c r="B131" s="7">
        <f>B3</f>
        <v>12</v>
      </c>
      <c r="C131" t="s">
        <v>0</v>
      </c>
      <c r="M131" s="9"/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Q131">
        <v>129</v>
      </c>
      <c r="AR131">
        <f t="shared" ref="AR131:AR194" si="71">$B$3*COS(RADIANS(AQ131))</f>
        <v>-7.5518446925980474</v>
      </c>
      <c r="AS131">
        <f t="shared" ref="AS131:AS194" si="72">$B$3*SIN(RADIANS(AQ131))</f>
        <v>9.3257515374836526</v>
      </c>
    </row>
    <row r="132" spans="1:45" x14ac:dyDescent="0.25">
      <c r="B132" s="1"/>
      <c r="M132" s="9"/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Q132">
        <v>130</v>
      </c>
      <c r="AR132">
        <f t="shared" si="71"/>
        <v>-7.7134513162384728</v>
      </c>
      <c r="AS132">
        <f t="shared" si="72"/>
        <v>9.1925333174277366</v>
      </c>
    </row>
    <row r="133" spans="1:45" x14ac:dyDescent="0.25">
      <c r="A133" t="s">
        <v>99</v>
      </c>
      <c r="B133" s="9">
        <f>B11</f>
        <v>6.244056566064673</v>
      </c>
      <c r="C133" t="s">
        <v>0</v>
      </c>
      <c r="D133" t="s">
        <v>100</v>
      </c>
      <c r="J133" s="1" t="s">
        <v>111</v>
      </c>
      <c r="K133" t="s">
        <v>112</v>
      </c>
      <c r="M133" s="9"/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Q133">
        <v>131</v>
      </c>
      <c r="AR133">
        <f t="shared" si="71"/>
        <v>-7.8727083478860855</v>
      </c>
      <c r="AS133">
        <f t="shared" si="72"/>
        <v>9.0565149626732655</v>
      </c>
    </row>
    <row r="134" spans="1:45" ht="18" x14ac:dyDescent="0.35">
      <c r="A134" t="s">
        <v>101</v>
      </c>
      <c r="B134" s="1">
        <f>(((B128/B129)*B133)-B133)*-1</f>
        <v>2.1246485565047246</v>
      </c>
      <c r="C134" t="s">
        <v>0</v>
      </c>
      <c r="D134" t="s">
        <v>102</v>
      </c>
      <c r="M134" s="9"/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Q134">
        <v>132</v>
      </c>
      <c r="AR134">
        <f t="shared" si="71"/>
        <v>-8.0295672763062989</v>
      </c>
      <c r="AS134">
        <f t="shared" si="72"/>
        <v>8.9177379057287318</v>
      </c>
    </row>
    <row r="135" spans="1:45" x14ac:dyDescent="0.25">
      <c r="A135" t="s">
        <v>103</v>
      </c>
      <c r="B135" s="1">
        <f>B131-B134</f>
        <v>9.8753514434952763</v>
      </c>
      <c r="C135" t="s">
        <v>0</v>
      </c>
      <c r="D135" t="s">
        <v>104</v>
      </c>
      <c r="J135">
        <f>IF(B11&lt;=0,0,IF(B135&lt;(-1*$B$3),0,SQRT(POWER($B$3,2)-POWER(B135,2))))</f>
        <v>6.8174360185817484</v>
      </c>
      <c r="K135">
        <f>-1*J135</f>
        <v>-6.8174360185817484</v>
      </c>
      <c r="M135" s="9"/>
      <c r="N135">
        <f>B135/0.8</f>
        <v>12.344189304369095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Q135">
        <v>133</v>
      </c>
      <c r="AR135">
        <f t="shared" si="71"/>
        <v>-8.1839803207499813</v>
      </c>
      <c r="AS135">
        <f t="shared" si="72"/>
        <v>8.7762444194300464</v>
      </c>
    </row>
    <row r="136" spans="1:45" x14ac:dyDescent="0.25">
      <c r="A136" t="s">
        <v>105</v>
      </c>
      <c r="B136" s="1">
        <f>B131-B133</f>
        <v>5.755943433935327</v>
      </c>
      <c r="C136" t="s">
        <v>0</v>
      </c>
      <c r="D136" t="s">
        <v>106</v>
      </c>
      <c r="J136">
        <f>IF(B11&lt;=0,0,IF(B136&lt;(-1*$B$3),0,SQRT(POWER($B$3,2)-POWER(B136,2))))</f>
        <v>10.529440402288092</v>
      </c>
      <c r="K136">
        <f>-1*J136</f>
        <v>-10.529440402288092</v>
      </c>
      <c r="M136" s="9"/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Q136">
        <v>134</v>
      </c>
      <c r="AR136">
        <f t="shared" si="71"/>
        <v>-8.3359004455079688</v>
      </c>
      <c r="AS136">
        <f t="shared" si="72"/>
        <v>8.632077604063813</v>
      </c>
    </row>
    <row r="137" spans="1:45" x14ac:dyDescent="0.25">
      <c r="B137" s="9"/>
      <c r="M137" s="9"/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Q137">
        <v>135</v>
      </c>
      <c r="AR137">
        <f t="shared" si="71"/>
        <v>-8.4852813742385695</v>
      </c>
      <c r="AS137">
        <f t="shared" si="72"/>
        <v>8.4852813742385713</v>
      </c>
    </row>
    <row r="138" spans="1:45" x14ac:dyDescent="0.25">
      <c r="M138" s="9"/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Q138">
        <v>136</v>
      </c>
      <c r="AR138">
        <f t="shared" si="71"/>
        <v>-8.6320776040638147</v>
      </c>
      <c r="AS138">
        <f t="shared" si="72"/>
        <v>8.3359004455079653</v>
      </c>
    </row>
    <row r="139" spans="1:45" ht="15.75" thickBot="1" x14ac:dyDescent="0.3">
      <c r="A139" t="s">
        <v>108</v>
      </c>
      <c r="E139" t="s">
        <v>123</v>
      </c>
      <c r="J139" s="1"/>
      <c r="K139" s="1"/>
      <c r="L139" s="1" t="s">
        <v>114</v>
      </c>
      <c r="M139" s="9"/>
      <c r="N139" s="1"/>
      <c r="O139" s="1" t="s">
        <v>115</v>
      </c>
      <c r="P139" s="1"/>
      <c r="Q139" s="1"/>
      <c r="R139" s="1" t="s">
        <v>116</v>
      </c>
      <c r="S139" s="1"/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Q139">
        <v>137</v>
      </c>
      <c r="AR139">
        <f t="shared" si="71"/>
        <v>-8.7762444194300464</v>
      </c>
      <c r="AS139">
        <f t="shared" si="72"/>
        <v>8.1839803207499831</v>
      </c>
    </row>
    <row r="140" spans="1:45" x14ac:dyDescent="0.25">
      <c r="A140" t="s">
        <v>109</v>
      </c>
      <c r="B140">
        <f>ATAN2(J136,B136)</f>
        <v>0.5002694124016932</v>
      </c>
      <c r="C140" t="s">
        <v>17</v>
      </c>
      <c r="D140">
        <f>B140/(2*PI())</f>
        <v>7.9620349861407397E-2</v>
      </c>
      <c r="E140" s="1" t="s">
        <v>119</v>
      </c>
      <c r="F140" s="1">
        <f>((-2*B129*0.85*B126*B136)/(B133*B128))-((POWER(B129,2)*0.85*B126*POWER(B136,2))/(POWER(B133,2)*POWER(B128,2)))</f>
        <v>-18156.9867513231</v>
      </c>
      <c r="G140" s="1"/>
      <c r="I140" t="s">
        <v>124</v>
      </c>
      <c r="J140" s="1">
        <f>((-1*F142*POWER(B3,4)*SIN(8*PI()*D140))/32)+((F140*POWER(B3,2)*SIN(4*PI()*D140))/4)-((F141*POWER(B3,3)*POWER(COS(2*PI()*D140),3))/3)+((PI()*F142*POWER(B3,4)*D140)/4)+(PI()*F140*POWER(B3,2)*D140)</f>
        <v>-3096119.1449234164</v>
      </c>
      <c r="K140" s="1">
        <f>((-1*F142*POWER(B3,4)*SIN(8*PI()*D145))/32)+((F140*POWER(B3,2)*SIN(4*PI()*D145))/4)-((F141*POWER(B3,3)*POWER(COS(2*PI()*D145),3))/3)+((PI()*F142*POWER(B3,4)*D145)/4)+(PI()*F140*POWER(B3,2)*D145)</f>
        <v>-3006566.9728079662</v>
      </c>
      <c r="L140" s="19">
        <f>K140-J140</f>
        <v>89552.172115450259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17012072.777137559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17748069.146913256</v>
      </c>
      <c r="O140" s="42">
        <f>N140-M140</f>
        <v>735996.36977569759</v>
      </c>
      <c r="P140" s="1">
        <f>(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)*0.5</f>
        <v>-3137898.6033098474</v>
      </c>
      <c r="Q140" s="1">
        <f>(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)*0.5</f>
        <v>-2751364.9701501112</v>
      </c>
      <c r="R140" s="19">
        <f>Q140-P140</f>
        <v>386533.63315973617</v>
      </c>
      <c r="S140" s="1"/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Q140">
        <v>138</v>
      </c>
      <c r="AR140">
        <f t="shared" si="71"/>
        <v>-8.9177379057287283</v>
      </c>
      <c r="AS140">
        <f t="shared" si="72"/>
        <v>8.0295672763063006</v>
      </c>
    </row>
    <row r="141" spans="1:45" x14ac:dyDescent="0.25">
      <c r="A141" t="s">
        <v>110</v>
      </c>
      <c r="B141">
        <f>IF(B140&lt;0,(2*PI())+ATAN2(K136,B136),ATAN2(K136,B136))</f>
        <v>2.6413232411881</v>
      </c>
      <c r="C141" t="s">
        <v>17</v>
      </c>
      <c r="D141">
        <f>B141/(2*PI())</f>
        <v>0.42037965013859263</v>
      </c>
      <c r="E141" s="1" t="s">
        <v>120</v>
      </c>
      <c r="F141" s="1">
        <f>((2*POWER(B129,2)*0.85*B126*B136)/(POWER(B133,2)*POWER(B128,2)))+((2*B129*0.85*B126)/(B133*B128))</f>
        <v>4451.8895103834011</v>
      </c>
      <c r="G141" s="1" t="s">
        <v>14</v>
      </c>
      <c r="I141" t="s">
        <v>125</v>
      </c>
      <c r="J141" s="1">
        <f>((-1*F142*POWER(B3,4)*SIN(8*PI()*D146))/32)+((F140*POWER(B3,2)*SIN(4*PI()*D146))/4)-((F141*POWER(B3,3)*POWER(COS(2*PI()*D146),3))/3)+((PI()*F142*POWER(B3,4)*D146)/4)+(PI()*F140*POWER(B3,2)*D146)</f>
        <v>-2935914.139951041</v>
      </c>
      <c r="K141" s="1">
        <f>((-1*F142*POWER(B3,4)*SIN(8*PI()*D141))/32)+((F140*POWER(B3,2)*SIN(4*PI()*D141))/4)-((F141*POWER(B3,3)*POWER(COS(2*PI()*D141),3))/3)+((PI()*F142*POWER(B3,4)*D141)/4)+(PI()*F140*POWER(B3,2)*D141)</f>
        <v>-2846361.9678355902</v>
      </c>
      <c r="L141" s="41">
        <f>K141-J141</f>
        <v>89552.172115450725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18503703.455119714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19239699.824895412</v>
      </c>
      <c r="O141" s="43">
        <f>N141-M141</f>
        <v>735996.36977569759</v>
      </c>
      <c r="P141" s="1">
        <f>(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)*0.5</f>
        <v>-2751364.9701501112</v>
      </c>
      <c r="Q141" s="1">
        <f>(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)*0.5</f>
        <v>-3137898.6033098474</v>
      </c>
      <c r="R141" s="41">
        <f>Q141-P141</f>
        <v>-386533.63315973617</v>
      </c>
      <c r="S141" s="1"/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Q141">
        <v>139</v>
      </c>
      <c r="AR141">
        <f t="shared" si="71"/>
        <v>-9.0565149626732637</v>
      </c>
      <c r="AS141">
        <f t="shared" si="72"/>
        <v>7.8727083478860873</v>
      </c>
    </row>
    <row r="142" spans="1:45" x14ac:dyDescent="0.25">
      <c r="E142" s="1" t="s">
        <v>121</v>
      </c>
      <c r="F142" s="1">
        <f>(-1*POWER(B129,2)*0.85*B126)/(POWER(B133,2)*POWER(B128,2))</f>
        <v>-225.40410515292518</v>
      </c>
      <c r="G142" s="9" t="s">
        <v>122</v>
      </c>
      <c r="J142" s="1"/>
      <c r="K142" s="1"/>
      <c r="L142" s="41">
        <f>L140+L141</f>
        <v>179104.34423090098</v>
      </c>
      <c r="M142" s="9"/>
      <c r="N142" s="1"/>
      <c r="O142" s="43">
        <f>O140+O141</f>
        <v>1471992.7395513952</v>
      </c>
      <c r="P142" s="1"/>
      <c r="Q142" s="1"/>
      <c r="R142" s="41">
        <f>R140+R141</f>
        <v>0</v>
      </c>
      <c r="S142" s="1"/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Q142">
        <v>140</v>
      </c>
      <c r="AR142">
        <f t="shared" si="71"/>
        <v>-9.1925333174277348</v>
      </c>
      <c r="AS142">
        <f t="shared" si="72"/>
        <v>7.7134513162384737</v>
      </c>
    </row>
    <row r="143" spans="1:45" x14ac:dyDescent="0.25">
      <c r="F143" s="1">
        <f>F140+(F141*B136)+(F142*(POWER(B136,2)))</f>
        <v>0</v>
      </c>
      <c r="J143" s="1"/>
      <c r="K143" s="1"/>
      <c r="L143" s="41"/>
      <c r="M143" s="9"/>
      <c r="N143" s="1"/>
      <c r="O143" s="41"/>
      <c r="P143" s="1"/>
      <c r="Q143" s="1"/>
      <c r="R143" s="41"/>
      <c r="S143" s="1"/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Q143">
        <v>141</v>
      </c>
      <c r="AR143">
        <f t="shared" si="71"/>
        <v>-9.3257515374836508</v>
      </c>
      <c r="AS143">
        <f t="shared" si="72"/>
        <v>7.5518446925980491</v>
      </c>
    </row>
    <row r="144" spans="1:45" x14ac:dyDescent="0.25">
      <c r="A144" t="s">
        <v>113</v>
      </c>
      <c r="B144" s="1"/>
      <c r="C144" s="1"/>
      <c r="E144" s="1"/>
      <c r="F144" s="1">
        <f>F140+(F141*B135)+(F142*POWER(B135,2))</f>
        <v>3824.9999999999964</v>
      </c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Q144">
        <v>142</v>
      </c>
      <c r="AR144">
        <f t="shared" si="71"/>
        <v>-9.4561290432806633</v>
      </c>
      <c r="AS144">
        <f t="shared" si="72"/>
        <v>7.3879377039079008</v>
      </c>
    </row>
    <row r="145" spans="1:45" x14ac:dyDescent="0.25">
      <c r="A145" t="s">
        <v>109</v>
      </c>
      <c r="B145">
        <f>ATAN2(J135,B135)</f>
        <v>0.96657715729346405</v>
      </c>
      <c r="C145" t="s">
        <v>17</v>
      </c>
      <c r="D145">
        <f>B145/(2*PI())</f>
        <v>0.15383553246296724</v>
      </c>
      <c r="E145" s="1"/>
      <c r="F145" s="1"/>
      <c r="G145" s="1"/>
      <c r="J145" s="1">
        <f>(0.2125*B126*POWER(B3,2)*SIN(4*PI()*D145))+(0.85*PI()*B126*POWER(B3,2)*D145)</f>
        <v>394953.60191783006</v>
      </c>
      <c r="K145" s="1">
        <f>(0.2125*B126*POWER(B3,2)*SIN(4*PI()*D146))+(0.85*PI()*B126*POWER(B3,2)*D146)</f>
        <v>470241.01488079905</v>
      </c>
      <c r="L145" s="41">
        <f>K145-J145</f>
        <v>75287.412962968985</v>
      </c>
      <c r="M145" s="9">
        <f>(-1*17*B126*POWER(B3,3)*POWER(COS(2*PI()*D145),3))/60</f>
        <v>-403992.58791653626</v>
      </c>
      <c r="N145" s="1">
        <f>(-1*17*B126*POWER(B3,3)*POWER(COS(2*PI()*D146),3))/60</f>
        <v>403992.58791653602</v>
      </c>
      <c r="O145" s="43">
        <f>N145-M145</f>
        <v>807985.17583307228</v>
      </c>
      <c r="P145" s="1">
        <f>((17*B126*POWER(B3,3)*SIN(2*PI()*D145))/20)-((17*B126*POWER(B3,3)*POWER(SIN(2*PI()*D145),3))/60)</f>
        <v>4211429.8169334587</v>
      </c>
      <c r="Q145" s="1">
        <f>((17*B126*POWER(B3,3)*SIN(2*PI()*D146))/20)-((17*B126*POWER(B3,3)*POWER(SIN(2*PI()*D146),3))/60)</f>
        <v>4211429.8169334587</v>
      </c>
      <c r="R145" s="41">
        <f>Q145-P145</f>
        <v>0</v>
      </c>
      <c r="S145" s="1"/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Q145">
        <v>143</v>
      </c>
      <c r="AR145">
        <f t="shared" si="71"/>
        <v>-9.5836261205675157</v>
      </c>
      <c r="AS145">
        <f t="shared" si="72"/>
        <v>7.2217802778245783</v>
      </c>
    </row>
    <row r="146" spans="1:45" x14ac:dyDescent="0.25">
      <c r="A146" t="s">
        <v>110</v>
      </c>
      <c r="B146">
        <f>IF(B145&lt;0,(2*PI())+ATAN2(K135,B135),ATAN2(K135,B135))</f>
        <v>2.1750154962963291</v>
      </c>
      <c r="C146" t="s">
        <v>17</v>
      </c>
      <c r="D146">
        <f>B146/(2*PI())</f>
        <v>0.34616446753703278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Q146">
        <v>144</v>
      </c>
      <c r="AR146">
        <f t="shared" si="71"/>
        <v>-9.7082039324993676</v>
      </c>
      <c r="AS146">
        <f t="shared" si="72"/>
        <v>7.0534230275096785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254.39175719386998</v>
      </c>
      <c r="M147" s="40" t="s">
        <v>22</v>
      </c>
      <c r="N147" s="1"/>
      <c r="O147" s="45">
        <f>(O142+O145)/1000</f>
        <v>2279.9779153844679</v>
      </c>
      <c r="P147" s="35" t="s">
        <v>59</v>
      </c>
      <c r="Q147" s="1"/>
      <c r="R147" s="44">
        <f>(R145+R142)/1000</f>
        <v>0</v>
      </c>
      <c r="S147" s="35" t="s">
        <v>59</v>
      </c>
      <c r="V147" s="10">
        <f>857.9-L147</f>
        <v>603.50824280613006</v>
      </c>
      <c r="Y147" s="10"/>
      <c r="AB147" s="10"/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Q147">
        <v>145</v>
      </c>
      <c r="AR147">
        <f t="shared" si="71"/>
        <v>-9.8298245314679029</v>
      </c>
      <c r="AS147">
        <f t="shared" si="72"/>
        <v>6.8829172362125508</v>
      </c>
    </row>
    <row r="148" spans="1:45" x14ac:dyDescent="0.25">
      <c r="C148" s="38"/>
      <c r="E148" s="39"/>
      <c r="F148" s="1"/>
      <c r="G148" s="1"/>
      <c r="M148" s="9"/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Q148">
        <v>146</v>
      </c>
      <c r="AR148">
        <f t="shared" si="71"/>
        <v>-9.9484508706604995</v>
      </c>
      <c r="AS148">
        <f t="shared" si="72"/>
        <v>6.7103148416489624</v>
      </c>
    </row>
    <row r="149" spans="1:45" x14ac:dyDescent="0.25">
      <c r="C149" s="38"/>
      <c r="E149" s="39"/>
      <c r="F149" s="1"/>
      <c r="G149" s="1"/>
      <c r="J149" t="s">
        <v>129</v>
      </c>
      <c r="L149" s="7">
        <f ca="1">N109</f>
        <v>-161.40730371561818</v>
      </c>
      <c r="M149" s="1"/>
      <c r="N149" s="1"/>
      <c r="O149" s="7">
        <f ca="1">O109</f>
        <v>862.47422036756382</v>
      </c>
      <c r="P149" s="1"/>
      <c r="Q149" s="1"/>
      <c r="R149" s="7">
        <f ca="1">P109</f>
        <v>0</v>
      </c>
      <c r="V149" s="10"/>
      <c r="Y149" s="10"/>
      <c r="AB149" s="10"/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Q149">
        <v>147</v>
      </c>
      <c r="AR149">
        <f t="shared" si="71"/>
        <v>-10.064046815345087</v>
      </c>
      <c r="AS149">
        <f t="shared" si="72"/>
        <v>6.5356684201803272</v>
      </c>
    </row>
    <row r="150" spans="1:45" x14ac:dyDescent="0.25">
      <c r="A150" t="s">
        <v>127</v>
      </c>
      <c r="B150" t="s">
        <v>128</v>
      </c>
      <c r="L150" s="1"/>
      <c r="M150" s="1"/>
      <c r="N150" s="1"/>
      <c r="O150" s="1"/>
      <c r="P150" s="1"/>
      <c r="Q150" s="1"/>
      <c r="R150" s="1"/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Q150">
        <v>148</v>
      </c>
      <c r="AR150">
        <f t="shared" si="71"/>
        <v>-10.176577153877112</v>
      </c>
      <c r="AS150">
        <f t="shared" si="72"/>
        <v>6.3590311707984588</v>
      </c>
    </row>
    <row r="151" spans="1:45" x14ac:dyDescent="0.25">
      <c r="A151" s="15">
        <f ca="1">L37</f>
        <v>-5.5470574694889488E-3</v>
      </c>
      <c r="B151">
        <f ca="1">IF(AND(A151&gt;0,A151&lt;$B$128),(0.85*$B$126)*((2*(A151/$B$128))-POWER(A151/$B$128,2)),IF(A151&gt;0,0.85*$B$126,0))/1000</f>
        <v>0</v>
      </c>
      <c r="J151" t="s">
        <v>130</v>
      </c>
      <c r="L151" s="7">
        <f ca="1">L147+L149</f>
        <v>92.984453478251794</v>
      </c>
      <c r="M151" s="1"/>
      <c r="N151" s="1"/>
      <c r="O151" s="9">
        <f ca="1">O147+O149</f>
        <v>3142.4521357520316</v>
      </c>
      <c r="P151" s="1"/>
      <c r="Q151" s="1"/>
      <c r="R151" s="7">
        <f ca="1">R147+R149</f>
        <v>0</v>
      </c>
      <c r="V151" s="10"/>
      <c r="Y151" s="36"/>
      <c r="AB151" s="10"/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Q151">
        <v>149</v>
      </c>
      <c r="AR151">
        <f t="shared" si="71"/>
        <v>-10.286007608425347</v>
      </c>
      <c r="AS151">
        <f t="shared" si="72"/>
        <v>6.180456898920653</v>
      </c>
    </row>
    <row r="152" spans="1:45" x14ac:dyDescent="0.25">
      <c r="A152" s="15">
        <f t="shared" ref="A152:A215" ca="1" si="73">L38</f>
        <v>-2.765482682468564E-3</v>
      </c>
      <c r="B152">
        <f t="shared" ref="B152:B215" ca="1" si="74">IF(AND(A152&gt;0,A152&lt;$B$128),(0.85*$B$126)*((2*(A152/$B$128))-POWER(A152/$B$128,2)),IF(A152&gt;0,0.85*$B$126,0))/1000</f>
        <v>0</v>
      </c>
      <c r="L152" s="1"/>
      <c r="M152" s="9"/>
      <c r="N152" s="1"/>
      <c r="O152" s="1"/>
      <c r="P152" s="1"/>
      <c r="Q152" s="1"/>
      <c r="R152" s="1"/>
      <c r="W152" s="9"/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Q152">
        <v>150</v>
      </c>
      <c r="AR152">
        <f t="shared" si="71"/>
        <v>-10.392304845413264</v>
      </c>
      <c r="AS152">
        <f t="shared" si="72"/>
        <v>5.9999999999999991</v>
      </c>
    </row>
    <row r="153" spans="1:45" x14ac:dyDescent="0.25">
      <c r="A153" s="15">
        <f t="shared" ca="1" si="73"/>
        <v>1.6092104551820527E-5</v>
      </c>
      <c r="B153">
        <f t="shared" ca="1" si="74"/>
        <v>6.1946376204417473E-2</v>
      </c>
      <c r="J153" t="s">
        <v>131</v>
      </c>
      <c r="L153" s="7">
        <f ca="1">L151</f>
        <v>92.984453478251794</v>
      </c>
      <c r="M153" s="9"/>
      <c r="N153" s="1"/>
      <c r="O153" s="1">
        <f ca="1">((O151*COS(-1*B10))+(R151*SIN(-1*B10)))</f>
        <v>2222.0492147444111</v>
      </c>
      <c r="P153" s="1"/>
      <c r="Q153" s="1"/>
      <c r="R153" s="1">
        <f ca="1">(-1*(O151)*SIN(-1*B10))+((R151)*COS(-1*B10))</f>
        <v>2222.0492147444106</v>
      </c>
      <c r="V153" s="10"/>
      <c r="W153" s="9"/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Q153">
        <v>151</v>
      </c>
      <c r="AR153">
        <f t="shared" si="71"/>
        <v>-10.495436485672748</v>
      </c>
      <c r="AS153">
        <f t="shared" si="72"/>
        <v>5.8177154429560458</v>
      </c>
    </row>
    <row r="154" spans="1:45" x14ac:dyDescent="0.25">
      <c r="A154" s="15">
        <f t="shared" ca="1" si="73"/>
        <v>1.1682581060907167E-3</v>
      </c>
      <c r="B154">
        <f t="shared" ca="1" si="74"/>
        <v>3.1828592066232289</v>
      </c>
      <c r="E154" s="38"/>
      <c r="M154" s="9"/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Q154">
        <v>152</v>
      </c>
      <c r="AR154">
        <f t="shared" si="71"/>
        <v>-10.595371114307124</v>
      </c>
      <c r="AS154">
        <f t="shared" si="72"/>
        <v>5.6336587534306881</v>
      </c>
    </row>
    <row r="155" spans="1:45" x14ac:dyDescent="0.25">
      <c r="A155" s="15">
        <f t="shared" ca="1" si="73"/>
        <v>1.6092104551820527E-5</v>
      </c>
      <c r="B155">
        <f t="shared" ca="1" si="74"/>
        <v>6.1946376204417473E-2</v>
      </c>
      <c r="E155" s="38"/>
      <c r="M155" s="9"/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Q155">
        <v>153</v>
      </c>
      <c r="AR155">
        <f t="shared" si="71"/>
        <v>-10.692078290260413</v>
      </c>
      <c r="AS155">
        <f t="shared" si="72"/>
        <v>5.4478859968745628</v>
      </c>
    </row>
    <row r="156" spans="1:45" x14ac:dyDescent="0.25">
      <c r="A156" s="15">
        <f t="shared" ca="1" si="73"/>
        <v>-2.765482682468564E-3</v>
      </c>
      <c r="B156">
        <f t="shared" ca="1" si="74"/>
        <v>0</v>
      </c>
      <c r="E156" s="38"/>
      <c r="M156" s="9"/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Q156">
        <v>154</v>
      </c>
      <c r="AR156">
        <f t="shared" si="71"/>
        <v>-10.785528555590005</v>
      </c>
      <c r="AS156">
        <f t="shared" si="72"/>
        <v>5.2604537614689271</v>
      </c>
    </row>
    <row r="157" spans="1:45" x14ac:dyDescent="0.25">
      <c r="A157" s="15">
        <f t="shared" ca="1" si="73"/>
        <v>-5.5470574694889488E-3</v>
      </c>
      <c r="B157">
        <f t="shared" ca="1" si="74"/>
        <v>0</v>
      </c>
      <c r="E157" s="38"/>
      <c r="M157" s="9"/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Q157">
        <v>155</v>
      </c>
      <c r="AR157">
        <f t="shared" si="71"/>
        <v>-10.875693444439799</v>
      </c>
      <c r="AS157">
        <f t="shared" si="72"/>
        <v>5.071419140888394</v>
      </c>
    </row>
    <row r="158" spans="1:45" x14ac:dyDescent="0.25">
      <c r="A158" s="15">
        <f t="shared" ca="1" si="73"/>
        <v>-6.6992234710278441E-3</v>
      </c>
      <c r="B158">
        <f t="shared" ca="1" si="74"/>
        <v>0</v>
      </c>
      <c r="E158" s="38"/>
      <c r="M158" s="9"/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Q158">
        <v>156</v>
      </c>
      <c r="AR158">
        <f t="shared" si="71"/>
        <v>-10.962545491711209</v>
      </c>
      <c r="AS158">
        <f t="shared" si="72"/>
        <v>4.8808397169096054</v>
      </c>
    </row>
    <row r="159" spans="1:45" x14ac:dyDescent="0.25">
      <c r="A159" s="15">
        <f t="shared" ca="1" si="73"/>
        <v>0</v>
      </c>
      <c r="B159">
        <f t="shared" ca="1" si="74"/>
        <v>0</v>
      </c>
      <c r="E159" s="1"/>
      <c r="M159" s="9"/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Q159">
        <v>157</v>
      </c>
      <c r="AR159">
        <f t="shared" si="71"/>
        <v>-11.046058241429284</v>
      </c>
      <c r="AS159">
        <f t="shared" si="72"/>
        <v>4.688773541871285</v>
      </c>
    </row>
    <row r="160" spans="1:45" x14ac:dyDescent="0.25">
      <c r="A160" s="15">
        <f t="shared" ca="1" si="73"/>
        <v>0</v>
      </c>
      <c r="B160">
        <f t="shared" ca="1" si="74"/>
        <v>0</v>
      </c>
      <c r="M160" s="9"/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Q160">
        <v>158</v>
      </c>
      <c r="AR160">
        <f t="shared" si="71"/>
        <v>-11.126206254801447</v>
      </c>
      <c r="AS160">
        <f t="shared" si="72"/>
        <v>4.4952791209909471</v>
      </c>
    </row>
    <row r="161" spans="1:45" x14ac:dyDescent="0.25">
      <c r="A161" s="15">
        <f t="shared" ca="1" si="73"/>
        <v>0</v>
      </c>
      <c r="B161">
        <f t="shared" ca="1" si="74"/>
        <v>0</v>
      </c>
      <c r="M161" s="9"/>
      <c r="N161" s="1"/>
      <c r="O161" s="1"/>
      <c r="S161" s="1"/>
      <c r="T161" s="1"/>
      <c r="U161" s="1"/>
      <c r="AB161" s="1"/>
      <c r="AC161" s="1"/>
      <c r="AD161" s="1"/>
      <c r="AE161" s="1"/>
      <c r="AF161" s="1"/>
      <c r="AG161" s="1"/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Q161">
        <v>159</v>
      </c>
      <c r="AR161">
        <f t="shared" si="71"/>
        <v>-11.202965117966421</v>
      </c>
      <c r="AS161">
        <f t="shared" si="72"/>
        <v>4.3004153945436023</v>
      </c>
    </row>
    <row r="162" spans="1:45" x14ac:dyDescent="0.25">
      <c r="A162" s="15">
        <f t="shared" ca="1" si="73"/>
        <v>0</v>
      </c>
      <c r="B162">
        <f t="shared" ca="1" si="74"/>
        <v>0</v>
      </c>
      <c r="M162" s="7"/>
      <c r="N162" s="7"/>
      <c r="O162" s="7"/>
      <c r="Q162" s="7"/>
      <c r="R162" s="7"/>
      <c r="S162" s="7"/>
      <c r="T162" s="7"/>
      <c r="U162" s="7"/>
      <c r="Y162" s="10"/>
      <c r="Z162" s="10"/>
      <c r="AA162" s="10"/>
      <c r="AB162" s="7"/>
      <c r="AC162" s="7"/>
      <c r="AD162" s="7"/>
      <c r="AE162" s="10"/>
      <c r="AF162" s="10"/>
      <c r="AG162" s="10"/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Q162">
        <v>160</v>
      </c>
      <c r="AR162">
        <f t="shared" si="71"/>
        <v>-11.276311449430899</v>
      </c>
      <c r="AS162">
        <f t="shared" si="72"/>
        <v>4.1042417199080266</v>
      </c>
    </row>
    <row r="163" spans="1:45" x14ac:dyDescent="0.25">
      <c r="A163" s="15">
        <f t="shared" ca="1" si="73"/>
        <v>0</v>
      </c>
      <c r="B163">
        <f t="shared" ca="1" si="74"/>
        <v>0</v>
      </c>
      <c r="M163" s="7"/>
      <c r="N163" s="7"/>
      <c r="O163" s="7"/>
      <c r="Q163" s="7"/>
      <c r="R163" s="7"/>
      <c r="S163" s="7"/>
      <c r="T163" s="7"/>
      <c r="U163" s="7"/>
      <c r="Y163" s="10"/>
      <c r="Z163" s="10"/>
      <c r="AA163" s="10"/>
      <c r="AB163" s="7"/>
      <c r="AC163" s="7"/>
      <c r="AD163" s="7"/>
      <c r="AE163" s="10"/>
      <c r="AF163" s="10"/>
      <c r="AG163" s="10"/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Q163">
        <v>161</v>
      </c>
      <c r="AR163">
        <f t="shared" si="71"/>
        <v>-11.346222907191802</v>
      </c>
      <c r="AS163">
        <f t="shared" si="72"/>
        <v>3.9068178534858791</v>
      </c>
    </row>
    <row r="164" spans="1:45" x14ac:dyDescent="0.25">
      <c r="A164" s="15">
        <f t="shared" ca="1" si="73"/>
        <v>0</v>
      </c>
      <c r="B164">
        <f t="shared" ca="1" si="74"/>
        <v>0</v>
      </c>
      <c r="M164" s="7"/>
      <c r="N164" s="7"/>
      <c r="O164" s="7"/>
      <c r="Q164" s="7"/>
      <c r="R164" s="7"/>
      <c r="S164" s="7"/>
      <c r="T164" s="7"/>
      <c r="U164" s="7"/>
      <c r="Y164" s="10"/>
      <c r="Z164" s="10"/>
      <c r="AA164" s="10"/>
      <c r="AB164" s="7"/>
      <c r="AC164" s="7"/>
      <c r="AD164" s="7"/>
      <c r="AE164" s="10"/>
      <c r="AF164" s="10"/>
      <c r="AG164" s="10"/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Q164">
        <v>162</v>
      </c>
      <c r="AR164">
        <f t="shared" si="71"/>
        <v>-11.412678195541842</v>
      </c>
      <c r="AS164">
        <f t="shared" si="72"/>
        <v>3.7082039324993703</v>
      </c>
    </row>
    <row r="165" spans="1:45" x14ac:dyDescent="0.25">
      <c r="A165" s="15">
        <f t="shared" ca="1" si="73"/>
        <v>0</v>
      </c>
      <c r="B165">
        <f t="shared" ca="1" si="74"/>
        <v>0</v>
      </c>
      <c r="M165" s="7"/>
      <c r="N165" s="7"/>
      <c r="O165" s="7"/>
      <c r="Q165" s="7"/>
      <c r="R165" s="7"/>
      <c r="S165" s="7"/>
      <c r="T165" s="7"/>
      <c r="U165" s="7"/>
      <c r="Y165" s="10"/>
      <c r="Z165" s="10"/>
      <c r="AA165" s="10"/>
      <c r="AB165" s="7"/>
      <c r="AC165" s="7"/>
      <c r="AD165" s="7"/>
      <c r="AE165" s="10"/>
      <c r="AF165" s="10"/>
      <c r="AG165" s="10"/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Q165">
        <v>163</v>
      </c>
      <c r="AR165">
        <f t="shared" si="71"/>
        <v>-11.475657071556427</v>
      </c>
      <c r="AS165">
        <f t="shared" si="72"/>
        <v>3.5084604566728395</v>
      </c>
    </row>
    <row r="166" spans="1:45" x14ac:dyDescent="0.25">
      <c r="A166" s="15">
        <f t="shared" ca="1" si="73"/>
        <v>0</v>
      </c>
      <c r="B166">
        <f t="shared" ca="1" si="74"/>
        <v>0</v>
      </c>
      <c r="M166" s="7"/>
      <c r="N166" s="7"/>
      <c r="O166" s="7"/>
      <c r="Q166" s="7"/>
      <c r="R166" s="7"/>
      <c r="S166" s="7"/>
      <c r="T166" s="7"/>
      <c r="U166" s="7"/>
      <c r="Y166" s="10"/>
      <c r="Z166" s="10"/>
      <c r="AA166" s="10"/>
      <c r="AB166" s="7"/>
      <c r="AC166" s="7"/>
      <c r="AD166" s="7"/>
      <c r="AE166" s="10"/>
      <c r="AF166" s="10"/>
      <c r="AG166" s="10"/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Q166">
        <v>164</v>
      </c>
      <c r="AR166">
        <f t="shared" si="71"/>
        <v>-11.535140351259827</v>
      </c>
      <c r="AS166">
        <f t="shared" si="72"/>
        <v>3.3076482698039906</v>
      </c>
    </row>
    <row r="167" spans="1:45" x14ac:dyDescent="0.25">
      <c r="A167" s="15">
        <f t="shared" ca="1" si="73"/>
        <v>0</v>
      </c>
      <c r="B167">
        <f t="shared" ca="1" si="74"/>
        <v>0</v>
      </c>
      <c r="M167" s="7"/>
      <c r="N167" s="7"/>
      <c r="O167" s="7"/>
      <c r="Q167" s="7"/>
      <c r="R167" s="7"/>
      <c r="S167" s="7"/>
      <c r="T167" s="7"/>
      <c r="U167" s="7"/>
      <c r="Y167" s="10"/>
      <c r="Z167" s="10"/>
      <c r="AA167" s="10"/>
      <c r="AB167" s="7"/>
      <c r="AC167" s="7"/>
      <c r="AD167" s="7"/>
      <c r="AE167" s="10"/>
      <c r="AF167" s="10"/>
      <c r="AG167" s="10"/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Q167">
        <v>165</v>
      </c>
      <c r="AR167">
        <f t="shared" si="71"/>
        <v>-11.591109915468818</v>
      </c>
      <c r="AS167">
        <f t="shared" si="72"/>
        <v>3.1058285412302524</v>
      </c>
    </row>
    <row r="168" spans="1:45" x14ac:dyDescent="0.25">
      <c r="A168" s="15">
        <f t="shared" ca="1" si="73"/>
        <v>0</v>
      </c>
      <c r="B168">
        <f t="shared" ca="1" si="74"/>
        <v>0</v>
      </c>
      <c r="M168" s="7"/>
      <c r="N168" s="7"/>
      <c r="O168" s="7"/>
      <c r="Q168" s="7"/>
      <c r="R168" s="7"/>
      <c r="S168" s="7"/>
      <c r="T168" s="7"/>
      <c r="U168" s="7"/>
      <c r="Y168" s="10"/>
      <c r="Z168" s="10"/>
      <c r="AA168" s="10"/>
      <c r="AB168" s="7"/>
      <c r="AC168" s="7"/>
      <c r="AD168" s="7"/>
      <c r="AE168" s="10"/>
      <c r="AF168" s="10"/>
      <c r="AG168" s="10"/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Q168">
        <v>166</v>
      </c>
      <c r="AR168">
        <f t="shared" si="71"/>
        <v>-11.643548715311958</v>
      </c>
      <c r="AS168">
        <f t="shared" si="72"/>
        <v>2.9030627471960129</v>
      </c>
    </row>
    <row r="169" spans="1:45" x14ac:dyDescent="0.25">
      <c r="A169" s="15">
        <f t="shared" ca="1" si="73"/>
        <v>0</v>
      </c>
      <c r="B169">
        <f t="shared" ca="1" si="74"/>
        <v>0</v>
      </c>
      <c r="M169" s="7"/>
      <c r="N169" s="7"/>
      <c r="O169" s="7"/>
      <c r="Q169" s="7"/>
      <c r="R169" s="7"/>
      <c r="S169" s="7"/>
      <c r="T169" s="7"/>
      <c r="U169" s="7"/>
      <c r="Y169" s="10"/>
      <c r="Z169" s="10"/>
      <c r="AA169" s="10"/>
      <c r="AB169" s="7"/>
      <c r="AC169" s="7"/>
      <c r="AD169" s="7"/>
      <c r="AE169" s="10"/>
      <c r="AF169" s="10"/>
      <c r="AG169" s="10"/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Q169">
        <v>167</v>
      </c>
      <c r="AR169">
        <f t="shared" si="71"/>
        <v>-11.692440777422821</v>
      </c>
      <c r="AS169">
        <f t="shared" si="72"/>
        <v>2.6994126521263824</v>
      </c>
    </row>
    <row r="170" spans="1:45" x14ac:dyDescent="0.25">
      <c r="A170" s="15">
        <f t="shared" ca="1" si="73"/>
        <v>0</v>
      </c>
      <c r="B170">
        <f t="shared" ca="1" si="74"/>
        <v>0</v>
      </c>
      <c r="M170" s="7"/>
      <c r="N170" s="7"/>
      <c r="O170" s="7"/>
      <c r="Q170" s="7"/>
      <c r="R170" s="7"/>
      <c r="S170" s="7"/>
      <c r="T170" s="7"/>
      <c r="U170" s="7"/>
      <c r="Y170" s="10"/>
      <c r="Z170" s="10"/>
      <c r="AA170" s="10"/>
      <c r="AB170" s="7"/>
      <c r="AC170" s="7"/>
      <c r="AD170" s="7"/>
      <c r="AE170" s="10"/>
      <c r="AF170" s="10"/>
      <c r="AG170" s="10"/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Q170">
        <v>168</v>
      </c>
      <c r="AR170">
        <f t="shared" si="71"/>
        <v>-11.737771208805668</v>
      </c>
      <c r="AS170">
        <f t="shared" si="72"/>
        <v>2.4949402898131119</v>
      </c>
    </row>
    <row r="171" spans="1:45" x14ac:dyDescent="0.25">
      <c r="A171" s="15">
        <f t="shared" ca="1" si="73"/>
        <v>0</v>
      </c>
      <c r="B171">
        <f t="shared" ca="1" si="74"/>
        <v>0</v>
      </c>
      <c r="M171" s="7"/>
      <c r="N171" s="7"/>
      <c r="O171" s="7"/>
      <c r="Q171" s="7"/>
      <c r="R171" s="7"/>
      <c r="S171" s="7"/>
      <c r="T171" s="7"/>
      <c r="U171" s="7"/>
      <c r="Y171" s="10"/>
      <c r="Z171" s="10"/>
      <c r="AA171" s="10"/>
      <c r="AB171" s="7"/>
      <c r="AC171" s="7"/>
      <c r="AD171" s="7"/>
      <c r="AE171" s="10"/>
      <c r="AF171" s="10"/>
      <c r="AG171" s="10"/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Q171">
        <v>169</v>
      </c>
      <c r="AR171">
        <f t="shared" si="71"/>
        <v>-11.779526201371969</v>
      </c>
      <c r="AS171">
        <f t="shared" si="72"/>
        <v>2.2897079445185398</v>
      </c>
    </row>
    <row r="172" spans="1:45" x14ac:dyDescent="0.25">
      <c r="A172" s="15">
        <f t="shared" ca="1" si="73"/>
        <v>0</v>
      </c>
      <c r="B172">
        <f t="shared" ca="1" si="74"/>
        <v>0</v>
      </c>
      <c r="M172" s="7"/>
      <c r="N172" s="7"/>
      <c r="O172" s="7"/>
      <c r="Q172" s="7"/>
      <c r="R172" s="7"/>
      <c r="S172" s="7"/>
      <c r="T172" s="7"/>
      <c r="U172" s="7"/>
      <c r="Y172" s="10"/>
      <c r="Z172" s="10"/>
      <c r="AA172" s="10"/>
      <c r="AB172" s="7"/>
      <c r="AC172" s="7"/>
      <c r="AD172" s="7"/>
      <c r="AE172" s="10"/>
      <c r="AF172" s="10"/>
      <c r="AG172" s="10"/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Q172">
        <v>170</v>
      </c>
      <c r="AR172">
        <f t="shared" si="71"/>
        <v>-11.817693036146496</v>
      </c>
      <c r="AS172">
        <f t="shared" si="72"/>
        <v>2.0837781320031632</v>
      </c>
    </row>
    <row r="173" spans="1:45" x14ac:dyDescent="0.25">
      <c r="A173" s="15">
        <f t="shared" ca="1" si="73"/>
        <v>0</v>
      </c>
      <c r="B173">
        <f t="shared" ca="1" si="74"/>
        <v>0</v>
      </c>
      <c r="M173" s="7"/>
      <c r="N173" s="7"/>
      <c r="O173" s="7"/>
      <c r="Q173" s="7"/>
      <c r="R173" s="7"/>
      <c r="S173" s="7"/>
      <c r="T173" s="7"/>
      <c r="U173" s="7"/>
      <c r="Y173" s="10"/>
      <c r="Z173" s="10"/>
      <c r="AA173" s="10"/>
      <c r="AB173" s="7"/>
      <c r="AC173" s="7"/>
      <c r="AD173" s="7"/>
      <c r="AE173" s="10"/>
      <c r="AF173" s="10"/>
      <c r="AG173" s="10"/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Q173">
        <v>171</v>
      </c>
      <c r="AR173">
        <f t="shared" si="71"/>
        <v>-11.852260087141651</v>
      </c>
      <c r="AS173">
        <f t="shared" si="72"/>
        <v>1.8772135804827719</v>
      </c>
    </row>
    <row r="174" spans="1:45" x14ac:dyDescent="0.25">
      <c r="A174" s="15">
        <f t="shared" ca="1" si="73"/>
        <v>0</v>
      </c>
      <c r="B174">
        <f t="shared" ca="1" si="74"/>
        <v>0</v>
      </c>
      <c r="M174" s="7"/>
      <c r="N174" s="7"/>
      <c r="O174" s="7"/>
      <c r="Q174" s="7"/>
      <c r="R174" s="7"/>
      <c r="S174" s="7"/>
      <c r="T174" s="7"/>
      <c r="U174" s="7"/>
      <c r="Y174" s="10"/>
      <c r="Z174" s="10"/>
      <c r="AA174" s="10"/>
      <c r="AB174" s="7"/>
      <c r="AC174" s="7"/>
      <c r="AD174" s="7"/>
      <c r="AE174" s="10"/>
      <c r="AF174" s="10"/>
      <c r="AG174" s="10"/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Q174">
        <v>172</v>
      </c>
      <c r="AR174">
        <f t="shared" si="71"/>
        <v>-11.883216824898845</v>
      </c>
      <c r="AS174">
        <f t="shared" si="72"/>
        <v>1.670077211520784</v>
      </c>
    </row>
    <row r="175" spans="1:45" x14ac:dyDescent="0.25">
      <c r="A175" s="15">
        <f t="shared" ca="1" si="73"/>
        <v>0</v>
      </c>
      <c r="B175">
        <f t="shared" ca="1" si="74"/>
        <v>0</v>
      </c>
      <c r="M175" s="7"/>
      <c r="N175" s="7"/>
      <c r="O175" s="7"/>
      <c r="Q175" s="7"/>
      <c r="R175" s="7"/>
      <c r="S175" s="7"/>
      <c r="T175" s="7"/>
      <c r="U175" s="7"/>
      <c r="Y175" s="10"/>
      <c r="Z175" s="10"/>
      <c r="AA175" s="10"/>
      <c r="AB175" s="7"/>
      <c r="AC175" s="7"/>
      <c r="AD175" s="7"/>
      <c r="AE175" s="10"/>
      <c r="AF175" s="10"/>
      <c r="AG175" s="10"/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Q175">
        <v>173</v>
      </c>
      <c r="AR175">
        <f t="shared" si="71"/>
        <v>-11.910553819695863</v>
      </c>
      <c r="AS175">
        <f t="shared" si="72"/>
        <v>1.4624321208617705</v>
      </c>
    </row>
    <row r="176" spans="1:45" x14ac:dyDescent="0.25">
      <c r="A176" s="15">
        <f t="shared" ca="1" si="73"/>
        <v>0</v>
      </c>
      <c r="B176">
        <f t="shared" ca="1" si="74"/>
        <v>0</v>
      </c>
      <c r="M176" s="7"/>
      <c r="N176" s="7"/>
      <c r="O176" s="7"/>
      <c r="Q176" s="7"/>
      <c r="R176" s="7"/>
      <c r="S176" s="7"/>
      <c r="T176" s="7"/>
      <c r="U176" s="7"/>
      <c r="Y176" s="10"/>
      <c r="Z176" s="10"/>
      <c r="AA176" s="10"/>
      <c r="AB176" s="7"/>
      <c r="AC176" s="7"/>
      <c r="AD176" s="7"/>
      <c r="AE176" s="10"/>
      <c r="AF176" s="10"/>
      <c r="AG176" s="10"/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Q176">
        <v>174</v>
      </c>
      <c r="AR176">
        <f t="shared" si="71"/>
        <v>-11.934262744419279</v>
      </c>
      <c r="AS176">
        <f t="shared" si="72"/>
        <v>1.2543415592118448</v>
      </c>
    </row>
    <row r="177" spans="1:45" x14ac:dyDescent="0.25">
      <c r="A177" s="15">
        <f t="shared" ca="1" si="73"/>
        <v>0</v>
      </c>
      <c r="B177">
        <f t="shared" ca="1" si="74"/>
        <v>0</v>
      </c>
      <c r="M177" s="7"/>
      <c r="N177" s="7"/>
      <c r="O177" s="7"/>
      <c r="Q177" s="7"/>
      <c r="R177" s="7"/>
      <c r="S177" s="7"/>
      <c r="T177" s="7"/>
      <c r="U177" s="7"/>
      <c r="Y177" s="10"/>
      <c r="Z177" s="10"/>
      <c r="AA177" s="10"/>
      <c r="AB177" s="7"/>
      <c r="AC177" s="7"/>
      <c r="AD177" s="7"/>
      <c r="AE177" s="10"/>
      <c r="AF177" s="10"/>
      <c r="AG177" s="10"/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Q177">
        <v>175</v>
      </c>
      <c r="AR177">
        <f t="shared" si="71"/>
        <v>-11.954336377100947</v>
      </c>
      <c r="AS177">
        <f t="shared" si="72"/>
        <v>1.0458689129718983</v>
      </c>
    </row>
    <row r="178" spans="1:45" x14ac:dyDescent="0.25">
      <c r="A178" s="15">
        <f t="shared" ca="1" si="73"/>
        <v>0</v>
      </c>
      <c r="B178">
        <f t="shared" ca="1" si="74"/>
        <v>0</v>
      </c>
      <c r="M178" s="7"/>
      <c r="N178" s="7"/>
      <c r="O178" s="7"/>
      <c r="Q178" s="7"/>
      <c r="R178" s="7"/>
      <c r="S178" s="7"/>
      <c r="T178" s="7"/>
      <c r="U178" s="7"/>
      <c r="Y178" s="10"/>
      <c r="Z178" s="10"/>
      <c r="AA178" s="10"/>
      <c r="AB178" s="7"/>
      <c r="AC178" s="7"/>
      <c r="AD178" s="7"/>
      <c r="AE178" s="10"/>
      <c r="AF178" s="10"/>
      <c r="AG178" s="10"/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Q178">
        <v>176</v>
      </c>
      <c r="AR178">
        <f t="shared" si="71"/>
        <v>-11.970768603117889</v>
      </c>
      <c r="AS178">
        <f t="shared" si="72"/>
        <v>0.83707768492950629</v>
      </c>
    </row>
    <row r="179" spans="1:45" x14ac:dyDescent="0.25">
      <c r="A179" s="15">
        <f t="shared" ca="1" si="73"/>
        <v>0</v>
      </c>
      <c r="B179">
        <f t="shared" ca="1" si="74"/>
        <v>0</v>
      </c>
      <c r="M179" s="7"/>
      <c r="N179" s="7"/>
      <c r="O179" s="7"/>
      <c r="Q179" s="7"/>
      <c r="R179" s="7"/>
      <c r="S179" s="7"/>
      <c r="T179" s="7"/>
      <c r="U179" s="7"/>
      <c r="Y179" s="10"/>
      <c r="Z179" s="10"/>
      <c r="AA179" s="10"/>
      <c r="AB179" s="7"/>
      <c r="AC179" s="7"/>
      <c r="AD179" s="7"/>
      <c r="AE179" s="10"/>
      <c r="AF179" s="10"/>
      <c r="AG179" s="10"/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Q179">
        <v>177</v>
      </c>
      <c r="AR179">
        <f t="shared" si="71"/>
        <v>-11.983554417054886</v>
      </c>
      <c r="AS179">
        <f t="shared" si="72"/>
        <v>0.62803147491532574</v>
      </c>
    </row>
    <row r="180" spans="1:45" x14ac:dyDescent="0.25">
      <c r="A180" s="15">
        <f t="shared" ca="1" si="73"/>
        <v>0</v>
      </c>
      <c r="B180">
        <f t="shared" ca="1" si="74"/>
        <v>0</v>
      </c>
      <c r="M180" s="7"/>
      <c r="N180" s="7"/>
      <c r="O180" s="7"/>
      <c r="Q180" s="7"/>
      <c r="R180" s="7"/>
      <c r="S180" s="7"/>
      <c r="T180" s="7"/>
      <c r="U180" s="7"/>
      <c r="Y180" s="10"/>
      <c r="Z180" s="10"/>
      <c r="AA180" s="10"/>
      <c r="AB180" s="7"/>
      <c r="AC180" s="7"/>
      <c r="AD180" s="7"/>
      <c r="AE180" s="10"/>
      <c r="AF180" s="10"/>
      <c r="AG180" s="10"/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Q180">
        <v>178</v>
      </c>
      <c r="AR180">
        <f t="shared" si="71"/>
        <v>-11.992689924229149</v>
      </c>
      <c r="AS180">
        <f t="shared" si="72"/>
        <v>0.41879396043001371</v>
      </c>
    </row>
    <row r="181" spans="1:45" x14ac:dyDescent="0.25">
      <c r="A181" s="15">
        <f t="shared" ca="1" si="73"/>
        <v>0</v>
      </c>
      <c r="B181">
        <f t="shared" ca="1" si="74"/>
        <v>0</v>
      </c>
      <c r="M181" s="7"/>
      <c r="N181" s="7"/>
      <c r="O181" s="7"/>
      <c r="Q181" s="7"/>
      <c r="R181" s="7"/>
      <c r="S181" s="7"/>
      <c r="T181" s="7"/>
      <c r="U181" s="7"/>
      <c r="Y181" s="10"/>
      <c r="Z181" s="10"/>
      <c r="AA181" s="10"/>
      <c r="AB181" s="7"/>
      <c r="AC181" s="7"/>
      <c r="AD181" s="7"/>
      <c r="AE181" s="10"/>
      <c r="AF181" s="10"/>
      <c r="AG181" s="10"/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Q181">
        <v>179</v>
      </c>
      <c r="AR181">
        <f t="shared" si="71"/>
        <v>-11.998172341876696</v>
      </c>
      <c r="AS181">
        <f t="shared" si="72"/>
        <v>0.20942887724740128</v>
      </c>
    </row>
    <row r="182" spans="1:45" x14ac:dyDescent="0.25">
      <c r="A182" s="15">
        <f t="shared" ca="1" si="73"/>
        <v>0</v>
      </c>
      <c r="B182">
        <f t="shared" ca="1" si="74"/>
        <v>0</v>
      </c>
      <c r="M182" s="7"/>
      <c r="N182" s="7"/>
      <c r="O182" s="7"/>
      <c r="Q182" s="7"/>
      <c r="R182" s="7"/>
      <c r="S182" s="7"/>
      <c r="T182" s="7"/>
      <c r="U182" s="7"/>
      <c r="Y182" s="10"/>
      <c r="Z182" s="10"/>
      <c r="AA182" s="10"/>
      <c r="AB182" s="7"/>
      <c r="AC182" s="7"/>
      <c r="AD182" s="7"/>
      <c r="AE182" s="10"/>
      <c r="AF182" s="10"/>
      <c r="AG182" s="10"/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Q182">
        <v>180</v>
      </c>
      <c r="AR182">
        <f t="shared" si="71"/>
        <v>-12</v>
      </c>
      <c r="AS182">
        <f t="shared" si="72"/>
        <v>1.470178145890344E-15</v>
      </c>
    </row>
    <row r="183" spans="1:45" x14ac:dyDescent="0.25">
      <c r="A183" s="15">
        <f t="shared" ca="1" si="73"/>
        <v>0</v>
      </c>
      <c r="B183">
        <f t="shared" ca="1" si="74"/>
        <v>0</v>
      </c>
      <c r="M183" s="7"/>
      <c r="N183" s="7"/>
      <c r="O183" s="7"/>
      <c r="Q183" s="7"/>
      <c r="R183" s="7"/>
      <c r="S183" s="7"/>
      <c r="T183" s="7"/>
      <c r="U183" s="7"/>
      <c r="Y183" s="10"/>
      <c r="Z183" s="10"/>
      <c r="AA183" s="10"/>
      <c r="AB183" s="7"/>
      <c r="AC183" s="7"/>
      <c r="AD183" s="7"/>
      <c r="AE183" s="10"/>
      <c r="AF183" s="10"/>
      <c r="AG183" s="10"/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Q183">
        <v>181</v>
      </c>
      <c r="AR183">
        <f t="shared" si="71"/>
        <v>-11.998172341876696</v>
      </c>
      <c r="AS183">
        <f t="shared" si="72"/>
        <v>-0.20942887724740364</v>
      </c>
    </row>
    <row r="184" spans="1:45" x14ac:dyDescent="0.25">
      <c r="A184" s="15">
        <f t="shared" ca="1" si="73"/>
        <v>0</v>
      </c>
      <c r="B184">
        <f t="shared" ca="1" si="74"/>
        <v>0</v>
      </c>
      <c r="M184" s="7"/>
      <c r="N184" s="7"/>
      <c r="O184" s="7"/>
      <c r="Q184" s="7"/>
      <c r="R184" s="7"/>
      <c r="S184" s="7"/>
      <c r="T184" s="7"/>
      <c r="U184" s="7"/>
      <c r="Y184" s="10"/>
      <c r="Z184" s="10"/>
      <c r="AA184" s="10"/>
      <c r="AB184" s="7"/>
      <c r="AC184" s="7"/>
      <c r="AD184" s="7"/>
      <c r="AE184" s="10"/>
      <c r="AF184" s="10"/>
      <c r="AG184" s="10"/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Q184">
        <v>182</v>
      </c>
      <c r="AR184">
        <f t="shared" si="71"/>
        <v>-11.992689924229149</v>
      </c>
      <c r="AS184">
        <f t="shared" si="72"/>
        <v>-0.41879396043001083</v>
      </c>
    </row>
    <row r="185" spans="1:45" x14ac:dyDescent="0.25">
      <c r="A185" s="15">
        <f t="shared" ca="1" si="73"/>
        <v>0</v>
      </c>
      <c r="B185">
        <f t="shared" ca="1" si="74"/>
        <v>0</v>
      </c>
      <c r="M185" s="7"/>
      <c r="N185" s="7"/>
      <c r="O185" s="7"/>
      <c r="Q185" s="7"/>
      <c r="R185" s="7"/>
      <c r="S185" s="7"/>
      <c r="T185" s="7"/>
      <c r="U185" s="7"/>
      <c r="Y185" s="10"/>
      <c r="Z185" s="10"/>
      <c r="AA185" s="10"/>
      <c r="AB185" s="7"/>
      <c r="AC185" s="7"/>
      <c r="AD185" s="7"/>
      <c r="AE185" s="10"/>
      <c r="AF185" s="10"/>
      <c r="AG185" s="10"/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Q185">
        <v>183</v>
      </c>
      <c r="AR185">
        <f t="shared" si="71"/>
        <v>-11.983554417054886</v>
      </c>
      <c r="AS185">
        <f t="shared" si="72"/>
        <v>-0.62803147491532263</v>
      </c>
    </row>
    <row r="186" spans="1:45" x14ac:dyDescent="0.25">
      <c r="A186" s="15">
        <f t="shared" ca="1" si="73"/>
        <v>0</v>
      </c>
      <c r="B186">
        <f t="shared" ca="1" si="74"/>
        <v>0</v>
      </c>
      <c r="M186" s="7"/>
      <c r="N186" s="7"/>
      <c r="O186" s="7"/>
      <c r="Q186" s="7"/>
      <c r="R186" s="7"/>
      <c r="S186" s="7"/>
      <c r="T186" s="7"/>
      <c r="U186" s="7"/>
      <c r="Y186" s="10"/>
      <c r="Z186" s="10"/>
      <c r="AA186" s="10"/>
      <c r="AB186" s="7"/>
      <c r="AC186" s="7"/>
      <c r="AD186" s="7"/>
      <c r="AE186" s="10"/>
      <c r="AF186" s="10"/>
      <c r="AG186" s="10"/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Q186">
        <v>184</v>
      </c>
      <c r="AR186">
        <f t="shared" si="71"/>
        <v>-11.970768603117889</v>
      </c>
      <c r="AS186">
        <f t="shared" si="72"/>
        <v>-0.8370776849295033</v>
      </c>
    </row>
    <row r="187" spans="1:45" x14ac:dyDescent="0.25">
      <c r="A187" s="15">
        <f t="shared" ca="1" si="73"/>
        <v>0</v>
      </c>
      <c r="B187">
        <f t="shared" ca="1" si="74"/>
        <v>0</v>
      </c>
      <c r="M187" s="7"/>
      <c r="N187" s="7"/>
      <c r="O187" s="7"/>
      <c r="Q187" s="7"/>
      <c r="R187" s="7"/>
      <c r="S187" s="7"/>
      <c r="T187" s="7"/>
      <c r="U187" s="7"/>
      <c r="Y187" s="10"/>
      <c r="Z187" s="10"/>
      <c r="AA187" s="10"/>
      <c r="AB187" s="7"/>
      <c r="AC187" s="7"/>
      <c r="AD187" s="7"/>
      <c r="AE187" s="10"/>
      <c r="AF187" s="10"/>
      <c r="AG187" s="10"/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Q187">
        <v>185</v>
      </c>
      <c r="AR187">
        <f t="shared" si="71"/>
        <v>-11.954336377100947</v>
      </c>
      <c r="AS187">
        <f t="shared" si="72"/>
        <v>-1.0458689129718954</v>
      </c>
    </row>
    <row r="188" spans="1:45" x14ac:dyDescent="0.25">
      <c r="A188" s="15">
        <f t="shared" ca="1" si="73"/>
        <v>0</v>
      </c>
      <c r="B188">
        <f t="shared" ca="1" si="74"/>
        <v>0</v>
      </c>
      <c r="M188" s="7"/>
      <c r="N188" s="7"/>
      <c r="O188" s="7"/>
      <c r="Q188" s="7"/>
      <c r="R188" s="7"/>
      <c r="S188" s="7"/>
      <c r="T188" s="7"/>
      <c r="U188" s="7"/>
      <c r="Y188" s="10"/>
      <c r="Z188" s="10"/>
      <c r="AA188" s="10"/>
      <c r="AB188" s="7"/>
      <c r="AC188" s="7"/>
      <c r="AD188" s="7"/>
      <c r="AE188" s="10"/>
      <c r="AF188" s="10"/>
      <c r="AG188" s="10"/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Q188">
        <v>186</v>
      </c>
      <c r="AR188">
        <f t="shared" si="71"/>
        <v>-11.934262744419279</v>
      </c>
      <c r="AS188">
        <f t="shared" si="72"/>
        <v>-1.2543415592118419</v>
      </c>
    </row>
    <row r="189" spans="1:45" x14ac:dyDescent="0.25">
      <c r="A189" s="15">
        <f t="shared" ca="1" si="73"/>
        <v>0</v>
      </c>
      <c r="B189">
        <f t="shared" ca="1" si="74"/>
        <v>0</v>
      </c>
      <c r="M189" s="7"/>
      <c r="N189" s="7"/>
      <c r="O189" s="7"/>
      <c r="Q189" s="7"/>
      <c r="R189" s="7"/>
      <c r="S189" s="7"/>
      <c r="T189" s="7"/>
      <c r="U189" s="7"/>
      <c r="Y189" s="10"/>
      <c r="Z189" s="10"/>
      <c r="AA189" s="10"/>
      <c r="AB189" s="7"/>
      <c r="AC189" s="7"/>
      <c r="AD189" s="7"/>
      <c r="AE189" s="10"/>
      <c r="AF189" s="10"/>
      <c r="AG189" s="10"/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Q189">
        <v>187</v>
      </c>
      <c r="AR189">
        <f t="shared" si="71"/>
        <v>-11.910553819695865</v>
      </c>
      <c r="AS189">
        <f t="shared" si="72"/>
        <v>-1.4624321208617677</v>
      </c>
    </row>
    <row r="190" spans="1:45" x14ac:dyDescent="0.25">
      <c r="A190" s="15">
        <f t="shared" ca="1" si="73"/>
        <v>0</v>
      </c>
      <c r="B190">
        <f t="shared" ca="1" si="74"/>
        <v>0</v>
      </c>
      <c r="M190" s="7"/>
      <c r="N190" s="7"/>
      <c r="O190" s="7"/>
      <c r="Q190" s="7"/>
      <c r="R190" s="7"/>
      <c r="S190" s="7"/>
      <c r="T190" s="7"/>
      <c r="U190" s="7"/>
      <c r="Y190" s="10"/>
      <c r="Z190" s="10"/>
      <c r="AA190" s="10"/>
      <c r="AB190" s="7"/>
      <c r="AC190" s="7"/>
      <c r="AD190" s="7"/>
      <c r="AE190" s="10"/>
      <c r="AF190" s="10"/>
      <c r="AG190" s="10"/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Q190">
        <v>188</v>
      </c>
      <c r="AR190">
        <f t="shared" si="71"/>
        <v>-11.883216824898843</v>
      </c>
      <c r="AS190">
        <f t="shared" si="72"/>
        <v>-1.6700772115207863</v>
      </c>
    </row>
    <row r="191" spans="1:45" x14ac:dyDescent="0.25">
      <c r="A191" s="15">
        <f t="shared" ca="1" si="73"/>
        <v>0</v>
      </c>
      <c r="B191">
        <f t="shared" ca="1" si="74"/>
        <v>0</v>
      </c>
      <c r="M191" s="7"/>
      <c r="N191" s="7"/>
      <c r="O191" s="7"/>
      <c r="Q191" s="7"/>
      <c r="R191" s="7"/>
      <c r="S191" s="7"/>
      <c r="T191" s="7"/>
      <c r="U191" s="7"/>
      <c r="Y191" s="10"/>
      <c r="Z191" s="10"/>
      <c r="AA191" s="10"/>
      <c r="AB191" s="7"/>
      <c r="AC191" s="7"/>
      <c r="AD191" s="7"/>
      <c r="AE191" s="10"/>
      <c r="AF191" s="10"/>
      <c r="AG191" s="10"/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Q191">
        <v>189</v>
      </c>
      <c r="AR191">
        <f t="shared" si="71"/>
        <v>-11.852260087141653</v>
      </c>
      <c r="AS191">
        <f t="shared" si="72"/>
        <v>-1.8772135804827688</v>
      </c>
    </row>
    <row r="192" spans="1:45" x14ac:dyDescent="0.25">
      <c r="A192" s="15">
        <f t="shared" ca="1" si="73"/>
        <v>0</v>
      </c>
      <c r="B192">
        <f t="shared" ca="1" si="74"/>
        <v>0</v>
      </c>
      <c r="M192" s="7"/>
      <c r="N192" s="7"/>
      <c r="O192" s="7"/>
      <c r="Q192" s="7"/>
      <c r="R192" s="7"/>
      <c r="S192" s="7"/>
      <c r="T192" s="7"/>
      <c r="U192" s="7"/>
      <c r="Y192" s="10"/>
      <c r="Z192" s="10"/>
      <c r="AA192" s="10"/>
      <c r="AB192" s="7"/>
      <c r="AC192" s="7"/>
      <c r="AD192" s="7"/>
      <c r="AE192" s="10"/>
      <c r="AF192" s="10"/>
      <c r="AG192" s="10"/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Q192">
        <v>190</v>
      </c>
      <c r="AR192">
        <f t="shared" si="71"/>
        <v>-11.817693036146496</v>
      </c>
      <c r="AS192">
        <f t="shared" si="72"/>
        <v>-2.0837781320031654</v>
      </c>
    </row>
    <row r="193" spans="1:45" x14ac:dyDescent="0.25">
      <c r="A193" s="15">
        <f t="shared" ca="1" si="73"/>
        <v>0</v>
      </c>
      <c r="B193">
        <f t="shared" ca="1" si="74"/>
        <v>0</v>
      </c>
      <c r="M193" s="7"/>
      <c r="N193" s="7"/>
      <c r="O193" s="7"/>
      <c r="Q193" s="7"/>
      <c r="R193" s="7"/>
      <c r="S193" s="7"/>
      <c r="T193" s="7"/>
      <c r="U193" s="7"/>
      <c r="Y193" s="10"/>
      <c r="Z193" s="10"/>
      <c r="AA193" s="10"/>
      <c r="AB193" s="7"/>
      <c r="AC193" s="7"/>
      <c r="AD193" s="7"/>
      <c r="AE193" s="10"/>
      <c r="AF193" s="10"/>
      <c r="AG193" s="10"/>
      <c r="AJ193" t="e">
        <v>#N/A</v>
      </c>
      <c r="AK193" t="e">
        <v>#N/A</v>
      </c>
      <c r="AL193" t="e">
        <v>#N/A</v>
      </c>
      <c r="AM193" t="e">
        <v>#N/A</v>
      </c>
      <c r="AN193" t="e">
        <v>#N/A</v>
      </c>
      <c r="AQ193">
        <v>191</v>
      </c>
      <c r="AR193">
        <f t="shared" si="71"/>
        <v>-11.779526201371969</v>
      </c>
      <c r="AS193">
        <f t="shared" si="72"/>
        <v>-2.2897079445185367</v>
      </c>
    </row>
    <row r="194" spans="1:45" x14ac:dyDescent="0.25">
      <c r="A194" s="15">
        <f t="shared" ca="1" si="73"/>
        <v>0</v>
      </c>
      <c r="B194">
        <f t="shared" ca="1" si="74"/>
        <v>0</v>
      </c>
      <c r="M194" s="7"/>
      <c r="N194" s="7"/>
      <c r="O194" s="7"/>
      <c r="Q194" s="7"/>
      <c r="R194" s="7"/>
      <c r="S194" s="7"/>
      <c r="T194" s="7"/>
      <c r="U194" s="7"/>
      <c r="Y194" s="10"/>
      <c r="Z194" s="10"/>
      <c r="AA194" s="10"/>
      <c r="AB194" s="7"/>
      <c r="AC194" s="7"/>
      <c r="AD194" s="7"/>
      <c r="AE194" s="10"/>
      <c r="AF194" s="10"/>
      <c r="AG194" s="10"/>
      <c r="AJ194" t="e">
        <v>#N/A</v>
      </c>
      <c r="AK194" t="e">
        <v>#N/A</v>
      </c>
      <c r="AL194" t="e">
        <v>#N/A</v>
      </c>
      <c r="AM194" t="e">
        <v>#N/A</v>
      </c>
      <c r="AN194" t="e">
        <v>#N/A</v>
      </c>
      <c r="AQ194">
        <v>192</v>
      </c>
      <c r="AR194">
        <f t="shared" si="71"/>
        <v>-11.737771208805666</v>
      </c>
      <c r="AS194">
        <f t="shared" si="72"/>
        <v>-2.4949402898131141</v>
      </c>
    </row>
    <row r="195" spans="1:45" x14ac:dyDescent="0.25">
      <c r="A195" s="15">
        <f t="shared" ca="1" si="73"/>
        <v>0</v>
      </c>
      <c r="B195">
        <f t="shared" ca="1" si="74"/>
        <v>0</v>
      </c>
      <c r="M195" s="7"/>
      <c r="N195" s="7"/>
      <c r="O195" s="7"/>
      <c r="Q195" s="7"/>
      <c r="R195" s="7"/>
      <c r="S195" s="7"/>
      <c r="T195" s="7"/>
      <c r="U195" s="7"/>
      <c r="Y195" s="10"/>
      <c r="Z195" s="10"/>
      <c r="AA195" s="10"/>
      <c r="AB195" s="7"/>
      <c r="AC195" s="7"/>
      <c r="AD195" s="7"/>
      <c r="AE195" s="10"/>
      <c r="AF195" s="10"/>
      <c r="AG195" s="10"/>
      <c r="AJ195" t="e">
        <v>#N/A</v>
      </c>
      <c r="AK195" t="e">
        <v>#N/A</v>
      </c>
      <c r="AL195" t="e">
        <v>#N/A</v>
      </c>
      <c r="AM195" t="e">
        <v>#N/A</v>
      </c>
      <c r="AN195" t="e">
        <v>#N/A</v>
      </c>
      <c r="AQ195">
        <v>193</v>
      </c>
      <c r="AR195">
        <f t="shared" ref="AR195:AR258" si="75">$B$3*COS(RADIANS(AQ195))</f>
        <v>-11.692440777422823</v>
      </c>
      <c r="AS195">
        <f t="shared" ref="AS195:AS258" si="76">$B$3*SIN(RADIANS(AQ195))</f>
        <v>-2.6994126521263797</v>
      </c>
    </row>
    <row r="196" spans="1:45" x14ac:dyDescent="0.25">
      <c r="A196" s="15">
        <f t="shared" ca="1" si="73"/>
        <v>0</v>
      </c>
      <c r="B196">
        <f t="shared" ca="1" si="74"/>
        <v>0</v>
      </c>
      <c r="M196" s="7"/>
      <c r="N196" s="7"/>
      <c r="O196" s="7"/>
      <c r="Q196" s="7"/>
      <c r="R196" s="7"/>
      <c r="S196" s="7"/>
      <c r="T196" s="7"/>
      <c r="U196" s="7"/>
      <c r="Y196" s="10"/>
      <c r="Z196" s="10"/>
      <c r="AA196" s="10"/>
      <c r="AB196" s="7"/>
      <c r="AC196" s="7"/>
      <c r="AD196" s="7"/>
      <c r="AE196" s="10"/>
      <c r="AF196" s="10"/>
      <c r="AG196" s="10"/>
      <c r="AJ196" t="e">
        <v>#N/A</v>
      </c>
      <c r="AK196" t="e">
        <v>#N/A</v>
      </c>
      <c r="AL196" t="e">
        <v>#N/A</v>
      </c>
      <c r="AM196" t="e">
        <v>#N/A</v>
      </c>
      <c r="AN196" t="e">
        <v>#N/A</v>
      </c>
      <c r="AQ196">
        <v>194</v>
      </c>
      <c r="AR196">
        <f t="shared" si="75"/>
        <v>-11.643548715311958</v>
      </c>
      <c r="AS196">
        <f t="shared" si="76"/>
        <v>-2.9030627471960102</v>
      </c>
    </row>
    <row r="197" spans="1:45" x14ac:dyDescent="0.25">
      <c r="A197" s="15">
        <f t="shared" ca="1" si="73"/>
        <v>0</v>
      </c>
      <c r="B197">
        <f t="shared" ca="1" si="74"/>
        <v>0</v>
      </c>
      <c r="M197" s="7"/>
      <c r="N197" s="7"/>
      <c r="O197" s="7"/>
      <c r="Q197" s="7"/>
      <c r="R197" s="7"/>
      <c r="S197" s="7"/>
      <c r="T197" s="7"/>
      <c r="U197" s="7"/>
      <c r="Y197" s="10"/>
      <c r="Z197" s="10"/>
      <c r="AA197" s="10"/>
      <c r="AB197" s="7"/>
      <c r="AC197" s="7"/>
      <c r="AD197" s="7"/>
      <c r="AE197" s="10"/>
      <c r="AF197" s="10"/>
      <c r="AG197" s="10"/>
      <c r="AJ197" t="e">
        <v>#N/A</v>
      </c>
      <c r="AK197" t="e">
        <v>#N/A</v>
      </c>
      <c r="AL197" t="e">
        <v>#N/A</v>
      </c>
      <c r="AM197" t="e">
        <v>#N/A</v>
      </c>
      <c r="AN197" t="e">
        <v>#N/A</v>
      </c>
      <c r="AQ197">
        <v>195</v>
      </c>
      <c r="AR197">
        <f t="shared" si="75"/>
        <v>-11.59110991546882</v>
      </c>
      <c r="AS197">
        <f t="shared" si="76"/>
        <v>-3.1058285412302498</v>
      </c>
    </row>
    <row r="198" spans="1:45" x14ac:dyDescent="0.25">
      <c r="A198" s="15">
        <f t="shared" ca="1" si="73"/>
        <v>0</v>
      </c>
      <c r="B198">
        <f t="shared" ca="1" si="74"/>
        <v>0</v>
      </c>
      <c r="M198" s="7"/>
      <c r="N198" s="7"/>
      <c r="O198" s="7"/>
      <c r="Q198" s="7"/>
      <c r="R198" s="7"/>
      <c r="S198" s="7"/>
      <c r="T198" s="7"/>
      <c r="U198" s="7"/>
      <c r="Y198" s="10"/>
      <c r="Z198" s="10"/>
      <c r="AA198" s="10"/>
      <c r="AB198" s="7"/>
      <c r="AC198" s="7"/>
      <c r="AD198" s="7"/>
      <c r="AE198" s="10"/>
      <c r="AF198" s="10"/>
      <c r="AG198" s="10"/>
      <c r="AJ198" t="e">
        <v>#N/A</v>
      </c>
      <c r="AK198" t="e">
        <v>#N/A</v>
      </c>
      <c r="AL198" t="e">
        <v>#N/A</v>
      </c>
      <c r="AM198" t="e">
        <v>#N/A</v>
      </c>
      <c r="AN198" t="e">
        <v>#N/A</v>
      </c>
      <c r="AQ198">
        <v>196</v>
      </c>
      <c r="AR198">
        <f t="shared" si="75"/>
        <v>-11.535140351259827</v>
      </c>
      <c r="AS198">
        <f t="shared" si="76"/>
        <v>-3.307648269803988</v>
      </c>
    </row>
    <row r="199" spans="1:45" x14ac:dyDescent="0.25">
      <c r="A199" s="15">
        <f t="shared" ca="1" si="73"/>
        <v>0</v>
      </c>
      <c r="B199">
        <f t="shared" ca="1" si="74"/>
        <v>0</v>
      </c>
      <c r="M199" s="7"/>
      <c r="N199" s="7"/>
      <c r="O199" s="7"/>
      <c r="Q199" s="7"/>
      <c r="R199" s="7"/>
      <c r="S199" s="7"/>
      <c r="T199" s="7"/>
      <c r="U199" s="7"/>
      <c r="Y199" s="10"/>
      <c r="Z199" s="10"/>
      <c r="AA199" s="10"/>
      <c r="AB199" s="7"/>
      <c r="AC199" s="7"/>
      <c r="AD199" s="7"/>
      <c r="AE199" s="10"/>
      <c r="AF199" s="10"/>
      <c r="AG199" s="10"/>
      <c r="AJ199" t="e">
        <v>#N/A</v>
      </c>
      <c r="AK199" t="e">
        <v>#N/A</v>
      </c>
      <c r="AL199" t="e">
        <v>#N/A</v>
      </c>
      <c r="AM199" t="e">
        <v>#N/A</v>
      </c>
      <c r="AN199" t="e">
        <v>#N/A</v>
      </c>
      <c r="AQ199">
        <v>197</v>
      </c>
      <c r="AR199">
        <f t="shared" si="75"/>
        <v>-11.475657071556425</v>
      </c>
      <c r="AS199">
        <f t="shared" si="76"/>
        <v>-3.5084604566728412</v>
      </c>
    </row>
    <row r="200" spans="1:45" x14ac:dyDescent="0.25">
      <c r="A200" s="15">
        <f t="shared" ca="1" si="73"/>
        <v>0</v>
      </c>
      <c r="B200">
        <f t="shared" ca="1" si="74"/>
        <v>0</v>
      </c>
      <c r="M200" s="7"/>
      <c r="N200" s="7"/>
      <c r="O200" s="7"/>
      <c r="Q200" s="7"/>
      <c r="R200" s="7"/>
      <c r="S200" s="7"/>
      <c r="T200" s="7"/>
      <c r="U200" s="7"/>
      <c r="Y200" s="10"/>
      <c r="Z200" s="10"/>
      <c r="AA200" s="10"/>
      <c r="AB200" s="7"/>
      <c r="AC200" s="7"/>
      <c r="AD200" s="7"/>
      <c r="AE200" s="10"/>
      <c r="AF200" s="10"/>
      <c r="AG200" s="10"/>
      <c r="AJ200" t="e">
        <v>#N/A</v>
      </c>
      <c r="AK200" t="e">
        <v>#N/A</v>
      </c>
      <c r="AL200" t="e">
        <v>#N/A</v>
      </c>
      <c r="AM200" t="e">
        <v>#N/A</v>
      </c>
      <c r="AN200" t="e">
        <v>#N/A</v>
      </c>
      <c r="AQ200">
        <v>198</v>
      </c>
      <c r="AR200">
        <f t="shared" si="75"/>
        <v>-11.412678195541844</v>
      </c>
      <c r="AS200">
        <f t="shared" si="76"/>
        <v>-3.7082039324993676</v>
      </c>
    </row>
    <row r="201" spans="1:45" x14ac:dyDescent="0.25">
      <c r="A201" s="15">
        <f t="shared" ca="1" si="73"/>
        <v>0</v>
      </c>
      <c r="B201">
        <f t="shared" ca="1" si="74"/>
        <v>0</v>
      </c>
      <c r="M201" s="7"/>
      <c r="N201" s="7"/>
      <c r="O201" s="7"/>
      <c r="Q201" s="7"/>
      <c r="R201" s="7"/>
      <c r="S201" s="7"/>
      <c r="T201" s="7"/>
      <c r="U201" s="7"/>
      <c r="Y201" s="10"/>
      <c r="Z201" s="10"/>
      <c r="AA201" s="10"/>
      <c r="AB201" s="7"/>
      <c r="AC201" s="7"/>
      <c r="AD201" s="7"/>
      <c r="AE201" s="10"/>
      <c r="AF201" s="10"/>
      <c r="AG201" s="10"/>
      <c r="AJ201" t="e">
        <v>#N/A</v>
      </c>
      <c r="AK201" t="e">
        <v>#N/A</v>
      </c>
      <c r="AL201" t="e">
        <v>#N/A</v>
      </c>
      <c r="AM201" t="e">
        <v>#N/A</v>
      </c>
      <c r="AN201" t="e">
        <v>#N/A</v>
      </c>
      <c r="AQ201">
        <v>199</v>
      </c>
      <c r="AR201">
        <f t="shared" si="75"/>
        <v>-11.346222907191802</v>
      </c>
      <c r="AS201">
        <f t="shared" si="76"/>
        <v>-3.9068178534858813</v>
      </c>
    </row>
    <row r="202" spans="1:45" x14ac:dyDescent="0.25">
      <c r="A202" s="15">
        <f t="shared" ca="1" si="73"/>
        <v>0</v>
      </c>
      <c r="B202">
        <f t="shared" ca="1" si="74"/>
        <v>0</v>
      </c>
      <c r="M202" s="7"/>
      <c r="N202" s="7"/>
      <c r="O202" s="7"/>
      <c r="Q202" s="7"/>
      <c r="R202" s="7"/>
      <c r="S202" s="7"/>
      <c r="T202" s="7"/>
      <c r="U202" s="7"/>
      <c r="Y202" s="10"/>
      <c r="Z202" s="10"/>
      <c r="AA202" s="10"/>
      <c r="AB202" s="7"/>
      <c r="AC202" s="7"/>
      <c r="AD202" s="7"/>
      <c r="AE202" s="10"/>
      <c r="AF202" s="10"/>
      <c r="AG202" s="10"/>
      <c r="AJ202" t="e">
        <v>#N/A</v>
      </c>
      <c r="AK202" t="e">
        <v>#N/A</v>
      </c>
      <c r="AL202" t="e">
        <v>#N/A</v>
      </c>
      <c r="AM202" t="e">
        <v>#N/A</v>
      </c>
      <c r="AN202" t="e">
        <v>#N/A</v>
      </c>
      <c r="AQ202">
        <v>200</v>
      </c>
      <c r="AR202">
        <f t="shared" si="75"/>
        <v>-11.276311449430901</v>
      </c>
      <c r="AS202">
        <f t="shared" si="76"/>
        <v>-4.1042417199080239</v>
      </c>
    </row>
    <row r="203" spans="1:45" x14ac:dyDescent="0.25">
      <c r="A203" s="15">
        <f t="shared" ca="1" si="73"/>
        <v>0</v>
      </c>
      <c r="B203">
        <f t="shared" ca="1" si="74"/>
        <v>0</v>
      </c>
      <c r="M203" s="7"/>
      <c r="N203" s="7"/>
      <c r="O203" s="7"/>
      <c r="Q203" s="7"/>
      <c r="R203" s="7"/>
      <c r="S203" s="7"/>
      <c r="T203" s="7"/>
      <c r="U203" s="7"/>
      <c r="Y203" s="10"/>
      <c r="Z203" s="10"/>
      <c r="AA203" s="10"/>
      <c r="AB203" s="7"/>
      <c r="AC203" s="7"/>
      <c r="AD203" s="7"/>
      <c r="AE203" s="10"/>
      <c r="AF203" s="10"/>
      <c r="AG203" s="10"/>
      <c r="AJ203" t="e">
        <v>#N/A</v>
      </c>
      <c r="AK203" t="e">
        <v>#N/A</v>
      </c>
      <c r="AL203" t="e">
        <v>#N/A</v>
      </c>
      <c r="AM203" t="e">
        <v>#N/A</v>
      </c>
      <c r="AN203" t="e">
        <v>#N/A</v>
      </c>
      <c r="AQ203">
        <v>201</v>
      </c>
      <c r="AR203">
        <f t="shared" si="75"/>
        <v>-11.202965117966421</v>
      </c>
      <c r="AS203">
        <f t="shared" si="76"/>
        <v>-4.300415394543605</v>
      </c>
    </row>
    <row r="204" spans="1:45" x14ac:dyDescent="0.25">
      <c r="A204" s="15">
        <f t="shared" ca="1" si="73"/>
        <v>0</v>
      </c>
      <c r="B204">
        <f t="shared" ca="1" si="74"/>
        <v>0</v>
      </c>
      <c r="M204" s="7"/>
      <c r="N204" s="7"/>
      <c r="O204" s="7"/>
      <c r="Q204" s="7"/>
      <c r="R204" s="7"/>
      <c r="S204" s="7"/>
      <c r="T204" s="7"/>
      <c r="U204" s="7"/>
      <c r="Y204" s="10"/>
      <c r="Z204" s="10"/>
      <c r="AA204" s="10"/>
      <c r="AB204" s="7"/>
      <c r="AC204" s="7"/>
      <c r="AD204" s="7"/>
      <c r="AE204" s="10"/>
      <c r="AF204" s="10"/>
      <c r="AG204" s="10"/>
      <c r="AJ204" t="e">
        <v>#N/A</v>
      </c>
      <c r="AK204" t="e">
        <v>#N/A</v>
      </c>
      <c r="AL204" t="e">
        <v>#N/A</v>
      </c>
      <c r="AM204" t="e">
        <v>#N/A</v>
      </c>
      <c r="AN204" t="e">
        <v>#N/A</v>
      </c>
      <c r="AQ204">
        <v>202</v>
      </c>
      <c r="AR204">
        <f t="shared" si="75"/>
        <v>-11.126206254801449</v>
      </c>
      <c r="AS204">
        <f t="shared" si="76"/>
        <v>-4.4952791209909444</v>
      </c>
    </row>
    <row r="205" spans="1:45" x14ac:dyDescent="0.25">
      <c r="A205" s="15">
        <f t="shared" ca="1" si="73"/>
        <v>0</v>
      </c>
      <c r="B205">
        <f t="shared" ca="1" si="74"/>
        <v>0</v>
      </c>
      <c r="M205" s="7"/>
      <c r="N205" s="7"/>
      <c r="O205" s="7"/>
      <c r="Q205" s="7"/>
      <c r="R205" s="7"/>
      <c r="S205" s="7"/>
      <c r="T205" s="7"/>
      <c r="U205" s="7"/>
      <c r="Y205" s="10"/>
      <c r="Z205" s="10"/>
      <c r="AA205" s="10"/>
      <c r="AB205" s="7"/>
      <c r="AC205" s="7"/>
      <c r="AD205" s="7"/>
      <c r="AE205" s="10"/>
      <c r="AF205" s="10"/>
      <c r="AG205" s="10"/>
      <c r="AJ205" t="e">
        <v>#N/A</v>
      </c>
      <c r="AK205" t="e">
        <v>#N/A</v>
      </c>
      <c r="AL205" t="e">
        <v>#N/A</v>
      </c>
      <c r="AM205" t="e">
        <v>#N/A</v>
      </c>
      <c r="AN205" t="e">
        <v>#N/A</v>
      </c>
      <c r="AQ205">
        <v>203</v>
      </c>
      <c r="AR205">
        <f t="shared" si="75"/>
        <v>-11.046058241429284</v>
      </c>
      <c r="AS205">
        <f t="shared" si="76"/>
        <v>-4.6887735418712824</v>
      </c>
    </row>
    <row r="206" spans="1:45" x14ac:dyDescent="0.25">
      <c r="A206" s="15">
        <f t="shared" ca="1" si="73"/>
        <v>0</v>
      </c>
      <c r="B206">
        <f t="shared" ca="1" si="74"/>
        <v>0</v>
      </c>
      <c r="M206" s="7"/>
      <c r="N206" s="7"/>
      <c r="O206" s="7"/>
      <c r="Q206" s="7"/>
      <c r="R206" s="7"/>
      <c r="S206" s="7"/>
      <c r="T206" s="7"/>
      <c r="U206" s="7"/>
      <c r="Y206" s="10"/>
      <c r="Z206" s="10"/>
      <c r="AA206" s="10"/>
      <c r="AB206" s="7"/>
      <c r="AC206" s="7"/>
      <c r="AD206" s="7"/>
      <c r="AE206" s="10"/>
      <c r="AF206" s="10"/>
      <c r="AG206" s="10"/>
      <c r="AJ206" t="e">
        <v>#N/A</v>
      </c>
      <c r="AK206" t="e">
        <v>#N/A</v>
      </c>
      <c r="AL206" t="e">
        <v>#N/A</v>
      </c>
      <c r="AM206" t="e">
        <v>#N/A</v>
      </c>
      <c r="AN206" t="e">
        <v>#N/A</v>
      </c>
      <c r="AQ206">
        <v>204</v>
      </c>
      <c r="AR206">
        <f t="shared" si="75"/>
        <v>-10.962545491711211</v>
      </c>
      <c r="AS206">
        <f t="shared" si="76"/>
        <v>-4.8808397169096027</v>
      </c>
    </row>
    <row r="207" spans="1:45" x14ac:dyDescent="0.25">
      <c r="A207" s="15">
        <f t="shared" ca="1" si="73"/>
        <v>0</v>
      </c>
      <c r="B207">
        <f t="shared" ca="1" si="74"/>
        <v>0</v>
      </c>
      <c r="M207" s="7"/>
      <c r="N207" s="7"/>
      <c r="O207" s="7"/>
      <c r="Q207" s="7"/>
      <c r="R207" s="7"/>
      <c r="S207" s="7"/>
      <c r="T207" s="7"/>
      <c r="U207" s="7"/>
      <c r="Y207" s="10"/>
      <c r="Z207" s="10"/>
      <c r="AA207" s="10"/>
      <c r="AB207" s="7"/>
      <c r="AC207" s="7"/>
      <c r="AD207" s="7"/>
      <c r="AE207" s="10"/>
      <c r="AF207" s="10"/>
      <c r="AG207" s="10"/>
      <c r="AJ207" t="e">
        <v>#N/A</v>
      </c>
      <c r="AK207" t="e">
        <v>#N/A</v>
      </c>
      <c r="AL207" t="e">
        <v>#N/A</v>
      </c>
      <c r="AM207" t="e">
        <v>#N/A</v>
      </c>
      <c r="AN207" t="e">
        <v>#N/A</v>
      </c>
      <c r="AQ207">
        <v>205</v>
      </c>
      <c r="AR207">
        <f t="shared" si="75"/>
        <v>-10.875693444439801</v>
      </c>
      <c r="AS207">
        <f t="shared" si="76"/>
        <v>-5.0714191408883913</v>
      </c>
    </row>
    <row r="208" spans="1:45" x14ac:dyDescent="0.25">
      <c r="A208" s="15">
        <f t="shared" ca="1" si="73"/>
        <v>0</v>
      </c>
      <c r="B208">
        <f t="shared" ca="1" si="74"/>
        <v>0</v>
      </c>
      <c r="M208" s="7"/>
      <c r="N208" s="7"/>
      <c r="O208" s="7"/>
      <c r="Q208" s="7"/>
      <c r="R208" s="7"/>
      <c r="S208" s="7"/>
      <c r="T208" s="7"/>
      <c r="U208" s="7"/>
      <c r="Y208" s="10"/>
      <c r="Z208" s="10"/>
      <c r="AA208" s="10"/>
      <c r="AB208" s="7"/>
      <c r="AC208" s="7"/>
      <c r="AD208" s="7"/>
      <c r="AE208" s="10"/>
      <c r="AF208" s="10"/>
      <c r="AG208" s="10"/>
      <c r="AJ208" t="e">
        <v>#N/A</v>
      </c>
      <c r="AK208" t="e">
        <v>#N/A</v>
      </c>
      <c r="AL208" t="e">
        <v>#N/A</v>
      </c>
      <c r="AM208" t="e">
        <v>#N/A</v>
      </c>
      <c r="AN208" t="e">
        <v>#N/A</v>
      </c>
      <c r="AQ208">
        <v>206</v>
      </c>
      <c r="AR208">
        <f t="shared" si="75"/>
        <v>-10.785528555590004</v>
      </c>
      <c r="AS208">
        <f t="shared" si="76"/>
        <v>-5.2604537614689297</v>
      </c>
    </row>
    <row r="209" spans="1:45" x14ac:dyDescent="0.25">
      <c r="A209" s="15">
        <f t="shared" ca="1" si="73"/>
        <v>0</v>
      </c>
      <c r="B209">
        <f t="shared" ca="1" si="74"/>
        <v>0</v>
      </c>
      <c r="M209" s="7"/>
      <c r="N209" s="7"/>
      <c r="O209" s="7"/>
      <c r="Q209" s="7"/>
      <c r="R209" s="7"/>
      <c r="S209" s="7"/>
      <c r="T209" s="7"/>
      <c r="U209" s="7"/>
      <c r="Y209" s="10"/>
      <c r="Z209" s="10"/>
      <c r="AA209" s="10"/>
      <c r="AB209" s="7"/>
      <c r="AC209" s="7"/>
      <c r="AD209" s="7"/>
      <c r="AE209" s="10"/>
      <c r="AF209" s="10"/>
      <c r="AG209" s="10"/>
      <c r="AJ209" t="e">
        <v>#N/A</v>
      </c>
      <c r="AK209" t="e">
        <v>#N/A</v>
      </c>
      <c r="AL209" t="e">
        <v>#N/A</v>
      </c>
      <c r="AM209" t="e">
        <v>#N/A</v>
      </c>
      <c r="AN209" t="e">
        <v>#N/A</v>
      </c>
      <c r="AQ209">
        <v>207</v>
      </c>
      <c r="AR209">
        <f t="shared" si="75"/>
        <v>-10.692078290260415</v>
      </c>
      <c r="AS209">
        <f t="shared" si="76"/>
        <v>-5.4478859968745601</v>
      </c>
    </row>
    <row r="210" spans="1:45" x14ac:dyDescent="0.25">
      <c r="A210" s="15">
        <f t="shared" ca="1" si="73"/>
        <v>0</v>
      </c>
      <c r="B210">
        <f t="shared" ca="1" si="74"/>
        <v>0</v>
      </c>
      <c r="M210" s="7"/>
      <c r="N210" s="7"/>
      <c r="O210" s="7"/>
      <c r="Q210" s="7"/>
      <c r="R210" s="7"/>
      <c r="S210" s="7"/>
      <c r="T210" s="7"/>
      <c r="U210" s="7"/>
      <c r="Y210" s="10"/>
      <c r="Z210" s="10"/>
      <c r="AA210" s="10"/>
      <c r="AB210" s="7"/>
      <c r="AC210" s="7"/>
      <c r="AD210" s="7"/>
      <c r="AE210" s="10"/>
      <c r="AF210" s="10"/>
      <c r="AG210" s="10"/>
      <c r="AJ210" t="e">
        <v>#N/A</v>
      </c>
      <c r="AK210" t="e">
        <v>#N/A</v>
      </c>
      <c r="AL210" t="e">
        <v>#N/A</v>
      </c>
      <c r="AM210" t="e">
        <v>#N/A</v>
      </c>
      <c r="AN210" t="e">
        <v>#N/A</v>
      </c>
      <c r="AQ210">
        <v>208</v>
      </c>
      <c r="AR210">
        <f t="shared" si="75"/>
        <v>-10.595371114307122</v>
      </c>
      <c r="AS210">
        <f t="shared" si="76"/>
        <v>-5.6336587534306908</v>
      </c>
    </row>
    <row r="211" spans="1:45" x14ac:dyDescent="0.25">
      <c r="A211" s="15">
        <f t="shared" ca="1" si="73"/>
        <v>0</v>
      </c>
      <c r="B211">
        <f t="shared" ca="1" si="74"/>
        <v>0</v>
      </c>
      <c r="M211" s="7"/>
      <c r="N211" s="7"/>
      <c r="O211" s="7"/>
      <c r="Q211" s="7"/>
      <c r="R211" s="7"/>
      <c r="S211" s="7"/>
      <c r="T211" s="7"/>
      <c r="U211" s="7"/>
      <c r="Y211" s="10"/>
      <c r="Z211" s="10"/>
      <c r="AA211" s="10"/>
      <c r="AB211" s="7"/>
      <c r="AC211" s="7"/>
      <c r="AD211" s="7"/>
      <c r="AE211" s="10"/>
      <c r="AF211" s="10"/>
      <c r="AG211" s="10"/>
      <c r="AJ211" t="e">
        <v>#N/A</v>
      </c>
      <c r="AK211" t="e">
        <v>#N/A</v>
      </c>
      <c r="AL211" t="e">
        <v>#N/A</v>
      </c>
      <c r="AM211" t="e">
        <v>#N/A</v>
      </c>
      <c r="AN211" t="e">
        <v>#N/A</v>
      </c>
      <c r="AQ211">
        <v>209</v>
      </c>
      <c r="AR211">
        <f t="shared" si="75"/>
        <v>-10.49543648567275</v>
      </c>
      <c r="AS211">
        <f t="shared" si="76"/>
        <v>-5.8177154429560431</v>
      </c>
    </row>
    <row r="212" spans="1:45" x14ac:dyDescent="0.25">
      <c r="A212" s="15">
        <f t="shared" ca="1" si="73"/>
        <v>0</v>
      </c>
      <c r="B212">
        <f t="shared" ca="1" si="74"/>
        <v>0</v>
      </c>
      <c r="M212" s="7"/>
      <c r="N212" s="7"/>
      <c r="O212" s="7"/>
      <c r="Q212" s="7"/>
      <c r="R212" s="7"/>
      <c r="S212" s="7"/>
      <c r="T212" s="7"/>
      <c r="U212" s="7"/>
      <c r="Y212" s="10"/>
      <c r="Z212" s="10"/>
      <c r="AA212" s="10"/>
      <c r="AB212" s="7"/>
      <c r="AC212" s="7"/>
      <c r="AD212" s="7"/>
      <c r="AE212" s="10"/>
      <c r="AF212" s="10"/>
      <c r="AG212" s="10"/>
      <c r="AJ212" t="e">
        <v>#N/A</v>
      </c>
      <c r="AK212" t="e">
        <v>#N/A</v>
      </c>
      <c r="AL212" t="e">
        <v>#N/A</v>
      </c>
      <c r="AM212" t="e">
        <v>#N/A</v>
      </c>
      <c r="AN212" t="e">
        <v>#N/A</v>
      </c>
      <c r="AQ212">
        <v>210</v>
      </c>
      <c r="AR212">
        <f t="shared" si="75"/>
        <v>-10.392304845413264</v>
      </c>
      <c r="AS212">
        <f t="shared" si="76"/>
        <v>-6.0000000000000018</v>
      </c>
    </row>
    <row r="213" spans="1:45" x14ac:dyDescent="0.25">
      <c r="A213" s="15">
        <f t="shared" ca="1" si="73"/>
        <v>0</v>
      </c>
      <c r="B213">
        <f t="shared" ca="1" si="74"/>
        <v>0</v>
      </c>
      <c r="M213" s="7"/>
      <c r="N213" s="7"/>
      <c r="O213" s="7"/>
      <c r="Q213" s="7"/>
      <c r="R213" s="7"/>
      <c r="S213" s="7"/>
      <c r="T213" s="7"/>
      <c r="U213" s="7"/>
      <c r="Y213" s="10"/>
      <c r="Z213" s="10"/>
      <c r="AA213" s="10"/>
      <c r="AB213" s="7"/>
      <c r="AC213" s="7"/>
      <c r="AD213" s="7"/>
      <c r="AE213" s="10"/>
      <c r="AF213" s="10"/>
      <c r="AG213" s="10"/>
      <c r="AJ213" t="e">
        <v>#N/A</v>
      </c>
      <c r="AK213" t="e">
        <v>#N/A</v>
      </c>
      <c r="AL213" t="e">
        <v>#N/A</v>
      </c>
      <c r="AM213" t="e">
        <v>#N/A</v>
      </c>
      <c r="AN213" t="e">
        <v>#N/A</v>
      </c>
      <c r="AQ213">
        <v>211</v>
      </c>
      <c r="AR213">
        <f t="shared" si="75"/>
        <v>-10.286007608425347</v>
      </c>
      <c r="AS213">
        <f t="shared" si="76"/>
        <v>-6.1804568989206494</v>
      </c>
    </row>
    <row r="214" spans="1:45" x14ac:dyDescent="0.25">
      <c r="A214" s="15">
        <f t="shared" ca="1" si="73"/>
        <v>0</v>
      </c>
      <c r="B214">
        <f t="shared" ca="1" si="74"/>
        <v>0</v>
      </c>
      <c r="M214" s="7"/>
      <c r="N214" s="7"/>
      <c r="O214" s="7"/>
      <c r="Q214" s="7"/>
      <c r="R214" s="7"/>
      <c r="S214" s="7"/>
      <c r="T214" s="7"/>
      <c r="U214" s="7"/>
      <c r="Y214" s="10"/>
      <c r="Z214" s="10"/>
      <c r="AA214" s="10"/>
      <c r="AB214" s="7"/>
      <c r="AC214" s="7"/>
      <c r="AD214" s="7"/>
      <c r="AE214" s="10"/>
      <c r="AF214" s="10"/>
      <c r="AG214" s="10"/>
      <c r="AJ214" t="e">
        <v>#N/A</v>
      </c>
      <c r="AK214" t="e">
        <v>#N/A</v>
      </c>
      <c r="AL214" t="e">
        <v>#N/A</v>
      </c>
      <c r="AM214" t="e">
        <v>#N/A</v>
      </c>
      <c r="AN214" t="e">
        <v>#N/A</v>
      </c>
      <c r="AQ214">
        <v>212</v>
      </c>
      <c r="AR214">
        <f t="shared" si="75"/>
        <v>-10.176577153877112</v>
      </c>
      <c r="AS214">
        <f t="shared" si="76"/>
        <v>-6.3590311707984579</v>
      </c>
    </row>
    <row r="215" spans="1:45" x14ac:dyDescent="0.25">
      <c r="A215" s="15">
        <f t="shared" ca="1" si="73"/>
        <v>0</v>
      </c>
      <c r="B215">
        <f t="shared" ca="1" si="74"/>
        <v>0</v>
      </c>
      <c r="M215" s="7"/>
      <c r="N215" s="7"/>
      <c r="O215" s="7"/>
      <c r="Q215" s="7"/>
      <c r="R215" s="7"/>
      <c r="S215" s="7"/>
      <c r="T215" s="7"/>
      <c r="U215" s="7"/>
      <c r="Y215" s="10"/>
      <c r="Z215" s="10"/>
      <c r="AA215" s="10"/>
      <c r="AB215" s="7"/>
      <c r="AC215" s="7"/>
      <c r="AD215" s="7"/>
      <c r="AE215" s="10"/>
      <c r="AF215" s="10"/>
      <c r="AG215" s="10"/>
      <c r="AJ215" t="e">
        <v>#N/A</v>
      </c>
      <c r="AK215" t="e">
        <v>#N/A</v>
      </c>
      <c r="AL215" t="e">
        <v>#N/A</v>
      </c>
      <c r="AM215" t="e">
        <v>#N/A</v>
      </c>
      <c r="AN215" t="e">
        <v>#N/A</v>
      </c>
      <c r="AQ215">
        <v>213</v>
      </c>
      <c r="AR215">
        <f t="shared" si="75"/>
        <v>-10.064046815345089</v>
      </c>
      <c r="AS215">
        <f t="shared" si="76"/>
        <v>-6.5356684201803255</v>
      </c>
    </row>
    <row r="216" spans="1:45" x14ac:dyDescent="0.25">
      <c r="A216" s="15">
        <f t="shared" ref="A216:A222" ca="1" si="77">L102</f>
        <v>0</v>
      </c>
      <c r="B216">
        <f t="shared" ref="B216:B222" ca="1" si="78">IF(AND(A216&gt;0,A216&lt;$B$128),(0.85*$B$126)*((2*(A216/$B$128))-POWER(A216/$B$128,2)),IF(A216&gt;0,0.85*$B$126,0))/1000</f>
        <v>0</v>
      </c>
      <c r="M216" s="7"/>
      <c r="N216" s="7"/>
      <c r="O216" s="7"/>
      <c r="Q216" s="7"/>
      <c r="R216" s="7"/>
      <c r="S216" s="7"/>
      <c r="T216" s="7"/>
      <c r="U216" s="7"/>
      <c r="Y216" s="10"/>
      <c r="Z216" s="10"/>
      <c r="AA216" s="10"/>
      <c r="AB216" s="7"/>
      <c r="AC216" s="7"/>
      <c r="AD216" s="7"/>
      <c r="AE216" s="10"/>
      <c r="AF216" s="10"/>
      <c r="AG216" s="10"/>
      <c r="AJ216" t="e">
        <v>#N/A</v>
      </c>
      <c r="AK216" t="e">
        <v>#N/A</v>
      </c>
      <c r="AL216" t="e">
        <v>#N/A</v>
      </c>
      <c r="AM216" t="e">
        <v>#N/A</v>
      </c>
      <c r="AN216" t="e">
        <v>#N/A</v>
      </c>
      <c r="AQ216">
        <v>214</v>
      </c>
      <c r="AR216">
        <f t="shared" si="75"/>
        <v>-9.9484508706605013</v>
      </c>
      <c r="AS216">
        <f t="shared" si="76"/>
        <v>-6.7103148416489606</v>
      </c>
    </row>
    <row r="217" spans="1:45" x14ac:dyDescent="0.25">
      <c r="A217" s="15">
        <f t="shared" ca="1" si="77"/>
        <v>0</v>
      </c>
      <c r="B217">
        <f t="shared" ca="1" si="78"/>
        <v>0</v>
      </c>
      <c r="M217" s="7"/>
      <c r="N217" s="7"/>
      <c r="O217" s="7"/>
      <c r="Q217" s="7"/>
      <c r="R217" s="7"/>
      <c r="S217" s="7"/>
      <c r="T217" s="7"/>
      <c r="U217" s="7"/>
      <c r="Y217" s="10"/>
      <c r="Z217" s="10"/>
      <c r="AA217" s="10"/>
      <c r="AB217" s="7"/>
      <c r="AC217" s="7"/>
      <c r="AD217" s="7"/>
      <c r="AE217" s="10"/>
      <c r="AF217" s="10"/>
      <c r="AG217" s="10"/>
      <c r="AJ217" t="e">
        <v>#N/A</v>
      </c>
      <c r="AK217" t="e">
        <v>#N/A</v>
      </c>
      <c r="AL217" t="e">
        <v>#N/A</v>
      </c>
      <c r="AM217" t="e">
        <v>#N/A</v>
      </c>
      <c r="AN217" t="e">
        <v>#N/A</v>
      </c>
      <c r="AQ217">
        <v>215</v>
      </c>
      <c r="AR217">
        <f t="shared" si="75"/>
        <v>-9.8298245314679011</v>
      </c>
      <c r="AS217">
        <f t="shared" si="76"/>
        <v>-6.8829172362125544</v>
      </c>
    </row>
    <row r="218" spans="1:45" x14ac:dyDescent="0.25">
      <c r="A218" s="15">
        <f t="shared" ca="1" si="77"/>
        <v>0</v>
      </c>
      <c r="B218">
        <f t="shared" ca="1" si="78"/>
        <v>0</v>
      </c>
      <c r="M218" s="7"/>
      <c r="N218" s="7"/>
      <c r="O218" s="7"/>
      <c r="Q218" s="7"/>
      <c r="R218" s="7"/>
      <c r="S218" s="7"/>
      <c r="T218" s="7"/>
      <c r="U218" s="7"/>
      <c r="Y218" s="10"/>
      <c r="Z218" s="10"/>
      <c r="AA218" s="10"/>
      <c r="AB218" s="7"/>
      <c r="AC218" s="7"/>
      <c r="AD218" s="7"/>
      <c r="AE218" s="10"/>
      <c r="AF218" s="10"/>
      <c r="AG218" s="10"/>
      <c r="AJ218" t="e">
        <v>#N/A</v>
      </c>
      <c r="AK218" t="e">
        <v>#N/A</v>
      </c>
      <c r="AL218" t="e">
        <v>#N/A</v>
      </c>
      <c r="AM218" t="e">
        <v>#N/A</v>
      </c>
      <c r="AN218" t="e">
        <v>#N/A</v>
      </c>
      <c r="AQ218">
        <v>216</v>
      </c>
      <c r="AR218">
        <f t="shared" si="75"/>
        <v>-9.7082039324993712</v>
      </c>
      <c r="AS218">
        <f t="shared" si="76"/>
        <v>-7.0534230275096768</v>
      </c>
    </row>
    <row r="219" spans="1:45" x14ac:dyDescent="0.25">
      <c r="A219" s="15">
        <f t="shared" ca="1" si="77"/>
        <v>0</v>
      </c>
      <c r="B219">
        <f t="shared" ca="1" si="78"/>
        <v>0</v>
      </c>
      <c r="M219" s="7"/>
      <c r="N219" s="7"/>
      <c r="O219" s="7"/>
      <c r="Q219" s="7"/>
      <c r="R219" s="7"/>
      <c r="S219" s="7"/>
      <c r="T219" s="7"/>
      <c r="U219" s="7"/>
      <c r="Y219" s="10"/>
      <c r="Z219" s="10"/>
      <c r="AA219" s="10"/>
      <c r="AB219" s="7"/>
      <c r="AC219" s="7"/>
      <c r="AD219" s="7"/>
      <c r="AE219" s="10"/>
      <c r="AF219" s="10"/>
      <c r="AG219" s="10"/>
      <c r="AJ219" t="e">
        <v>#N/A</v>
      </c>
      <c r="AK219" t="e">
        <v>#N/A</v>
      </c>
      <c r="AL219" t="e">
        <v>#N/A</v>
      </c>
      <c r="AM219" t="e">
        <v>#N/A</v>
      </c>
      <c r="AN219" t="e">
        <v>#N/A</v>
      </c>
      <c r="AQ219">
        <v>217</v>
      </c>
      <c r="AR219">
        <f t="shared" si="75"/>
        <v>-9.583626120567514</v>
      </c>
      <c r="AS219">
        <f t="shared" si="76"/>
        <v>-7.2217802778245801</v>
      </c>
    </row>
    <row r="220" spans="1:45" x14ac:dyDescent="0.25">
      <c r="A220" s="15">
        <f t="shared" ca="1" si="77"/>
        <v>0</v>
      </c>
      <c r="B220">
        <f t="shared" ca="1" si="78"/>
        <v>0</v>
      </c>
      <c r="M220" s="7"/>
      <c r="N220" s="7"/>
      <c r="O220" s="7"/>
      <c r="Q220" s="7"/>
      <c r="R220" s="7"/>
      <c r="S220" s="7"/>
      <c r="T220" s="7"/>
      <c r="U220" s="7"/>
      <c r="Y220" s="10"/>
      <c r="Z220" s="10"/>
      <c r="AA220" s="10"/>
      <c r="AB220" s="7"/>
      <c r="AC220" s="7"/>
      <c r="AD220" s="7"/>
      <c r="AE220" s="10"/>
      <c r="AF220" s="10"/>
      <c r="AG220" s="10"/>
      <c r="AJ220" t="e">
        <v>#N/A</v>
      </c>
      <c r="AK220" t="e">
        <v>#N/A</v>
      </c>
      <c r="AL220" t="e">
        <v>#N/A</v>
      </c>
      <c r="AM220" t="e">
        <v>#N/A</v>
      </c>
      <c r="AN220" t="e">
        <v>#N/A</v>
      </c>
      <c r="AQ220">
        <v>218</v>
      </c>
      <c r="AR220">
        <f t="shared" si="75"/>
        <v>-9.4561290432806651</v>
      </c>
      <c r="AS220">
        <f t="shared" si="76"/>
        <v>-7.3879377039078982</v>
      </c>
    </row>
    <row r="221" spans="1:45" x14ac:dyDescent="0.25">
      <c r="A221" s="15">
        <f t="shared" ca="1" si="77"/>
        <v>0</v>
      </c>
      <c r="B221">
        <f t="shared" ca="1" si="78"/>
        <v>0</v>
      </c>
      <c r="M221" s="7"/>
      <c r="N221" s="7"/>
      <c r="O221" s="7"/>
      <c r="Q221" s="7"/>
      <c r="R221" s="7"/>
      <c r="S221" s="7"/>
      <c r="T221" s="7"/>
      <c r="U221" s="7"/>
      <c r="Y221" s="10"/>
      <c r="Z221" s="10"/>
      <c r="AA221" s="10"/>
      <c r="AB221" s="7"/>
      <c r="AC221" s="7"/>
      <c r="AD221" s="7"/>
      <c r="AE221" s="10"/>
      <c r="AF221" s="10"/>
      <c r="AG221" s="10"/>
      <c r="AJ221" t="e">
        <v>#N/A</v>
      </c>
      <c r="AK221" t="e">
        <v>#N/A</v>
      </c>
      <c r="AL221" t="e">
        <v>#N/A</v>
      </c>
      <c r="AM221" t="e">
        <v>#N/A</v>
      </c>
      <c r="AN221" t="e">
        <v>#N/A</v>
      </c>
      <c r="AQ221">
        <v>219</v>
      </c>
      <c r="AR221">
        <f t="shared" si="75"/>
        <v>-9.325751537483649</v>
      </c>
      <c r="AS221">
        <f t="shared" si="76"/>
        <v>-7.5518446925980509</v>
      </c>
    </row>
    <row r="222" spans="1:45" x14ac:dyDescent="0.25">
      <c r="A222" s="15">
        <f t="shared" ca="1" si="77"/>
        <v>0</v>
      </c>
      <c r="B222">
        <f t="shared" ca="1" si="78"/>
        <v>0</v>
      </c>
      <c r="M222" s="7"/>
      <c r="N222" s="7"/>
      <c r="O222" s="7"/>
      <c r="Q222" s="7"/>
      <c r="R222" s="7"/>
      <c r="S222" s="7"/>
      <c r="T222" s="7"/>
      <c r="U222" s="7"/>
      <c r="Y222" s="10"/>
      <c r="Z222" s="10"/>
      <c r="AA222" s="10"/>
      <c r="AB222" s="7"/>
      <c r="AC222" s="7"/>
      <c r="AD222" s="7"/>
      <c r="AE222" s="10"/>
      <c r="AF222" s="10"/>
      <c r="AG222" s="10"/>
      <c r="AJ222" t="e">
        <v>#N/A</v>
      </c>
      <c r="AK222" t="e">
        <v>#N/A</v>
      </c>
      <c r="AL222" t="e">
        <v>#N/A</v>
      </c>
      <c r="AM222" t="e">
        <v>#N/A</v>
      </c>
      <c r="AN222" t="e">
        <v>#N/A</v>
      </c>
      <c r="AQ222">
        <v>220</v>
      </c>
      <c r="AR222">
        <f t="shared" si="75"/>
        <v>-9.1925333174277366</v>
      </c>
      <c r="AS222">
        <f t="shared" si="76"/>
        <v>-7.713451316238471</v>
      </c>
    </row>
    <row r="223" spans="1:45" x14ac:dyDescent="0.25">
      <c r="A223" s="15"/>
      <c r="M223" s="7"/>
      <c r="N223" s="7"/>
      <c r="O223" s="7"/>
      <c r="Q223" s="7"/>
      <c r="R223" s="7"/>
      <c r="S223" s="7"/>
      <c r="T223" s="7"/>
      <c r="U223" s="7"/>
      <c r="Y223" s="10"/>
      <c r="Z223" s="10"/>
      <c r="AA223" s="10"/>
      <c r="AB223" s="7"/>
      <c r="AC223" s="7"/>
      <c r="AD223" s="7"/>
      <c r="AE223" s="10"/>
      <c r="AF223" s="10"/>
      <c r="AG223" s="10"/>
      <c r="AJ223" t="e">
        <v>#N/A</v>
      </c>
      <c r="AK223" t="e">
        <v>#N/A</v>
      </c>
      <c r="AL223" t="e">
        <v>#N/A</v>
      </c>
      <c r="AM223" t="e">
        <v>#N/A</v>
      </c>
      <c r="AN223" t="e">
        <v>#N/A</v>
      </c>
      <c r="AQ223">
        <v>221</v>
      </c>
      <c r="AR223">
        <f t="shared" si="75"/>
        <v>-9.0565149626732655</v>
      </c>
      <c r="AS223">
        <f t="shared" si="76"/>
        <v>-7.8727083478860846</v>
      </c>
    </row>
    <row r="224" spans="1:45" x14ac:dyDescent="0.25">
      <c r="A224" s="15"/>
      <c r="M224" s="7"/>
      <c r="N224" s="7"/>
      <c r="O224" s="7"/>
      <c r="Q224" s="7"/>
      <c r="R224" s="7"/>
      <c r="S224" s="7"/>
      <c r="T224" s="7"/>
      <c r="U224" s="7"/>
      <c r="Y224" s="10"/>
      <c r="Z224" s="10"/>
      <c r="AA224" s="10"/>
      <c r="AB224" s="7"/>
      <c r="AC224" s="7"/>
      <c r="AD224" s="7"/>
      <c r="AE224" s="10"/>
      <c r="AF224" s="10"/>
      <c r="AG224" s="10"/>
      <c r="AJ224" t="e">
        <v>#N/A</v>
      </c>
      <c r="AK224" t="e">
        <v>#N/A</v>
      </c>
      <c r="AL224" t="e">
        <v>#N/A</v>
      </c>
      <c r="AM224" t="e">
        <v>#N/A</v>
      </c>
      <c r="AN224" t="e">
        <v>#N/A</v>
      </c>
      <c r="AQ224">
        <v>222</v>
      </c>
      <c r="AR224">
        <f t="shared" si="75"/>
        <v>-8.9177379057287318</v>
      </c>
      <c r="AS224">
        <f t="shared" si="76"/>
        <v>-8.0295672763062989</v>
      </c>
    </row>
    <row r="225" spans="13:45" x14ac:dyDescent="0.25">
      <c r="M225" s="7"/>
      <c r="N225" s="7"/>
      <c r="O225" s="7"/>
      <c r="Q225" s="7"/>
      <c r="R225" s="7"/>
      <c r="S225" s="7"/>
      <c r="T225" s="7"/>
      <c r="U225" s="7"/>
      <c r="Y225" s="10"/>
      <c r="Z225" s="10"/>
      <c r="AA225" s="10"/>
      <c r="AB225" s="7"/>
      <c r="AC225" s="7"/>
      <c r="AD225" s="7"/>
      <c r="AE225" s="10"/>
      <c r="AF225" s="10"/>
      <c r="AG225" s="10"/>
      <c r="AJ225" t="e">
        <v>#N/A</v>
      </c>
      <c r="AK225" t="e">
        <v>#N/A</v>
      </c>
      <c r="AL225" t="e">
        <v>#N/A</v>
      </c>
      <c r="AM225" t="e">
        <v>#N/A</v>
      </c>
      <c r="AN225" t="e">
        <v>#N/A</v>
      </c>
      <c r="AQ225">
        <v>223</v>
      </c>
      <c r="AR225">
        <f t="shared" si="75"/>
        <v>-8.7762444194300464</v>
      </c>
      <c r="AS225">
        <f t="shared" si="76"/>
        <v>-8.1839803207499813</v>
      </c>
    </row>
    <row r="226" spans="13:45" x14ac:dyDescent="0.25">
      <c r="M226" s="7"/>
      <c r="N226" s="7"/>
      <c r="O226" s="7"/>
      <c r="Q226" s="7"/>
      <c r="R226" s="7"/>
      <c r="S226" s="7"/>
      <c r="T226" s="7"/>
      <c r="U226" s="7"/>
      <c r="Y226" s="10"/>
      <c r="Z226" s="10"/>
      <c r="AA226" s="10"/>
      <c r="AB226" s="7"/>
      <c r="AC226" s="7"/>
      <c r="AD226" s="7"/>
      <c r="AE226" s="10"/>
      <c r="AF226" s="10"/>
      <c r="AG226" s="10"/>
      <c r="AJ226" t="e">
        <v>#N/A</v>
      </c>
      <c r="AK226" t="e">
        <v>#N/A</v>
      </c>
      <c r="AL226" t="e">
        <v>#N/A</v>
      </c>
      <c r="AM226" t="e">
        <v>#N/A</v>
      </c>
      <c r="AN226" t="e">
        <v>#N/A</v>
      </c>
      <c r="AQ226">
        <v>224</v>
      </c>
      <c r="AR226">
        <f t="shared" si="75"/>
        <v>-8.632077604063813</v>
      </c>
      <c r="AS226">
        <f t="shared" si="76"/>
        <v>-8.3359004455079688</v>
      </c>
    </row>
    <row r="227" spans="13:45" x14ac:dyDescent="0.25">
      <c r="M227" s="7"/>
      <c r="N227" s="7"/>
      <c r="O227" s="7"/>
      <c r="Q227" s="7"/>
      <c r="R227" s="7"/>
      <c r="S227" s="7"/>
      <c r="T227" s="7"/>
      <c r="U227" s="7"/>
      <c r="Y227" s="10"/>
      <c r="Z227" s="10"/>
      <c r="AA227" s="10"/>
      <c r="AB227" s="7"/>
      <c r="AC227" s="7"/>
      <c r="AD227" s="7"/>
      <c r="AE227" s="10"/>
      <c r="AF227" s="10"/>
      <c r="AG227" s="10"/>
      <c r="AJ227" t="e">
        <v>#N/A</v>
      </c>
      <c r="AK227" t="e">
        <v>#N/A</v>
      </c>
      <c r="AL227" t="e">
        <v>#N/A</v>
      </c>
      <c r="AM227" t="e">
        <v>#N/A</v>
      </c>
      <c r="AN227" t="e">
        <v>#N/A</v>
      </c>
      <c r="AQ227">
        <v>225</v>
      </c>
      <c r="AR227">
        <f t="shared" si="75"/>
        <v>-8.4852813742385713</v>
      </c>
      <c r="AS227">
        <f t="shared" si="76"/>
        <v>-8.4852813742385695</v>
      </c>
    </row>
    <row r="228" spans="13:45" x14ac:dyDescent="0.25">
      <c r="M228" s="7"/>
      <c r="N228" s="7"/>
      <c r="O228" s="7"/>
      <c r="Q228" s="7"/>
      <c r="R228" s="7"/>
      <c r="S228" s="7"/>
      <c r="T228" s="7"/>
      <c r="U228" s="7"/>
      <c r="Y228" s="10"/>
      <c r="Z228" s="10"/>
      <c r="AA228" s="10"/>
      <c r="AB228" s="7"/>
      <c r="AC228" s="7"/>
      <c r="AD228" s="7"/>
      <c r="AE228" s="10"/>
      <c r="AF228" s="10"/>
      <c r="AG228" s="10"/>
      <c r="AJ228" t="e">
        <v>#N/A</v>
      </c>
      <c r="AK228" t="e">
        <v>#N/A</v>
      </c>
      <c r="AL228" t="e">
        <v>#N/A</v>
      </c>
      <c r="AM228" t="e">
        <v>#N/A</v>
      </c>
      <c r="AN228" t="e">
        <v>#N/A</v>
      </c>
      <c r="AQ228">
        <v>226</v>
      </c>
      <c r="AR228">
        <f t="shared" si="75"/>
        <v>-8.335900445507967</v>
      </c>
      <c r="AS228">
        <f t="shared" si="76"/>
        <v>-8.6320776040638147</v>
      </c>
    </row>
    <row r="229" spans="13:45" x14ac:dyDescent="0.25">
      <c r="M229" s="7"/>
      <c r="N229" s="7"/>
      <c r="O229" s="7"/>
      <c r="Q229" s="7"/>
      <c r="R229" s="7"/>
      <c r="S229" s="7"/>
      <c r="T229" s="7"/>
      <c r="U229" s="7"/>
      <c r="Y229" s="10"/>
      <c r="Z229" s="10"/>
      <c r="AA229" s="10"/>
      <c r="AB229" s="7"/>
      <c r="AC229" s="7"/>
      <c r="AD229" s="7"/>
      <c r="AE229" s="10"/>
      <c r="AF229" s="10"/>
      <c r="AG229" s="10"/>
      <c r="AJ229" t="e">
        <v>#N/A</v>
      </c>
      <c r="AK229" t="e">
        <v>#N/A</v>
      </c>
      <c r="AL229" t="e">
        <v>#N/A</v>
      </c>
      <c r="AM229" t="e">
        <v>#N/A</v>
      </c>
      <c r="AN229" t="e">
        <v>#N/A</v>
      </c>
      <c r="AQ229">
        <v>227</v>
      </c>
      <c r="AR229">
        <f t="shared" si="75"/>
        <v>-8.1839803207499831</v>
      </c>
      <c r="AS229">
        <f t="shared" si="76"/>
        <v>-8.7762444194300464</v>
      </c>
    </row>
    <row r="230" spans="13:45" x14ac:dyDescent="0.25">
      <c r="M230" s="7"/>
      <c r="N230" s="7"/>
      <c r="O230" s="7"/>
      <c r="Q230" s="7"/>
      <c r="R230" s="7"/>
      <c r="S230" s="7"/>
      <c r="T230" s="7"/>
      <c r="U230" s="7"/>
      <c r="Y230" s="10"/>
      <c r="Z230" s="10"/>
      <c r="AA230" s="10"/>
      <c r="AB230" s="7"/>
      <c r="AC230" s="7"/>
      <c r="AD230" s="7"/>
      <c r="AE230" s="10"/>
      <c r="AF230" s="10"/>
      <c r="AG230" s="10"/>
      <c r="AJ230" t="e">
        <v>#N/A</v>
      </c>
      <c r="AK230" t="e">
        <v>#N/A</v>
      </c>
      <c r="AL230" t="e">
        <v>#N/A</v>
      </c>
      <c r="AM230" t="e">
        <v>#N/A</v>
      </c>
      <c r="AN230" t="e">
        <v>#N/A</v>
      </c>
      <c r="AQ230">
        <v>228</v>
      </c>
      <c r="AR230">
        <f t="shared" si="75"/>
        <v>-8.0295672763062971</v>
      </c>
      <c r="AS230">
        <f t="shared" si="76"/>
        <v>-8.9177379057287318</v>
      </c>
    </row>
    <row r="231" spans="13:45" x14ac:dyDescent="0.25">
      <c r="M231" s="7"/>
      <c r="N231" s="7"/>
      <c r="O231" s="7"/>
      <c r="Q231" s="7"/>
      <c r="R231" s="7"/>
      <c r="S231" s="7"/>
      <c r="T231" s="7"/>
      <c r="U231" s="7"/>
      <c r="Y231" s="10"/>
      <c r="Z231" s="10"/>
      <c r="AA231" s="10"/>
      <c r="AB231" s="7"/>
      <c r="AC231" s="7"/>
      <c r="AD231" s="7"/>
      <c r="AE231" s="10"/>
      <c r="AF231" s="10"/>
      <c r="AG231" s="10"/>
      <c r="AJ231" t="e">
        <v>#N/A</v>
      </c>
      <c r="AK231" t="e">
        <v>#N/A</v>
      </c>
      <c r="AL231" t="e">
        <v>#N/A</v>
      </c>
      <c r="AM231" t="e">
        <v>#N/A</v>
      </c>
      <c r="AN231" t="e">
        <v>#N/A</v>
      </c>
      <c r="AQ231">
        <v>229</v>
      </c>
      <c r="AR231">
        <f t="shared" si="75"/>
        <v>-7.8727083478860873</v>
      </c>
      <c r="AS231">
        <f t="shared" si="76"/>
        <v>-9.0565149626732637</v>
      </c>
    </row>
    <row r="232" spans="13:45" x14ac:dyDescent="0.25">
      <c r="M232" s="7"/>
      <c r="N232" s="7"/>
      <c r="O232" s="7"/>
      <c r="Q232" s="7"/>
      <c r="R232" s="7"/>
      <c r="S232" s="7"/>
      <c r="T232" s="7"/>
      <c r="U232" s="7"/>
      <c r="Y232" s="10"/>
      <c r="Z232" s="10"/>
      <c r="AA232" s="10"/>
      <c r="AB232" s="7"/>
      <c r="AC232" s="7"/>
      <c r="AD232" s="7"/>
      <c r="AE232" s="10"/>
      <c r="AF232" s="10"/>
      <c r="AG232" s="10"/>
      <c r="AJ232" t="e">
        <v>#N/A</v>
      </c>
      <c r="AK232" t="e">
        <v>#N/A</v>
      </c>
      <c r="AL232" t="e">
        <v>#N/A</v>
      </c>
      <c r="AM232" t="e">
        <v>#N/A</v>
      </c>
      <c r="AN232" t="e">
        <v>#N/A</v>
      </c>
      <c r="AQ232">
        <v>230</v>
      </c>
      <c r="AR232">
        <f t="shared" si="75"/>
        <v>-7.7134513162384737</v>
      </c>
      <c r="AS232">
        <f t="shared" si="76"/>
        <v>-9.1925333174277348</v>
      </c>
    </row>
    <row r="233" spans="13:45" x14ac:dyDescent="0.25">
      <c r="M233" s="7"/>
      <c r="N233" s="7"/>
      <c r="O233" s="7"/>
      <c r="Q233" s="7"/>
      <c r="R233" s="7"/>
      <c r="S233" s="7"/>
      <c r="T233" s="7"/>
      <c r="U233" s="7"/>
      <c r="Y233" s="10"/>
      <c r="Z233" s="10"/>
      <c r="AA233" s="10"/>
      <c r="AB233" s="7"/>
      <c r="AC233" s="7"/>
      <c r="AD233" s="7"/>
      <c r="AE233" s="10"/>
      <c r="AF233" s="10"/>
      <c r="AG233" s="10"/>
      <c r="AJ233" t="e">
        <v>#N/A</v>
      </c>
      <c r="AK233" t="e">
        <v>#N/A</v>
      </c>
      <c r="AL233" t="e">
        <v>#N/A</v>
      </c>
      <c r="AM233" t="e">
        <v>#N/A</v>
      </c>
      <c r="AN233" t="e">
        <v>#N/A</v>
      </c>
      <c r="AQ233">
        <v>231</v>
      </c>
      <c r="AR233">
        <f t="shared" si="75"/>
        <v>-7.5518446925980545</v>
      </c>
      <c r="AS233">
        <f t="shared" si="76"/>
        <v>-9.3257515374836473</v>
      </c>
    </row>
    <row r="234" spans="13:45" x14ac:dyDescent="0.25">
      <c r="M234" s="7"/>
      <c r="N234" s="7"/>
      <c r="O234" s="7"/>
      <c r="Q234" s="7"/>
      <c r="R234" s="7"/>
      <c r="S234" s="7"/>
      <c r="T234" s="7"/>
      <c r="U234" s="7"/>
      <c r="Y234" s="10"/>
      <c r="Z234" s="10"/>
      <c r="AA234" s="10"/>
      <c r="AB234" s="7"/>
      <c r="AC234" s="7"/>
      <c r="AD234" s="7"/>
      <c r="AE234" s="10"/>
      <c r="AF234" s="10"/>
      <c r="AG234" s="10"/>
      <c r="AJ234" t="e">
        <v>#N/A</v>
      </c>
      <c r="AK234" t="e">
        <v>#N/A</v>
      </c>
      <c r="AL234" t="e">
        <v>#N/A</v>
      </c>
      <c r="AM234" t="e">
        <v>#N/A</v>
      </c>
      <c r="AN234" t="e">
        <v>#N/A</v>
      </c>
      <c r="AQ234">
        <v>232</v>
      </c>
      <c r="AR234">
        <f t="shared" si="75"/>
        <v>-7.3879377039078964</v>
      </c>
      <c r="AS234">
        <f t="shared" si="76"/>
        <v>-9.4561290432806651</v>
      </c>
    </row>
    <row r="235" spans="13:45" x14ac:dyDescent="0.25">
      <c r="M235" s="7"/>
      <c r="N235" s="7"/>
      <c r="O235" s="7"/>
      <c r="Q235" s="7"/>
      <c r="R235" s="7"/>
      <c r="S235" s="7"/>
      <c r="T235" s="7"/>
      <c r="U235" s="7"/>
      <c r="Y235" s="10"/>
      <c r="Z235" s="10"/>
      <c r="AA235" s="10"/>
      <c r="AB235" s="7"/>
      <c r="AC235" s="7"/>
      <c r="AD235" s="7"/>
      <c r="AE235" s="10"/>
      <c r="AF235" s="10"/>
      <c r="AG235" s="10"/>
      <c r="AJ235" t="e">
        <v>#N/A</v>
      </c>
      <c r="AK235" t="e">
        <v>#N/A</v>
      </c>
      <c r="AL235" t="e">
        <v>#N/A</v>
      </c>
      <c r="AM235" t="e">
        <v>#N/A</v>
      </c>
      <c r="AN235" t="e">
        <v>#N/A</v>
      </c>
      <c r="AQ235">
        <v>233</v>
      </c>
      <c r="AR235">
        <f t="shared" si="75"/>
        <v>-7.2217802778245792</v>
      </c>
      <c r="AS235">
        <f t="shared" si="76"/>
        <v>-9.583626120567514</v>
      </c>
    </row>
    <row r="236" spans="13:45" x14ac:dyDescent="0.25">
      <c r="M236" s="7"/>
      <c r="N236" s="7"/>
      <c r="O236" s="7"/>
      <c r="Q236" s="7"/>
      <c r="R236" s="7"/>
      <c r="S236" s="7"/>
      <c r="T236" s="7"/>
      <c r="U236" s="7"/>
      <c r="Y236" s="10"/>
      <c r="Z236" s="10"/>
      <c r="AA236" s="10"/>
      <c r="AB236" s="7"/>
      <c r="AC236" s="7"/>
      <c r="AD236" s="7"/>
      <c r="AE236" s="10"/>
      <c r="AF236" s="10"/>
      <c r="AG236" s="10"/>
      <c r="AJ236" t="e">
        <v>#N/A</v>
      </c>
      <c r="AK236" t="e">
        <v>#N/A</v>
      </c>
      <c r="AL236" t="e">
        <v>#N/A</v>
      </c>
      <c r="AM236" t="e">
        <v>#N/A</v>
      </c>
      <c r="AN236" t="e">
        <v>#N/A</v>
      </c>
      <c r="AQ236">
        <v>234</v>
      </c>
      <c r="AR236">
        <f t="shared" si="75"/>
        <v>-7.0534230275096785</v>
      </c>
      <c r="AS236">
        <f t="shared" si="76"/>
        <v>-9.7082039324993676</v>
      </c>
    </row>
    <row r="237" spans="13:45" x14ac:dyDescent="0.25">
      <c r="M237" s="7"/>
      <c r="N237" s="7"/>
      <c r="O237" s="7"/>
      <c r="Q237" s="7"/>
      <c r="R237" s="7"/>
      <c r="S237" s="7"/>
      <c r="T237" s="7"/>
      <c r="U237" s="7"/>
      <c r="Y237" s="10"/>
      <c r="Z237" s="10"/>
      <c r="AA237" s="10"/>
      <c r="AB237" s="7"/>
      <c r="AC237" s="7"/>
      <c r="AD237" s="7"/>
      <c r="AE237" s="10"/>
      <c r="AF237" s="10"/>
      <c r="AG237" s="10"/>
      <c r="AJ237" t="e">
        <v>#N/A</v>
      </c>
      <c r="AK237" t="e">
        <v>#N/A</v>
      </c>
      <c r="AL237" t="e">
        <v>#N/A</v>
      </c>
      <c r="AM237" t="e">
        <v>#N/A</v>
      </c>
      <c r="AN237" t="e">
        <v>#N/A</v>
      </c>
      <c r="AQ237">
        <v>235</v>
      </c>
      <c r="AR237">
        <f t="shared" si="75"/>
        <v>-6.8829172362125561</v>
      </c>
      <c r="AS237">
        <f t="shared" si="76"/>
        <v>-9.8298245314678994</v>
      </c>
    </row>
    <row r="238" spans="13:45" x14ac:dyDescent="0.25">
      <c r="M238" s="7"/>
      <c r="N238" s="7"/>
      <c r="O238" s="7"/>
      <c r="Q238" s="7"/>
      <c r="R238" s="7"/>
      <c r="S238" s="7"/>
      <c r="T238" s="7"/>
      <c r="U238" s="7"/>
      <c r="Y238" s="10"/>
      <c r="Z238" s="10"/>
      <c r="AA238" s="10"/>
      <c r="AB238" s="7"/>
      <c r="AC238" s="7"/>
      <c r="AD238" s="7"/>
      <c r="AE238" s="10"/>
      <c r="AF238" s="10"/>
      <c r="AG238" s="10"/>
      <c r="AJ238" t="e">
        <v>#N/A</v>
      </c>
      <c r="AK238" t="e">
        <v>#N/A</v>
      </c>
      <c r="AL238" t="e">
        <v>#N/A</v>
      </c>
      <c r="AM238" t="e">
        <v>#N/A</v>
      </c>
      <c r="AN238" t="e">
        <v>#N/A</v>
      </c>
      <c r="AQ238">
        <v>236</v>
      </c>
      <c r="AR238">
        <f t="shared" si="75"/>
        <v>-6.7103148416489589</v>
      </c>
      <c r="AS238">
        <f t="shared" si="76"/>
        <v>-9.9484508706605013</v>
      </c>
    </row>
    <row r="239" spans="13:45" x14ac:dyDescent="0.25">
      <c r="M239" s="7"/>
      <c r="N239" s="7"/>
      <c r="O239" s="7"/>
      <c r="Q239" s="7"/>
      <c r="R239" s="7"/>
      <c r="S239" s="7"/>
      <c r="T239" s="7"/>
      <c r="U239" s="7"/>
      <c r="Y239" s="10"/>
      <c r="Z239" s="10"/>
      <c r="AA239" s="10"/>
      <c r="AB239" s="7"/>
      <c r="AC239" s="7"/>
      <c r="AD239" s="7"/>
      <c r="AE239" s="10"/>
      <c r="AF239" s="10"/>
      <c r="AG239" s="10"/>
      <c r="AJ239" t="e">
        <v>#N/A</v>
      </c>
      <c r="AK239" t="e">
        <v>#N/A</v>
      </c>
      <c r="AL239" t="e">
        <v>#N/A</v>
      </c>
      <c r="AM239" t="e">
        <v>#N/A</v>
      </c>
      <c r="AN239" t="e">
        <v>#N/A</v>
      </c>
      <c r="AQ239">
        <v>237</v>
      </c>
      <c r="AR239">
        <f t="shared" si="75"/>
        <v>-6.5356684201803237</v>
      </c>
      <c r="AS239">
        <f t="shared" si="76"/>
        <v>-10.064046815345089</v>
      </c>
    </row>
    <row r="240" spans="13:45" x14ac:dyDescent="0.25">
      <c r="M240" s="7"/>
      <c r="N240" s="7"/>
      <c r="O240" s="7"/>
      <c r="Q240" s="7"/>
      <c r="R240" s="7"/>
      <c r="S240" s="7"/>
      <c r="T240" s="7"/>
      <c r="U240" s="7"/>
      <c r="Y240" s="10"/>
      <c r="Z240" s="10"/>
      <c r="AA240" s="10"/>
      <c r="AB240" s="7"/>
      <c r="AC240" s="7"/>
      <c r="AD240" s="7"/>
      <c r="AE240" s="10"/>
      <c r="AF240" s="10"/>
      <c r="AG240" s="10"/>
      <c r="AJ240" t="e">
        <v>#N/A</v>
      </c>
      <c r="AK240" t="e">
        <v>#N/A</v>
      </c>
      <c r="AL240" t="e">
        <v>#N/A</v>
      </c>
      <c r="AM240" t="e">
        <v>#N/A</v>
      </c>
      <c r="AN240" t="e">
        <v>#N/A</v>
      </c>
      <c r="AQ240">
        <v>238</v>
      </c>
      <c r="AR240">
        <f t="shared" si="75"/>
        <v>-6.3590311707984597</v>
      </c>
      <c r="AS240">
        <f t="shared" si="76"/>
        <v>-10.176577153877112</v>
      </c>
    </row>
    <row r="241" spans="13:45" x14ac:dyDescent="0.25">
      <c r="M241" s="7"/>
      <c r="N241" s="7"/>
      <c r="O241" s="7"/>
      <c r="Q241" s="7"/>
      <c r="R241" s="7"/>
      <c r="S241" s="7"/>
      <c r="T241" s="7"/>
      <c r="U241" s="7"/>
      <c r="Y241" s="10"/>
      <c r="Z241" s="10"/>
      <c r="AA241" s="10"/>
      <c r="AB241" s="7"/>
      <c r="AC241" s="7"/>
      <c r="AD241" s="7"/>
      <c r="AE241" s="10"/>
      <c r="AF241" s="10"/>
      <c r="AG241" s="10"/>
      <c r="AJ241" t="e">
        <v>#N/A</v>
      </c>
      <c r="AK241" t="e">
        <v>#N/A</v>
      </c>
      <c r="AL241" t="e">
        <v>#N/A</v>
      </c>
      <c r="AM241" t="e">
        <v>#N/A</v>
      </c>
      <c r="AN241" t="e">
        <v>#N/A</v>
      </c>
      <c r="AQ241">
        <v>239</v>
      </c>
      <c r="AR241">
        <f t="shared" si="75"/>
        <v>-6.1804568989206539</v>
      </c>
      <c r="AS241">
        <f t="shared" si="76"/>
        <v>-10.286007608425345</v>
      </c>
    </row>
    <row r="242" spans="13:45" x14ac:dyDescent="0.25">
      <c r="M242" s="7"/>
      <c r="N242" s="7"/>
      <c r="O242" s="7"/>
      <c r="Q242" s="7"/>
      <c r="R242" s="7"/>
      <c r="S242" s="7"/>
      <c r="T242" s="7"/>
      <c r="U242" s="7"/>
      <c r="Y242" s="10"/>
      <c r="Z242" s="10"/>
      <c r="AA242" s="10"/>
      <c r="AB242" s="7"/>
      <c r="AC242" s="7"/>
      <c r="AD242" s="7"/>
      <c r="AE242" s="10"/>
      <c r="AF242" s="10"/>
      <c r="AG242" s="10"/>
      <c r="AJ242" t="e">
        <v>#N/A</v>
      </c>
      <c r="AK242" t="e">
        <v>#N/A</v>
      </c>
      <c r="AL242" t="e">
        <v>#N/A</v>
      </c>
      <c r="AM242" t="e">
        <v>#N/A</v>
      </c>
      <c r="AN242" t="e">
        <v>#N/A</v>
      </c>
      <c r="AQ242">
        <v>240</v>
      </c>
      <c r="AR242">
        <f t="shared" si="75"/>
        <v>-6.0000000000000053</v>
      </c>
      <c r="AS242">
        <f t="shared" si="76"/>
        <v>-10.39230484541326</v>
      </c>
    </row>
    <row r="243" spans="13:45" x14ac:dyDescent="0.25">
      <c r="M243" s="7"/>
      <c r="N243" s="7"/>
      <c r="O243" s="7"/>
      <c r="Q243" s="7"/>
      <c r="R243" s="7"/>
      <c r="S243" s="7"/>
      <c r="T243" s="7"/>
      <c r="U243" s="7"/>
      <c r="Y243" s="10"/>
      <c r="Z243" s="10"/>
      <c r="AA243" s="10"/>
      <c r="AB243" s="7"/>
      <c r="AC243" s="7"/>
      <c r="AD243" s="7"/>
      <c r="AE243" s="10"/>
      <c r="AF243" s="10"/>
      <c r="AG243" s="10"/>
      <c r="AJ243" t="e">
        <v>#N/A</v>
      </c>
      <c r="AK243" t="e">
        <v>#N/A</v>
      </c>
      <c r="AL243" t="e">
        <v>#N/A</v>
      </c>
      <c r="AM243" t="e">
        <v>#N/A</v>
      </c>
      <c r="AN243" t="e">
        <v>#N/A</v>
      </c>
      <c r="AQ243">
        <v>241</v>
      </c>
      <c r="AR243">
        <f t="shared" si="75"/>
        <v>-5.8177154429560423</v>
      </c>
      <c r="AS243">
        <f t="shared" si="76"/>
        <v>-10.495436485672752</v>
      </c>
    </row>
    <row r="244" spans="13:45" x14ac:dyDescent="0.25">
      <c r="M244" s="7"/>
      <c r="N244" s="7"/>
      <c r="O244" s="7"/>
      <c r="Q244" s="7"/>
      <c r="R244" s="7"/>
      <c r="S244" s="7"/>
      <c r="T244" s="7"/>
      <c r="U244" s="7"/>
      <c r="Y244" s="10"/>
      <c r="Z244" s="10"/>
      <c r="AA244" s="10"/>
      <c r="AB244" s="7"/>
      <c r="AC244" s="7"/>
      <c r="AD244" s="7"/>
      <c r="AE244" s="10"/>
      <c r="AF244" s="10"/>
      <c r="AG244" s="10"/>
      <c r="AJ244" t="e">
        <v>#N/A</v>
      </c>
      <c r="AK244" t="e">
        <v>#N/A</v>
      </c>
      <c r="AL244" t="e">
        <v>#N/A</v>
      </c>
      <c r="AM244" t="e">
        <v>#N/A</v>
      </c>
      <c r="AN244" t="e">
        <v>#N/A</v>
      </c>
      <c r="AQ244">
        <v>242</v>
      </c>
      <c r="AR244">
        <f t="shared" si="75"/>
        <v>-5.633658753430689</v>
      </c>
      <c r="AS244">
        <f t="shared" si="76"/>
        <v>-10.595371114307124</v>
      </c>
    </row>
    <row r="245" spans="13:45" x14ac:dyDescent="0.25">
      <c r="M245" s="7"/>
      <c r="N245" s="7"/>
      <c r="O245" s="7"/>
      <c r="Q245" s="7"/>
      <c r="R245" s="7"/>
      <c r="S245" s="7"/>
      <c r="T245" s="7"/>
      <c r="U245" s="7"/>
      <c r="Y245" s="10"/>
      <c r="Z245" s="10"/>
      <c r="AA245" s="10"/>
      <c r="AB245" s="7"/>
      <c r="AC245" s="7"/>
      <c r="AD245" s="7"/>
      <c r="AE245" s="10"/>
      <c r="AF245" s="10"/>
      <c r="AG245" s="10"/>
      <c r="AJ245" t="e">
        <v>#N/A</v>
      </c>
      <c r="AK245" t="e">
        <v>#N/A</v>
      </c>
      <c r="AL245" t="e">
        <v>#N/A</v>
      </c>
      <c r="AM245" t="e">
        <v>#N/A</v>
      </c>
      <c r="AN245" t="e">
        <v>#N/A</v>
      </c>
      <c r="AQ245">
        <v>243</v>
      </c>
      <c r="AR245">
        <f t="shared" si="75"/>
        <v>-5.4478859968745628</v>
      </c>
      <c r="AS245">
        <f t="shared" si="76"/>
        <v>-10.692078290260413</v>
      </c>
    </row>
    <row r="246" spans="13:45" x14ac:dyDescent="0.25">
      <c r="M246" s="7"/>
      <c r="N246" s="7"/>
      <c r="O246" s="7"/>
      <c r="Q246" s="7"/>
      <c r="R246" s="7"/>
      <c r="S246" s="7"/>
      <c r="T246" s="7"/>
      <c r="U246" s="7"/>
      <c r="Y246" s="10"/>
      <c r="Z246" s="10"/>
      <c r="AA246" s="10"/>
      <c r="AB246" s="7"/>
      <c r="AC246" s="7"/>
      <c r="AD246" s="7"/>
      <c r="AE246" s="10"/>
      <c r="AF246" s="10"/>
      <c r="AG246" s="10"/>
      <c r="AJ246" t="e">
        <v>#N/A</v>
      </c>
      <c r="AK246" t="e">
        <v>#N/A</v>
      </c>
      <c r="AL246" t="e">
        <v>#N/A</v>
      </c>
      <c r="AM246" t="e">
        <v>#N/A</v>
      </c>
      <c r="AN246" t="e">
        <v>#N/A</v>
      </c>
      <c r="AQ246">
        <v>244</v>
      </c>
      <c r="AR246">
        <f t="shared" si="75"/>
        <v>-5.2604537614689324</v>
      </c>
      <c r="AS246">
        <f t="shared" si="76"/>
        <v>-10.785528555590002</v>
      </c>
    </row>
    <row r="247" spans="13:45" x14ac:dyDescent="0.25">
      <c r="M247" s="7"/>
      <c r="N247" s="7"/>
      <c r="O247" s="7"/>
      <c r="Q247" s="7"/>
      <c r="R247" s="7"/>
      <c r="S247" s="7"/>
      <c r="T247" s="7"/>
      <c r="U247" s="7"/>
      <c r="Y247" s="10"/>
      <c r="Z247" s="10"/>
      <c r="AA247" s="10"/>
      <c r="AB247" s="7"/>
      <c r="AC247" s="7"/>
      <c r="AD247" s="7"/>
      <c r="AE247" s="10"/>
      <c r="AF247" s="10"/>
      <c r="AG247" s="10"/>
      <c r="AJ247" t="e">
        <v>#N/A</v>
      </c>
      <c r="AK247" t="e">
        <v>#N/A</v>
      </c>
      <c r="AL247" t="e">
        <v>#N/A</v>
      </c>
      <c r="AM247" t="e">
        <v>#N/A</v>
      </c>
      <c r="AN247" t="e">
        <v>#N/A</v>
      </c>
      <c r="AQ247">
        <v>245</v>
      </c>
      <c r="AR247">
        <f t="shared" si="75"/>
        <v>-5.0714191408883895</v>
      </c>
      <c r="AS247">
        <f t="shared" si="76"/>
        <v>-10.875693444439801</v>
      </c>
    </row>
    <row r="248" spans="13:45" x14ac:dyDescent="0.25">
      <c r="M248" s="7"/>
      <c r="N248" s="7"/>
      <c r="O248" s="7"/>
      <c r="Q248" s="7"/>
      <c r="R248" s="7"/>
      <c r="S248" s="7"/>
      <c r="T248" s="7"/>
      <c r="U248" s="7"/>
      <c r="Y248" s="10"/>
      <c r="Z248" s="10"/>
      <c r="AA248" s="10"/>
      <c r="AB248" s="7"/>
      <c r="AC248" s="7"/>
      <c r="AD248" s="7"/>
      <c r="AE248" s="10"/>
      <c r="AF248" s="10"/>
      <c r="AG248" s="10"/>
      <c r="AJ248" t="e">
        <v>#N/A</v>
      </c>
      <c r="AK248" t="e">
        <v>#N/A</v>
      </c>
      <c r="AL248" t="e">
        <v>#N/A</v>
      </c>
      <c r="AM248" t="e">
        <v>#N/A</v>
      </c>
      <c r="AN248" t="e">
        <v>#N/A</v>
      </c>
      <c r="AQ248">
        <v>246</v>
      </c>
      <c r="AR248">
        <f t="shared" si="75"/>
        <v>-4.8808397169096009</v>
      </c>
      <c r="AS248">
        <f t="shared" si="76"/>
        <v>-10.962545491711211</v>
      </c>
    </row>
    <row r="249" spans="13:45" x14ac:dyDescent="0.25">
      <c r="M249" s="7"/>
      <c r="N249" s="7"/>
      <c r="O249" s="7"/>
      <c r="Q249" s="7"/>
      <c r="R249" s="7"/>
      <c r="S249" s="7"/>
      <c r="T249" s="7"/>
      <c r="U249" s="7"/>
      <c r="Y249" s="10"/>
      <c r="Z249" s="10"/>
      <c r="AA249" s="10"/>
      <c r="AB249" s="7"/>
      <c r="AC249" s="7"/>
      <c r="AD249" s="7"/>
      <c r="AE249" s="10"/>
      <c r="AF249" s="10"/>
      <c r="AG249" s="10"/>
      <c r="AJ249" t="e">
        <v>#N/A</v>
      </c>
      <c r="AK249" t="e">
        <v>#N/A</v>
      </c>
      <c r="AL249" t="e">
        <v>#N/A</v>
      </c>
      <c r="AM249" t="e">
        <v>#N/A</v>
      </c>
      <c r="AN249" t="e">
        <v>#N/A</v>
      </c>
      <c r="AQ249">
        <v>247</v>
      </c>
      <c r="AR249">
        <f t="shared" si="75"/>
        <v>-4.6887735418712859</v>
      </c>
      <c r="AS249">
        <f t="shared" si="76"/>
        <v>-11.046058241429282</v>
      </c>
    </row>
    <row r="250" spans="13:45" x14ac:dyDescent="0.25">
      <c r="M250" s="7"/>
      <c r="N250" s="7"/>
      <c r="O250" s="7"/>
      <c r="Q250" s="7"/>
      <c r="R250" s="7"/>
      <c r="S250" s="7"/>
      <c r="T250" s="7"/>
      <c r="U250" s="7"/>
      <c r="Y250" s="10"/>
      <c r="Z250" s="10"/>
      <c r="AA250" s="10"/>
      <c r="AB250" s="7"/>
      <c r="AC250" s="7"/>
      <c r="AD250" s="7"/>
      <c r="AE250" s="10"/>
      <c r="AF250" s="10"/>
      <c r="AG250" s="10"/>
      <c r="AJ250" t="e">
        <v>#N/A</v>
      </c>
      <c r="AK250" t="e">
        <v>#N/A</v>
      </c>
      <c r="AL250" t="e">
        <v>#N/A</v>
      </c>
      <c r="AM250" t="e">
        <v>#N/A</v>
      </c>
      <c r="AN250" t="e">
        <v>#N/A</v>
      </c>
      <c r="AQ250">
        <v>248</v>
      </c>
      <c r="AR250">
        <f t="shared" si="75"/>
        <v>-4.4952791209909471</v>
      </c>
      <c r="AS250">
        <f t="shared" si="76"/>
        <v>-11.126206254801447</v>
      </c>
    </row>
    <row r="251" spans="13:45" x14ac:dyDescent="0.25">
      <c r="M251" s="7"/>
      <c r="N251" s="7"/>
      <c r="O251" s="7"/>
      <c r="Q251" s="7"/>
      <c r="R251" s="7"/>
      <c r="S251" s="7"/>
      <c r="T251" s="7"/>
      <c r="U251" s="7"/>
      <c r="Y251" s="10"/>
      <c r="Z251" s="10"/>
      <c r="AA251" s="10"/>
      <c r="AB251" s="7"/>
      <c r="AC251" s="7"/>
      <c r="AD251" s="7"/>
      <c r="AE251" s="10"/>
      <c r="AF251" s="10"/>
      <c r="AG251" s="10"/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Q251">
        <v>249</v>
      </c>
      <c r="AR251">
        <f t="shared" si="75"/>
        <v>-4.3004153945436085</v>
      </c>
      <c r="AS251">
        <f t="shared" si="76"/>
        <v>-11.20296511796642</v>
      </c>
    </row>
    <row r="252" spans="13:45" x14ac:dyDescent="0.25">
      <c r="M252" s="7"/>
      <c r="N252" s="7"/>
      <c r="O252" s="7"/>
      <c r="Q252" s="7"/>
      <c r="R252" s="7"/>
      <c r="S252" s="7"/>
      <c r="T252" s="7"/>
      <c r="U252" s="7"/>
      <c r="Y252" s="10"/>
      <c r="Z252" s="10"/>
      <c r="AA252" s="10"/>
      <c r="AB252" s="7"/>
      <c r="AC252" s="7"/>
      <c r="AD252" s="7"/>
      <c r="AE252" s="10"/>
      <c r="AF252" s="10"/>
      <c r="AG252" s="10"/>
      <c r="AJ252" t="e">
        <v>#N/A</v>
      </c>
      <c r="AK252" t="e">
        <v>#N/A</v>
      </c>
      <c r="AL252" t="e">
        <v>#N/A</v>
      </c>
      <c r="AM252" t="e">
        <v>#N/A</v>
      </c>
      <c r="AN252" t="e">
        <v>#N/A</v>
      </c>
      <c r="AQ252">
        <v>250</v>
      </c>
      <c r="AR252">
        <f t="shared" si="75"/>
        <v>-4.104241719908023</v>
      </c>
      <c r="AS252">
        <f t="shared" si="76"/>
        <v>-11.276311449430901</v>
      </c>
    </row>
    <row r="253" spans="13:45" x14ac:dyDescent="0.25">
      <c r="M253" s="7"/>
      <c r="N253" s="7"/>
      <c r="O253" s="7"/>
      <c r="Q253" s="7"/>
      <c r="R253" s="7"/>
      <c r="S253" s="7"/>
      <c r="T253" s="7"/>
      <c r="U253" s="7"/>
      <c r="Y253" s="10"/>
      <c r="Z253" s="10"/>
      <c r="AA253" s="10"/>
      <c r="AB253" s="7"/>
      <c r="AC253" s="7"/>
      <c r="AD253" s="7"/>
      <c r="AE253" s="10"/>
      <c r="AF253" s="10"/>
      <c r="AG253" s="10"/>
      <c r="AJ253" t="e">
        <v>#N/A</v>
      </c>
      <c r="AK253" t="e">
        <v>#N/A</v>
      </c>
      <c r="AL253" t="e">
        <v>#N/A</v>
      </c>
      <c r="AM253" t="e">
        <v>#N/A</v>
      </c>
      <c r="AN253" t="e">
        <v>#N/A</v>
      </c>
      <c r="AQ253">
        <v>251</v>
      </c>
      <c r="AR253">
        <f t="shared" si="75"/>
        <v>-3.9068178534858795</v>
      </c>
      <c r="AS253">
        <f t="shared" si="76"/>
        <v>-11.346222907191802</v>
      </c>
    </row>
    <row r="254" spans="13:45" x14ac:dyDescent="0.25">
      <c r="M254" s="7"/>
      <c r="N254" s="7"/>
      <c r="O254" s="7"/>
      <c r="Q254" s="7"/>
      <c r="R254" s="7"/>
      <c r="S254" s="7"/>
      <c r="T254" s="7"/>
      <c r="U254" s="7"/>
      <c r="Y254" s="10"/>
      <c r="Z254" s="10"/>
      <c r="AA254" s="10"/>
      <c r="AB254" s="7"/>
      <c r="AC254" s="7"/>
      <c r="AD254" s="7"/>
      <c r="AE254" s="10"/>
      <c r="AF254" s="10"/>
      <c r="AG254" s="10"/>
      <c r="AJ254" t="e">
        <v>#N/A</v>
      </c>
      <c r="AK254" t="e">
        <v>#N/A</v>
      </c>
      <c r="AL254" t="e">
        <v>#N/A</v>
      </c>
      <c r="AM254" t="e">
        <v>#N/A</v>
      </c>
      <c r="AN254" t="e">
        <v>#N/A</v>
      </c>
      <c r="AQ254">
        <v>252</v>
      </c>
      <c r="AR254">
        <f t="shared" si="75"/>
        <v>-3.7082039324993707</v>
      </c>
      <c r="AS254">
        <f t="shared" si="76"/>
        <v>-11.412678195541842</v>
      </c>
    </row>
    <row r="255" spans="13:45" x14ac:dyDescent="0.25">
      <c r="M255" s="7"/>
      <c r="N255" s="7"/>
      <c r="O255" s="7"/>
      <c r="Q255" s="7"/>
      <c r="R255" s="7"/>
      <c r="S255" s="7"/>
      <c r="T255" s="7"/>
      <c r="U255" s="7"/>
      <c r="Y255" s="10"/>
      <c r="Z255" s="10"/>
      <c r="AA255" s="10"/>
      <c r="AB255" s="7"/>
      <c r="AC255" s="7"/>
      <c r="AD255" s="7"/>
      <c r="AE255" s="10"/>
      <c r="AF255" s="10"/>
      <c r="AG255" s="10"/>
      <c r="AJ255" t="e">
        <v>#N/A</v>
      </c>
      <c r="AK255" t="e">
        <v>#N/A</v>
      </c>
      <c r="AL255" t="e">
        <v>#N/A</v>
      </c>
      <c r="AM255" t="e">
        <v>#N/A</v>
      </c>
      <c r="AN255" t="e">
        <v>#N/A</v>
      </c>
      <c r="AQ255">
        <v>253</v>
      </c>
      <c r="AR255">
        <f t="shared" si="75"/>
        <v>-3.5084604566728452</v>
      </c>
      <c r="AS255">
        <f t="shared" si="76"/>
        <v>-11.475657071556423</v>
      </c>
    </row>
    <row r="256" spans="13:45" x14ac:dyDescent="0.25">
      <c r="M256" s="7"/>
      <c r="N256" s="7"/>
      <c r="O256" s="7"/>
      <c r="Q256" s="7"/>
      <c r="R256" s="7"/>
      <c r="S256" s="7"/>
      <c r="T256" s="7"/>
      <c r="U256" s="7"/>
      <c r="Y256" s="10"/>
      <c r="Z256" s="10"/>
      <c r="AA256" s="10"/>
      <c r="AB256" s="7"/>
      <c r="AC256" s="7"/>
      <c r="AD256" s="7"/>
      <c r="AE256" s="10"/>
      <c r="AF256" s="10"/>
      <c r="AG256" s="10"/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Q256">
        <v>254</v>
      </c>
      <c r="AR256">
        <f t="shared" si="75"/>
        <v>-3.3076482698039866</v>
      </c>
      <c r="AS256">
        <f t="shared" si="76"/>
        <v>-11.535140351259829</v>
      </c>
    </row>
    <row r="257" spans="13:45" x14ac:dyDescent="0.25">
      <c r="M257" s="7"/>
      <c r="N257" s="7"/>
      <c r="O257" s="7"/>
      <c r="Q257" s="7"/>
      <c r="R257" s="7"/>
      <c r="S257" s="7"/>
      <c r="T257" s="7"/>
      <c r="U257" s="7"/>
      <c r="Y257" s="10"/>
      <c r="Z257" s="10"/>
      <c r="AA257" s="10"/>
      <c r="AB257" s="7"/>
      <c r="AC257" s="7"/>
      <c r="AD257" s="7"/>
      <c r="AE257" s="10"/>
      <c r="AF257" s="10"/>
      <c r="AG257" s="10"/>
      <c r="AJ257" t="e">
        <v>#N/A</v>
      </c>
      <c r="AK257" t="e">
        <v>#N/A</v>
      </c>
      <c r="AL257" t="e">
        <v>#N/A</v>
      </c>
      <c r="AM257" t="e">
        <v>#N/A</v>
      </c>
      <c r="AN257" t="e">
        <v>#N/A</v>
      </c>
      <c r="AQ257">
        <v>255</v>
      </c>
      <c r="AR257">
        <f t="shared" si="75"/>
        <v>-3.1058285412302475</v>
      </c>
      <c r="AS257">
        <f t="shared" si="76"/>
        <v>-11.59110991546882</v>
      </c>
    </row>
    <row r="258" spans="13:45" x14ac:dyDescent="0.25">
      <c r="M258" s="7"/>
      <c r="N258" s="7"/>
      <c r="O258" s="7"/>
      <c r="Q258" s="7"/>
      <c r="R258" s="7"/>
      <c r="S258" s="7"/>
      <c r="T258" s="7"/>
      <c r="U258" s="7"/>
      <c r="Y258" s="10"/>
      <c r="Z258" s="10"/>
      <c r="AA258" s="10"/>
      <c r="AB258" s="7"/>
      <c r="AC258" s="7"/>
      <c r="AD258" s="7"/>
      <c r="AE258" s="10"/>
      <c r="AF258" s="10"/>
      <c r="AG258" s="10"/>
      <c r="AJ258" t="e">
        <v>#N/A</v>
      </c>
      <c r="AK258" t="e">
        <v>#N/A</v>
      </c>
      <c r="AL258" t="e">
        <v>#N/A</v>
      </c>
      <c r="AM258" t="e">
        <v>#N/A</v>
      </c>
      <c r="AN258" t="e">
        <v>#N/A</v>
      </c>
      <c r="AQ258">
        <v>256</v>
      </c>
      <c r="AR258">
        <f t="shared" si="75"/>
        <v>-2.9030627471960133</v>
      </c>
      <c r="AS258">
        <f t="shared" si="76"/>
        <v>-11.643548715311958</v>
      </c>
    </row>
    <row r="259" spans="13:45" x14ac:dyDescent="0.25">
      <c r="M259" s="7"/>
      <c r="N259" s="7"/>
      <c r="O259" s="7"/>
      <c r="Q259" s="7"/>
      <c r="R259" s="7"/>
      <c r="S259" s="7"/>
      <c r="T259" s="7"/>
      <c r="U259" s="7"/>
      <c r="Y259" s="10"/>
      <c r="Z259" s="10"/>
      <c r="AA259" s="10"/>
      <c r="AB259" s="7"/>
      <c r="AC259" s="7"/>
      <c r="AD259" s="7"/>
      <c r="AE259" s="10"/>
      <c r="AF259" s="10"/>
      <c r="AG259" s="10"/>
      <c r="AJ259" t="e">
        <v>#N/A</v>
      </c>
      <c r="AK259" t="e">
        <v>#N/A</v>
      </c>
      <c r="AL259" t="e">
        <v>#N/A</v>
      </c>
      <c r="AM259" t="e">
        <v>#N/A</v>
      </c>
      <c r="AN259" t="e">
        <v>#N/A</v>
      </c>
      <c r="AQ259">
        <v>257</v>
      </c>
      <c r="AR259">
        <f t="shared" ref="AR259:AR322" si="79">$B$3*COS(RADIANS(AQ259))</f>
        <v>-2.6994126521263828</v>
      </c>
      <c r="AS259">
        <f t="shared" ref="AS259:AS322" si="80">$B$3*SIN(RADIANS(AQ259))</f>
        <v>-11.692440777422821</v>
      </c>
    </row>
    <row r="260" spans="13:45" x14ac:dyDescent="0.25">
      <c r="M260" s="7"/>
      <c r="N260" s="7"/>
      <c r="O260" s="7"/>
      <c r="Q260" s="7"/>
      <c r="R260" s="7"/>
      <c r="S260" s="7"/>
      <c r="T260" s="7"/>
      <c r="U260" s="7"/>
      <c r="Y260" s="10"/>
      <c r="Z260" s="10"/>
      <c r="AA260" s="10"/>
      <c r="AB260" s="7"/>
      <c r="AC260" s="7"/>
      <c r="AD260" s="7"/>
      <c r="AE260" s="10"/>
      <c r="AF260" s="10"/>
      <c r="AG260" s="10"/>
      <c r="AJ260" t="e">
        <v>#N/A</v>
      </c>
      <c r="AK260" t="e">
        <v>#N/A</v>
      </c>
      <c r="AL260" t="e">
        <v>#N/A</v>
      </c>
      <c r="AM260" t="e">
        <v>#N/A</v>
      </c>
      <c r="AN260" t="e">
        <v>#N/A</v>
      </c>
      <c r="AQ260">
        <v>258</v>
      </c>
      <c r="AR260">
        <f t="shared" si="79"/>
        <v>-2.4949402898131172</v>
      </c>
      <c r="AS260">
        <f t="shared" si="80"/>
        <v>-11.737771208805666</v>
      </c>
    </row>
    <row r="261" spans="13:45" x14ac:dyDescent="0.25">
      <c r="M261" s="7"/>
      <c r="N261" s="7"/>
      <c r="O261" s="7"/>
      <c r="Q261" s="7"/>
      <c r="R261" s="7"/>
      <c r="S261" s="7"/>
      <c r="T261" s="7"/>
      <c r="U261" s="7"/>
      <c r="Y261" s="10"/>
      <c r="Z261" s="10"/>
      <c r="AA261" s="10"/>
      <c r="AB261" s="7"/>
      <c r="AC261" s="7"/>
      <c r="AD261" s="7"/>
      <c r="AE261" s="10"/>
      <c r="AF261" s="10"/>
      <c r="AG261" s="10"/>
      <c r="AJ261" t="e">
        <v>#N/A</v>
      </c>
      <c r="AK261" t="e">
        <v>#N/A</v>
      </c>
      <c r="AL261" t="e">
        <v>#N/A</v>
      </c>
      <c r="AM261" t="e">
        <v>#N/A</v>
      </c>
      <c r="AN261" t="e">
        <v>#N/A</v>
      </c>
      <c r="AQ261">
        <v>259</v>
      </c>
      <c r="AR261">
        <f t="shared" si="79"/>
        <v>-2.2897079445185353</v>
      </c>
      <c r="AS261">
        <f t="shared" si="80"/>
        <v>-11.779526201371969</v>
      </c>
    </row>
    <row r="262" spans="13:45" x14ac:dyDescent="0.25">
      <c r="M262" s="9"/>
      <c r="AE262" s="10"/>
      <c r="AF262" s="10"/>
      <c r="AG262" s="10"/>
      <c r="AJ262" t="e">
        <v>#N/A</v>
      </c>
      <c r="AK262" t="e">
        <v>#N/A</v>
      </c>
      <c r="AL262" t="e">
        <v>#N/A</v>
      </c>
      <c r="AM262" t="e">
        <v>#N/A</v>
      </c>
      <c r="AN262" t="e">
        <v>#N/A</v>
      </c>
      <c r="AQ262">
        <v>260</v>
      </c>
      <c r="AR262">
        <f t="shared" si="79"/>
        <v>-2.0837781320031641</v>
      </c>
      <c r="AS262">
        <f t="shared" si="80"/>
        <v>-11.817693036146496</v>
      </c>
    </row>
    <row r="263" spans="13:45" x14ac:dyDescent="0.25">
      <c r="M263" s="9"/>
      <c r="AE263" s="10"/>
      <c r="AF263" s="10"/>
      <c r="AG263" s="10"/>
      <c r="AJ263" t="e">
        <v>#N/A</v>
      </c>
      <c r="AK263" t="e">
        <v>#N/A</v>
      </c>
      <c r="AL263" t="e">
        <v>#N/A</v>
      </c>
      <c r="AM263" t="e">
        <v>#N/A</v>
      </c>
      <c r="AN263" t="e">
        <v>#N/A</v>
      </c>
      <c r="AQ263">
        <v>261</v>
      </c>
      <c r="AR263">
        <f t="shared" si="79"/>
        <v>-1.8772135804827723</v>
      </c>
      <c r="AS263">
        <f t="shared" si="80"/>
        <v>-11.852260087141651</v>
      </c>
    </row>
    <row r="264" spans="13:45" x14ac:dyDescent="0.25">
      <c r="M264" s="9"/>
      <c r="AJ264" t="e">
        <v>#N/A</v>
      </c>
      <c r="AK264" t="e">
        <v>#N/A</v>
      </c>
      <c r="AL264" t="e">
        <v>#N/A</v>
      </c>
      <c r="AM264" t="e">
        <v>#N/A</v>
      </c>
      <c r="AN264" t="e">
        <v>#N/A</v>
      </c>
      <c r="AQ264">
        <v>262</v>
      </c>
      <c r="AR264">
        <f t="shared" si="79"/>
        <v>-1.6700772115207898</v>
      </c>
      <c r="AS264">
        <f t="shared" si="80"/>
        <v>-11.883216824898843</v>
      </c>
    </row>
    <row r="265" spans="13:45" x14ac:dyDescent="0.25">
      <c r="M265" s="9"/>
      <c r="AJ265" t="e">
        <v>#N/A</v>
      </c>
      <c r="AK265" t="e">
        <v>#N/A</v>
      </c>
      <c r="AL265" t="e">
        <v>#N/A</v>
      </c>
      <c r="AM265" t="e">
        <v>#N/A</v>
      </c>
      <c r="AN265" t="e">
        <v>#N/A</v>
      </c>
      <c r="AQ265">
        <v>263</v>
      </c>
      <c r="AR265">
        <f t="shared" si="79"/>
        <v>-1.4624321208617661</v>
      </c>
      <c r="AS265">
        <f t="shared" si="80"/>
        <v>-11.910553819695865</v>
      </c>
    </row>
    <row r="266" spans="13:45" x14ac:dyDescent="0.25">
      <c r="M266" s="9"/>
      <c r="AJ266" t="e">
        <v>#N/A</v>
      </c>
      <c r="AK266" t="e">
        <v>#N/A</v>
      </c>
      <c r="AL266" t="e">
        <v>#N/A</v>
      </c>
      <c r="AM266" t="e">
        <v>#N/A</v>
      </c>
      <c r="AN266" t="e">
        <v>#N/A</v>
      </c>
      <c r="AQ266">
        <v>264</v>
      </c>
      <c r="AR266">
        <f t="shared" si="79"/>
        <v>-1.2543415592118403</v>
      </c>
      <c r="AS266">
        <f t="shared" si="80"/>
        <v>-11.93426274441928</v>
      </c>
    </row>
    <row r="267" spans="13:45" x14ac:dyDescent="0.25">
      <c r="M267" s="9"/>
      <c r="AJ267" t="e">
        <v>#N/A</v>
      </c>
      <c r="AK267" t="e">
        <v>#N/A</v>
      </c>
      <c r="AL267" t="e">
        <v>#N/A</v>
      </c>
      <c r="AM267" t="e">
        <v>#N/A</v>
      </c>
      <c r="AN267" t="e">
        <v>#N/A</v>
      </c>
      <c r="AQ267">
        <v>265</v>
      </c>
      <c r="AR267">
        <f t="shared" si="79"/>
        <v>-1.045868912971899</v>
      </c>
      <c r="AS267">
        <f t="shared" si="80"/>
        <v>-11.954336377100947</v>
      </c>
    </row>
    <row r="268" spans="13:45" x14ac:dyDescent="0.25">
      <c r="M268" s="9"/>
      <c r="AJ268" t="e">
        <v>#N/A</v>
      </c>
      <c r="AK268" t="e">
        <v>#N/A</v>
      </c>
      <c r="AL268" t="e">
        <v>#N/A</v>
      </c>
      <c r="AM268" t="e">
        <v>#N/A</v>
      </c>
      <c r="AN268" t="e">
        <v>#N/A</v>
      </c>
      <c r="AQ268">
        <v>266</v>
      </c>
      <c r="AR268">
        <f t="shared" si="79"/>
        <v>-0.83707768492950696</v>
      </c>
      <c r="AS268">
        <f t="shared" si="80"/>
        <v>-11.970768603117889</v>
      </c>
    </row>
    <row r="269" spans="13:45" x14ac:dyDescent="0.25">
      <c r="M269" s="9"/>
      <c r="AJ269" t="e">
        <v>#N/A</v>
      </c>
      <c r="AK269" t="e">
        <v>#N/A</v>
      </c>
      <c r="AL269" t="e">
        <v>#N/A</v>
      </c>
      <c r="AM269" t="e">
        <v>#N/A</v>
      </c>
      <c r="AN269" t="e">
        <v>#N/A</v>
      </c>
      <c r="AQ269">
        <v>267</v>
      </c>
      <c r="AR269">
        <f t="shared" si="79"/>
        <v>-0.62803147491533173</v>
      </c>
      <c r="AS269">
        <f t="shared" si="80"/>
        <v>-11.983554417054886</v>
      </c>
    </row>
    <row r="270" spans="13:45" x14ac:dyDescent="0.25">
      <c r="M270" s="9"/>
      <c r="AJ270" t="e">
        <v>#N/A</v>
      </c>
      <c r="AK270" t="e">
        <v>#N/A</v>
      </c>
      <c r="AL270" t="e">
        <v>#N/A</v>
      </c>
      <c r="AM270" t="e">
        <v>#N/A</v>
      </c>
      <c r="AN270" t="e">
        <v>#N/A</v>
      </c>
      <c r="AQ270">
        <v>268</v>
      </c>
      <c r="AR270">
        <f t="shared" si="79"/>
        <v>-0.41879396043000916</v>
      </c>
      <c r="AS270">
        <f t="shared" si="80"/>
        <v>-11.992689924229149</v>
      </c>
    </row>
    <row r="271" spans="13:45" x14ac:dyDescent="0.25">
      <c r="M271" s="9"/>
      <c r="AJ271" t="e">
        <v>#N/A</v>
      </c>
      <c r="AK271" t="e">
        <v>#N/A</v>
      </c>
      <c r="AL271" t="e">
        <v>#N/A</v>
      </c>
      <c r="AM271" t="e">
        <v>#N/A</v>
      </c>
      <c r="AN271" t="e">
        <v>#N/A</v>
      </c>
      <c r="AQ271">
        <v>269</v>
      </c>
      <c r="AR271">
        <f t="shared" si="79"/>
        <v>-0.20942887724740197</v>
      </c>
      <c r="AS271">
        <f t="shared" si="80"/>
        <v>-11.998172341876696</v>
      </c>
    </row>
    <row r="272" spans="13:45" x14ac:dyDescent="0.25">
      <c r="M272" s="9"/>
      <c r="AJ272" t="e">
        <v>#N/A</v>
      </c>
      <c r="AK272" t="e">
        <v>#N/A</v>
      </c>
      <c r="AL272" t="e">
        <v>#N/A</v>
      </c>
      <c r="AM272" t="e">
        <v>#N/A</v>
      </c>
      <c r="AN272" t="e">
        <v>#N/A</v>
      </c>
      <c r="AQ272">
        <v>270</v>
      </c>
      <c r="AR272">
        <f t="shared" si="79"/>
        <v>-2.205267218835516E-15</v>
      </c>
      <c r="AS272">
        <f t="shared" si="80"/>
        <v>-12</v>
      </c>
    </row>
    <row r="273" spans="13:45" x14ac:dyDescent="0.25">
      <c r="M273" s="9"/>
      <c r="AJ273" t="e">
        <v>#N/A</v>
      </c>
      <c r="AK273" t="e">
        <v>#N/A</v>
      </c>
      <c r="AL273" t="e">
        <v>#N/A</v>
      </c>
      <c r="AM273" t="e">
        <v>#N/A</v>
      </c>
      <c r="AN273" t="e">
        <v>#N/A</v>
      </c>
      <c r="AQ273">
        <v>271</v>
      </c>
      <c r="AR273">
        <f t="shared" si="79"/>
        <v>0.20942887724739756</v>
      </c>
      <c r="AS273">
        <f t="shared" si="80"/>
        <v>-11.998172341876696</v>
      </c>
    </row>
    <row r="274" spans="13:45" x14ac:dyDescent="0.25">
      <c r="M274" s="9"/>
      <c r="AJ274" t="e">
        <v>#N/A</v>
      </c>
      <c r="AK274" t="e">
        <v>#N/A</v>
      </c>
      <c r="AL274" t="e">
        <v>#N/A</v>
      </c>
      <c r="AM274" t="e">
        <v>#N/A</v>
      </c>
      <c r="AN274" t="e">
        <v>#N/A</v>
      </c>
      <c r="AQ274">
        <v>272</v>
      </c>
      <c r="AR274">
        <f t="shared" si="79"/>
        <v>0.41879396043001538</v>
      </c>
      <c r="AS274">
        <f t="shared" si="80"/>
        <v>-11.992689924229149</v>
      </c>
    </row>
    <row r="275" spans="13:45" x14ac:dyDescent="0.25">
      <c r="M275" s="9"/>
      <c r="AJ275" t="e">
        <v>#N/A</v>
      </c>
      <c r="AK275" t="e">
        <v>#N/A</v>
      </c>
      <c r="AL275" t="e">
        <v>#N/A</v>
      </c>
      <c r="AM275" t="e">
        <v>#N/A</v>
      </c>
      <c r="AN275" t="e">
        <v>#N/A</v>
      </c>
      <c r="AQ275">
        <v>273</v>
      </c>
      <c r="AR275">
        <f t="shared" si="79"/>
        <v>0.62803147491532729</v>
      </c>
      <c r="AS275">
        <f t="shared" si="80"/>
        <v>-11.983554417054886</v>
      </c>
    </row>
    <row r="276" spans="13:45" x14ac:dyDescent="0.25">
      <c r="M276" s="9"/>
      <c r="AJ276" t="e">
        <v>#N/A</v>
      </c>
      <c r="AK276" t="e">
        <v>#N/A</v>
      </c>
      <c r="AL276" t="e">
        <v>#N/A</v>
      </c>
      <c r="AM276" t="e">
        <v>#N/A</v>
      </c>
      <c r="AN276" t="e">
        <v>#N/A</v>
      </c>
      <c r="AQ276">
        <v>274</v>
      </c>
      <c r="AR276">
        <f t="shared" si="79"/>
        <v>0.83707768492950263</v>
      </c>
      <c r="AS276">
        <f t="shared" si="80"/>
        <v>-11.970768603117891</v>
      </c>
    </row>
    <row r="277" spans="13:45" x14ac:dyDescent="0.25">
      <c r="M277" s="9"/>
      <c r="AJ277" t="e">
        <v>#N/A</v>
      </c>
      <c r="AK277" t="e">
        <v>#N/A</v>
      </c>
      <c r="AL277" t="e">
        <v>#N/A</v>
      </c>
      <c r="AM277" t="e">
        <v>#N/A</v>
      </c>
      <c r="AN277" t="e">
        <v>#N/A</v>
      </c>
      <c r="AQ277">
        <v>275</v>
      </c>
      <c r="AR277">
        <f t="shared" si="79"/>
        <v>1.0458689129718945</v>
      </c>
      <c r="AS277">
        <f t="shared" si="80"/>
        <v>-11.954336377100947</v>
      </c>
    </row>
    <row r="278" spans="13:45" x14ac:dyDescent="0.25">
      <c r="M278" s="9"/>
      <c r="AJ278" t="e">
        <v>#N/A</v>
      </c>
      <c r="AK278" t="e">
        <v>#N/A</v>
      </c>
      <c r="AL278" t="e">
        <v>#N/A</v>
      </c>
      <c r="AM278" t="e">
        <v>#N/A</v>
      </c>
      <c r="AN278" t="e">
        <v>#N/A</v>
      </c>
      <c r="AQ278">
        <v>276</v>
      </c>
      <c r="AR278">
        <f t="shared" si="79"/>
        <v>1.2543415592118359</v>
      </c>
      <c r="AS278">
        <f t="shared" si="80"/>
        <v>-11.93426274441928</v>
      </c>
    </row>
    <row r="279" spans="13:45" x14ac:dyDescent="0.25">
      <c r="M279" s="9"/>
      <c r="AJ279" t="e">
        <v>#N/A</v>
      </c>
      <c r="AK279" t="e">
        <v>#N/A</v>
      </c>
      <c r="AL279" t="e">
        <v>#N/A</v>
      </c>
      <c r="AM279" t="e">
        <v>#N/A</v>
      </c>
      <c r="AN279" t="e">
        <v>#N/A</v>
      </c>
      <c r="AQ279">
        <v>277</v>
      </c>
      <c r="AR279">
        <f t="shared" si="79"/>
        <v>1.4624321208617723</v>
      </c>
      <c r="AS279">
        <f t="shared" si="80"/>
        <v>-11.910553819695863</v>
      </c>
    </row>
    <row r="280" spans="13:45" x14ac:dyDescent="0.25">
      <c r="M280" s="9"/>
      <c r="AJ280" t="e">
        <v>#N/A</v>
      </c>
      <c r="AK280" t="e">
        <v>#N/A</v>
      </c>
      <c r="AL280" t="e">
        <v>#N/A</v>
      </c>
      <c r="AM280" t="e">
        <v>#N/A</v>
      </c>
      <c r="AN280" t="e">
        <v>#N/A</v>
      </c>
      <c r="AQ280">
        <v>278</v>
      </c>
      <c r="AR280">
        <f t="shared" si="79"/>
        <v>1.6700772115207856</v>
      </c>
      <c r="AS280">
        <f t="shared" si="80"/>
        <v>-11.883216824898845</v>
      </c>
    </row>
    <row r="281" spans="13:45" x14ac:dyDescent="0.25">
      <c r="M281" s="9"/>
      <c r="AJ281" t="e">
        <v>#N/A</v>
      </c>
      <c r="AK281" t="e">
        <v>#N/A</v>
      </c>
      <c r="AL281" t="e">
        <v>#N/A</v>
      </c>
      <c r="AM281" t="e">
        <v>#N/A</v>
      </c>
      <c r="AN281" t="e">
        <v>#N/A</v>
      </c>
      <c r="AQ281">
        <v>279</v>
      </c>
      <c r="AR281">
        <f t="shared" si="79"/>
        <v>1.8772135804827681</v>
      </c>
      <c r="AS281">
        <f t="shared" si="80"/>
        <v>-11.852260087141653</v>
      </c>
    </row>
    <row r="282" spans="13:45" x14ac:dyDescent="0.25">
      <c r="M282" s="9"/>
      <c r="AJ282" t="e">
        <v>#N/A</v>
      </c>
      <c r="AK282" t="e">
        <v>#N/A</v>
      </c>
      <c r="AL282" t="e">
        <v>#N/A</v>
      </c>
      <c r="AM282" t="e">
        <v>#N/A</v>
      </c>
      <c r="AN282" t="e">
        <v>#N/A</v>
      </c>
      <c r="AQ282">
        <v>280</v>
      </c>
      <c r="AR282">
        <f t="shared" si="79"/>
        <v>2.0837781320031596</v>
      </c>
      <c r="AS282">
        <f t="shared" si="80"/>
        <v>-11.817693036146498</v>
      </c>
    </row>
    <row r="283" spans="13:45" x14ac:dyDescent="0.25">
      <c r="M283" s="9"/>
      <c r="AJ283" t="e">
        <v>#N/A</v>
      </c>
      <c r="AK283" t="e">
        <v>#N/A</v>
      </c>
      <c r="AL283" t="e">
        <v>#N/A</v>
      </c>
      <c r="AM283" t="e">
        <v>#N/A</v>
      </c>
      <c r="AN283" t="e">
        <v>#N/A</v>
      </c>
      <c r="AQ283">
        <v>281</v>
      </c>
      <c r="AR283">
        <f t="shared" si="79"/>
        <v>2.2897079445185415</v>
      </c>
      <c r="AS283">
        <f t="shared" si="80"/>
        <v>-11.779526201371967</v>
      </c>
    </row>
    <row r="284" spans="13:45" x14ac:dyDescent="0.25">
      <c r="M284" s="9"/>
      <c r="AJ284" t="e">
        <v>#N/A</v>
      </c>
      <c r="AK284" t="e">
        <v>#N/A</v>
      </c>
      <c r="AL284" t="e">
        <v>#N/A</v>
      </c>
      <c r="AM284" t="e">
        <v>#N/A</v>
      </c>
      <c r="AN284" t="e">
        <v>#N/A</v>
      </c>
      <c r="AQ284">
        <v>282</v>
      </c>
      <c r="AR284">
        <f t="shared" si="79"/>
        <v>2.4949402898131132</v>
      </c>
      <c r="AS284">
        <f t="shared" si="80"/>
        <v>-11.737771208805666</v>
      </c>
    </row>
    <row r="285" spans="13:45" x14ac:dyDescent="0.25">
      <c r="M285" s="9"/>
      <c r="AJ285" t="e">
        <v>#N/A</v>
      </c>
      <c r="AK285" t="e">
        <v>#N/A</v>
      </c>
      <c r="AL285" t="e">
        <v>#N/A</v>
      </c>
      <c r="AM285" t="e">
        <v>#N/A</v>
      </c>
      <c r="AN285" t="e">
        <v>#N/A</v>
      </c>
      <c r="AQ285">
        <v>283</v>
      </c>
      <c r="AR285">
        <f t="shared" si="79"/>
        <v>2.6994126521263793</v>
      </c>
      <c r="AS285">
        <f t="shared" si="80"/>
        <v>-11.692440777422823</v>
      </c>
    </row>
    <row r="286" spans="13:45" x14ac:dyDescent="0.25">
      <c r="M286" s="9"/>
      <c r="AJ286" t="e">
        <v>#N/A</v>
      </c>
      <c r="AK286" t="e">
        <v>#N/A</v>
      </c>
      <c r="AL286" t="e">
        <v>#N/A</v>
      </c>
      <c r="AM286" t="e">
        <v>#N/A</v>
      </c>
      <c r="AN286" t="e">
        <v>#N/A</v>
      </c>
      <c r="AQ286">
        <v>284</v>
      </c>
      <c r="AR286">
        <f t="shared" si="79"/>
        <v>2.9030627471960093</v>
      </c>
      <c r="AS286">
        <f t="shared" si="80"/>
        <v>-11.643548715311958</v>
      </c>
    </row>
    <row r="287" spans="13:45" x14ac:dyDescent="0.25">
      <c r="M287" s="9"/>
      <c r="AJ287" t="e">
        <v>#N/A</v>
      </c>
      <c r="AK287" t="e">
        <v>#N/A</v>
      </c>
      <c r="AL287" t="e">
        <v>#N/A</v>
      </c>
      <c r="AM287" t="e">
        <v>#N/A</v>
      </c>
      <c r="AN287" t="e">
        <v>#N/A</v>
      </c>
      <c r="AQ287">
        <v>285</v>
      </c>
      <c r="AR287">
        <f t="shared" si="79"/>
        <v>3.1058285412302435</v>
      </c>
      <c r="AS287">
        <f t="shared" si="80"/>
        <v>-11.59110991546882</v>
      </c>
    </row>
    <row r="288" spans="13:45" x14ac:dyDescent="0.25">
      <c r="M288" s="9"/>
      <c r="AJ288" t="e">
        <v>#N/A</v>
      </c>
      <c r="AK288" t="e">
        <v>#N/A</v>
      </c>
      <c r="AL288" t="e">
        <v>#N/A</v>
      </c>
      <c r="AM288" t="e">
        <v>#N/A</v>
      </c>
      <c r="AN288" t="e">
        <v>#N/A</v>
      </c>
      <c r="AQ288">
        <v>286</v>
      </c>
      <c r="AR288">
        <f t="shared" si="79"/>
        <v>3.3076482698039928</v>
      </c>
      <c r="AS288">
        <f t="shared" si="80"/>
        <v>-11.535140351259825</v>
      </c>
    </row>
    <row r="289" spans="13:45" x14ac:dyDescent="0.25">
      <c r="M289" s="9"/>
      <c r="AJ289" t="e">
        <v>#N/A</v>
      </c>
      <c r="AK289" t="e">
        <v>#N/A</v>
      </c>
      <c r="AL289" t="e">
        <v>#N/A</v>
      </c>
      <c r="AM289" t="e">
        <v>#N/A</v>
      </c>
      <c r="AN289" t="e">
        <v>#N/A</v>
      </c>
      <c r="AQ289">
        <v>287</v>
      </c>
      <c r="AR289">
        <f t="shared" si="79"/>
        <v>3.5084604566728403</v>
      </c>
      <c r="AS289">
        <f t="shared" si="80"/>
        <v>-11.475657071556425</v>
      </c>
    </row>
    <row r="290" spans="13:45" x14ac:dyDescent="0.25">
      <c r="M290" s="9"/>
      <c r="AJ290" t="e">
        <v>#N/A</v>
      </c>
      <c r="AK290" t="e">
        <v>#N/A</v>
      </c>
      <c r="AL290" t="e">
        <v>#N/A</v>
      </c>
      <c r="AM290" t="e">
        <v>#N/A</v>
      </c>
      <c r="AN290" t="e">
        <v>#N/A</v>
      </c>
      <c r="AQ290">
        <v>288</v>
      </c>
      <c r="AR290">
        <f t="shared" si="79"/>
        <v>3.7082039324993668</v>
      </c>
      <c r="AS290">
        <f t="shared" si="80"/>
        <v>-11.412678195541844</v>
      </c>
    </row>
    <row r="291" spans="13:45" x14ac:dyDescent="0.25">
      <c r="M291" s="9"/>
      <c r="AJ291" t="e">
        <v>#N/A</v>
      </c>
      <c r="AK291" t="e">
        <v>#N/A</v>
      </c>
      <c r="AL291" t="e">
        <v>#N/A</v>
      </c>
      <c r="AM291" t="e">
        <v>#N/A</v>
      </c>
      <c r="AN291" t="e">
        <v>#N/A</v>
      </c>
      <c r="AQ291">
        <v>289</v>
      </c>
      <c r="AR291">
        <f t="shared" si="79"/>
        <v>3.906817853485876</v>
      </c>
      <c r="AS291">
        <f t="shared" si="80"/>
        <v>-11.346222907191803</v>
      </c>
    </row>
    <row r="292" spans="13:45" x14ac:dyDescent="0.25">
      <c r="M292" s="9"/>
      <c r="AJ292" t="e">
        <v>#N/A</v>
      </c>
      <c r="AK292" t="e">
        <v>#N/A</v>
      </c>
      <c r="AL292" t="e">
        <v>#N/A</v>
      </c>
      <c r="AM292" t="e">
        <v>#N/A</v>
      </c>
      <c r="AN292" t="e">
        <v>#N/A</v>
      </c>
      <c r="AQ292">
        <v>290</v>
      </c>
      <c r="AR292">
        <f t="shared" si="79"/>
        <v>4.1042417199080283</v>
      </c>
      <c r="AS292">
        <f t="shared" si="80"/>
        <v>-11.276311449430899</v>
      </c>
    </row>
    <row r="293" spans="13:45" x14ac:dyDescent="0.25">
      <c r="M293" s="9"/>
      <c r="AJ293" t="e">
        <v>#N/A</v>
      </c>
      <c r="AK293" t="e">
        <v>#N/A</v>
      </c>
      <c r="AL293" t="e">
        <v>#N/A</v>
      </c>
      <c r="AM293" t="e">
        <v>#N/A</v>
      </c>
      <c r="AN293" t="e">
        <v>#N/A</v>
      </c>
      <c r="AQ293">
        <v>291</v>
      </c>
      <c r="AR293">
        <f t="shared" si="79"/>
        <v>4.3004153945436041</v>
      </c>
      <c r="AS293">
        <f t="shared" si="80"/>
        <v>-11.202965117966421</v>
      </c>
    </row>
    <row r="294" spans="13:45" x14ac:dyDescent="0.25">
      <c r="M294" s="9"/>
      <c r="AJ294" t="e">
        <v>#N/A</v>
      </c>
      <c r="AK294" t="e">
        <v>#N/A</v>
      </c>
      <c r="AL294" t="e">
        <v>#N/A</v>
      </c>
      <c r="AM294" t="e">
        <v>#N/A</v>
      </c>
      <c r="AN294" t="e">
        <v>#N/A</v>
      </c>
      <c r="AQ294">
        <v>292</v>
      </c>
      <c r="AR294">
        <f t="shared" si="79"/>
        <v>4.4952791209909435</v>
      </c>
      <c r="AS294">
        <f t="shared" si="80"/>
        <v>-11.126206254801449</v>
      </c>
    </row>
    <row r="295" spans="13:45" x14ac:dyDescent="0.25">
      <c r="M295" s="9"/>
      <c r="AJ295" t="e">
        <v>#N/A</v>
      </c>
      <c r="AK295" t="e">
        <v>#N/A</v>
      </c>
      <c r="AL295" t="e">
        <v>#N/A</v>
      </c>
      <c r="AM295" t="e">
        <v>#N/A</v>
      </c>
      <c r="AN295" t="e">
        <v>#N/A</v>
      </c>
      <c r="AQ295">
        <v>293</v>
      </c>
      <c r="AR295">
        <f t="shared" si="79"/>
        <v>4.6887735418712815</v>
      </c>
      <c r="AS295">
        <f t="shared" si="80"/>
        <v>-11.046058241429286</v>
      </c>
    </row>
    <row r="296" spans="13:45" x14ac:dyDescent="0.25">
      <c r="M296" s="9"/>
      <c r="AJ296" t="e">
        <v>#N/A</v>
      </c>
      <c r="AK296" t="e">
        <v>#N/A</v>
      </c>
      <c r="AL296" t="e">
        <v>#N/A</v>
      </c>
      <c r="AM296" t="e">
        <v>#N/A</v>
      </c>
      <c r="AN296" t="e">
        <v>#N/A</v>
      </c>
      <c r="AQ296">
        <v>294</v>
      </c>
      <c r="AR296">
        <f t="shared" si="79"/>
        <v>4.8808397169095974</v>
      </c>
      <c r="AS296">
        <f t="shared" si="80"/>
        <v>-10.962545491711213</v>
      </c>
    </row>
    <row r="297" spans="13:45" x14ac:dyDescent="0.25">
      <c r="M297" s="9"/>
      <c r="AJ297" t="e">
        <v>#N/A</v>
      </c>
      <c r="AK297" t="e">
        <v>#N/A</v>
      </c>
      <c r="AL297" t="e">
        <v>#N/A</v>
      </c>
      <c r="AM297" t="e">
        <v>#N/A</v>
      </c>
      <c r="AN297" t="e">
        <v>#N/A</v>
      </c>
      <c r="AQ297">
        <v>295</v>
      </c>
      <c r="AR297">
        <f t="shared" si="79"/>
        <v>5.0714191408883948</v>
      </c>
      <c r="AS297">
        <f t="shared" si="80"/>
        <v>-10.875693444439799</v>
      </c>
    </row>
    <row r="298" spans="13:45" x14ac:dyDescent="0.25">
      <c r="M298" s="9"/>
      <c r="AJ298" t="e">
        <v>#N/A</v>
      </c>
      <c r="AK298" t="e">
        <v>#N/A</v>
      </c>
      <c r="AL298" t="e">
        <v>#N/A</v>
      </c>
      <c r="AM298" t="e">
        <v>#N/A</v>
      </c>
      <c r="AN298" t="e">
        <v>#N/A</v>
      </c>
      <c r="AQ298">
        <v>296</v>
      </c>
      <c r="AR298">
        <f t="shared" si="79"/>
        <v>5.2604537614689288</v>
      </c>
      <c r="AS298">
        <f t="shared" si="80"/>
        <v>-10.785528555590005</v>
      </c>
    </row>
    <row r="299" spans="13:45" x14ac:dyDescent="0.25">
      <c r="M299" s="9"/>
      <c r="AJ299" t="e">
        <v>#N/A</v>
      </c>
      <c r="AK299" t="e">
        <v>#N/A</v>
      </c>
      <c r="AL299" t="e">
        <v>#N/A</v>
      </c>
      <c r="AM299" t="e">
        <v>#N/A</v>
      </c>
      <c r="AN299" t="e">
        <v>#N/A</v>
      </c>
      <c r="AQ299">
        <v>297</v>
      </c>
      <c r="AR299">
        <f t="shared" si="79"/>
        <v>5.4478859968745592</v>
      </c>
      <c r="AS299">
        <f t="shared" si="80"/>
        <v>-10.692078290260415</v>
      </c>
    </row>
    <row r="300" spans="13:45" x14ac:dyDescent="0.25">
      <c r="M300" s="9"/>
      <c r="AJ300" t="e">
        <v>#N/A</v>
      </c>
      <c r="AK300" t="e">
        <v>#N/A</v>
      </c>
      <c r="AL300" t="e">
        <v>#N/A</v>
      </c>
      <c r="AM300" t="e">
        <v>#N/A</v>
      </c>
      <c r="AN300" t="e">
        <v>#N/A</v>
      </c>
      <c r="AQ300">
        <v>298</v>
      </c>
      <c r="AR300">
        <f t="shared" si="79"/>
        <v>5.6336587534306855</v>
      </c>
      <c r="AS300">
        <f t="shared" si="80"/>
        <v>-10.595371114307126</v>
      </c>
    </row>
    <row r="301" spans="13:45" x14ac:dyDescent="0.25">
      <c r="M301" s="9"/>
      <c r="AJ301" t="e">
        <v>#N/A</v>
      </c>
      <c r="AK301" t="e">
        <v>#N/A</v>
      </c>
      <c r="AL301" t="e">
        <v>#N/A</v>
      </c>
      <c r="AM301" t="e">
        <v>#N/A</v>
      </c>
      <c r="AN301" t="e">
        <v>#N/A</v>
      </c>
      <c r="AQ301">
        <v>299</v>
      </c>
      <c r="AR301">
        <f t="shared" si="79"/>
        <v>5.8177154429560476</v>
      </c>
      <c r="AS301">
        <f t="shared" si="80"/>
        <v>-10.495436485672748</v>
      </c>
    </row>
    <row r="302" spans="13:45" x14ac:dyDescent="0.25">
      <c r="M302" s="9"/>
      <c r="AJ302" t="e">
        <v>#N/A</v>
      </c>
      <c r="AK302" t="e">
        <v>#N/A</v>
      </c>
      <c r="AL302" t="e">
        <v>#N/A</v>
      </c>
      <c r="AM302" t="e">
        <v>#N/A</v>
      </c>
      <c r="AN302" t="e">
        <v>#N/A</v>
      </c>
      <c r="AQ302">
        <v>300</v>
      </c>
      <c r="AR302">
        <f t="shared" si="79"/>
        <v>6.0000000000000018</v>
      </c>
      <c r="AS302">
        <f t="shared" si="80"/>
        <v>-10.392304845413264</v>
      </c>
    </row>
    <row r="303" spans="13:45" x14ac:dyDescent="0.25">
      <c r="M303" s="9"/>
      <c r="AJ303" t="e">
        <v>#N/A</v>
      </c>
      <c r="AK303" t="e">
        <v>#N/A</v>
      </c>
      <c r="AL303" t="e">
        <v>#N/A</v>
      </c>
      <c r="AM303" t="e">
        <v>#N/A</v>
      </c>
      <c r="AN303" t="e">
        <v>#N/A</v>
      </c>
      <c r="AQ303">
        <v>301</v>
      </c>
      <c r="AR303">
        <f t="shared" si="79"/>
        <v>6.1804568989206494</v>
      </c>
      <c r="AS303">
        <f t="shared" si="80"/>
        <v>-10.286007608425347</v>
      </c>
    </row>
    <row r="304" spans="13:45" x14ac:dyDescent="0.25">
      <c r="M304" s="9"/>
      <c r="AJ304" t="e">
        <v>#N/A</v>
      </c>
      <c r="AK304" t="e">
        <v>#N/A</v>
      </c>
      <c r="AL304" t="e">
        <v>#N/A</v>
      </c>
      <c r="AM304" t="e">
        <v>#N/A</v>
      </c>
      <c r="AN304" t="e">
        <v>#N/A</v>
      </c>
      <c r="AQ304">
        <v>302</v>
      </c>
      <c r="AR304">
        <f t="shared" si="79"/>
        <v>6.3590311707984561</v>
      </c>
      <c r="AS304">
        <f t="shared" si="80"/>
        <v>-10.176577153877114</v>
      </c>
    </row>
    <row r="305" spans="13:45" x14ac:dyDescent="0.25">
      <c r="M305" s="9"/>
      <c r="AJ305" t="e">
        <v>#N/A</v>
      </c>
      <c r="AK305" t="e">
        <v>#N/A</v>
      </c>
      <c r="AL305" t="e">
        <v>#N/A</v>
      </c>
      <c r="AM305" t="e">
        <v>#N/A</v>
      </c>
      <c r="AN305" t="e">
        <v>#N/A</v>
      </c>
      <c r="AQ305">
        <v>303</v>
      </c>
      <c r="AR305">
        <f t="shared" si="79"/>
        <v>6.5356684201803201</v>
      </c>
      <c r="AS305">
        <f t="shared" si="80"/>
        <v>-10.06404681534509</v>
      </c>
    </row>
    <row r="306" spans="13:45" x14ac:dyDescent="0.25">
      <c r="M306" s="9"/>
      <c r="AJ306" t="e">
        <v>#N/A</v>
      </c>
      <c r="AK306" t="e">
        <v>#N/A</v>
      </c>
      <c r="AL306" t="e">
        <v>#N/A</v>
      </c>
      <c r="AM306" t="e">
        <v>#N/A</v>
      </c>
      <c r="AN306" t="e">
        <v>#N/A</v>
      </c>
      <c r="AQ306">
        <v>304</v>
      </c>
      <c r="AR306">
        <f t="shared" si="79"/>
        <v>6.7103148416489642</v>
      </c>
      <c r="AS306">
        <f t="shared" si="80"/>
        <v>-9.9484508706604995</v>
      </c>
    </row>
    <row r="307" spans="13:45" x14ac:dyDescent="0.25">
      <c r="M307" s="9"/>
      <c r="AJ307" t="e">
        <v>#N/A</v>
      </c>
      <c r="AK307" t="e">
        <v>#N/A</v>
      </c>
      <c r="AL307" t="e">
        <v>#N/A</v>
      </c>
      <c r="AM307" t="e">
        <v>#N/A</v>
      </c>
      <c r="AN307" t="e">
        <v>#N/A</v>
      </c>
      <c r="AQ307">
        <v>305</v>
      </c>
      <c r="AR307">
        <f t="shared" si="79"/>
        <v>6.8829172362125526</v>
      </c>
      <c r="AS307">
        <f t="shared" si="80"/>
        <v>-9.8298245314679011</v>
      </c>
    </row>
    <row r="308" spans="13:45" x14ac:dyDescent="0.25">
      <c r="M308" s="9"/>
      <c r="AJ308" t="e">
        <v>#N/A</v>
      </c>
      <c r="AK308" t="e">
        <v>#N/A</v>
      </c>
      <c r="AL308" t="e">
        <v>#N/A</v>
      </c>
      <c r="AM308" t="e">
        <v>#N/A</v>
      </c>
      <c r="AN308" t="e">
        <v>#N/A</v>
      </c>
      <c r="AQ308">
        <v>306</v>
      </c>
      <c r="AR308">
        <f t="shared" si="79"/>
        <v>7.053423027509675</v>
      </c>
      <c r="AS308">
        <f t="shared" si="80"/>
        <v>-9.7082039324993712</v>
      </c>
    </row>
    <row r="309" spans="13:45" x14ac:dyDescent="0.25">
      <c r="M309" s="9"/>
      <c r="AJ309" t="e">
        <v>#N/A</v>
      </c>
      <c r="AK309" t="e">
        <v>#N/A</v>
      </c>
      <c r="AL309" t="e">
        <v>#N/A</v>
      </c>
      <c r="AM309" t="e">
        <v>#N/A</v>
      </c>
      <c r="AN309" t="e">
        <v>#N/A</v>
      </c>
      <c r="AQ309">
        <v>307</v>
      </c>
      <c r="AR309">
        <f t="shared" si="79"/>
        <v>7.2217802778245748</v>
      </c>
      <c r="AS309">
        <f t="shared" si="80"/>
        <v>-9.5836261205675157</v>
      </c>
    </row>
    <row r="310" spans="13:45" x14ac:dyDescent="0.25">
      <c r="M310" s="9"/>
      <c r="AJ310" t="e">
        <v>#N/A</v>
      </c>
      <c r="AK310" t="e">
        <v>#N/A</v>
      </c>
      <c r="AL310" t="e">
        <v>#N/A</v>
      </c>
      <c r="AM310" t="e">
        <v>#N/A</v>
      </c>
      <c r="AN310" t="e">
        <v>#N/A</v>
      </c>
      <c r="AQ310">
        <v>308</v>
      </c>
      <c r="AR310">
        <f t="shared" si="79"/>
        <v>7.3879377039079017</v>
      </c>
      <c r="AS310">
        <f t="shared" si="80"/>
        <v>-9.4561290432806615</v>
      </c>
    </row>
    <row r="311" spans="13:45" x14ac:dyDescent="0.25">
      <c r="M311" s="9"/>
      <c r="AJ311" t="e">
        <v>#N/A</v>
      </c>
      <c r="AK311" t="e">
        <v>#N/A</v>
      </c>
      <c r="AL311" t="e">
        <v>#N/A</v>
      </c>
      <c r="AM311" t="e">
        <v>#N/A</v>
      </c>
      <c r="AN311" t="e">
        <v>#N/A</v>
      </c>
      <c r="AQ311">
        <v>309</v>
      </c>
      <c r="AR311">
        <f t="shared" si="79"/>
        <v>7.55184469259805</v>
      </c>
      <c r="AS311">
        <f t="shared" si="80"/>
        <v>-9.325751537483649</v>
      </c>
    </row>
    <row r="312" spans="13:45" x14ac:dyDescent="0.25">
      <c r="M312" s="9"/>
      <c r="AJ312" t="e">
        <v>#N/A</v>
      </c>
      <c r="AK312" t="e">
        <v>#N/A</v>
      </c>
      <c r="AL312" t="e">
        <v>#N/A</v>
      </c>
      <c r="AM312" t="e">
        <v>#N/A</v>
      </c>
      <c r="AN312" t="e">
        <v>#N/A</v>
      </c>
      <c r="AQ312">
        <v>310</v>
      </c>
      <c r="AR312">
        <f t="shared" si="79"/>
        <v>7.713451316238471</v>
      </c>
      <c r="AS312">
        <f t="shared" si="80"/>
        <v>-9.1925333174277384</v>
      </c>
    </row>
    <row r="313" spans="13:45" x14ac:dyDescent="0.25">
      <c r="M313" s="9"/>
      <c r="AJ313" t="e">
        <v>#N/A</v>
      </c>
      <c r="AK313" t="e">
        <v>#N/A</v>
      </c>
      <c r="AL313" t="e">
        <v>#N/A</v>
      </c>
      <c r="AM313" t="e">
        <v>#N/A</v>
      </c>
      <c r="AN313" t="e">
        <v>#N/A</v>
      </c>
      <c r="AQ313">
        <v>311</v>
      </c>
      <c r="AR313">
        <f t="shared" si="79"/>
        <v>7.8727083478860846</v>
      </c>
      <c r="AS313">
        <f t="shared" si="80"/>
        <v>-9.0565149626732673</v>
      </c>
    </row>
    <row r="314" spans="13:45" x14ac:dyDescent="0.25">
      <c r="M314" s="9"/>
      <c r="AJ314" t="e">
        <v>#N/A</v>
      </c>
      <c r="AK314" t="e">
        <v>#N/A</v>
      </c>
      <c r="AL314" t="e">
        <v>#N/A</v>
      </c>
      <c r="AM314" t="e">
        <v>#N/A</v>
      </c>
      <c r="AN314" t="e">
        <v>#N/A</v>
      </c>
      <c r="AQ314">
        <v>312</v>
      </c>
      <c r="AR314">
        <f t="shared" si="79"/>
        <v>8.0295672763062935</v>
      </c>
      <c r="AS314">
        <f t="shared" si="80"/>
        <v>-8.9177379057287354</v>
      </c>
    </row>
    <row r="315" spans="13:45" x14ac:dyDescent="0.25">
      <c r="M315" s="9"/>
      <c r="AJ315" t="e">
        <v>#N/A</v>
      </c>
      <c r="AK315" t="e">
        <v>#N/A</v>
      </c>
      <c r="AL315" t="e">
        <v>#N/A</v>
      </c>
      <c r="AM315" t="e">
        <v>#N/A</v>
      </c>
      <c r="AN315" t="e">
        <v>#N/A</v>
      </c>
      <c r="AQ315">
        <v>313</v>
      </c>
      <c r="AR315">
        <f t="shared" si="79"/>
        <v>8.1839803207499831</v>
      </c>
      <c r="AS315">
        <f t="shared" si="80"/>
        <v>-8.7762444194300446</v>
      </c>
    </row>
    <row r="316" spans="13:45" x14ac:dyDescent="0.25">
      <c r="M316" s="9"/>
      <c r="AJ316" t="e">
        <v>#N/A</v>
      </c>
      <c r="AK316" t="e">
        <v>#N/A</v>
      </c>
      <c r="AL316" t="e">
        <v>#N/A</v>
      </c>
      <c r="AM316" t="e">
        <v>#N/A</v>
      </c>
      <c r="AN316" t="e">
        <v>#N/A</v>
      </c>
      <c r="AQ316">
        <v>314</v>
      </c>
      <c r="AR316">
        <f t="shared" si="79"/>
        <v>8.335900445507967</v>
      </c>
      <c r="AS316">
        <f t="shared" si="80"/>
        <v>-8.6320776040638147</v>
      </c>
    </row>
    <row r="317" spans="13:45" x14ac:dyDescent="0.25">
      <c r="M317" s="9"/>
      <c r="AJ317" t="e">
        <v>#N/A</v>
      </c>
      <c r="AK317" t="e">
        <v>#N/A</v>
      </c>
      <c r="AL317" t="e">
        <v>#N/A</v>
      </c>
      <c r="AM317" t="e">
        <v>#N/A</v>
      </c>
      <c r="AN317" t="e">
        <v>#N/A</v>
      </c>
      <c r="AQ317">
        <v>315</v>
      </c>
      <c r="AR317">
        <f t="shared" si="79"/>
        <v>8.4852813742385678</v>
      </c>
      <c r="AS317">
        <f t="shared" si="80"/>
        <v>-8.4852813742385713</v>
      </c>
    </row>
    <row r="318" spans="13:45" x14ac:dyDescent="0.25">
      <c r="M318" s="9"/>
      <c r="AJ318" t="e">
        <v>#N/A</v>
      </c>
      <c r="AK318" t="e">
        <v>#N/A</v>
      </c>
      <c r="AL318" t="e">
        <v>#N/A</v>
      </c>
      <c r="AM318" t="e">
        <v>#N/A</v>
      </c>
      <c r="AN318" t="e">
        <v>#N/A</v>
      </c>
      <c r="AQ318">
        <v>316</v>
      </c>
      <c r="AR318">
        <f t="shared" si="79"/>
        <v>8.6320776040638094</v>
      </c>
      <c r="AS318">
        <f t="shared" si="80"/>
        <v>-8.3359004455079706</v>
      </c>
    </row>
    <row r="319" spans="13:45" x14ac:dyDescent="0.25">
      <c r="M319" s="9"/>
      <c r="AJ319" t="e">
        <v>#N/A</v>
      </c>
      <c r="AK319" t="e">
        <v>#N/A</v>
      </c>
      <c r="AL319" t="e">
        <v>#N/A</v>
      </c>
      <c r="AM319" t="e">
        <v>#N/A</v>
      </c>
      <c r="AN319" t="e">
        <v>#N/A</v>
      </c>
      <c r="AQ319">
        <v>317</v>
      </c>
      <c r="AR319">
        <f t="shared" si="79"/>
        <v>8.7762444194300482</v>
      </c>
      <c r="AS319">
        <f t="shared" si="80"/>
        <v>-8.1839803207499795</v>
      </c>
    </row>
    <row r="320" spans="13:45" x14ac:dyDescent="0.25">
      <c r="M320" s="9"/>
      <c r="AJ320" t="e">
        <v>#N/A</v>
      </c>
      <c r="AK320" t="e">
        <v>#N/A</v>
      </c>
      <c r="AL320" t="e">
        <v>#N/A</v>
      </c>
      <c r="AM320" t="e">
        <v>#N/A</v>
      </c>
      <c r="AN320" t="e">
        <v>#N/A</v>
      </c>
      <c r="AQ320">
        <v>318</v>
      </c>
      <c r="AR320">
        <f t="shared" si="79"/>
        <v>8.9177379057287318</v>
      </c>
      <c r="AS320">
        <f t="shared" si="80"/>
        <v>-8.0295672763062971</v>
      </c>
    </row>
    <row r="321" spans="13:45" x14ac:dyDescent="0.25">
      <c r="M321" s="9"/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Q321">
        <v>319</v>
      </c>
      <c r="AR321">
        <f t="shared" si="79"/>
        <v>9.0565149626732619</v>
      </c>
      <c r="AS321">
        <f t="shared" si="80"/>
        <v>-7.8727083478860891</v>
      </c>
    </row>
    <row r="322" spans="13:45" x14ac:dyDescent="0.25">
      <c r="M322" s="9"/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Q322">
        <v>320</v>
      </c>
      <c r="AR322">
        <f t="shared" si="79"/>
        <v>9.1925333174277331</v>
      </c>
      <c r="AS322">
        <f t="shared" si="80"/>
        <v>-7.7134513162384746</v>
      </c>
    </row>
    <row r="323" spans="13:45" x14ac:dyDescent="0.25">
      <c r="M323" s="9"/>
      <c r="AJ323" t="e">
        <v>#N/A</v>
      </c>
      <c r="AK323" t="e">
        <v>#N/A</v>
      </c>
      <c r="AL323" t="e">
        <v>#N/A</v>
      </c>
      <c r="AM323" t="e">
        <v>#N/A</v>
      </c>
      <c r="AN323" t="e">
        <v>#N/A</v>
      </c>
      <c r="AQ323">
        <v>321</v>
      </c>
      <c r="AR323">
        <f t="shared" ref="AR323:AR362" si="81">$B$3*COS(RADIANS(AQ323))</f>
        <v>9.3257515374836473</v>
      </c>
      <c r="AS323">
        <f t="shared" ref="AS323:AS362" si="82">$B$3*SIN(RADIANS(AQ323))</f>
        <v>-7.5518446925980545</v>
      </c>
    </row>
    <row r="324" spans="13:45" x14ac:dyDescent="0.25">
      <c r="M324" s="9"/>
      <c r="AJ324" t="e">
        <v>#N/A</v>
      </c>
      <c r="AK324" t="e">
        <v>#N/A</v>
      </c>
      <c r="AL324" t="e">
        <v>#N/A</v>
      </c>
      <c r="AM324" t="e">
        <v>#N/A</v>
      </c>
      <c r="AN324" t="e">
        <v>#N/A</v>
      </c>
      <c r="AQ324">
        <v>322</v>
      </c>
      <c r="AR324">
        <f t="shared" si="81"/>
        <v>9.4561290432806651</v>
      </c>
      <c r="AS324">
        <f t="shared" si="82"/>
        <v>-7.3879377039078982</v>
      </c>
    </row>
    <row r="325" spans="13:45" x14ac:dyDescent="0.25">
      <c r="M325" s="9"/>
      <c r="AJ325" t="e">
        <v>#N/A</v>
      </c>
      <c r="AK325" t="e">
        <v>#N/A</v>
      </c>
      <c r="AL325" t="e">
        <v>#N/A</v>
      </c>
      <c r="AM325" t="e">
        <v>#N/A</v>
      </c>
      <c r="AN325" t="e">
        <v>#N/A</v>
      </c>
      <c r="AQ325">
        <v>323</v>
      </c>
      <c r="AR325">
        <f t="shared" si="81"/>
        <v>9.583626120567514</v>
      </c>
      <c r="AS325">
        <f t="shared" si="82"/>
        <v>-7.2217802778245792</v>
      </c>
    </row>
    <row r="326" spans="13:45" x14ac:dyDescent="0.25">
      <c r="M326" s="9"/>
      <c r="AJ326" t="e">
        <v>#N/A</v>
      </c>
      <c r="AK326" t="e">
        <v>#N/A</v>
      </c>
      <c r="AL326" t="e">
        <v>#N/A</v>
      </c>
      <c r="AM326" t="e">
        <v>#N/A</v>
      </c>
      <c r="AN326" t="e">
        <v>#N/A</v>
      </c>
      <c r="AQ326">
        <v>324</v>
      </c>
      <c r="AR326">
        <f t="shared" si="81"/>
        <v>9.7082039324993676</v>
      </c>
      <c r="AS326">
        <f t="shared" si="82"/>
        <v>-7.0534230275096803</v>
      </c>
    </row>
    <row r="327" spans="13:45" x14ac:dyDescent="0.25">
      <c r="M327" s="9"/>
      <c r="AJ327" t="e">
        <v>#N/A</v>
      </c>
      <c r="AK327" t="e">
        <v>#N/A</v>
      </c>
      <c r="AL327" t="e">
        <v>#N/A</v>
      </c>
      <c r="AM327" t="e">
        <v>#N/A</v>
      </c>
      <c r="AN327" t="e">
        <v>#N/A</v>
      </c>
      <c r="AQ327">
        <v>325</v>
      </c>
      <c r="AR327">
        <f t="shared" si="81"/>
        <v>9.8298245314678994</v>
      </c>
      <c r="AS327">
        <f t="shared" si="82"/>
        <v>-6.8829172362125579</v>
      </c>
    </row>
    <row r="328" spans="13:45" x14ac:dyDescent="0.25">
      <c r="M328" s="9"/>
      <c r="AJ328" t="e">
        <v>#N/A</v>
      </c>
      <c r="AK328" t="e">
        <v>#N/A</v>
      </c>
      <c r="AL328" t="e">
        <v>#N/A</v>
      </c>
      <c r="AM328" t="e">
        <v>#N/A</v>
      </c>
      <c r="AN328" t="e">
        <v>#N/A</v>
      </c>
      <c r="AQ328">
        <v>326</v>
      </c>
      <c r="AR328">
        <f t="shared" si="81"/>
        <v>9.9484508706605013</v>
      </c>
      <c r="AS328">
        <f t="shared" si="82"/>
        <v>-6.7103148416489589</v>
      </c>
    </row>
    <row r="329" spans="13:45" x14ac:dyDescent="0.25">
      <c r="M329" s="9"/>
      <c r="AJ329" t="e">
        <v>#N/A</v>
      </c>
      <c r="AK329" t="e">
        <v>#N/A</v>
      </c>
      <c r="AL329" t="e">
        <v>#N/A</v>
      </c>
      <c r="AM329" t="e">
        <v>#N/A</v>
      </c>
      <c r="AN329" t="e">
        <v>#N/A</v>
      </c>
      <c r="AQ329">
        <v>327</v>
      </c>
      <c r="AR329">
        <f t="shared" si="81"/>
        <v>10.064046815345089</v>
      </c>
      <c r="AS329">
        <f t="shared" si="82"/>
        <v>-6.5356684201803237</v>
      </c>
    </row>
    <row r="330" spans="13:45" x14ac:dyDescent="0.25">
      <c r="M330" s="9"/>
      <c r="AJ330" t="e">
        <v>#N/A</v>
      </c>
      <c r="AK330" t="e">
        <v>#N/A</v>
      </c>
      <c r="AL330" t="e">
        <v>#N/A</v>
      </c>
      <c r="AM330" t="e">
        <v>#N/A</v>
      </c>
      <c r="AN330" t="e">
        <v>#N/A</v>
      </c>
      <c r="AQ330">
        <v>328</v>
      </c>
      <c r="AR330">
        <f t="shared" si="81"/>
        <v>10.176577153877112</v>
      </c>
      <c r="AS330">
        <f t="shared" si="82"/>
        <v>-6.3590311707984597</v>
      </c>
    </row>
    <row r="331" spans="13:45" x14ac:dyDescent="0.25">
      <c r="M331" s="9"/>
      <c r="AJ331" t="e">
        <v>#N/A</v>
      </c>
      <c r="AK331" t="e">
        <v>#N/A</v>
      </c>
      <c r="AL331" t="e">
        <v>#N/A</v>
      </c>
      <c r="AM331" t="e">
        <v>#N/A</v>
      </c>
      <c r="AN331" t="e">
        <v>#N/A</v>
      </c>
      <c r="AQ331">
        <v>329</v>
      </c>
      <c r="AR331">
        <f t="shared" si="81"/>
        <v>10.286007608425345</v>
      </c>
      <c r="AS331">
        <f t="shared" si="82"/>
        <v>-6.1804568989206539</v>
      </c>
    </row>
    <row r="332" spans="13:45" x14ac:dyDescent="0.25">
      <c r="M332" s="9"/>
      <c r="AJ332" t="e">
        <v>#N/A</v>
      </c>
      <c r="AK332" t="e">
        <v>#N/A</v>
      </c>
      <c r="AL332" t="e">
        <v>#N/A</v>
      </c>
      <c r="AM332" t="e">
        <v>#N/A</v>
      </c>
      <c r="AN332" t="e">
        <v>#N/A</v>
      </c>
      <c r="AQ332">
        <v>330</v>
      </c>
      <c r="AR332">
        <f t="shared" si="81"/>
        <v>10.39230484541326</v>
      </c>
      <c r="AS332">
        <f t="shared" si="82"/>
        <v>-6.0000000000000053</v>
      </c>
    </row>
    <row r="333" spans="13:45" x14ac:dyDescent="0.25">
      <c r="M333" s="9"/>
      <c r="AJ333" t="e">
        <v>#N/A</v>
      </c>
      <c r="AK333" t="e">
        <v>#N/A</v>
      </c>
      <c r="AL333" t="e">
        <v>#N/A</v>
      </c>
      <c r="AM333" t="e">
        <v>#N/A</v>
      </c>
      <c r="AN333" t="e">
        <v>#N/A</v>
      </c>
      <c r="AQ333">
        <v>331</v>
      </c>
      <c r="AR333">
        <f t="shared" si="81"/>
        <v>10.49543648567275</v>
      </c>
      <c r="AS333">
        <f t="shared" si="82"/>
        <v>-5.8177154429560431</v>
      </c>
    </row>
    <row r="334" spans="13:45" x14ac:dyDescent="0.25">
      <c r="M334" s="9"/>
      <c r="AJ334" t="e">
        <v>#N/A</v>
      </c>
      <c r="AK334" t="e">
        <v>#N/A</v>
      </c>
      <c r="AL334" t="e">
        <v>#N/A</v>
      </c>
      <c r="AM334" t="e">
        <v>#N/A</v>
      </c>
      <c r="AN334" t="e">
        <v>#N/A</v>
      </c>
      <c r="AQ334">
        <v>332</v>
      </c>
      <c r="AR334">
        <f t="shared" si="81"/>
        <v>10.595371114307122</v>
      </c>
      <c r="AS334">
        <f t="shared" si="82"/>
        <v>-5.6336587534306899</v>
      </c>
    </row>
    <row r="335" spans="13:45" x14ac:dyDescent="0.25">
      <c r="M335" s="9"/>
      <c r="AJ335" t="e">
        <v>#N/A</v>
      </c>
      <c r="AK335" t="e">
        <v>#N/A</v>
      </c>
      <c r="AL335" t="e">
        <v>#N/A</v>
      </c>
      <c r="AM335" t="e">
        <v>#N/A</v>
      </c>
      <c r="AN335" t="e">
        <v>#N/A</v>
      </c>
      <c r="AQ335">
        <v>333</v>
      </c>
      <c r="AR335">
        <f t="shared" si="81"/>
        <v>10.692078290260413</v>
      </c>
      <c r="AS335">
        <f t="shared" si="82"/>
        <v>-5.4478859968745637</v>
      </c>
    </row>
    <row r="336" spans="13:45" x14ac:dyDescent="0.25">
      <c r="M336" s="9"/>
      <c r="AJ336" t="e">
        <v>#N/A</v>
      </c>
      <c r="AK336" t="e">
        <v>#N/A</v>
      </c>
      <c r="AL336" t="e">
        <v>#N/A</v>
      </c>
      <c r="AM336" t="e">
        <v>#N/A</v>
      </c>
      <c r="AN336" t="e">
        <v>#N/A</v>
      </c>
      <c r="AQ336">
        <v>334</v>
      </c>
      <c r="AR336">
        <f t="shared" si="81"/>
        <v>10.785528555590002</v>
      </c>
      <c r="AS336">
        <f t="shared" si="82"/>
        <v>-5.2604537614689333</v>
      </c>
    </row>
    <row r="337" spans="13:45" x14ac:dyDescent="0.25">
      <c r="M337" s="9"/>
      <c r="AJ337" t="e">
        <v>#N/A</v>
      </c>
      <c r="AK337" t="e">
        <v>#N/A</v>
      </c>
      <c r="AL337" t="e">
        <v>#N/A</v>
      </c>
      <c r="AM337" t="e">
        <v>#N/A</v>
      </c>
      <c r="AN337" t="e">
        <v>#N/A</v>
      </c>
      <c r="AQ337">
        <v>335</v>
      </c>
      <c r="AR337">
        <f t="shared" si="81"/>
        <v>10.875693444439801</v>
      </c>
      <c r="AS337">
        <f t="shared" si="82"/>
        <v>-5.0714191408883904</v>
      </c>
    </row>
    <row r="338" spans="13:45" x14ac:dyDescent="0.25">
      <c r="M338" s="9"/>
      <c r="AJ338" t="e">
        <v>#N/A</v>
      </c>
      <c r="AK338" t="e">
        <v>#N/A</v>
      </c>
      <c r="AL338" t="e">
        <v>#N/A</v>
      </c>
      <c r="AM338" t="e">
        <v>#N/A</v>
      </c>
      <c r="AN338" t="e">
        <v>#N/A</v>
      </c>
      <c r="AQ338">
        <v>336</v>
      </c>
      <c r="AR338">
        <f t="shared" si="81"/>
        <v>10.962545491711211</v>
      </c>
      <c r="AS338">
        <f t="shared" si="82"/>
        <v>-4.8808397169096018</v>
      </c>
    </row>
    <row r="339" spans="13:45" x14ac:dyDescent="0.25">
      <c r="M339" s="9"/>
      <c r="AJ339" t="e">
        <v>#N/A</v>
      </c>
      <c r="AK339" t="e">
        <v>#N/A</v>
      </c>
      <c r="AL339" t="e">
        <v>#N/A</v>
      </c>
      <c r="AM339" t="e">
        <v>#N/A</v>
      </c>
      <c r="AN339" t="e">
        <v>#N/A</v>
      </c>
      <c r="AQ339">
        <v>337</v>
      </c>
      <c r="AR339">
        <f t="shared" si="81"/>
        <v>11.046058241429282</v>
      </c>
      <c r="AS339">
        <f t="shared" si="82"/>
        <v>-4.6887735418712868</v>
      </c>
    </row>
    <row r="340" spans="13:45" x14ac:dyDescent="0.25">
      <c r="M340" s="9"/>
      <c r="AJ340" t="e">
        <v>#N/A</v>
      </c>
      <c r="AK340" t="e">
        <v>#N/A</v>
      </c>
      <c r="AL340" t="e">
        <v>#N/A</v>
      </c>
      <c r="AM340" t="e">
        <v>#N/A</v>
      </c>
      <c r="AN340" t="e">
        <v>#N/A</v>
      </c>
      <c r="AQ340">
        <v>338</v>
      </c>
      <c r="AR340">
        <f t="shared" si="81"/>
        <v>11.126206254801447</v>
      </c>
      <c r="AS340">
        <f t="shared" si="82"/>
        <v>-4.495279120990948</v>
      </c>
    </row>
    <row r="341" spans="13:45" x14ac:dyDescent="0.25">
      <c r="M341" s="9"/>
      <c r="AJ341" t="e">
        <v>#N/A</v>
      </c>
      <c r="AK341" t="e">
        <v>#N/A</v>
      </c>
      <c r="AL341" t="e">
        <v>#N/A</v>
      </c>
      <c r="AM341" t="e">
        <v>#N/A</v>
      </c>
      <c r="AN341" t="e">
        <v>#N/A</v>
      </c>
      <c r="AQ341">
        <v>339</v>
      </c>
      <c r="AR341">
        <f t="shared" si="81"/>
        <v>11.202965117966418</v>
      </c>
      <c r="AS341">
        <f t="shared" si="82"/>
        <v>-4.3004153945436094</v>
      </c>
    </row>
    <row r="342" spans="13:45" x14ac:dyDescent="0.25">
      <c r="M342" s="9"/>
      <c r="AJ342" t="e">
        <v>#N/A</v>
      </c>
      <c r="AK342" t="e">
        <v>#N/A</v>
      </c>
      <c r="AL342" t="e">
        <v>#N/A</v>
      </c>
      <c r="AM342" t="e">
        <v>#N/A</v>
      </c>
      <c r="AN342" t="e">
        <v>#N/A</v>
      </c>
      <c r="AQ342">
        <v>340</v>
      </c>
      <c r="AR342">
        <f t="shared" si="81"/>
        <v>11.276311449430901</v>
      </c>
      <c r="AS342">
        <f t="shared" si="82"/>
        <v>-4.104241719908023</v>
      </c>
    </row>
    <row r="343" spans="13:45" x14ac:dyDescent="0.25">
      <c r="M343" s="9"/>
      <c r="AJ343" t="e">
        <v>#N/A</v>
      </c>
      <c r="AK343" t="e">
        <v>#N/A</v>
      </c>
      <c r="AL343" t="e">
        <v>#N/A</v>
      </c>
      <c r="AM343" t="e">
        <v>#N/A</v>
      </c>
      <c r="AN343" t="e">
        <v>#N/A</v>
      </c>
      <c r="AQ343">
        <v>341</v>
      </c>
      <c r="AR343">
        <f t="shared" si="81"/>
        <v>11.346222907191802</v>
      </c>
      <c r="AS343">
        <f t="shared" si="82"/>
        <v>-3.9068178534858804</v>
      </c>
    </row>
    <row r="344" spans="13:45" x14ac:dyDescent="0.25">
      <c r="M344" s="9"/>
      <c r="AJ344" t="e">
        <v>#N/A</v>
      </c>
      <c r="AK344" t="e">
        <v>#N/A</v>
      </c>
      <c r="AL344" t="e">
        <v>#N/A</v>
      </c>
      <c r="AM344" t="e">
        <v>#N/A</v>
      </c>
      <c r="AN344" t="e">
        <v>#N/A</v>
      </c>
      <c r="AQ344">
        <v>342</v>
      </c>
      <c r="AR344">
        <f t="shared" si="81"/>
        <v>11.412678195541842</v>
      </c>
      <c r="AS344">
        <f t="shared" si="82"/>
        <v>-3.7082039324993712</v>
      </c>
    </row>
    <row r="345" spans="13:45" x14ac:dyDescent="0.25">
      <c r="M345" s="9"/>
      <c r="AJ345" t="e">
        <v>#N/A</v>
      </c>
      <c r="AK345" t="e">
        <v>#N/A</v>
      </c>
      <c r="AL345" t="e">
        <v>#N/A</v>
      </c>
      <c r="AM345" t="e">
        <v>#N/A</v>
      </c>
      <c r="AN345" t="e">
        <v>#N/A</v>
      </c>
      <c r="AQ345">
        <v>343</v>
      </c>
      <c r="AR345">
        <f t="shared" si="81"/>
        <v>11.475657071556423</v>
      </c>
      <c r="AS345">
        <f t="shared" si="82"/>
        <v>-3.5084604566728457</v>
      </c>
    </row>
    <row r="346" spans="13:45" x14ac:dyDescent="0.25">
      <c r="M346" s="9"/>
      <c r="AJ346" t="e">
        <v>#N/A</v>
      </c>
      <c r="AK346" t="e">
        <v>#N/A</v>
      </c>
      <c r="AL346" t="e">
        <v>#N/A</v>
      </c>
      <c r="AM346" t="e">
        <v>#N/A</v>
      </c>
      <c r="AN346" t="e">
        <v>#N/A</v>
      </c>
      <c r="AQ346">
        <v>344</v>
      </c>
      <c r="AR346">
        <f t="shared" si="81"/>
        <v>11.535140351259827</v>
      </c>
      <c r="AS346">
        <f t="shared" si="82"/>
        <v>-3.3076482698039875</v>
      </c>
    </row>
    <row r="347" spans="13:45" x14ac:dyDescent="0.25">
      <c r="M347" s="9"/>
      <c r="AJ347" t="e">
        <v>#N/A</v>
      </c>
      <c r="AK347" t="e">
        <v>#N/A</v>
      </c>
      <c r="AL347" t="e">
        <v>#N/A</v>
      </c>
      <c r="AM347" t="e">
        <v>#N/A</v>
      </c>
      <c r="AN347" t="e">
        <v>#N/A</v>
      </c>
      <c r="AQ347">
        <v>345</v>
      </c>
      <c r="AR347">
        <f t="shared" si="81"/>
        <v>11.59110991546882</v>
      </c>
      <c r="AS347">
        <f t="shared" si="82"/>
        <v>-3.105828541230248</v>
      </c>
    </row>
    <row r="348" spans="13:45" x14ac:dyDescent="0.25">
      <c r="M348" s="9"/>
      <c r="AJ348" t="e">
        <v>#N/A</v>
      </c>
      <c r="AK348" t="e">
        <v>#N/A</v>
      </c>
      <c r="AL348" t="e">
        <v>#N/A</v>
      </c>
      <c r="AM348" t="e">
        <v>#N/A</v>
      </c>
      <c r="AN348" t="e">
        <v>#N/A</v>
      </c>
      <c r="AQ348">
        <v>346</v>
      </c>
      <c r="AR348">
        <f t="shared" si="81"/>
        <v>11.643548715311958</v>
      </c>
      <c r="AS348">
        <f t="shared" si="82"/>
        <v>-2.9030627471960146</v>
      </c>
    </row>
    <row r="349" spans="13:45" x14ac:dyDescent="0.25">
      <c r="M349" s="9"/>
      <c r="AJ349" t="e">
        <v>#N/A</v>
      </c>
      <c r="AK349" t="e">
        <v>#N/A</v>
      </c>
      <c r="AL349" t="e">
        <v>#N/A</v>
      </c>
      <c r="AM349" t="e">
        <v>#N/A</v>
      </c>
      <c r="AN349" t="e">
        <v>#N/A</v>
      </c>
      <c r="AQ349">
        <v>347</v>
      </c>
      <c r="AR349">
        <f t="shared" si="81"/>
        <v>11.692440777422821</v>
      </c>
      <c r="AS349">
        <f t="shared" si="82"/>
        <v>-2.6994126521263841</v>
      </c>
    </row>
    <row r="350" spans="13:45" x14ac:dyDescent="0.25">
      <c r="M350" s="9"/>
      <c r="AJ350" t="e">
        <v>#N/A</v>
      </c>
      <c r="AK350" t="e">
        <v>#N/A</v>
      </c>
      <c r="AL350" t="e">
        <v>#N/A</v>
      </c>
      <c r="AM350" t="e">
        <v>#N/A</v>
      </c>
      <c r="AN350" t="e">
        <v>#N/A</v>
      </c>
      <c r="AQ350">
        <v>348</v>
      </c>
      <c r="AR350">
        <f t="shared" si="81"/>
        <v>11.737771208805666</v>
      </c>
      <c r="AS350">
        <f t="shared" si="82"/>
        <v>-2.4949402898131186</v>
      </c>
    </row>
    <row r="351" spans="13:45" x14ac:dyDescent="0.25">
      <c r="M351" s="9"/>
      <c r="AJ351" t="e">
        <v>#N/A</v>
      </c>
      <c r="AK351" t="e">
        <v>#N/A</v>
      </c>
      <c r="AL351" t="e">
        <v>#N/A</v>
      </c>
      <c r="AM351" t="e">
        <v>#N/A</v>
      </c>
      <c r="AN351" t="e">
        <v>#N/A</v>
      </c>
      <c r="AQ351">
        <v>349</v>
      </c>
      <c r="AR351">
        <f t="shared" si="81"/>
        <v>11.779526201371969</v>
      </c>
      <c r="AS351">
        <f t="shared" si="82"/>
        <v>-2.2897079445185362</v>
      </c>
    </row>
    <row r="352" spans="13:45" x14ac:dyDescent="0.25">
      <c r="M352" s="9"/>
      <c r="AJ352" t="e">
        <v>#N/A</v>
      </c>
      <c r="AK352" t="e">
        <v>#N/A</v>
      </c>
      <c r="AL352" t="e">
        <v>#N/A</v>
      </c>
      <c r="AM352" t="e">
        <v>#N/A</v>
      </c>
      <c r="AN352" t="e">
        <v>#N/A</v>
      </c>
      <c r="AQ352">
        <v>350</v>
      </c>
      <c r="AR352">
        <f t="shared" si="81"/>
        <v>11.817693036146496</v>
      </c>
      <c r="AS352">
        <f t="shared" si="82"/>
        <v>-2.0837781320031645</v>
      </c>
    </row>
    <row r="353" spans="13:45" x14ac:dyDescent="0.25">
      <c r="M353" s="9"/>
      <c r="AJ353" t="e">
        <v>#N/A</v>
      </c>
      <c r="AK353" t="e">
        <v>#N/A</v>
      </c>
      <c r="AL353" t="e">
        <v>#N/A</v>
      </c>
      <c r="AM353" t="e">
        <v>#N/A</v>
      </c>
      <c r="AN353" t="e">
        <v>#N/A</v>
      </c>
      <c r="AQ353">
        <v>351</v>
      </c>
      <c r="AR353">
        <f t="shared" si="81"/>
        <v>11.852260087141651</v>
      </c>
      <c r="AS353">
        <f t="shared" si="82"/>
        <v>-1.8772135804827734</v>
      </c>
    </row>
    <row r="354" spans="13:45" x14ac:dyDescent="0.25">
      <c r="M354" s="9"/>
      <c r="AJ354" t="e">
        <v>#N/A</v>
      </c>
      <c r="AK354" t="e">
        <v>#N/A</v>
      </c>
      <c r="AL354" t="e">
        <v>#N/A</v>
      </c>
      <c r="AM354" t="e">
        <v>#N/A</v>
      </c>
      <c r="AN354" t="e">
        <v>#N/A</v>
      </c>
      <c r="AQ354">
        <v>352</v>
      </c>
      <c r="AR354">
        <f t="shared" si="81"/>
        <v>11.883216824898843</v>
      </c>
      <c r="AS354">
        <f t="shared" si="82"/>
        <v>-1.6700772115207907</v>
      </c>
    </row>
    <row r="355" spans="13:45" x14ac:dyDescent="0.25">
      <c r="M355" s="9"/>
      <c r="AJ355" t="e">
        <v>#N/A</v>
      </c>
      <c r="AK355" t="e">
        <v>#N/A</v>
      </c>
      <c r="AL355" t="e">
        <v>#N/A</v>
      </c>
      <c r="AM355" t="e">
        <v>#N/A</v>
      </c>
      <c r="AN355" t="e">
        <v>#N/A</v>
      </c>
      <c r="AQ355">
        <v>353</v>
      </c>
      <c r="AR355">
        <f t="shared" si="81"/>
        <v>11.910553819695865</v>
      </c>
      <c r="AS355">
        <f t="shared" si="82"/>
        <v>-1.4624321208617668</v>
      </c>
    </row>
    <row r="356" spans="13:45" x14ac:dyDescent="0.25">
      <c r="M356" s="9"/>
      <c r="AJ356" t="e">
        <v>#N/A</v>
      </c>
      <c r="AK356" t="e">
        <v>#N/A</v>
      </c>
      <c r="AL356" t="e">
        <v>#N/A</v>
      </c>
      <c r="AM356" t="e">
        <v>#N/A</v>
      </c>
      <c r="AN356" t="e">
        <v>#N/A</v>
      </c>
      <c r="AQ356">
        <v>354</v>
      </c>
      <c r="AR356">
        <f t="shared" si="81"/>
        <v>11.934262744419279</v>
      </c>
      <c r="AS356">
        <f t="shared" si="82"/>
        <v>-1.254341559211841</v>
      </c>
    </row>
    <row r="357" spans="13:45" x14ac:dyDescent="0.25">
      <c r="M357" s="9"/>
      <c r="AJ357" t="e">
        <v>#N/A</v>
      </c>
      <c r="AK357" t="e">
        <v>#N/A</v>
      </c>
      <c r="AL357" t="e">
        <v>#N/A</v>
      </c>
      <c r="AM357" t="e">
        <v>#N/A</v>
      </c>
      <c r="AN357" t="e">
        <v>#N/A</v>
      </c>
      <c r="AQ357">
        <v>355</v>
      </c>
      <c r="AR357">
        <f t="shared" si="81"/>
        <v>11.954336377100947</v>
      </c>
      <c r="AS357">
        <f t="shared" si="82"/>
        <v>-1.0458689129718999</v>
      </c>
    </row>
    <row r="358" spans="13:45" x14ac:dyDescent="0.25">
      <c r="M358" s="9"/>
      <c r="AJ358" t="e">
        <v>#N/A</v>
      </c>
      <c r="AK358" t="e">
        <v>#N/A</v>
      </c>
      <c r="AL358" t="e">
        <v>#N/A</v>
      </c>
      <c r="AM358" t="e">
        <v>#N/A</v>
      </c>
      <c r="AN358" t="e">
        <v>#N/A</v>
      </c>
      <c r="AQ358">
        <v>356</v>
      </c>
      <c r="AR358">
        <f t="shared" si="81"/>
        <v>11.970768603117889</v>
      </c>
      <c r="AS358">
        <f t="shared" si="82"/>
        <v>-0.83707768492950763</v>
      </c>
    </row>
    <row r="359" spans="13:45" x14ac:dyDescent="0.25">
      <c r="M359" s="9"/>
      <c r="AJ359" t="e">
        <v>#N/A</v>
      </c>
      <c r="AK359" t="e">
        <v>#N/A</v>
      </c>
      <c r="AL359" t="e">
        <v>#N/A</v>
      </c>
      <c r="AM359" t="e">
        <v>#N/A</v>
      </c>
      <c r="AN359" t="e">
        <v>#N/A</v>
      </c>
      <c r="AQ359">
        <v>357</v>
      </c>
      <c r="AR359">
        <f t="shared" si="81"/>
        <v>11.983554417054886</v>
      </c>
      <c r="AS359">
        <f t="shared" si="82"/>
        <v>-0.6280314749153324</v>
      </c>
    </row>
    <row r="360" spans="13:45" x14ac:dyDescent="0.25">
      <c r="M360" s="9"/>
      <c r="AJ360" t="e">
        <v>#N/A</v>
      </c>
      <c r="AK360" t="e">
        <v>#N/A</v>
      </c>
      <c r="AL360" t="e">
        <v>#N/A</v>
      </c>
      <c r="AM360" t="e">
        <v>#N/A</v>
      </c>
      <c r="AN360" t="e">
        <v>#N/A</v>
      </c>
      <c r="AQ360">
        <v>358</v>
      </c>
      <c r="AR360">
        <f t="shared" si="81"/>
        <v>11.992689924229149</v>
      </c>
      <c r="AS360">
        <f t="shared" si="82"/>
        <v>-0.41879396043000988</v>
      </c>
    </row>
    <row r="361" spans="13:45" x14ac:dyDescent="0.25">
      <c r="M361" s="9"/>
      <c r="AJ361" t="e">
        <v>#N/A</v>
      </c>
      <c r="AK361" t="e">
        <v>#N/A</v>
      </c>
      <c r="AL361" t="e">
        <v>#N/A</v>
      </c>
      <c r="AM361" t="e">
        <v>#N/A</v>
      </c>
      <c r="AN361" t="e">
        <v>#N/A</v>
      </c>
      <c r="AQ361">
        <v>359</v>
      </c>
      <c r="AR361">
        <f t="shared" si="81"/>
        <v>11.998172341876696</v>
      </c>
      <c r="AS361">
        <f t="shared" si="82"/>
        <v>-0.20942887724740272</v>
      </c>
    </row>
    <row r="362" spans="13:45" x14ac:dyDescent="0.25">
      <c r="M362" s="9"/>
      <c r="AJ362" t="e">
        <v>#N/A</v>
      </c>
      <c r="AK362" t="e">
        <v>#N/A</v>
      </c>
      <c r="AL362" t="e">
        <v>#N/A</v>
      </c>
      <c r="AM362" t="e">
        <v>#N/A</v>
      </c>
      <c r="AN362" t="e">
        <v>#N/A</v>
      </c>
      <c r="AQ362">
        <v>360</v>
      </c>
      <c r="AR362">
        <f t="shared" si="81"/>
        <v>12</v>
      </c>
      <c r="AS362">
        <f t="shared" si="82"/>
        <v>-2.940356291780688E-15</v>
      </c>
    </row>
  </sheetData>
  <dataValidations disablePrompts="1" count="6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0 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  <dataValidation type="list" allowBlank="1" showInputMessage="1" showErrorMessage="1" sqref="B1" xr:uid="{D0ECC5DB-334B-43A1-9C74-9F6B0A934D82}">
      <formula1>"Spiral,Other"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rent_na">
                <anchor moveWithCells="1" sizeWithCells="1">
                  <from>
                    <xdr:col>4</xdr:col>
                    <xdr:colOff>228600</xdr:colOff>
                    <xdr:row>3</xdr:row>
                    <xdr:rowOff>28575</xdr:rowOff>
                  </from>
                  <to>
                    <xdr:col>6</xdr:col>
                    <xdr:colOff>390525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bare">
                <anchor moveWithCells="1" sizeWithCells="1">
                  <from>
                    <xdr:col>31</xdr:col>
                    <xdr:colOff>123825</xdr:colOff>
                    <xdr:row>0</xdr:row>
                    <xdr:rowOff>85725</xdr:rowOff>
                  </from>
                  <to>
                    <xdr:col>33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p_m_curve_plusminus">
                <anchor moveWithCells="1" sizeWithCells="1">
                  <from>
                    <xdr:col>32</xdr:col>
                    <xdr:colOff>95250</xdr:colOff>
                    <xdr:row>4</xdr:row>
                    <xdr:rowOff>190500</xdr:rowOff>
                  </from>
                  <to>
                    <xdr:col>34</xdr:col>
                    <xdr:colOff>504825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4</vt:i4>
      </vt:variant>
    </vt:vector>
  </HeadingPairs>
  <TitlesOfParts>
    <vt:vector size="5" baseType="lpstr">
      <vt:lpstr>circle_section</vt:lpstr>
      <vt:lpstr>Mx_vs_My</vt:lpstr>
      <vt:lpstr>P_M_Curve_Load_Side</vt:lpstr>
      <vt:lpstr>P_M_Curve_Full</vt:lpstr>
      <vt:lpstr>P_M_Curve (Whitney vs PCA)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2022-08-08T15:36:00Z</dcterms:modified>
</cp:coreProperties>
</file>