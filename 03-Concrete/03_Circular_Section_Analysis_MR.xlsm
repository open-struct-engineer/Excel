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e6b96fae790869d/Work/In_Development/"/>
    </mc:Choice>
  </mc:AlternateContent>
  <xr:revisionPtr revIDLastSave="205597" documentId="13_ncr:1_{70AD6AC0-4558-44C2-BD8B-F325BF652B18}" xr6:coauthVersionLast="45" xr6:coauthVersionMax="45" xr10:uidLastSave="{4A052D67-0FA8-483D-9203-859EE6FE10BC}"/>
  <bookViews>
    <workbookView xWindow="1425" yWindow="345" windowWidth="25170" windowHeight="16815" xr2:uid="{95B8903A-7944-4A5B-B8CD-C02474F51CAC}"/>
  </bookViews>
  <sheets>
    <sheet name="circle_section" sheetId="1" r:id="rId1"/>
    <sheet name="P_M_Curv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V104" i="1" l="1"/>
  <c r="AY105" i="1"/>
  <c r="BC78" i="1" l="1"/>
  <c r="BC79" i="1"/>
  <c r="BC80" i="1"/>
  <c r="BC81" i="1"/>
  <c r="BC82" i="1"/>
  <c r="BC83" i="1"/>
  <c r="BC84" i="1"/>
  <c r="BC85" i="1"/>
  <c r="BC86" i="1"/>
  <c r="BC87" i="1"/>
  <c r="BC88" i="1"/>
  <c r="BC89" i="1"/>
  <c r="BC90" i="1"/>
  <c r="BC91" i="1"/>
  <c r="BC92" i="1"/>
  <c r="BC93" i="1"/>
  <c r="BC94" i="1"/>
  <c r="BC95" i="1"/>
  <c r="BC96" i="1"/>
  <c r="BC97" i="1"/>
  <c r="BC98" i="1"/>
  <c r="BC99" i="1"/>
  <c r="BC100" i="1"/>
  <c r="BC101" i="1"/>
  <c r="BC102" i="1"/>
  <c r="AY78" i="1"/>
  <c r="AY79" i="1"/>
  <c r="AY80" i="1"/>
  <c r="AY81" i="1"/>
  <c r="AY82" i="1"/>
  <c r="AY83" i="1"/>
  <c r="AY84" i="1"/>
  <c r="AY85" i="1"/>
  <c r="AY86" i="1"/>
  <c r="AY87" i="1"/>
  <c r="AY88" i="1"/>
  <c r="AY89" i="1"/>
  <c r="AY90" i="1"/>
  <c r="AY91" i="1"/>
  <c r="AY92" i="1"/>
  <c r="AY93" i="1"/>
  <c r="AY94" i="1"/>
  <c r="AY95" i="1"/>
  <c r="AY96" i="1"/>
  <c r="AY97" i="1"/>
  <c r="AY98" i="1"/>
  <c r="AY99" i="1"/>
  <c r="AY100" i="1"/>
  <c r="AY101" i="1"/>
  <c r="AY102" i="1"/>
  <c r="BC77" i="1"/>
  <c r="BC76" i="1"/>
  <c r="BC75" i="1"/>
  <c r="BC74" i="1"/>
  <c r="BC73" i="1"/>
  <c r="BC72" i="1"/>
  <c r="BC71" i="1"/>
  <c r="BC70" i="1"/>
  <c r="BC69" i="1"/>
  <c r="BC68" i="1"/>
  <c r="BC67" i="1"/>
  <c r="BC66" i="1"/>
  <c r="BC65" i="1"/>
  <c r="BC64" i="1"/>
  <c r="BC63" i="1"/>
  <c r="BC62" i="1"/>
  <c r="BC61" i="1"/>
  <c r="BC60" i="1"/>
  <c r="BC59" i="1"/>
  <c r="BC58" i="1"/>
  <c r="BC57" i="1"/>
  <c r="BC56" i="1"/>
  <c r="BC55" i="1"/>
  <c r="BC54" i="1"/>
  <c r="BC53" i="1"/>
  <c r="BC52" i="1"/>
  <c r="BC51" i="1"/>
  <c r="BC50" i="1"/>
  <c r="BC49" i="1"/>
  <c r="BC48" i="1"/>
  <c r="BC47" i="1"/>
  <c r="BC46" i="1"/>
  <c r="BC45" i="1"/>
  <c r="BC44" i="1"/>
  <c r="BC43" i="1"/>
  <c r="BC42" i="1"/>
  <c r="BC41" i="1"/>
  <c r="BC40" i="1"/>
  <c r="BC39" i="1"/>
  <c r="BC38" i="1"/>
  <c r="BC37" i="1"/>
  <c r="BC36" i="1"/>
  <c r="BC35" i="1"/>
  <c r="BC34" i="1"/>
  <c r="BC33" i="1"/>
  <c r="BC32" i="1"/>
  <c r="BC31" i="1"/>
  <c r="BC30" i="1"/>
  <c r="BC29" i="1"/>
  <c r="BC28" i="1"/>
  <c r="BC27" i="1"/>
  <c r="BC26" i="1"/>
  <c r="BC25" i="1"/>
  <c r="BC24" i="1"/>
  <c r="BC23" i="1"/>
  <c r="BC22" i="1"/>
  <c r="BC21" i="1"/>
  <c r="BC20" i="1"/>
  <c r="BC19" i="1"/>
  <c r="BC18" i="1"/>
  <c r="BC17" i="1"/>
  <c r="BC16" i="1"/>
  <c r="BC15" i="1"/>
  <c r="BC14" i="1"/>
  <c r="BC13" i="1"/>
  <c r="BC12" i="1"/>
  <c r="BC11" i="1"/>
  <c r="BC10" i="1"/>
  <c r="BC9" i="1"/>
  <c r="BC8" i="1"/>
  <c r="BC7" i="1"/>
  <c r="BC6" i="1"/>
  <c r="BC5" i="1"/>
  <c r="BC4" i="1"/>
  <c r="BC3" i="1"/>
  <c r="BC2" i="1"/>
  <c r="AY3" i="1"/>
  <c r="AY4" i="1"/>
  <c r="AY5" i="1"/>
  <c r="AY6" i="1"/>
  <c r="AY7" i="1"/>
  <c r="AY8" i="1"/>
  <c r="AY9" i="1"/>
  <c r="AY10" i="1"/>
  <c r="AY11" i="1"/>
  <c r="AY12" i="1"/>
  <c r="AY13" i="1"/>
  <c r="AY14" i="1"/>
  <c r="AY15" i="1"/>
  <c r="AY16" i="1"/>
  <c r="AY17" i="1"/>
  <c r="AY18" i="1"/>
  <c r="AY19" i="1"/>
  <c r="AY20" i="1"/>
  <c r="AY21" i="1"/>
  <c r="AY22" i="1"/>
  <c r="AY23" i="1"/>
  <c r="AY24" i="1"/>
  <c r="AY25" i="1"/>
  <c r="AY26" i="1"/>
  <c r="AY27" i="1"/>
  <c r="AY28" i="1"/>
  <c r="AY29" i="1"/>
  <c r="AY30" i="1"/>
  <c r="AY31" i="1"/>
  <c r="AY32" i="1"/>
  <c r="AY33" i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51" i="1"/>
  <c r="AY52" i="1"/>
  <c r="AY53" i="1"/>
  <c r="AY54" i="1"/>
  <c r="AY55" i="1"/>
  <c r="AY56" i="1"/>
  <c r="AY57" i="1"/>
  <c r="AY58" i="1"/>
  <c r="AY59" i="1"/>
  <c r="AY60" i="1"/>
  <c r="AY61" i="1"/>
  <c r="AY62" i="1"/>
  <c r="AY63" i="1"/>
  <c r="AY64" i="1"/>
  <c r="AY65" i="1"/>
  <c r="AY66" i="1"/>
  <c r="AY67" i="1"/>
  <c r="AY68" i="1"/>
  <c r="AY69" i="1"/>
  <c r="AY70" i="1"/>
  <c r="AY71" i="1"/>
  <c r="AY72" i="1"/>
  <c r="AY73" i="1"/>
  <c r="AY74" i="1"/>
  <c r="AY75" i="1"/>
  <c r="AY76" i="1"/>
  <c r="AY77" i="1"/>
  <c r="AY2" i="1"/>
  <c r="L11" i="1" l="1"/>
  <c r="B133" i="1" l="1"/>
  <c r="B131" i="1"/>
  <c r="B126" i="1"/>
  <c r="B136" i="1" l="1"/>
  <c r="J136" i="1" l="1"/>
  <c r="K136" i="1" s="1"/>
  <c r="B140" i="1" l="1"/>
  <c r="D140" i="1" s="1"/>
  <c r="Z34" i="1"/>
  <c r="B141" i="1" l="1"/>
  <c r="D141" i="1" s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37" i="1"/>
  <c r="E32" i="1"/>
  <c r="D37" i="1" s="1"/>
  <c r="AA37" i="1"/>
  <c r="Z37" i="1"/>
  <c r="E37" i="1" l="1"/>
  <c r="E38" i="1" l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F10" i="1"/>
  <c r="F15" i="1" s="1"/>
  <c r="G15" i="1" l="1"/>
  <c r="H18" i="1" s="1"/>
  <c r="G14" i="1"/>
  <c r="F14" i="1"/>
  <c r="E34" i="1"/>
  <c r="E33" i="1"/>
  <c r="J13" i="1"/>
  <c r="J12" i="1"/>
  <c r="L10" i="1"/>
  <c r="L9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I38" i="1"/>
  <c r="J38" i="1"/>
  <c r="K38" i="1" s="1"/>
  <c r="I39" i="1"/>
  <c r="J39" i="1"/>
  <c r="K39" i="1" s="1"/>
  <c r="I40" i="1"/>
  <c r="J40" i="1"/>
  <c r="K40" i="1" s="1"/>
  <c r="I41" i="1"/>
  <c r="J41" i="1"/>
  <c r="K41" i="1" s="1"/>
  <c r="I42" i="1"/>
  <c r="J42" i="1"/>
  <c r="K42" i="1" s="1"/>
  <c r="I43" i="1"/>
  <c r="J43" i="1"/>
  <c r="K43" i="1" s="1"/>
  <c r="I44" i="1"/>
  <c r="J44" i="1"/>
  <c r="K44" i="1" s="1"/>
  <c r="I45" i="1"/>
  <c r="J45" i="1"/>
  <c r="K45" i="1" s="1"/>
  <c r="I46" i="1"/>
  <c r="J46" i="1"/>
  <c r="K46" i="1" s="1"/>
  <c r="I47" i="1"/>
  <c r="J47" i="1"/>
  <c r="K47" i="1" s="1"/>
  <c r="I48" i="1"/>
  <c r="J48" i="1"/>
  <c r="K48" i="1" s="1"/>
  <c r="I49" i="1"/>
  <c r="J49" i="1"/>
  <c r="K49" i="1" s="1"/>
  <c r="I50" i="1"/>
  <c r="J50" i="1"/>
  <c r="K50" i="1" s="1"/>
  <c r="I51" i="1"/>
  <c r="J51" i="1"/>
  <c r="K51" i="1" s="1"/>
  <c r="I52" i="1"/>
  <c r="J52" i="1"/>
  <c r="K52" i="1" s="1"/>
  <c r="I53" i="1"/>
  <c r="J53" i="1"/>
  <c r="K53" i="1" s="1"/>
  <c r="I54" i="1"/>
  <c r="J54" i="1"/>
  <c r="K54" i="1" s="1"/>
  <c r="I55" i="1"/>
  <c r="J55" i="1"/>
  <c r="K55" i="1" s="1"/>
  <c r="I56" i="1"/>
  <c r="J56" i="1"/>
  <c r="K56" i="1" s="1"/>
  <c r="I57" i="1"/>
  <c r="J57" i="1"/>
  <c r="K57" i="1" s="1"/>
  <c r="I58" i="1"/>
  <c r="J58" i="1"/>
  <c r="K58" i="1" s="1"/>
  <c r="I59" i="1"/>
  <c r="J59" i="1"/>
  <c r="K59" i="1" s="1"/>
  <c r="I60" i="1"/>
  <c r="J60" i="1"/>
  <c r="K60" i="1" s="1"/>
  <c r="I61" i="1"/>
  <c r="J61" i="1"/>
  <c r="K61" i="1" s="1"/>
  <c r="I62" i="1"/>
  <c r="J62" i="1"/>
  <c r="K62" i="1" s="1"/>
  <c r="I63" i="1"/>
  <c r="J63" i="1"/>
  <c r="I64" i="1"/>
  <c r="J64" i="1"/>
  <c r="I65" i="1"/>
  <c r="J65" i="1"/>
  <c r="I66" i="1"/>
  <c r="J66" i="1"/>
  <c r="I67" i="1"/>
  <c r="J67" i="1"/>
  <c r="I68" i="1"/>
  <c r="J68" i="1"/>
  <c r="I69" i="1"/>
  <c r="J69" i="1"/>
  <c r="I70" i="1"/>
  <c r="J70" i="1"/>
  <c r="I71" i="1"/>
  <c r="J71" i="1"/>
  <c r="I72" i="1"/>
  <c r="J72" i="1"/>
  <c r="I73" i="1"/>
  <c r="J73" i="1"/>
  <c r="I74" i="1"/>
  <c r="J74" i="1"/>
  <c r="I75" i="1"/>
  <c r="J75" i="1"/>
  <c r="I76" i="1"/>
  <c r="J76" i="1"/>
  <c r="I77" i="1"/>
  <c r="J77" i="1"/>
  <c r="I78" i="1"/>
  <c r="J78" i="1"/>
  <c r="I79" i="1"/>
  <c r="J79" i="1"/>
  <c r="I80" i="1"/>
  <c r="J80" i="1"/>
  <c r="I81" i="1"/>
  <c r="J81" i="1"/>
  <c r="I82" i="1"/>
  <c r="J82" i="1"/>
  <c r="I83" i="1"/>
  <c r="J83" i="1"/>
  <c r="I84" i="1"/>
  <c r="J84" i="1"/>
  <c r="I85" i="1"/>
  <c r="J85" i="1"/>
  <c r="I86" i="1"/>
  <c r="J86" i="1"/>
  <c r="I87" i="1"/>
  <c r="J87" i="1"/>
  <c r="I88" i="1"/>
  <c r="J88" i="1"/>
  <c r="I89" i="1"/>
  <c r="J89" i="1"/>
  <c r="I90" i="1"/>
  <c r="J90" i="1"/>
  <c r="I91" i="1"/>
  <c r="J91" i="1"/>
  <c r="I92" i="1"/>
  <c r="J92" i="1"/>
  <c r="I93" i="1"/>
  <c r="J93" i="1"/>
  <c r="I94" i="1"/>
  <c r="J94" i="1"/>
  <c r="I95" i="1"/>
  <c r="J95" i="1"/>
  <c r="I96" i="1"/>
  <c r="J96" i="1"/>
  <c r="I97" i="1"/>
  <c r="J97" i="1"/>
  <c r="I98" i="1"/>
  <c r="J98" i="1"/>
  <c r="I99" i="1"/>
  <c r="J99" i="1"/>
  <c r="I100" i="1"/>
  <c r="J100" i="1"/>
  <c r="I101" i="1"/>
  <c r="J101" i="1"/>
  <c r="I102" i="1"/>
  <c r="J102" i="1"/>
  <c r="I103" i="1"/>
  <c r="J103" i="1"/>
  <c r="I104" i="1"/>
  <c r="J104" i="1"/>
  <c r="I105" i="1"/>
  <c r="J105" i="1"/>
  <c r="I106" i="1"/>
  <c r="J106" i="1"/>
  <c r="I107" i="1"/>
  <c r="J107" i="1"/>
  <c r="I108" i="1"/>
  <c r="J108" i="1"/>
  <c r="J37" i="1"/>
  <c r="K37" i="1" s="1"/>
  <c r="I37" i="1"/>
  <c r="G38" i="1"/>
  <c r="G39" i="1"/>
  <c r="G40" i="1"/>
  <c r="H41" i="1"/>
  <c r="G42" i="1"/>
  <c r="G43" i="1"/>
  <c r="G44" i="1"/>
  <c r="H45" i="1"/>
  <c r="G46" i="1"/>
  <c r="G47" i="1"/>
  <c r="G48" i="1"/>
  <c r="H49" i="1"/>
  <c r="G50" i="1"/>
  <c r="G51" i="1"/>
  <c r="G52" i="1"/>
  <c r="H53" i="1"/>
  <c r="G54" i="1"/>
  <c r="G55" i="1"/>
  <c r="G56" i="1"/>
  <c r="H57" i="1"/>
  <c r="G58" i="1"/>
  <c r="G59" i="1"/>
  <c r="G60" i="1"/>
  <c r="H61" i="1"/>
  <c r="G62" i="1"/>
  <c r="G63" i="1"/>
  <c r="G64" i="1"/>
  <c r="H65" i="1"/>
  <c r="G66" i="1"/>
  <c r="G67" i="1"/>
  <c r="G68" i="1"/>
  <c r="H69" i="1"/>
  <c r="G70" i="1"/>
  <c r="G71" i="1"/>
  <c r="G72" i="1"/>
  <c r="H73" i="1"/>
  <c r="G74" i="1"/>
  <c r="G75" i="1"/>
  <c r="G76" i="1"/>
  <c r="H77" i="1"/>
  <c r="G78" i="1"/>
  <c r="G79" i="1"/>
  <c r="G80" i="1"/>
  <c r="H81" i="1"/>
  <c r="G82" i="1"/>
  <c r="G83" i="1"/>
  <c r="G84" i="1"/>
  <c r="H85" i="1"/>
  <c r="G86" i="1"/>
  <c r="G87" i="1"/>
  <c r="G88" i="1"/>
  <c r="H89" i="1"/>
  <c r="G90" i="1"/>
  <c r="G91" i="1"/>
  <c r="G92" i="1"/>
  <c r="H93" i="1"/>
  <c r="G94" i="1"/>
  <c r="G95" i="1"/>
  <c r="G96" i="1"/>
  <c r="H97" i="1"/>
  <c r="G98" i="1"/>
  <c r="G99" i="1"/>
  <c r="G100" i="1"/>
  <c r="H101" i="1"/>
  <c r="G102" i="1"/>
  <c r="G103" i="1"/>
  <c r="G104" i="1"/>
  <c r="H105" i="1"/>
  <c r="G106" i="1"/>
  <c r="G107" i="1"/>
  <c r="G108" i="1"/>
  <c r="H37" i="1"/>
  <c r="C19" i="1" l="1"/>
  <c r="L37" i="1"/>
  <c r="G17" i="1"/>
  <c r="H17" i="1"/>
  <c r="G18" i="1"/>
  <c r="L13" i="1"/>
  <c r="L101" i="1"/>
  <c r="L81" i="1"/>
  <c r="L58" i="1"/>
  <c r="L98" i="1"/>
  <c r="L77" i="1"/>
  <c r="L57" i="1"/>
  <c r="L97" i="1"/>
  <c r="L74" i="1"/>
  <c r="L53" i="1"/>
  <c r="L93" i="1"/>
  <c r="L73" i="1"/>
  <c r="L50" i="1"/>
  <c r="L90" i="1"/>
  <c r="L69" i="1"/>
  <c r="L49" i="1"/>
  <c r="L89" i="1"/>
  <c r="L66" i="1"/>
  <c r="L45" i="1"/>
  <c r="L106" i="1"/>
  <c r="L85" i="1"/>
  <c r="L65" i="1"/>
  <c r="L42" i="1"/>
  <c r="L105" i="1"/>
  <c r="L82" i="1"/>
  <c r="L61" i="1"/>
  <c r="L41" i="1"/>
  <c r="L108" i="1"/>
  <c r="L100" i="1"/>
  <c r="L92" i="1"/>
  <c r="L84" i="1"/>
  <c r="L76" i="1"/>
  <c r="L68" i="1"/>
  <c r="L60" i="1"/>
  <c r="L52" i="1"/>
  <c r="L44" i="1"/>
  <c r="L107" i="1"/>
  <c r="L99" i="1"/>
  <c r="L91" i="1"/>
  <c r="L83" i="1"/>
  <c r="L75" i="1"/>
  <c r="L67" i="1"/>
  <c r="L59" i="1"/>
  <c r="L51" i="1"/>
  <c r="L43" i="1"/>
  <c r="L104" i="1"/>
  <c r="L96" i="1"/>
  <c r="L88" i="1"/>
  <c r="L80" i="1"/>
  <c r="L72" i="1"/>
  <c r="L64" i="1"/>
  <c r="L56" i="1"/>
  <c r="L48" i="1"/>
  <c r="L40" i="1"/>
  <c r="L103" i="1"/>
  <c r="L95" i="1"/>
  <c r="L87" i="1"/>
  <c r="L79" i="1"/>
  <c r="L71" i="1"/>
  <c r="L63" i="1"/>
  <c r="L55" i="1"/>
  <c r="L47" i="1"/>
  <c r="L39" i="1"/>
  <c r="L102" i="1"/>
  <c r="L94" i="1"/>
  <c r="L86" i="1"/>
  <c r="L78" i="1"/>
  <c r="L70" i="1"/>
  <c r="L62" i="1"/>
  <c r="L54" i="1"/>
  <c r="L46" i="1"/>
  <c r="L38" i="1"/>
  <c r="G101" i="1"/>
  <c r="G69" i="1"/>
  <c r="G97" i="1"/>
  <c r="G65" i="1"/>
  <c r="G93" i="1"/>
  <c r="G61" i="1"/>
  <c r="G89" i="1"/>
  <c r="G57" i="1"/>
  <c r="G85" i="1"/>
  <c r="G53" i="1"/>
  <c r="G81" i="1"/>
  <c r="G49" i="1"/>
  <c r="G77" i="1"/>
  <c r="G45" i="1"/>
  <c r="G105" i="1"/>
  <c r="G73" i="1"/>
  <c r="G41" i="1"/>
  <c r="H108" i="1"/>
  <c r="H104" i="1"/>
  <c r="H100" i="1"/>
  <c r="H96" i="1"/>
  <c r="H92" i="1"/>
  <c r="H88" i="1"/>
  <c r="H84" i="1"/>
  <c r="H80" i="1"/>
  <c r="H76" i="1"/>
  <c r="H72" i="1"/>
  <c r="H68" i="1"/>
  <c r="H64" i="1"/>
  <c r="H60" i="1"/>
  <c r="H56" i="1"/>
  <c r="H52" i="1"/>
  <c r="H48" i="1"/>
  <c r="H44" i="1"/>
  <c r="H40" i="1"/>
  <c r="H107" i="1"/>
  <c r="H103" i="1"/>
  <c r="H99" i="1"/>
  <c r="H95" i="1"/>
  <c r="H91" i="1"/>
  <c r="H87" i="1"/>
  <c r="H83" i="1"/>
  <c r="H79" i="1"/>
  <c r="H75" i="1"/>
  <c r="H71" i="1"/>
  <c r="H67" i="1"/>
  <c r="H63" i="1"/>
  <c r="H59" i="1"/>
  <c r="H55" i="1"/>
  <c r="H51" i="1"/>
  <c r="H47" i="1"/>
  <c r="H43" i="1"/>
  <c r="H39" i="1"/>
  <c r="H106" i="1"/>
  <c r="H102" i="1"/>
  <c r="H98" i="1"/>
  <c r="H94" i="1"/>
  <c r="H90" i="1"/>
  <c r="H86" i="1"/>
  <c r="H82" i="1"/>
  <c r="H78" i="1"/>
  <c r="H74" i="1"/>
  <c r="H70" i="1"/>
  <c r="H66" i="1"/>
  <c r="H62" i="1"/>
  <c r="H58" i="1"/>
  <c r="H54" i="1"/>
  <c r="H50" i="1"/>
  <c r="H46" i="1"/>
  <c r="H42" i="1"/>
  <c r="H38" i="1"/>
  <c r="C109" i="1"/>
  <c r="J16" i="1" s="1"/>
  <c r="G37" i="1"/>
  <c r="A165" i="1" l="1"/>
  <c r="A176" i="1"/>
  <c r="A169" i="1"/>
  <c r="A162" i="1"/>
  <c r="A157" i="1"/>
  <c r="A221" i="1"/>
  <c r="A214" i="1"/>
  <c r="A199" i="1"/>
  <c r="A164" i="1"/>
  <c r="A212" i="1"/>
  <c r="A177" i="1"/>
  <c r="A220" i="1"/>
  <c r="A192" i="1"/>
  <c r="A185" i="1"/>
  <c r="A178" i="1"/>
  <c r="A173" i="1"/>
  <c r="A166" i="1"/>
  <c r="A155" i="1"/>
  <c r="A159" i="1"/>
  <c r="A207" i="1"/>
  <c r="A195" i="1"/>
  <c r="A200" i="1"/>
  <c r="A193" i="1"/>
  <c r="A186" i="1"/>
  <c r="A181" i="1"/>
  <c r="A174" i="1"/>
  <c r="A175" i="1"/>
  <c r="A180" i="1"/>
  <c r="A167" i="1"/>
  <c r="A215" i="1"/>
  <c r="A170" i="1"/>
  <c r="A222" i="1"/>
  <c r="A208" i="1"/>
  <c r="A201" i="1"/>
  <c r="A194" i="1"/>
  <c r="A189" i="1"/>
  <c r="A182" i="1"/>
  <c r="A196" i="1"/>
  <c r="A203" i="1"/>
  <c r="A188" i="1"/>
  <c r="A158" i="1"/>
  <c r="A172" i="1"/>
  <c r="A152" i="1"/>
  <c r="A216" i="1"/>
  <c r="A209" i="1"/>
  <c r="A202" i="1"/>
  <c r="A197" i="1"/>
  <c r="A190" i="1"/>
  <c r="A219" i="1"/>
  <c r="A163" i="1"/>
  <c r="A211" i="1"/>
  <c r="A184" i="1"/>
  <c r="A187" i="1"/>
  <c r="A160" i="1"/>
  <c r="A153" i="1"/>
  <c r="A217" i="1"/>
  <c r="A210" i="1"/>
  <c r="A205" i="1"/>
  <c r="A198" i="1"/>
  <c r="A156" i="1"/>
  <c r="A183" i="1"/>
  <c r="A171" i="1"/>
  <c r="A168" i="1"/>
  <c r="A161" i="1"/>
  <c r="A154" i="1"/>
  <c r="A218" i="1"/>
  <c r="A213" i="1"/>
  <c r="A206" i="1"/>
  <c r="A179" i="1"/>
  <c r="A204" i="1"/>
  <c r="A191" i="1"/>
  <c r="A151" i="1"/>
  <c r="J17" i="1"/>
  <c r="K17" i="1" s="1"/>
  <c r="B32" i="1"/>
  <c r="K16" i="1"/>
  <c r="L109" i="1"/>
  <c r="J2" i="1" l="1"/>
  <c r="AR3" i="1"/>
  <c r="AS3" i="1"/>
  <c r="AR4" i="1"/>
  <c r="AS4" i="1"/>
  <c r="AR5" i="1"/>
  <c r="AS5" i="1"/>
  <c r="AR6" i="1"/>
  <c r="AS6" i="1"/>
  <c r="AR7" i="1"/>
  <c r="AS7" i="1"/>
  <c r="AR8" i="1"/>
  <c r="AS8" i="1"/>
  <c r="AR9" i="1"/>
  <c r="AS9" i="1"/>
  <c r="AR10" i="1"/>
  <c r="AS10" i="1"/>
  <c r="AR11" i="1"/>
  <c r="AS11" i="1"/>
  <c r="AR12" i="1"/>
  <c r="AS12" i="1"/>
  <c r="AR13" i="1"/>
  <c r="AS13" i="1"/>
  <c r="AR14" i="1"/>
  <c r="AS14" i="1"/>
  <c r="AR15" i="1"/>
  <c r="AS15" i="1"/>
  <c r="AR16" i="1"/>
  <c r="AS16" i="1"/>
  <c r="AR17" i="1"/>
  <c r="AS17" i="1"/>
  <c r="AR18" i="1"/>
  <c r="AS18" i="1"/>
  <c r="AR19" i="1"/>
  <c r="AS19" i="1"/>
  <c r="AR20" i="1"/>
  <c r="AS20" i="1"/>
  <c r="AR21" i="1"/>
  <c r="AS21" i="1"/>
  <c r="AR22" i="1"/>
  <c r="AS22" i="1"/>
  <c r="AR23" i="1"/>
  <c r="AS23" i="1"/>
  <c r="AR24" i="1"/>
  <c r="AS24" i="1"/>
  <c r="AR25" i="1"/>
  <c r="AS25" i="1"/>
  <c r="AR26" i="1"/>
  <c r="AS26" i="1"/>
  <c r="AR27" i="1"/>
  <c r="AS27" i="1"/>
  <c r="AR28" i="1"/>
  <c r="AS28" i="1"/>
  <c r="AR29" i="1"/>
  <c r="AS29" i="1"/>
  <c r="AR30" i="1"/>
  <c r="AS30" i="1"/>
  <c r="AR31" i="1"/>
  <c r="AS31" i="1"/>
  <c r="AR32" i="1"/>
  <c r="AS32" i="1"/>
  <c r="AR33" i="1"/>
  <c r="AS33" i="1"/>
  <c r="AR34" i="1"/>
  <c r="AS34" i="1"/>
  <c r="AR35" i="1"/>
  <c r="AS35" i="1"/>
  <c r="AR36" i="1"/>
  <c r="AS36" i="1"/>
  <c r="AR37" i="1"/>
  <c r="AS37" i="1"/>
  <c r="AR38" i="1"/>
  <c r="AS38" i="1"/>
  <c r="AR39" i="1"/>
  <c r="AS39" i="1"/>
  <c r="AR40" i="1"/>
  <c r="AS40" i="1"/>
  <c r="AR41" i="1"/>
  <c r="AS41" i="1"/>
  <c r="AR42" i="1"/>
  <c r="AS42" i="1"/>
  <c r="AR43" i="1"/>
  <c r="AS43" i="1"/>
  <c r="AR44" i="1"/>
  <c r="AS44" i="1"/>
  <c r="AR45" i="1"/>
  <c r="AS45" i="1"/>
  <c r="AR46" i="1"/>
  <c r="AS46" i="1"/>
  <c r="AR47" i="1"/>
  <c r="AS47" i="1"/>
  <c r="AR48" i="1"/>
  <c r="AS48" i="1"/>
  <c r="AR49" i="1"/>
  <c r="AS49" i="1"/>
  <c r="AR50" i="1"/>
  <c r="AS50" i="1"/>
  <c r="AR51" i="1"/>
  <c r="AS51" i="1"/>
  <c r="AR52" i="1"/>
  <c r="AS52" i="1"/>
  <c r="AR53" i="1"/>
  <c r="AS53" i="1"/>
  <c r="AR54" i="1"/>
  <c r="AS54" i="1"/>
  <c r="AR55" i="1"/>
  <c r="AS55" i="1"/>
  <c r="AR56" i="1"/>
  <c r="AS56" i="1"/>
  <c r="AR57" i="1"/>
  <c r="AS57" i="1"/>
  <c r="AR58" i="1"/>
  <c r="AS58" i="1"/>
  <c r="AR59" i="1"/>
  <c r="AS59" i="1"/>
  <c r="AR60" i="1"/>
  <c r="AS60" i="1"/>
  <c r="AR61" i="1"/>
  <c r="AS61" i="1"/>
  <c r="AR62" i="1"/>
  <c r="AS62" i="1"/>
  <c r="AR63" i="1"/>
  <c r="AS63" i="1"/>
  <c r="AR64" i="1"/>
  <c r="AS64" i="1"/>
  <c r="AR65" i="1"/>
  <c r="AS65" i="1"/>
  <c r="AR66" i="1"/>
  <c r="AS66" i="1"/>
  <c r="AR67" i="1"/>
  <c r="AS67" i="1"/>
  <c r="AR68" i="1"/>
  <c r="AS68" i="1"/>
  <c r="AR69" i="1"/>
  <c r="AS69" i="1"/>
  <c r="AR70" i="1"/>
  <c r="AS70" i="1"/>
  <c r="AR71" i="1"/>
  <c r="AS71" i="1"/>
  <c r="AR72" i="1"/>
  <c r="AS72" i="1"/>
  <c r="AR73" i="1"/>
  <c r="AS73" i="1"/>
  <c r="AR74" i="1"/>
  <c r="AS74" i="1"/>
  <c r="AR75" i="1"/>
  <c r="AS75" i="1"/>
  <c r="AR76" i="1"/>
  <c r="AS76" i="1"/>
  <c r="AR77" i="1"/>
  <c r="AS77" i="1"/>
  <c r="AR78" i="1"/>
  <c r="AS78" i="1"/>
  <c r="AR79" i="1"/>
  <c r="AS79" i="1"/>
  <c r="AR80" i="1"/>
  <c r="AS80" i="1"/>
  <c r="AR81" i="1"/>
  <c r="AS81" i="1"/>
  <c r="AR82" i="1"/>
  <c r="AS82" i="1"/>
  <c r="AR83" i="1"/>
  <c r="AS83" i="1"/>
  <c r="AR84" i="1"/>
  <c r="AS84" i="1"/>
  <c r="AR85" i="1"/>
  <c r="AS85" i="1"/>
  <c r="AR86" i="1"/>
  <c r="AS86" i="1"/>
  <c r="AR87" i="1"/>
  <c r="AS87" i="1"/>
  <c r="AR88" i="1"/>
  <c r="AS88" i="1"/>
  <c r="AR89" i="1"/>
  <c r="AS89" i="1"/>
  <c r="AR90" i="1"/>
  <c r="AS90" i="1"/>
  <c r="AR91" i="1"/>
  <c r="AS91" i="1"/>
  <c r="AR92" i="1"/>
  <c r="AS92" i="1"/>
  <c r="AR93" i="1"/>
  <c r="AS93" i="1"/>
  <c r="AR94" i="1"/>
  <c r="AS94" i="1"/>
  <c r="AR95" i="1"/>
  <c r="AS95" i="1"/>
  <c r="AR96" i="1"/>
  <c r="AS96" i="1"/>
  <c r="AR97" i="1"/>
  <c r="AS97" i="1"/>
  <c r="AR98" i="1"/>
  <c r="AS98" i="1"/>
  <c r="AR99" i="1"/>
  <c r="AS99" i="1"/>
  <c r="AR100" i="1"/>
  <c r="AS100" i="1"/>
  <c r="AR101" i="1"/>
  <c r="AS101" i="1"/>
  <c r="AR102" i="1"/>
  <c r="AS102" i="1"/>
  <c r="AR103" i="1"/>
  <c r="AS103" i="1"/>
  <c r="AR104" i="1"/>
  <c r="AS104" i="1"/>
  <c r="AR105" i="1"/>
  <c r="AS105" i="1"/>
  <c r="AR106" i="1"/>
  <c r="AS106" i="1"/>
  <c r="AR107" i="1"/>
  <c r="AS107" i="1"/>
  <c r="AR108" i="1"/>
  <c r="AS108" i="1"/>
  <c r="AR109" i="1"/>
  <c r="AS109" i="1"/>
  <c r="AR110" i="1"/>
  <c r="AS110" i="1"/>
  <c r="AR111" i="1"/>
  <c r="AS111" i="1"/>
  <c r="AR112" i="1"/>
  <c r="AS112" i="1"/>
  <c r="AR113" i="1"/>
  <c r="AS113" i="1"/>
  <c r="AR114" i="1"/>
  <c r="AS114" i="1"/>
  <c r="AR115" i="1"/>
  <c r="AS115" i="1"/>
  <c r="AR116" i="1"/>
  <c r="AS116" i="1"/>
  <c r="AR117" i="1"/>
  <c r="AS117" i="1"/>
  <c r="AR118" i="1"/>
  <c r="AS118" i="1"/>
  <c r="AR119" i="1"/>
  <c r="AS119" i="1"/>
  <c r="AR120" i="1"/>
  <c r="AS120" i="1"/>
  <c r="AR121" i="1"/>
  <c r="AS121" i="1"/>
  <c r="AR122" i="1"/>
  <c r="AS122" i="1"/>
  <c r="AR123" i="1"/>
  <c r="AS123" i="1"/>
  <c r="AR124" i="1"/>
  <c r="AS124" i="1"/>
  <c r="AR125" i="1"/>
  <c r="AS125" i="1"/>
  <c r="AR126" i="1"/>
  <c r="AS126" i="1"/>
  <c r="AR127" i="1"/>
  <c r="AS127" i="1"/>
  <c r="AR128" i="1"/>
  <c r="AS128" i="1"/>
  <c r="AR129" i="1"/>
  <c r="AS129" i="1"/>
  <c r="AR130" i="1"/>
  <c r="AS130" i="1"/>
  <c r="AR131" i="1"/>
  <c r="AS131" i="1"/>
  <c r="AR132" i="1"/>
  <c r="AS132" i="1"/>
  <c r="AR133" i="1"/>
  <c r="AS133" i="1"/>
  <c r="AR134" i="1"/>
  <c r="AS134" i="1"/>
  <c r="AR135" i="1"/>
  <c r="AS135" i="1"/>
  <c r="AR136" i="1"/>
  <c r="AS136" i="1"/>
  <c r="AR137" i="1"/>
  <c r="AS137" i="1"/>
  <c r="AR138" i="1"/>
  <c r="AS138" i="1"/>
  <c r="AR139" i="1"/>
  <c r="AS139" i="1"/>
  <c r="AR140" i="1"/>
  <c r="AS140" i="1"/>
  <c r="AR141" i="1"/>
  <c r="AS141" i="1"/>
  <c r="AR142" i="1"/>
  <c r="AS142" i="1"/>
  <c r="AR143" i="1"/>
  <c r="AS143" i="1"/>
  <c r="AR144" i="1"/>
  <c r="AS144" i="1"/>
  <c r="AR145" i="1"/>
  <c r="AS145" i="1"/>
  <c r="AR146" i="1"/>
  <c r="AS146" i="1"/>
  <c r="AR147" i="1"/>
  <c r="AS147" i="1"/>
  <c r="AR148" i="1"/>
  <c r="AS148" i="1"/>
  <c r="AR149" i="1"/>
  <c r="AS149" i="1"/>
  <c r="AR150" i="1"/>
  <c r="AS150" i="1"/>
  <c r="AR151" i="1"/>
  <c r="AS151" i="1"/>
  <c r="AR152" i="1"/>
  <c r="AS152" i="1"/>
  <c r="AR153" i="1"/>
  <c r="AS153" i="1"/>
  <c r="AR154" i="1"/>
  <c r="AS154" i="1"/>
  <c r="AR155" i="1"/>
  <c r="AS155" i="1"/>
  <c r="AR156" i="1"/>
  <c r="AS156" i="1"/>
  <c r="AR157" i="1"/>
  <c r="AS157" i="1"/>
  <c r="AR158" i="1"/>
  <c r="AS158" i="1"/>
  <c r="AR159" i="1"/>
  <c r="AS159" i="1"/>
  <c r="AR160" i="1"/>
  <c r="AS160" i="1"/>
  <c r="AR161" i="1"/>
  <c r="AS161" i="1"/>
  <c r="AR162" i="1"/>
  <c r="AS162" i="1"/>
  <c r="AR163" i="1"/>
  <c r="AS163" i="1"/>
  <c r="AR164" i="1"/>
  <c r="AS164" i="1"/>
  <c r="AR165" i="1"/>
  <c r="AS165" i="1"/>
  <c r="AR166" i="1"/>
  <c r="AS166" i="1"/>
  <c r="AR167" i="1"/>
  <c r="AS167" i="1"/>
  <c r="AR168" i="1"/>
  <c r="AS168" i="1"/>
  <c r="AR169" i="1"/>
  <c r="AS169" i="1"/>
  <c r="AR170" i="1"/>
  <c r="AS170" i="1"/>
  <c r="AR171" i="1"/>
  <c r="AS171" i="1"/>
  <c r="AR172" i="1"/>
  <c r="AS172" i="1"/>
  <c r="AR173" i="1"/>
  <c r="AS173" i="1"/>
  <c r="AR174" i="1"/>
  <c r="AS174" i="1"/>
  <c r="AR175" i="1"/>
  <c r="AS175" i="1"/>
  <c r="AR176" i="1"/>
  <c r="AS176" i="1"/>
  <c r="AR177" i="1"/>
  <c r="AS177" i="1"/>
  <c r="AR178" i="1"/>
  <c r="AS178" i="1"/>
  <c r="AR179" i="1"/>
  <c r="AS179" i="1"/>
  <c r="AR180" i="1"/>
  <c r="AS180" i="1"/>
  <c r="AR181" i="1"/>
  <c r="AS181" i="1"/>
  <c r="AR182" i="1"/>
  <c r="AS182" i="1"/>
  <c r="AR183" i="1"/>
  <c r="AS183" i="1"/>
  <c r="AR184" i="1"/>
  <c r="AS184" i="1"/>
  <c r="AR185" i="1"/>
  <c r="AS185" i="1"/>
  <c r="AR186" i="1"/>
  <c r="AS186" i="1"/>
  <c r="AR187" i="1"/>
  <c r="AS187" i="1"/>
  <c r="AR188" i="1"/>
  <c r="AS188" i="1"/>
  <c r="AR189" i="1"/>
  <c r="AS189" i="1"/>
  <c r="AR190" i="1"/>
  <c r="AS190" i="1"/>
  <c r="AR191" i="1"/>
  <c r="AS191" i="1"/>
  <c r="AR192" i="1"/>
  <c r="AS192" i="1"/>
  <c r="AR193" i="1"/>
  <c r="AS193" i="1"/>
  <c r="AR194" i="1"/>
  <c r="AS194" i="1"/>
  <c r="AR195" i="1"/>
  <c r="AS195" i="1"/>
  <c r="AR196" i="1"/>
  <c r="AS196" i="1"/>
  <c r="AR197" i="1"/>
  <c r="AS197" i="1"/>
  <c r="AR198" i="1"/>
  <c r="AS198" i="1"/>
  <c r="AR199" i="1"/>
  <c r="AS199" i="1"/>
  <c r="AR200" i="1"/>
  <c r="AS200" i="1"/>
  <c r="AR201" i="1"/>
  <c r="AS201" i="1"/>
  <c r="AR202" i="1"/>
  <c r="AS202" i="1"/>
  <c r="AR203" i="1"/>
  <c r="AS203" i="1"/>
  <c r="AR204" i="1"/>
  <c r="AS204" i="1"/>
  <c r="AR205" i="1"/>
  <c r="AS205" i="1"/>
  <c r="AR206" i="1"/>
  <c r="AS206" i="1"/>
  <c r="AR207" i="1"/>
  <c r="AS207" i="1"/>
  <c r="AR208" i="1"/>
  <c r="AS208" i="1"/>
  <c r="AR209" i="1"/>
  <c r="AS209" i="1"/>
  <c r="AR210" i="1"/>
  <c r="AS210" i="1"/>
  <c r="AR211" i="1"/>
  <c r="AS211" i="1"/>
  <c r="AR212" i="1"/>
  <c r="AS212" i="1"/>
  <c r="AR213" i="1"/>
  <c r="AS213" i="1"/>
  <c r="AR214" i="1"/>
  <c r="AS214" i="1"/>
  <c r="AR215" i="1"/>
  <c r="AS215" i="1"/>
  <c r="AR216" i="1"/>
  <c r="AS216" i="1"/>
  <c r="AR217" i="1"/>
  <c r="AS217" i="1"/>
  <c r="AR218" i="1"/>
  <c r="AS218" i="1"/>
  <c r="AR219" i="1"/>
  <c r="AS219" i="1"/>
  <c r="AR220" i="1"/>
  <c r="AS220" i="1"/>
  <c r="AR221" i="1"/>
  <c r="AS221" i="1"/>
  <c r="AR222" i="1"/>
  <c r="AS222" i="1"/>
  <c r="AR223" i="1"/>
  <c r="AS223" i="1"/>
  <c r="AR224" i="1"/>
  <c r="AS224" i="1"/>
  <c r="AR225" i="1"/>
  <c r="AS225" i="1"/>
  <c r="AR226" i="1"/>
  <c r="AS226" i="1"/>
  <c r="AR227" i="1"/>
  <c r="AS227" i="1"/>
  <c r="AR228" i="1"/>
  <c r="AS228" i="1"/>
  <c r="AR229" i="1"/>
  <c r="AS229" i="1"/>
  <c r="AR230" i="1"/>
  <c r="AS230" i="1"/>
  <c r="AR231" i="1"/>
  <c r="AS231" i="1"/>
  <c r="AR232" i="1"/>
  <c r="AS232" i="1"/>
  <c r="AR233" i="1"/>
  <c r="AS233" i="1"/>
  <c r="AR234" i="1"/>
  <c r="AS234" i="1"/>
  <c r="AR235" i="1"/>
  <c r="AS235" i="1"/>
  <c r="AR236" i="1"/>
  <c r="AS236" i="1"/>
  <c r="AR237" i="1"/>
  <c r="AS237" i="1"/>
  <c r="AR238" i="1"/>
  <c r="AS238" i="1"/>
  <c r="AR239" i="1"/>
  <c r="AS239" i="1"/>
  <c r="AR240" i="1"/>
  <c r="AS240" i="1"/>
  <c r="AR241" i="1"/>
  <c r="AS241" i="1"/>
  <c r="AR242" i="1"/>
  <c r="AS242" i="1"/>
  <c r="AR243" i="1"/>
  <c r="AS243" i="1"/>
  <c r="AR244" i="1"/>
  <c r="AS244" i="1"/>
  <c r="AR245" i="1"/>
  <c r="AS245" i="1"/>
  <c r="AR246" i="1"/>
  <c r="AS246" i="1"/>
  <c r="AR247" i="1"/>
  <c r="AS247" i="1"/>
  <c r="AR248" i="1"/>
  <c r="AS248" i="1"/>
  <c r="AR249" i="1"/>
  <c r="AS249" i="1"/>
  <c r="AR250" i="1"/>
  <c r="AS250" i="1"/>
  <c r="AR251" i="1"/>
  <c r="AS251" i="1"/>
  <c r="AR252" i="1"/>
  <c r="AS252" i="1"/>
  <c r="AR253" i="1"/>
  <c r="AS253" i="1"/>
  <c r="AR254" i="1"/>
  <c r="AS254" i="1"/>
  <c r="AR255" i="1"/>
  <c r="AS255" i="1"/>
  <c r="AR256" i="1"/>
  <c r="AS256" i="1"/>
  <c r="AR257" i="1"/>
  <c r="AS257" i="1"/>
  <c r="AR258" i="1"/>
  <c r="AS258" i="1"/>
  <c r="AR259" i="1"/>
  <c r="AS259" i="1"/>
  <c r="AR260" i="1"/>
  <c r="AS260" i="1"/>
  <c r="AR261" i="1"/>
  <c r="AS261" i="1"/>
  <c r="AR262" i="1"/>
  <c r="AS262" i="1"/>
  <c r="AR263" i="1"/>
  <c r="AS263" i="1"/>
  <c r="AR264" i="1"/>
  <c r="AS264" i="1"/>
  <c r="AR265" i="1"/>
  <c r="AS265" i="1"/>
  <c r="AR266" i="1"/>
  <c r="AS266" i="1"/>
  <c r="AR267" i="1"/>
  <c r="AS267" i="1"/>
  <c r="AR268" i="1"/>
  <c r="AS268" i="1"/>
  <c r="AR269" i="1"/>
  <c r="AS269" i="1"/>
  <c r="AR270" i="1"/>
  <c r="AS270" i="1"/>
  <c r="AR271" i="1"/>
  <c r="AS271" i="1"/>
  <c r="AR272" i="1"/>
  <c r="AS272" i="1"/>
  <c r="AR273" i="1"/>
  <c r="AS273" i="1"/>
  <c r="AR274" i="1"/>
  <c r="AS274" i="1"/>
  <c r="AR275" i="1"/>
  <c r="AS275" i="1"/>
  <c r="AR276" i="1"/>
  <c r="AS276" i="1"/>
  <c r="AR277" i="1"/>
  <c r="AS277" i="1"/>
  <c r="AR278" i="1"/>
  <c r="AS278" i="1"/>
  <c r="AR279" i="1"/>
  <c r="AS279" i="1"/>
  <c r="AR280" i="1"/>
  <c r="AS280" i="1"/>
  <c r="AR281" i="1"/>
  <c r="AS281" i="1"/>
  <c r="AR282" i="1"/>
  <c r="AS282" i="1"/>
  <c r="AR283" i="1"/>
  <c r="AS283" i="1"/>
  <c r="AR284" i="1"/>
  <c r="AS284" i="1"/>
  <c r="AR285" i="1"/>
  <c r="AS285" i="1"/>
  <c r="AR286" i="1"/>
  <c r="AS286" i="1"/>
  <c r="AR287" i="1"/>
  <c r="AS287" i="1"/>
  <c r="AR288" i="1"/>
  <c r="AS288" i="1"/>
  <c r="AR289" i="1"/>
  <c r="AS289" i="1"/>
  <c r="AR290" i="1"/>
  <c r="AS290" i="1"/>
  <c r="AR291" i="1"/>
  <c r="AS291" i="1"/>
  <c r="AR292" i="1"/>
  <c r="AS292" i="1"/>
  <c r="AR293" i="1"/>
  <c r="AS293" i="1"/>
  <c r="AR294" i="1"/>
  <c r="AS294" i="1"/>
  <c r="AR295" i="1"/>
  <c r="AS295" i="1"/>
  <c r="AR296" i="1"/>
  <c r="AS296" i="1"/>
  <c r="AR297" i="1"/>
  <c r="AS297" i="1"/>
  <c r="AR298" i="1"/>
  <c r="AS298" i="1"/>
  <c r="AR299" i="1"/>
  <c r="AS299" i="1"/>
  <c r="AR300" i="1"/>
  <c r="AS300" i="1"/>
  <c r="AR301" i="1"/>
  <c r="AS301" i="1"/>
  <c r="AR302" i="1"/>
  <c r="AS302" i="1"/>
  <c r="AR303" i="1"/>
  <c r="AS303" i="1"/>
  <c r="AR304" i="1"/>
  <c r="AS304" i="1"/>
  <c r="AR305" i="1"/>
  <c r="AS305" i="1"/>
  <c r="AR306" i="1"/>
  <c r="AS306" i="1"/>
  <c r="AR307" i="1"/>
  <c r="AS307" i="1"/>
  <c r="AR308" i="1"/>
  <c r="AS308" i="1"/>
  <c r="AR309" i="1"/>
  <c r="AS309" i="1"/>
  <c r="AR310" i="1"/>
  <c r="AS310" i="1"/>
  <c r="AR311" i="1"/>
  <c r="AS311" i="1"/>
  <c r="AR312" i="1"/>
  <c r="AS312" i="1"/>
  <c r="AR313" i="1"/>
  <c r="AS313" i="1"/>
  <c r="AR314" i="1"/>
  <c r="AS314" i="1"/>
  <c r="AR315" i="1"/>
  <c r="AS315" i="1"/>
  <c r="AR316" i="1"/>
  <c r="AS316" i="1"/>
  <c r="AR317" i="1"/>
  <c r="AS317" i="1"/>
  <c r="AR318" i="1"/>
  <c r="AS318" i="1"/>
  <c r="AR319" i="1"/>
  <c r="AS319" i="1"/>
  <c r="AR320" i="1"/>
  <c r="AS320" i="1"/>
  <c r="AR321" i="1"/>
  <c r="AS321" i="1"/>
  <c r="AR322" i="1"/>
  <c r="AS322" i="1"/>
  <c r="AR323" i="1"/>
  <c r="AS323" i="1"/>
  <c r="AR324" i="1"/>
  <c r="AS324" i="1"/>
  <c r="AR325" i="1"/>
  <c r="AS325" i="1"/>
  <c r="AR326" i="1"/>
  <c r="AS326" i="1"/>
  <c r="AR327" i="1"/>
  <c r="AS327" i="1"/>
  <c r="AR328" i="1"/>
  <c r="AS328" i="1"/>
  <c r="AR329" i="1"/>
  <c r="AS329" i="1"/>
  <c r="AR330" i="1"/>
  <c r="AS330" i="1"/>
  <c r="AR331" i="1"/>
  <c r="AS331" i="1"/>
  <c r="AR332" i="1"/>
  <c r="AS332" i="1"/>
  <c r="AR333" i="1"/>
  <c r="AS333" i="1"/>
  <c r="AR334" i="1"/>
  <c r="AS334" i="1"/>
  <c r="AR335" i="1"/>
  <c r="AS335" i="1"/>
  <c r="AR336" i="1"/>
  <c r="AS336" i="1"/>
  <c r="AR337" i="1"/>
  <c r="AS337" i="1"/>
  <c r="AR338" i="1"/>
  <c r="AS338" i="1"/>
  <c r="AR339" i="1"/>
  <c r="AS339" i="1"/>
  <c r="AR340" i="1"/>
  <c r="AS340" i="1"/>
  <c r="AR341" i="1"/>
  <c r="AS341" i="1"/>
  <c r="AR342" i="1"/>
  <c r="AS342" i="1"/>
  <c r="AR343" i="1"/>
  <c r="AS343" i="1"/>
  <c r="AR344" i="1"/>
  <c r="AS344" i="1"/>
  <c r="AR345" i="1"/>
  <c r="AS345" i="1"/>
  <c r="AR346" i="1"/>
  <c r="AS346" i="1"/>
  <c r="AR347" i="1"/>
  <c r="AS347" i="1"/>
  <c r="AR348" i="1"/>
  <c r="AS348" i="1"/>
  <c r="AR349" i="1"/>
  <c r="AS349" i="1"/>
  <c r="AR350" i="1"/>
  <c r="AS350" i="1"/>
  <c r="AR351" i="1"/>
  <c r="AS351" i="1"/>
  <c r="AR352" i="1"/>
  <c r="AS352" i="1"/>
  <c r="AR353" i="1"/>
  <c r="AS353" i="1"/>
  <c r="AR354" i="1"/>
  <c r="AS354" i="1"/>
  <c r="AR355" i="1"/>
  <c r="AS355" i="1"/>
  <c r="AR356" i="1"/>
  <c r="AS356" i="1"/>
  <c r="AR357" i="1"/>
  <c r="AS357" i="1"/>
  <c r="AR358" i="1"/>
  <c r="AS358" i="1"/>
  <c r="AR359" i="1"/>
  <c r="AS359" i="1"/>
  <c r="AR360" i="1"/>
  <c r="AS360" i="1"/>
  <c r="AR361" i="1"/>
  <c r="AS361" i="1"/>
  <c r="AR362" i="1"/>
  <c r="AS362" i="1"/>
  <c r="AS2" i="1"/>
  <c r="AR2" i="1"/>
  <c r="B12" i="1"/>
  <c r="B8" i="1"/>
  <c r="B6" i="1"/>
  <c r="B127" i="1" s="1"/>
  <c r="B128" i="1" s="1"/>
  <c r="B173" i="1" s="1"/>
  <c r="B7" i="1"/>
  <c r="M62" i="1" l="1"/>
  <c r="N62" i="1" s="1"/>
  <c r="M98" i="1"/>
  <c r="N98" i="1" s="1"/>
  <c r="M73" i="1"/>
  <c r="N73" i="1" s="1"/>
  <c r="M45" i="1"/>
  <c r="N45" i="1" s="1"/>
  <c r="M61" i="1"/>
  <c r="N61" i="1" s="1"/>
  <c r="M75" i="1"/>
  <c r="N75" i="1" s="1"/>
  <c r="M88" i="1"/>
  <c r="N88" i="1" s="1"/>
  <c r="M103" i="1"/>
  <c r="N103" i="1" s="1"/>
  <c r="M47" i="1"/>
  <c r="N47" i="1" s="1"/>
  <c r="M55" i="1"/>
  <c r="N55" i="1" s="1"/>
  <c r="M70" i="1"/>
  <c r="N70" i="1" s="1"/>
  <c r="M58" i="1"/>
  <c r="N58" i="1" s="1"/>
  <c r="M93" i="1"/>
  <c r="N93" i="1" s="1"/>
  <c r="M66" i="1"/>
  <c r="N66" i="1" s="1"/>
  <c r="M68" i="1"/>
  <c r="N68" i="1" s="1"/>
  <c r="M83" i="1"/>
  <c r="N83" i="1" s="1"/>
  <c r="M96" i="1"/>
  <c r="N96" i="1" s="1"/>
  <c r="M48" i="1"/>
  <c r="N48" i="1" s="1"/>
  <c r="M63" i="1"/>
  <c r="N63" i="1" s="1"/>
  <c r="M78" i="1"/>
  <c r="N78" i="1" s="1"/>
  <c r="M81" i="1"/>
  <c r="N81" i="1" s="1"/>
  <c r="M53" i="1"/>
  <c r="N53" i="1" s="1"/>
  <c r="M82" i="1"/>
  <c r="N82" i="1" s="1"/>
  <c r="M76" i="1"/>
  <c r="N76" i="1" s="1"/>
  <c r="M91" i="1"/>
  <c r="N91" i="1" s="1"/>
  <c r="M104" i="1"/>
  <c r="N104" i="1" s="1"/>
  <c r="M56" i="1"/>
  <c r="N56" i="1" s="1"/>
  <c r="M71" i="1"/>
  <c r="N71" i="1" s="1"/>
  <c r="M86" i="1"/>
  <c r="N86" i="1" s="1"/>
  <c r="M101" i="1"/>
  <c r="N101" i="1" s="1"/>
  <c r="M89" i="1"/>
  <c r="N89" i="1" s="1"/>
  <c r="M105" i="1"/>
  <c r="N105" i="1" s="1"/>
  <c r="M84" i="1"/>
  <c r="N84" i="1" s="1"/>
  <c r="M99" i="1"/>
  <c r="N99" i="1" s="1"/>
  <c r="M107" i="1"/>
  <c r="N107" i="1" s="1"/>
  <c r="M51" i="1"/>
  <c r="N51" i="1" s="1"/>
  <c r="M64" i="1"/>
  <c r="N64" i="1" s="1"/>
  <c r="M79" i="1"/>
  <c r="N79" i="1" s="1"/>
  <c r="M74" i="1"/>
  <c r="N74" i="1" s="1"/>
  <c r="M49" i="1"/>
  <c r="N49" i="1" s="1"/>
  <c r="M92" i="1"/>
  <c r="N92" i="1" s="1"/>
  <c r="M100" i="1"/>
  <c r="N100" i="1" s="1"/>
  <c r="M59" i="1"/>
  <c r="N59" i="1" s="1"/>
  <c r="M72" i="1"/>
  <c r="N72" i="1" s="1"/>
  <c r="M94" i="1"/>
  <c r="N94" i="1" s="1"/>
  <c r="M97" i="1"/>
  <c r="N97" i="1" s="1"/>
  <c r="M69" i="1"/>
  <c r="N69" i="1" s="1"/>
  <c r="M65" i="1"/>
  <c r="N65" i="1" s="1"/>
  <c r="M85" i="1"/>
  <c r="N85" i="1" s="1"/>
  <c r="M108" i="1"/>
  <c r="N108" i="1" s="1"/>
  <c r="M52" i="1"/>
  <c r="N52" i="1" s="1"/>
  <c r="M67" i="1"/>
  <c r="N67" i="1" s="1"/>
  <c r="M87" i="1"/>
  <c r="N87" i="1" s="1"/>
  <c r="M102" i="1"/>
  <c r="N102" i="1" s="1"/>
  <c r="M46" i="1"/>
  <c r="N46" i="1" s="1"/>
  <c r="M57" i="1"/>
  <c r="N57" i="1" s="1"/>
  <c r="M90" i="1"/>
  <c r="N90" i="1" s="1"/>
  <c r="M50" i="1"/>
  <c r="N50" i="1" s="1"/>
  <c r="M106" i="1"/>
  <c r="N106" i="1" s="1"/>
  <c r="M60" i="1"/>
  <c r="N60" i="1" s="1"/>
  <c r="M80" i="1"/>
  <c r="N80" i="1" s="1"/>
  <c r="M95" i="1"/>
  <c r="N95" i="1" s="1"/>
  <c r="M54" i="1"/>
  <c r="N54" i="1" s="1"/>
  <c r="M77" i="1"/>
  <c r="N77" i="1" s="1"/>
  <c r="B152" i="1"/>
  <c r="M38" i="1" s="1"/>
  <c r="N38" i="1" s="1"/>
  <c r="B220" i="1"/>
  <c r="B165" i="1"/>
  <c r="B154" i="1"/>
  <c r="M40" i="1" s="1"/>
  <c r="N40" i="1" s="1"/>
  <c r="B172" i="1"/>
  <c r="B194" i="1"/>
  <c r="B162" i="1"/>
  <c r="B206" i="1"/>
  <c r="B182" i="1"/>
  <c r="B221" i="1"/>
  <c r="B134" i="1"/>
  <c r="B135" i="1" s="1"/>
  <c r="J135" i="1" s="1"/>
  <c r="F142" i="1"/>
  <c r="B130" i="1"/>
  <c r="F140" i="1"/>
  <c r="F141" i="1"/>
  <c r="B166" i="1"/>
  <c r="B153" i="1"/>
  <c r="M39" i="1" s="1"/>
  <c r="N39" i="1" s="1"/>
  <c r="B205" i="1"/>
  <c r="B211" i="1"/>
  <c r="B207" i="1"/>
  <c r="B193" i="1"/>
  <c r="B187" i="1"/>
  <c r="B200" i="1"/>
  <c r="B222" i="1"/>
  <c r="B170" i="1"/>
  <c r="B186" i="1"/>
  <c r="B181" i="1"/>
  <c r="B176" i="1"/>
  <c r="B218" i="1"/>
  <c r="B198" i="1"/>
  <c r="B180" i="1"/>
  <c r="B191" i="1"/>
  <c r="B183" i="1"/>
  <c r="B215" i="1"/>
  <c r="B188" i="1"/>
  <c r="B208" i="1"/>
  <c r="B212" i="1"/>
  <c r="B169" i="1"/>
  <c r="B213" i="1"/>
  <c r="B189" i="1"/>
  <c r="B157" i="1"/>
  <c r="M43" i="1" s="1"/>
  <c r="N43" i="1" s="1"/>
  <c r="B179" i="1"/>
  <c r="B196" i="1"/>
  <c r="B190" i="1"/>
  <c r="B163" i="1"/>
  <c r="B209" i="1"/>
  <c r="B158" i="1"/>
  <c r="M44" i="1" s="1"/>
  <c r="B155" i="1"/>
  <c r="M41" i="1" s="1"/>
  <c r="N41" i="1" s="1"/>
  <c r="B177" i="1"/>
  <c r="B204" i="1"/>
  <c r="B216" i="1"/>
  <c r="B192" i="1"/>
  <c r="B160" i="1"/>
  <c r="B171" i="1"/>
  <c r="B217" i="1"/>
  <c r="B202" i="1"/>
  <c r="B219" i="1"/>
  <c r="B174" i="1"/>
  <c r="B159" i="1"/>
  <c r="B214" i="1"/>
  <c r="B184" i="1"/>
  <c r="B195" i="1"/>
  <c r="B178" i="1"/>
  <c r="B197" i="1"/>
  <c r="B161" i="1"/>
  <c r="B164" i="1"/>
  <c r="B185" i="1"/>
  <c r="B210" i="1"/>
  <c r="B201" i="1"/>
  <c r="B175" i="1"/>
  <c r="B203" i="1"/>
  <c r="B156" i="1"/>
  <c r="M42" i="1" s="1"/>
  <c r="N42" i="1" s="1"/>
  <c r="B167" i="1"/>
  <c r="B168" i="1"/>
  <c r="B199" i="1"/>
  <c r="B151" i="1"/>
  <c r="M37" i="1" s="1"/>
  <c r="N37" i="1" s="1"/>
  <c r="Y37" i="1" s="1"/>
  <c r="F11" i="1"/>
  <c r="Q141" i="1" l="1"/>
  <c r="P140" i="1"/>
  <c r="N44" i="1"/>
  <c r="P44" i="1" s="1"/>
  <c r="J140" i="1"/>
  <c r="K141" i="1"/>
  <c r="K135" i="1"/>
  <c r="B145" i="1"/>
  <c r="M140" i="1"/>
  <c r="N141" i="1"/>
  <c r="P64" i="1"/>
  <c r="U64" i="1"/>
  <c r="V64" i="1"/>
  <c r="X64" i="1"/>
  <c r="Y64" i="1"/>
  <c r="P96" i="1"/>
  <c r="U96" i="1"/>
  <c r="V96" i="1"/>
  <c r="X96" i="1"/>
  <c r="Y96" i="1"/>
  <c r="P90" i="1"/>
  <c r="U90" i="1"/>
  <c r="V90" i="1"/>
  <c r="X90" i="1"/>
  <c r="Y90" i="1"/>
  <c r="P56" i="1"/>
  <c r="U56" i="1"/>
  <c r="V56" i="1"/>
  <c r="X56" i="1"/>
  <c r="Y56" i="1"/>
  <c r="P61" i="1"/>
  <c r="U61" i="1"/>
  <c r="V61" i="1"/>
  <c r="Y61" i="1"/>
  <c r="X61" i="1"/>
  <c r="P95" i="1"/>
  <c r="X95" i="1"/>
  <c r="U95" i="1"/>
  <c r="V95" i="1"/>
  <c r="Y95" i="1"/>
  <c r="P42" i="1"/>
  <c r="U42" i="1"/>
  <c r="V42" i="1"/>
  <c r="X42" i="1"/>
  <c r="Y42" i="1"/>
  <c r="P55" i="1"/>
  <c r="U55" i="1"/>
  <c r="V55" i="1"/>
  <c r="X55" i="1"/>
  <c r="Y55" i="1"/>
  <c r="P106" i="1"/>
  <c r="U106" i="1"/>
  <c r="V106" i="1"/>
  <c r="X106" i="1"/>
  <c r="Y106" i="1"/>
  <c r="P39" i="1"/>
  <c r="U39" i="1"/>
  <c r="V39" i="1"/>
  <c r="X39" i="1"/>
  <c r="Y39" i="1"/>
  <c r="P65" i="1"/>
  <c r="U65" i="1"/>
  <c r="V65" i="1"/>
  <c r="Y65" i="1"/>
  <c r="X65" i="1"/>
  <c r="P74" i="1"/>
  <c r="U74" i="1"/>
  <c r="V74" i="1"/>
  <c r="X74" i="1"/>
  <c r="Y74" i="1"/>
  <c r="P60" i="1"/>
  <c r="U60" i="1"/>
  <c r="V60" i="1"/>
  <c r="X60" i="1"/>
  <c r="Y60" i="1"/>
  <c r="P102" i="1"/>
  <c r="U102" i="1"/>
  <c r="V102" i="1"/>
  <c r="X102" i="1"/>
  <c r="Y102" i="1"/>
  <c r="P84" i="1"/>
  <c r="U84" i="1"/>
  <c r="V84" i="1"/>
  <c r="X84" i="1"/>
  <c r="Y84" i="1"/>
  <c r="P62" i="1"/>
  <c r="U62" i="1"/>
  <c r="V62" i="1"/>
  <c r="X62" i="1"/>
  <c r="Y62" i="1"/>
  <c r="P77" i="1"/>
  <c r="U77" i="1"/>
  <c r="V77" i="1"/>
  <c r="X77" i="1"/>
  <c r="Y77" i="1"/>
  <c r="P79" i="1"/>
  <c r="X79" i="1"/>
  <c r="U79" i="1"/>
  <c r="V79" i="1"/>
  <c r="Y79" i="1"/>
  <c r="P53" i="1"/>
  <c r="U53" i="1"/>
  <c r="V53" i="1"/>
  <c r="Y53" i="1"/>
  <c r="X53" i="1"/>
  <c r="P83" i="1"/>
  <c r="X83" i="1"/>
  <c r="U83" i="1"/>
  <c r="V83" i="1"/>
  <c r="Y83" i="1"/>
  <c r="P57" i="1"/>
  <c r="U57" i="1"/>
  <c r="V57" i="1"/>
  <c r="Y57" i="1"/>
  <c r="X57" i="1"/>
  <c r="P63" i="1"/>
  <c r="U63" i="1"/>
  <c r="V63" i="1"/>
  <c r="X63" i="1"/>
  <c r="Y63" i="1"/>
  <c r="P45" i="1"/>
  <c r="X45" i="1"/>
  <c r="U45" i="1"/>
  <c r="V45" i="1"/>
  <c r="Y45" i="1"/>
  <c r="P54" i="1"/>
  <c r="U54" i="1"/>
  <c r="V54" i="1"/>
  <c r="X54" i="1"/>
  <c r="Y54" i="1"/>
  <c r="P97" i="1"/>
  <c r="X97" i="1"/>
  <c r="U97" i="1"/>
  <c r="V97" i="1"/>
  <c r="Y97" i="1"/>
  <c r="P40" i="1"/>
  <c r="U40" i="1"/>
  <c r="V40" i="1"/>
  <c r="X40" i="1"/>
  <c r="Y40" i="1"/>
  <c r="P105" i="1"/>
  <c r="X105" i="1"/>
  <c r="U105" i="1"/>
  <c r="V105" i="1"/>
  <c r="Y105" i="1"/>
  <c r="P104" i="1"/>
  <c r="U104" i="1"/>
  <c r="V104" i="1"/>
  <c r="X104" i="1"/>
  <c r="Y104" i="1"/>
  <c r="P108" i="1"/>
  <c r="U108" i="1"/>
  <c r="V108" i="1"/>
  <c r="X108" i="1"/>
  <c r="Y108" i="1"/>
  <c r="P68" i="1"/>
  <c r="U68" i="1"/>
  <c r="V68" i="1"/>
  <c r="X68" i="1"/>
  <c r="Y68" i="1"/>
  <c r="P103" i="1"/>
  <c r="X103" i="1"/>
  <c r="U103" i="1"/>
  <c r="V103" i="1"/>
  <c r="Y103" i="1"/>
  <c r="P46" i="1"/>
  <c r="U46" i="1"/>
  <c r="V46" i="1"/>
  <c r="X46" i="1"/>
  <c r="Y46" i="1"/>
  <c r="P43" i="1"/>
  <c r="U43" i="1"/>
  <c r="V43" i="1"/>
  <c r="Y43" i="1"/>
  <c r="X43" i="1"/>
  <c r="P58" i="1"/>
  <c r="U58" i="1"/>
  <c r="V58" i="1"/>
  <c r="X58" i="1"/>
  <c r="Y58" i="1"/>
  <c r="P67" i="1"/>
  <c r="U67" i="1"/>
  <c r="V67" i="1"/>
  <c r="Y67" i="1"/>
  <c r="X67" i="1"/>
  <c r="P38" i="1"/>
  <c r="U38" i="1"/>
  <c r="V38" i="1"/>
  <c r="X38" i="1"/>
  <c r="Y38" i="1"/>
  <c r="P91" i="1"/>
  <c r="U91" i="1"/>
  <c r="V91" i="1"/>
  <c r="Y91" i="1"/>
  <c r="X91" i="1"/>
  <c r="P107" i="1"/>
  <c r="U107" i="1"/>
  <c r="X107" i="1"/>
  <c r="V107" i="1"/>
  <c r="Y107" i="1"/>
  <c r="P98" i="1"/>
  <c r="U98" i="1"/>
  <c r="V98" i="1"/>
  <c r="X98" i="1"/>
  <c r="Y98" i="1"/>
  <c r="P50" i="1"/>
  <c r="U50" i="1"/>
  <c r="V50" i="1"/>
  <c r="X50" i="1"/>
  <c r="Y50" i="1"/>
  <c r="P71" i="1"/>
  <c r="X71" i="1"/>
  <c r="U71" i="1"/>
  <c r="V71" i="1"/>
  <c r="Y71" i="1"/>
  <c r="P66" i="1"/>
  <c r="U66" i="1"/>
  <c r="V66" i="1"/>
  <c r="X66" i="1"/>
  <c r="Y66" i="1"/>
  <c r="P88" i="1"/>
  <c r="U88" i="1"/>
  <c r="V88" i="1"/>
  <c r="X88" i="1"/>
  <c r="Y88" i="1"/>
  <c r="P92" i="1"/>
  <c r="U92" i="1"/>
  <c r="V92" i="1"/>
  <c r="X92" i="1"/>
  <c r="Y92" i="1"/>
  <c r="P70" i="1"/>
  <c r="U70" i="1"/>
  <c r="V70" i="1"/>
  <c r="X70" i="1"/>
  <c r="Y70" i="1"/>
  <c r="P41" i="1"/>
  <c r="U41" i="1"/>
  <c r="X41" i="1"/>
  <c r="V41" i="1"/>
  <c r="Y41" i="1"/>
  <c r="P85" i="1"/>
  <c r="U85" i="1"/>
  <c r="V85" i="1"/>
  <c r="Y85" i="1"/>
  <c r="X85" i="1"/>
  <c r="P49" i="1"/>
  <c r="X49" i="1"/>
  <c r="U49" i="1"/>
  <c r="V49" i="1"/>
  <c r="Y49" i="1"/>
  <c r="P82" i="1"/>
  <c r="U82" i="1"/>
  <c r="V82" i="1"/>
  <c r="X82" i="1"/>
  <c r="Y82" i="1"/>
  <c r="P94" i="1"/>
  <c r="U94" i="1"/>
  <c r="V94" i="1"/>
  <c r="X94" i="1"/>
  <c r="Y94" i="1"/>
  <c r="P59" i="1"/>
  <c r="U59" i="1"/>
  <c r="V59" i="1"/>
  <c r="X59" i="1"/>
  <c r="Y59" i="1"/>
  <c r="P89" i="1"/>
  <c r="X89" i="1"/>
  <c r="U89" i="1"/>
  <c r="V89" i="1"/>
  <c r="Y89" i="1"/>
  <c r="P51" i="1"/>
  <c r="X51" i="1"/>
  <c r="U51" i="1"/>
  <c r="V51" i="1"/>
  <c r="Y51" i="1"/>
  <c r="P81" i="1"/>
  <c r="U81" i="1"/>
  <c r="X81" i="1"/>
  <c r="V81" i="1"/>
  <c r="Y81" i="1"/>
  <c r="P101" i="1"/>
  <c r="U101" i="1"/>
  <c r="V101" i="1"/>
  <c r="X101" i="1"/>
  <c r="Y101" i="1"/>
  <c r="P69" i="1"/>
  <c r="U69" i="1"/>
  <c r="V69" i="1"/>
  <c r="X69" i="1"/>
  <c r="Y69" i="1"/>
  <c r="P48" i="1"/>
  <c r="U48" i="1"/>
  <c r="V48" i="1"/>
  <c r="X48" i="1"/>
  <c r="Y48" i="1"/>
  <c r="P73" i="1"/>
  <c r="U73" i="1"/>
  <c r="V73" i="1"/>
  <c r="Y73" i="1"/>
  <c r="X73" i="1"/>
  <c r="P72" i="1"/>
  <c r="U72" i="1"/>
  <c r="V72" i="1"/>
  <c r="X72" i="1"/>
  <c r="Y72" i="1"/>
  <c r="P75" i="1"/>
  <c r="X75" i="1"/>
  <c r="U75" i="1"/>
  <c r="V75" i="1"/>
  <c r="Y75" i="1"/>
  <c r="P93" i="1"/>
  <c r="U93" i="1"/>
  <c r="V93" i="1"/>
  <c r="X93" i="1"/>
  <c r="Y93" i="1"/>
  <c r="P76" i="1"/>
  <c r="U76" i="1"/>
  <c r="V76" i="1"/>
  <c r="X76" i="1"/>
  <c r="Y76" i="1"/>
  <c r="P86" i="1"/>
  <c r="U86" i="1"/>
  <c r="V86" i="1"/>
  <c r="X86" i="1"/>
  <c r="Y86" i="1"/>
  <c r="P47" i="1"/>
  <c r="X47" i="1"/>
  <c r="U47" i="1"/>
  <c r="V47" i="1"/>
  <c r="Y47" i="1"/>
  <c r="P100" i="1"/>
  <c r="U100" i="1"/>
  <c r="V100" i="1"/>
  <c r="X100" i="1"/>
  <c r="Y100" i="1"/>
  <c r="P78" i="1"/>
  <c r="U78" i="1"/>
  <c r="V78" i="1"/>
  <c r="X78" i="1"/>
  <c r="Y78" i="1"/>
  <c r="P80" i="1"/>
  <c r="U80" i="1"/>
  <c r="V80" i="1"/>
  <c r="X80" i="1"/>
  <c r="Y80" i="1"/>
  <c r="P99" i="1"/>
  <c r="U99" i="1"/>
  <c r="V99" i="1"/>
  <c r="Y99" i="1"/>
  <c r="X99" i="1"/>
  <c r="P87" i="1"/>
  <c r="U87" i="1"/>
  <c r="V87" i="1"/>
  <c r="X87" i="1"/>
  <c r="Y87" i="1"/>
  <c r="P52" i="1"/>
  <c r="U52" i="1"/>
  <c r="V52" i="1"/>
  <c r="X52" i="1"/>
  <c r="Y52" i="1"/>
  <c r="V37" i="1"/>
  <c r="X37" i="1"/>
  <c r="U37" i="1"/>
  <c r="P37" i="1"/>
  <c r="F13" i="1"/>
  <c r="F12" i="1"/>
  <c r="O64" i="1"/>
  <c r="O96" i="1"/>
  <c r="O90" i="1"/>
  <c r="O56" i="1"/>
  <c r="O61" i="1"/>
  <c r="O95" i="1"/>
  <c r="O42" i="1"/>
  <c r="O55" i="1"/>
  <c r="O106" i="1"/>
  <c r="O105" i="1"/>
  <c r="O39" i="1"/>
  <c r="O74" i="1"/>
  <c r="O60" i="1"/>
  <c r="O102" i="1"/>
  <c r="O84" i="1"/>
  <c r="O62" i="1"/>
  <c r="O107" i="1"/>
  <c r="O104" i="1"/>
  <c r="O59" i="1"/>
  <c r="O53" i="1"/>
  <c r="O83" i="1"/>
  <c r="O57" i="1"/>
  <c r="O63" i="1"/>
  <c r="O45" i="1"/>
  <c r="O54" i="1"/>
  <c r="O97" i="1"/>
  <c r="O40" i="1"/>
  <c r="O82" i="1"/>
  <c r="O98" i="1"/>
  <c r="O108" i="1"/>
  <c r="O68" i="1"/>
  <c r="O103" i="1"/>
  <c r="O46" i="1"/>
  <c r="O43" i="1"/>
  <c r="O58" i="1"/>
  <c r="O67" i="1"/>
  <c r="O38" i="1"/>
  <c r="O91" i="1"/>
  <c r="O37" i="1"/>
  <c r="O77" i="1"/>
  <c r="O79" i="1"/>
  <c r="O50" i="1"/>
  <c r="O71" i="1"/>
  <c r="O66" i="1"/>
  <c r="O88" i="1"/>
  <c r="O92" i="1"/>
  <c r="O70" i="1"/>
  <c r="O41" i="1"/>
  <c r="O85" i="1"/>
  <c r="O49" i="1"/>
  <c r="O94" i="1"/>
  <c r="O76" i="1"/>
  <c r="O89" i="1"/>
  <c r="O51" i="1"/>
  <c r="O81" i="1"/>
  <c r="O101" i="1"/>
  <c r="O69" i="1"/>
  <c r="O48" i="1"/>
  <c r="O73" i="1"/>
  <c r="O72" i="1"/>
  <c r="O75" i="1"/>
  <c r="O93" i="1"/>
  <c r="O65" i="1"/>
  <c r="O86" i="1"/>
  <c r="O47" i="1"/>
  <c r="O100" i="1"/>
  <c r="O78" i="1"/>
  <c r="O80" i="1"/>
  <c r="O99" i="1"/>
  <c r="O87" i="1"/>
  <c r="O52" i="1"/>
  <c r="G12" i="1"/>
  <c r="E26" i="1" s="1"/>
  <c r="C27" i="1" s="1"/>
  <c r="G13" i="1"/>
  <c r="E27" i="1" s="1"/>
  <c r="C28" i="1" s="1"/>
  <c r="Y44" i="1" l="1"/>
  <c r="V44" i="1"/>
  <c r="O44" i="1"/>
  <c r="O109" i="1" s="1"/>
  <c r="O149" i="1" s="1"/>
  <c r="X44" i="1"/>
  <c r="N109" i="1"/>
  <c r="L149" i="1" s="1"/>
  <c r="U44" i="1"/>
  <c r="D145" i="1"/>
  <c r="Q140" i="1" s="1"/>
  <c r="B146" i="1"/>
  <c r="D146" i="1" s="1"/>
  <c r="P141" i="1" s="1"/>
  <c r="E18" i="1"/>
  <c r="E17" i="1"/>
  <c r="F18" i="1"/>
  <c r="F17" i="1"/>
  <c r="D26" i="1"/>
  <c r="B27" i="1" s="1"/>
  <c r="B16" i="1"/>
  <c r="L19" i="1" s="1"/>
  <c r="P109" i="1"/>
  <c r="R149" i="1" s="1"/>
  <c r="D27" i="1"/>
  <c r="B28" i="1" s="1"/>
  <c r="G28" i="1" s="1"/>
  <c r="M141" i="1" l="1"/>
  <c r="O141" i="1" s="1"/>
  <c r="N145" i="1"/>
  <c r="K145" i="1"/>
  <c r="Q145" i="1"/>
  <c r="R141" i="1"/>
  <c r="J141" i="1"/>
  <c r="L141" i="1" s="1"/>
  <c r="J145" i="1"/>
  <c r="M145" i="1"/>
  <c r="P145" i="1"/>
  <c r="R140" i="1"/>
  <c r="K140" i="1"/>
  <c r="L140" i="1" s="1"/>
  <c r="N140" i="1"/>
  <c r="O140" i="1" s="1"/>
  <c r="M19" i="1"/>
  <c r="N19" i="1"/>
  <c r="G26" i="1"/>
  <c r="F26" i="1"/>
  <c r="B17" i="1"/>
  <c r="L24" i="1" s="1"/>
  <c r="L25" i="1" s="1"/>
  <c r="F27" i="1"/>
  <c r="F28" i="1"/>
  <c r="H28" i="1" s="1"/>
  <c r="G27" i="1"/>
  <c r="R142" i="1" l="1"/>
  <c r="L142" i="1"/>
  <c r="O142" i="1"/>
  <c r="R145" i="1"/>
  <c r="L145" i="1"/>
  <c r="O145" i="1"/>
  <c r="M20" i="1"/>
  <c r="M21" i="1" s="1"/>
  <c r="M22" i="1" s="1"/>
  <c r="N20" i="1"/>
  <c r="N21" i="1" s="1"/>
  <c r="N22" i="1" s="1"/>
  <c r="L20" i="1"/>
  <c r="L21" i="1" s="1"/>
  <c r="L22" i="1" s="1"/>
  <c r="J24" i="1"/>
  <c r="I26" i="1"/>
  <c r="H26" i="1"/>
  <c r="J26" i="1"/>
  <c r="I24" i="1"/>
  <c r="H24" i="1"/>
  <c r="J27" i="1"/>
  <c r="I27" i="1"/>
  <c r="I28" i="1"/>
  <c r="J28" i="1"/>
  <c r="H27" i="1"/>
  <c r="L147" i="1" l="1"/>
  <c r="L151" i="1" s="1"/>
  <c r="L153" i="1" s="1"/>
  <c r="O147" i="1"/>
  <c r="O151" i="1" s="1"/>
  <c r="R147" i="1"/>
  <c r="R151" i="1" s="1"/>
  <c r="H29" i="1"/>
  <c r="H31" i="1" s="1"/>
  <c r="B112" i="1" s="1"/>
  <c r="J29" i="1"/>
  <c r="J31" i="1" s="1"/>
  <c r="B114" i="1" s="1"/>
  <c r="I29" i="1"/>
  <c r="I31" i="1" s="1"/>
  <c r="R153" i="1" l="1"/>
  <c r="O153" i="1"/>
  <c r="J3" i="1"/>
  <c r="L3" i="1" s="1"/>
  <c r="L31" i="1"/>
  <c r="B113" i="1"/>
  <c r="B117" i="1" s="1"/>
  <c r="L30" i="1"/>
  <c r="J5" i="1" l="1"/>
  <c r="AA38" i="1" s="1"/>
  <c r="B116" i="1"/>
  <c r="J4" i="1" s="1"/>
  <c r="L5" i="1" l="1"/>
  <c r="Z38" i="1"/>
  <c r="L4" i="1"/>
  <c r="J7" i="1"/>
  <c r="J6" i="1"/>
  <c r="L6" i="1" s="1"/>
</calcChain>
</file>

<file path=xl/sharedStrings.xml><?xml version="1.0" encoding="utf-8"?>
<sst xmlns="http://schemas.openxmlformats.org/spreadsheetml/2006/main" count="199" uniqueCount="143">
  <si>
    <t>in</t>
  </si>
  <si>
    <t>f'c</t>
  </si>
  <si>
    <t>ksi</t>
  </si>
  <si>
    <t>Ec</t>
  </si>
  <si>
    <t>Beta1</t>
  </si>
  <si>
    <t>Ec Calc:</t>
  </si>
  <si>
    <t>0.85*F'c</t>
  </si>
  <si>
    <t>NA Angle:</t>
  </si>
  <si>
    <t>radians</t>
  </si>
  <si>
    <t>NA Depth:</t>
  </si>
  <si>
    <t>Beta1*NA=</t>
  </si>
  <si>
    <t>eu</t>
  </si>
  <si>
    <t xml:space="preserve">Radius : </t>
  </si>
  <si>
    <t>x</t>
  </si>
  <si>
    <t>y</t>
  </si>
  <si>
    <t>theta,1</t>
  </si>
  <si>
    <t>theta,2</t>
  </si>
  <si>
    <t>rad</t>
  </si>
  <si>
    <t>y_na</t>
  </si>
  <si>
    <t>x_r</t>
  </si>
  <si>
    <t>x_l</t>
  </si>
  <si>
    <t>P</t>
  </si>
  <si>
    <t>kips</t>
  </si>
  <si>
    <t>Circle Sector</t>
  </si>
  <si>
    <t>Triangle</t>
  </si>
  <si>
    <t>Segment1</t>
  </si>
  <si>
    <t>Segment3</t>
  </si>
  <si>
    <t>Segment2</t>
  </si>
  <si>
    <t>xi</t>
  </si>
  <si>
    <t>yi</t>
  </si>
  <si>
    <t>xj</t>
  </si>
  <si>
    <t>yj</t>
  </si>
  <si>
    <t>σi' (ksi)</t>
  </si>
  <si>
    <t>σj' (ksi)</t>
  </si>
  <si>
    <t>P (kips)</t>
  </si>
  <si>
    <t>Mx (kip-in)</t>
  </si>
  <si>
    <t>My (kip-in)</t>
  </si>
  <si>
    <t>Rebar:</t>
  </si>
  <si>
    <t>Bar #:</t>
  </si>
  <si>
    <t>Bar</t>
  </si>
  <si>
    <t>Dia</t>
  </si>
  <si>
    <t>As</t>
  </si>
  <si>
    <t>As (in2)</t>
  </si>
  <si>
    <t>x_plot</t>
  </si>
  <si>
    <t>y_plot</t>
  </si>
  <si>
    <t>degrees</t>
  </si>
  <si>
    <t>x'</t>
  </si>
  <si>
    <t>y'</t>
  </si>
  <si>
    <t>Depth</t>
  </si>
  <si>
    <t xml:space="preserve">Strain </t>
  </si>
  <si>
    <t>Stress</t>
  </si>
  <si>
    <t>Ps</t>
  </si>
  <si>
    <t>Mx,s</t>
  </si>
  <si>
    <t>My,s</t>
  </si>
  <si>
    <t>fy</t>
  </si>
  <si>
    <t>E</t>
  </si>
  <si>
    <t>Mx</t>
  </si>
  <si>
    <t>My</t>
  </si>
  <si>
    <t xml:space="preserve">Mnx = </t>
  </si>
  <si>
    <t>kip-in</t>
  </si>
  <si>
    <t xml:space="preserve">Mny = </t>
  </si>
  <si>
    <t>phi</t>
  </si>
  <si>
    <t>Error</t>
  </si>
  <si>
    <t xml:space="preserve">P = </t>
  </si>
  <si>
    <t xml:space="preserve">Mx = </t>
  </si>
  <si>
    <t>kip-ft</t>
  </si>
  <si>
    <t>My =</t>
  </si>
  <si>
    <t>tan-1(My/Mx) =</t>
  </si>
  <si>
    <t>|M|</t>
  </si>
  <si>
    <t>User:</t>
  </si>
  <si>
    <t>Tolerance:</t>
  </si>
  <si>
    <t>Max Iterations:</t>
  </si>
  <si>
    <t>**Because it is a circle don't need to rotate the section only the result for the concrete</t>
  </si>
  <si>
    <t>Total:</t>
  </si>
  <si>
    <t>cover to bar center:</t>
  </si>
  <si>
    <t>Max P</t>
  </si>
  <si>
    <t>Min P</t>
  </si>
  <si>
    <t>y_whitney</t>
  </si>
  <si>
    <t>Pn (kips)</t>
  </si>
  <si>
    <t># of Points:</t>
  </si>
  <si>
    <t>Mxn</t>
  </si>
  <si>
    <t>Myn</t>
  </si>
  <si>
    <t>Alpha</t>
  </si>
  <si>
    <t>Mx_My Run Time:</t>
  </si>
  <si>
    <t>seconds</t>
  </si>
  <si>
    <t># Bars:</t>
  </si>
  <si>
    <t>% As:</t>
  </si>
  <si>
    <t>Screen Update:</t>
  </si>
  <si>
    <r>
      <t>ε</t>
    </r>
    <r>
      <rPr>
        <vertAlign val="subscript"/>
        <sz val="11"/>
        <color theme="1"/>
        <rFont val="Calibri"/>
        <family val="2"/>
        <scheme val="minor"/>
      </rPr>
      <t>o</t>
    </r>
  </si>
  <si>
    <r>
      <t>2*(0.85*F'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) / E</t>
    </r>
    <r>
      <rPr>
        <vertAlign val="subscript"/>
        <sz val="11"/>
        <color theme="1"/>
        <rFont val="Calibri"/>
        <family val="2"/>
        <scheme val="minor"/>
      </rPr>
      <t>c</t>
    </r>
  </si>
  <si>
    <r>
      <t>E</t>
    </r>
    <r>
      <rPr>
        <vertAlign val="subscript"/>
        <sz val="11"/>
        <color theme="1"/>
        <rFont val="Calibri"/>
        <family val="2"/>
        <scheme val="minor"/>
      </rPr>
      <t>c</t>
    </r>
  </si>
  <si>
    <r>
      <t>57,000*</t>
    </r>
    <r>
      <rPr>
        <sz val="11"/>
        <color theme="1"/>
        <rFont val="Calibri"/>
        <family val="2"/>
      </rPr>
      <t>√F'c</t>
    </r>
  </si>
  <si>
    <r>
      <t>0&lt;ε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&lt;ε</t>
    </r>
    <r>
      <rPr>
        <vertAlign val="subscript"/>
        <sz val="11"/>
        <color theme="1"/>
        <rFont val="Calibri"/>
        <family val="2"/>
        <scheme val="minor"/>
      </rPr>
      <t>o</t>
    </r>
  </si>
  <si>
    <r>
      <t>f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 xml:space="preserve"> = </t>
    </r>
  </si>
  <si>
    <r>
      <t>0.85*F'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*[2*(ε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 - (ε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</t>
    </r>
    <r>
      <rPr>
        <sz val="11"/>
        <color theme="1"/>
        <rFont val="Calibri"/>
        <family val="2"/>
      </rPr>
      <t>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</si>
  <si>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t>Fc</t>
  </si>
  <si>
    <t>psi</t>
  </si>
  <si>
    <t>in/in</t>
  </si>
  <si>
    <r>
      <t>ε</t>
    </r>
    <r>
      <rPr>
        <vertAlign val="subscript"/>
        <sz val="11"/>
        <color theme="1"/>
        <rFont val="Calibri"/>
        <family val="2"/>
        <scheme val="minor"/>
      </rPr>
      <t>u</t>
    </r>
  </si>
  <si>
    <t>k</t>
  </si>
  <si>
    <r>
      <t>ε</t>
    </r>
    <r>
      <rPr>
        <vertAlign val="subscript"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>/ε</t>
    </r>
    <r>
      <rPr>
        <vertAlign val="subscript"/>
        <sz val="11"/>
        <color theme="1"/>
        <rFont val="Calibri"/>
        <family val="2"/>
        <scheme val="minor"/>
      </rPr>
      <t>o</t>
    </r>
  </si>
  <si>
    <r>
      <t>y</t>
    </r>
    <r>
      <rPr>
        <vertAlign val="subscript"/>
        <sz val="11"/>
        <color theme="1"/>
        <rFont val="Calibri"/>
        <family val="2"/>
        <scheme val="minor"/>
      </rPr>
      <t>max</t>
    </r>
  </si>
  <si>
    <t>C</t>
  </si>
  <si>
    <t>NA Depth</t>
  </si>
  <si>
    <r>
      <t>y,ε</t>
    </r>
    <r>
      <rPr>
        <vertAlign val="subscript"/>
        <sz val="11"/>
        <color theme="1"/>
        <rFont val="Calibri"/>
        <family val="2"/>
        <scheme val="minor"/>
      </rPr>
      <t>o</t>
    </r>
  </si>
  <si>
    <r>
      <t>distance from top of section to point of 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strain</t>
    </r>
  </si>
  <si>
    <t>y,limit</t>
  </si>
  <si>
    <t>ymax -y,εo = upper bound limit of application of parabolic formula</t>
  </si>
  <si>
    <t>y,start</t>
  </si>
  <si>
    <t>ymax - c = y-coordinate of 0 strain assuming strain only varies in y</t>
  </si>
  <si>
    <t>PCA Parabolic Strain-Strain Curve Formulas</t>
  </si>
  <si>
    <t>Parabolic Bounds</t>
  </si>
  <si>
    <t>theta1</t>
  </si>
  <si>
    <t>theta2</t>
  </si>
  <si>
    <t>x+</t>
  </si>
  <si>
    <t>x-</t>
  </si>
  <si>
    <t>Rectangular Bounds</t>
  </si>
  <si>
    <t>P (lbs)</t>
  </si>
  <si>
    <t>Mx (in-lbs)</t>
  </si>
  <si>
    <t>My (in-lbs)</t>
  </si>
  <si>
    <t>Tension Bars</t>
  </si>
  <si>
    <t>Compression bars</t>
  </si>
  <si>
    <t xml:space="preserve">c3 = </t>
  </si>
  <si>
    <t xml:space="preserve">c2 = </t>
  </si>
  <si>
    <t xml:space="preserve">c1 = </t>
  </si>
  <si>
    <t>y^2</t>
  </si>
  <si>
    <t>Stress Function:</t>
  </si>
  <si>
    <t>Right Side</t>
  </si>
  <si>
    <t>Left Side</t>
  </si>
  <si>
    <t>Stress Block:</t>
  </si>
  <si>
    <t>Bar Strain</t>
  </si>
  <si>
    <t>Conc Stress (ksi)</t>
  </si>
  <si>
    <t>From Steel</t>
  </si>
  <si>
    <t>Total</t>
  </si>
  <si>
    <t>about Original Axis</t>
  </si>
  <si>
    <t>Mx,n</t>
  </si>
  <si>
    <t>My,n</t>
  </si>
  <si>
    <t>M</t>
  </si>
  <si>
    <t>Mn</t>
  </si>
  <si>
    <t>Pn</t>
  </si>
  <si>
    <t>d for all compression:</t>
  </si>
  <si>
    <t>Whitney</t>
  </si>
  <si>
    <t>Simple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</si>
</sst>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"/>
    <numFmt numFmtId="166" formatCode="0.0000000"/>
    <numFmt numFmtId="167" formatCode="0.000E+00"/>
    <numFmt numFmtId="168" formatCode="0.0000%"/>
    <numFmt numFmtId="169" formatCode="0.000000"/>
  </numFmts>
  <fonts count="8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2" fontId="0" fillId="2" borderId="0" xfId="0" applyNumberFormat="1" applyFill="1" applyAlignment="1" applyProtection="1">
      <alignment horizontal="center"/>
      <protection locked="0"/>
    </xf>
    <xf numFmtId="2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164" fontId="0" fillId="2" borderId="0" xfId="0" applyNumberFormat="1" applyFill="1" applyAlignment="1">
      <alignment horizontal="center"/>
    </xf>
    <xf numFmtId="165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/>
    <xf numFmtId="165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horizontal="center"/>
    </xf>
    <xf numFmtId="166" fontId="0" fillId="0" borderId="0" xfId="0" applyNumberFormat="1"/>
    <xf numFmtId="0" fontId="0" fillId="0" borderId="2" xfId="0" applyBorder="1" applyAlignment="1">
      <alignment horizontal="right"/>
    </xf>
    <xf numFmtId="165" fontId="0" fillId="0" borderId="3" xfId="0" applyNumberFormat="1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right"/>
    </xf>
    <xf numFmtId="0" fontId="0" fillId="0" borderId="7" xfId="0" applyBorder="1"/>
    <xf numFmtId="167" fontId="0" fillId="0" borderId="8" xfId="0" applyNumberFormat="1" applyBorder="1" applyAlignment="1">
      <alignment horizontal="center"/>
    </xf>
    <xf numFmtId="167" fontId="0" fillId="4" borderId="8" xfId="0" applyNumberFormat="1" applyFill="1" applyBorder="1" applyAlignment="1">
      <alignment horizontal="center"/>
    </xf>
    <xf numFmtId="0" fontId="1" fillId="0" borderId="9" xfId="0" applyFont="1" applyBorder="1" applyAlignment="1">
      <alignment horizontal="right"/>
    </xf>
    <xf numFmtId="167" fontId="0" fillId="0" borderId="10" xfId="0" applyNumberFormat="1" applyBorder="1" applyAlignment="1">
      <alignment horizontal="center"/>
    </xf>
    <xf numFmtId="0" fontId="0" fillId="0" borderId="11" xfId="0" applyBorder="1"/>
    <xf numFmtId="167" fontId="0" fillId="0" borderId="12" xfId="0" applyNumberFormat="1" applyBorder="1" applyAlignment="1">
      <alignment horizontal="center"/>
    </xf>
    <xf numFmtId="0" fontId="2" fillId="0" borderId="0" xfId="0" applyFont="1"/>
    <xf numFmtId="0" fontId="0" fillId="0" borderId="3" xfId="0" applyBorder="1"/>
    <xf numFmtId="165" fontId="0" fillId="2" borderId="0" xfId="0" applyNumberFormat="1" applyFill="1" applyAlignment="1">
      <alignment horizontal="center"/>
    </xf>
    <xf numFmtId="0" fontId="0" fillId="0" borderId="13" xfId="0" applyBorder="1" applyAlignment="1">
      <alignment horizontal="right"/>
    </xf>
    <xf numFmtId="165" fontId="0" fillId="0" borderId="14" xfId="0" applyNumberFormat="1" applyBorder="1" applyAlignment="1">
      <alignment horizontal="center"/>
    </xf>
    <xf numFmtId="0" fontId="0" fillId="0" borderId="15" xfId="0" applyBorder="1"/>
    <xf numFmtId="11" fontId="0" fillId="2" borderId="0" xfId="0" applyNumberFormat="1" applyFill="1" applyAlignment="1">
      <alignment horizontal="center"/>
    </xf>
    <xf numFmtId="0" fontId="0" fillId="0" borderId="0" xfId="0" applyAlignment="1">
      <alignment horizontal="left"/>
    </xf>
    <xf numFmtId="164" fontId="0" fillId="0" borderId="0" xfId="0" applyNumberFormat="1"/>
    <xf numFmtId="168" fontId="0" fillId="0" borderId="0" xfId="1" applyNumberFormat="1" applyFont="1" applyAlignment="1">
      <alignment horizontal="center"/>
    </xf>
    <xf numFmtId="169" fontId="0" fillId="0" borderId="0" xfId="0" applyNumberFormat="1"/>
    <xf numFmtId="169" fontId="0" fillId="0" borderId="0" xfId="0" applyNumberFormat="1" applyAlignment="1">
      <alignment horizontal="center"/>
    </xf>
    <xf numFmtId="164" fontId="0" fillId="0" borderId="0" xfId="0" applyNumberFormat="1" applyAlignment="1">
      <alignment horizontal="left"/>
    </xf>
    <xf numFmtId="0" fontId="0" fillId="0" borderId="8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64" fontId="0" fillId="0" borderId="0" xfId="0" applyNumberForma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circle_section!$AR$2:$AR$362</c:f>
              <c:numCache>
                <c:formatCode>General</c:formatCode>
                <c:ptCount val="361"/>
                <c:pt idx="0">
                  <c:v>12</c:v>
                </c:pt>
                <c:pt idx="1">
                  <c:v>11.998172341876696</c:v>
                </c:pt>
                <c:pt idx="2">
                  <c:v>11.992689924229149</c:v>
                </c:pt>
                <c:pt idx="3">
                  <c:v>11.983554417054886</c:v>
                </c:pt>
                <c:pt idx="4">
                  <c:v>11.970768603117889</c:v>
                </c:pt>
                <c:pt idx="5">
                  <c:v>11.954336377100947</c:v>
                </c:pt>
                <c:pt idx="6">
                  <c:v>11.934262744419279</c:v>
                </c:pt>
                <c:pt idx="7">
                  <c:v>11.910553819695863</c:v>
                </c:pt>
                <c:pt idx="8">
                  <c:v>11.883216824898845</c:v>
                </c:pt>
                <c:pt idx="9">
                  <c:v>11.852260087141653</c:v>
                </c:pt>
                <c:pt idx="10">
                  <c:v>11.817693036146496</c:v>
                </c:pt>
                <c:pt idx="11">
                  <c:v>11.779526201371969</c:v>
                </c:pt>
                <c:pt idx="12">
                  <c:v>11.737771208805668</c:v>
                </c:pt>
                <c:pt idx="13">
                  <c:v>11.692440777422823</c:v>
                </c:pt>
                <c:pt idx="14">
                  <c:v>11.643548715311958</c:v>
                </c:pt>
                <c:pt idx="15">
                  <c:v>11.59110991546882</c:v>
                </c:pt>
                <c:pt idx="16">
                  <c:v>11.535140351259827</c:v>
                </c:pt>
                <c:pt idx="17">
                  <c:v>11.475657071556425</c:v>
                </c:pt>
                <c:pt idx="18">
                  <c:v>11.412678195541842</c:v>
                </c:pt>
                <c:pt idx="19">
                  <c:v>11.346222907191802</c:v>
                </c:pt>
                <c:pt idx="20">
                  <c:v>11.276311449430901</c:v>
                </c:pt>
                <c:pt idx="21">
                  <c:v>11.202965117966421</c:v>
                </c:pt>
                <c:pt idx="22">
                  <c:v>11.126206254801449</c:v>
                </c:pt>
                <c:pt idx="23">
                  <c:v>11.046058241429284</c:v>
                </c:pt>
                <c:pt idx="24">
                  <c:v>10.962545491711211</c:v>
                </c:pt>
                <c:pt idx="25">
                  <c:v>10.875693444439799</c:v>
                </c:pt>
                <c:pt idx="26">
                  <c:v>10.785528555590005</c:v>
                </c:pt>
                <c:pt idx="27">
                  <c:v>10.692078290260415</c:v>
                </c:pt>
                <c:pt idx="28">
                  <c:v>10.595371114307124</c:v>
                </c:pt>
                <c:pt idx="29">
                  <c:v>10.495436485672748</c:v>
                </c:pt>
                <c:pt idx="30">
                  <c:v>10.392304845413264</c:v>
                </c:pt>
                <c:pt idx="31">
                  <c:v>10.286007608425347</c:v>
                </c:pt>
                <c:pt idx="32">
                  <c:v>10.176577153877112</c:v>
                </c:pt>
                <c:pt idx="33">
                  <c:v>10.064046815345089</c:v>
                </c:pt>
                <c:pt idx="34">
                  <c:v>9.9484508706604995</c:v>
                </c:pt>
                <c:pt idx="35">
                  <c:v>9.8298245314679011</c:v>
                </c:pt>
                <c:pt idx="36">
                  <c:v>9.7082039324993694</c:v>
                </c:pt>
                <c:pt idx="37">
                  <c:v>9.583626120567514</c:v>
                </c:pt>
                <c:pt idx="38">
                  <c:v>9.4561290432806633</c:v>
                </c:pt>
                <c:pt idx="39">
                  <c:v>9.3257515374836508</c:v>
                </c:pt>
                <c:pt idx="40">
                  <c:v>9.1925333174277366</c:v>
                </c:pt>
                <c:pt idx="41">
                  <c:v>9.0565149626732637</c:v>
                </c:pt>
                <c:pt idx="42">
                  <c:v>8.9177379057287318</c:v>
                </c:pt>
                <c:pt idx="43">
                  <c:v>8.7762444194300464</c:v>
                </c:pt>
                <c:pt idx="44">
                  <c:v>8.6320776040638147</c:v>
                </c:pt>
                <c:pt idx="45">
                  <c:v>8.4852813742385713</c:v>
                </c:pt>
                <c:pt idx="46">
                  <c:v>8.335900445507967</c:v>
                </c:pt>
                <c:pt idx="47">
                  <c:v>8.1839803207499813</c:v>
                </c:pt>
                <c:pt idx="48">
                  <c:v>8.0295672763062989</c:v>
                </c:pt>
                <c:pt idx="49">
                  <c:v>7.8727083478860873</c:v>
                </c:pt>
                <c:pt idx="50">
                  <c:v>7.7134513162384728</c:v>
                </c:pt>
                <c:pt idx="51">
                  <c:v>7.55184469259805</c:v>
                </c:pt>
                <c:pt idx="52">
                  <c:v>7.3879377039078999</c:v>
                </c:pt>
                <c:pt idx="53">
                  <c:v>7.2217802778245801</c:v>
                </c:pt>
                <c:pt idx="54">
                  <c:v>7.0534230275096776</c:v>
                </c:pt>
                <c:pt idx="55">
                  <c:v>6.8829172362125544</c:v>
                </c:pt>
                <c:pt idx="56">
                  <c:v>6.7103148416489615</c:v>
                </c:pt>
                <c:pt idx="57">
                  <c:v>6.5356684201803255</c:v>
                </c:pt>
                <c:pt idx="58">
                  <c:v>6.3590311707984588</c:v>
                </c:pt>
                <c:pt idx="59">
                  <c:v>6.1804568989206494</c:v>
                </c:pt>
                <c:pt idx="60">
                  <c:v>6.0000000000000018</c:v>
                </c:pt>
                <c:pt idx="61">
                  <c:v>5.8177154429560449</c:v>
                </c:pt>
                <c:pt idx="62">
                  <c:v>5.6336587534306908</c:v>
                </c:pt>
                <c:pt idx="63">
                  <c:v>5.4478859968745619</c:v>
                </c:pt>
                <c:pt idx="64">
                  <c:v>5.2604537614689297</c:v>
                </c:pt>
                <c:pt idx="65">
                  <c:v>5.0714191408883931</c:v>
                </c:pt>
                <c:pt idx="66">
                  <c:v>4.8808397169096027</c:v>
                </c:pt>
                <c:pt idx="67">
                  <c:v>4.688773541871285</c:v>
                </c:pt>
                <c:pt idx="68">
                  <c:v>4.4952791209909435</c:v>
                </c:pt>
                <c:pt idx="69">
                  <c:v>4.3004153945436041</c:v>
                </c:pt>
                <c:pt idx="70">
                  <c:v>4.1042417199080257</c:v>
                </c:pt>
                <c:pt idx="71">
                  <c:v>3.9068178534858813</c:v>
                </c:pt>
                <c:pt idx="72">
                  <c:v>3.7082039324993694</c:v>
                </c:pt>
                <c:pt idx="73">
                  <c:v>3.5084604566728412</c:v>
                </c:pt>
                <c:pt idx="74">
                  <c:v>3.3076482698039902</c:v>
                </c:pt>
                <c:pt idx="75">
                  <c:v>3.1058285412302489</c:v>
                </c:pt>
                <c:pt idx="76">
                  <c:v>2.903062747196012</c:v>
                </c:pt>
                <c:pt idx="77">
                  <c:v>2.6994126521263793</c:v>
                </c:pt>
                <c:pt idx="78">
                  <c:v>2.4949402898131137</c:v>
                </c:pt>
                <c:pt idx="79">
                  <c:v>2.2897079445185389</c:v>
                </c:pt>
                <c:pt idx="80">
                  <c:v>2.083778132003165</c:v>
                </c:pt>
                <c:pt idx="81">
                  <c:v>1.877213580482771</c:v>
                </c:pt>
                <c:pt idx="82">
                  <c:v>1.6700772115207856</c:v>
                </c:pt>
                <c:pt idx="83">
                  <c:v>1.4624321208617699</c:v>
                </c:pt>
                <c:pt idx="84">
                  <c:v>1.2543415592118414</c:v>
                </c:pt>
                <c:pt idx="85">
                  <c:v>1.0458689129718977</c:v>
                </c:pt>
                <c:pt idx="86">
                  <c:v>0.83707768492950274</c:v>
                </c:pt>
                <c:pt idx="87">
                  <c:v>0.62803147491532763</c:v>
                </c:pt>
                <c:pt idx="88">
                  <c:v>0.41879396043001293</c:v>
                </c:pt>
                <c:pt idx="89">
                  <c:v>0.20942887724740317</c:v>
                </c:pt>
                <c:pt idx="90">
                  <c:v>7.3508907294517201E-16</c:v>
                </c:pt>
                <c:pt idx="91">
                  <c:v>-0.20942887724740172</c:v>
                </c:pt>
                <c:pt idx="92">
                  <c:v>-0.41879396043001149</c:v>
                </c:pt>
                <c:pt idx="93">
                  <c:v>-0.62803147491532607</c:v>
                </c:pt>
                <c:pt idx="94">
                  <c:v>-0.83707768492950396</c:v>
                </c:pt>
                <c:pt idx="95">
                  <c:v>-1.0458689129718988</c:v>
                </c:pt>
                <c:pt idx="96">
                  <c:v>-1.2543415592118428</c:v>
                </c:pt>
                <c:pt idx="97">
                  <c:v>-1.4624321208617683</c:v>
                </c:pt>
                <c:pt idx="98">
                  <c:v>-1.6700772115207843</c:v>
                </c:pt>
                <c:pt idx="99">
                  <c:v>-1.8772135804827697</c:v>
                </c:pt>
                <c:pt idx="100">
                  <c:v>-2.0837781320031636</c:v>
                </c:pt>
                <c:pt idx="101">
                  <c:v>-2.2897079445185375</c:v>
                </c:pt>
                <c:pt idx="102">
                  <c:v>-2.4949402898131119</c:v>
                </c:pt>
                <c:pt idx="103">
                  <c:v>-2.6994126521263802</c:v>
                </c:pt>
                <c:pt idx="104">
                  <c:v>-2.9030627471960133</c:v>
                </c:pt>
                <c:pt idx="105">
                  <c:v>-3.1058285412302502</c:v>
                </c:pt>
                <c:pt idx="106">
                  <c:v>-3.3076482698039884</c:v>
                </c:pt>
                <c:pt idx="107">
                  <c:v>-3.5084604566728399</c:v>
                </c:pt>
                <c:pt idx="108">
                  <c:v>-3.7082039324993681</c:v>
                </c:pt>
                <c:pt idx="109">
                  <c:v>-3.9068178534858795</c:v>
                </c:pt>
                <c:pt idx="110">
                  <c:v>-4.1042417199080248</c:v>
                </c:pt>
                <c:pt idx="111">
                  <c:v>-4.3004153945436032</c:v>
                </c:pt>
                <c:pt idx="112">
                  <c:v>-4.4952791209909453</c:v>
                </c:pt>
                <c:pt idx="113">
                  <c:v>-4.688773541871285</c:v>
                </c:pt>
                <c:pt idx="114">
                  <c:v>-4.8808397169096036</c:v>
                </c:pt>
                <c:pt idx="115">
                  <c:v>-5.0714191408883922</c:v>
                </c:pt>
                <c:pt idx="116">
                  <c:v>-5.2604537614689306</c:v>
                </c:pt>
                <c:pt idx="117">
                  <c:v>-5.4478859968745601</c:v>
                </c:pt>
                <c:pt idx="118">
                  <c:v>-5.6336587534306908</c:v>
                </c:pt>
                <c:pt idx="119">
                  <c:v>-5.817715442956044</c:v>
                </c:pt>
                <c:pt idx="120">
                  <c:v>-5.9999999999999973</c:v>
                </c:pt>
                <c:pt idx="121">
                  <c:v>-6.1804568989206512</c:v>
                </c:pt>
                <c:pt idx="122">
                  <c:v>-6.3590311707984579</c:v>
                </c:pt>
                <c:pt idx="123">
                  <c:v>-6.5356684201803255</c:v>
                </c:pt>
                <c:pt idx="124">
                  <c:v>-6.7103148416489606</c:v>
                </c:pt>
                <c:pt idx="125">
                  <c:v>-6.8829172362125544</c:v>
                </c:pt>
                <c:pt idx="126">
                  <c:v>-7.0534230275096768</c:v>
                </c:pt>
                <c:pt idx="127">
                  <c:v>-7.2217802778245801</c:v>
                </c:pt>
                <c:pt idx="128">
                  <c:v>-7.3879377039078999</c:v>
                </c:pt>
                <c:pt idx="129">
                  <c:v>-7.5518446925980474</c:v>
                </c:pt>
                <c:pt idx="130">
                  <c:v>-7.7134513162384728</c:v>
                </c:pt>
                <c:pt idx="131">
                  <c:v>-7.8727083478860855</c:v>
                </c:pt>
                <c:pt idx="132">
                  <c:v>-8.0295672763062989</c:v>
                </c:pt>
                <c:pt idx="133">
                  <c:v>-8.1839803207499813</c:v>
                </c:pt>
                <c:pt idx="134">
                  <c:v>-8.3359004455079688</c:v>
                </c:pt>
                <c:pt idx="135">
                  <c:v>-8.4852813742385695</c:v>
                </c:pt>
                <c:pt idx="136">
                  <c:v>-8.6320776040638147</c:v>
                </c:pt>
                <c:pt idx="137">
                  <c:v>-8.7762444194300464</c:v>
                </c:pt>
                <c:pt idx="138">
                  <c:v>-8.9177379057287283</c:v>
                </c:pt>
                <c:pt idx="139">
                  <c:v>-9.0565149626732637</c:v>
                </c:pt>
                <c:pt idx="140">
                  <c:v>-9.1925333174277348</c:v>
                </c:pt>
                <c:pt idx="141">
                  <c:v>-9.3257515374836508</c:v>
                </c:pt>
                <c:pt idx="142">
                  <c:v>-9.4561290432806633</c:v>
                </c:pt>
                <c:pt idx="143">
                  <c:v>-9.5836261205675157</c:v>
                </c:pt>
                <c:pt idx="144">
                  <c:v>-9.7082039324993676</c:v>
                </c:pt>
                <c:pt idx="145">
                  <c:v>-9.8298245314679029</c:v>
                </c:pt>
                <c:pt idx="146">
                  <c:v>-9.9484508706604995</c:v>
                </c:pt>
                <c:pt idx="147">
                  <c:v>-10.064046815345087</c:v>
                </c:pt>
                <c:pt idx="148">
                  <c:v>-10.176577153877112</c:v>
                </c:pt>
                <c:pt idx="149">
                  <c:v>-10.286007608425347</c:v>
                </c:pt>
                <c:pt idx="150">
                  <c:v>-10.392304845413264</c:v>
                </c:pt>
                <c:pt idx="151">
                  <c:v>-10.495436485672748</c:v>
                </c:pt>
                <c:pt idx="152">
                  <c:v>-10.595371114307124</c:v>
                </c:pt>
                <c:pt idx="153">
                  <c:v>-10.692078290260413</c:v>
                </c:pt>
                <c:pt idx="154">
                  <c:v>-10.785528555590005</c:v>
                </c:pt>
                <c:pt idx="155">
                  <c:v>-10.875693444439799</c:v>
                </c:pt>
                <c:pt idx="156">
                  <c:v>-10.962545491711209</c:v>
                </c:pt>
                <c:pt idx="157">
                  <c:v>-11.046058241429284</c:v>
                </c:pt>
                <c:pt idx="158">
                  <c:v>-11.126206254801447</c:v>
                </c:pt>
                <c:pt idx="159">
                  <c:v>-11.202965117966421</c:v>
                </c:pt>
                <c:pt idx="160">
                  <c:v>-11.276311449430899</c:v>
                </c:pt>
                <c:pt idx="161">
                  <c:v>-11.346222907191802</c:v>
                </c:pt>
                <c:pt idx="162">
                  <c:v>-11.412678195541842</c:v>
                </c:pt>
                <c:pt idx="163">
                  <c:v>-11.475657071556427</c:v>
                </c:pt>
                <c:pt idx="164">
                  <c:v>-11.535140351259827</c:v>
                </c:pt>
                <c:pt idx="165">
                  <c:v>-11.591109915468818</c:v>
                </c:pt>
                <c:pt idx="166">
                  <c:v>-11.643548715311958</c:v>
                </c:pt>
                <c:pt idx="167">
                  <c:v>-11.692440777422821</c:v>
                </c:pt>
                <c:pt idx="168">
                  <c:v>-11.737771208805668</c:v>
                </c:pt>
                <c:pt idx="169">
                  <c:v>-11.779526201371969</c:v>
                </c:pt>
                <c:pt idx="170">
                  <c:v>-11.817693036146496</c:v>
                </c:pt>
                <c:pt idx="171">
                  <c:v>-11.852260087141651</c:v>
                </c:pt>
                <c:pt idx="172">
                  <c:v>-11.883216824898845</c:v>
                </c:pt>
                <c:pt idx="173">
                  <c:v>-11.910553819695863</c:v>
                </c:pt>
                <c:pt idx="174">
                  <c:v>-11.934262744419279</c:v>
                </c:pt>
                <c:pt idx="175">
                  <c:v>-11.954336377100947</c:v>
                </c:pt>
                <c:pt idx="176">
                  <c:v>-11.970768603117889</c:v>
                </c:pt>
                <c:pt idx="177">
                  <c:v>-11.983554417054886</c:v>
                </c:pt>
                <c:pt idx="178">
                  <c:v>-11.992689924229149</c:v>
                </c:pt>
                <c:pt idx="179">
                  <c:v>-11.998172341876696</c:v>
                </c:pt>
                <c:pt idx="180">
                  <c:v>-12</c:v>
                </c:pt>
                <c:pt idx="181">
                  <c:v>-11.998172341876696</c:v>
                </c:pt>
                <c:pt idx="182">
                  <c:v>-11.992689924229149</c:v>
                </c:pt>
                <c:pt idx="183">
                  <c:v>-11.983554417054886</c:v>
                </c:pt>
                <c:pt idx="184">
                  <c:v>-11.970768603117889</c:v>
                </c:pt>
                <c:pt idx="185">
                  <c:v>-11.954336377100947</c:v>
                </c:pt>
                <c:pt idx="186">
                  <c:v>-11.934262744419279</c:v>
                </c:pt>
                <c:pt idx="187">
                  <c:v>-11.910553819695865</c:v>
                </c:pt>
                <c:pt idx="188">
                  <c:v>-11.883216824898843</c:v>
                </c:pt>
                <c:pt idx="189">
                  <c:v>-11.852260087141653</c:v>
                </c:pt>
                <c:pt idx="190">
                  <c:v>-11.817693036146496</c:v>
                </c:pt>
                <c:pt idx="191">
                  <c:v>-11.779526201371969</c:v>
                </c:pt>
                <c:pt idx="192">
                  <c:v>-11.737771208805666</c:v>
                </c:pt>
                <c:pt idx="193">
                  <c:v>-11.692440777422823</c:v>
                </c:pt>
                <c:pt idx="194">
                  <c:v>-11.643548715311958</c:v>
                </c:pt>
                <c:pt idx="195">
                  <c:v>-11.59110991546882</c:v>
                </c:pt>
                <c:pt idx="196">
                  <c:v>-11.535140351259827</c:v>
                </c:pt>
                <c:pt idx="197">
                  <c:v>-11.475657071556425</c:v>
                </c:pt>
                <c:pt idx="198">
                  <c:v>-11.412678195541844</c:v>
                </c:pt>
                <c:pt idx="199">
                  <c:v>-11.346222907191802</c:v>
                </c:pt>
                <c:pt idx="200">
                  <c:v>-11.276311449430901</c:v>
                </c:pt>
                <c:pt idx="201">
                  <c:v>-11.202965117966421</c:v>
                </c:pt>
                <c:pt idx="202">
                  <c:v>-11.126206254801449</c:v>
                </c:pt>
                <c:pt idx="203">
                  <c:v>-11.046058241429284</c:v>
                </c:pt>
                <c:pt idx="204">
                  <c:v>-10.962545491711211</c:v>
                </c:pt>
                <c:pt idx="205">
                  <c:v>-10.875693444439801</c:v>
                </c:pt>
                <c:pt idx="206">
                  <c:v>-10.785528555590004</c:v>
                </c:pt>
                <c:pt idx="207">
                  <c:v>-10.692078290260415</c:v>
                </c:pt>
                <c:pt idx="208">
                  <c:v>-10.595371114307122</c:v>
                </c:pt>
                <c:pt idx="209">
                  <c:v>-10.49543648567275</c:v>
                </c:pt>
                <c:pt idx="210">
                  <c:v>-10.392304845413264</c:v>
                </c:pt>
                <c:pt idx="211">
                  <c:v>-10.286007608425347</c:v>
                </c:pt>
                <c:pt idx="212">
                  <c:v>-10.176577153877112</c:v>
                </c:pt>
                <c:pt idx="213">
                  <c:v>-10.064046815345089</c:v>
                </c:pt>
                <c:pt idx="214">
                  <c:v>-9.9484508706605013</c:v>
                </c:pt>
                <c:pt idx="215">
                  <c:v>-9.8298245314679011</c:v>
                </c:pt>
                <c:pt idx="216">
                  <c:v>-9.7082039324993712</c:v>
                </c:pt>
                <c:pt idx="217">
                  <c:v>-9.583626120567514</c:v>
                </c:pt>
                <c:pt idx="218">
                  <c:v>-9.4561290432806651</c:v>
                </c:pt>
                <c:pt idx="219">
                  <c:v>-9.325751537483649</c:v>
                </c:pt>
                <c:pt idx="220">
                  <c:v>-9.1925333174277366</c:v>
                </c:pt>
                <c:pt idx="221">
                  <c:v>-9.0565149626732655</c:v>
                </c:pt>
                <c:pt idx="222">
                  <c:v>-8.9177379057287318</c:v>
                </c:pt>
                <c:pt idx="223">
                  <c:v>-8.7762444194300464</c:v>
                </c:pt>
                <c:pt idx="224">
                  <c:v>-8.632077604063813</c:v>
                </c:pt>
                <c:pt idx="225">
                  <c:v>-8.4852813742385713</c:v>
                </c:pt>
                <c:pt idx="226">
                  <c:v>-8.335900445507967</c:v>
                </c:pt>
                <c:pt idx="227">
                  <c:v>-8.1839803207499831</c:v>
                </c:pt>
                <c:pt idx="228">
                  <c:v>-8.0295672763062971</c:v>
                </c:pt>
                <c:pt idx="229">
                  <c:v>-7.8727083478860873</c:v>
                </c:pt>
                <c:pt idx="230">
                  <c:v>-7.7134513162384737</c:v>
                </c:pt>
                <c:pt idx="231">
                  <c:v>-7.5518446925980545</c:v>
                </c:pt>
                <c:pt idx="232">
                  <c:v>-7.3879377039078964</c:v>
                </c:pt>
                <c:pt idx="233">
                  <c:v>-7.2217802778245792</c:v>
                </c:pt>
                <c:pt idx="234">
                  <c:v>-7.0534230275096785</c:v>
                </c:pt>
                <c:pt idx="235">
                  <c:v>-6.8829172362125561</c:v>
                </c:pt>
                <c:pt idx="236">
                  <c:v>-6.7103148416489589</c:v>
                </c:pt>
                <c:pt idx="237">
                  <c:v>-6.5356684201803237</c:v>
                </c:pt>
                <c:pt idx="238">
                  <c:v>-6.3590311707984597</c:v>
                </c:pt>
                <c:pt idx="239">
                  <c:v>-6.1804568989206539</c:v>
                </c:pt>
                <c:pt idx="240">
                  <c:v>-6.0000000000000053</c:v>
                </c:pt>
                <c:pt idx="241">
                  <c:v>-5.8177154429560423</c:v>
                </c:pt>
                <c:pt idx="242">
                  <c:v>-5.633658753430689</c:v>
                </c:pt>
                <c:pt idx="243">
                  <c:v>-5.4478859968745628</c:v>
                </c:pt>
                <c:pt idx="244">
                  <c:v>-5.2604537614689324</c:v>
                </c:pt>
                <c:pt idx="245">
                  <c:v>-5.0714191408883895</c:v>
                </c:pt>
                <c:pt idx="246">
                  <c:v>-4.8808397169096009</c:v>
                </c:pt>
                <c:pt idx="247">
                  <c:v>-4.6887735418712859</c:v>
                </c:pt>
                <c:pt idx="248">
                  <c:v>-4.4952791209909471</c:v>
                </c:pt>
                <c:pt idx="249">
                  <c:v>-4.3004153945436085</c:v>
                </c:pt>
                <c:pt idx="250">
                  <c:v>-4.104241719908023</c:v>
                </c:pt>
                <c:pt idx="251">
                  <c:v>-3.9068178534858795</c:v>
                </c:pt>
                <c:pt idx="252">
                  <c:v>-3.7082039324993707</c:v>
                </c:pt>
                <c:pt idx="253">
                  <c:v>-3.5084604566728452</c:v>
                </c:pt>
                <c:pt idx="254">
                  <c:v>-3.3076482698039866</c:v>
                </c:pt>
                <c:pt idx="255">
                  <c:v>-3.1058285412302475</c:v>
                </c:pt>
                <c:pt idx="256">
                  <c:v>-2.9030627471960133</c:v>
                </c:pt>
                <c:pt idx="257">
                  <c:v>-2.6994126521263828</c:v>
                </c:pt>
                <c:pt idx="258">
                  <c:v>-2.4949402898131172</c:v>
                </c:pt>
                <c:pt idx="259">
                  <c:v>-2.2897079445185353</c:v>
                </c:pt>
                <c:pt idx="260">
                  <c:v>-2.0837781320031641</c:v>
                </c:pt>
                <c:pt idx="261">
                  <c:v>-1.8772135804827723</c:v>
                </c:pt>
                <c:pt idx="262">
                  <c:v>-1.6700772115207898</c:v>
                </c:pt>
                <c:pt idx="263">
                  <c:v>-1.4624321208617661</c:v>
                </c:pt>
                <c:pt idx="264">
                  <c:v>-1.2543415592118403</c:v>
                </c:pt>
                <c:pt idx="265">
                  <c:v>-1.045868912971899</c:v>
                </c:pt>
                <c:pt idx="266">
                  <c:v>-0.83707768492950696</c:v>
                </c:pt>
                <c:pt idx="267">
                  <c:v>-0.62803147491533173</c:v>
                </c:pt>
                <c:pt idx="268">
                  <c:v>-0.41879396043000916</c:v>
                </c:pt>
                <c:pt idx="269">
                  <c:v>-0.20942887724740197</c:v>
                </c:pt>
                <c:pt idx="270">
                  <c:v>-2.205267218835516E-15</c:v>
                </c:pt>
                <c:pt idx="271">
                  <c:v>0.20942887724739756</c:v>
                </c:pt>
                <c:pt idx="272">
                  <c:v>0.41879396043001538</c:v>
                </c:pt>
                <c:pt idx="273">
                  <c:v>0.62803147491532729</c:v>
                </c:pt>
                <c:pt idx="274">
                  <c:v>0.83707768492950263</c:v>
                </c:pt>
                <c:pt idx="275">
                  <c:v>1.0458689129718945</c:v>
                </c:pt>
                <c:pt idx="276">
                  <c:v>1.2543415592118359</c:v>
                </c:pt>
                <c:pt idx="277">
                  <c:v>1.4624321208617723</c:v>
                </c:pt>
                <c:pt idx="278">
                  <c:v>1.6700772115207856</c:v>
                </c:pt>
                <c:pt idx="279">
                  <c:v>1.8772135804827681</c:v>
                </c:pt>
                <c:pt idx="280">
                  <c:v>2.0837781320031596</c:v>
                </c:pt>
                <c:pt idx="281">
                  <c:v>2.2897079445185415</c:v>
                </c:pt>
                <c:pt idx="282">
                  <c:v>2.4949402898131132</c:v>
                </c:pt>
                <c:pt idx="283">
                  <c:v>2.6994126521263793</c:v>
                </c:pt>
                <c:pt idx="284">
                  <c:v>2.9030627471960093</c:v>
                </c:pt>
                <c:pt idx="285">
                  <c:v>3.1058285412302435</c:v>
                </c:pt>
                <c:pt idx="286">
                  <c:v>3.3076482698039928</c:v>
                </c:pt>
                <c:pt idx="287">
                  <c:v>3.5084604566728403</c:v>
                </c:pt>
                <c:pt idx="288">
                  <c:v>3.7082039324993668</c:v>
                </c:pt>
                <c:pt idx="289">
                  <c:v>3.906817853485876</c:v>
                </c:pt>
                <c:pt idx="290">
                  <c:v>4.1042417199080283</c:v>
                </c:pt>
                <c:pt idx="291">
                  <c:v>4.3004153945436041</c:v>
                </c:pt>
                <c:pt idx="292">
                  <c:v>4.4952791209909435</c:v>
                </c:pt>
                <c:pt idx="293">
                  <c:v>4.6887735418712815</c:v>
                </c:pt>
                <c:pt idx="294">
                  <c:v>4.8808397169095974</c:v>
                </c:pt>
                <c:pt idx="295">
                  <c:v>5.0714191408883948</c:v>
                </c:pt>
                <c:pt idx="296">
                  <c:v>5.2604537614689288</c:v>
                </c:pt>
                <c:pt idx="297">
                  <c:v>5.4478859968745592</c:v>
                </c:pt>
                <c:pt idx="298">
                  <c:v>5.6336587534306855</c:v>
                </c:pt>
                <c:pt idx="299">
                  <c:v>5.8177154429560476</c:v>
                </c:pt>
                <c:pt idx="300">
                  <c:v>6.0000000000000018</c:v>
                </c:pt>
                <c:pt idx="301">
                  <c:v>6.1804568989206494</c:v>
                </c:pt>
                <c:pt idx="302">
                  <c:v>6.3590311707984561</c:v>
                </c:pt>
                <c:pt idx="303">
                  <c:v>6.5356684201803201</c:v>
                </c:pt>
                <c:pt idx="304">
                  <c:v>6.7103148416489642</c:v>
                </c:pt>
                <c:pt idx="305">
                  <c:v>6.8829172362125526</c:v>
                </c:pt>
                <c:pt idx="306">
                  <c:v>7.053423027509675</c:v>
                </c:pt>
                <c:pt idx="307">
                  <c:v>7.2217802778245748</c:v>
                </c:pt>
                <c:pt idx="308">
                  <c:v>7.3879377039079017</c:v>
                </c:pt>
                <c:pt idx="309">
                  <c:v>7.55184469259805</c:v>
                </c:pt>
                <c:pt idx="310">
                  <c:v>7.713451316238471</c:v>
                </c:pt>
                <c:pt idx="311">
                  <c:v>7.8727083478860846</c:v>
                </c:pt>
                <c:pt idx="312">
                  <c:v>8.0295672763062935</c:v>
                </c:pt>
                <c:pt idx="313">
                  <c:v>8.1839803207499831</c:v>
                </c:pt>
                <c:pt idx="314">
                  <c:v>8.335900445507967</c:v>
                </c:pt>
                <c:pt idx="315">
                  <c:v>8.4852813742385678</c:v>
                </c:pt>
                <c:pt idx="316">
                  <c:v>8.6320776040638094</c:v>
                </c:pt>
                <c:pt idx="317">
                  <c:v>8.7762444194300482</c:v>
                </c:pt>
                <c:pt idx="318">
                  <c:v>8.9177379057287318</c:v>
                </c:pt>
                <c:pt idx="319">
                  <c:v>9.0565149626732619</c:v>
                </c:pt>
                <c:pt idx="320">
                  <c:v>9.1925333174277331</c:v>
                </c:pt>
                <c:pt idx="321">
                  <c:v>9.3257515374836473</c:v>
                </c:pt>
                <c:pt idx="322">
                  <c:v>9.4561290432806651</c:v>
                </c:pt>
                <c:pt idx="323">
                  <c:v>9.583626120567514</c:v>
                </c:pt>
                <c:pt idx="324">
                  <c:v>9.7082039324993676</c:v>
                </c:pt>
                <c:pt idx="325">
                  <c:v>9.8298245314678994</c:v>
                </c:pt>
                <c:pt idx="326">
                  <c:v>9.9484508706605013</c:v>
                </c:pt>
                <c:pt idx="327">
                  <c:v>10.064046815345089</c:v>
                </c:pt>
                <c:pt idx="328">
                  <c:v>10.176577153877112</c:v>
                </c:pt>
                <c:pt idx="329">
                  <c:v>10.286007608425345</c:v>
                </c:pt>
                <c:pt idx="330">
                  <c:v>10.39230484541326</c:v>
                </c:pt>
                <c:pt idx="331">
                  <c:v>10.49543648567275</c:v>
                </c:pt>
                <c:pt idx="332">
                  <c:v>10.595371114307122</c:v>
                </c:pt>
                <c:pt idx="333">
                  <c:v>10.692078290260413</c:v>
                </c:pt>
                <c:pt idx="334">
                  <c:v>10.785528555590002</c:v>
                </c:pt>
                <c:pt idx="335">
                  <c:v>10.875693444439801</c:v>
                </c:pt>
                <c:pt idx="336">
                  <c:v>10.962545491711211</c:v>
                </c:pt>
                <c:pt idx="337">
                  <c:v>11.046058241429282</c:v>
                </c:pt>
                <c:pt idx="338">
                  <c:v>11.126206254801447</c:v>
                </c:pt>
                <c:pt idx="339">
                  <c:v>11.202965117966418</c:v>
                </c:pt>
                <c:pt idx="340">
                  <c:v>11.276311449430901</c:v>
                </c:pt>
                <c:pt idx="341">
                  <c:v>11.346222907191802</c:v>
                </c:pt>
                <c:pt idx="342">
                  <c:v>11.412678195541842</c:v>
                </c:pt>
                <c:pt idx="343">
                  <c:v>11.475657071556423</c:v>
                </c:pt>
                <c:pt idx="344">
                  <c:v>11.535140351259827</c:v>
                </c:pt>
                <c:pt idx="345">
                  <c:v>11.59110991546882</c:v>
                </c:pt>
                <c:pt idx="346">
                  <c:v>11.643548715311958</c:v>
                </c:pt>
                <c:pt idx="347">
                  <c:v>11.692440777422821</c:v>
                </c:pt>
                <c:pt idx="348">
                  <c:v>11.737771208805666</c:v>
                </c:pt>
                <c:pt idx="349">
                  <c:v>11.779526201371969</c:v>
                </c:pt>
                <c:pt idx="350">
                  <c:v>11.817693036146496</c:v>
                </c:pt>
                <c:pt idx="351">
                  <c:v>11.852260087141651</c:v>
                </c:pt>
                <c:pt idx="352">
                  <c:v>11.883216824898843</c:v>
                </c:pt>
                <c:pt idx="353">
                  <c:v>11.910553819695865</c:v>
                </c:pt>
                <c:pt idx="354">
                  <c:v>11.934262744419279</c:v>
                </c:pt>
                <c:pt idx="355">
                  <c:v>11.954336377100947</c:v>
                </c:pt>
                <c:pt idx="356">
                  <c:v>11.970768603117889</c:v>
                </c:pt>
                <c:pt idx="357">
                  <c:v>11.983554417054886</c:v>
                </c:pt>
                <c:pt idx="358">
                  <c:v>11.992689924229149</c:v>
                </c:pt>
                <c:pt idx="359">
                  <c:v>11.998172341876696</c:v>
                </c:pt>
                <c:pt idx="360">
                  <c:v>12</c:v>
                </c:pt>
              </c:numCache>
            </c:numRef>
          </c:xVal>
          <c:yVal>
            <c:numRef>
              <c:f>circle_section!$AS$2:$AS$362</c:f>
              <c:numCache>
                <c:formatCode>General</c:formatCode>
                <c:ptCount val="361"/>
                <c:pt idx="0">
                  <c:v>0</c:v>
                </c:pt>
                <c:pt idx="1">
                  <c:v>0.20942887724740214</c:v>
                </c:pt>
                <c:pt idx="2">
                  <c:v>0.4187939604300116</c:v>
                </c:pt>
                <c:pt idx="3">
                  <c:v>0.62803147491532596</c:v>
                </c:pt>
                <c:pt idx="4">
                  <c:v>0.83707768492950363</c:v>
                </c:pt>
                <c:pt idx="5">
                  <c:v>1.0458689129718981</c:v>
                </c:pt>
                <c:pt idx="6">
                  <c:v>1.2543415592118417</c:v>
                </c:pt>
                <c:pt idx="7">
                  <c:v>1.4624321208617697</c:v>
                </c:pt>
                <c:pt idx="8">
                  <c:v>1.6700772115207854</c:v>
                </c:pt>
                <c:pt idx="9">
                  <c:v>1.8772135804827705</c:v>
                </c:pt>
                <c:pt idx="10">
                  <c:v>2.0837781320031641</c:v>
                </c:pt>
                <c:pt idx="11">
                  <c:v>2.2897079445185375</c:v>
                </c:pt>
                <c:pt idx="12">
                  <c:v>2.4949402898131119</c:v>
                </c:pt>
                <c:pt idx="13">
                  <c:v>2.6994126521263802</c:v>
                </c:pt>
                <c:pt idx="14">
                  <c:v>2.9030627471960129</c:v>
                </c:pt>
                <c:pt idx="15">
                  <c:v>3.1058285412302489</c:v>
                </c:pt>
                <c:pt idx="16">
                  <c:v>3.3076482698039902</c:v>
                </c:pt>
                <c:pt idx="17">
                  <c:v>3.5084604566728412</c:v>
                </c:pt>
                <c:pt idx="18">
                  <c:v>3.7082039324993685</c:v>
                </c:pt>
                <c:pt idx="19">
                  <c:v>3.9068178534858804</c:v>
                </c:pt>
                <c:pt idx="20">
                  <c:v>4.1042417199080248</c:v>
                </c:pt>
                <c:pt idx="21">
                  <c:v>4.3004153945436032</c:v>
                </c:pt>
                <c:pt idx="22">
                  <c:v>4.4952791209909444</c:v>
                </c:pt>
                <c:pt idx="23">
                  <c:v>4.688773541871285</c:v>
                </c:pt>
                <c:pt idx="24">
                  <c:v>4.8808397169096027</c:v>
                </c:pt>
                <c:pt idx="25">
                  <c:v>5.0714191408883931</c:v>
                </c:pt>
                <c:pt idx="26">
                  <c:v>5.2604537614689288</c:v>
                </c:pt>
                <c:pt idx="27">
                  <c:v>5.447885996874561</c:v>
                </c:pt>
                <c:pt idx="28">
                  <c:v>5.6336587534306899</c:v>
                </c:pt>
                <c:pt idx="29">
                  <c:v>5.8177154429560449</c:v>
                </c:pt>
                <c:pt idx="30">
                  <c:v>5.9999999999999991</c:v>
                </c:pt>
                <c:pt idx="31">
                  <c:v>6.1804568989206494</c:v>
                </c:pt>
                <c:pt idx="32">
                  <c:v>6.3590311707984588</c:v>
                </c:pt>
                <c:pt idx="33">
                  <c:v>6.5356684201803255</c:v>
                </c:pt>
                <c:pt idx="34">
                  <c:v>6.7103148416489624</c:v>
                </c:pt>
                <c:pt idx="35">
                  <c:v>6.8829172362125526</c:v>
                </c:pt>
                <c:pt idx="36">
                  <c:v>7.0534230275096776</c:v>
                </c:pt>
                <c:pt idx="37">
                  <c:v>7.2217802778245792</c:v>
                </c:pt>
                <c:pt idx="38">
                  <c:v>7.3879377039078999</c:v>
                </c:pt>
                <c:pt idx="39">
                  <c:v>7.5518446925980491</c:v>
                </c:pt>
                <c:pt idx="40">
                  <c:v>7.713451316238471</c:v>
                </c:pt>
                <c:pt idx="41">
                  <c:v>7.8727083478860873</c:v>
                </c:pt>
                <c:pt idx="42">
                  <c:v>8.0295672763062989</c:v>
                </c:pt>
                <c:pt idx="43">
                  <c:v>8.1839803207499813</c:v>
                </c:pt>
                <c:pt idx="44">
                  <c:v>8.335900445507967</c:v>
                </c:pt>
                <c:pt idx="45">
                  <c:v>8.4852813742385695</c:v>
                </c:pt>
                <c:pt idx="46">
                  <c:v>8.632077604063813</c:v>
                </c:pt>
                <c:pt idx="47">
                  <c:v>8.7762444194300464</c:v>
                </c:pt>
                <c:pt idx="48">
                  <c:v>8.9177379057287318</c:v>
                </c:pt>
                <c:pt idx="49">
                  <c:v>9.0565149626732637</c:v>
                </c:pt>
                <c:pt idx="50">
                  <c:v>9.1925333174277366</c:v>
                </c:pt>
                <c:pt idx="51">
                  <c:v>9.3257515374836508</c:v>
                </c:pt>
                <c:pt idx="52">
                  <c:v>9.4561290432806651</c:v>
                </c:pt>
                <c:pt idx="53">
                  <c:v>9.583626120567514</c:v>
                </c:pt>
                <c:pt idx="54">
                  <c:v>9.7082039324993694</c:v>
                </c:pt>
                <c:pt idx="55">
                  <c:v>9.8298245314679011</c:v>
                </c:pt>
                <c:pt idx="56">
                  <c:v>9.9484508706605013</c:v>
                </c:pt>
                <c:pt idx="57">
                  <c:v>10.064046815345089</c:v>
                </c:pt>
                <c:pt idx="58">
                  <c:v>10.176577153877112</c:v>
                </c:pt>
                <c:pt idx="59">
                  <c:v>10.286007608425347</c:v>
                </c:pt>
                <c:pt idx="60">
                  <c:v>10.392304845413264</c:v>
                </c:pt>
                <c:pt idx="61">
                  <c:v>10.495436485672748</c:v>
                </c:pt>
                <c:pt idx="62">
                  <c:v>10.595371114307122</c:v>
                </c:pt>
                <c:pt idx="63">
                  <c:v>10.692078290260413</c:v>
                </c:pt>
                <c:pt idx="64">
                  <c:v>10.785528555590005</c:v>
                </c:pt>
                <c:pt idx="65">
                  <c:v>10.875693444439799</c:v>
                </c:pt>
                <c:pt idx="66">
                  <c:v>10.962545491711211</c:v>
                </c:pt>
                <c:pt idx="67">
                  <c:v>11.046058241429284</c:v>
                </c:pt>
                <c:pt idx="68">
                  <c:v>11.126206254801449</c:v>
                </c:pt>
                <c:pt idx="69">
                  <c:v>11.202965117966421</c:v>
                </c:pt>
                <c:pt idx="70">
                  <c:v>11.276311449430899</c:v>
                </c:pt>
                <c:pt idx="71">
                  <c:v>11.346222907191802</c:v>
                </c:pt>
                <c:pt idx="72">
                  <c:v>11.412678195541842</c:v>
                </c:pt>
                <c:pt idx="73">
                  <c:v>11.475657071556425</c:v>
                </c:pt>
                <c:pt idx="74">
                  <c:v>11.535140351259827</c:v>
                </c:pt>
                <c:pt idx="75">
                  <c:v>11.59110991546882</c:v>
                </c:pt>
                <c:pt idx="76">
                  <c:v>11.643548715311958</c:v>
                </c:pt>
                <c:pt idx="77">
                  <c:v>11.692440777422823</c:v>
                </c:pt>
                <c:pt idx="78">
                  <c:v>11.737771208805666</c:v>
                </c:pt>
                <c:pt idx="79">
                  <c:v>11.779526201371969</c:v>
                </c:pt>
                <c:pt idx="80">
                  <c:v>11.817693036146496</c:v>
                </c:pt>
                <c:pt idx="81">
                  <c:v>11.852260087141653</c:v>
                </c:pt>
                <c:pt idx="82">
                  <c:v>11.883216824898845</c:v>
                </c:pt>
                <c:pt idx="83">
                  <c:v>11.910553819695863</c:v>
                </c:pt>
                <c:pt idx="84">
                  <c:v>11.934262744419279</c:v>
                </c:pt>
                <c:pt idx="85">
                  <c:v>11.954336377100947</c:v>
                </c:pt>
                <c:pt idx="86">
                  <c:v>11.970768603117889</c:v>
                </c:pt>
                <c:pt idx="87">
                  <c:v>11.983554417054886</c:v>
                </c:pt>
                <c:pt idx="88">
                  <c:v>11.992689924229149</c:v>
                </c:pt>
                <c:pt idx="89">
                  <c:v>11.998172341876696</c:v>
                </c:pt>
                <c:pt idx="90">
                  <c:v>12</c:v>
                </c:pt>
                <c:pt idx="91">
                  <c:v>11.998172341876696</c:v>
                </c:pt>
                <c:pt idx="92">
                  <c:v>11.992689924229149</c:v>
                </c:pt>
                <c:pt idx="93">
                  <c:v>11.983554417054886</c:v>
                </c:pt>
                <c:pt idx="94">
                  <c:v>11.970768603117889</c:v>
                </c:pt>
                <c:pt idx="95">
                  <c:v>11.954336377100947</c:v>
                </c:pt>
                <c:pt idx="96">
                  <c:v>11.934262744419279</c:v>
                </c:pt>
                <c:pt idx="97">
                  <c:v>11.910553819695865</c:v>
                </c:pt>
                <c:pt idx="98">
                  <c:v>11.883216824898845</c:v>
                </c:pt>
                <c:pt idx="99">
                  <c:v>11.852260087141653</c:v>
                </c:pt>
                <c:pt idx="100">
                  <c:v>11.817693036146496</c:v>
                </c:pt>
                <c:pt idx="101">
                  <c:v>11.779526201371969</c:v>
                </c:pt>
                <c:pt idx="102">
                  <c:v>11.737771208805668</c:v>
                </c:pt>
                <c:pt idx="103">
                  <c:v>11.692440777422823</c:v>
                </c:pt>
                <c:pt idx="104">
                  <c:v>11.643548715311958</c:v>
                </c:pt>
                <c:pt idx="105">
                  <c:v>11.59110991546882</c:v>
                </c:pt>
                <c:pt idx="106">
                  <c:v>11.535140351259827</c:v>
                </c:pt>
                <c:pt idx="107">
                  <c:v>11.475657071556427</c:v>
                </c:pt>
                <c:pt idx="108">
                  <c:v>11.412678195541844</c:v>
                </c:pt>
                <c:pt idx="109">
                  <c:v>11.346222907191802</c:v>
                </c:pt>
                <c:pt idx="110">
                  <c:v>11.276311449430901</c:v>
                </c:pt>
                <c:pt idx="111">
                  <c:v>11.202965117966421</c:v>
                </c:pt>
                <c:pt idx="112">
                  <c:v>11.126206254801449</c:v>
                </c:pt>
                <c:pt idx="113">
                  <c:v>11.046058241429282</c:v>
                </c:pt>
                <c:pt idx="114">
                  <c:v>10.962545491711211</c:v>
                </c:pt>
                <c:pt idx="115">
                  <c:v>10.875693444439801</c:v>
                </c:pt>
                <c:pt idx="116">
                  <c:v>10.785528555590004</c:v>
                </c:pt>
                <c:pt idx="117">
                  <c:v>10.692078290260415</c:v>
                </c:pt>
                <c:pt idx="118">
                  <c:v>10.595371114307122</c:v>
                </c:pt>
                <c:pt idx="119">
                  <c:v>10.49543648567275</c:v>
                </c:pt>
                <c:pt idx="120">
                  <c:v>10.392304845413264</c:v>
                </c:pt>
                <c:pt idx="121">
                  <c:v>10.286007608425347</c:v>
                </c:pt>
                <c:pt idx="122">
                  <c:v>10.176577153877112</c:v>
                </c:pt>
                <c:pt idx="123">
                  <c:v>10.064046815345087</c:v>
                </c:pt>
                <c:pt idx="124">
                  <c:v>9.9484508706605013</c:v>
                </c:pt>
                <c:pt idx="125">
                  <c:v>9.8298245314678994</c:v>
                </c:pt>
                <c:pt idx="126">
                  <c:v>9.7082039324993694</c:v>
                </c:pt>
                <c:pt idx="127">
                  <c:v>9.5836261205675122</c:v>
                </c:pt>
                <c:pt idx="128">
                  <c:v>9.4561290432806651</c:v>
                </c:pt>
                <c:pt idx="129">
                  <c:v>9.3257515374836526</c:v>
                </c:pt>
                <c:pt idx="130">
                  <c:v>9.1925333174277366</c:v>
                </c:pt>
                <c:pt idx="131">
                  <c:v>9.0565149626732655</c:v>
                </c:pt>
                <c:pt idx="132">
                  <c:v>8.9177379057287318</c:v>
                </c:pt>
                <c:pt idx="133">
                  <c:v>8.7762444194300464</c:v>
                </c:pt>
                <c:pt idx="134">
                  <c:v>8.632077604063813</c:v>
                </c:pt>
                <c:pt idx="135">
                  <c:v>8.4852813742385713</c:v>
                </c:pt>
                <c:pt idx="136">
                  <c:v>8.3359004455079653</c:v>
                </c:pt>
                <c:pt idx="137">
                  <c:v>8.1839803207499831</c:v>
                </c:pt>
                <c:pt idx="138">
                  <c:v>8.0295672763063006</c:v>
                </c:pt>
                <c:pt idx="139">
                  <c:v>7.8727083478860873</c:v>
                </c:pt>
                <c:pt idx="140">
                  <c:v>7.7134513162384737</c:v>
                </c:pt>
                <c:pt idx="141">
                  <c:v>7.5518446925980491</c:v>
                </c:pt>
                <c:pt idx="142">
                  <c:v>7.3879377039079008</c:v>
                </c:pt>
                <c:pt idx="143">
                  <c:v>7.2217802778245783</c:v>
                </c:pt>
                <c:pt idx="144">
                  <c:v>7.0534230275096785</c:v>
                </c:pt>
                <c:pt idx="145">
                  <c:v>6.8829172362125508</c:v>
                </c:pt>
                <c:pt idx="146">
                  <c:v>6.7103148416489624</c:v>
                </c:pt>
                <c:pt idx="147">
                  <c:v>6.5356684201803272</c:v>
                </c:pt>
                <c:pt idx="148">
                  <c:v>6.3590311707984588</c:v>
                </c:pt>
                <c:pt idx="149">
                  <c:v>6.180456898920653</c:v>
                </c:pt>
                <c:pt idx="150">
                  <c:v>5.9999999999999991</c:v>
                </c:pt>
                <c:pt idx="151">
                  <c:v>5.8177154429560458</c:v>
                </c:pt>
                <c:pt idx="152">
                  <c:v>5.6336587534306881</c:v>
                </c:pt>
                <c:pt idx="153">
                  <c:v>5.4478859968745628</c:v>
                </c:pt>
                <c:pt idx="154">
                  <c:v>5.2604537614689271</c:v>
                </c:pt>
                <c:pt idx="155">
                  <c:v>5.071419140888394</c:v>
                </c:pt>
                <c:pt idx="156">
                  <c:v>4.8808397169096054</c:v>
                </c:pt>
                <c:pt idx="157">
                  <c:v>4.688773541871285</c:v>
                </c:pt>
                <c:pt idx="158">
                  <c:v>4.4952791209909471</c:v>
                </c:pt>
                <c:pt idx="159">
                  <c:v>4.3004153945436023</c:v>
                </c:pt>
                <c:pt idx="160">
                  <c:v>4.1042417199080266</c:v>
                </c:pt>
                <c:pt idx="161">
                  <c:v>3.9068178534858791</c:v>
                </c:pt>
                <c:pt idx="162">
                  <c:v>3.7082039324993703</c:v>
                </c:pt>
                <c:pt idx="163">
                  <c:v>3.5084604566728395</c:v>
                </c:pt>
                <c:pt idx="164">
                  <c:v>3.3076482698039906</c:v>
                </c:pt>
                <c:pt idx="165">
                  <c:v>3.1058285412302524</c:v>
                </c:pt>
                <c:pt idx="166">
                  <c:v>2.9030627471960129</c:v>
                </c:pt>
                <c:pt idx="167">
                  <c:v>2.6994126521263824</c:v>
                </c:pt>
                <c:pt idx="168">
                  <c:v>2.4949402898131119</c:v>
                </c:pt>
                <c:pt idx="169">
                  <c:v>2.2897079445185398</c:v>
                </c:pt>
                <c:pt idx="170">
                  <c:v>2.0837781320031632</c:v>
                </c:pt>
                <c:pt idx="171">
                  <c:v>1.8772135804827719</c:v>
                </c:pt>
                <c:pt idx="172">
                  <c:v>1.670077211520784</c:v>
                </c:pt>
                <c:pt idx="173">
                  <c:v>1.4624321208617705</c:v>
                </c:pt>
                <c:pt idx="174">
                  <c:v>1.2543415592118448</c:v>
                </c:pt>
                <c:pt idx="175">
                  <c:v>1.0458689129718983</c:v>
                </c:pt>
                <c:pt idx="176">
                  <c:v>0.83707768492950629</c:v>
                </c:pt>
                <c:pt idx="177">
                  <c:v>0.62803147491532574</c:v>
                </c:pt>
                <c:pt idx="178">
                  <c:v>0.41879396043001371</c:v>
                </c:pt>
                <c:pt idx="179">
                  <c:v>0.20942887724740128</c:v>
                </c:pt>
                <c:pt idx="180">
                  <c:v>1.470178145890344E-15</c:v>
                </c:pt>
                <c:pt idx="181">
                  <c:v>-0.20942887724740364</c:v>
                </c:pt>
                <c:pt idx="182">
                  <c:v>-0.41879396043001083</c:v>
                </c:pt>
                <c:pt idx="183">
                  <c:v>-0.62803147491532263</c:v>
                </c:pt>
                <c:pt idx="184">
                  <c:v>-0.8370776849295033</c:v>
                </c:pt>
                <c:pt idx="185">
                  <c:v>-1.0458689129718954</c:v>
                </c:pt>
                <c:pt idx="186">
                  <c:v>-1.2543415592118419</c:v>
                </c:pt>
                <c:pt idx="187">
                  <c:v>-1.4624321208617677</c:v>
                </c:pt>
                <c:pt idx="188">
                  <c:v>-1.6700772115207863</c:v>
                </c:pt>
                <c:pt idx="189">
                  <c:v>-1.8772135804827688</c:v>
                </c:pt>
                <c:pt idx="190">
                  <c:v>-2.0837781320031654</c:v>
                </c:pt>
                <c:pt idx="191">
                  <c:v>-2.2897079445185367</c:v>
                </c:pt>
                <c:pt idx="192">
                  <c:v>-2.4949402898131141</c:v>
                </c:pt>
                <c:pt idx="193">
                  <c:v>-2.6994126521263797</c:v>
                </c:pt>
                <c:pt idx="194">
                  <c:v>-2.9030627471960102</c:v>
                </c:pt>
                <c:pt idx="195">
                  <c:v>-3.1058285412302498</c:v>
                </c:pt>
                <c:pt idx="196">
                  <c:v>-3.307648269803988</c:v>
                </c:pt>
                <c:pt idx="197">
                  <c:v>-3.5084604566728412</c:v>
                </c:pt>
                <c:pt idx="198">
                  <c:v>-3.7082039324993676</c:v>
                </c:pt>
                <c:pt idx="199">
                  <c:v>-3.9068178534858813</c:v>
                </c:pt>
                <c:pt idx="200">
                  <c:v>-4.1042417199080239</c:v>
                </c:pt>
                <c:pt idx="201">
                  <c:v>-4.300415394543605</c:v>
                </c:pt>
                <c:pt idx="202">
                  <c:v>-4.4952791209909444</c:v>
                </c:pt>
                <c:pt idx="203">
                  <c:v>-4.6887735418712824</c:v>
                </c:pt>
                <c:pt idx="204">
                  <c:v>-4.8808397169096027</c:v>
                </c:pt>
                <c:pt idx="205">
                  <c:v>-5.0714191408883913</c:v>
                </c:pt>
                <c:pt idx="206">
                  <c:v>-5.2604537614689297</c:v>
                </c:pt>
                <c:pt idx="207">
                  <c:v>-5.4478859968745601</c:v>
                </c:pt>
                <c:pt idx="208">
                  <c:v>-5.6336587534306908</c:v>
                </c:pt>
                <c:pt idx="209">
                  <c:v>-5.8177154429560431</c:v>
                </c:pt>
                <c:pt idx="210">
                  <c:v>-6.0000000000000018</c:v>
                </c:pt>
                <c:pt idx="211">
                  <c:v>-6.1804568989206494</c:v>
                </c:pt>
                <c:pt idx="212">
                  <c:v>-6.3590311707984579</c:v>
                </c:pt>
                <c:pt idx="213">
                  <c:v>-6.5356684201803255</c:v>
                </c:pt>
                <c:pt idx="214">
                  <c:v>-6.7103148416489606</c:v>
                </c:pt>
                <c:pt idx="215">
                  <c:v>-6.8829172362125544</c:v>
                </c:pt>
                <c:pt idx="216">
                  <c:v>-7.0534230275096768</c:v>
                </c:pt>
                <c:pt idx="217">
                  <c:v>-7.2217802778245801</c:v>
                </c:pt>
                <c:pt idx="218">
                  <c:v>-7.3879377039078982</c:v>
                </c:pt>
                <c:pt idx="219">
                  <c:v>-7.5518446925980509</c:v>
                </c:pt>
                <c:pt idx="220">
                  <c:v>-7.713451316238471</c:v>
                </c:pt>
                <c:pt idx="221">
                  <c:v>-7.8727083478860846</c:v>
                </c:pt>
                <c:pt idx="222">
                  <c:v>-8.0295672763062989</c:v>
                </c:pt>
                <c:pt idx="223">
                  <c:v>-8.1839803207499813</c:v>
                </c:pt>
                <c:pt idx="224">
                  <c:v>-8.3359004455079688</c:v>
                </c:pt>
                <c:pt idx="225">
                  <c:v>-8.4852813742385695</c:v>
                </c:pt>
                <c:pt idx="226">
                  <c:v>-8.6320776040638147</c:v>
                </c:pt>
                <c:pt idx="227">
                  <c:v>-8.7762444194300464</c:v>
                </c:pt>
                <c:pt idx="228">
                  <c:v>-8.9177379057287318</c:v>
                </c:pt>
                <c:pt idx="229">
                  <c:v>-9.0565149626732637</c:v>
                </c:pt>
                <c:pt idx="230">
                  <c:v>-9.1925333174277348</c:v>
                </c:pt>
                <c:pt idx="231">
                  <c:v>-9.3257515374836473</c:v>
                </c:pt>
                <c:pt idx="232">
                  <c:v>-9.4561290432806651</c:v>
                </c:pt>
                <c:pt idx="233">
                  <c:v>-9.583626120567514</c:v>
                </c:pt>
                <c:pt idx="234">
                  <c:v>-9.7082039324993676</c:v>
                </c:pt>
                <c:pt idx="235">
                  <c:v>-9.8298245314678994</c:v>
                </c:pt>
                <c:pt idx="236">
                  <c:v>-9.9484508706605013</c:v>
                </c:pt>
                <c:pt idx="237">
                  <c:v>-10.064046815345089</c:v>
                </c:pt>
                <c:pt idx="238">
                  <c:v>-10.176577153877112</c:v>
                </c:pt>
                <c:pt idx="239">
                  <c:v>-10.286007608425345</c:v>
                </c:pt>
                <c:pt idx="240">
                  <c:v>-10.39230484541326</c:v>
                </c:pt>
                <c:pt idx="241">
                  <c:v>-10.495436485672752</c:v>
                </c:pt>
                <c:pt idx="242">
                  <c:v>-10.595371114307124</c:v>
                </c:pt>
                <c:pt idx="243">
                  <c:v>-10.692078290260413</c:v>
                </c:pt>
                <c:pt idx="244">
                  <c:v>-10.785528555590002</c:v>
                </c:pt>
                <c:pt idx="245">
                  <c:v>-10.875693444439801</c:v>
                </c:pt>
                <c:pt idx="246">
                  <c:v>-10.962545491711211</c:v>
                </c:pt>
                <c:pt idx="247">
                  <c:v>-11.046058241429282</c:v>
                </c:pt>
                <c:pt idx="248">
                  <c:v>-11.126206254801447</c:v>
                </c:pt>
                <c:pt idx="249">
                  <c:v>-11.20296511796642</c:v>
                </c:pt>
                <c:pt idx="250">
                  <c:v>-11.276311449430901</c:v>
                </c:pt>
                <c:pt idx="251">
                  <c:v>-11.346222907191802</c:v>
                </c:pt>
                <c:pt idx="252">
                  <c:v>-11.412678195541842</c:v>
                </c:pt>
                <c:pt idx="253">
                  <c:v>-11.475657071556423</c:v>
                </c:pt>
                <c:pt idx="254">
                  <c:v>-11.535140351259829</c:v>
                </c:pt>
                <c:pt idx="255">
                  <c:v>-11.59110991546882</c:v>
                </c:pt>
                <c:pt idx="256">
                  <c:v>-11.643548715311958</c:v>
                </c:pt>
                <c:pt idx="257">
                  <c:v>-11.692440777422821</c:v>
                </c:pt>
                <c:pt idx="258">
                  <c:v>-11.737771208805666</c:v>
                </c:pt>
                <c:pt idx="259">
                  <c:v>-11.779526201371969</c:v>
                </c:pt>
                <c:pt idx="260">
                  <c:v>-11.817693036146496</c:v>
                </c:pt>
                <c:pt idx="261">
                  <c:v>-11.852260087141651</c:v>
                </c:pt>
                <c:pt idx="262">
                  <c:v>-11.883216824898843</c:v>
                </c:pt>
                <c:pt idx="263">
                  <c:v>-11.910553819695865</c:v>
                </c:pt>
                <c:pt idx="264">
                  <c:v>-11.93426274441928</c:v>
                </c:pt>
                <c:pt idx="265">
                  <c:v>-11.954336377100947</c:v>
                </c:pt>
                <c:pt idx="266">
                  <c:v>-11.970768603117889</c:v>
                </c:pt>
                <c:pt idx="267">
                  <c:v>-11.983554417054886</c:v>
                </c:pt>
                <c:pt idx="268">
                  <c:v>-11.992689924229149</c:v>
                </c:pt>
                <c:pt idx="269">
                  <c:v>-11.998172341876696</c:v>
                </c:pt>
                <c:pt idx="270">
                  <c:v>-12</c:v>
                </c:pt>
                <c:pt idx="271">
                  <c:v>-11.998172341876696</c:v>
                </c:pt>
                <c:pt idx="272">
                  <c:v>-11.992689924229149</c:v>
                </c:pt>
                <c:pt idx="273">
                  <c:v>-11.983554417054886</c:v>
                </c:pt>
                <c:pt idx="274">
                  <c:v>-11.970768603117891</c:v>
                </c:pt>
                <c:pt idx="275">
                  <c:v>-11.954336377100947</c:v>
                </c:pt>
                <c:pt idx="276">
                  <c:v>-11.93426274441928</c:v>
                </c:pt>
                <c:pt idx="277">
                  <c:v>-11.910553819695863</c:v>
                </c:pt>
                <c:pt idx="278">
                  <c:v>-11.883216824898845</c:v>
                </c:pt>
                <c:pt idx="279">
                  <c:v>-11.852260087141653</c:v>
                </c:pt>
                <c:pt idx="280">
                  <c:v>-11.817693036146498</c:v>
                </c:pt>
                <c:pt idx="281">
                  <c:v>-11.779526201371967</c:v>
                </c:pt>
                <c:pt idx="282">
                  <c:v>-11.737771208805666</c:v>
                </c:pt>
                <c:pt idx="283">
                  <c:v>-11.692440777422823</c:v>
                </c:pt>
                <c:pt idx="284">
                  <c:v>-11.643548715311958</c:v>
                </c:pt>
                <c:pt idx="285">
                  <c:v>-11.59110991546882</c:v>
                </c:pt>
                <c:pt idx="286">
                  <c:v>-11.535140351259825</c:v>
                </c:pt>
                <c:pt idx="287">
                  <c:v>-11.475657071556425</c:v>
                </c:pt>
                <c:pt idx="288">
                  <c:v>-11.412678195541844</c:v>
                </c:pt>
                <c:pt idx="289">
                  <c:v>-11.346222907191803</c:v>
                </c:pt>
                <c:pt idx="290">
                  <c:v>-11.276311449430899</c:v>
                </c:pt>
                <c:pt idx="291">
                  <c:v>-11.202965117966421</c:v>
                </c:pt>
                <c:pt idx="292">
                  <c:v>-11.126206254801449</c:v>
                </c:pt>
                <c:pt idx="293">
                  <c:v>-11.046058241429286</c:v>
                </c:pt>
                <c:pt idx="294">
                  <c:v>-10.962545491711213</c:v>
                </c:pt>
                <c:pt idx="295">
                  <c:v>-10.875693444439799</c:v>
                </c:pt>
                <c:pt idx="296">
                  <c:v>-10.785528555590005</c:v>
                </c:pt>
                <c:pt idx="297">
                  <c:v>-10.692078290260415</c:v>
                </c:pt>
                <c:pt idx="298">
                  <c:v>-10.595371114307126</c:v>
                </c:pt>
                <c:pt idx="299">
                  <c:v>-10.495436485672748</c:v>
                </c:pt>
                <c:pt idx="300">
                  <c:v>-10.392304845413264</c:v>
                </c:pt>
                <c:pt idx="301">
                  <c:v>-10.286007608425347</c:v>
                </c:pt>
                <c:pt idx="302">
                  <c:v>-10.176577153877114</c:v>
                </c:pt>
                <c:pt idx="303">
                  <c:v>-10.06404681534509</c:v>
                </c:pt>
                <c:pt idx="304">
                  <c:v>-9.9484508706604995</c:v>
                </c:pt>
                <c:pt idx="305">
                  <c:v>-9.8298245314679011</c:v>
                </c:pt>
                <c:pt idx="306">
                  <c:v>-9.7082039324993712</c:v>
                </c:pt>
                <c:pt idx="307">
                  <c:v>-9.5836261205675157</c:v>
                </c:pt>
                <c:pt idx="308">
                  <c:v>-9.4561290432806615</c:v>
                </c:pt>
                <c:pt idx="309">
                  <c:v>-9.325751537483649</c:v>
                </c:pt>
                <c:pt idx="310">
                  <c:v>-9.1925333174277384</c:v>
                </c:pt>
                <c:pt idx="311">
                  <c:v>-9.0565149626732673</c:v>
                </c:pt>
                <c:pt idx="312">
                  <c:v>-8.9177379057287354</c:v>
                </c:pt>
                <c:pt idx="313">
                  <c:v>-8.7762444194300446</c:v>
                </c:pt>
                <c:pt idx="314">
                  <c:v>-8.6320776040638147</c:v>
                </c:pt>
                <c:pt idx="315">
                  <c:v>-8.4852813742385713</c:v>
                </c:pt>
                <c:pt idx="316">
                  <c:v>-8.3359004455079706</c:v>
                </c:pt>
                <c:pt idx="317">
                  <c:v>-8.1839803207499795</c:v>
                </c:pt>
                <c:pt idx="318">
                  <c:v>-8.0295672763062971</c:v>
                </c:pt>
                <c:pt idx="319">
                  <c:v>-7.8727083478860891</c:v>
                </c:pt>
                <c:pt idx="320">
                  <c:v>-7.7134513162384746</c:v>
                </c:pt>
                <c:pt idx="321">
                  <c:v>-7.5518446925980545</c:v>
                </c:pt>
                <c:pt idx="322">
                  <c:v>-7.3879377039078982</c:v>
                </c:pt>
                <c:pt idx="323">
                  <c:v>-7.2217802778245792</c:v>
                </c:pt>
                <c:pt idx="324">
                  <c:v>-7.0534230275096803</c:v>
                </c:pt>
                <c:pt idx="325">
                  <c:v>-6.8829172362125579</c:v>
                </c:pt>
                <c:pt idx="326">
                  <c:v>-6.7103148416489589</c:v>
                </c:pt>
                <c:pt idx="327">
                  <c:v>-6.5356684201803237</c:v>
                </c:pt>
                <c:pt idx="328">
                  <c:v>-6.3590311707984597</c:v>
                </c:pt>
                <c:pt idx="329">
                  <c:v>-6.1804568989206539</c:v>
                </c:pt>
                <c:pt idx="330">
                  <c:v>-6.0000000000000053</c:v>
                </c:pt>
                <c:pt idx="331">
                  <c:v>-5.8177154429560431</c:v>
                </c:pt>
                <c:pt idx="332">
                  <c:v>-5.6336587534306899</c:v>
                </c:pt>
                <c:pt idx="333">
                  <c:v>-5.4478859968745637</c:v>
                </c:pt>
                <c:pt idx="334">
                  <c:v>-5.2604537614689333</c:v>
                </c:pt>
                <c:pt idx="335">
                  <c:v>-5.0714191408883904</c:v>
                </c:pt>
                <c:pt idx="336">
                  <c:v>-4.8808397169096018</c:v>
                </c:pt>
                <c:pt idx="337">
                  <c:v>-4.6887735418712868</c:v>
                </c:pt>
                <c:pt idx="338">
                  <c:v>-4.495279120990948</c:v>
                </c:pt>
                <c:pt idx="339">
                  <c:v>-4.3004153945436094</c:v>
                </c:pt>
                <c:pt idx="340">
                  <c:v>-4.104241719908023</c:v>
                </c:pt>
                <c:pt idx="341">
                  <c:v>-3.9068178534858804</c:v>
                </c:pt>
                <c:pt idx="342">
                  <c:v>-3.7082039324993712</c:v>
                </c:pt>
                <c:pt idx="343">
                  <c:v>-3.5084604566728457</c:v>
                </c:pt>
                <c:pt idx="344">
                  <c:v>-3.3076482698039875</c:v>
                </c:pt>
                <c:pt idx="345">
                  <c:v>-3.105828541230248</c:v>
                </c:pt>
                <c:pt idx="346">
                  <c:v>-2.9030627471960146</c:v>
                </c:pt>
                <c:pt idx="347">
                  <c:v>-2.6994126521263841</c:v>
                </c:pt>
                <c:pt idx="348">
                  <c:v>-2.4949402898131186</c:v>
                </c:pt>
                <c:pt idx="349">
                  <c:v>-2.2897079445185362</c:v>
                </c:pt>
                <c:pt idx="350">
                  <c:v>-2.0837781320031645</c:v>
                </c:pt>
                <c:pt idx="351">
                  <c:v>-1.8772135804827734</c:v>
                </c:pt>
                <c:pt idx="352">
                  <c:v>-1.6700772115207907</c:v>
                </c:pt>
                <c:pt idx="353">
                  <c:v>-1.4624321208617668</c:v>
                </c:pt>
                <c:pt idx="354">
                  <c:v>-1.254341559211841</c:v>
                </c:pt>
                <c:pt idx="355">
                  <c:v>-1.0458689129718999</c:v>
                </c:pt>
                <c:pt idx="356">
                  <c:v>-0.83707768492950763</c:v>
                </c:pt>
                <c:pt idx="357">
                  <c:v>-0.6280314749153324</c:v>
                </c:pt>
                <c:pt idx="358">
                  <c:v>-0.41879396043000988</c:v>
                </c:pt>
                <c:pt idx="359">
                  <c:v>-0.20942887724740272</c:v>
                </c:pt>
                <c:pt idx="360">
                  <c:v>-2.940356291780688E-15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91-4203-BCCA-358C81AE37B3}"/>
            </c:ext>
          </c:extLst>
        </c:ser>
        <c:ser>
          <c:idx val="2"/>
          <c:order val="1"/>
          <c:tx>
            <c:v>Reinf (Tension)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circle_section!$U$37:$U$108</c:f>
              <c:numCache>
                <c:formatCode>General</c:formatCode>
                <c:ptCount val="72"/>
                <c:pt idx="0">
                  <c:v>9.1875</c:v>
                </c:pt>
                <c:pt idx="1">
                  <c:v>6.4965435521514054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-6.4965435521514072</c:v>
                </c:pt>
                <c:pt idx="6">
                  <c:v>-1.688407714420942E-15</c:v>
                </c:pt>
                <c:pt idx="7">
                  <c:v>6.4965435521514037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xVal>
          <c:yVal>
            <c:numRef>
              <c:f>circle_section!$V$37:$V$108</c:f>
              <c:numCache>
                <c:formatCode>General</c:formatCode>
                <c:ptCount val="72"/>
                <c:pt idx="0">
                  <c:v>0</c:v>
                </c:pt>
                <c:pt idx="1">
                  <c:v>6.4965435521514046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-6.4965435521514046</c:v>
                </c:pt>
                <c:pt idx="6">
                  <c:v>-9.1875</c:v>
                </c:pt>
                <c:pt idx="7">
                  <c:v>-6.4965435521514072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BDD-42DB-B172-075C6029C6FF}"/>
            </c:ext>
          </c:extLst>
        </c:ser>
        <c:ser>
          <c:idx val="3"/>
          <c:order val="2"/>
          <c:tx>
            <c:v>Neutral_Axis</c:v>
          </c:tx>
          <c:spPr>
            <a:ln w="15875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circle_section!$G$17:$G$18</c:f>
              <c:numCache>
                <c:formatCode>0.000</c:formatCode>
                <c:ptCount val="2"/>
                <c:pt idx="0">
                  <c:v>4.3473218478419078</c:v>
                </c:pt>
                <c:pt idx="1">
                  <c:v>-11.184846568070411</c:v>
                </c:pt>
              </c:numCache>
            </c:numRef>
          </c:xVal>
          <c:yVal>
            <c:numRef>
              <c:f>circle_section!$H$17:$H$18</c:f>
              <c:numCache>
                <c:formatCode>0.000</c:formatCode>
                <c:ptCount val="2"/>
                <c:pt idx="0">
                  <c:v>11.184846568070411</c:v>
                </c:pt>
                <c:pt idx="1">
                  <c:v>-4.3473218478419042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D2-48BA-8673-AC8CF1FA9779}"/>
            </c:ext>
          </c:extLst>
        </c:ser>
        <c:ser>
          <c:idx val="1"/>
          <c:order val="3"/>
          <c:tx>
            <c:v>Whitney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circle_section!$E$17:$E$18</c:f>
              <c:numCache>
                <c:formatCode>0.000</c:formatCode>
                <c:ptCount val="2"/>
                <c:pt idx="0">
                  <c:v>2.8037330000649376</c:v>
                </c:pt>
                <c:pt idx="1">
                  <c:v>-11.667865325943168</c:v>
                </c:pt>
              </c:numCache>
            </c:numRef>
          </c:xVal>
          <c:yVal>
            <c:numRef>
              <c:f>circle_section!$F$17:$F$18</c:f>
              <c:numCache>
                <c:formatCode>0.000</c:formatCode>
                <c:ptCount val="2"/>
                <c:pt idx="0">
                  <c:v>11.667865325943168</c:v>
                </c:pt>
                <c:pt idx="1">
                  <c:v>-2.803733000064935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DD-42DB-B172-075C6029C6FF}"/>
            </c:ext>
          </c:extLst>
        </c:ser>
        <c:ser>
          <c:idx val="4"/>
          <c:order val="4"/>
          <c:tx>
            <c:v>Reinf (Compression)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circle_section!$X$37:$X$108</c:f>
              <c:numCache>
                <c:formatCode>General</c:formatCode>
                <c:ptCount val="72"/>
                <c:pt idx="0">
                  <c:v>#N/A</c:v>
                </c:pt>
                <c:pt idx="1">
                  <c:v>#N/A</c:v>
                </c:pt>
                <c:pt idx="2">
                  <c:v>5.6280257147364732E-16</c:v>
                </c:pt>
                <c:pt idx="3">
                  <c:v>-6.4965435521514046</c:v>
                </c:pt>
                <c:pt idx="4">
                  <c:v>-9.1875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xVal>
          <c:yVal>
            <c:numRef>
              <c:f>circle_section!$Y$37:$Y$108</c:f>
              <c:numCache>
                <c:formatCode>General</c:formatCode>
                <c:ptCount val="72"/>
                <c:pt idx="0">
                  <c:v>#N/A</c:v>
                </c:pt>
                <c:pt idx="1">
                  <c:v>#N/A</c:v>
                </c:pt>
                <c:pt idx="2">
                  <c:v>9.1875</c:v>
                </c:pt>
                <c:pt idx="3">
                  <c:v>6.4965435521514054</c:v>
                </c:pt>
                <c:pt idx="4">
                  <c:v>1.1256051429472946E-15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7E-4A70-A219-56B435193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227279"/>
        <c:axId val="2018860815"/>
      </c:scatterChart>
      <c:valAx>
        <c:axId val="2102272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8860815"/>
        <c:crosses val="autoZero"/>
        <c:crossBetween val="midCat"/>
      </c:valAx>
      <c:valAx>
        <c:axId val="2018860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2272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circle_section!$Z$34</c:f>
          <c:strCache>
            <c:ptCount val="1"/>
            <c:pt idx="0">
              <c:v>Mx vs My @ Pu = 200 Kips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circle_section!$AK$2:$AK$363</c:f>
              <c:numCache>
                <c:formatCode>General</c:formatCode>
                <c:ptCount val="362"/>
                <c:pt idx="0">
                  <c:v>316.99294710295209</c:v>
                </c:pt>
                <c:pt idx="1">
                  <c:v>308.41209895398515</c:v>
                </c:pt>
                <c:pt idx="2">
                  <c:v>292.55784231926145</c:v>
                </c:pt>
                <c:pt idx="3">
                  <c:v>270.5907353527212</c:v>
                </c:pt>
                <c:pt idx="4">
                  <c:v>242.10860476646758</c:v>
                </c:pt>
                <c:pt idx="5">
                  <c:v>201.78814807666856</c:v>
                </c:pt>
                <c:pt idx="6">
                  <c:v>155.46085168745722</c:v>
                </c:pt>
                <c:pt idx="7">
                  <c:v>106.73316062058176</c:v>
                </c:pt>
                <c:pt idx="8">
                  <c:v>55.354114471439523</c:v>
                </c:pt>
                <c:pt idx="9">
                  <c:v>-2.164564630707455E-15</c:v>
                </c:pt>
                <c:pt idx="10">
                  <c:v>-55.354114471439551</c:v>
                </c:pt>
                <c:pt idx="11">
                  <c:v>-106.7331606205818</c:v>
                </c:pt>
                <c:pt idx="12">
                  <c:v>-155.46085168745705</c:v>
                </c:pt>
                <c:pt idx="13">
                  <c:v>-201.78814807666848</c:v>
                </c:pt>
                <c:pt idx="14">
                  <c:v>-242.10860476646747</c:v>
                </c:pt>
                <c:pt idx="15">
                  <c:v>-270.59073535272114</c:v>
                </c:pt>
                <c:pt idx="16">
                  <c:v>-292.55784231926134</c:v>
                </c:pt>
                <c:pt idx="17">
                  <c:v>-308.41209895398509</c:v>
                </c:pt>
                <c:pt idx="18">
                  <c:v>-316.99294710295209</c:v>
                </c:pt>
                <c:pt idx="19">
                  <c:v>-308.41209895398532</c:v>
                </c:pt>
                <c:pt idx="20">
                  <c:v>-292.55784231926157</c:v>
                </c:pt>
                <c:pt idx="21">
                  <c:v>-270.59073535272154</c:v>
                </c:pt>
                <c:pt idx="22">
                  <c:v>-242.10860476646798</c:v>
                </c:pt>
                <c:pt idx="23">
                  <c:v>-201.78814807666899</c:v>
                </c:pt>
                <c:pt idx="24">
                  <c:v>-155.46085168745768</c:v>
                </c:pt>
                <c:pt idx="25">
                  <c:v>-106.73316062058238</c:v>
                </c:pt>
                <c:pt idx="26">
                  <c:v>-55.354114471440312</c:v>
                </c:pt>
                <c:pt idx="27">
                  <c:v>-7.4222192122222014E-13</c:v>
                </c:pt>
                <c:pt idx="28">
                  <c:v>55.354114471438606</c:v>
                </c:pt>
                <c:pt idx="29">
                  <c:v>106.73316062058085</c:v>
                </c:pt>
                <c:pt idx="30">
                  <c:v>155.46085168745614</c:v>
                </c:pt>
                <c:pt idx="31">
                  <c:v>201.78814807666757</c:v>
                </c:pt>
                <c:pt idx="32">
                  <c:v>242.10860476646684</c:v>
                </c:pt>
                <c:pt idx="33">
                  <c:v>270.59073535272069</c:v>
                </c:pt>
                <c:pt idx="34">
                  <c:v>292.55784231926089</c:v>
                </c:pt>
                <c:pt idx="35">
                  <c:v>308.41209895398475</c:v>
                </c:pt>
                <c:pt idx="36">
                  <c:v>316.99294710295209</c:v>
                </c:pt>
                <c:pt idx="37">
                  <c:v>316.99294710295209</c:v>
                </c:pt>
                <c:pt idx="361">
                  <c:v>75.528502789168499</c:v>
                </c:pt>
              </c:numCache>
            </c:numRef>
          </c:xVal>
          <c:yVal>
            <c:numRef>
              <c:f>circle_section!$AL$2:$AL$363</c:f>
              <c:numCache>
                <c:formatCode>General</c:formatCode>
                <c:ptCount val="362"/>
                <c:pt idx="0">
                  <c:v>3.4372504842394843E-14</c:v>
                </c:pt>
                <c:pt idx="1">
                  <c:v>55.354114471439594</c:v>
                </c:pt>
                <c:pt idx="2">
                  <c:v>106.73316062058177</c:v>
                </c:pt>
                <c:pt idx="3">
                  <c:v>155.46085168745711</c:v>
                </c:pt>
                <c:pt idx="4">
                  <c:v>201.78814807666853</c:v>
                </c:pt>
                <c:pt idx="5">
                  <c:v>242.10860476646758</c:v>
                </c:pt>
                <c:pt idx="6">
                  <c:v>270.5907353527212</c:v>
                </c:pt>
                <c:pt idx="7">
                  <c:v>292.5578423192614</c:v>
                </c:pt>
                <c:pt idx="8">
                  <c:v>308.41209895398515</c:v>
                </c:pt>
                <c:pt idx="9">
                  <c:v>316.99294710295209</c:v>
                </c:pt>
                <c:pt idx="10">
                  <c:v>308.41209895398515</c:v>
                </c:pt>
                <c:pt idx="11">
                  <c:v>292.55784231926151</c:v>
                </c:pt>
                <c:pt idx="12">
                  <c:v>270.59073535272125</c:v>
                </c:pt>
                <c:pt idx="13">
                  <c:v>242.10860476646766</c:v>
                </c:pt>
                <c:pt idx="14">
                  <c:v>201.78814807666873</c:v>
                </c:pt>
                <c:pt idx="15">
                  <c:v>155.46085168745742</c:v>
                </c:pt>
                <c:pt idx="16">
                  <c:v>106.733160620582</c:v>
                </c:pt>
                <c:pt idx="17">
                  <c:v>55.354114471439885</c:v>
                </c:pt>
                <c:pt idx="18">
                  <c:v>3.5004466385250357E-13</c:v>
                </c:pt>
                <c:pt idx="19">
                  <c:v>-55.35411447143904</c:v>
                </c:pt>
                <c:pt idx="20">
                  <c:v>-106.73316062058126</c:v>
                </c:pt>
                <c:pt idx="21">
                  <c:v>-155.4608516874566</c:v>
                </c:pt>
                <c:pt idx="22">
                  <c:v>-201.78814807666794</c:v>
                </c:pt>
                <c:pt idx="23">
                  <c:v>-242.10860476646715</c:v>
                </c:pt>
                <c:pt idx="24">
                  <c:v>-270.5907353527208</c:v>
                </c:pt>
                <c:pt idx="25">
                  <c:v>-292.557842319261</c:v>
                </c:pt>
                <c:pt idx="26">
                  <c:v>-308.41209895398504</c:v>
                </c:pt>
                <c:pt idx="27">
                  <c:v>-316.99294710295209</c:v>
                </c:pt>
                <c:pt idx="28">
                  <c:v>-308.41209895398532</c:v>
                </c:pt>
                <c:pt idx="29">
                  <c:v>-292.55784231926185</c:v>
                </c:pt>
                <c:pt idx="30">
                  <c:v>-270.59073535272159</c:v>
                </c:pt>
                <c:pt idx="31">
                  <c:v>-242.10860476646823</c:v>
                </c:pt>
                <c:pt idx="32">
                  <c:v>-201.7881480766695</c:v>
                </c:pt>
                <c:pt idx="33">
                  <c:v>-155.4608516874583</c:v>
                </c:pt>
                <c:pt idx="34">
                  <c:v>-106.73316062058292</c:v>
                </c:pt>
                <c:pt idx="35">
                  <c:v>-55.354114471440873</c:v>
                </c:pt>
                <c:pt idx="36">
                  <c:v>-1.2058944092623197E-12</c:v>
                </c:pt>
                <c:pt idx="37">
                  <c:v>-1.3457384127703275E-14</c:v>
                </c:pt>
                <c:pt idx="361">
                  <c:v>-4.4086264186105845E-14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31-401E-A1FC-BD9DD26A4E8D}"/>
            </c:ext>
          </c:extLst>
        </c:ser>
        <c:ser>
          <c:idx val="1"/>
          <c:order val="1"/>
          <c:tx>
            <c:v>Mx_My_Nominal</c:v>
          </c:tx>
          <c:spPr>
            <a:ln w="22225" cap="rnd">
              <a:solidFill>
                <a:srgbClr val="92D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circle_section!$AM$2:$AM$363</c:f>
              <c:numCache>
                <c:formatCode>General</c:formatCode>
                <c:ptCount val="362"/>
                <c:pt idx="0">
                  <c:v>352.21438566994675</c:v>
                </c:pt>
                <c:pt idx="1">
                  <c:v>342.68010994887237</c:v>
                </c:pt>
                <c:pt idx="2">
                  <c:v>325.06426924362381</c:v>
                </c:pt>
                <c:pt idx="3">
                  <c:v>300.65637261413468</c:v>
                </c:pt>
                <c:pt idx="4">
                  <c:v>269.00956085163062</c:v>
                </c:pt>
                <c:pt idx="5">
                  <c:v>224.20905341852063</c:v>
                </c:pt>
                <c:pt idx="6">
                  <c:v>172.73427965273024</c:v>
                </c:pt>
                <c:pt idx="7">
                  <c:v>118.59240068953528</c:v>
                </c:pt>
                <c:pt idx="8">
                  <c:v>61.504571634932802</c:v>
                </c:pt>
                <c:pt idx="9">
                  <c:v>-2.4050718118971721E-15</c:v>
                </c:pt>
                <c:pt idx="10">
                  <c:v>-61.50457163493283</c:v>
                </c:pt>
                <c:pt idx="11">
                  <c:v>-118.59240068953532</c:v>
                </c:pt>
                <c:pt idx="12">
                  <c:v>-172.73427965273007</c:v>
                </c:pt>
                <c:pt idx="13">
                  <c:v>-224.20905341852051</c:v>
                </c:pt>
                <c:pt idx="14">
                  <c:v>-269.00956085163051</c:v>
                </c:pt>
                <c:pt idx="15">
                  <c:v>-300.65637261413457</c:v>
                </c:pt>
                <c:pt idx="16">
                  <c:v>-325.0642692436237</c:v>
                </c:pt>
                <c:pt idx="17">
                  <c:v>-342.68010994887231</c:v>
                </c:pt>
                <c:pt idx="18">
                  <c:v>-352.21438566994675</c:v>
                </c:pt>
                <c:pt idx="19">
                  <c:v>-342.6801099488726</c:v>
                </c:pt>
                <c:pt idx="20">
                  <c:v>-325.06426924362398</c:v>
                </c:pt>
                <c:pt idx="21">
                  <c:v>-300.65637261413502</c:v>
                </c:pt>
                <c:pt idx="22">
                  <c:v>-269.00956085163108</c:v>
                </c:pt>
                <c:pt idx="23">
                  <c:v>-224.20905341852108</c:v>
                </c:pt>
                <c:pt idx="24">
                  <c:v>-172.73427965273075</c:v>
                </c:pt>
                <c:pt idx="25">
                  <c:v>-118.59240068953598</c:v>
                </c:pt>
                <c:pt idx="26">
                  <c:v>-61.504571634933676</c:v>
                </c:pt>
                <c:pt idx="27">
                  <c:v>-8.2469102358024462E-13</c:v>
                </c:pt>
                <c:pt idx="28">
                  <c:v>61.504571634931786</c:v>
                </c:pt>
                <c:pt idx="29">
                  <c:v>118.59240068953427</c:v>
                </c:pt>
                <c:pt idx="30">
                  <c:v>172.73427965272904</c:v>
                </c:pt>
                <c:pt idx="31">
                  <c:v>224.20905341851952</c:v>
                </c:pt>
                <c:pt idx="32">
                  <c:v>269.00956085162983</c:v>
                </c:pt>
                <c:pt idx="33">
                  <c:v>300.65637261413411</c:v>
                </c:pt>
                <c:pt idx="34">
                  <c:v>325.06426924362319</c:v>
                </c:pt>
                <c:pt idx="35">
                  <c:v>342.68010994887192</c:v>
                </c:pt>
                <c:pt idx="36">
                  <c:v>352.21438566994675</c:v>
                </c:pt>
                <c:pt idx="37">
                  <c:v>352.21438566994675</c:v>
                </c:pt>
                <c:pt idx="361">
                  <c:v>83.920558654631662</c:v>
                </c:pt>
              </c:numCache>
            </c:numRef>
          </c:xVal>
          <c:yVal>
            <c:numRef>
              <c:f>circle_section!$AN$2:$AN$363</c:f>
              <c:numCache>
                <c:formatCode>General</c:formatCode>
                <c:ptCount val="362"/>
                <c:pt idx="0">
                  <c:v>3.8191672047105379E-14</c:v>
                </c:pt>
                <c:pt idx="1">
                  <c:v>61.50457163493288</c:v>
                </c:pt>
                <c:pt idx="2">
                  <c:v>118.5924006895353</c:v>
                </c:pt>
                <c:pt idx="3">
                  <c:v>172.73427965273012</c:v>
                </c:pt>
                <c:pt idx="4">
                  <c:v>224.2090534185206</c:v>
                </c:pt>
                <c:pt idx="5">
                  <c:v>269.00956085163062</c:v>
                </c:pt>
                <c:pt idx="6">
                  <c:v>300.65637261413468</c:v>
                </c:pt>
                <c:pt idx="7">
                  <c:v>325.06426924362376</c:v>
                </c:pt>
                <c:pt idx="8">
                  <c:v>342.68010994887237</c:v>
                </c:pt>
                <c:pt idx="9">
                  <c:v>352.21438566994675</c:v>
                </c:pt>
                <c:pt idx="10">
                  <c:v>342.68010994887237</c:v>
                </c:pt>
                <c:pt idx="11">
                  <c:v>325.06426924362387</c:v>
                </c:pt>
                <c:pt idx="12">
                  <c:v>300.65637261413474</c:v>
                </c:pt>
                <c:pt idx="13">
                  <c:v>269.00956085163074</c:v>
                </c:pt>
                <c:pt idx="14">
                  <c:v>224.2090534185208</c:v>
                </c:pt>
                <c:pt idx="15">
                  <c:v>172.73427965273046</c:v>
                </c:pt>
                <c:pt idx="16">
                  <c:v>118.59240068953555</c:v>
                </c:pt>
                <c:pt idx="17">
                  <c:v>61.504571634933207</c:v>
                </c:pt>
                <c:pt idx="18">
                  <c:v>3.889385153916706E-13</c:v>
                </c:pt>
                <c:pt idx="19">
                  <c:v>-61.504571634932262</c:v>
                </c:pt>
                <c:pt idx="20">
                  <c:v>-118.59240068953473</c:v>
                </c:pt>
                <c:pt idx="21">
                  <c:v>-172.73427965272955</c:v>
                </c:pt>
                <c:pt idx="22">
                  <c:v>-224.20905341851991</c:v>
                </c:pt>
                <c:pt idx="23">
                  <c:v>-269.00956085163017</c:v>
                </c:pt>
                <c:pt idx="24">
                  <c:v>-300.65637261413423</c:v>
                </c:pt>
                <c:pt idx="25">
                  <c:v>-325.0642692436233</c:v>
                </c:pt>
                <c:pt idx="26">
                  <c:v>-342.68010994887226</c:v>
                </c:pt>
                <c:pt idx="27">
                  <c:v>-352.21438566994675</c:v>
                </c:pt>
                <c:pt idx="28">
                  <c:v>-342.6801099488726</c:v>
                </c:pt>
                <c:pt idx="29">
                  <c:v>-325.06426924362427</c:v>
                </c:pt>
                <c:pt idx="30">
                  <c:v>-300.65637261413508</c:v>
                </c:pt>
                <c:pt idx="31">
                  <c:v>-269.00956085163136</c:v>
                </c:pt>
                <c:pt idx="32">
                  <c:v>-224.20905341852165</c:v>
                </c:pt>
                <c:pt idx="33">
                  <c:v>-172.73427965273143</c:v>
                </c:pt>
                <c:pt idx="34">
                  <c:v>-118.59240068953657</c:v>
                </c:pt>
                <c:pt idx="35">
                  <c:v>-61.504571634934301</c:v>
                </c:pt>
                <c:pt idx="36">
                  <c:v>-1.3398826769581331E-12</c:v>
                </c:pt>
                <c:pt idx="37">
                  <c:v>-1.4952649030781417E-14</c:v>
                </c:pt>
                <c:pt idx="361">
                  <c:v>-4.8984737984562051E-14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731-401E-A1FC-BD9DD26A4E8D}"/>
            </c:ext>
          </c:extLst>
        </c:ser>
        <c:ser>
          <c:idx val="2"/>
          <c:order val="2"/>
          <c:tx>
            <c:v>User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FF00"/>
              </a:solidFill>
              <a:ln w="12700">
                <a:solidFill>
                  <a:srgbClr val="7030A0"/>
                </a:solidFill>
              </a:ln>
              <a:effectLst/>
            </c:spPr>
          </c:marker>
          <c:xVal>
            <c:numRef>
              <c:f>circle_section!$J$10</c:f>
              <c:numCache>
                <c:formatCode>0.000</c:formatCode>
                <c:ptCount val="1"/>
                <c:pt idx="0">
                  <c:v>100</c:v>
                </c:pt>
              </c:numCache>
            </c:numRef>
          </c:xVal>
          <c:yVal>
            <c:numRef>
              <c:f>circle_section!$J$11</c:f>
              <c:numCache>
                <c:formatCode>0.000</c:formatCode>
                <c:ptCount val="1"/>
                <c:pt idx="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731-401E-A1FC-BD9DD26A4E8D}"/>
            </c:ext>
          </c:extLst>
        </c:ser>
        <c:ser>
          <c:idx val="3"/>
          <c:order val="3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circle_section!$J$4</c:f>
              <c:numCache>
                <c:formatCode>0.000</c:formatCode>
                <c:ptCount val="1"/>
                <c:pt idx="0">
                  <c:v>224.14786248480596</c:v>
                </c:pt>
              </c:numCache>
            </c:numRef>
          </c:xVal>
          <c:yVal>
            <c:numRef>
              <c:f>circle_section!$J$5</c:f>
              <c:numCache>
                <c:formatCode>0.000</c:formatCode>
                <c:ptCount val="1"/>
                <c:pt idx="0">
                  <c:v>224.14786248480601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731-401E-A1FC-BD9DD26A4E8D}"/>
            </c:ext>
          </c:extLst>
        </c:ser>
        <c:ser>
          <c:idx val="4"/>
          <c:order val="4"/>
          <c:tx>
            <c:v>Origin_User_Result</c:v>
          </c:tx>
          <c:spPr>
            <a:ln w="15875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circle_section!$Z$36:$Z$38</c:f>
              <c:numCache>
                <c:formatCode>0.000</c:formatCode>
                <c:ptCount val="3"/>
                <c:pt idx="0" formatCode="General">
                  <c:v>0</c:v>
                </c:pt>
                <c:pt idx="1">
                  <c:v>100</c:v>
                </c:pt>
                <c:pt idx="2">
                  <c:v>224.14786248480596</c:v>
                </c:pt>
              </c:numCache>
            </c:numRef>
          </c:xVal>
          <c:yVal>
            <c:numRef>
              <c:f>circle_section!$AA$36:$AA$38</c:f>
              <c:numCache>
                <c:formatCode>0.000</c:formatCode>
                <c:ptCount val="3"/>
                <c:pt idx="0" formatCode="General">
                  <c:v>0</c:v>
                </c:pt>
                <c:pt idx="1">
                  <c:v>100</c:v>
                </c:pt>
                <c:pt idx="2">
                  <c:v>224.14786248480601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731-401E-A1FC-BD9DD26A4E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549871"/>
        <c:axId val="313673823"/>
      </c:scatterChart>
      <c:valAx>
        <c:axId val="494549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673823"/>
        <c:crosses val="autoZero"/>
        <c:crossBetween val="midCat"/>
      </c:valAx>
      <c:valAx>
        <c:axId val="313673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5498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P_M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circle_section!$AY$2:$AY$102</c:f>
              <c:numCache>
                <c:formatCode>General</c:formatCode>
                <c:ptCount val="101"/>
                <c:pt idx="0">
                  <c:v>9.9972844757800772E-3</c:v>
                </c:pt>
                <c:pt idx="1">
                  <c:v>16.188269755673971</c:v>
                </c:pt>
                <c:pt idx="2">
                  <c:v>31.597971201301554</c:v>
                </c:pt>
                <c:pt idx="3">
                  <c:v>45.666849070427268</c:v>
                </c:pt>
                <c:pt idx="4">
                  <c:v>59.445170790173002</c:v>
                </c:pt>
                <c:pt idx="5">
                  <c:v>73.190895482975023</c:v>
                </c:pt>
                <c:pt idx="6">
                  <c:v>86.843550056631955</c:v>
                </c:pt>
                <c:pt idx="7">
                  <c:v>100.34656341987629</c:v>
                </c:pt>
                <c:pt idx="8">
                  <c:v>113.65254316972485</c:v>
                </c:pt>
                <c:pt idx="9">
                  <c:v>125.58399074616779</c:v>
                </c:pt>
                <c:pt idx="10">
                  <c:v>136.66889922493775</c:v>
                </c:pt>
                <c:pt idx="11">
                  <c:v>147.96474972189185</c:v>
                </c:pt>
                <c:pt idx="12">
                  <c:v>159.23954119226752</c:v>
                </c:pt>
                <c:pt idx="13">
                  <c:v>170.47667098328722</c:v>
                </c:pt>
                <c:pt idx="14">
                  <c:v>181.65903512547166</c:v>
                </c:pt>
                <c:pt idx="15">
                  <c:v>192.76941962807118</c:v>
                </c:pt>
                <c:pt idx="16">
                  <c:v>203.79086116862774</c:v>
                </c:pt>
                <c:pt idx="17">
                  <c:v>214.70695703154067</c:v>
                </c:pt>
                <c:pt idx="18">
                  <c:v>225.50211241854518</c:v>
                </c:pt>
                <c:pt idx="19">
                  <c:v>236.16172121878228</c:v>
                </c:pt>
                <c:pt idx="20">
                  <c:v>246.67228284130911</c:v>
                </c:pt>
                <c:pt idx="21">
                  <c:v>257.02146222622406</c:v>
                </c:pt>
                <c:pt idx="22">
                  <c:v>267.19810264583913</c:v>
                </c:pt>
                <c:pt idx="23">
                  <c:v>277.19220170548419</c:v>
                </c:pt>
                <c:pt idx="24">
                  <c:v>286.99486053480331</c:v>
                </c:pt>
                <c:pt idx="25">
                  <c:v>296.5982149905127</c:v>
                </c:pt>
                <c:pt idx="26">
                  <c:v>305.995356182119</c:v>
                </c:pt>
                <c:pt idx="27">
                  <c:v>315.0003975938821</c:v>
                </c:pt>
                <c:pt idx="28">
                  <c:v>321.93362404725968</c:v>
                </c:pt>
                <c:pt idx="29">
                  <c:v>328.80293688301259</c:v>
                </c:pt>
                <c:pt idx="30">
                  <c:v>335.59998316613064</c:v>
                </c:pt>
                <c:pt idx="31">
                  <c:v>342.31663352571229</c:v>
                </c:pt>
                <c:pt idx="32">
                  <c:v>347.20850420437046</c:v>
                </c:pt>
                <c:pt idx="33">
                  <c:v>348.12616934892083</c:v>
                </c:pt>
                <c:pt idx="34">
                  <c:v>348.87047346335152</c:v>
                </c:pt>
                <c:pt idx="35">
                  <c:v>349.41726558196126</c:v>
                </c:pt>
                <c:pt idx="36">
                  <c:v>349.62891807767227</c:v>
                </c:pt>
                <c:pt idx="37">
                  <c:v>349.35589334281821</c:v>
                </c:pt>
                <c:pt idx="38">
                  <c:v>348.80711223068164</c:v>
                </c:pt>
                <c:pt idx="39">
                  <c:v>347.94795457350602</c:v>
                </c:pt>
                <c:pt idx="40">
                  <c:v>346.74195125103557</c:v>
                </c:pt>
                <c:pt idx="41">
                  <c:v>344.89450043524113</c:v>
                </c:pt>
                <c:pt idx="42">
                  <c:v>341.41746065917386</c:v>
                </c:pt>
                <c:pt idx="43">
                  <c:v>337.73220657107294</c:v>
                </c:pt>
                <c:pt idx="44">
                  <c:v>333.80571948538471</c:v>
                </c:pt>
                <c:pt idx="45">
                  <c:v>329.60246527940916</c:v>
                </c:pt>
                <c:pt idx="46">
                  <c:v>325.80265534206313</c:v>
                </c:pt>
                <c:pt idx="47">
                  <c:v>326.0899074962839</c:v>
                </c:pt>
                <c:pt idx="48">
                  <c:v>326.23928681172276</c:v>
                </c:pt>
                <c:pt idx="49">
                  <c:v>326.24343498563167</c:v>
                </c:pt>
                <c:pt idx="50">
                  <c:v>326.09521138666997</c:v>
                </c:pt>
                <c:pt idx="51">
                  <c:v>325.78769007675783</c:v>
                </c:pt>
                <c:pt idx="52">
                  <c:v>325.3141555096559</c:v>
                </c:pt>
                <c:pt idx="53">
                  <c:v>324.66809707159598</c:v>
                </c:pt>
                <c:pt idx="54">
                  <c:v>323.84320261654278</c:v>
                </c:pt>
                <c:pt idx="55">
                  <c:v>322.8333511350674</c:v>
                </c:pt>
                <c:pt idx="56">
                  <c:v>321.37306601991833</c:v>
                </c:pt>
                <c:pt idx="57">
                  <c:v>319.93625659655976</c:v>
                </c:pt>
                <c:pt idx="58">
                  <c:v>318.29610596130806</c:v>
                </c:pt>
                <c:pt idx="59">
                  <c:v>316.44720052195288</c:v>
                </c:pt>
                <c:pt idx="60">
                  <c:v>314.38427001568982</c:v>
                </c:pt>
                <c:pt idx="61">
                  <c:v>312.10217704455812</c:v>
                </c:pt>
                <c:pt idx="62">
                  <c:v>309.59590633104943</c:v>
                </c:pt>
                <c:pt idx="63">
                  <c:v>306.8605537211177</c:v>
                </c:pt>
                <c:pt idx="64">
                  <c:v>303.89131495013709</c:v>
                </c:pt>
                <c:pt idx="65">
                  <c:v>300.68347417559761</c:v>
                </c:pt>
                <c:pt idx="66">
                  <c:v>297.11376594873911</c:v>
                </c:pt>
                <c:pt idx="67">
                  <c:v>293.16640522996522</c:v>
                </c:pt>
                <c:pt idx="68">
                  <c:v>288.96257486586592</c:v>
                </c:pt>
                <c:pt idx="69">
                  <c:v>284.49762404026598</c:v>
                </c:pt>
                <c:pt idx="70">
                  <c:v>279.76692938523541</c:v>
                </c:pt>
                <c:pt idx="71">
                  <c:v>274.76587931152289</c:v>
                </c:pt>
                <c:pt idx="72">
                  <c:v>269.48985771670374</c:v>
                </c:pt>
                <c:pt idx="73">
                  <c:v>263.93422692093304</c:v>
                </c:pt>
                <c:pt idx="74">
                  <c:v>258.09430965116229</c:v>
                </c:pt>
                <c:pt idx="75">
                  <c:v>251.96536986016494</c:v>
                </c:pt>
                <c:pt idx="76">
                  <c:v>245.54259212246268</c:v>
                </c:pt>
                <c:pt idx="77">
                  <c:v>238.82105929569846</c:v>
                </c:pt>
                <c:pt idx="78">
                  <c:v>231.79572807036496</c:v>
                </c:pt>
                <c:pt idx="79">
                  <c:v>224.46140194326748</c:v>
                </c:pt>
                <c:pt idx="80">
                  <c:v>216.81270104660092</c:v>
                </c:pt>
                <c:pt idx="81">
                  <c:v>208.84402812106299</c:v>
                </c:pt>
                <c:pt idx="82">
                  <c:v>200.54952974622921</c:v>
                </c:pt>
                <c:pt idx="83">
                  <c:v>191.92305170383892</c:v>
                </c:pt>
                <c:pt idx="84">
                  <c:v>182.94627296074452</c:v>
                </c:pt>
                <c:pt idx="85">
                  <c:v>173.56700337421142</c:v>
                </c:pt>
                <c:pt idx="86">
                  <c:v>163.83339555392828</c:v>
                </c:pt>
                <c:pt idx="87">
                  <c:v>153.73734395574243</c:v>
                </c:pt>
                <c:pt idx="88">
                  <c:v>143.27004020833692</c:v>
                </c:pt>
                <c:pt idx="89">
                  <c:v>132.42183829983156</c:v>
                </c:pt>
                <c:pt idx="90">
                  <c:v>121.18208865552806</c:v>
                </c:pt>
                <c:pt idx="91">
                  <c:v>109.53893492002739</c:v>
                </c:pt>
                <c:pt idx="92">
                  <c:v>97.479072053488593</c:v>
                </c:pt>
                <c:pt idx="93">
                  <c:v>85.002186497467122</c:v>
                </c:pt>
                <c:pt idx="94">
                  <c:v>72.016819463853892</c:v>
                </c:pt>
                <c:pt idx="95">
                  <c:v>58.562647296263016</c:v>
                </c:pt>
                <c:pt idx="96">
                  <c:v>44.623964019057603</c:v>
                </c:pt>
                <c:pt idx="97">
                  <c:v>30.219586668996318</c:v>
                </c:pt>
                <c:pt idx="98">
                  <c:v>18.609968005649819</c:v>
                </c:pt>
                <c:pt idx="99">
                  <c:v>10.709494244938616</c:v>
                </c:pt>
                <c:pt idx="100">
                  <c:v>7.6562499375353839E-3</c:v>
                </c:pt>
              </c:numCache>
            </c:numRef>
          </c:xVal>
          <c:yVal>
            <c:numRef>
              <c:f>circle_section!$AV$2:$AV$102</c:f>
              <c:numCache>
                <c:formatCode>General</c:formatCode>
                <c:ptCount val="101"/>
                <c:pt idx="0">
                  <c:v>-259.19</c:v>
                </c:pt>
                <c:pt idx="1">
                  <c:v>-242.3615444240198</c:v>
                </c:pt>
                <c:pt idx="2">
                  <c:v>-225.5330888480396</c:v>
                </c:pt>
                <c:pt idx="3">
                  <c:v>-208.7046332720594</c:v>
                </c:pt>
                <c:pt idx="4">
                  <c:v>-191.8761776960792</c:v>
                </c:pt>
                <c:pt idx="5">
                  <c:v>-175.047722120099</c:v>
                </c:pt>
                <c:pt idx="6">
                  <c:v>-158.2192665441188</c:v>
                </c:pt>
                <c:pt idx="7">
                  <c:v>-141.3908109681386</c:v>
                </c:pt>
                <c:pt idx="8">
                  <c:v>-124.56235539215839</c:v>
                </c:pt>
                <c:pt idx="9">
                  <c:v>-107.73389981617819</c:v>
                </c:pt>
                <c:pt idx="10">
                  <c:v>-90.905444240197994</c:v>
                </c:pt>
                <c:pt idx="11">
                  <c:v>-74.076988664217794</c:v>
                </c:pt>
                <c:pt idx="12">
                  <c:v>-57.248533088237593</c:v>
                </c:pt>
                <c:pt idx="13">
                  <c:v>-40.420077512257393</c:v>
                </c:pt>
                <c:pt idx="14">
                  <c:v>-23.591621936277196</c:v>
                </c:pt>
                <c:pt idx="15">
                  <c:v>-6.7631663602969994</c:v>
                </c:pt>
                <c:pt idx="16">
                  <c:v>10.065289215683197</c:v>
                </c:pt>
                <c:pt idx="17">
                  <c:v>26.893744791663394</c:v>
                </c:pt>
                <c:pt idx="18">
                  <c:v>43.722200367643595</c:v>
                </c:pt>
                <c:pt idx="19">
                  <c:v>60.550655943623795</c:v>
                </c:pt>
                <c:pt idx="20">
                  <c:v>77.379111519603995</c:v>
                </c:pt>
                <c:pt idx="21">
                  <c:v>94.207567095584196</c:v>
                </c:pt>
                <c:pt idx="22">
                  <c:v>111.0360226715644</c:v>
                </c:pt>
                <c:pt idx="23">
                  <c:v>127.8644782475446</c:v>
                </c:pt>
                <c:pt idx="24">
                  <c:v>144.69293382352478</c:v>
                </c:pt>
                <c:pt idx="25">
                  <c:v>161.52138939950498</c:v>
                </c:pt>
                <c:pt idx="26">
                  <c:v>178.34984497548518</c:v>
                </c:pt>
                <c:pt idx="27">
                  <c:v>195.17830055146538</c:v>
                </c:pt>
                <c:pt idx="28">
                  <c:v>212.00675612744558</c:v>
                </c:pt>
                <c:pt idx="29">
                  <c:v>228.83521170342578</c:v>
                </c:pt>
                <c:pt idx="30">
                  <c:v>245.66366727940598</c:v>
                </c:pt>
                <c:pt idx="31">
                  <c:v>262.49212285538619</c:v>
                </c:pt>
                <c:pt idx="32">
                  <c:v>279.32057843136636</c:v>
                </c:pt>
                <c:pt idx="33">
                  <c:v>296.14903400734653</c:v>
                </c:pt>
                <c:pt idx="34">
                  <c:v>312.9774895833267</c:v>
                </c:pt>
                <c:pt idx="35">
                  <c:v>329.80594515930687</c:v>
                </c:pt>
                <c:pt idx="36">
                  <c:v>346.63440073528704</c:v>
                </c:pt>
                <c:pt idx="37">
                  <c:v>363.46285631126722</c:v>
                </c:pt>
                <c:pt idx="38">
                  <c:v>380.29131188724739</c:v>
                </c:pt>
                <c:pt idx="39">
                  <c:v>397.11976746322756</c:v>
                </c:pt>
                <c:pt idx="40">
                  <c:v>413.94822303920773</c:v>
                </c:pt>
                <c:pt idx="41">
                  <c:v>430.7766786151879</c:v>
                </c:pt>
                <c:pt idx="42">
                  <c:v>447.60513419116808</c:v>
                </c:pt>
                <c:pt idx="43">
                  <c:v>464.43358976714825</c:v>
                </c:pt>
                <c:pt idx="44">
                  <c:v>481.26204534312842</c:v>
                </c:pt>
                <c:pt idx="45">
                  <c:v>498.09050091910859</c:v>
                </c:pt>
                <c:pt idx="46">
                  <c:v>514.91895649508876</c:v>
                </c:pt>
                <c:pt idx="47">
                  <c:v>531.74741207106899</c:v>
                </c:pt>
                <c:pt idx="48">
                  <c:v>548.57586764704922</c:v>
                </c:pt>
                <c:pt idx="49">
                  <c:v>565.40432322302945</c:v>
                </c:pt>
                <c:pt idx="50">
                  <c:v>582.23277879900968</c:v>
                </c:pt>
                <c:pt idx="51">
                  <c:v>599.06123437498991</c:v>
                </c:pt>
                <c:pt idx="52">
                  <c:v>615.88968995097014</c:v>
                </c:pt>
                <c:pt idx="53">
                  <c:v>632.71814552695037</c:v>
                </c:pt>
                <c:pt idx="54">
                  <c:v>649.54660110293059</c:v>
                </c:pt>
                <c:pt idx="55">
                  <c:v>666.37505667891082</c:v>
                </c:pt>
                <c:pt idx="56">
                  <c:v>683.20351225489105</c:v>
                </c:pt>
                <c:pt idx="57">
                  <c:v>700.03196783087128</c:v>
                </c:pt>
                <c:pt idx="58">
                  <c:v>716.86042340685151</c:v>
                </c:pt>
                <c:pt idx="59">
                  <c:v>733.68887898283174</c:v>
                </c:pt>
                <c:pt idx="60">
                  <c:v>750.51733455881197</c:v>
                </c:pt>
                <c:pt idx="61">
                  <c:v>767.3457901347922</c:v>
                </c:pt>
                <c:pt idx="62">
                  <c:v>784.17424571077242</c:v>
                </c:pt>
                <c:pt idx="63">
                  <c:v>801.00270128675265</c:v>
                </c:pt>
                <c:pt idx="64">
                  <c:v>817.83115686273288</c:v>
                </c:pt>
                <c:pt idx="65">
                  <c:v>834.65961243871311</c:v>
                </c:pt>
                <c:pt idx="66">
                  <c:v>851.48806801469334</c:v>
                </c:pt>
                <c:pt idx="67">
                  <c:v>868.31652359067357</c:v>
                </c:pt>
                <c:pt idx="68">
                  <c:v>885.1449791666538</c:v>
                </c:pt>
                <c:pt idx="69">
                  <c:v>901.97343474263403</c:v>
                </c:pt>
                <c:pt idx="70">
                  <c:v>918.80189031861426</c:v>
                </c:pt>
                <c:pt idx="71">
                  <c:v>935.63034589459448</c:v>
                </c:pt>
                <c:pt idx="72">
                  <c:v>952.45880147057471</c:v>
                </c:pt>
                <c:pt idx="73">
                  <c:v>969.28725704655494</c:v>
                </c:pt>
                <c:pt idx="74">
                  <c:v>986.11571262253517</c:v>
                </c:pt>
                <c:pt idx="75">
                  <c:v>1002.9441681985154</c:v>
                </c:pt>
                <c:pt idx="76">
                  <c:v>1019.7726237744956</c:v>
                </c:pt>
                <c:pt idx="77">
                  <c:v>1036.6010793504759</c:v>
                </c:pt>
                <c:pt idx="78">
                  <c:v>1053.429534926456</c:v>
                </c:pt>
                <c:pt idx="79">
                  <c:v>1070.2579905024361</c:v>
                </c:pt>
                <c:pt idx="80">
                  <c:v>1087.0864460784162</c:v>
                </c:pt>
                <c:pt idx="81">
                  <c:v>1103.9149016543963</c:v>
                </c:pt>
                <c:pt idx="82">
                  <c:v>1120.7433572303764</c:v>
                </c:pt>
                <c:pt idx="83">
                  <c:v>1137.5718128063565</c:v>
                </c:pt>
                <c:pt idx="84">
                  <c:v>1154.4002683823367</c:v>
                </c:pt>
                <c:pt idx="85">
                  <c:v>1171.2287239583168</c:v>
                </c:pt>
                <c:pt idx="86">
                  <c:v>1188.0571795342969</c:v>
                </c:pt>
                <c:pt idx="87">
                  <c:v>1204.885635110277</c:v>
                </c:pt>
                <c:pt idx="88">
                  <c:v>1221.7140906862571</c:v>
                </c:pt>
                <c:pt idx="89">
                  <c:v>1238.5425462622372</c:v>
                </c:pt>
                <c:pt idx="90">
                  <c:v>1255.3710018382174</c:v>
                </c:pt>
                <c:pt idx="91">
                  <c:v>1272.1994574141975</c:v>
                </c:pt>
                <c:pt idx="92">
                  <c:v>1289.0279129901776</c:v>
                </c:pt>
                <c:pt idx="93">
                  <c:v>1305.8563685661577</c:v>
                </c:pt>
                <c:pt idx="94">
                  <c:v>1322.6848241421378</c:v>
                </c:pt>
                <c:pt idx="95">
                  <c:v>1339.5132797181179</c:v>
                </c:pt>
                <c:pt idx="96">
                  <c:v>1356.341735294098</c:v>
                </c:pt>
                <c:pt idx="97">
                  <c:v>1373.1701908700782</c:v>
                </c:pt>
                <c:pt idx="98">
                  <c:v>1389.9986464460583</c:v>
                </c:pt>
                <c:pt idx="99">
                  <c:v>1406.8271020220384</c:v>
                </c:pt>
                <c:pt idx="100">
                  <c:v>1423.6555575980185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70-4EB6-B91F-05D92218C15F}"/>
            </c:ext>
          </c:extLst>
        </c:ser>
        <c:ser>
          <c:idx val="1"/>
          <c:order val="1"/>
          <c:tx>
            <c:v>P_M_Nominal</c:v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circle_section!$BC$2:$BC$102</c:f>
              <c:numCache>
                <c:formatCode>General</c:formatCode>
                <c:ptCount val="101"/>
                <c:pt idx="0">
                  <c:v>1.1108093861977864E-2</c:v>
                </c:pt>
                <c:pt idx="1">
                  <c:v>17.986966395193303</c:v>
                </c:pt>
                <c:pt idx="2">
                  <c:v>35.108856890335062</c:v>
                </c:pt>
                <c:pt idx="3">
                  <c:v>50.740943411585853</c:v>
                </c:pt>
                <c:pt idx="4">
                  <c:v>66.050189766858892</c:v>
                </c:pt>
                <c:pt idx="5">
                  <c:v>81.323217203305589</c:v>
                </c:pt>
                <c:pt idx="6">
                  <c:v>96.492833396257723</c:v>
                </c:pt>
                <c:pt idx="7">
                  <c:v>111.49618157764031</c:v>
                </c:pt>
                <c:pt idx="8">
                  <c:v>126.28060352191649</c:v>
                </c:pt>
                <c:pt idx="9">
                  <c:v>139.53776749574197</c:v>
                </c:pt>
                <c:pt idx="10">
                  <c:v>151.85433247215303</c:v>
                </c:pt>
                <c:pt idx="11">
                  <c:v>164.4052774687687</c:v>
                </c:pt>
                <c:pt idx="12">
                  <c:v>176.9328235469639</c:v>
                </c:pt>
                <c:pt idx="13">
                  <c:v>189.4185233147636</c:v>
                </c:pt>
                <c:pt idx="14">
                  <c:v>201.8433723616352</c:v>
                </c:pt>
                <c:pt idx="15">
                  <c:v>214.18824403119018</c:v>
                </c:pt>
                <c:pt idx="16">
                  <c:v>226.43429018736416</c:v>
                </c:pt>
                <c:pt idx="17">
                  <c:v>238.56328559060074</c:v>
                </c:pt>
                <c:pt idx="18">
                  <c:v>250.55790268727242</c:v>
                </c:pt>
                <c:pt idx="19">
                  <c:v>262.40191246531361</c:v>
                </c:pt>
                <c:pt idx="20">
                  <c:v>274.08031426812124</c:v>
                </c:pt>
                <c:pt idx="21">
                  <c:v>285.57940247358226</c:v>
                </c:pt>
                <c:pt idx="22">
                  <c:v>296.88678071759898</c:v>
                </c:pt>
                <c:pt idx="23">
                  <c:v>307.99133522831579</c:v>
                </c:pt>
                <c:pt idx="24">
                  <c:v>318.88317837200367</c:v>
                </c:pt>
                <c:pt idx="25">
                  <c:v>329.55357221168077</c:v>
                </c:pt>
                <c:pt idx="26">
                  <c:v>339.9948402023544</c:v>
                </c:pt>
                <c:pt idx="27">
                  <c:v>350.0004417709801</c:v>
                </c:pt>
                <c:pt idx="28">
                  <c:v>357.70402671917742</c:v>
                </c:pt>
                <c:pt idx="29">
                  <c:v>365.3365965366807</c:v>
                </c:pt>
                <c:pt idx="30">
                  <c:v>372.88887018458962</c:v>
                </c:pt>
                <c:pt idx="31">
                  <c:v>380.35181502856921</c:v>
                </c:pt>
                <c:pt idx="32">
                  <c:v>388.60128982219817</c:v>
                </c:pt>
                <c:pt idx="33">
                  <c:v>398.92967161385735</c:v>
                </c:pt>
                <c:pt idx="34">
                  <c:v>409.47188909622196</c:v>
                </c:pt>
                <c:pt idx="35">
                  <c:v>420.18413672872134</c:v>
                </c:pt>
                <c:pt idx="36">
                  <c:v>430.96813360470469</c:v>
                </c:pt>
                <c:pt idx="37">
                  <c:v>441.7005173665828</c:v>
                </c:pt>
                <c:pt idx="38">
                  <c:v>452.39002741912253</c:v>
                </c:pt>
                <c:pt idx="39">
                  <c:v>462.94212885554771</c:v>
                </c:pt>
                <c:pt idx="40">
                  <c:v>473.25074299126754</c:v>
                </c:pt>
                <c:pt idx="41">
                  <c:v>482.41117123604869</c:v>
                </c:pt>
                <c:pt idx="42">
                  <c:v>487.14019343367607</c:v>
                </c:pt>
                <c:pt idx="43">
                  <c:v>491.63637864278189</c:v>
                </c:pt>
                <c:pt idx="44">
                  <c:v>495.81576205925961</c:v>
                </c:pt>
                <c:pt idx="45">
                  <c:v>499.58436823562369</c:v>
                </c:pt>
                <c:pt idx="46">
                  <c:v>501.23485437240481</c:v>
                </c:pt>
                <c:pt idx="47">
                  <c:v>501.6767807635137</c:v>
                </c:pt>
                <c:pt idx="48">
                  <c:v>501.90659509495811</c:v>
                </c:pt>
                <c:pt idx="49">
                  <c:v>501.91297690097173</c:v>
                </c:pt>
                <c:pt idx="50">
                  <c:v>501.68494059487688</c:v>
                </c:pt>
                <c:pt idx="51">
                  <c:v>501.21183088731976</c:v>
                </c:pt>
                <c:pt idx="52">
                  <c:v>500.48331616870132</c:v>
                </c:pt>
                <c:pt idx="53">
                  <c:v>499.48938011014769</c:v>
                </c:pt>
                <c:pt idx="54">
                  <c:v>498.22031171775814</c:v>
                </c:pt>
                <c:pt idx="55">
                  <c:v>496.66669405394981</c:v>
                </c:pt>
                <c:pt idx="56">
                  <c:v>494.42010156910516</c:v>
                </c:pt>
                <c:pt idx="57">
                  <c:v>492.20962553316883</c:v>
                </c:pt>
                <c:pt idx="58">
                  <c:v>489.68631686355081</c:v>
                </c:pt>
                <c:pt idx="59">
                  <c:v>486.84184695685059</c:v>
                </c:pt>
                <c:pt idx="60">
                  <c:v>483.66810771644583</c:v>
                </c:pt>
                <c:pt idx="61">
                  <c:v>480.15719545316637</c:v>
                </c:pt>
                <c:pt idx="62">
                  <c:v>476.30139435546062</c:v>
                </c:pt>
                <c:pt idx="63">
                  <c:v>472.09315957095032</c:v>
                </c:pt>
                <c:pt idx="64">
                  <c:v>467.52509992328777</c:v>
                </c:pt>
                <c:pt idx="65">
                  <c:v>462.58996027015019</c:v>
                </c:pt>
                <c:pt idx="66">
                  <c:v>457.09810145959858</c:v>
                </c:pt>
                <c:pt idx="67">
                  <c:v>451.02523881533108</c:v>
                </c:pt>
                <c:pt idx="68">
                  <c:v>444.55780748594759</c:v>
                </c:pt>
                <c:pt idx="69">
                  <c:v>437.6886523696399</c:v>
                </c:pt>
                <c:pt idx="70">
                  <c:v>430.41066059266984</c:v>
                </c:pt>
                <c:pt idx="71">
                  <c:v>422.71673740234291</c:v>
                </c:pt>
                <c:pt idx="72">
                  <c:v>414.59978110262119</c:v>
                </c:pt>
                <c:pt idx="73">
                  <c:v>406.05265680143549</c:v>
                </c:pt>
                <c:pt idx="74">
                  <c:v>397.06816869409579</c:v>
                </c:pt>
                <c:pt idx="75">
                  <c:v>387.63903055409992</c:v>
                </c:pt>
                <c:pt idx="76">
                  <c:v>377.75783403455796</c:v>
                </c:pt>
                <c:pt idx="77">
                  <c:v>367.41701430107452</c:v>
                </c:pt>
                <c:pt idx="78">
                  <c:v>356.60881241594603</c:v>
                </c:pt>
                <c:pt idx="79">
                  <c:v>345.32523375887308</c:v>
                </c:pt>
                <c:pt idx="80">
                  <c:v>333.55800161015526</c:v>
                </c:pt>
                <c:pt idx="81">
                  <c:v>321.29850480163537</c:v>
                </c:pt>
                <c:pt idx="82">
                  <c:v>308.53773807112185</c:v>
                </c:pt>
                <c:pt idx="83">
                  <c:v>295.26623339052145</c:v>
                </c:pt>
                <c:pt idx="84">
                  <c:v>281.45580455499157</c:v>
                </c:pt>
                <c:pt idx="85">
                  <c:v>267.02615903724836</c:v>
                </c:pt>
                <c:pt idx="86">
                  <c:v>252.05137777527426</c:v>
                </c:pt>
                <c:pt idx="87">
                  <c:v>236.5189907011422</c:v>
                </c:pt>
                <c:pt idx="88">
                  <c:v>220.41544647436447</c:v>
                </c:pt>
                <c:pt idx="89">
                  <c:v>203.72590507666393</c:v>
                </c:pt>
                <c:pt idx="90">
                  <c:v>186.43398254696623</c:v>
                </c:pt>
                <c:pt idx="91">
                  <c:v>168.52143833850366</c:v>
                </c:pt>
                <c:pt idx="92">
                  <c:v>149.96780315921322</c:v>
                </c:pt>
                <c:pt idx="93">
                  <c:v>130.77259461148788</c:v>
                </c:pt>
                <c:pt idx="94">
                  <c:v>110.79510686746752</c:v>
                </c:pt>
                <c:pt idx="95">
                  <c:v>90.096380455789244</c:v>
                </c:pt>
                <c:pt idx="96">
                  <c:v>68.652252337011689</c:v>
                </c:pt>
                <c:pt idx="97">
                  <c:v>46.491671798455876</c:v>
                </c:pt>
                <c:pt idx="98">
                  <c:v>28.630720008692027</c:v>
                </c:pt>
                <c:pt idx="99">
                  <c:v>16.476144992213257</c:v>
                </c:pt>
                <c:pt idx="100">
                  <c:v>1.1778846057746744E-2</c:v>
                </c:pt>
              </c:numCache>
            </c:numRef>
          </c:xVal>
          <c:yVal>
            <c:numRef>
              <c:f>circle_section!$AZ$2:$AZ$102</c:f>
              <c:numCache>
                <c:formatCode>General</c:formatCode>
                <c:ptCount val="101"/>
                <c:pt idx="0">
                  <c:v>-287.98888888888888</c:v>
                </c:pt>
                <c:pt idx="1">
                  <c:v>-269.29060491557755</c:v>
                </c:pt>
                <c:pt idx="2">
                  <c:v>-250.59232094226621</c:v>
                </c:pt>
                <c:pt idx="3">
                  <c:v>-231.89403696895488</c:v>
                </c:pt>
                <c:pt idx="4">
                  <c:v>-213.19575299564355</c:v>
                </c:pt>
                <c:pt idx="5">
                  <c:v>-194.49746902233221</c:v>
                </c:pt>
                <c:pt idx="6">
                  <c:v>-175.79918504902088</c:v>
                </c:pt>
                <c:pt idx="7">
                  <c:v>-157.10090107570954</c:v>
                </c:pt>
                <c:pt idx="8">
                  <c:v>-138.40261710239821</c:v>
                </c:pt>
                <c:pt idx="9">
                  <c:v>-119.70433312908688</c:v>
                </c:pt>
                <c:pt idx="10">
                  <c:v>-101.00604915577554</c:v>
                </c:pt>
                <c:pt idx="11">
                  <c:v>-82.307765182464209</c:v>
                </c:pt>
                <c:pt idx="12">
                  <c:v>-63.609481209152882</c:v>
                </c:pt>
                <c:pt idx="13">
                  <c:v>-44.911197235841549</c:v>
                </c:pt>
                <c:pt idx="14">
                  <c:v>-26.212913262530218</c:v>
                </c:pt>
                <c:pt idx="15">
                  <c:v>-7.5146292892188882</c:v>
                </c:pt>
                <c:pt idx="16">
                  <c:v>11.183654684092442</c:v>
                </c:pt>
                <c:pt idx="17">
                  <c:v>29.881938657403772</c:v>
                </c:pt>
                <c:pt idx="18">
                  <c:v>48.580222630715106</c:v>
                </c:pt>
                <c:pt idx="19">
                  <c:v>67.278506604026433</c:v>
                </c:pt>
                <c:pt idx="20">
                  <c:v>85.976790577337766</c:v>
                </c:pt>
                <c:pt idx="21">
                  <c:v>104.6750745506491</c:v>
                </c:pt>
                <c:pt idx="22">
                  <c:v>123.37335852396043</c:v>
                </c:pt>
                <c:pt idx="23">
                  <c:v>142.07164249727177</c:v>
                </c:pt>
                <c:pt idx="24">
                  <c:v>160.7699264705831</c:v>
                </c:pt>
                <c:pt idx="25">
                  <c:v>179.46821044389444</c:v>
                </c:pt>
                <c:pt idx="26">
                  <c:v>198.16649441720574</c:v>
                </c:pt>
                <c:pt idx="27">
                  <c:v>216.86477839051707</c:v>
                </c:pt>
                <c:pt idx="28">
                  <c:v>235.56306236382841</c:v>
                </c:pt>
                <c:pt idx="29">
                  <c:v>254.26134633713974</c:v>
                </c:pt>
                <c:pt idx="30">
                  <c:v>272.95963031045108</c:v>
                </c:pt>
                <c:pt idx="31">
                  <c:v>291.65791428376241</c:v>
                </c:pt>
                <c:pt idx="32">
                  <c:v>312.62004166931678</c:v>
                </c:pt>
                <c:pt idx="33">
                  <c:v>339.36729636346155</c:v>
                </c:pt>
                <c:pt idx="34">
                  <c:v>367.34402493864394</c:v>
                </c:pt>
                <c:pt idx="35">
                  <c:v>396.60096968579097</c:v>
                </c:pt>
                <c:pt idx="36">
                  <c:v>427.27695852344908</c:v>
                </c:pt>
                <c:pt idx="37">
                  <c:v>459.5363488506697</c:v>
                </c:pt>
                <c:pt idx="38">
                  <c:v>493.22387927155626</c:v>
                </c:pt>
                <c:pt idx="39">
                  <c:v>528.36485498353068</c:v>
                </c:pt>
                <c:pt idx="40">
                  <c:v>564.97722126328642</c:v>
                </c:pt>
                <c:pt idx="41">
                  <c:v>602.5363750644882</c:v>
                </c:pt>
                <c:pt idx="42">
                  <c:v>638.65055768035529</c:v>
                </c:pt>
                <c:pt idx="43">
                  <c:v>676.07543417727754</c:v>
                </c:pt>
                <c:pt idx="44">
                  <c:v>714.83888331772209</c:v>
                </c:pt>
                <c:pt idx="45">
                  <c:v>754.96470578548053</c:v>
                </c:pt>
                <c:pt idx="46">
                  <c:v>792.18300999244423</c:v>
                </c:pt>
                <c:pt idx="47">
                  <c:v>818.07294164779842</c:v>
                </c:pt>
                <c:pt idx="48">
                  <c:v>843.96287330315261</c:v>
                </c:pt>
                <c:pt idx="49">
                  <c:v>869.85280495850679</c:v>
                </c:pt>
                <c:pt idx="50">
                  <c:v>895.74273661386098</c:v>
                </c:pt>
                <c:pt idx="51">
                  <c:v>921.63266826921517</c:v>
                </c:pt>
                <c:pt idx="52">
                  <c:v>947.52259992456936</c:v>
                </c:pt>
                <c:pt idx="53">
                  <c:v>973.41253157992355</c:v>
                </c:pt>
                <c:pt idx="54">
                  <c:v>999.30246323527786</c:v>
                </c:pt>
                <c:pt idx="55">
                  <c:v>1025.1923948906319</c:v>
                </c:pt>
                <c:pt idx="56">
                  <c:v>1051.0823265459862</c:v>
                </c:pt>
                <c:pt idx="57">
                  <c:v>1076.9722582013403</c:v>
                </c:pt>
                <c:pt idx="58">
                  <c:v>1102.8621898566946</c:v>
                </c:pt>
                <c:pt idx="59">
                  <c:v>1128.7521215120487</c:v>
                </c:pt>
                <c:pt idx="60">
                  <c:v>1154.642053167403</c:v>
                </c:pt>
                <c:pt idx="61">
                  <c:v>1180.5319848227573</c:v>
                </c:pt>
                <c:pt idx="62">
                  <c:v>1206.4219164781114</c:v>
                </c:pt>
                <c:pt idx="63">
                  <c:v>1232.3118481334657</c:v>
                </c:pt>
                <c:pt idx="64">
                  <c:v>1258.2017797888197</c:v>
                </c:pt>
                <c:pt idx="65">
                  <c:v>1284.0917114441741</c:v>
                </c:pt>
                <c:pt idx="66">
                  <c:v>1309.9816430995281</c:v>
                </c:pt>
                <c:pt idx="67">
                  <c:v>1335.8715747548824</c:v>
                </c:pt>
                <c:pt idx="68">
                  <c:v>1361.7615064102365</c:v>
                </c:pt>
                <c:pt idx="69">
                  <c:v>1387.6514380655908</c:v>
                </c:pt>
                <c:pt idx="70">
                  <c:v>1413.5413697209449</c:v>
                </c:pt>
                <c:pt idx="71">
                  <c:v>1439.4313013762992</c:v>
                </c:pt>
                <c:pt idx="72">
                  <c:v>1465.3212330316533</c:v>
                </c:pt>
                <c:pt idx="73">
                  <c:v>1491.2111646870076</c:v>
                </c:pt>
                <c:pt idx="74">
                  <c:v>1517.1010963423616</c:v>
                </c:pt>
                <c:pt idx="75">
                  <c:v>1542.9910279977159</c:v>
                </c:pt>
                <c:pt idx="76">
                  <c:v>1568.8809596530702</c:v>
                </c:pt>
                <c:pt idx="77">
                  <c:v>1594.7708913084243</c:v>
                </c:pt>
                <c:pt idx="78">
                  <c:v>1620.6608229637784</c:v>
                </c:pt>
                <c:pt idx="79">
                  <c:v>1646.5507546191325</c:v>
                </c:pt>
                <c:pt idx="80">
                  <c:v>1672.4406862744863</c:v>
                </c:pt>
                <c:pt idx="81">
                  <c:v>1698.3306179298404</c:v>
                </c:pt>
                <c:pt idx="82">
                  <c:v>1724.2205495851945</c:v>
                </c:pt>
                <c:pt idx="83">
                  <c:v>1750.1104812405486</c:v>
                </c:pt>
                <c:pt idx="84">
                  <c:v>1776.0004128959024</c:v>
                </c:pt>
                <c:pt idx="85">
                  <c:v>1801.8903445512565</c:v>
                </c:pt>
                <c:pt idx="86">
                  <c:v>1827.7802762066106</c:v>
                </c:pt>
                <c:pt idx="87">
                  <c:v>1853.6702078619646</c:v>
                </c:pt>
                <c:pt idx="88">
                  <c:v>1879.5601395173185</c:v>
                </c:pt>
                <c:pt idx="89">
                  <c:v>1905.4500711726726</c:v>
                </c:pt>
                <c:pt idx="90">
                  <c:v>1931.3400028280266</c:v>
                </c:pt>
                <c:pt idx="91">
                  <c:v>1957.2299344833807</c:v>
                </c:pt>
                <c:pt idx="92">
                  <c:v>1983.1198661387348</c:v>
                </c:pt>
                <c:pt idx="93">
                  <c:v>2009.0097977940886</c:v>
                </c:pt>
                <c:pt idx="94">
                  <c:v>2034.8997294494427</c:v>
                </c:pt>
                <c:pt idx="95">
                  <c:v>2060.7896611047968</c:v>
                </c:pt>
                <c:pt idx="96">
                  <c:v>2086.6795927601506</c:v>
                </c:pt>
                <c:pt idx="97">
                  <c:v>2112.5695244155049</c:v>
                </c:pt>
                <c:pt idx="98">
                  <c:v>2138.4594560708588</c:v>
                </c:pt>
                <c:pt idx="99">
                  <c:v>2164.3493877262126</c:v>
                </c:pt>
                <c:pt idx="100">
                  <c:v>2190.2393193815669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70-4EB6-B91F-05D92218C15F}"/>
            </c:ext>
          </c:extLst>
        </c:ser>
        <c:ser>
          <c:idx val="2"/>
          <c:order val="2"/>
          <c:tx>
            <c:v>User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19050">
                <a:solidFill>
                  <a:srgbClr val="7030A0"/>
                </a:solidFill>
              </a:ln>
              <a:effectLst/>
            </c:spPr>
          </c:marker>
          <c:xVal>
            <c:numRef>
              <c:f>circle_section!$J$13</c:f>
              <c:numCache>
                <c:formatCode>0.000</c:formatCode>
                <c:ptCount val="1"/>
                <c:pt idx="0">
                  <c:v>141.42135623730951</c:v>
                </c:pt>
              </c:numCache>
            </c:numRef>
          </c:xVal>
          <c:yVal>
            <c:numRef>
              <c:f>circle_section!$J$9</c:f>
              <c:numCache>
                <c:formatCode>0.000</c:formatCode>
                <c:ptCount val="1"/>
                <c:pt idx="0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70-4EB6-B91F-05D92218C15F}"/>
            </c:ext>
          </c:extLst>
        </c:ser>
        <c:ser>
          <c:idx val="3"/>
          <c:order val="3"/>
          <c:tx>
            <c:v>Result</c:v>
          </c:tx>
          <c:spPr>
            <a:ln w="25400" cap="rnd">
              <a:noFill/>
              <a:round/>
            </a:ln>
            <a:effectLst/>
          </c:spPr>
          <c:marker>
            <c:symbol val="x"/>
            <c:size val="8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circle_section!$J$7</c:f>
              <c:numCache>
                <c:formatCode>0.000</c:formatCode>
                <c:ptCount val="1"/>
                <c:pt idx="0">
                  <c:v>316.99294710295209</c:v>
                </c:pt>
              </c:numCache>
            </c:numRef>
          </c:xVal>
          <c:yVal>
            <c:numRef>
              <c:f>circle_section!$J$3</c:f>
              <c:numCache>
                <c:formatCode>0.000</c:formatCode>
                <c:ptCount val="1"/>
                <c:pt idx="0">
                  <c:v>199.99999999991775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70-4EB6-B91F-05D92218C15F}"/>
            </c:ext>
          </c:extLst>
        </c:ser>
        <c:ser>
          <c:idx val="4"/>
          <c:order val="4"/>
          <c:tx>
            <c:v>min_e_line</c:v>
          </c:tx>
          <c:spPr>
            <a:ln w="9525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circle_section!$AY$104:$AY$105</c:f>
              <c:numCache>
                <c:formatCode>General</c:formatCode>
                <c:ptCount val="2"/>
                <c:pt idx="0">
                  <c:v>0</c:v>
                </c:pt>
                <c:pt idx="1">
                  <c:v>191.21087355340566</c:v>
                </c:pt>
              </c:numCache>
            </c:numRef>
          </c:xVal>
          <c:yVal>
            <c:numRef>
              <c:f>circle_section!$AV$104:$AV$105</c:f>
              <c:numCache>
                <c:formatCode>General</c:formatCode>
                <c:ptCount val="2"/>
                <c:pt idx="0">
                  <c:v>1138.9324460784158</c:v>
                </c:pt>
                <c:pt idx="1">
                  <c:v>1138.9324460784158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08-4F59-AE7D-D042CB7766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531167"/>
        <c:axId val="1388578719"/>
      </c:scatterChart>
      <c:valAx>
        <c:axId val="11705311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578719"/>
        <c:crosses val="autoZero"/>
        <c:crossBetween val="midCat"/>
      </c:valAx>
      <c:valAx>
        <c:axId val="1388578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05311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8AE43E7-1050-46C2-A0D8-7D55B6783A61}">
  <sheetPr codeName="Chart1"/>
  <sheetViews>
    <sheetView zoomScale="123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333375</xdr:colOff>
      <xdr:row>0</xdr:row>
      <xdr:rowOff>66675</xdr:rowOff>
    </xdr:from>
    <xdr:to>
      <xdr:col>23</xdr:col>
      <xdr:colOff>333375</xdr:colOff>
      <xdr:row>28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4</xdr:row>
          <xdr:rowOff>38100</xdr:rowOff>
        </xdr:from>
        <xdr:to>
          <xdr:col>6</xdr:col>
          <xdr:colOff>581025</xdr:colOff>
          <xdr:row>6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Bisection Method to solve for Neutral Axis Angle and depth</a:t>
              </a:r>
            </a:p>
          </xdr:txBody>
        </xdr:sp>
        <xdr:clientData fPrintsWithSheet="0"/>
      </xdr:twoCellAnchor>
    </mc:Choice>
    <mc:Fallback/>
  </mc:AlternateContent>
  <xdr:twoCellAnchor>
    <xdr:from>
      <xdr:col>24</xdr:col>
      <xdr:colOff>323850</xdr:colOff>
      <xdr:row>3</xdr:row>
      <xdr:rowOff>38100</xdr:rowOff>
    </xdr:from>
    <xdr:to>
      <xdr:col>33</xdr:col>
      <xdr:colOff>209550</xdr:colOff>
      <xdr:row>31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142875</xdr:colOff>
          <xdr:row>0</xdr:row>
          <xdr:rowOff>85725</xdr:rowOff>
        </xdr:from>
        <xdr:to>
          <xdr:col>30</xdr:col>
          <xdr:colOff>533400</xdr:colOff>
          <xdr:row>2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Mx vs 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123825</xdr:colOff>
          <xdr:row>0</xdr:row>
          <xdr:rowOff>85725</xdr:rowOff>
        </xdr:from>
        <xdr:to>
          <xdr:col>33</xdr:col>
          <xdr:colOff>514350</xdr:colOff>
          <xdr:row>2</xdr:row>
          <xdr:rowOff>114300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P v M Curve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(Long Run Time)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3171" cy="62957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B8680-CE7C-4E32-80BC-C61CEBC228BE}">
  <sheetPr codeName="Sheet1"/>
  <dimension ref="A1:BC363"/>
  <sheetViews>
    <sheetView tabSelected="1" workbookViewId="0">
      <selection activeCell="D7" sqref="D7"/>
    </sheetView>
  </sheetViews>
  <sheetFormatPr defaultRowHeight="15" x14ac:dyDescent="0.25"/>
  <cols>
    <col min="1" max="1" width="12" bestFit="1" customWidth="1"/>
    <col min="2" max="2" width="14.140625" customWidth="1"/>
    <col min="5" max="5" width="15.42578125" customWidth="1"/>
    <col min="6" max="6" width="11.7109375" customWidth="1"/>
    <col min="7" max="7" width="12.28515625" customWidth="1"/>
    <col min="9" max="9" width="13.28515625" bestFit="1" customWidth="1"/>
    <col min="10" max="10" width="12" bestFit="1" customWidth="1"/>
    <col min="12" max="12" width="11" customWidth="1"/>
    <col min="13" max="13" width="13.42578125" bestFit="1" customWidth="1"/>
    <col min="15" max="15" width="12.5703125" bestFit="1" customWidth="1"/>
    <col min="26" max="26" width="10.85546875" bestFit="1" customWidth="1"/>
  </cols>
  <sheetData>
    <row r="1" spans="1:55" ht="15.75" thickBot="1" x14ac:dyDescent="0.3">
      <c r="E1" s="2" t="s">
        <v>70</v>
      </c>
      <c r="F1" s="34">
        <v>1E-10</v>
      </c>
      <c r="L1" s="1">
        <v>1</v>
      </c>
      <c r="Z1" s="2" t="s">
        <v>83</v>
      </c>
      <c r="AA1" s="1">
        <v>2.4500000000000002</v>
      </c>
      <c r="AB1" t="s">
        <v>84</v>
      </c>
      <c r="AI1">
        <v>200</v>
      </c>
      <c r="AJ1" t="s">
        <v>82</v>
      </c>
      <c r="AK1" s="1" t="s">
        <v>56</v>
      </c>
      <c r="AL1" s="1" t="s">
        <v>57</v>
      </c>
      <c r="AM1" s="1" t="s">
        <v>80</v>
      </c>
      <c r="AN1" s="1" t="s">
        <v>81</v>
      </c>
      <c r="AR1" t="s">
        <v>13</v>
      </c>
      <c r="AS1" t="s">
        <v>14</v>
      </c>
      <c r="AV1" s="1" t="s">
        <v>21</v>
      </c>
      <c r="AW1" s="1" t="s">
        <v>56</v>
      </c>
      <c r="AX1" s="1" t="s">
        <v>57</v>
      </c>
      <c r="AY1" s="1" t="s">
        <v>137</v>
      </c>
      <c r="AZ1" s="1" t="s">
        <v>139</v>
      </c>
      <c r="BA1" s="1" t="s">
        <v>135</v>
      </c>
      <c r="BB1" s="1" t="s">
        <v>136</v>
      </c>
      <c r="BC1" s="1" t="s">
        <v>138</v>
      </c>
    </row>
    <row r="2" spans="1:55" x14ac:dyDescent="0.25">
      <c r="A2" t="s">
        <v>129</v>
      </c>
      <c r="B2" s="5" t="s">
        <v>141</v>
      </c>
      <c r="E2" s="2" t="s">
        <v>71</v>
      </c>
      <c r="F2" s="8">
        <v>75</v>
      </c>
      <c r="G2">
        <v>137</v>
      </c>
      <c r="H2">
        <v>2</v>
      </c>
      <c r="I2" s="16" t="s">
        <v>61</v>
      </c>
      <c r="J2" s="17">
        <f ca="1">IF(ABS(L109)&lt;0.002,0.65,IF(ABS(L109)&gt;0.005,0.9,0.65+((ABS(L109)-0.002)*(250/3))))</f>
        <v>0.9</v>
      </c>
      <c r="K2" s="18"/>
      <c r="L2" s="19" t="s">
        <v>62</v>
      </c>
      <c r="Z2" t="s">
        <v>79</v>
      </c>
      <c r="AA2" s="5">
        <v>36</v>
      </c>
      <c r="AJ2">
        <v>0</v>
      </c>
      <c r="AK2">
        <v>316.99294710295209</v>
      </c>
      <c r="AL2">
        <v>3.4372504842394843E-14</v>
      </c>
      <c r="AM2">
        <v>352.21438566994675</v>
      </c>
      <c r="AN2">
        <v>3.8191672047105379E-14</v>
      </c>
      <c r="AQ2">
        <v>0</v>
      </c>
      <c r="AR2">
        <f>$B$3*COS(RADIANS(AQ2))</f>
        <v>12</v>
      </c>
      <c r="AS2">
        <f>$B$3*SIN(RADIANS(AQ2))</f>
        <v>0</v>
      </c>
      <c r="AV2">
        <v>-259.19</v>
      </c>
      <c r="AW2">
        <v>7.0691476462826286E-3</v>
      </c>
      <c r="AX2">
        <v>7.0691476462675547E-3</v>
      </c>
      <c r="AY2">
        <f>SQRT(POWER(AW2,2)+POWER(AX2,2))</f>
        <v>9.9972844757800772E-3</v>
      </c>
      <c r="AZ2">
        <v>-287.98888888888888</v>
      </c>
      <c r="BA2">
        <v>7.8546084958695875E-3</v>
      </c>
      <c r="BB2">
        <v>7.8546084958528387E-3</v>
      </c>
      <c r="BC2">
        <f>SQRT(POWER(BA2,2)+POWER(BB2,2))</f>
        <v>1.1108093861977864E-2</v>
      </c>
    </row>
    <row r="3" spans="1:55" x14ac:dyDescent="0.25">
      <c r="A3" s="2" t="s">
        <v>12</v>
      </c>
      <c r="B3" s="8">
        <v>12</v>
      </c>
      <c r="C3" t="s">
        <v>0</v>
      </c>
      <c r="E3" s="2" t="s">
        <v>87</v>
      </c>
      <c r="F3" s="8">
        <v>0</v>
      </c>
      <c r="I3" s="20" t="s">
        <v>63</v>
      </c>
      <c r="J3" s="7">
        <f ca="1">J2*IF(B2="Whitney",B112,L153)</f>
        <v>199.99999999991775</v>
      </c>
      <c r="K3" s="21" t="s">
        <v>22</v>
      </c>
      <c r="L3" s="22">
        <f ca="1">J3-J9</f>
        <v>-8.2252427091589198E-11</v>
      </c>
      <c r="AJ3">
        <v>0.17453292519943295</v>
      </c>
      <c r="AK3">
        <v>308.41209895398515</v>
      </c>
      <c r="AL3">
        <v>55.354114471439594</v>
      </c>
      <c r="AM3">
        <v>342.68010994887237</v>
      </c>
      <c r="AN3">
        <v>61.50457163493288</v>
      </c>
      <c r="AQ3">
        <v>1</v>
      </c>
      <c r="AR3">
        <f t="shared" ref="AR3:AR66" si="0">$B$3*COS(RADIANS(AQ3))</f>
        <v>11.998172341876696</v>
      </c>
      <c r="AS3">
        <f t="shared" ref="AS3:AS66" si="1">$B$3*SIN(RADIANS(AQ3))</f>
        <v>0.20942887724740214</v>
      </c>
      <c r="AV3">
        <v>-242.3615444240198</v>
      </c>
      <c r="AW3">
        <v>11.446835319914157</v>
      </c>
      <c r="AX3">
        <v>11.446835319914166</v>
      </c>
      <c r="AY3">
        <f t="shared" ref="AY3:AY66" si="2">SQRT(POWER(AW3,2)+POWER(AX3,2))</f>
        <v>16.188269755673971</v>
      </c>
      <c r="AZ3">
        <v>-269.29060491557755</v>
      </c>
      <c r="BA3">
        <v>12.71870591101573</v>
      </c>
      <c r="BB3">
        <v>12.718705911015739</v>
      </c>
      <c r="BC3">
        <f t="shared" ref="BC3:BC66" si="3">SQRT(POWER(BA3,2)+POWER(BB3,2))</f>
        <v>17.986966395193303</v>
      </c>
    </row>
    <row r="4" spans="1:55" x14ac:dyDescent="0.25">
      <c r="A4" s="2" t="s">
        <v>5</v>
      </c>
      <c r="B4" s="5" t="s">
        <v>142</v>
      </c>
      <c r="I4" s="20" t="s">
        <v>64</v>
      </c>
      <c r="J4" s="7">
        <f ca="1">J2*IF(B2="Whitney",(B116/12),(O153/12))</f>
        <v>224.14786248480596</v>
      </c>
      <c r="K4" s="21" t="s">
        <v>65</v>
      </c>
      <c r="L4" s="23" t="str">
        <f>IF(J10=0,J4,"")</f>
        <v/>
      </c>
      <c r="AJ4">
        <v>0.3490658503988659</v>
      </c>
      <c r="AK4">
        <v>292.55784231926145</v>
      </c>
      <c r="AL4">
        <v>106.73316062058177</v>
      </c>
      <c r="AM4">
        <v>325.06426924362381</v>
      </c>
      <c r="AN4">
        <v>118.5924006895353</v>
      </c>
      <c r="AQ4">
        <v>2</v>
      </c>
      <c r="AR4">
        <f t="shared" si="0"/>
        <v>11.992689924229149</v>
      </c>
      <c r="AS4">
        <f t="shared" si="1"/>
        <v>0.4187939604300116</v>
      </c>
      <c r="AV4">
        <v>-225.5330888480396</v>
      </c>
      <c r="AW4">
        <v>22.343139708177578</v>
      </c>
      <c r="AX4">
        <v>22.343139708177556</v>
      </c>
      <c r="AY4">
        <f t="shared" si="2"/>
        <v>31.597971201301554</v>
      </c>
      <c r="AZ4">
        <v>-250.59232094226621</v>
      </c>
      <c r="BA4">
        <v>24.825710786863976</v>
      </c>
      <c r="BB4">
        <v>24.825710786863951</v>
      </c>
      <c r="BC4">
        <f t="shared" si="3"/>
        <v>35.108856890335062</v>
      </c>
    </row>
    <row r="5" spans="1:55" x14ac:dyDescent="0.25">
      <c r="A5" s="2" t="s">
        <v>1</v>
      </c>
      <c r="B5" s="3">
        <v>5</v>
      </c>
      <c r="C5" t="s">
        <v>2</v>
      </c>
      <c r="I5" s="20" t="s">
        <v>66</v>
      </c>
      <c r="J5" s="7">
        <f ca="1">J2*IF(B2="Whitney",(B117/12),(R153/12))</f>
        <v>224.14786248480601</v>
      </c>
      <c r="K5" s="21" t="s">
        <v>65</v>
      </c>
      <c r="L5" s="23" t="str">
        <f>IF(J11=0,J5,"")</f>
        <v/>
      </c>
      <c r="AJ5">
        <v>0.52359877559829882</v>
      </c>
      <c r="AK5">
        <v>270.5907353527212</v>
      </c>
      <c r="AL5">
        <v>155.46085168745711</v>
      </c>
      <c r="AM5">
        <v>300.65637261413468</v>
      </c>
      <c r="AN5">
        <v>172.73427965273012</v>
      </c>
      <c r="AQ5">
        <v>3</v>
      </c>
      <c r="AR5">
        <f t="shared" si="0"/>
        <v>11.983554417054886</v>
      </c>
      <c r="AS5">
        <f t="shared" si="1"/>
        <v>0.62803147491532596</v>
      </c>
      <c r="AV5">
        <v>-208.7046332720594</v>
      </c>
      <c r="AW5">
        <v>32.291338653121699</v>
      </c>
      <c r="AX5">
        <v>32.291338653121713</v>
      </c>
      <c r="AY5">
        <f t="shared" si="2"/>
        <v>45.666849070427268</v>
      </c>
      <c r="AZ5">
        <v>-231.89403696895488</v>
      </c>
      <c r="BA5">
        <v>35.87926517013522</v>
      </c>
      <c r="BB5">
        <v>35.879265170135234</v>
      </c>
      <c r="BC5">
        <f t="shared" si="3"/>
        <v>50.740943411585853</v>
      </c>
    </row>
    <row r="6" spans="1:55" ht="15.75" thickBot="1" x14ac:dyDescent="0.3">
      <c r="A6" s="2" t="s">
        <v>3</v>
      </c>
      <c r="B6" s="4">
        <f>IF(B4="Density",(POWER(145,1.5)*33*SQRT(1000*B5))/1000,(57000*SQRT(1000*B5))/1000)</f>
        <v>4030.5086527633212</v>
      </c>
      <c r="C6" t="s">
        <v>2</v>
      </c>
      <c r="I6" s="24" t="s">
        <v>67</v>
      </c>
      <c r="J6" s="25">
        <f ca="1">IF(AND(J4=0,J5=0),0,MOD(ATAN2(J4,J5),2*PI()))</f>
        <v>0.78539816339744839</v>
      </c>
      <c r="K6" s="26" t="s">
        <v>17</v>
      </c>
      <c r="L6" s="27">
        <f ca="1">IF((J12-J6)=0,0,ATAN2(COS(J12-J6),SIN(J12-J6)))</f>
        <v>-1.1102230246251565E-16</v>
      </c>
      <c r="AJ6">
        <v>0.69813170079773179</v>
      </c>
      <c r="AK6">
        <v>242.10860476646758</v>
      </c>
      <c r="AL6">
        <v>201.78814807666853</v>
      </c>
      <c r="AM6">
        <v>269.00956085163062</v>
      </c>
      <c r="AN6">
        <v>224.2090534185206</v>
      </c>
      <c r="AQ6">
        <v>4</v>
      </c>
      <c r="AR6">
        <f t="shared" si="0"/>
        <v>11.970768603117889</v>
      </c>
      <c r="AS6">
        <f t="shared" si="1"/>
        <v>0.83707768492950363</v>
      </c>
      <c r="AV6">
        <v>-191.8761776960792</v>
      </c>
      <c r="AW6">
        <v>42.034083374523817</v>
      </c>
      <c r="AX6">
        <v>42.034083374523796</v>
      </c>
      <c r="AY6">
        <f t="shared" si="2"/>
        <v>59.445170790173002</v>
      </c>
      <c r="AZ6">
        <v>-213.19575299564355</v>
      </c>
      <c r="BA6">
        <v>46.704537082804244</v>
      </c>
      <c r="BB6">
        <v>46.704537082804215</v>
      </c>
      <c r="BC6">
        <f t="shared" si="3"/>
        <v>66.050189766858892</v>
      </c>
    </row>
    <row r="7" spans="1:55" ht="15.75" thickBot="1" x14ac:dyDescent="0.3">
      <c r="A7" s="2" t="s">
        <v>4</v>
      </c>
      <c r="B7" s="1">
        <f>IF(B5&lt;=4,0.85,IF(B5&lt;=8,0.85 - ((0.05*(B5-4))/1),0.65))</f>
        <v>0.79999999999999993</v>
      </c>
      <c r="I7" s="20" t="s">
        <v>68</v>
      </c>
      <c r="J7" s="7">
        <f ca="1">SQRT(POWER(J4,2)+POWER(J5,2))</f>
        <v>316.99294710295209</v>
      </c>
      <c r="K7" s="21" t="s">
        <v>65</v>
      </c>
      <c r="L7" s="28"/>
      <c r="AJ7">
        <v>0.87266462599716477</v>
      </c>
      <c r="AK7">
        <v>201.78814807666856</v>
      </c>
      <c r="AL7">
        <v>242.10860476646758</v>
      </c>
      <c r="AM7">
        <v>224.20905341852063</v>
      </c>
      <c r="AN7">
        <v>269.00956085163062</v>
      </c>
      <c r="AQ7">
        <v>5</v>
      </c>
      <c r="AR7">
        <f t="shared" si="0"/>
        <v>11.954336377100947</v>
      </c>
      <c r="AS7">
        <f t="shared" si="1"/>
        <v>1.0458689129718981</v>
      </c>
      <c r="AV7">
        <v>-175.047722120099</v>
      </c>
      <c r="AW7">
        <v>51.753778517127508</v>
      </c>
      <c r="AX7">
        <v>51.753778517127479</v>
      </c>
      <c r="AY7">
        <f t="shared" si="2"/>
        <v>73.190895482975023</v>
      </c>
      <c r="AZ7">
        <v>-194.49746902233221</v>
      </c>
      <c r="BA7">
        <v>57.504198352363893</v>
      </c>
      <c r="BB7">
        <v>57.504198352363865</v>
      </c>
      <c r="BC7">
        <f t="shared" si="3"/>
        <v>81.323217203305589</v>
      </c>
    </row>
    <row r="8" spans="1:55" x14ac:dyDescent="0.25">
      <c r="A8" s="2" t="s">
        <v>6</v>
      </c>
      <c r="B8" s="1">
        <f>0.85*B5</f>
        <v>4.25</v>
      </c>
      <c r="C8" t="s">
        <v>2</v>
      </c>
      <c r="I8" s="16" t="s">
        <v>69</v>
      </c>
      <c r="J8" s="29"/>
      <c r="K8" s="18"/>
      <c r="AJ8">
        <v>1.0471975511965976</v>
      </c>
      <c r="AK8">
        <v>155.46085168745722</v>
      </c>
      <c r="AL8">
        <v>270.5907353527212</v>
      </c>
      <c r="AM8">
        <v>172.73427965273024</v>
      </c>
      <c r="AN8">
        <v>300.65637261413468</v>
      </c>
      <c r="AQ8">
        <v>6</v>
      </c>
      <c r="AR8">
        <f t="shared" si="0"/>
        <v>11.934262744419279</v>
      </c>
      <c r="AS8">
        <f t="shared" si="1"/>
        <v>1.2543415592118417</v>
      </c>
      <c r="AV8">
        <v>-158.2192665441188</v>
      </c>
      <c r="AW8">
        <v>61.40766314735783</v>
      </c>
      <c r="AX8">
        <v>61.407663147357844</v>
      </c>
      <c r="AY8">
        <f t="shared" si="2"/>
        <v>86.843550056631955</v>
      </c>
      <c r="AZ8">
        <v>-175.79918504902088</v>
      </c>
      <c r="BA8">
        <v>68.230736830397589</v>
      </c>
      <c r="BB8">
        <v>68.230736830397603</v>
      </c>
      <c r="BC8">
        <f t="shared" si="3"/>
        <v>96.492833396257723</v>
      </c>
    </row>
    <row r="9" spans="1:55" x14ac:dyDescent="0.25">
      <c r="A9" s="2"/>
      <c r="I9" s="20" t="s">
        <v>21</v>
      </c>
      <c r="J9" s="30">
        <v>200</v>
      </c>
      <c r="K9" s="21" t="s">
        <v>22</v>
      </c>
      <c r="L9" s="28" t="str">
        <f>"+ Compression"</f>
        <v>+ Compression</v>
      </c>
      <c r="AJ9">
        <v>1.2217304763960306</v>
      </c>
      <c r="AK9">
        <v>106.73316062058176</v>
      </c>
      <c r="AL9">
        <v>292.5578423192614</v>
      </c>
      <c r="AM9">
        <v>118.59240068953528</v>
      </c>
      <c r="AN9">
        <v>325.06426924362376</v>
      </c>
      <c r="AQ9">
        <v>7</v>
      </c>
      <c r="AR9">
        <f t="shared" si="0"/>
        <v>11.910553819695863</v>
      </c>
      <c r="AS9">
        <f t="shared" si="1"/>
        <v>1.4624321208617697</v>
      </c>
      <c r="AV9">
        <v>-141.3908109681386</v>
      </c>
      <c r="AW9">
        <v>70.955735462960476</v>
      </c>
      <c r="AX9">
        <v>70.955735462960476</v>
      </c>
      <c r="AY9">
        <f t="shared" si="2"/>
        <v>100.34656341987629</v>
      </c>
      <c r="AZ9">
        <v>-157.10090107570954</v>
      </c>
      <c r="BA9">
        <v>78.83970606995608</v>
      </c>
      <c r="BB9">
        <v>78.83970606995608</v>
      </c>
      <c r="BC9">
        <f t="shared" si="3"/>
        <v>111.49618157764031</v>
      </c>
    </row>
    <row r="10" spans="1:55" x14ac:dyDescent="0.25">
      <c r="A10" s="2" t="s">
        <v>7</v>
      </c>
      <c r="B10" s="6">
        <v>0.78539816339744828</v>
      </c>
      <c r="C10" t="s">
        <v>8</v>
      </c>
      <c r="E10" t="s">
        <v>18</v>
      </c>
      <c r="F10" s="36">
        <f>B3-B11</f>
        <v>4.8348600962042267</v>
      </c>
      <c r="I10" s="20" t="s">
        <v>56</v>
      </c>
      <c r="J10" s="30">
        <v>100</v>
      </c>
      <c r="K10" s="21" t="s">
        <v>65</v>
      </c>
      <c r="L10" s="28" t="str">
        <f>"+ Puts Top of Section in Compression"</f>
        <v>+ Puts Top of Section in Compression</v>
      </c>
      <c r="AJ10">
        <v>1.3962634015954636</v>
      </c>
      <c r="AK10">
        <v>55.354114471439523</v>
      </c>
      <c r="AL10">
        <v>308.41209895398515</v>
      </c>
      <c r="AM10">
        <v>61.504571634932802</v>
      </c>
      <c r="AN10">
        <v>342.68010994887237</v>
      </c>
      <c r="AQ10">
        <v>8</v>
      </c>
      <c r="AR10">
        <f t="shared" si="0"/>
        <v>11.883216824898845</v>
      </c>
      <c r="AS10">
        <f t="shared" si="1"/>
        <v>1.6700772115207854</v>
      </c>
      <c r="AV10">
        <v>-124.56235539215839</v>
      </c>
      <c r="AW10">
        <v>80.364483974409282</v>
      </c>
      <c r="AX10">
        <v>80.364483974409268</v>
      </c>
      <c r="AY10">
        <f t="shared" si="2"/>
        <v>113.65254316972485</v>
      </c>
      <c r="AZ10">
        <v>-138.40261710239821</v>
      </c>
      <c r="BA10">
        <v>89.293871082676972</v>
      </c>
      <c r="BB10">
        <v>89.293871082676958</v>
      </c>
      <c r="BC10">
        <f t="shared" si="3"/>
        <v>126.28060352191649</v>
      </c>
    </row>
    <row r="11" spans="1:55" x14ac:dyDescent="0.25">
      <c r="A11" s="2" t="s">
        <v>9</v>
      </c>
      <c r="B11" s="6">
        <v>7.1651399037957733</v>
      </c>
      <c r="C11" t="s">
        <v>0</v>
      </c>
      <c r="E11" t="s">
        <v>77</v>
      </c>
      <c r="F11" s="9">
        <f>B3-B12</f>
        <v>6.2678880769633816</v>
      </c>
      <c r="G11" s="1"/>
      <c r="I11" s="20" t="s">
        <v>57</v>
      </c>
      <c r="J11" s="30">
        <v>100</v>
      </c>
      <c r="K11" s="21" t="s">
        <v>65</v>
      </c>
      <c r="L11" s="28" t="str">
        <f>"+ Puts Left of Section in Compression"</f>
        <v>+ Puts Left of Section in Compression</v>
      </c>
      <c r="AJ11">
        <v>1.5707963267948966</v>
      </c>
      <c r="AK11">
        <v>-2.164564630707455E-15</v>
      </c>
      <c r="AL11">
        <v>316.99294710295209</v>
      </c>
      <c r="AM11">
        <v>-2.4050718118971721E-15</v>
      </c>
      <c r="AN11">
        <v>352.21438566994675</v>
      </c>
      <c r="AQ11">
        <v>9</v>
      </c>
      <c r="AR11">
        <f t="shared" si="0"/>
        <v>11.852260087141653</v>
      </c>
      <c r="AS11">
        <f t="shared" si="1"/>
        <v>1.8772135804827705</v>
      </c>
      <c r="AV11">
        <v>-107.73389981617819</v>
      </c>
      <c r="AW11">
        <v>88.801291465083878</v>
      </c>
      <c r="AX11">
        <v>88.801291465083864</v>
      </c>
      <c r="AY11">
        <f t="shared" si="2"/>
        <v>125.58399074616779</v>
      </c>
      <c r="AZ11">
        <v>-119.70433312908688</v>
      </c>
      <c r="BA11">
        <v>98.668101627870968</v>
      </c>
      <c r="BB11">
        <v>98.668101627870954</v>
      </c>
      <c r="BC11">
        <f t="shared" si="3"/>
        <v>139.53776749574197</v>
      </c>
    </row>
    <row r="12" spans="1:55" ht="15.75" thickBot="1" x14ac:dyDescent="0.3">
      <c r="A12" s="2" t="s">
        <v>10</v>
      </c>
      <c r="B12" s="7">
        <f>B11*B7</f>
        <v>5.7321119230366184</v>
      </c>
      <c r="C12" t="s">
        <v>0</v>
      </c>
      <c r="E12" t="s">
        <v>19</v>
      </c>
      <c r="F12" s="9">
        <f>IF(F11&lt;(-1*B3),0,SQRT(POWER(B3,2)-POWER(F11,2)))</f>
        <v>10.23296531092822</v>
      </c>
      <c r="G12" s="9">
        <f>F11</f>
        <v>6.2678880769633816</v>
      </c>
      <c r="I12" s="24" t="s">
        <v>67</v>
      </c>
      <c r="J12" s="25">
        <f>IF(AND(J10=0,J11=0),0,MOD(ATAN2(J10,J11),2*PI()))</f>
        <v>0.78539816339744828</v>
      </c>
      <c r="K12" s="26" t="s">
        <v>17</v>
      </c>
      <c r="AJ12">
        <v>1.7453292519943295</v>
      </c>
      <c r="AK12">
        <v>-55.354114471439551</v>
      </c>
      <c r="AL12">
        <v>308.41209895398515</v>
      </c>
      <c r="AM12">
        <v>-61.50457163493283</v>
      </c>
      <c r="AN12">
        <v>342.68010994887237</v>
      </c>
      <c r="AQ12">
        <v>10</v>
      </c>
      <c r="AR12">
        <f t="shared" si="0"/>
        <v>11.817693036146496</v>
      </c>
      <c r="AS12">
        <f t="shared" si="1"/>
        <v>2.0837781320031641</v>
      </c>
      <c r="AV12">
        <v>-90.905444240197994</v>
      </c>
      <c r="AW12">
        <v>96.639505419254334</v>
      </c>
      <c r="AX12">
        <v>96.639505419254391</v>
      </c>
      <c r="AY12">
        <f t="shared" si="2"/>
        <v>136.66889922493775</v>
      </c>
      <c r="AZ12">
        <v>-101.00604915577554</v>
      </c>
      <c r="BA12">
        <v>107.37722824361592</v>
      </c>
      <c r="BB12">
        <v>107.37722824361599</v>
      </c>
      <c r="BC12">
        <f t="shared" si="3"/>
        <v>151.85433247215303</v>
      </c>
    </row>
    <row r="13" spans="1:55" ht="15.75" thickBot="1" x14ac:dyDescent="0.3">
      <c r="A13" s="2" t="s">
        <v>11</v>
      </c>
      <c r="B13" s="1">
        <v>3.0000000000000001E-3</v>
      </c>
      <c r="E13" t="s">
        <v>20</v>
      </c>
      <c r="F13" s="1">
        <f>IF(F11&lt;(-1*B3),0,-1*SQRT(POWER(B3,2)-POWER(F11,2)))</f>
        <v>-10.23296531092822</v>
      </c>
      <c r="G13" s="9">
        <f>F11</f>
        <v>6.2678880769633816</v>
      </c>
      <c r="I13" s="31" t="s">
        <v>68</v>
      </c>
      <c r="J13" s="32">
        <f>SQRT(POWER(J10,2)+POWER(J11,2))</f>
        <v>141.42135623730951</v>
      </c>
      <c r="K13" s="33" t="s">
        <v>65</v>
      </c>
      <c r="L13">
        <f>DEGREES(J12)</f>
        <v>45</v>
      </c>
      <c r="AJ13">
        <v>1.9198621771937625</v>
      </c>
      <c r="AK13">
        <v>-106.7331606205818</v>
      </c>
      <c r="AL13">
        <v>292.55784231926151</v>
      </c>
      <c r="AM13">
        <v>-118.59240068953532</v>
      </c>
      <c r="AN13">
        <v>325.06426924362387</v>
      </c>
      <c r="AQ13">
        <v>11</v>
      </c>
      <c r="AR13">
        <f t="shared" si="0"/>
        <v>11.779526201371969</v>
      </c>
      <c r="AS13">
        <f t="shared" si="1"/>
        <v>2.2897079445185375</v>
      </c>
      <c r="AV13">
        <v>-74.076988664217794</v>
      </c>
      <c r="AW13">
        <v>104.62687790492005</v>
      </c>
      <c r="AX13">
        <v>104.62687790492004</v>
      </c>
      <c r="AY13">
        <f t="shared" si="2"/>
        <v>147.96474972189185</v>
      </c>
      <c r="AZ13">
        <v>-82.307765182464209</v>
      </c>
      <c r="BA13">
        <v>116.25208656102228</v>
      </c>
      <c r="BB13">
        <v>116.25208656102225</v>
      </c>
      <c r="BC13">
        <f t="shared" si="3"/>
        <v>164.4052774687687</v>
      </c>
    </row>
    <row r="14" spans="1:55" x14ac:dyDescent="0.25">
      <c r="F14" s="1">
        <f>IF(F10&lt;(-1*B3),0,SQRT(POWER(B3,2)-POWER(F10,2)))</f>
        <v>10.982901613423115</v>
      </c>
      <c r="G14" s="36">
        <f>F10</f>
        <v>4.8348600962042267</v>
      </c>
      <c r="AJ14">
        <v>2.0943951023931953</v>
      </c>
      <c r="AK14">
        <v>-155.46085168745705</v>
      </c>
      <c r="AL14">
        <v>270.59073535272125</v>
      </c>
      <c r="AM14">
        <v>-172.73427965273007</v>
      </c>
      <c r="AN14">
        <v>300.65637261413474</v>
      </c>
      <c r="AQ14">
        <v>12</v>
      </c>
      <c r="AR14">
        <f t="shared" si="0"/>
        <v>11.737771208805668</v>
      </c>
      <c r="AS14">
        <f t="shared" si="1"/>
        <v>2.4949402898131119</v>
      </c>
      <c r="AV14">
        <v>-57.248533088237593</v>
      </c>
      <c r="AW14">
        <v>112.59935941008692</v>
      </c>
      <c r="AX14">
        <v>112.59935941008695</v>
      </c>
      <c r="AY14">
        <f t="shared" si="2"/>
        <v>159.23954119226752</v>
      </c>
      <c r="AZ14">
        <v>-63.609481209152882</v>
      </c>
      <c r="BA14">
        <v>125.11039934454102</v>
      </c>
      <c r="BB14">
        <v>125.11039934454105</v>
      </c>
      <c r="BC14">
        <f t="shared" si="3"/>
        <v>176.9328235469639</v>
      </c>
    </row>
    <row r="15" spans="1:55" x14ac:dyDescent="0.25">
      <c r="F15" s="1">
        <f>IF(F10&lt;(-1*B3),0,-1*SQRT(POWER(B3,2)-POWER(F10,2)))</f>
        <v>-10.982901613423115</v>
      </c>
      <c r="G15" s="36">
        <f>F10</f>
        <v>4.8348600962042267</v>
      </c>
      <c r="J15" s="1" t="s">
        <v>34</v>
      </c>
      <c r="K15" t="s">
        <v>78</v>
      </c>
      <c r="AJ15">
        <v>2.268928027592628</v>
      </c>
      <c r="AK15">
        <v>-201.78814807666848</v>
      </c>
      <c r="AL15">
        <v>242.10860476646766</v>
      </c>
      <c r="AM15">
        <v>-224.20905341852051</v>
      </c>
      <c r="AN15">
        <v>269.00956085163074</v>
      </c>
      <c r="AQ15">
        <v>13</v>
      </c>
      <c r="AR15">
        <f t="shared" si="0"/>
        <v>11.692440777422823</v>
      </c>
      <c r="AS15">
        <f t="shared" si="1"/>
        <v>2.6994126521263802</v>
      </c>
      <c r="AV15">
        <v>-40.420077512257393</v>
      </c>
      <c r="AW15">
        <v>120.54521008639033</v>
      </c>
      <c r="AX15">
        <v>120.54521008639036</v>
      </c>
      <c r="AY15">
        <f t="shared" si="2"/>
        <v>170.47667098328722</v>
      </c>
      <c r="AZ15">
        <v>-44.911197235841549</v>
      </c>
      <c r="BA15">
        <v>133.93912231821147</v>
      </c>
      <c r="BB15">
        <v>133.9391223182115</v>
      </c>
      <c r="BC15">
        <f t="shared" si="3"/>
        <v>189.4185233147636</v>
      </c>
    </row>
    <row r="16" spans="1:55" x14ac:dyDescent="0.25">
      <c r="A16" s="2" t="s">
        <v>15</v>
      </c>
      <c r="B16">
        <f>ATAN2(F12,G12)</f>
        <v>0.54957400040570259</v>
      </c>
      <c r="C16" t="s">
        <v>17</v>
      </c>
      <c r="E16" s="1" t="s">
        <v>46</v>
      </c>
      <c r="F16" s="1" t="s">
        <v>47</v>
      </c>
      <c r="I16" s="1" t="s">
        <v>75</v>
      </c>
      <c r="J16" s="4">
        <f ca="1">((((PI()*B3*B3)-C109)*B8)+(C35*C109))*0.8*0.65</f>
        <v>1138.9324460784158</v>
      </c>
      <c r="K16" s="1">
        <f ca="1">J16/0.65</f>
        <v>1752.2037631975627</v>
      </c>
      <c r="AJ16">
        <v>2.4434609527920608</v>
      </c>
      <c r="AK16">
        <v>-242.10860476646747</v>
      </c>
      <c r="AL16">
        <v>201.78814807666873</v>
      </c>
      <c r="AM16">
        <v>-269.00956085163051</v>
      </c>
      <c r="AN16">
        <v>224.2090534185208</v>
      </c>
      <c r="AQ16">
        <v>14</v>
      </c>
      <c r="AR16">
        <f t="shared" si="0"/>
        <v>11.643548715311958</v>
      </c>
      <c r="AS16">
        <f t="shared" si="1"/>
        <v>2.9030627471960129</v>
      </c>
      <c r="AV16">
        <v>-23.591621936277196</v>
      </c>
      <c r="AW16">
        <v>128.45233560102625</v>
      </c>
      <c r="AX16">
        <v>128.45233560102625</v>
      </c>
      <c r="AY16">
        <f t="shared" si="2"/>
        <v>181.65903512547166</v>
      </c>
      <c r="AZ16">
        <v>-26.212913262530218</v>
      </c>
      <c r="BA16">
        <v>142.72481733447361</v>
      </c>
      <c r="BB16">
        <v>142.72481733447361</v>
      </c>
      <c r="BC16">
        <f t="shared" si="3"/>
        <v>201.8433723616352</v>
      </c>
    </row>
    <row r="17" spans="1:55" x14ac:dyDescent="0.25">
      <c r="A17" s="2" t="s">
        <v>16</v>
      </c>
      <c r="B17">
        <f>IF(B16&lt;0,(2*PI())+ATAN2(F13,G13),ATAN2(F13,G13))</f>
        <v>2.5920186531840903</v>
      </c>
      <c r="C17" t="s">
        <v>17</v>
      </c>
      <c r="E17" s="7">
        <f>IF(B2="Whitney",F12*COS(-1*$B$10)+G12*SIN(-1*$B$10),NA())</f>
        <v>2.8037330000649376</v>
      </c>
      <c r="F17" s="7">
        <f>-1*F12*SIN(-1*$B$10)+G12*COS(-1*$B$10)</f>
        <v>11.667865325943168</v>
      </c>
      <c r="G17" s="7">
        <f>F14*COS(-1*$B$10)+G14*SIN(-1*$B$10)</f>
        <v>4.3473218478419078</v>
      </c>
      <c r="H17" s="7">
        <f>-1*F14*SIN(-1*$B$10)+G14*COS(-1*$B$10)</f>
        <v>11.184846568070411</v>
      </c>
      <c r="I17" s="1" t="s">
        <v>76</v>
      </c>
      <c r="J17" s="4">
        <f ca="1">-1*C109*C35*0.9</f>
        <v>-259.2</v>
      </c>
      <c r="K17" s="1">
        <f ca="1">J17/0.9</f>
        <v>-288</v>
      </c>
      <c r="AJ17">
        <v>2.6179938779914935</v>
      </c>
      <c r="AK17">
        <v>-270.59073535272114</v>
      </c>
      <c r="AL17">
        <v>155.46085168745742</v>
      </c>
      <c r="AM17">
        <v>-300.65637261413457</v>
      </c>
      <c r="AN17">
        <v>172.73427965273046</v>
      </c>
      <c r="AQ17">
        <v>15</v>
      </c>
      <c r="AR17">
        <f t="shared" si="0"/>
        <v>11.59110991546882</v>
      </c>
      <c r="AS17">
        <f t="shared" si="1"/>
        <v>3.1058285412302489</v>
      </c>
      <c r="AV17">
        <v>-6.7631663602969994</v>
      </c>
      <c r="AW17">
        <v>136.30856382440427</v>
      </c>
      <c r="AX17">
        <v>136.30856382440427</v>
      </c>
      <c r="AY17">
        <f t="shared" si="2"/>
        <v>192.76941962807118</v>
      </c>
      <c r="AZ17">
        <v>-7.5146292892188882</v>
      </c>
      <c r="BA17">
        <v>151.45395980489363</v>
      </c>
      <c r="BB17">
        <v>151.45395980489363</v>
      </c>
      <c r="BC17">
        <f t="shared" si="3"/>
        <v>214.18824403119018</v>
      </c>
    </row>
    <row r="18" spans="1:55" x14ac:dyDescent="0.25">
      <c r="C18" s="1"/>
      <c r="D18" s="1"/>
      <c r="E18" s="7">
        <f>IF(B2="Whitney",F13*COS(-1*$B$10)+G13*SIN(-1*$B$10),NA())</f>
        <v>-11.667865325943168</v>
      </c>
      <c r="F18" s="7">
        <f>-1*F13*SIN(-1*$B$10)+G13*COS(-1*$B$10)</f>
        <v>-2.803733000064935</v>
      </c>
      <c r="G18" s="7">
        <f>F15*COS(-1*$B$10)+G15*SIN(-1*$B$10)</f>
        <v>-11.184846568070411</v>
      </c>
      <c r="H18" s="7">
        <f>-1*F15*SIN(-1*$B$10)+G15*COS(-1*$B$10)</f>
        <v>-4.3473218478419042</v>
      </c>
      <c r="AJ18">
        <v>2.7925268031909263</v>
      </c>
      <c r="AK18">
        <v>-292.55784231926134</v>
      </c>
      <c r="AL18">
        <v>106.733160620582</v>
      </c>
      <c r="AM18">
        <v>-325.0642692436237</v>
      </c>
      <c r="AN18">
        <v>118.59240068953555</v>
      </c>
      <c r="AQ18">
        <v>16</v>
      </c>
      <c r="AR18">
        <f t="shared" si="0"/>
        <v>11.535140351259827</v>
      </c>
      <c r="AS18">
        <f t="shared" si="1"/>
        <v>3.3076482698039902</v>
      </c>
      <c r="AV18">
        <v>10.065289215683197</v>
      </c>
      <c r="AW18">
        <v>144.1018998761829</v>
      </c>
      <c r="AX18">
        <v>144.10189987618296</v>
      </c>
      <c r="AY18">
        <f t="shared" si="2"/>
        <v>203.79086116862774</v>
      </c>
      <c r="AZ18">
        <v>11.183654684092442</v>
      </c>
      <c r="BA18">
        <v>160.11322208464767</v>
      </c>
      <c r="BB18">
        <v>160.11322208464773</v>
      </c>
      <c r="BC18">
        <f t="shared" si="3"/>
        <v>226.43429018736416</v>
      </c>
    </row>
    <row r="19" spans="1:55" x14ac:dyDescent="0.25">
      <c r="A19" t="s">
        <v>140</v>
      </c>
      <c r="C19">
        <f>IF(B2="Whitney",(-1*B13*MAX(K37:K108))/((C35/F35)-B13),(-1*B13*MAX(K37:K108))/((C35/F35)-B13)+50)</f>
        <v>68.270833333333343</v>
      </c>
      <c r="D19" t="s">
        <v>0</v>
      </c>
      <c r="L19">
        <f>IF(B16=0,(($B$3*$B$3*B16)/2),(($F$11*$F$11)/(2*TAN(B16)))+(($B$3*$B$3*B16)/2))</f>
        <v>71.638868661384038</v>
      </c>
      <c r="M19">
        <f>IF(B16=0,-1*POWER($B$3,3)*COS(B16)*(1/3),(POWER($F$11,3)/(3*TAN(B16)))-(POWER($B$3,3)*COS(B16)*(1/3)))</f>
        <v>-357.17680734982611</v>
      </c>
      <c r="N19">
        <f>IF(B16=0,POWER($B$3,3)*SIN(B16)*(1/3),(POWER($F$11,3)/(6*POWER(SIN(B16),2)))+(POWER($B$3,3)*SIN(B16)*(1/3)))</f>
        <v>451.28794154136347</v>
      </c>
      <c r="AJ19">
        <v>2.967059728390359</v>
      </c>
      <c r="AK19">
        <v>-308.41209895398509</v>
      </c>
      <c r="AL19">
        <v>55.354114471439885</v>
      </c>
      <c r="AM19">
        <v>-342.68010994887231</v>
      </c>
      <c r="AN19">
        <v>61.504571634933207</v>
      </c>
      <c r="AQ19">
        <v>17</v>
      </c>
      <c r="AR19">
        <f t="shared" si="0"/>
        <v>11.475657071556425</v>
      </c>
      <c r="AS19">
        <f t="shared" si="1"/>
        <v>3.5084604566728412</v>
      </c>
      <c r="AV19">
        <v>26.893744791663394</v>
      </c>
      <c r="AW19">
        <v>151.82074528493106</v>
      </c>
      <c r="AX19">
        <v>151.82074528493112</v>
      </c>
      <c r="AY19">
        <f t="shared" si="2"/>
        <v>214.70695703154067</v>
      </c>
      <c r="AZ19">
        <v>29.881938657403772</v>
      </c>
      <c r="BA19">
        <v>168.68971698325674</v>
      </c>
      <c r="BB19">
        <v>168.6897169832568</v>
      </c>
      <c r="BC19">
        <f t="shared" si="3"/>
        <v>238.56328559060074</v>
      </c>
    </row>
    <row r="20" spans="1:55" x14ac:dyDescent="0.25">
      <c r="L20">
        <f>IF(B17=0,(($B$3*$B$3*B17)/2),(($F$11*$F$11)/(2*TAN(B17)))+(($B$3*$B$3*B17)/2))</f>
        <v>154.5558023970811</v>
      </c>
      <c r="M20">
        <f>IF(B17=0,-1*POWER($B$3,3)*COS(B17)*(1/3),(POWER($F$11,3)/(3*TAN(B17)))-(POWER($B$3,3)*COS(B17)*(1/3)))</f>
        <v>357.17680734982616</v>
      </c>
      <c r="N20">
        <f>IF(B17=0,POWER($B$3,3)*SIN(B17)*(1/3),(POWER($F$11,3)/(6*POWER(SIN(B17),2)))+(POWER($B$3,3)*SIN(B17)*(1/3)))</f>
        <v>451.28794154136347</v>
      </c>
      <c r="AJ20">
        <v>3.1415926535897918</v>
      </c>
      <c r="AK20">
        <v>-316.99294710295209</v>
      </c>
      <c r="AL20">
        <v>3.5004466385250357E-13</v>
      </c>
      <c r="AM20">
        <v>-352.21438566994675</v>
      </c>
      <c r="AN20">
        <v>3.889385153916706E-13</v>
      </c>
      <c r="AQ20">
        <v>18</v>
      </c>
      <c r="AR20">
        <f t="shared" si="0"/>
        <v>11.412678195541842</v>
      </c>
      <c r="AS20">
        <f t="shared" si="1"/>
        <v>3.7082039324993685</v>
      </c>
      <c r="AV20">
        <v>43.722200367643595</v>
      </c>
      <c r="AW20">
        <v>159.45407286304447</v>
      </c>
      <c r="AX20">
        <v>159.45407286304444</v>
      </c>
      <c r="AY20">
        <f t="shared" si="2"/>
        <v>225.50211241854518</v>
      </c>
      <c r="AZ20">
        <v>48.580222630715106</v>
      </c>
      <c r="BA20">
        <v>177.17119207004941</v>
      </c>
      <c r="BB20">
        <v>177.17119207004939</v>
      </c>
      <c r="BC20">
        <f t="shared" si="3"/>
        <v>250.55790268727242</v>
      </c>
    </row>
    <row r="21" spans="1:55" x14ac:dyDescent="0.25">
      <c r="L21">
        <f>L20-L19</f>
        <v>82.916933735697057</v>
      </c>
      <c r="M21">
        <f>M20-M19</f>
        <v>714.35361469965233</v>
      </c>
      <c r="N21">
        <f>N20-N19</f>
        <v>0</v>
      </c>
      <c r="AJ21">
        <v>3.3161255787892245</v>
      </c>
      <c r="AK21">
        <v>-308.41209895398532</v>
      </c>
      <c r="AL21">
        <v>-55.35411447143904</v>
      </c>
      <c r="AM21">
        <v>-342.6801099488726</v>
      </c>
      <c r="AN21">
        <v>-61.504571634932262</v>
      </c>
      <c r="AQ21">
        <v>19</v>
      </c>
      <c r="AR21">
        <f t="shared" si="0"/>
        <v>11.346222907191802</v>
      </c>
      <c r="AS21">
        <f t="shared" si="1"/>
        <v>3.9068178534858804</v>
      </c>
      <c r="AV21">
        <v>60.550655943623795</v>
      </c>
      <c r="AW21">
        <v>166.99155453048795</v>
      </c>
      <c r="AX21">
        <v>166.99155453048792</v>
      </c>
      <c r="AY21">
        <f t="shared" si="2"/>
        <v>236.16172121878228</v>
      </c>
      <c r="AZ21">
        <v>67.278506604026433</v>
      </c>
      <c r="BA21">
        <v>185.54617170054215</v>
      </c>
      <c r="BB21">
        <v>185.54617170054212</v>
      </c>
      <c r="BC21">
        <f t="shared" si="3"/>
        <v>262.40191246531361</v>
      </c>
    </row>
    <row r="22" spans="1:55" x14ac:dyDescent="0.25">
      <c r="A22" s="35" t="s">
        <v>72</v>
      </c>
      <c r="L22">
        <f>L21*B8</f>
        <v>352.39696837671249</v>
      </c>
      <c r="M22">
        <f>M21*B8</f>
        <v>3036.0028624735223</v>
      </c>
      <c r="N22">
        <f>N21*B8</f>
        <v>0</v>
      </c>
      <c r="AJ22">
        <v>3.4906585039886573</v>
      </c>
      <c r="AK22">
        <v>-292.55784231926157</v>
      </c>
      <c r="AL22">
        <v>-106.73316062058126</v>
      </c>
      <c r="AM22">
        <v>-325.06426924362398</v>
      </c>
      <c r="AN22">
        <v>-118.59240068953473</v>
      </c>
      <c r="AQ22">
        <v>20</v>
      </c>
      <c r="AR22">
        <f t="shared" si="0"/>
        <v>11.276311449430901</v>
      </c>
      <c r="AS22">
        <f t="shared" si="1"/>
        <v>4.1042417199080248</v>
      </c>
      <c r="AV22">
        <v>77.379111519603995</v>
      </c>
      <c r="AW22">
        <v>174.42364392785575</v>
      </c>
      <c r="AX22">
        <v>174.42364392785572</v>
      </c>
      <c r="AY22">
        <f t="shared" si="2"/>
        <v>246.67228284130911</v>
      </c>
      <c r="AZ22">
        <v>85.976790577337766</v>
      </c>
      <c r="BA22">
        <v>193.8040488087286</v>
      </c>
      <c r="BB22">
        <v>193.80404880872857</v>
      </c>
      <c r="BC22">
        <f t="shared" si="3"/>
        <v>274.08031426812124</v>
      </c>
    </row>
    <row r="23" spans="1:55" x14ac:dyDescent="0.25">
      <c r="B23" s="1"/>
      <c r="C23" s="1"/>
      <c r="D23" s="1"/>
      <c r="E23" s="1"/>
      <c r="F23" s="1"/>
      <c r="G23" s="1"/>
      <c r="H23" s="1" t="s">
        <v>34</v>
      </c>
      <c r="I23" s="1" t="s">
        <v>35</v>
      </c>
      <c r="J23" s="1" t="s">
        <v>36</v>
      </c>
      <c r="AJ23">
        <v>3.66519142918809</v>
      </c>
      <c r="AK23">
        <v>-270.59073535272154</v>
      </c>
      <c r="AL23">
        <v>-155.4608516874566</v>
      </c>
      <c r="AM23">
        <v>-300.65637261413502</v>
      </c>
      <c r="AN23">
        <v>-172.73427965272955</v>
      </c>
      <c r="AQ23">
        <v>21</v>
      </c>
      <c r="AR23">
        <f t="shared" si="0"/>
        <v>11.202965117966421</v>
      </c>
      <c r="AS23">
        <f t="shared" si="1"/>
        <v>4.3004153945436032</v>
      </c>
      <c r="AV23">
        <v>94.207567095584196</v>
      </c>
      <c r="AW23">
        <v>181.7416188506451</v>
      </c>
      <c r="AX23">
        <v>181.74161885064507</v>
      </c>
      <c r="AY23">
        <f t="shared" si="2"/>
        <v>257.02146222622406</v>
      </c>
      <c r="AZ23">
        <v>104.6750745506491</v>
      </c>
      <c r="BA23">
        <v>201.93513205627232</v>
      </c>
      <c r="BB23">
        <v>201.93513205627229</v>
      </c>
      <c r="BC23">
        <f t="shared" si="3"/>
        <v>285.57940247358226</v>
      </c>
    </row>
    <row r="24" spans="1:55" x14ac:dyDescent="0.25">
      <c r="A24" s="1" t="s">
        <v>23</v>
      </c>
      <c r="B24" s="1"/>
      <c r="C24" s="1"/>
      <c r="D24" s="1"/>
      <c r="E24" s="1"/>
      <c r="F24" s="1"/>
      <c r="G24" s="1"/>
      <c r="H24" s="1">
        <f>IF(F11&lt;(-1*B3),B8*POWER(B3,2)*(2*PI())*(1/2),B8*POWER(B3,2)*(B17-B16)*(1/2))</f>
        <v>624.9880637501866</v>
      </c>
      <c r="I24" s="1">
        <f>IF(F11&lt;(-1*B3),0,(1/3)*B8*POWER(B3,3)*((COS(B16)-COS(B17))))</f>
        <v>4175.049846858713</v>
      </c>
      <c r="J24" s="1">
        <f>IF(F11&lt;(-1*B3),0,(1/3)*B8*POWER(B3,3)*((SIN(B17)-SIN(B16))))</f>
        <v>5.4356519285647654E-13</v>
      </c>
      <c r="L24">
        <f>(((POWER(B3,2)-POWER(F11,2))*TAN(B17))+((POWER(F11,2)-POWER(B3,2))*TAN(B16)))/(2*TAN(B16)*TAN(B17))</f>
        <v>170.95557688525369</v>
      </c>
      <c r="AJ24">
        <v>3.8397243543875228</v>
      </c>
      <c r="AK24">
        <v>-242.10860476646798</v>
      </c>
      <c r="AL24">
        <v>-201.78814807666794</v>
      </c>
      <c r="AM24">
        <v>-269.00956085163108</v>
      </c>
      <c r="AN24">
        <v>-224.20905341851991</v>
      </c>
      <c r="AQ24">
        <v>22</v>
      </c>
      <c r="AR24">
        <f t="shared" si="0"/>
        <v>11.126206254801449</v>
      </c>
      <c r="AS24">
        <f t="shared" si="1"/>
        <v>4.4952791209909444</v>
      </c>
      <c r="AV24">
        <v>111.0360226715644</v>
      </c>
      <c r="AW24">
        <v>188.93759030105204</v>
      </c>
      <c r="AX24">
        <v>188.93759030105201</v>
      </c>
      <c r="AY24">
        <f t="shared" si="2"/>
        <v>267.19810264583913</v>
      </c>
      <c r="AZ24">
        <v>123.37335852396043</v>
      </c>
      <c r="BA24">
        <v>209.93065589005781</v>
      </c>
      <c r="BB24">
        <v>209.93065589005778</v>
      </c>
      <c r="BC24">
        <f t="shared" si="3"/>
        <v>296.88678071759898</v>
      </c>
    </row>
    <row r="25" spans="1:55" x14ac:dyDescent="0.25">
      <c r="A25" s="1" t="s">
        <v>24</v>
      </c>
      <c r="B25" s="1" t="s">
        <v>28</v>
      </c>
      <c r="C25" s="1" t="s">
        <v>29</v>
      </c>
      <c r="D25" s="1" t="s">
        <v>30</v>
      </c>
      <c r="E25" s="1" t="s">
        <v>31</v>
      </c>
      <c r="F25" s="1" t="s">
        <v>32</v>
      </c>
      <c r="G25" s="1" t="s">
        <v>33</v>
      </c>
      <c r="H25" s="1" t="s">
        <v>34</v>
      </c>
      <c r="I25" s="1" t="s">
        <v>35</v>
      </c>
      <c r="J25" s="1" t="s">
        <v>36</v>
      </c>
      <c r="L25">
        <f>B8*L24</f>
        <v>726.56120176232821</v>
      </c>
      <c r="AJ25">
        <v>4.014257279586956</v>
      </c>
      <c r="AK25">
        <v>-201.78814807666899</v>
      </c>
      <c r="AL25">
        <v>-242.10860476646715</v>
      </c>
      <c r="AM25">
        <v>-224.20905341852108</v>
      </c>
      <c r="AN25">
        <v>-269.00956085163017</v>
      </c>
      <c r="AQ25">
        <v>23</v>
      </c>
      <c r="AR25">
        <f t="shared" si="0"/>
        <v>11.046058241429284</v>
      </c>
      <c r="AS25">
        <f t="shared" si="1"/>
        <v>4.688773541871285</v>
      </c>
      <c r="AV25">
        <v>127.8644782475446</v>
      </c>
      <c r="AW25">
        <v>196.00448551797717</v>
      </c>
      <c r="AX25">
        <v>196.00448551797714</v>
      </c>
      <c r="AY25">
        <f t="shared" si="2"/>
        <v>277.19220170548419</v>
      </c>
      <c r="AZ25">
        <v>142.07164249727177</v>
      </c>
      <c r="BA25">
        <v>217.78276168664129</v>
      </c>
      <c r="BB25">
        <v>217.78276168664127</v>
      </c>
      <c r="BC25">
        <f t="shared" si="3"/>
        <v>307.99133522831579</v>
      </c>
    </row>
    <row r="26" spans="1:55" x14ac:dyDescent="0.25">
      <c r="A26" s="1" t="s">
        <v>25</v>
      </c>
      <c r="B26" s="1">
        <v>0</v>
      </c>
      <c r="C26" s="1">
        <v>0</v>
      </c>
      <c r="D26" s="9">
        <f>F12</f>
        <v>10.23296531092822</v>
      </c>
      <c r="E26" s="9">
        <f>G12</f>
        <v>6.2678880769633816</v>
      </c>
      <c r="F26" s="7">
        <f>IF(AND(C26=0,E26=0,B26=0,D26=0),0,$B$8)</f>
        <v>4.25</v>
      </c>
      <c r="G26" s="7">
        <f>IF(AND(C26=0,E26=0,B26=0,D26=0),0,$B$8)</f>
        <v>4.25</v>
      </c>
      <c r="H26" s="7">
        <f>(1/6)*(E26-C26)*((F26*((2*B26)+D26))+(G26*(B26+(2*D26))))</f>
        <v>136.29554768673711</v>
      </c>
      <c r="I26" s="7">
        <f>((1/12)*(E26-C26)*(F26*B26*((3*C26)+E26)+F26*D26*(C26+E26)+G26*B26*(C26+E26)+G26*D26*(C26+(3*E26))))</f>
        <v>569.52349219259565</v>
      </c>
      <c r="J26" s="7">
        <f t="shared" ref="J26" si="4">((-1/24)*(E26-C26)*(B26*B26*((3*F26)+G26)+2*B26*D26*(F26+G26)+D26*D26*(F26+(3*G26))))</f>
        <v>-464.90253717078127</v>
      </c>
      <c r="AJ26">
        <v>4.1887902047863887</v>
      </c>
      <c r="AK26">
        <v>-155.46085168745768</v>
      </c>
      <c r="AL26">
        <v>-270.5907353527208</v>
      </c>
      <c r="AM26">
        <v>-172.73427965273075</v>
      </c>
      <c r="AN26">
        <v>-300.65637261413423</v>
      </c>
      <c r="AQ26">
        <v>24</v>
      </c>
      <c r="AR26">
        <f t="shared" si="0"/>
        <v>10.962545491711211</v>
      </c>
      <c r="AS26">
        <f t="shared" si="1"/>
        <v>4.8808397169096027</v>
      </c>
      <c r="AV26">
        <v>144.69293382352478</v>
      </c>
      <c r="AW26">
        <v>202.93601204984688</v>
      </c>
      <c r="AX26">
        <v>202.93601204984691</v>
      </c>
      <c r="AY26">
        <f t="shared" si="2"/>
        <v>286.99486053480331</v>
      </c>
      <c r="AZ26">
        <v>160.7699264705831</v>
      </c>
      <c r="BA26">
        <v>225.48445783316319</v>
      </c>
      <c r="BB26">
        <v>225.48445783316322</v>
      </c>
      <c r="BC26">
        <f t="shared" si="3"/>
        <v>318.88317837200367</v>
      </c>
    </row>
    <row r="27" spans="1:55" x14ac:dyDescent="0.25">
      <c r="A27" s="1" t="s">
        <v>27</v>
      </c>
      <c r="B27" s="9">
        <f>D26</f>
        <v>10.23296531092822</v>
      </c>
      <c r="C27" s="9">
        <f>E26</f>
        <v>6.2678880769633816</v>
      </c>
      <c r="D27" s="1">
        <f>F13</f>
        <v>-10.23296531092822</v>
      </c>
      <c r="E27" s="9">
        <f>G13</f>
        <v>6.2678880769633816</v>
      </c>
      <c r="F27" s="7">
        <f t="shared" ref="F27:F28" si="5">IF(AND(C27=0,E27=0,B27=0,D27=0),0,$B$8)</f>
        <v>4.25</v>
      </c>
      <c r="G27" s="7">
        <f t="shared" ref="G27:G28" si="6">IF(AND(C27=0,E27=0,B27=0,D27=0),0,$B$8)</f>
        <v>4.25</v>
      </c>
      <c r="H27" s="7">
        <f t="shared" ref="H27:H28" si="7">(1/6)*(E27-C27)*((F27*((2*B27)+D27))+(G27*(B27+(2*D27))))</f>
        <v>0</v>
      </c>
      <c r="I27" s="7">
        <f t="shared" ref="I27:I28" si="8">((1/12)*(E27-C27)*(F27*B27*((3*C27)+E27)+F27*D27*(C27+E27)+G27*B27*(C27+E27)+G27*D27*(C27+(3*E27))))</f>
        <v>0</v>
      </c>
      <c r="J27" s="7">
        <f t="shared" ref="J27:J28" si="9">((-1/24)*(E27-C27)*(B27*B27*((3*F27)+G27)+2*B27*D27*(F27+G27)+D27*D27*(F27+(3*G27))))</f>
        <v>0</v>
      </c>
      <c r="AJ27">
        <v>4.3633231299858215</v>
      </c>
      <c r="AK27">
        <v>-106.73316062058238</v>
      </c>
      <c r="AL27">
        <v>-292.557842319261</v>
      </c>
      <c r="AM27">
        <v>-118.59240068953598</v>
      </c>
      <c r="AN27">
        <v>-325.0642692436233</v>
      </c>
      <c r="AQ27">
        <v>25</v>
      </c>
      <c r="AR27">
        <f t="shared" si="0"/>
        <v>10.875693444439799</v>
      </c>
      <c r="AS27">
        <f t="shared" si="1"/>
        <v>5.0714191408883931</v>
      </c>
      <c r="AV27">
        <v>161.52138939950498</v>
      </c>
      <c r="AW27">
        <v>209.72660910761704</v>
      </c>
      <c r="AX27">
        <v>209.72660910761701</v>
      </c>
      <c r="AY27">
        <f t="shared" si="2"/>
        <v>296.5982149905127</v>
      </c>
      <c r="AZ27">
        <v>179.46821044389444</v>
      </c>
      <c r="BA27">
        <v>233.02956567513004</v>
      </c>
      <c r="BB27">
        <v>233.02956567513002</v>
      </c>
      <c r="BC27">
        <f t="shared" si="3"/>
        <v>329.55357221168077</v>
      </c>
    </row>
    <row r="28" spans="1:55" ht="15.75" thickBot="1" x14ac:dyDescent="0.3">
      <c r="A28" s="1" t="s">
        <v>26</v>
      </c>
      <c r="B28" s="1">
        <f>D27</f>
        <v>-10.23296531092822</v>
      </c>
      <c r="C28" s="9">
        <f>E27</f>
        <v>6.2678880769633816</v>
      </c>
      <c r="D28" s="1">
        <v>0</v>
      </c>
      <c r="E28" s="1">
        <v>0</v>
      </c>
      <c r="F28" s="7">
        <f t="shared" si="5"/>
        <v>4.25</v>
      </c>
      <c r="G28" s="7">
        <f t="shared" si="6"/>
        <v>4.25</v>
      </c>
      <c r="H28" s="11">
        <f t="shared" si="7"/>
        <v>136.29554768673711</v>
      </c>
      <c r="I28" s="11">
        <f t="shared" si="8"/>
        <v>569.52349219259565</v>
      </c>
      <c r="J28" s="11">
        <f t="shared" si="9"/>
        <v>464.90253717078127</v>
      </c>
      <c r="AJ28">
        <v>4.5378560551852543</v>
      </c>
      <c r="AK28">
        <v>-55.354114471440312</v>
      </c>
      <c r="AL28">
        <v>-308.41209895398504</v>
      </c>
      <c r="AM28">
        <v>-61.504571634933676</v>
      </c>
      <c r="AN28">
        <v>-342.68010994887226</v>
      </c>
      <c r="AQ28">
        <v>26</v>
      </c>
      <c r="AR28">
        <f t="shared" si="0"/>
        <v>10.785528555590005</v>
      </c>
      <c r="AS28">
        <f t="shared" si="1"/>
        <v>5.2604537614689288</v>
      </c>
      <c r="AV28">
        <v>178.34984497548518</v>
      </c>
      <c r="AW28">
        <v>216.3713913679693</v>
      </c>
      <c r="AX28">
        <v>216.37139136796924</v>
      </c>
      <c r="AY28">
        <f t="shared" si="2"/>
        <v>305.995356182119</v>
      </c>
      <c r="AZ28">
        <v>198.16649441720574</v>
      </c>
      <c r="BA28">
        <v>240.41265707552142</v>
      </c>
      <c r="BB28">
        <v>240.41265707552137</v>
      </c>
      <c r="BC28">
        <f t="shared" si="3"/>
        <v>339.9948402023544</v>
      </c>
    </row>
    <row r="29" spans="1:55" ht="15.75" thickTop="1" x14ac:dyDescent="0.25">
      <c r="A29" s="1"/>
      <c r="B29" s="1"/>
      <c r="C29" s="1"/>
      <c r="D29" s="1"/>
      <c r="E29" s="1"/>
      <c r="F29" s="1"/>
      <c r="G29" s="1"/>
      <c r="H29" s="7">
        <f>SUM(H26:H28)</f>
        <v>272.59109537347422</v>
      </c>
      <c r="I29" s="7">
        <f t="shared" ref="I29:J29" si="10">SUM(I26:I28)</f>
        <v>1139.0469843851913</v>
      </c>
      <c r="J29" s="7">
        <f t="shared" si="10"/>
        <v>0</v>
      </c>
      <c r="AJ29">
        <v>4.712388980384687</v>
      </c>
      <c r="AK29">
        <v>-7.4222192122222014E-13</v>
      </c>
      <c r="AL29">
        <v>-316.99294710295209</v>
      </c>
      <c r="AM29">
        <v>-8.2469102358024462E-13</v>
      </c>
      <c r="AN29">
        <v>-352.21438566994675</v>
      </c>
      <c r="AQ29">
        <v>27</v>
      </c>
      <c r="AR29">
        <f t="shared" si="0"/>
        <v>10.692078290260415</v>
      </c>
      <c r="AS29">
        <f t="shared" si="1"/>
        <v>5.447885996874561</v>
      </c>
      <c r="AV29">
        <v>195.17830055146538</v>
      </c>
      <c r="AW29">
        <v>222.73891721509264</v>
      </c>
      <c r="AX29">
        <v>222.7389172150927</v>
      </c>
      <c r="AY29">
        <f t="shared" si="2"/>
        <v>315.0003975938821</v>
      </c>
      <c r="AZ29">
        <v>216.86477839051707</v>
      </c>
      <c r="BA29">
        <v>247.48768579454736</v>
      </c>
      <c r="BB29">
        <v>247.48768579454745</v>
      </c>
      <c r="BC29">
        <f t="shared" si="3"/>
        <v>350.0004417709801</v>
      </c>
    </row>
    <row r="30" spans="1:55" x14ac:dyDescent="0.25">
      <c r="A30" s="1"/>
      <c r="B30" s="1"/>
      <c r="C30" s="1"/>
      <c r="D30" s="1"/>
      <c r="E30" s="1"/>
      <c r="F30" s="1"/>
      <c r="G30" s="1"/>
      <c r="H30" s="7"/>
      <c r="I30" s="1"/>
      <c r="J30" s="1"/>
      <c r="L30">
        <f>((I31*COS(-1*B10))+(J31*SIN(-1*B10)))</f>
        <v>2146.7782117567958</v>
      </c>
      <c r="AJ30">
        <v>4.8869219055841198</v>
      </c>
      <c r="AK30">
        <v>55.354114471438606</v>
      </c>
      <c r="AL30">
        <v>-308.41209895398532</v>
      </c>
      <c r="AM30">
        <v>61.504571634931786</v>
      </c>
      <c r="AN30">
        <v>-342.6801099488726</v>
      </c>
      <c r="AQ30">
        <v>28</v>
      </c>
      <c r="AR30">
        <f t="shared" si="0"/>
        <v>10.595371114307124</v>
      </c>
      <c r="AS30">
        <f t="shared" si="1"/>
        <v>5.6336587534306899</v>
      </c>
      <c r="AV30">
        <v>212.00675612744558</v>
      </c>
      <c r="AW30">
        <v>227.64144865577794</v>
      </c>
      <c r="AX30">
        <v>227.64144865577791</v>
      </c>
      <c r="AY30">
        <f t="shared" si="2"/>
        <v>321.93362404725968</v>
      </c>
      <c r="AZ30">
        <v>235.56306236382841</v>
      </c>
      <c r="BA30">
        <v>252.93494295086435</v>
      </c>
      <c r="BB30">
        <v>252.93494295086433</v>
      </c>
      <c r="BC30">
        <f t="shared" si="3"/>
        <v>357.70402671917742</v>
      </c>
    </row>
    <row r="31" spans="1:55" x14ac:dyDescent="0.25">
      <c r="A31" s="2" t="s">
        <v>85</v>
      </c>
      <c r="B31" s="5">
        <v>8</v>
      </c>
      <c r="C31" s="1"/>
      <c r="D31" s="2" t="s">
        <v>74</v>
      </c>
      <c r="E31" s="8">
        <v>2.8124999999999991</v>
      </c>
      <c r="F31" s="1"/>
      <c r="G31" s="1" t="s">
        <v>73</v>
      </c>
      <c r="H31" s="7">
        <f>H24-H29</f>
        <v>352.39696837671238</v>
      </c>
      <c r="I31" s="7">
        <f>(I24-I29)</f>
        <v>3036.0028624735214</v>
      </c>
      <c r="J31" s="7">
        <f t="shared" ref="J31" si="11">J24-J29</f>
        <v>5.4356519285647654E-13</v>
      </c>
      <c r="L31">
        <f>(-1*(I31)*SIN(-1*B10))+((J31)*COS(-1*B10))</f>
        <v>2146.7782117567967</v>
      </c>
      <c r="AJ31">
        <v>5.0614548307835525</v>
      </c>
      <c r="AK31">
        <v>106.73316062058085</v>
      </c>
      <c r="AL31">
        <v>-292.55784231926185</v>
      </c>
      <c r="AM31">
        <v>118.59240068953427</v>
      </c>
      <c r="AN31">
        <v>-325.06426924362427</v>
      </c>
      <c r="AQ31">
        <v>29</v>
      </c>
      <c r="AR31">
        <f t="shared" si="0"/>
        <v>10.495436485672748</v>
      </c>
      <c r="AS31">
        <f t="shared" si="1"/>
        <v>5.8177154429560449</v>
      </c>
      <c r="AV31">
        <v>228.83521170342578</v>
      </c>
      <c r="AW31">
        <v>232.49878634403058</v>
      </c>
      <c r="AX31">
        <v>232.49878634403058</v>
      </c>
      <c r="AY31">
        <f t="shared" si="2"/>
        <v>328.80293688301259</v>
      </c>
      <c r="AZ31">
        <v>254.26134633713974</v>
      </c>
      <c r="BA31">
        <v>258.33198482670065</v>
      </c>
      <c r="BB31">
        <v>258.33198482670065</v>
      </c>
      <c r="BC31">
        <f t="shared" si="3"/>
        <v>365.3365965366807</v>
      </c>
    </row>
    <row r="32" spans="1:55" x14ac:dyDescent="0.25">
      <c r="A32" s="2" t="s">
        <v>86</v>
      </c>
      <c r="B32" s="37">
        <f ca="1">C109/(PI()*B3*B3)</f>
        <v>1.0610329539459689E-2</v>
      </c>
      <c r="D32" t="s">
        <v>45</v>
      </c>
      <c r="E32" s="14">
        <f>360/B31</f>
        <v>45</v>
      </c>
      <c r="AJ32">
        <v>5.2359877559829853</v>
      </c>
      <c r="AK32">
        <v>155.46085168745614</v>
      </c>
      <c r="AL32">
        <v>-270.59073535272159</v>
      </c>
      <c r="AM32">
        <v>172.73427965272904</v>
      </c>
      <c r="AN32">
        <v>-300.65637261413508</v>
      </c>
      <c r="AQ32">
        <v>30</v>
      </c>
      <c r="AR32">
        <f t="shared" si="0"/>
        <v>10.392304845413264</v>
      </c>
      <c r="AS32">
        <f t="shared" si="1"/>
        <v>5.9999999999999991</v>
      </c>
      <c r="AV32">
        <v>245.66366727940598</v>
      </c>
      <c r="AW32">
        <v>237.30502386286221</v>
      </c>
      <c r="AX32">
        <v>237.30502386286216</v>
      </c>
      <c r="AY32">
        <f t="shared" si="2"/>
        <v>335.59998316613064</v>
      </c>
      <c r="AZ32">
        <v>272.95963031045108</v>
      </c>
      <c r="BA32">
        <v>263.67224873651355</v>
      </c>
      <c r="BB32">
        <v>263.6722487365135</v>
      </c>
      <c r="BC32">
        <f t="shared" si="3"/>
        <v>372.88887018458962</v>
      </c>
    </row>
    <row r="33" spans="1:55" x14ac:dyDescent="0.25">
      <c r="D33" s="2" t="s">
        <v>13</v>
      </c>
      <c r="E33" s="14">
        <f>(B3-E31)*COS(RADIANS(E32))</f>
        <v>6.4965435521514054</v>
      </c>
      <c r="AJ33">
        <v>5.410520681182418</v>
      </c>
      <c r="AK33">
        <v>201.78814807666757</v>
      </c>
      <c r="AL33">
        <v>-242.10860476646823</v>
      </c>
      <c r="AM33">
        <v>224.20905341851952</v>
      </c>
      <c r="AN33">
        <v>-269.00956085163136</v>
      </c>
      <c r="AQ33">
        <v>31</v>
      </c>
      <c r="AR33">
        <f t="shared" si="0"/>
        <v>10.286007608425347</v>
      </c>
      <c r="AS33">
        <f t="shared" si="1"/>
        <v>6.1804568989206494</v>
      </c>
      <c r="AV33">
        <v>262.49212285538619</v>
      </c>
      <c r="AW33">
        <v>242.0544128789814</v>
      </c>
      <c r="AX33">
        <v>242.05441287898145</v>
      </c>
      <c r="AY33">
        <f t="shared" si="2"/>
        <v>342.31663352571229</v>
      </c>
      <c r="AZ33">
        <v>291.65791428376241</v>
      </c>
      <c r="BA33">
        <v>268.94934764331265</v>
      </c>
      <c r="BB33">
        <v>268.94934764331271</v>
      </c>
      <c r="BC33">
        <f t="shared" si="3"/>
        <v>380.35181502856921</v>
      </c>
    </row>
    <row r="34" spans="1:55" x14ac:dyDescent="0.25">
      <c r="A34" t="s">
        <v>37</v>
      </c>
      <c r="D34" s="2" t="s">
        <v>14</v>
      </c>
      <c r="E34" s="14">
        <f>(B3-E31)*SIN(RADIANS(E32))</f>
        <v>6.4965435521514046</v>
      </c>
      <c r="Z34" t="str">
        <f>"Mx vs My @ Pu = " &amp;AI1&amp;" Kips"</f>
        <v>Mx vs My @ Pu = 200 Kips</v>
      </c>
      <c r="AJ34">
        <v>5.5850536063818508</v>
      </c>
      <c r="AK34">
        <v>242.10860476646684</v>
      </c>
      <c r="AL34">
        <v>-201.7881480766695</v>
      </c>
      <c r="AM34">
        <v>269.00956085162983</v>
      </c>
      <c r="AN34">
        <v>-224.20905341852165</v>
      </c>
      <c r="AQ34">
        <v>32</v>
      </c>
      <c r="AR34">
        <f t="shared" si="0"/>
        <v>10.176577153877112</v>
      </c>
      <c r="AS34">
        <f t="shared" si="1"/>
        <v>6.3590311707984588</v>
      </c>
      <c r="AV34">
        <v>279.32057843136636</v>
      </c>
      <c r="AW34">
        <v>245.51348780854823</v>
      </c>
      <c r="AX34">
        <v>245.51348780854826</v>
      </c>
      <c r="AY34">
        <f t="shared" si="2"/>
        <v>347.20850420437046</v>
      </c>
      <c r="AZ34">
        <v>312.62004166931678</v>
      </c>
      <c r="BA34">
        <v>274.78260721111519</v>
      </c>
      <c r="BB34">
        <v>274.78260721111525</v>
      </c>
      <c r="BC34">
        <f t="shared" si="3"/>
        <v>388.60128982219817</v>
      </c>
    </row>
    <row r="35" spans="1:55" x14ac:dyDescent="0.25">
      <c r="B35" s="1" t="s">
        <v>54</v>
      </c>
      <c r="C35" s="8">
        <v>60</v>
      </c>
      <c r="D35" s="1" t="s">
        <v>2</v>
      </c>
      <c r="E35" s="1" t="s">
        <v>55</v>
      </c>
      <c r="F35" s="8">
        <v>29000</v>
      </c>
      <c r="G35" s="1" t="s">
        <v>2</v>
      </c>
      <c r="Q35" s="1" t="s">
        <v>39</v>
      </c>
      <c r="R35" s="1" t="s">
        <v>40</v>
      </c>
      <c r="S35" s="1" t="s">
        <v>41</v>
      </c>
      <c r="U35" s="1" t="s">
        <v>120</v>
      </c>
      <c r="X35" t="s">
        <v>121</v>
      </c>
      <c r="AJ35">
        <v>5.7595865315812835</v>
      </c>
      <c r="AK35">
        <v>270.59073535272069</v>
      </c>
      <c r="AL35">
        <v>-155.4608516874583</v>
      </c>
      <c r="AM35">
        <v>300.65637261413411</v>
      </c>
      <c r="AN35">
        <v>-172.73427965273143</v>
      </c>
      <c r="AQ35">
        <v>33</v>
      </c>
      <c r="AR35">
        <f t="shared" si="0"/>
        <v>10.064046815345089</v>
      </c>
      <c r="AS35">
        <f t="shared" si="1"/>
        <v>6.5356684201803255</v>
      </c>
      <c r="AV35">
        <v>296.14903400734653</v>
      </c>
      <c r="AW35">
        <v>246.16237505511833</v>
      </c>
      <c r="AX35">
        <v>246.16237505511836</v>
      </c>
      <c r="AY35">
        <f t="shared" si="2"/>
        <v>348.12616934892083</v>
      </c>
      <c r="AZ35">
        <v>339.36729636346155</v>
      </c>
      <c r="BA35">
        <v>282.08587601468105</v>
      </c>
      <c r="BB35">
        <v>282.08587601468111</v>
      </c>
      <c r="BC35">
        <f t="shared" si="3"/>
        <v>398.92967161385735</v>
      </c>
    </row>
    <row r="36" spans="1:55" x14ac:dyDescent="0.25">
      <c r="B36" s="1" t="s">
        <v>38</v>
      </c>
      <c r="C36" t="s">
        <v>42</v>
      </c>
      <c r="D36" s="1" t="s">
        <v>13</v>
      </c>
      <c r="E36" s="1" t="s">
        <v>14</v>
      </c>
      <c r="G36" s="1" t="s">
        <v>43</v>
      </c>
      <c r="H36" s="1" t="s">
        <v>44</v>
      </c>
      <c r="I36" s="1" t="s">
        <v>46</v>
      </c>
      <c r="J36" s="1" t="s">
        <v>47</v>
      </c>
      <c r="K36" s="1" t="s">
        <v>48</v>
      </c>
      <c r="L36" s="1" t="s">
        <v>49</v>
      </c>
      <c r="M36" s="1" t="s">
        <v>50</v>
      </c>
      <c r="N36" s="1" t="s">
        <v>51</v>
      </c>
      <c r="O36" s="1" t="s">
        <v>52</v>
      </c>
      <c r="P36" s="1" t="s">
        <v>53</v>
      </c>
      <c r="Q36" s="1">
        <v>0</v>
      </c>
      <c r="R36" s="7">
        <v>0</v>
      </c>
      <c r="S36" s="7">
        <v>0</v>
      </c>
      <c r="Z36">
        <v>0</v>
      </c>
      <c r="AA36">
        <v>0</v>
      </c>
      <c r="AJ36">
        <v>5.9341194567807163</v>
      </c>
      <c r="AK36">
        <v>292.55784231926089</v>
      </c>
      <c r="AL36">
        <v>-106.73316062058292</v>
      </c>
      <c r="AM36">
        <v>325.06426924362319</v>
      </c>
      <c r="AN36">
        <v>-118.59240068953657</v>
      </c>
      <c r="AQ36">
        <v>34</v>
      </c>
      <c r="AR36">
        <f t="shared" si="0"/>
        <v>9.9484508706604995</v>
      </c>
      <c r="AS36">
        <f t="shared" si="1"/>
        <v>6.7103148416489624</v>
      </c>
      <c r="AV36">
        <v>312.9774895833267</v>
      </c>
      <c r="AW36">
        <v>246.68867754169736</v>
      </c>
      <c r="AX36">
        <v>246.6886775416973</v>
      </c>
      <c r="AY36">
        <f t="shared" si="2"/>
        <v>348.87047346335152</v>
      </c>
      <c r="AZ36">
        <v>367.34402493864394</v>
      </c>
      <c r="BA36">
        <v>289.5403494852045</v>
      </c>
      <c r="BB36">
        <v>289.54034948520444</v>
      </c>
      <c r="BC36">
        <f t="shared" si="3"/>
        <v>409.47188909622196</v>
      </c>
    </row>
    <row r="37" spans="1:55" x14ac:dyDescent="0.25">
      <c r="A37">
        <v>1</v>
      </c>
      <c r="B37" s="5">
        <v>7</v>
      </c>
      <c r="C37" s="1">
        <f t="shared" ref="C37:C68" ca="1" si="12">IF(A37&lt;=$B$31,OFFSET($Q$36,MATCH(B37,$Q$36:$Q$47,0)-1,2),0)</f>
        <v>0.6</v>
      </c>
      <c r="D37" s="46">
        <f>IF($E$32*(A37-1)&gt;=360,0,($B$3-$E$31)*COS(RADIANS(($E$32*(A37-1)))))</f>
        <v>9.1875</v>
      </c>
      <c r="E37" s="46">
        <f>IF($E$32*(A37-1)&gt;=360,0,($B$3-$E$31)*SIN(RADIANS($E$32*(A37-1))))</f>
        <v>0</v>
      </c>
      <c r="G37">
        <f ca="1">IF(C37=0,NA(),D37)</f>
        <v>9.1875</v>
      </c>
      <c r="H37">
        <f ca="1">IF(C37=0,NA(),E37)</f>
        <v>0</v>
      </c>
      <c r="I37" s="7">
        <f>D37*COS($B$10)+E37*SIN($B$10)</f>
        <v>6.4965435521514054</v>
      </c>
      <c r="J37" s="7">
        <f>-1*D37*SIN($B$10)+E37*COS($B$10)</f>
        <v>-6.4965435521514046</v>
      </c>
      <c r="K37">
        <f>IF(B37=0,0,$B$3-J37)</f>
        <v>18.496543552151405</v>
      </c>
      <c r="L37" s="15">
        <f ca="1">IF($B$11=0,-1,IF(C37=0,0,(($B$11-K37)/$B$11)*$B$13)*IF($B$11&lt;0,-1,1))</f>
        <v>-4.7443890002843167E-3</v>
      </c>
      <c r="M37" s="9">
        <f ca="1">IF(AND(L37&gt;0,K37&lt;=$B$12),MIN((L37*F$35),C$35)-IF($B$2="Whitney",$B$8,B151),MAX(L37*F$35,-1*C$35))</f>
        <v>-60</v>
      </c>
      <c r="N37" s="7">
        <f ca="1">M37*C37</f>
        <v>-36</v>
      </c>
      <c r="O37" s="7">
        <f ca="1">N37*J37</f>
        <v>233.87556787745058</v>
      </c>
      <c r="P37" s="7">
        <f ca="1">N37*I37</f>
        <v>-233.87556787745061</v>
      </c>
      <c r="Q37" s="1">
        <v>3</v>
      </c>
      <c r="R37" s="7">
        <v>0.375</v>
      </c>
      <c r="S37" s="7">
        <v>0.11</v>
      </c>
      <c r="U37">
        <f ca="1">IF(AND(N37&lt;0,C37&gt;0),D37,NA())</f>
        <v>9.1875</v>
      </c>
      <c r="V37">
        <f ca="1">IF(AND(N37&lt;0,C37&gt;0),E37,NA())</f>
        <v>0</v>
      </c>
      <c r="X37" t="e">
        <f ca="1">IF(AND(N37&gt;=0,C37&gt;0),D37,NA())</f>
        <v>#N/A</v>
      </c>
      <c r="Y37" t="e">
        <f ca="1">IF(AND(N37&gt;=0,C37&gt;0),E37,NA())</f>
        <v>#N/A</v>
      </c>
      <c r="Z37" s="10">
        <f>J10</f>
        <v>100</v>
      </c>
      <c r="AA37" s="10">
        <f>J11</f>
        <v>100</v>
      </c>
      <c r="AJ37">
        <v>6.108652381980149</v>
      </c>
      <c r="AK37">
        <v>308.41209895398475</v>
      </c>
      <c r="AL37">
        <v>-55.354114471440873</v>
      </c>
      <c r="AM37">
        <v>342.68010994887192</v>
      </c>
      <c r="AN37">
        <v>-61.504571634934301</v>
      </c>
      <c r="AQ37">
        <v>35</v>
      </c>
      <c r="AR37">
        <f t="shared" si="0"/>
        <v>9.8298245314679011</v>
      </c>
      <c r="AS37">
        <f t="shared" si="1"/>
        <v>6.8829172362125526</v>
      </c>
      <c r="AV37">
        <v>329.80594515930687</v>
      </c>
      <c r="AW37">
        <v>247.07531795666563</v>
      </c>
      <c r="AX37">
        <v>247.07531795666563</v>
      </c>
      <c r="AY37">
        <f t="shared" si="2"/>
        <v>349.41726558196126</v>
      </c>
      <c r="AZ37">
        <v>396.60096968579097</v>
      </c>
      <c r="BA37">
        <v>297.11505242789434</v>
      </c>
      <c r="BB37">
        <v>297.11505242789434</v>
      </c>
      <c r="BC37">
        <f t="shared" si="3"/>
        <v>420.18413672872134</v>
      </c>
    </row>
    <row r="38" spans="1:55" x14ac:dyDescent="0.25">
      <c r="A38">
        <v>2</v>
      </c>
      <c r="B38" s="5">
        <v>7</v>
      </c>
      <c r="C38" s="1">
        <f t="shared" ca="1" si="12"/>
        <v>0.6</v>
      </c>
      <c r="D38" s="46">
        <f t="shared" ref="D38:D101" si="13">IF($E$32*(A38-1)&gt;=360,0,($B$3-$E$31)*COS(RADIANS(($E$32*(A38-1)))))</f>
        <v>6.4965435521514054</v>
      </c>
      <c r="E38" s="46">
        <f t="shared" ref="E38:E101" si="14">IF($E$32*(A38-1)&gt;=360,0,($B$3-$E$31)*SIN(RADIANS($E$32*(A38-1))))</f>
        <v>6.4965435521514046</v>
      </c>
      <c r="G38">
        <f t="shared" ref="G38:G101" ca="1" si="15">IF(C38=0,NA(),D38)</f>
        <v>6.4965435521514054</v>
      </c>
      <c r="H38">
        <f t="shared" ref="H38:H101" ca="1" si="16">IF(C38=0,NA(),E38)</f>
        <v>6.4965435521514046</v>
      </c>
      <c r="I38" s="7">
        <f t="shared" ref="I38:I101" si="17">D38*COS($B$10)+E38*SIN($B$10)</f>
        <v>9.1875</v>
      </c>
      <c r="J38" s="7">
        <f t="shared" ref="J38:J101" si="18">-1*D38*SIN($B$10)+E38*COS($B$10)</f>
        <v>0</v>
      </c>
      <c r="K38">
        <f t="shared" ref="K38:K101" si="19">IF(B38=0,0,$B$3-J38)</f>
        <v>12</v>
      </c>
      <c r="L38" s="15">
        <f t="shared" ref="L38:L101" ca="1" si="20">IF($B$11=0,-1,IF(C38=0,0,(($B$11-K38)/$B$11)*$B$13)*IF($B$11&lt;0,-1,1))</f>
        <v>-2.0243261797203427E-3</v>
      </c>
      <c r="M38" s="9">
        <f t="shared" ref="M38:M101" ca="1" si="21">IF(AND(L38&gt;0,K38&lt;=$B$12),MIN((L38*F$35),C$35)-IF($B$2="Whitney",$B$8,B152),MAX(L38*F$35,-1*C$35))</f>
        <v>-58.705459211889938</v>
      </c>
      <c r="N38" s="7">
        <f t="shared" ref="N38:N101" ca="1" si="22">M38*C38</f>
        <v>-35.223275527133964</v>
      </c>
      <c r="O38" s="7">
        <f t="shared" ref="O38:O101" ca="1" si="23">N38*J38</f>
        <v>0</v>
      </c>
      <c r="P38" s="7">
        <f t="shared" ref="P38:P101" ca="1" si="24">N38*I38</f>
        <v>-323.61384390554332</v>
      </c>
      <c r="Q38" s="1">
        <v>4</v>
      </c>
      <c r="R38" s="7">
        <v>0.5</v>
      </c>
      <c r="S38" s="7">
        <v>0.2</v>
      </c>
      <c r="U38">
        <f t="shared" ref="U38:U101" ca="1" si="25">IF(AND(N38&lt;0,C38&gt;0),D38,NA())</f>
        <v>6.4965435521514054</v>
      </c>
      <c r="V38">
        <f t="shared" ref="V38:V101" ca="1" si="26">IF(AND(N38&lt;0,C38&gt;0),E38,NA())</f>
        <v>6.4965435521514046</v>
      </c>
      <c r="X38" t="e">
        <f t="shared" ref="X38:X101" ca="1" si="27">IF(AND(N38&gt;=0,C38&gt;0),D38,NA())</f>
        <v>#N/A</v>
      </c>
      <c r="Y38" t="e">
        <f t="shared" ref="Y38:Y101" ca="1" si="28">IF(AND(N38&gt;=0,C38&gt;0),E38,NA())</f>
        <v>#N/A</v>
      </c>
      <c r="Z38" s="10">
        <f ca="1">J4</f>
        <v>224.14786248480596</v>
      </c>
      <c r="AA38" s="10">
        <f ca="1">J5</f>
        <v>224.14786248480601</v>
      </c>
      <c r="AJ38">
        <v>6.2831853071795818</v>
      </c>
      <c r="AK38">
        <v>316.99294710295209</v>
      </c>
      <c r="AL38">
        <v>-1.2058944092623197E-12</v>
      </c>
      <c r="AM38">
        <v>352.21438566994675</v>
      </c>
      <c r="AN38">
        <v>-1.3398826769581331E-12</v>
      </c>
      <c r="AQ38">
        <v>36</v>
      </c>
      <c r="AR38">
        <f t="shared" si="0"/>
        <v>9.7082039324993694</v>
      </c>
      <c r="AS38">
        <f t="shared" si="1"/>
        <v>7.0534230275096776</v>
      </c>
      <c r="AV38">
        <v>346.63440073528704</v>
      </c>
      <c r="AW38">
        <v>247.22497887163794</v>
      </c>
      <c r="AX38">
        <v>247.22497887163794</v>
      </c>
      <c r="AY38">
        <f t="shared" si="2"/>
        <v>349.62891807767227</v>
      </c>
      <c r="AZ38">
        <v>427.27695852344908</v>
      </c>
      <c r="BA38">
        <v>304.7404897471967</v>
      </c>
      <c r="BB38">
        <v>304.7404897471967</v>
      </c>
      <c r="BC38">
        <f t="shared" si="3"/>
        <v>430.96813360470469</v>
      </c>
    </row>
    <row r="39" spans="1:55" x14ac:dyDescent="0.25">
      <c r="A39">
        <v>3</v>
      </c>
      <c r="B39" s="5">
        <v>7</v>
      </c>
      <c r="C39" s="1">
        <f t="shared" ca="1" si="12"/>
        <v>0.6</v>
      </c>
      <c r="D39" s="46">
        <f t="shared" si="13"/>
        <v>5.6280257147364732E-16</v>
      </c>
      <c r="E39" s="46">
        <f t="shared" si="14"/>
        <v>9.1875</v>
      </c>
      <c r="G39">
        <f t="shared" ca="1" si="15"/>
        <v>5.6280257147364732E-16</v>
      </c>
      <c r="H39">
        <f t="shared" ca="1" si="16"/>
        <v>9.1875</v>
      </c>
      <c r="I39" s="7">
        <f t="shared" si="17"/>
        <v>6.4965435521514046</v>
      </c>
      <c r="J39" s="7">
        <f t="shared" si="18"/>
        <v>6.4965435521514054</v>
      </c>
      <c r="K39">
        <f t="shared" si="19"/>
        <v>5.5034564478485946</v>
      </c>
      <c r="L39" s="15">
        <f t="shared" ca="1" si="20"/>
        <v>6.9573664084363203E-4</v>
      </c>
      <c r="M39" s="9">
        <f t="shared" ca="1" si="21"/>
        <v>15.92636258446533</v>
      </c>
      <c r="N39" s="7">
        <f t="shared" ca="1" si="22"/>
        <v>9.5558175506791976</v>
      </c>
      <c r="O39" s="7">
        <f t="shared" ca="1" si="23"/>
        <v>62.079784894400177</v>
      </c>
      <c r="P39" s="7">
        <f t="shared" ca="1" si="24"/>
        <v>62.07978489440017</v>
      </c>
      <c r="Q39" s="1">
        <v>5</v>
      </c>
      <c r="R39" s="7">
        <v>0.625</v>
      </c>
      <c r="S39" s="7">
        <v>0.31</v>
      </c>
      <c r="U39" t="e">
        <f t="shared" ca="1" si="25"/>
        <v>#N/A</v>
      </c>
      <c r="V39" t="e">
        <f t="shared" ca="1" si="26"/>
        <v>#N/A</v>
      </c>
      <c r="X39">
        <f t="shared" ca="1" si="27"/>
        <v>5.6280257147364732E-16</v>
      </c>
      <c r="Y39">
        <f t="shared" ca="1" si="28"/>
        <v>9.1875</v>
      </c>
      <c r="AJ39">
        <v>6.4577182323790145</v>
      </c>
      <c r="AK39">
        <v>316.99294710295209</v>
      </c>
      <c r="AL39">
        <v>-1.3457384127703275E-14</v>
      </c>
      <c r="AM39">
        <v>352.21438566994675</v>
      </c>
      <c r="AN39">
        <v>-1.4952649030781417E-14</v>
      </c>
      <c r="AQ39">
        <v>37</v>
      </c>
      <c r="AR39">
        <f t="shared" si="0"/>
        <v>9.583626120567514</v>
      </c>
      <c r="AS39">
        <f t="shared" si="1"/>
        <v>7.2217802778245792</v>
      </c>
      <c r="AV39">
        <v>363.46285631126722</v>
      </c>
      <c r="AW39">
        <v>247.03192123019102</v>
      </c>
      <c r="AX39">
        <v>247.03192123019099</v>
      </c>
      <c r="AY39">
        <f t="shared" si="2"/>
        <v>349.35589334281821</v>
      </c>
      <c r="AZ39">
        <v>459.5363488506697</v>
      </c>
      <c r="BA39">
        <v>312.32943108351714</v>
      </c>
      <c r="BB39">
        <v>312.32943108351708</v>
      </c>
      <c r="BC39">
        <f t="shared" si="3"/>
        <v>441.7005173665828</v>
      </c>
    </row>
    <row r="40" spans="1:55" x14ac:dyDescent="0.25">
      <c r="A40">
        <v>4</v>
      </c>
      <c r="B40" s="5">
        <v>7</v>
      </c>
      <c r="C40" s="1">
        <f t="shared" ca="1" si="12"/>
        <v>0.6</v>
      </c>
      <c r="D40" s="46">
        <f t="shared" si="13"/>
        <v>-6.4965435521514046</v>
      </c>
      <c r="E40" s="46">
        <f t="shared" si="14"/>
        <v>6.4965435521514054</v>
      </c>
      <c r="G40">
        <f t="shared" ca="1" si="15"/>
        <v>-6.4965435521514046</v>
      </c>
      <c r="H40">
        <f t="shared" ca="1" si="16"/>
        <v>6.4965435521514054</v>
      </c>
      <c r="I40" s="7">
        <f t="shared" si="17"/>
        <v>0</v>
      </c>
      <c r="J40" s="7">
        <f t="shared" si="18"/>
        <v>9.1875</v>
      </c>
      <c r="K40">
        <f t="shared" si="19"/>
        <v>2.8125</v>
      </c>
      <c r="L40" s="15">
        <f t="shared" ca="1" si="20"/>
        <v>1.8224235516280446E-3</v>
      </c>
      <c r="M40" s="9">
        <f t="shared" ca="1" si="21"/>
        <v>48.600282997213291</v>
      </c>
      <c r="N40" s="7">
        <f t="shared" ca="1" si="22"/>
        <v>29.160169798327974</v>
      </c>
      <c r="O40" s="7">
        <f t="shared" ca="1" si="23"/>
        <v>267.90906002213825</v>
      </c>
      <c r="P40" s="7">
        <f t="shared" ca="1" si="24"/>
        <v>0</v>
      </c>
      <c r="Q40" s="1">
        <v>6</v>
      </c>
      <c r="R40" s="7">
        <v>0.75</v>
      </c>
      <c r="S40" s="7">
        <v>0.44</v>
      </c>
      <c r="U40" t="e">
        <f t="shared" ca="1" si="25"/>
        <v>#N/A</v>
      </c>
      <c r="V40" t="e">
        <f t="shared" ca="1" si="26"/>
        <v>#N/A</v>
      </c>
      <c r="X40">
        <f t="shared" ca="1" si="27"/>
        <v>-6.4965435521514046</v>
      </c>
      <c r="Y40">
        <f t="shared" ca="1" si="28"/>
        <v>6.4965435521514054</v>
      </c>
      <c r="AQ40">
        <v>38</v>
      </c>
      <c r="AR40">
        <f t="shared" si="0"/>
        <v>9.4561290432806633</v>
      </c>
      <c r="AS40">
        <f t="shared" si="1"/>
        <v>7.3879377039078999</v>
      </c>
      <c r="AV40">
        <v>380.29131188724739</v>
      </c>
      <c r="AW40">
        <v>246.64387438441216</v>
      </c>
      <c r="AX40">
        <v>246.64387438441213</v>
      </c>
      <c r="AY40">
        <f t="shared" si="2"/>
        <v>348.80711223068164</v>
      </c>
      <c r="AZ40">
        <v>493.22387927155626</v>
      </c>
      <c r="BA40">
        <v>319.88805612922971</v>
      </c>
      <c r="BB40">
        <v>319.88805612922965</v>
      </c>
      <c r="BC40">
        <f t="shared" si="3"/>
        <v>452.39002741912253</v>
      </c>
    </row>
    <row r="41" spans="1:55" x14ac:dyDescent="0.25">
      <c r="A41">
        <v>5</v>
      </c>
      <c r="B41" s="5">
        <v>7</v>
      </c>
      <c r="C41" s="1">
        <f t="shared" ca="1" si="12"/>
        <v>0.6</v>
      </c>
      <c r="D41" s="46">
        <f t="shared" si="13"/>
        <v>-9.1875</v>
      </c>
      <c r="E41" s="46">
        <f t="shared" si="14"/>
        <v>1.1256051429472946E-15</v>
      </c>
      <c r="G41">
        <f t="shared" ca="1" si="15"/>
        <v>-9.1875</v>
      </c>
      <c r="H41">
        <f t="shared" ca="1" si="16"/>
        <v>1.1256051429472946E-15</v>
      </c>
      <c r="I41" s="7">
        <f t="shared" si="17"/>
        <v>-6.4965435521514046</v>
      </c>
      <c r="J41" s="7">
        <f t="shared" si="18"/>
        <v>6.4965435521514054</v>
      </c>
      <c r="K41">
        <f t="shared" si="19"/>
        <v>5.5034564478485946</v>
      </c>
      <c r="L41" s="15">
        <f t="shared" ca="1" si="20"/>
        <v>6.9573664084363203E-4</v>
      </c>
      <c r="M41" s="9">
        <f t="shared" ca="1" si="21"/>
        <v>15.92636258446533</v>
      </c>
      <c r="N41" s="7">
        <f t="shared" ca="1" si="22"/>
        <v>9.5558175506791976</v>
      </c>
      <c r="O41" s="7">
        <f t="shared" ca="1" si="23"/>
        <v>62.079784894400177</v>
      </c>
      <c r="P41" s="7">
        <f t="shared" ca="1" si="24"/>
        <v>-62.07978489440017</v>
      </c>
      <c r="Q41" s="1">
        <v>7</v>
      </c>
      <c r="R41" s="7">
        <v>0.875</v>
      </c>
      <c r="S41" s="7">
        <v>0.6</v>
      </c>
      <c r="U41" t="e">
        <f t="shared" ca="1" si="25"/>
        <v>#N/A</v>
      </c>
      <c r="V41" t="e">
        <f t="shared" ca="1" si="26"/>
        <v>#N/A</v>
      </c>
      <c r="X41">
        <f t="shared" ca="1" si="27"/>
        <v>-9.1875</v>
      </c>
      <c r="Y41">
        <f t="shared" ca="1" si="28"/>
        <v>1.1256051429472946E-15</v>
      </c>
      <c r="AQ41">
        <v>39</v>
      </c>
      <c r="AR41">
        <f t="shared" si="0"/>
        <v>9.3257515374836508</v>
      </c>
      <c r="AS41">
        <f t="shared" si="1"/>
        <v>7.5518446925980491</v>
      </c>
      <c r="AV41">
        <v>397.11976746322756</v>
      </c>
      <c r="AW41">
        <v>246.0363581789149</v>
      </c>
      <c r="AX41">
        <v>246.0363581789149</v>
      </c>
      <c r="AY41">
        <f t="shared" si="2"/>
        <v>347.94795457350602</v>
      </c>
      <c r="AZ41">
        <v>528.36485498353068</v>
      </c>
      <c r="BA41">
        <v>327.34951861069425</v>
      </c>
      <c r="BB41">
        <v>327.34951861069425</v>
      </c>
      <c r="BC41">
        <f t="shared" si="3"/>
        <v>462.94212885554771</v>
      </c>
    </row>
    <row r="42" spans="1:55" x14ac:dyDescent="0.25">
      <c r="A42">
        <v>6</v>
      </c>
      <c r="B42" s="5">
        <v>7</v>
      </c>
      <c r="C42" s="1">
        <f t="shared" ca="1" si="12"/>
        <v>0.6</v>
      </c>
      <c r="D42" s="46">
        <f t="shared" si="13"/>
        <v>-6.4965435521514072</v>
      </c>
      <c r="E42" s="46">
        <f t="shared" si="14"/>
        <v>-6.4965435521514046</v>
      </c>
      <c r="G42">
        <f t="shared" ca="1" si="15"/>
        <v>-6.4965435521514072</v>
      </c>
      <c r="H42">
        <f t="shared" ca="1" si="16"/>
        <v>-6.4965435521514046</v>
      </c>
      <c r="I42" s="7">
        <f t="shared" si="17"/>
        <v>-9.1875</v>
      </c>
      <c r="J42" s="7">
        <f t="shared" si="18"/>
        <v>0</v>
      </c>
      <c r="K42">
        <f t="shared" si="19"/>
        <v>12</v>
      </c>
      <c r="L42" s="15">
        <f t="shared" ca="1" si="20"/>
        <v>-2.0243261797203427E-3</v>
      </c>
      <c r="M42" s="9">
        <f t="shared" ca="1" si="21"/>
        <v>-58.705459211889938</v>
      </c>
      <c r="N42" s="7">
        <f t="shared" ca="1" si="22"/>
        <v>-35.223275527133964</v>
      </c>
      <c r="O42" s="7">
        <f t="shared" ca="1" si="23"/>
        <v>0</v>
      </c>
      <c r="P42" s="7">
        <f t="shared" ca="1" si="24"/>
        <v>323.61384390554332</v>
      </c>
      <c r="Q42" s="1">
        <v>8</v>
      </c>
      <c r="R42" s="7">
        <v>1</v>
      </c>
      <c r="S42" s="7">
        <v>0.79</v>
      </c>
      <c r="U42">
        <f t="shared" ca="1" si="25"/>
        <v>-6.4965435521514072</v>
      </c>
      <c r="V42">
        <f t="shared" ca="1" si="26"/>
        <v>-6.4965435521514046</v>
      </c>
      <c r="X42" t="e">
        <f t="shared" ca="1" si="27"/>
        <v>#N/A</v>
      </c>
      <c r="Y42" t="e">
        <f t="shared" ca="1" si="28"/>
        <v>#N/A</v>
      </c>
      <c r="AQ42">
        <v>40</v>
      </c>
      <c r="AR42">
        <f t="shared" si="0"/>
        <v>9.1925333174277366</v>
      </c>
      <c r="AS42">
        <f t="shared" si="1"/>
        <v>7.713451316238471</v>
      </c>
      <c r="AV42">
        <v>413.94822303920773</v>
      </c>
      <c r="AW42">
        <v>245.18358505146256</v>
      </c>
      <c r="AX42">
        <v>245.18358505146253</v>
      </c>
      <c r="AY42">
        <f t="shared" si="2"/>
        <v>346.74195125103557</v>
      </c>
      <c r="AZ42">
        <v>564.97722126328642</v>
      </c>
      <c r="BA42">
        <v>334.63880957069728</v>
      </c>
      <c r="BB42">
        <v>334.63880957069722</v>
      </c>
      <c r="BC42">
        <f t="shared" si="3"/>
        <v>473.25074299126754</v>
      </c>
    </row>
    <row r="43" spans="1:55" x14ac:dyDescent="0.25">
      <c r="A43">
        <v>7</v>
      </c>
      <c r="B43" s="5">
        <v>7</v>
      </c>
      <c r="C43" s="1">
        <f t="shared" ca="1" si="12"/>
        <v>0.6</v>
      </c>
      <c r="D43" s="46">
        <f t="shared" si="13"/>
        <v>-1.688407714420942E-15</v>
      </c>
      <c r="E43" s="46">
        <f t="shared" si="14"/>
        <v>-9.1875</v>
      </c>
      <c r="G43">
        <f t="shared" ca="1" si="15"/>
        <v>-1.688407714420942E-15</v>
      </c>
      <c r="H43">
        <f t="shared" ca="1" si="16"/>
        <v>-9.1875</v>
      </c>
      <c r="I43" s="7">
        <f t="shared" si="17"/>
        <v>-6.4965435521514054</v>
      </c>
      <c r="J43" s="7">
        <f t="shared" si="18"/>
        <v>-6.4965435521514046</v>
      </c>
      <c r="K43">
        <f t="shared" si="19"/>
        <v>18.496543552151405</v>
      </c>
      <c r="L43" s="15">
        <f t="shared" ca="1" si="20"/>
        <v>-4.7443890002843167E-3</v>
      </c>
      <c r="M43" s="9">
        <f t="shared" ca="1" si="21"/>
        <v>-60</v>
      </c>
      <c r="N43" s="7">
        <f t="shared" ca="1" si="22"/>
        <v>-36</v>
      </c>
      <c r="O43" s="7">
        <f t="shared" ca="1" si="23"/>
        <v>233.87556787745058</v>
      </c>
      <c r="P43" s="7">
        <f t="shared" ca="1" si="24"/>
        <v>233.87556787745061</v>
      </c>
      <c r="Q43" s="1">
        <v>9</v>
      </c>
      <c r="R43" s="7">
        <v>1.1279999999999999</v>
      </c>
      <c r="S43" s="7">
        <v>1</v>
      </c>
      <c r="U43">
        <f t="shared" ca="1" si="25"/>
        <v>-1.688407714420942E-15</v>
      </c>
      <c r="V43">
        <f t="shared" ca="1" si="26"/>
        <v>-9.1875</v>
      </c>
      <c r="X43" t="e">
        <f t="shared" ca="1" si="27"/>
        <v>#N/A</v>
      </c>
      <c r="Y43" t="e">
        <f t="shared" ca="1" si="28"/>
        <v>#N/A</v>
      </c>
      <c r="AQ43">
        <v>41</v>
      </c>
      <c r="AR43">
        <f t="shared" si="0"/>
        <v>9.0565149626732637</v>
      </c>
      <c r="AS43">
        <f t="shared" si="1"/>
        <v>7.8727083478860873</v>
      </c>
      <c r="AV43">
        <v>430.7766786151879</v>
      </c>
      <c r="AW43">
        <v>243.87724005170571</v>
      </c>
      <c r="AX43">
        <v>243.87724005170563</v>
      </c>
      <c r="AY43">
        <f t="shared" si="2"/>
        <v>344.89450043524113</v>
      </c>
      <c r="AZ43">
        <v>602.5363750644882</v>
      </c>
      <c r="BA43">
        <v>341.11621050115485</v>
      </c>
      <c r="BB43">
        <v>341.11621050115474</v>
      </c>
      <c r="BC43">
        <f t="shared" si="3"/>
        <v>482.41117123604869</v>
      </c>
    </row>
    <row r="44" spans="1:55" x14ac:dyDescent="0.25">
      <c r="A44">
        <v>8</v>
      </c>
      <c r="B44" s="5">
        <v>7</v>
      </c>
      <c r="C44" s="1">
        <f t="shared" ca="1" si="12"/>
        <v>0.6</v>
      </c>
      <c r="D44" s="46">
        <f t="shared" si="13"/>
        <v>6.4965435521514037</v>
      </c>
      <c r="E44" s="46">
        <f t="shared" si="14"/>
        <v>-6.4965435521514072</v>
      </c>
      <c r="G44">
        <f t="shared" ca="1" si="15"/>
        <v>6.4965435521514037</v>
      </c>
      <c r="H44">
        <f t="shared" ca="1" si="16"/>
        <v>-6.4965435521514072</v>
      </c>
      <c r="I44" s="7">
        <f t="shared" si="17"/>
        <v>0</v>
      </c>
      <c r="J44" s="7">
        <f t="shared" si="18"/>
        <v>-9.1875</v>
      </c>
      <c r="K44">
        <f t="shared" si="19"/>
        <v>21.1875</v>
      </c>
      <c r="L44" s="15">
        <f t="shared" ca="1" si="20"/>
        <v>-5.8710759110687299E-3</v>
      </c>
      <c r="M44" s="9">
        <f t="shared" ca="1" si="21"/>
        <v>-60</v>
      </c>
      <c r="N44" s="7">
        <f t="shared" ca="1" si="22"/>
        <v>-36</v>
      </c>
      <c r="O44" s="7">
        <f t="shared" ca="1" si="23"/>
        <v>330.75</v>
      </c>
      <c r="P44" s="7">
        <f t="shared" ca="1" si="24"/>
        <v>0</v>
      </c>
      <c r="Q44" s="1">
        <v>10</v>
      </c>
      <c r="R44" s="7">
        <v>1.27</v>
      </c>
      <c r="S44" s="7">
        <v>1.27</v>
      </c>
      <c r="U44">
        <f t="shared" ca="1" si="25"/>
        <v>6.4965435521514037</v>
      </c>
      <c r="V44">
        <f t="shared" ca="1" si="26"/>
        <v>-6.4965435521514072</v>
      </c>
      <c r="X44" t="e">
        <f t="shared" ca="1" si="27"/>
        <v>#N/A</v>
      </c>
      <c r="Y44" t="e">
        <f t="shared" ca="1" si="28"/>
        <v>#N/A</v>
      </c>
      <c r="AQ44">
        <v>42</v>
      </c>
      <c r="AR44">
        <f t="shared" si="0"/>
        <v>8.9177379057287318</v>
      </c>
      <c r="AS44">
        <f t="shared" si="1"/>
        <v>8.0295672763062989</v>
      </c>
      <c r="AV44">
        <v>447.60513419116808</v>
      </c>
      <c r="AW44">
        <v>241.41860164759319</v>
      </c>
      <c r="AX44">
        <v>241.41860164759314</v>
      </c>
      <c r="AY44">
        <f t="shared" si="2"/>
        <v>341.41746065917386</v>
      </c>
      <c r="AZ44">
        <v>638.65055768035529</v>
      </c>
      <c r="BA44">
        <v>344.46013416547885</v>
      </c>
      <c r="BB44">
        <v>344.46013416547879</v>
      </c>
      <c r="BC44">
        <f t="shared" si="3"/>
        <v>487.14019343367607</v>
      </c>
    </row>
    <row r="45" spans="1:55" x14ac:dyDescent="0.25">
      <c r="A45">
        <v>9</v>
      </c>
      <c r="B45" s="5">
        <v>7</v>
      </c>
      <c r="C45" s="1">
        <f t="shared" ca="1" si="12"/>
        <v>0</v>
      </c>
      <c r="D45" s="46">
        <f t="shared" si="13"/>
        <v>0</v>
      </c>
      <c r="E45" s="46">
        <f t="shared" si="14"/>
        <v>0</v>
      </c>
      <c r="G45" t="e">
        <f t="shared" ca="1" si="15"/>
        <v>#N/A</v>
      </c>
      <c r="H45" t="e">
        <f t="shared" ca="1" si="16"/>
        <v>#N/A</v>
      </c>
      <c r="I45" s="7">
        <f t="shared" si="17"/>
        <v>0</v>
      </c>
      <c r="J45" s="7">
        <f t="shared" si="18"/>
        <v>0</v>
      </c>
      <c r="K45">
        <f t="shared" si="19"/>
        <v>12</v>
      </c>
      <c r="L45" s="15">
        <f t="shared" ca="1" si="20"/>
        <v>0</v>
      </c>
      <c r="M45" s="9">
        <f t="shared" ca="1" si="21"/>
        <v>0</v>
      </c>
      <c r="N45" s="7">
        <f t="shared" ca="1" si="22"/>
        <v>0</v>
      </c>
      <c r="O45" s="7">
        <f t="shared" ca="1" si="23"/>
        <v>0</v>
      </c>
      <c r="P45" s="7">
        <f t="shared" ca="1" si="24"/>
        <v>0</v>
      </c>
      <c r="Q45" s="1">
        <v>11</v>
      </c>
      <c r="R45" s="7">
        <v>1.41</v>
      </c>
      <c r="S45" s="7">
        <v>1.56</v>
      </c>
      <c r="U45" t="e">
        <f t="shared" ca="1" si="25"/>
        <v>#N/A</v>
      </c>
      <c r="V45" t="e">
        <f t="shared" ca="1" si="26"/>
        <v>#N/A</v>
      </c>
      <c r="X45" t="e">
        <f t="shared" ca="1" si="27"/>
        <v>#N/A</v>
      </c>
      <c r="Y45" t="e">
        <f t="shared" ca="1" si="28"/>
        <v>#N/A</v>
      </c>
      <c r="AQ45">
        <v>43</v>
      </c>
      <c r="AR45">
        <f t="shared" si="0"/>
        <v>8.7762444194300464</v>
      </c>
      <c r="AS45">
        <f t="shared" si="1"/>
        <v>8.1839803207499813</v>
      </c>
      <c r="AV45">
        <v>464.43358976714825</v>
      </c>
      <c r="AW45">
        <v>238.81273349150155</v>
      </c>
      <c r="AX45">
        <v>238.81273349150158</v>
      </c>
      <c r="AY45">
        <f t="shared" si="2"/>
        <v>337.73220657107294</v>
      </c>
      <c r="AZ45">
        <v>676.07543417727754</v>
      </c>
      <c r="BA45">
        <v>347.63941721630817</v>
      </c>
      <c r="BB45">
        <v>347.63941721630823</v>
      </c>
      <c r="BC45">
        <f t="shared" si="3"/>
        <v>491.63637864278189</v>
      </c>
    </row>
    <row r="46" spans="1:55" x14ac:dyDescent="0.25">
      <c r="A46">
        <v>10</v>
      </c>
      <c r="B46" s="5">
        <v>7</v>
      </c>
      <c r="C46" s="1">
        <f t="shared" ca="1" si="12"/>
        <v>0</v>
      </c>
      <c r="D46" s="46">
        <f t="shared" si="13"/>
        <v>0</v>
      </c>
      <c r="E46" s="46">
        <f t="shared" si="14"/>
        <v>0</v>
      </c>
      <c r="G46" t="e">
        <f t="shared" ca="1" si="15"/>
        <v>#N/A</v>
      </c>
      <c r="H46" t="e">
        <f t="shared" ca="1" si="16"/>
        <v>#N/A</v>
      </c>
      <c r="I46" s="7">
        <f t="shared" si="17"/>
        <v>0</v>
      </c>
      <c r="J46" s="7">
        <f t="shared" si="18"/>
        <v>0</v>
      </c>
      <c r="K46">
        <f t="shared" si="19"/>
        <v>12</v>
      </c>
      <c r="L46" s="15">
        <f t="shared" ca="1" si="20"/>
        <v>0</v>
      </c>
      <c r="M46" s="9">
        <f t="shared" ca="1" si="21"/>
        <v>0</v>
      </c>
      <c r="N46" s="7">
        <f t="shared" ca="1" si="22"/>
        <v>0</v>
      </c>
      <c r="O46" s="7">
        <f t="shared" ca="1" si="23"/>
        <v>0</v>
      </c>
      <c r="P46" s="7">
        <f t="shared" ca="1" si="24"/>
        <v>0</v>
      </c>
      <c r="Q46" s="1">
        <v>14</v>
      </c>
      <c r="R46" s="7">
        <v>1.6930000000000001</v>
      </c>
      <c r="S46" s="7">
        <v>2.25</v>
      </c>
      <c r="U46" t="e">
        <f t="shared" ca="1" si="25"/>
        <v>#N/A</v>
      </c>
      <c r="V46" t="e">
        <f t="shared" ca="1" si="26"/>
        <v>#N/A</v>
      </c>
      <c r="X46" t="e">
        <f t="shared" ca="1" si="27"/>
        <v>#N/A</v>
      </c>
      <c r="Y46" t="e">
        <f t="shared" ca="1" si="28"/>
        <v>#N/A</v>
      </c>
      <c r="AQ46">
        <v>44</v>
      </c>
      <c r="AR46">
        <f t="shared" si="0"/>
        <v>8.6320776040638147</v>
      </c>
      <c r="AS46">
        <f t="shared" si="1"/>
        <v>8.335900445507967</v>
      </c>
      <c r="AV46">
        <v>481.26204534312842</v>
      </c>
      <c r="AW46">
        <v>236.03628784697</v>
      </c>
      <c r="AX46">
        <v>236.03628784696997</v>
      </c>
      <c r="AY46">
        <f t="shared" si="2"/>
        <v>333.80571948538471</v>
      </c>
      <c r="AZ46">
        <v>714.83888331772209</v>
      </c>
      <c r="BA46">
        <v>350.59468757127826</v>
      </c>
      <c r="BB46">
        <v>350.5946875712782</v>
      </c>
      <c r="BC46">
        <f t="shared" si="3"/>
        <v>495.81576205925961</v>
      </c>
    </row>
    <row r="47" spans="1:55" x14ac:dyDescent="0.25">
      <c r="A47">
        <v>11</v>
      </c>
      <c r="B47" s="5">
        <v>7</v>
      </c>
      <c r="C47" s="1">
        <f t="shared" ca="1" si="12"/>
        <v>0</v>
      </c>
      <c r="D47" s="46">
        <f t="shared" si="13"/>
        <v>0</v>
      </c>
      <c r="E47" s="46">
        <f t="shared" si="14"/>
        <v>0</v>
      </c>
      <c r="G47" t="e">
        <f t="shared" ca="1" si="15"/>
        <v>#N/A</v>
      </c>
      <c r="H47" t="e">
        <f t="shared" ca="1" si="16"/>
        <v>#N/A</v>
      </c>
      <c r="I47" s="7">
        <f t="shared" si="17"/>
        <v>0</v>
      </c>
      <c r="J47" s="7">
        <f t="shared" si="18"/>
        <v>0</v>
      </c>
      <c r="K47">
        <f t="shared" si="19"/>
        <v>12</v>
      </c>
      <c r="L47" s="15">
        <f t="shared" ca="1" si="20"/>
        <v>0</v>
      </c>
      <c r="M47" s="9">
        <f t="shared" ca="1" si="21"/>
        <v>0</v>
      </c>
      <c r="N47" s="7">
        <f t="shared" ca="1" si="22"/>
        <v>0</v>
      </c>
      <c r="O47" s="7">
        <f t="shared" ca="1" si="23"/>
        <v>0</v>
      </c>
      <c r="P47" s="7">
        <f t="shared" ca="1" si="24"/>
        <v>0</v>
      </c>
      <c r="Q47" s="1">
        <v>18</v>
      </c>
      <c r="R47" s="7">
        <v>2.2570000000000001</v>
      </c>
      <c r="S47" s="7">
        <v>4</v>
      </c>
      <c r="U47" t="e">
        <f t="shared" ca="1" si="25"/>
        <v>#N/A</v>
      </c>
      <c r="V47" t="e">
        <f t="shared" ca="1" si="26"/>
        <v>#N/A</v>
      </c>
      <c r="X47" t="e">
        <f t="shared" ca="1" si="27"/>
        <v>#N/A</v>
      </c>
      <c r="Y47" t="e">
        <f t="shared" ca="1" si="28"/>
        <v>#N/A</v>
      </c>
      <c r="AQ47">
        <v>45</v>
      </c>
      <c r="AR47">
        <f t="shared" si="0"/>
        <v>8.4852813742385713</v>
      </c>
      <c r="AS47">
        <f t="shared" si="1"/>
        <v>8.4852813742385695</v>
      </c>
      <c r="AV47">
        <v>498.09050091910859</v>
      </c>
      <c r="AW47">
        <v>233.06413829487386</v>
      </c>
      <c r="AX47">
        <v>233.06413829487377</v>
      </c>
      <c r="AY47">
        <f t="shared" si="2"/>
        <v>329.60246527940916</v>
      </c>
      <c r="AZ47">
        <v>754.96470578548053</v>
      </c>
      <c r="BA47">
        <v>353.25949455420681</v>
      </c>
      <c r="BB47">
        <v>353.2594945542067</v>
      </c>
      <c r="BC47">
        <f t="shared" si="3"/>
        <v>499.58436823562369</v>
      </c>
    </row>
    <row r="48" spans="1:55" x14ac:dyDescent="0.25">
      <c r="A48">
        <v>12</v>
      </c>
      <c r="B48" s="5">
        <v>7</v>
      </c>
      <c r="C48" s="1">
        <f t="shared" ca="1" si="12"/>
        <v>0</v>
      </c>
      <c r="D48" s="46">
        <f t="shared" si="13"/>
        <v>0</v>
      </c>
      <c r="E48" s="46">
        <f t="shared" si="14"/>
        <v>0</v>
      </c>
      <c r="G48" t="e">
        <f t="shared" ca="1" si="15"/>
        <v>#N/A</v>
      </c>
      <c r="H48" t="e">
        <f t="shared" ca="1" si="16"/>
        <v>#N/A</v>
      </c>
      <c r="I48" s="7">
        <f t="shared" si="17"/>
        <v>0</v>
      </c>
      <c r="J48" s="7">
        <f t="shared" si="18"/>
        <v>0</v>
      </c>
      <c r="K48">
        <f t="shared" si="19"/>
        <v>12</v>
      </c>
      <c r="L48" s="15">
        <f t="shared" ca="1" si="20"/>
        <v>0</v>
      </c>
      <c r="M48" s="9">
        <f t="shared" ca="1" si="21"/>
        <v>0</v>
      </c>
      <c r="N48" s="7">
        <f t="shared" ca="1" si="22"/>
        <v>0</v>
      </c>
      <c r="O48" s="7">
        <f t="shared" ca="1" si="23"/>
        <v>0</v>
      </c>
      <c r="P48" s="7">
        <f t="shared" ca="1" si="24"/>
        <v>0</v>
      </c>
      <c r="U48" t="e">
        <f t="shared" ca="1" si="25"/>
        <v>#N/A</v>
      </c>
      <c r="V48" t="e">
        <f t="shared" ca="1" si="26"/>
        <v>#N/A</v>
      </c>
      <c r="X48" t="e">
        <f t="shared" ca="1" si="27"/>
        <v>#N/A</v>
      </c>
      <c r="Y48" t="e">
        <f t="shared" ca="1" si="28"/>
        <v>#N/A</v>
      </c>
      <c r="AQ48">
        <v>46</v>
      </c>
      <c r="AR48">
        <f t="shared" si="0"/>
        <v>8.335900445507967</v>
      </c>
      <c r="AS48">
        <f t="shared" si="1"/>
        <v>8.632077604063813</v>
      </c>
      <c r="AV48">
        <v>514.91895649508876</v>
      </c>
      <c r="AW48">
        <v>230.37726692095643</v>
      </c>
      <c r="AX48">
        <v>230.37726692095637</v>
      </c>
      <c r="AY48">
        <f t="shared" si="2"/>
        <v>325.80265534206313</v>
      </c>
      <c r="AZ48">
        <v>792.18300999244423</v>
      </c>
      <c r="BA48">
        <v>354.4265644937791</v>
      </c>
      <c r="BB48">
        <v>354.42656449377904</v>
      </c>
      <c r="BC48">
        <f t="shared" si="3"/>
        <v>501.23485437240481</v>
      </c>
    </row>
    <row r="49" spans="1:55" x14ac:dyDescent="0.25">
      <c r="A49">
        <v>13</v>
      </c>
      <c r="B49" s="5">
        <v>7</v>
      </c>
      <c r="C49" s="1">
        <f t="shared" ca="1" si="12"/>
        <v>0</v>
      </c>
      <c r="D49" s="46">
        <f t="shared" si="13"/>
        <v>0</v>
      </c>
      <c r="E49" s="46">
        <f t="shared" si="14"/>
        <v>0</v>
      </c>
      <c r="G49" t="e">
        <f t="shared" ca="1" si="15"/>
        <v>#N/A</v>
      </c>
      <c r="H49" t="e">
        <f t="shared" ca="1" si="16"/>
        <v>#N/A</v>
      </c>
      <c r="I49" s="7">
        <f t="shared" si="17"/>
        <v>0</v>
      </c>
      <c r="J49" s="7">
        <f t="shared" si="18"/>
        <v>0</v>
      </c>
      <c r="K49">
        <f t="shared" si="19"/>
        <v>12</v>
      </c>
      <c r="L49" s="15">
        <f t="shared" ca="1" si="20"/>
        <v>0</v>
      </c>
      <c r="M49" s="9">
        <f t="shared" ca="1" si="21"/>
        <v>0</v>
      </c>
      <c r="N49" s="7">
        <f t="shared" ca="1" si="22"/>
        <v>0</v>
      </c>
      <c r="O49" s="7">
        <f t="shared" ca="1" si="23"/>
        <v>0</v>
      </c>
      <c r="P49" s="7">
        <f t="shared" ca="1" si="24"/>
        <v>0</v>
      </c>
      <c r="U49" t="e">
        <f t="shared" ca="1" si="25"/>
        <v>#N/A</v>
      </c>
      <c r="V49" t="e">
        <f t="shared" ca="1" si="26"/>
        <v>#N/A</v>
      </c>
      <c r="X49" t="e">
        <f t="shared" ca="1" si="27"/>
        <v>#N/A</v>
      </c>
      <c r="Y49" t="e">
        <f t="shared" ca="1" si="28"/>
        <v>#N/A</v>
      </c>
      <c r="AQ49">
        <v>47</v>
      </c>
      <c r="AR49">
        <f t="shared" si="0"/>
        <v>8.1839803207499813</v>
      </c>
      <c r="AS49">
        <f t="shared" si="1"/>
        <v>8.7762444194300464</v>
      </c>
      <c r="AV49">
        <v>531.74741207106899</v>
      </c>
      <c r="AW49">
        <v>230.58038486711632</v>
      </c>
      <c r="AX49">
        <v>230.58038486711638</v>
      </c>
      <c r="AY49">
        <f t="shared" si="2"/>
        <v>326.0899074962839</v>
      </c>
      <c r="AZ49">
        <v>818.07294164779842</v>
      </c>
      <c r="BA49">
        <v>354.73905364171742</v>
      </c>
      <c r="BB49">
        <v>354.73905364171748</v>
      </c>
      <c r="BC49">
        <f t="shared" si="3"/>
        <v>501.6767807635137</v>
      </c>
    </row>
    <row r="50" spans="1:55" x14ac:dyDescent="0.25">
      <c r="A50">
        <v>14</v>
      </c>
      <c r="B50" s="5">
        <v>7</v>
      </c>
      <c r="C50" s="1">
        <f t="shared" ca="1" si="12"/>
        <v>0</v>
      </c>
      <c r="D50" s="46">
        <f t="shared" si="13"/>
        <v>0</v>
      </c>
      <c r="E50" s="46">
        <f t="shared" si="14"/>
        <v>0</v>
      </c>
      <c r="G50" t="e">
        <f t="shared" ca="1" si="15"/>
        <v>#N/A</v>
      </c>
      <c r="H50" t="e">
        <f t="shared" ca="1" si="16"/>
        <v>#N/A</v>
      </c>
      <c r="I50" s="7">
        <f t="shared" si="17"/>
        <v>0</v>
      </c>
      <c r="J50" s="7">
        <f t="shared" si="18"/>
        <v>0</v>
      </c>
      <c r="K50">
        <f t="shared" si="19"/>
        <v>12</v>
      </c>
      <c r="L50" s="15">
        <f t="shared" ca="1" si="20"/>
        <v>0</v>
      </c>
      <c r="M50" s="9">
        <f t="shared" ca="1" si="21"/>
        <v>0</v>
      </c>
      <c r="N50" s="7">
        <f t="shared" ca="1" si="22"/>
        <v>0</v>
      </c>
      <c r="O50" s="7">
        <f t="shared" ca="1" si="23"/>
        <v>0</v>
      </c>
      <c r="P50" s="7">
        <f t="shared" ca="1" si="24"/>
        <v>0</v>
      </c>
      <c r="U50" t="e">
        <f t="shared" ca="1" si="25"/>
        <v>#N/A</v>
      </c>
      <c r="V50" t="e">
        <f t="shared" ca="1" si="26"/>
        <v>#N/A</v>
      </c>
      <c r="X50" t="e">
        <f t="shared" ca="1" si="27"/>
        <v>#N/A</v>
      </c>
      <c r="Y50" t="e">
        <f t="shared" ca="1" si="28"/>
        <v>#N/A</v>
      </c>
      <c r="AQ50">
        <v>48</v>
      </c>
      <c r="AR50">
        <f t="shared" si="0"/>
        <v>8.0295672763062989</v>
      </c>
      <c r="AS50">
        <f t="shared" si="1"/>
        <v>8.9177379057287318</v>
      </c>
      <c r="AV50">
        <v>548.57586764704922</v>
      </c>
      <c r="AW50">
        <v>230.68601199403221</v>
      </c>
      <c r="AX50">
        <v>230.68601199403216</v>
      </c>
      <c r="AY50">
        <f t="shared" si="2"/>
        <v>326.23928681172276</v>
      </c>
      <c r="AZ50">
        <v>843.96287330315261</v>
      </c>
      <c r="BA50">
        <v>354.90155691389572</v>
      </c>
      <c r="BB50">
        <v>354.9015569138956</v>
      </c>
      <c r="BC50">
        <f t="shared" si="3"/>
        <v>501.90659509495811</v>
      </c>
    </row>
    <row r="51" spans="1:55" x14ac:dyDescent="0.25">
      <c r="A51">
        <v>15</v>
      </c>
      <c r="B51" s="5">
        <v>7</v>
      </c>
      <c r="C51" s="1">
        <f t="shared" ca="1" si="12"/>
        <v>0</v>
      </c>
      <c r="D51" s="46">
        <f t="shared" si="13"/>
        <v>0</v>
      </c>
      <c r="E51" s="46">
        <f t="shared" si="14"/>
        <v>0</v>
      </c>
      <c r="G51" t="e">
        <f t="shared" ca="1" si="15"/>
        <v>#N/A</v>
      </c>
      <c r="H51" t="e">
        <f t="shared" ca="1" si="16"/>
        <v>#N/A</v>
      </c>
      <c r="I51" s="7">
        <f t="shared" si="17"/>
        <v>0</v>
      </c>
      <c r="J51" s="7">
        <f t="shared" si="18"/>
        <v>0</v>
      </c>
      <c r="K51">
        <f t="shared" si="19"/>
        <v>12</v>
      </c>
      <c r="L51" s="15">
        <f t="shared" ca="1" si="20"/>
        <v>0</v>
      </c>
      <c r="M51" s="9">
        <f t="shared" ca="1" si="21"/>
        <v>0</v>
      </c>
      <c r="N51" s="7">
        <f t="shared" ca="1" si="22"/>
        <v>0</v>
      </c>
      <c r="O51" s="7">
        <f t="shared" ca="1" si="23"/>
        <v>0</v>
      </c>
      <c r="P51" s="7">
        <f t="shared" ca="1" si="24"/>
        <v>0</v>
      </c>
      <c r="U51" t="e">
        <f t="shared" ca="1" si="25"/>
        <v>#N/A</v>
      </c>
      <c r="V51" t="e">
        <f t="shared" ca="1" si="26"/>
        <v>#N/A</v>
      </c>
      <c r="X51" t="e">
        <f t="shared" ca="1" si="27"/>
        <v>#N/A</v>
      </c>
      <c r="Y51" t="e">
        <f t="shared" ca="1" si="28"/>
        <v>#N/A</v>
      </c>
      <c r="AQ51">
        <v>49</v>
      </c>
      <c r="AR51">
        <f t="shared" si="0"/>
        <v>7.8727083478860873</v>
      </c>
      <c r="AS51">
        <f t="shared" si="1"/>
        <v>9.0565149626732637</v>
      </c>
      <c r="AV51">
        <v>565.40432322302945</v>
      </c>
      <c r="AW51">
        <v>230.68894519593269</v>
      </c>
      <c r="AX51">
        <v>230.68894519593266</v>
      </c>
      <c r="AY51">
        <f t="shared" si="2"/>
        <v>326.24343498563167</v>
      </c>
      <c r="AZ51">
        <v>869.85280495850679</v>
      </c>
      <c r="BA51">
        <v>354.90606953220413</v>
      </c>
      <c r="BB51">
        <v>354.90606953220407</v>
      </c>
      <c r="BC51">
        <f t="shared" si="3"/>
        <v>501.91297690097173</v>
      </c>
    </row>
    <row r="52" spans="1:55" x14ac:dyDescent="0.25">
      <c r="A52">
        <v>16</v>
      </c>
      <c r="B52" s="5">
        <v>7</v>
      </c>
      <c r="C52" s="1">
        <f t="shared" ca="1" si="12"/>
        <v>0</v>
      </c>
      <c r="D52" s="46">
        <f t="shared" si="13"/>
        <v>0</v>
      </c>
      <c r="E52" s="46">
        <f t="shared" si="14"/>
        <v>0</v>
      </c>
      <c r="G52" t="e">
        <f t="shared" ca="1" si="15"/>
        <v>#N/A</v>
      </c>
      <c r="H52" t="e">
        <f t="shared" ca="1" si="16"/>
        <v>#N/A</v>
      </c>
      <c r="I52" s="7">
        <f t="shared" si="17"/>
        <v>0</v>
      </c>
      <c r="J52" s="7">
        <f t="shared" si="18"/>
        <v>0</v>
      </c>
      <c r="K52">
        <f t="shared" si="19"/>
        <v>12</v>
      </c>
      <c r="L52" s="15">
        <f t="shared" ca="1" si="20"/>
        <v>0</v>
      </c>
      <c r="M52" s="9">
        <f t="shared" ca="1" si="21"/>
        <v>0</v>
      </c>
      <c r="N52" s="7">
        <f t="shared" ca="1" si="22"/>
        <v>0</v>
      </c>
      <c r="O52" s="7">
        <f t="shared" ca="1" si="23"/>
        <v>0</v>
      </c>
      <c r="P52" s="7">
        <f t="shared" ca="1" si="24"/>
        <v>0</v>
      </c>
      <c r="U52" t="e">
        <f t="shared" ca="1" si="25"/>
        <v>#N/A</v>
      </c>
      <c r="V52" t="e">
        <f t="shared" ca="1" si="26"/>
        <v>#N/A</v>
      </c>
      <c r="X52" t="e">
        <f t="shared" ca="1" si="27"/>
        <v>#N/A</v>
      </c>
      <c r="Y52" t="e">
        <f t="shared" ca="1" si="28"/>
        <v>#N/A</v>
      </c>
      <c r="AQ52">
        <v>50</v>
      </c>
      <c r="AR52">
        <f t="shared" si="0"/>
        <v>7.7134513162384728</v>
      </c>
      <c r="AS52">
        <f t="shared" si="1"/>
        <v>9.1925333174277366</v>
      </c>
      <c r="AV52">
        <v>582.23277879900968</v>
      </c>
      <c r="AW52">
        <v>230.58413528397503</v>
      </c>
      <c r="AX52">
        <v>230.58413528397497</v>
      </c>
      <c r="AY52">
        <f t="shared" si="2"/>
        <v>326.09521138666997</v>
      </c>
      <c r="AZ52">
        <v>895.74273661386098</v>
      </c>
      <c r="BA52">
        <v>354.74482351380772</v>
      </c>
      <c r="BB52">
        <v>354.74482351380766</v>
      </c>
      <c r="BC52">
        <f t="shared" si="3"/>
        <v>501.68494059487688</v>
      </c>
    </row>
    <row r="53" spans="1:55" x14ac:dyDescent="0.25">
      <c r="A53">
        <v>17</v>
      </c>
      <c r="B53" s="5">
        <v>7</v>
      </c>
      <c r="C53" s="1">
        <f t="shared" ca="1" si="12"/>
        <v>0</v>
      </c>
      <c r="D53" s="46">
        <f t="shared" si="13"/>
        <v>0</v>
      </c>
      <c r="E53" s="46">
        <f t="shared" si="14"/>
        <v>0</v>
      </c>
      <c r="G53" t="e">
        <f t="shared" ca="1" si="15"/>
        <v>#N/A</v>
      </c>
      <c r="H53" t="e">
        <f t="shared" ca="1" si="16"/>
        <v>#N/A</v>
      </c>
      <c r="I53" s="7">
        <f t="shared" si="17"/>
        <v>0</v>
      </c>
      <c r="J53" s="7">
        <f t="shared" si="18"/>
        <v>0</v>
      </c>
      <c r="K53">
        <f t="shared" si="19"/>
        <v>12</v>
      </c>
      <c r="L53" s="15">
        <f t="shared" ca="1" si="20"/>
        <v>0</v>
      </c>
      <c r="M53" s="9">
        <f t="shared" ca="1" si="21"/>
        <v>0</v>
      </c>
      <c r="N53" s="7">
        <f t="shared" ca="1" si="22"/>
        <v>0</v>
      </c>
      <c r="O53" s="7">
        <f t="shared" ca="1" si="23"/>
        <v>0</v>
      </c>
      <c r="P53" s="7">
        <f t="shared" ca="1" si="24"/>
        <v>0</v>
      </c>
      <c r="U53" t="e">
        <f t="shared" ca="1" si="25"/>
        <v>#N/A</v>
      </c>
      <c r="V53" t="e">
        <f t="shared" ca="1" si="26"/>
        <v>#N/A</v>
      </c>
      <c r="X53" t="e">
        <f t="shared" ca="1" si="27"/>
        <v>#N/A</v>
      </c>
      <c r="Y53" t="e">
        <f t="shared" ca="1" si="28"/>
        <v>#N/A</v>
      </c>
      <c r="AQ53">
        <v>51</v>
      </c>
      <c r="AR53">
        <f t="shared" si="0"/>
        <v>7.55184469259805</v>
      </c>
      <c r="AS53">
        <f t="shared" si="1"/>
        <v>9.3257515374836508</v>
      </c>
      <c r="AV53">
        <v>599.06123437498991</v>
      </c>
      <c r="AW53">
        <v>230.36668488037679</v>
      </c>
      <c r="AX53">
        <v>230.36668488037674</v>
      </c>
      <c r="AY53">
        <f t="shared" si="2"/>
        <v>325.78769007675783</v>
      </c>
      <c r="AZ53">
        <v>921.63266826921517</v>
      </c>
      <c r="BA53">
        <v>354.41028443134888</v>
      </c>
      <c r="BB53">
        <v>354.41028443134883</v>
      </c>
      <c r="BC53">
        <f t="shared" si="3"/>
        <v>501.21183088731976</v>
      </c>
    </row>
    <row r="54" spans="1:55" x14ac:dyDescent="0.25">
      <c r="A54">
        <v>18</v>
      </c>
      <c r="B54" s="5">
        <v>7</v>
      </c>
      <c r="C54" s="1">
        <f t="shared" ca="1" si="12"/>
        <v>0</v>
      </c>
      <c r="D54" s="46">
        <f t="shared" si="13"/>
        <v>0</v>
      </c>
      <c r="E54" s="46">
        <f t="shared" si="14"/>
        <v>0</v>
      </c>
      <c r="G54" t="e">
        <f t="shared" ca="1" si="15"/>
        <v>#N/A</v>
      </c>
      <c r="H54" t="e">
        <f t="shared" ca="1" si="16"/>
        <v>#N/A</v>
      </c>
      <c r="I54" s="7">
        <f t="shared" si="17"/>
        <v>0</v>
      </c>
      <c r="J54" s="7">
        <f t="shared" si="18"/>
        <v>0</v>
      </c>
      <c r="K54">
        <f t="shared" si="19"/>
        <v>12</v>
      </c>
      <c r="L54" s="15">
        <f t="shared" ca="1" si="20"/>
        <v>0</v>
      </c>
      <c r="M54" s="9">
        <f t="shared" ca="1" si="21"/>
        <v>0</v>
      </c>
      <c r="N54" s="7">
        <f t="shared" ca="1" si="22"/>
        <v>0</v>
      </c>
      <c r="O54" s="7">
        <f t="shared" ca="1" si="23"/>
        <v>0</v>
      </c>
      <c r="P54" s="7">
        <f t="shared" ca="1" si="24"/>
        <v>0</v>
      </c>
      <c r="U54" t="e">
        <f t="shared" ca="1" si="25"/>
        <v>#N/A</v>
      </c>
      <c r="V54" t="e">
        <f t="shared" ca="1" si="26"/>
        <v>#N/A</v>
      </c>
      <c r="X54" t="e">
        <f t="shared" ca="1" si="27"/>
        <v>#N/A</v>
      </c>
      <c r="Y54" t="e">
        <f t="shared" ca="1" si="28"/>
        <v>#N/A</v>
      </c>
      <c r="AQ54">
        <v>52</v>
      </c>
      <c r="AR54">
        <f t="shared" si="0"/>
        <v>7.3879377039078999</v>
      </c>
      <c r="AS54">
        <f t="shared" si="1"/>
        <v>9.4561290432806651</v>
      </c>
      <c r="AV54">
        <v>615.88968995097014</v>
      </c>
      <c r="AW54">
        <v>230.03184537685274</v>
      </c>
      <c r="AX54">
        <v>230.03184537685274</v>
      </c>
      <c r="AY54">
        <f t="shared" si="2"/>
        <v>325.3141555096559</v>
      </c>
      <c r="AZ54">
        <v>947.52259992456936</v>
      </c>
      <c r="BA54">
        <v>353.89514673361958</v>
      </c>
      <c r="BB54">
        <v>353.89514673361958</v>
      </c>
      <c r="BC54">
        <f t="shared" si="3"/>
        <v>500.48331616870132</v>
      </c>
    </row>
    <row r="55" spans="1:55" x14ac:dyDescent="0.25">
      <c r="A55">
        <v>19</v>
      </c>
      <c r="B55" s="5">
        <v>7</v>
      </c>
      <c r="C55" s="1">
        <f t="shared" ca="1" si="12"/>
        <v>0</v>
      </c>
      <c r="D55" s="46">
        <f t="shared" si="13"/>
        <v>0</v>
      </c>
      <c r="E55" s="46">
        <f t="shared" si="14"/>
        <v>0</v>
      </c>
      <c r="G55" t="e">
        <f t="shared" ca="1" si="15"/>
        <v>#N/A</v>
      </c>
      <c r="H55" t="e">
        <f t="shared" ca="1" si="16"/>
        <v>#N/A</v>
      </c>
      <c r="I55" s="7">
        <f t="shared" si="17"/>
        <v>0</v>
      </c>
      <c r="J55" s="7">
        <f t="shared" si="18"/>
        <v>0</v>
      </c>
      <c r="K55">
        <f t="shared" si="19"/>
        <v>12</v>
      </c>
      <c r="L55" s="15">
        <f t="shared" ca="1" si="20"/>
        <v>0</v>
      </c>
      <c r="M55" s="9">
        <f t="shared" ca="1" si="21"/>
        <v>0</v>
      </c>
      <c r="N55" s="7">
        <f t="shared" ca="1" si="22"/>
        <v>0</v>
      </c>
      <c r="O55" s="7">
        <f t="shared" ca="1" si="23"/>
        <v>0</v>
      </c>
      <c r="P55" s="7">
        <f t="shared" ca="1" si="24"/>
        <v>0</v>
      </c>
      <c r="U55" t="e">
        <f t="shared" ca="1" si="25"/>
        <v>#N/A</v>
      </c>
      <c r="V55" t="e">
        <f t="shared" ca="1" si="26"/>
        <v>#N/A</v>
      </c>
      <c r="X55" t="e">
        <f t="shared" ca="1" si="27"/>
        <v>#N/A</v>
      </c>
      <c r="Y55" t="e">
        <f t="shared" ca="1" si="28"/>
        <v>#N/A</v>
      </c>
      <c r="AQ55">
        <v>53</v>
      </c>
      <c r="AR55">
        <f t="shared" si="0"/>
        <v>7.2217802778245801</v>
      </c>
      <c r="AS55">
        <f t="shared" si="1"/>
        <v>9.583626120567514</v>
      </c>
      <c r="AV55">
        <v>632.71814552695037</v>
      </c>
      <c r="AW55">
        <v>229.57501307425784</v>
      </c>
      <c r="AX55">
        <v>229.57501307425775</v>
      </c>
      <c r="AY55">
        <f t="shared" si="2"/>
        <v>324.66809707159598</v>
      </c>
      <c r="AZ55">
        <v>973.41253157992355</v>
      </c>
      <c r="BA55">
        <v>353.19232780655051</v>
      </c>
      <c r="BB55">
        <v>353.1923278065504</v>
      </c>
      <c r="BC55">
        <f t="shared" si="3"/>
        <v>499.48938011014769</v>
      </c>
    </row>
    <row r="56" spans="1:55" x14ac:dyDescent="0.25">
      <c r="A56">
        <v>20</v>
      </c>
      <c r="B56" s="5">
        <v>7</v>
      </c>
      <c r="C56" s="1">
        <f t="shared" ca="1" si="12"/>
        <v>0</v>
      </c>
      <c r="D56" s="46">
        <f t="shared" si="13"/>
        <v>0</v>
      </c>
      <c r="E56" s="46">
        <f t="shared" si="14"/>
        <v>0</v>
      </c>
      <c r="G56" t="e">
        <f t="shared" ca="1" si="15"/>
        <v>#N/A</v>
      </c>
      <c r="H56" t="e">
        <f t="shared" ca="1" si="16"/>
        <v>#N/A</v>
      </c>
      <c r="I56" s="7">
        <f t="shared" si="17"/>
        <v>0</v>
      </c>
      <c r="J56" s="7">
        <f t="shared" si="18"/>
        <v>0</v>
      </c>
      <c r="K56">
        <f t="shared" si="19"/>
        <v>12</v>
      </c>
      <c r="L56" s="15">
        <f t="shared" ca="1" si="20"/>
        <v>0</v>
      </c>
      <c r="M56" s="9">
        <f t="shared" ca="1" si="21"/>
        <v>0</v>
      </c>
      <c r="N56" s="7">
        <f t="shared" ca="1" si="22"/>
        <v>0</v>
      </c>
      <c r="O56" s="7">
        <f t="shared" ca="1" si="23"/>
        <v>0</v>
      </c>
      <c r="P56" s="7">
        <f t="shared" ca="1" si="24"/>
        <v>0</v>
      </c>
      <c r="U56" t="e">
        <f t="shared" ca="1" si="25"/>
        <v>#N/A</v>
      </c>
      <c r="V56" t="e">
        <f t="shared" ca="1" si="26"/>
        <v>#N/A</v>
      </c>
      <c r="X56" t="e">
        <f t="shared" ca="1" si="27"/>
        <v>#N/A</v>
      </c>
      <c r="Y56" t="e">
        <f t="shared" ca="1" si="28"/>
        <v>#N/A</v>
      </c>
      <c r="AQ56">
        <v>54</v>
      </c>
      <c r="AR56">
        <f t="shared" si="0"/>
        <v>7.0534230275096776</v>
      </c>
      <c r="AS56">
        <f t="shared" si="1"/>
        <v>9.7082039324993694</v>
      </c>
      <c r="AV56">
        <v>649.54660110293059</v>
      </c>
      <c r="AW56">
        <v>228.99172461132648</v>
      </c>
      <c r="AX56">
        <v>228.99172461132653</v>
      </c>
      <c r="AY56">
        <f t="shared" si="2"/>
        <v>323.84320261654278</v>
      </c>
      <c r="AZ56">
        <v>999.30246323527786</v>
      </c>
      <c r="BA56">
        <v>352.29496094050228</v>
      </c>
      <c r="BB56">
        <v>352.29496094050234</v>
      </c>
      <c r="BC56">
        <f t="shared" si="3"/>
        <v>498.22031171775814</v>
      </c>
    </row>
    <row r="57" spans="1:55" x14ac:dyDescent="0.25">
      <c r="A57">
        <v>21</v>
      </c>
      <c r="B57" s="5">
        <v>7</v>
      </c>
      <c r="C57" s="1">
        <f t="shared" ca="1" si="12"/>
        <v>0</v>
      </c>
      <c r="D57" s="46">
        <f t="shared" si="13"/>
        <v>0</v>
      </c>
      <c r="E57" s="46">
        <f t="shared" si="14"/>
        <v>0</v>
      </c>
      <c r="G57" t="e">
        <f t="shared" ca="1" si="15"/>
        <v>#N/A</v>
      </c>
      <c r="H57" t="e">
        <f t="shared" ca="1" si="16"/>
        <v>#N/A</v>
      </c>
      <c r="I57" s="7">
        <f t="shared" si="17"/>
        <v>0</v>
      </c>
      <c r="J57" s="7">
        <f t="shared" si="18"/>
        <v>0</v>
      </c>
      <c r="K57">
        <f t="shared" si="19"/>
        <v>12</v>
      </c>
      <c r="L57" s="15">
        <f t="shared" ca="1" si="20"/>
        <v>0</v>
      </c>
      <c r="M57" s="9">
        <f t="shared" ca="1" si="21"/>
        <v>0</v>
      </c>
      <c r="N57" s="7">
        <f t="shared" ca="1" si="22"/>
        <v>0</v>
      </c>
      <c r="O57" s="7">
        <f t="shared" ca="1" si="23"/>
        <v>0</v>
      </c>
      <c r="P57" s="7">
        <f t="shared" ca="1" si="24"/>
        <v>0</v>
      </c>
      <c r="U57" t="e">
        <f t="shared" ca="1" si="25"/>
        <v>#N/A</v>
      </c>
      <c r="V57" t="e">
        <f t="shared" ca="1" si="26"/>
        <v>#N/A</v>
      </c>
      <c r="X57" t="e">
        <f t="shared" ca="1" si="27"/>
        <v>#N/A</v>
      </c>
      <c r="Y57" t="e">
        <f t="shared" ca="1" si="28"/>
        <v>#N/A</v>
      </c>
      <c r="AQ57">
        <v>55</v>
      </c>
      <c r="AR57">
        <f t="shared" si="0"/>
        <v>6.8829172362125544</v>
      </c>
      <c r="AS57">
        <f t="shared" si="1"/>
        <v>9.8298245314679011</v>
      </c>
      <c r="AV57">
        <v>666.37505667891082</v>
      </c>
      <c r="AW57">
        <v>228.27765178078394</v>
      </c>
      <c r="AX57">
        <v>228.277651780784</v>
      </c>
      <c r="AY57">
        <f t="shared" si="2"/>
        <v>322.8333511350674</v>
      </c>
      <c r="AZ57">
        <v>1025.1923948906319</v>
      </c>
      <c r="BA57">
        <v>351.1963873550522</v>
      </c>
      <c r="BB57">
        <v>351.19638735505231</v>
      </c>
      <c r="BC57">
        <f t="shared" si="3"/>
        <v>496.66669405394981</v>
      </c>
    </row>
    <row r="58" spans="1:55" x14ac:dyDescent="0.25">
      <c r="A58">
        <v>22</v>
      </c>
      <c r="B58" s="5">
        <v>7</v>
      </c>
      <c r="C58" s="1">
        <f t="shared" ca="1" si="12"/>
        <v>0</v>
      </c>
      <c r="D58" s="46">
        <f t="shared" si="13"/>
        <v>0</v>
      </c>
      <c r="E58" s="46">
        <f t="shared" si="14"/>
        <v>0</v>
      </c>
      <c r="G58" t="e">
        <f t="shared" ca="1" si="15"/>
        <v>#N/A</v>
      </c>
      <c r="H58" t="e">
        <f t="shared" ca="1" si="16"/>
        <v>#N/A</v>
      </c>
      <c r="I58" s="7">
        <f t="shared" si="17"/>
        <v>0</v>
      </c>
      <c r="J58" s="7">
        <f t="shared" si="18"/>
        <v>0</v>
      </c>
      <c r="K58">
        <f t="shared" si="19"/>
        <v>12</v>
      </c>
      <c r="L58" s="15">
        <f t="shared" ca="1" si="20"/>
        <v>0</v>
      </c>
      <c r="M58" s="9">
        <f t="shared" ca="1" si="21"/>
        <v>0</v>
      </c>
      <c r="N58" s="7">
        <f t="shared" ca="1" si="22"/>
        <v>0</v>
      </c>
      <c r="O58" s="7">
        <f t="shared" ca="1" si="23"/>
        <v>0</v>
      </c>
      <c r="P58" s="7">
        <f t="shared" ca="1" si="24"/>
        <v>0</v>
      </c>
      <c r="U58" t="e">
        <f t="shared" ca="1" si="25"/>
        <v>#N/A</v>
      </c>
      <c r="V58" t="e">
        <f t="shared" ca="1" si="26"/>
        <v>#N/A</v>
      </c>
      <c r="X58" t="e">
        <f t="shared" ca="1" si="27"/>
        <v>#N/A</v>
      </c>
      <c r="Y58" t="e">
        <f t="shared" ca="1" si="28"/>
        <v>#N/A</v>
      </c>
      <c r="AQ58">
        <v>56</v>
      </c>
      <c r="AR58">
        <f t="shared" si="0"/>
        <v>6.7103148416489615</v>
      </c>
      <c r="AS58">
        <f t="shared" si="1"/>
        <v>9.9484508706605013</v>
      </c>
      <c r="AV58">
        <v>683.20351225489105</v>
      </c>
      <c r="AW58">
        <v>227.24507427339634</v>
      </c>
      <c r="AX58">
        <v>227.24507427339626</v>
      </c>
      <c r="AY58">
        <f t="shared" si="2"/>
        <v>321.37306601991833</v>
      </c>
      <c r="AZ58">
        <v>1051.0823265459862</v>
      </c>
      <c r="BA58">
        <v>349.60780657445588</v>
      </c>
      <c r="BB58">
        <v>349.60780657445576</v>
      </c>
      <c r="BC58">
        <f t="shared" si="3"/>
        <v>494.42010156910516</v>
      </c>
    </row>
    <row r="59" spans="1:55" x14ac:dyDescent="0.25">
      <c r="A59">
        <v>23</v>
      </c>
      <c r="B59" s="5">
        <v>7</v>
      </c>
      <c r="C59" s="1">
        <f t="shared" ca="1" si="12"/>
        <v>0</v>
      </c>
      <c r="D59" s="46">
        <f t="shared" si="13"/>
        <v>0</v>
      </c>
      <c r="E59" s="46">
        <f t="shared" si="14"/>
        <v>0</v>
      </c>
      <c r="G59" t="e">
        <f t="shared" ca="1" si="15"/>
        <v>#N/A</v>
      </c>
      <c r="H59" t="e">
        <f t="shared" ca="1" si="16"/>
        <v>#N/A</v>
      </c>
      <c r="I59" s="7">
        <f t="shared" si="17"/>
        <v>0</v>
      </c>
      <c r="J59" s="7">
        <f t="shared" si="18"/>
        <v>0</v>
      </c>
      <c r="K59">
        <f t="shared" si="19"/>
        <v>12</v>
      </c>
      <c r="L59" s="15">
        <f t="shared" ca="1" si="20"/>
        <v>0</v>
      </c>
      <c r="M59" s="9">
        <f t="shared" ca="1" si="21"/>
        <v>0</v>
      </c>
      <c r="N59" s="7">
        <f t="shared" ca="1" si="22"/>
        <v>0</v>
      </c>
      <c r="O59" s="7">
        <f t="shared" ca="1" si="23"/>
        <v>0</v>
      </c>
      <c r="P59" s="7">
        <f t="shared" ca="1" si="24"/>
        <v>0</v>
      </c>
      <c r="U59" t="e">
        <f t="shared" ca="1" si="25"/>
        <v>#N/A</v>
      </c>
      <c r="V59" t="e">
        <f t="shared" ca="1" si="26"/>
        <v>#N/A</v>
      </c>
      <c r="X59" t="e">
        <f t="shared" ca="1" si="27"/>
        <v>#N/A</v>
      </c>
      <c r="Y59" t="e">
        <f t="shared" ca="1" si="28"/>
        <v>#N/A</v>
      </c>
      <c r="AQ59">
        <v>57</v>
      </c>
      <c r="AR59">
        <f t="shared" si="0"/>
        <v>6.5356684201803255</v>
      </c>
      <c r="AS59">
        <f t="shared" si="1"/>
        <v>10.064046815345089</v>
      </c>
      <c r="AV59">
        <v>700.03196783087128</v>
      </c>
      <c r="AW59">
        <v>226.22909658686669</v>
      </c>
      <c r="AX59">
        <v>226.22909658686672</v>
      </c>
      <c r="AY59">
        <f t="shared" si="2"/>
        <v>319.93625659655976</v>
      </c>
      <c r="AZ59">
        <v>1076.9722582013403</v>
      </c>
      <c r="BA59">
        <v>348.04476397979488</v>
      </c>
      <c r="BB59">
        <v>348.04476397979494</v>
      </c>
      <c r="BC59">
        <f t="shared" si="3"/>
        <v>492.20962553316883</v>
      </c>
    </row>
    <row r="60" spans="1:55" x14ac:dyDescent="0.25">
      <c r="A60">
        <v>24</v>
      </c>
      <c r="B60" s="5">
        <v>7</v>
      </c>
      <c r="C60" s="1">
        <f t="shared" ca="1" si="12"/>
        <v>0</v>
      </c>
      <c r="D60" s="46">
        <f t="shared" si="13"/>
        <v>0</v>
      </c>
      <c r="E60" s="46">
        <f t="shared" si="14"/>
        <v>0</v>
      </c>
      <c r="G60" t="e">
        <f t="shared" ca="1" si="15"/>
        <v>#N/A</v>
      </c>
      <c r="H60" t="e">
        <f t="shared" ca="1" si="16"/>
        <v>#N/A</v>
      </c>
      <c r="I60" s="7">
        <f t="shared" si="17"/>
        <v>0</v>
      </c>
      <c r="J60" s="7">
        <f t="shared" si="18"/>
        <v>0</v>
      </c>
      <c r="K60">
        <f t="shared" si="19"/>
        <v>12</v>
      </c>
      <c r="L60" s="15">
        <f t="shared" ca="1" si="20"/>
        <v>0</v>
      </c>
      <c r="M60" s="9">
        <f t="shared" ca="1" si="21"/>
        <v>0</v>
      </c>
      <c r="N60" s="7">
        <f t="shared" ca="1" si="22"/>
        <v>0</v>
      </c>
      <c r="O60" s="7">
        <f t="shared" ca="1" si="23"/>
        <v>0</v>
      </c>
      <c r="P60" s="7">
        <f t="shared" ca="1" si="24"/>
        <v>0</v>
      </c>
      <c r="U60" t="e">
        <f t="shared" ca="1" si="25"/>
        <v>#N/A</v>
      </c>
      <c r="V60" t="e">
        <f t="shared" ca="1" si="26"/>
        <v>#N/A</v>
      </c>
      <c r="X60" t="e">
        <f t="shared" ca="1" si="27"/>
        <v>#N/A</v>
      </c>
      <c r="Y60" t="e">
        <f t="shared" ca="1" si="28"/>
        <v>#N/A</v>
      </c>
      <c r="AQ60">
        <v>58</v>
      </c>
      <c r="AR60">
        <f t="shared" si="0"/>
        <v>6.3590311707984588</v>
      </c>
      <c r="AS60">
        <f t="shared" si="1"/>
        <v>10.176577153877112</v>
      </c>
      <c r="AV60">
        <v>716.86042340685151</v>
      </c>
      <c r="AW60">
        <v>225.0693349505128</v>
      </c>
      <c r="AX60">
        <v>225.06933495051277</v>
      </c>
      <c r="AY60">
        <f t="shared" si="2"/>
        <v>318.29610596130806</v>
      </c>
      <c r="AZ60">
        <v>1102.8621898566946</v>
      </c>
      <c r="BA60">
        <v>346.26051530848122</v>
      </c>
      <c r="BB60">
        <v>346.26051530848116</v>
      </c>
      <c r="BC60">
        <f t="shared" si="3"/>
        <v>489.68631686355081</v>
      </c>
    </row>
    <row r="61" spans="1:55" x14ac:dyDescent="0.25">
      <c r="A61">
        <v>25</v>
      </c>
      <c r="B61" s="5">
        <v>7</v>
      </c>
      <c r="C61" s="1">
        <f t="shared" ca="1" si="12"/>
        <v>0</v>
      </c>
      <c r="D61" s="46">
        <f t="shared" si="13"/>
        <v>0</v>
      </c>
      <c r="E61" s="46">
        <f t="shared" si="14"/>
        <v>0</v>
      </c>
      <c r="G61" t="e">
        <f t="shared" ca="1" si="15"/>
        <v>#N/A</v>
      </c>
      <c r="H61" t="e">
        <f t="shared" ca="1" si="16"/>
        <v>#N/A</v>
      </c>
      <c r="I61" s="7">
        <f t="shared" si="17"/>
        <v>0</v>
      </c>
      <c r="J61" s="7">
        <f t="shared" si="18"/>
        <v>0</v>
      </c>
      <c r="K61">
        <f t="shared" si="19"/>
        <v>12</v>
      </c>
      <c r="L61" s="15">
        <f t="shared" ca="1" si="20"/>
        <v>0</v>
      </c>
      <c r="M61" s="9">
        <f t="shared" ca="1" si="21"/>
        <v>0</v>
      </c>
      <c r="N61" s="7">
        <f t="shared" ca="1" si="22"/>
        <v>0</v>
      </c>
      <c r="O61" s="7">
        <f t="shared" ca="1" si="23"/>
        <v>0</v>
      </c>
      <c r="P61" s="7">
        <f t="shared" ca="1" si="24"/>
        <v>0</v>
      </c>
      <c r="U61" t="e">
        <f t="shared" ca="1" si="25"/>
        <v>#N/A</v>
      </c>
      <c r="V61" t="e">
        <f t="shared" ca="1" si="26"/>
        <v>#N/A</v>
      </c>
      <c r="X61" t="e">
        <f t="shared" ca="1" si="27"/>
        <v>#N/A</v>
      </c>
      <c r="Y61" t="e">
        <f t="shared" ca="1" si="28"/>
        <v>#N/A</v>
      </c>
      <c r="AQ61">
        <v>59</v>
      </c>
      <c r="AR61">
        <f t="shared" si="0"/>
        <v>6.1804568989206494</v>
      </c>
      <c r="AS61">
        <f t="shared" si="1"/>
        <v>10.286007608425347</v>
      </c>
      <c r="AV61">
        <v>733.68887898283174</v>
      </c>
      <c r="AW61">
        <v>223.76196137657209</v>
      </c>
      <c r="AX61">
        <v>223.76196137657203</v>
      </c>
      <c r="AY61">
        <f t="shared" si="2"/>
        <v>316.44720052195288</v>
      </c>
      <c r="AZ61">
        <v>1128.7521215120487</v>
      </c>
      <c r="BA61">
        <v>344.24917134857242</v>
      </c>
      <c r="BB61">
        <v>344.24917134857236</v>
      </c>
      <c r="BC61">
        <f t="shared" si="3"/>
        <v>486.84184695685059</v>
      </c>
    </row>
    <row r="62" spans="1:55" x14ac:dyDescent="0.25">
      <c r="A62">
        <v>26</v>
      </c>
      <c r="B62" s="5">
        <v>7</v>
      </c>
      <c r="C62" s="1">
        <f t="shared" ca="1" si="12"/>
        <v>0</v>
      </c>
      <c r="D62" s="46">
        <f t="shared" si="13"/>
        <v>0</v>
      </c>
      <c r="E62" s="46">
        <f t="shared" si="14"/>
        <v>0</v>
      </c>
      <c r="G62" t="e">
        <f t="shared" ca="1" si="15"/>
        <v>#N/A</v>
      </c>
      <c r="H62" t="e">
        <f t="shared" ca="1" si="16"/>
        <v>#N/A</v>
      </c>
      <c r="I62" s="7">
        <f t="shared" si="17"/>
        <v>0</v>
      </c>
      <c r="J62" s="7">
        <f t="shared" si="18"/>
        <v>0</v>
      </c>
      <c r="K62">
        <f t="shared" si="19"/>
        <v>12</v>
      </c>
      <c r="L62" s="15">
        <f t="shared" ca="1" si="20"/>
        <v>0</v>
      </c>
      <c r="M62" s="9">
        <f t="shared" ca="1" si="21"/>
        <v>0</v>
      </c>
      <c r="N62" s="7">
        <f t="shared" ca="1" si="22"/>
        <v>0</v>
      </c>
      <c r="O62" s="7">
        <f t="shared" ca="1" si="23"/>
        <v>0</v>
      </c>
      <c r="P62" s="7">
        <f t="shared" ca="1" si="24"/>
        <v>0</v>
      </c>
      <c r="U62" t="e">
        <f t="shared" ca="1" si="25"/>
        <v>#N/A</v>
      </c>
      <c r="V62" t="e">
        <f t="shared" ca="1" si="26"/>
        <v>#N/A</v>
      </c>
      <c r="X62" t="e">
        <f t="shared" ca="1" si="27"/>
        <v>#N/A</v>
      </c>
      <c r="Y62" t="e">
        <f t="shared" ca="1" si="28"/>
        <v>#N/A</v>
      </c>
      <c r="AQ62">
        <v>60</v>
      </c>
      <c r="AR62">
        <f t="shared" si="0"/>
        <v>6.0000000000000018</v>
      </c>
      <c r="AS62">
        <f t="shared" si="1"/>
        <v>10.392304845413264</v>
      </c>
      <c r="AV62">
        <v>750.51733455881197</v>
      </c>
      <c r="AW62">
        <v>222.30324922647688</v>
      </c>
      <c r="AX62">
        <v>222.30324922647682</v>
      </c>
      <c r="AY62">
        <f t="shared" si="2"/>
        <v>314.38427001568982</v>
      </c>
      <c r="AZ62">
        <v>1154.642053167403</v>
      </c>
      <c r="BA62">
        <v>342.00499880996443</v>
      </c>
      <c r="BB62">
        <v>342.00499880996432</v>
      </c>
      <c r="BC62">
        <f t="shared" si="3"/>
        <v>483.66810771644583</v>
      </c>
    </row>
    <row r="63" spans="1:55" x14ac:dyDescent="0.25">
      <c r="A63">
        <v>27</v>
      </c>
      <c r="B63" s="5">
        <v>0</v>
      </c>
      <c r="C63" s="1">
        <f t="shared" ca="1" si="12"/>
        <v>0</v>
      </c>
      <c r="D63" s="46">
        <f t="shared" si="13"/>
        <v>0</v>
      </c>
      <c r="E63" s="46">
        <f t="shared" si="14"/>
        <v>0</v>
      </c>
      <c r="G63" t="e">
        <f t="shared" ca="1" si="15"/>
        <v>#N/A</v>
      </c>
      <c r="H63" t="e">
        <f t="shared" ca="1" si="16"/>
        <v>#N/A</v>
      </c>
      <c r="I63" s="7">
        <f t="shared" si="17"/>
        <v>0</v>
      </c>
      <c r="J63" s="7">
        <f t="shared" si="18"/>
        <v>0</v>
      </c>
      <c r="K63">
        <f t="shared" si="19"/>
        <v>0</v>
      </c>
      <c r="L63" s="15">
        <f t="shared" ca="1" si="20"/>
        <v>0</v>
      </c>
      <c r="M63" s="9">
        <f t="shared" ca="1" si="21"/>
        <v>0</v>
      </c>
      <c r="N63" s="7">
        <f t="shared" ca="1" si="22"/>
        <v>0</v>
      </c>
      <c r="O63" s="7">
        <f t="shared" ca="1" si="23"/>
        <v>0</v>
      </c>
      <c r="P63" s="7">
        <f t="shared" ca="1" si="24"/>
        <v>0</v>
      </c>
      <c r="U63" t="e">
        <f t="shared" ca="1" si="25"/>
        <v>#N/A</v>
      </c>
      <c r="V63" t="e">
        <f t="shared" ca="1" si="26"/>
        <v>#N/A</v>
      </c>
      <c r="X63" t="e">
        <f t="shared" ca="1" si="27"/>
        <v>#N/A</v>
      </c>
      <c r="Y63" t="e">
        <f t="shared" ca="1" si="28"/>
        <v>#N/A</v>
      </c>
      <c r="AQ63">
        <v>61</v>
      </c>
      <c r="AR63">
        <f t="shared" si="0"/>
        <v>5.8177154429560449</v>
      </c>
      <c r="AS63">
        <f t="shared" si="1"/>
        <v>10.495436485672748</v>
      </c>
      <c r="AV63">
        <v>767.3457901347922</v>
      </c>
      <c r="AW63">
        <v>220.68956581129149</v>
      </c>
      <c r="AX63">
        <v>220.68956581129149</v>
      </c>
      <c r="AY63">
        <f t="shared" si="2"/>
        <v>312.10217704455812</v>
      </c>
      <c r="AZ63">
        <v>1180.5319848227573</v>
      </c>
      <c r="BA63">
        <v>339.52240894044843</v>
      </c>
      <c r="BB63">
        <v>339.52240894044843</v>
      </c>
      <c r="BC63">
        <f t="shared" si="3"/>
        <v>480.15719545316637</v>
      </c>
    </row>
    <row r="64" spans="1:55" x14ac:dyDescent="0.25">
      <c r="A64">
        <v>28</v>
      </c>
      <c r="B64" s="5">
        <v>0</v>
      </c>
      <c r="C64" s="1">
        <f t="shared" ca="1" si="12"/>
        <v>0</v>
      </c>
      <c r="D64" s="46">
        <f t="shared" si="13"/>
        <v>0</v>
      </c>
      <c r="E64" s="46">
        <f t="shared" si="14"/>
        <v>0</v>
      </c>
      <c r="G64" t="e">
        <f t="shared" ca="1" si="15"/>
        <v>#N/A</v>
      </c>
      <c r="H64" t="e">
        <f t="shared" ca="1" si="16"/>
        <v>#N/A</v>
      </c>
      <c r="I64" s="7">
        <f t="shared" si="17"/>
        <v>0</v>
      </c>
      <c r="J64" s="7">
        <f t="shared" si="18"/>
        <v>0</v>
      </c>
      <c r="K64">
        <f t="shared" si="19"/>
        <v>0</v>
      </c>
      <c r="L64" s="15">
        <f t="shared" ca="1" si="20"/>
        <v>0</v>
      </c>
      <c r="M64" s="9">
        <f t="shared" ca="1" si="21"/>
        <v>0</v>
      </c>
      <c r="N64" s="7">
        <f t="shared" ca="1" si="22"/>
        <v>0</v>
      </c>
      <c r="O64" s="7">
        <f t="shared" ca="1" si="23"/>
        <v>0</v>
      </c>
      <c r="P64" s="7">
        <f t="shared" ca="1" si="24"/>
        <v>0</v>
      </c>
      <c r="U64" t="e">
        <f t="shared" ca="1" si="25"/>
        <v>#N/A</v>
      </c>
      <c r="V64" t="e">
        <f t="shared" ca="1" si="26"/>
        <v>#N/A</v>
      </c>
      <c r="X64" t="e">
        <f t="shared" ca="1" si="27"/>
        <v>#N/A</v>
      </c>
      <c r="Y64" t="e">
        <f t="shared" ca="1" si="28"/>
        <v>#N/A</v>
      </c>
      <c r="AQ64">
        <v>62</v>
      </c>
      <c r="AR64">
        <f t="shared" si="0"/>
        <v>5.6336587534306908</v>
      </c>
      <c r="AS64">
        <f t="shared" si="1"/>
        <v>10.595371114307122</v>
      </c>
      <c r="AV64">
        <v>784.17424571077242</v>
      </c>
      <c r="AW64">
        <v>218.91736479428022</v>
      </c>
      <c r="AX64">
        <v>218.91736479428022</v>
      </c>
      <c r="AY64">
        <f t="shared" si="2"/>
        <v>309.59590633104943</v>
      </c>
      <c r="AZ64">
        <v>1206.4219164781114</v>
      </c>
      <c r="BA64">
        <v>336.79594583735417</v>
      </c>
      <c r="BB64">
        <v>336.79594583735417</v>
      </c>
      <c r="BC64">
        <f t="shared" si="3"/>
        <v>476.30139435546062</v>
      </c>
    </row>
    <row r="65" spans="1:55" x14ac:dyDescent="0.25">
      <c r="A65">
        <v>29</v>
      </c>
      <c r="B65" s="5">
        <v>0</v>
      </c>
      <c r="C65" s="1">
        <f t="shared" ca="1" si="12"/>
        <v>0</v>
      </c>
      <c r="D65" s="46">
        <f t="shared" si="13"/>
        <v>0</v>
      </c>
      <c r="E65" s="46">
        <f t="shared" si="14"/>
        <v>0</v>
      </c>
      <c r="G65" t="e">
        <f t="shared" ca="1" si="15"/>
        <v>#N/A</v>
      </c>
      <c r="H65" t="e">
        <f t="shared" ca="1" si="16"/>
        <v>#N/A</v>
      </c>
      <c r="I65" s="7">
        <f t="shared" si="17"/>
        <v>0</v>
      </c>
      <c r="J65" s="7">
        <f t="shared" si="18"/>
        <v>0</v>
      </c>
      <c r="K65">
        <f t="shared" si="19"/>
        <v>0</v>
      </c>
      <c r="L65" s="15">
        <f t="shared" ca="1" si="20"/>
        <v>0</v>
      </c>
      <c r="M65" s="9">
        <f t="shared" ca="1" si="21"/>
        <v>0</v>
      </c>
      <c r="N65" s="7">
        <f t="shared" ca="1" si="22"/>
        <v>0</v>
      </c>
      <c r="O65" s="7">
        <f t="shared" ca="1" si="23"/>
        <v>0</v>
      </c>
      <c r="P65" s="7">
        <f t="shared" ca="1" si="24"/>
        <v>0</v>
      </c>
      <c r="U65" t="e">
        <f t="shared" ca="1" si="25"/>
        <v>#N/A</v>
      </c>
      <c r="V65" t="e">
        <f t="shared" ca="1" si="26"/>
        <v>#N/A</v>
      </c>
      <c r="X65" t="e">
        <f t="shared" ca="1" si="27"/>
        <v>#N/A</v>
      </c>
      <c r="Y65" t="e">
        <f t="shared" ca="1" si="28"/>
        <v>#N/A</v>
      </c>
      <c r="AQ65">
        <v>63</v>
      </c>
      <c r="AR65">
        <f t="shared" si="0"/>
        <v>5.4478859968745619</v>
      </c>
      <c r="AS65">
        <f t="shared" si="1"/>
        <v>10.692078290260413</v>
      </c>
      <c r="AV65">
        <v>801.00270128675265</v>
      </c>
      <c r="AW65">
        <v>216.98317841486121</v>
      </c>
      <c r="AX65">
        <v>216.98317841486119</v>
      </c>
      <c r="AY65">
        <f t="shared" si="2"/>
        <v>306.8605537211177</v>
      </c>
      <c r="AZ65">
        <v>1232.3118481334657</v>
      </c>
      <c r="BA65">
        <v>333.82027448440186</v>
      </c>
      <c r="BB65">
        <v>333.82027448440181</v>
      </c>
      <c r="BC65">
        <f t="shared" si="3"/>
        <v>472.09315957095032</v>
      </c>
    </row>
    <row r="66" spans="1:55" x14ac:dyDescent="0.25">
      <c r="A66">
        <v>30</v>
      </c>
      <c r="B66" s="5">
        <v>0</v>
      </c>
      <c r="C66" s="1">
        <f t="shared" ca="1" si="12"/>
        <v>0</v>
      </c>
      <c r="D66" s="46">
        <f t="shared" si="13"/>
        <v>0</v>
      </c>
      <c r="E66" s="46">
        <f t="shared" si="14"/>
        <v>0</v>
      </c>
      <c r="G66" t="e">
        <f t="shared" ca="1" si="15"/>
        <v>#N/A</v>
      </c>
      <c r="H66" t="e">
        <f t="shared" ca="1" si="16"/>
        <v>#N/A</v>
      </c>
      <c r="I66" s="7">
        <f t="shared" si="17"/>
        <v>0</v>
      </c>
      <c r="J66" s="7">
        <f t="shared" si="18"/>
        <v>0</v>
      </c>
      <c r="K66">
        <f t="shared" si="19"/>
        <v>0</v>
      </c>
      <c r="L66" s="15">
        <f t="shared" ca="1" si="20"/>
        <v>0</v>
      </c>
      <c r="M66" s="9">
        <f t="shared" ca="1" si="21"/>
        <v>0</v>
      </c>
      <c r="N66" s="7">
        <f t="shared" ca="1" si="22"/>
        <v>0</v>
      </c>
      <c r="O66" s="7">
        <f t="shared" ca="1" si="23"/>
        <v>0</v>
      </c>
      <c r="P66" s="7">
        <f t="shared" ca="1" si="24"/>
        <v>0</v>
      </c>
      <c r="U66" t="e">
        <f t="shared" ca="1" si="25"/>
        <v>#N/A</v>
      </c>
      <c r="V66" t="e">
        <f t="shared" ca="1" si="26"/>
        <v>#N/A</v>
      </c>
      <c r="X66" t="e">
        <f t="shared" ca="1" si="27"/>
        <v>#N/A</v>
      </c>
      <c r="Y66" t="e">
        <f t="shared" ca="1" si="28"/>
        <v>#N/A</v>
      </c>
      <c r="AQ66">
        <v>64</v>
      </c>
      <c r="AR66">
        <f t="shared" si="0"/>
        <v>5.2604537614689297</v>
      </c>
      <c r="AS66">
        <f t="shared" si="1"/>
        <v>10.785528555590005</v>
      </c>
      <c r="AV66">
        <v>817.83115686273288</v>
      </c>
      <c r="AW66">
        <v>214.88360954493879</v>
      </c>
      <c r="AX66">
        <v>214.88360954493874</v>
      </c>
      <c r="AY66">
        <f t="shared" si="2"/>
        <v>303.89131495013709</v>
      </c>
      <c r="AZ66">
        <v>1258.2017797888197</v>
      </c>
      <c r="BA66">
        <v>330.59016853067504</v>
      </c>
      <c r="BB66">
        <v>330.59016853067499</v>
      </c>
      <c r="BC66">
        <f t="shared" si="3"/>
        <v>467.52509992328777</v>
      </c>
    </row>
    <row r="67" spans="1:55" x14ac:dyDescent="0.25">
      <c r="A67">
        <v>31</v>
      </c>
      <c r="B67" s="5">
        <v>0</v>
      </c>
      <c r="C67" s="1">
        <f t="shared" ca="1" si="12"/>
        <v>0</v>
      </c>
      <c r="D67" s="46">
        <f t="shared" si="13"/>
        <v>0</v>
      </c>
      <c r="E67" s="46">
        <f t="shared" si="14"/>
        <v>0</v>
      </c>
      <c r="G67" t="e">
        <f t="shared" ca="1" si="15"/>
        <v>#N/A</v>
      </c>
      <c r="H67" t="e">
        <f t="shared" ca="1" si="16"/>
        <v>#N/A</v>
      </c>
      <c r="I67" s="7">
        <f t="shared" si="17"/>
        <v>0</v>
      </c>
      <c r="J67" s="7">
        <f t="shared" si="18"/>
        <v>0</v>
      </c>
      <c r="K67">
        <f t="shared" si="19"/>
        <v>0</v>
      </c>
      <c r="L67" s="15">
        <f t="shared" ca="1" si="20"/>
        <v>0</v>
      </c>
      <c r="M67" s="9">
        <f t="shared" ca="1" si="21"/>
        <v>0</v>
      </c>
      <c r="N67" s="7">
        <f t="shared" ca="1" si="22"/>
        <v>0</v>
      </c>
      <c r="O67" s="7">
        <f t="shared" ca="1" si="23"/>
        <v>0</v>
      </c>
      <c r="P67" s="7">
        <f t="shared" ca="1" si="24"/>
        <v>0</v>
      </c>
      <c r="U67" t="e">
        <f t="shared" ca="1" si="25"/>
        <v>#N/A</v>
      </c>
      <c r="V67" t="e">
        <f t="shared" ca="1" si="26"/>
        <v>#N/A</v>
      </c>
      <c r="X67" t="e">
        <f t="shared" ca="1" si="27"/>
        <v>#N/A</v>
      </c>
      <c r="Y67" t="e">
        <f t="shared" ca="1" si="28"/>
        <v>#N/A</v>
      </c>
      <c r="AQ67">
        <v>65</v>
      </c>
      <c r="AR67">
        <f t="shared" ref="AR67:AR130" si="29">$B$3*COS(RADIANS(AQ67))</f>
        <v>5.0714191408883931</v>
      </c>
      <c r="AS67">
        <f t="shared" ref="AS67:AS130" si="30">$B$3*SIN(RADIANS(AQ67))</f>
        <v>10.875693444439799</v>
      </c>
      <c r="AV67">
        <v>834.65961243871311</v>
      </c>
      <c r="AW67">
        <v>212.61532358029524</v>
      </c>
      <c r="AX67">
        <v>212.61532358029521</v>
      </c>
      <c r="AY67">
        <f t="shared" ref="AY67:AY102" si="31">SQRT(POWER(AW67,2)+POWER(AX67,2))</f>
        <v>300.68347417559761</v>
      </c>
      <c r="AZ67">
        <v>1284.0917114441741</v>
      </c>
      <c r="BA67">
        <v>327.10049781583882</v>
      </c>
      <c r="BB67">
        <v>327.10049781583876</v>
      </c>
      <c r="BC67">
        <f t="shared" ref="BC67:BC102" si="32">SQRT(POWER(BA67,2)+POWER(BB67,2))</f>
        <v>462.58996027015019</v>
      </c>
    </row>
    <row r="68" spans="1:55" x14ac:dyDescent="0.25">
      <c r="A68">
        <v>32</v>
      </c>
      <c r="B68" s="5">
        <v>0</v>
      </c>
      <c r="C68" s="1">
        <f t="shared" ca="1" si="12"/>
        <v>0</v>
      </c>
      <c r="D68" s="46">
        <f t="shared" si="13"/>
        <v>0</v>
      </c>
      <c r="E68" s="46">
        <f t="shared" si="14"/>
        <v>0</v>
      </c>
      <c r="G68" t="e">
        <f t="shared" ca="1" si="15"/>
        <v>#N/A</v>
      </c>
      <c r="H68" t="e">
        <f t="shared" ca="1" si="16"/>
        <v>#N/A</v>
      </c>
      <c r="I68" s="7">
        <f t="shared" si="17"/>
        <v>0</v>
      </c>
      <c r="J68" s="7">
        <f t="shared" si="18"/>
        <v>0</v>
      </c>
      <c r="K68">
        <f t="shared" si="19"/>
        <v>0</v>
      </c>
      <c r="L68" s="15">
        <f t="shared" ca="1" si="20"/>
        <v>0</v>
      </c>
      <c r="M68" s="9">
        <f t="shared" ca="1" si="21"/>
        <v>0</v>
      </c>
      <c r="N68" s="7">
        <f t="shared" ca="1" si="22"/>
        <v>0</v>
      </c>
      <c r="O68" s="7">
        <f t="shared" ca="1" si="23"/>
        <v>0</v>
      </c>
      <c r="P68" s="7">
        <f t="shared" ca="1" si="24"/>
        <v>0</v>
      </c>
      <c r="U68" t="e">
        <f t="shared" ca="1" si="25"/>
        <v>#N/A</v>
      </c>
      <c r="V68" t="e">
        <f t="shared" ca="1" si="26"/>
        <v>#N/A</v>
      </c>
      <c r="X68" t="e">
        <f t="shared" ca="1" si="27"/>
        <v>#N/A</v>
      </c>
      <c r="Y68" t="e">
        <f t="shared" ca="1" si="28"/>
        <v>#N/A</v>
      </c>
      <c r="AQ68">
        <v>66</v>
      </c>
      <c r="AR68">
        <f t="shared" si="29"/>
        <v>4.8808397169096027</v>
      </c>
      <c r="AS68">
        <f t="shared" si="30"/>
        <v>10.962545491711211</v>
      </c>
      <c r="AV68">
        <v>851.48806801469334</v>
      </c>
      <c r="AW68">
        <v>210.09115868622615</v>
      </c>
      <c r="AX68">
        <v>210.09115868622615</v>
      </c>
      <c r="AY68">
        <f t="shared" si="31"/>
        <v>297.11376594873911</v>
      </c>
      <c r="AZ68">
        <v>1309.9816430995281</v>
      </c>
      <c r="BA68">
        <v>323.21716720957869</v>
      </c>
      <c r="BB68">
        <v>323.21716720957869</v>
      </c>
      <c r="BC68">
        <f t="shared" si="32"/>
        <v>457.09810145959858</v>
      </c>
    </row>
    <row r="69" spans="1:55" x14ac:dyDescent="0.25">
      <c r="A69">
        <v>33</v>
      </c>
      <c r="B69" s="5">
        <v>0</v>
      </c>
      <c r="C69" s="1">
        <f t="shared" ref="C69:C100" ca="1" si="33">IF(A69&lt;=$B$31,OFFSET($Q$36,MATCH(B69,$Q$36:$Q$47,0)-1,2),0)</f>
        <v>0</v>
      </c>
      <c r="D69" s="46">
        <f t="shared" si="13"/>
        <v>0</v>
      </c>
      <c r="E69" s="46">
        <f t="shared" si="14"/>
        <v>0</v>
      </c>
      <c r="G69" t="e">
        <f t="shared" ca="1" si="15"/>
        <v>#N/A</v>
      </c>
      <c r="H69" t="e">
        <f t="shared" ca="1" si="16"/>
        <v>#N/A</v>
      </c>
      <c r="I69" s="7">
        <f t="shared" si="17"/>
        <v>0</v>
      </c>
      <c r="J69" s="7">
        <f t="shared" si="18"/>
        <v>0</v>
      </c>
      <c r="K69">
        <f t="shared" si="19"/>
        <v>0</v>
      </c>
      <c r="L69" s="15">
        <f t="shared" ca="1" si="20"/>
        <v>0</v>
      </c>
      <c r="M69" s="9">
        <f t="shared" ca="1" si="21"/>
        <v>0</v>
      </c>
      <c r="N69" s="7">
        <f t="shared" ca="1" si="22"/>
        <v>0</v>
      </c>
      <c r="O69" s="7">
        <f t="shared" ca="1" si="23"/>
        <v>0</v>
      </c>
      <c r="P69" s="7">
        <f t="shared" ca="1" si="24"/>
        <v>0</v>
      </c>
      <c r="U69" t="e">
        <f t="shared" ca="1" si="25"/>
        <v>#N/A</v>
      </c>
      <c r="V69" t="e">
        <f t="shared" ca="1" si="26"/>
        <v>#N/A</v>
      </c>
      <c r="X69" t="e">
        <f t="shared" ca="1" si="27"/>
        <v>#N/A</v>
      </c>
      <c r="Y69" t="e">
        <f t="shared" ca="1" si="28"/>
        <v>#N/A</v>
      </c>
      <c r="AQ69">
        <v>67</v>
      </c>
      <c r="AR69">
        <f t="shared" si="29"/>
        <v>4.688773541871285</v>
      </c>
      <c r="AS69">
        <f t="shared" si="30"/>
        <v>11.046058241429284</v>
      </c>
      <c r="AV69">
        <v>868.31652359067357</v>
      </c>
      <c r="AW69">
        <v>207.29995315419174</v>
      </c>
      <c r="AX69">
        <v>207.29995315419174</v>
      </c>
      <c r="AY69">
        <f t="shared" si="31"/>
        <v>293.16640522996522</v>
      </c>
      <c r="AZ69">
        <v>1335.8715747548824</v>
      </c>
      <c r="BA69">
        <v>318.92300485260267</v>
      </c>
      <c r="BB69">
        <v>318.92300485260267</v>
      </c>
      <c r="BC69">
        <f t="shared" si="32"/>
        <v>451.02523881533108</v>
      </c>
    </row>
    <row r="70" spans="1:55" x14ac:dyDescent="0.25">
      <c r="A70">
        <v>34</v>
      </c>
      <c r="B70" s="5">
        <v>0</v>
      </c>
      <c r="C70" s="1">
        <f t="shared" ca="1" si="33"/>
        <v>0</v>
      </c>
      <c r="D70" s="46">
        <f t="shared" si="13"/>
        <v>0</v>
      </c>
      <c r="E70" s="46">
        <f t="shared" si="14"/>
        <v>0</v>
      </c>
      <c r="G70" t="e">
        <f t="shared" ca="1" si="15"/>
        <v>#N/A</v>
      </c>
      <c r="H70" t="e">
        <f t="shared" ca="1" si="16"/>
        <v>#N/A</v>
      </c>
      <c r="I70" s="7">
        <f t="shared" si="17"/>
        <v>0</v>
      </c>
      <c r="J70" s="7">
        <f t="shared" si="18"/>
        <v>0</v>
      </c>
      <c r="K70">
        <f t="shared" si="19"/>
        <v>0</v>
      </c>
      <c r="L70" s="15">
        <f t="shared" ca="1" si="20"/>
        <v>0</v>
      </c>
      <c r="M70" s="9">
        <f t="shared" ca="1" si="21"/>
        <v>0</v>
      </c>
      <c r="N70" s="7">
        <f t="shared" ca="1" si="22"/>
        <v>0</v>
      </c>
      <c r="O70" s="7">
        <f t="shared" ca="1" si="23"/>
        <v>0</v>
      </c>
      <c r="P70" s="7">
        <f t="shared" ca="1" si="24"/>
        <v>0</v>
      </c>
      <c r="U70" t="e">
        <f t="shared" ca="1" si="25"/>
        <v>#N/A</v>
      </c>
      <c r="V70" t="e">
        <f t="shared" ca="1" si="26"/>
        <v>#N/A</v>
      </c>
      <c r="X70" t="e">
        <f t="shared" ca="1" si="27"/>
        <v>#N/A</v>
      </c>
      <c r="Y70" t="e">
        <f t="shared" ca="1" si="28"/>
        <v>#N/A</v>
      </c>
      <c r="AQ70">
        <v>68</v>
      </c>
      <c r="AR70">
        <f t="shared" si="29"/>
        <v>4.4952791209909435</v>
      </c>
      <c r="AS70">
        <f t="shared" si="30"/>
        <v>11.126206254801449</v>
      </c>
      <c r="AV70">
        <v>885.1449791666538</v>
      </c>
      <c r="AW70">
        <v>204.32739619677923</v>
      </c>
      <c r="AX70">
        <v>204.3273961967792</v>
      </c>
      <c r="AY70">
        <f t="shared" si="31"/>
        <v>288.96257486586592</v>
      </c>
      <c r="AZ70">
        <v>1361.7615064102365</v>
      </c>
      <c r="BA70">
        <v>314.34984030273728</v>
      </c>
      <c r="BB70">
        <v>314.34984030273722</v>
      </c>
      <c r="BC70">
        <f t="shared" si="32"/>
        <v>444.55780748594759</v>
      </c>
    </row>
    <row r="71" spans="1:55" x14ac:dyDescent="0.25">
      <c r="A71">
        <v>35</v>
      </c>
      <c r="B71" s="5">
        <v>0</v>
      </c>
      <c r="C71" s="1">
        <f t="shared" ca="1" si="33"/>
        <v>0</v>
      </c>
      <c r="D71" s="46">
        <f t="shared" si="13"/>
        <v>0</v>
      </c>
      <c r="E71" s="46">
        <f t="shared" si="14"/>
        <v>0</v>
      </c>
      <c r="G71" t="e">
        <f t="shared" ca="1" si="15"/>
        <v>#N/A</v>
      </c>
      <c r="H71" t="e">
        <f t="shared" ca="1" si="16"/>
        <v>#N/A</v>
      </c>
      <c r="I71" s="7">
        <f t="shared" si="17"/>
        <v>0</v>
      </c>
      <c r="J71" s="7">
        <f t="shared" si="18"/>
        <v>0</v>
      </c>
      <c r="K71">
        <f t="shared" si="19"/>
        <v>0</v>
      </c>
      <c r="L71" s="15">
        <f t="shared" ca="1" si="20"/>
        <v>0</v>
      </c>
      <c r="M71" s="9">
        <f t="shared" ca="1" si="21"/>
        <v>0</v>
      </c>
      <c r="N71" s="7">
        <f t="shared" ca="1" si="22"/>
        <v>0</v>
      </c>
      <c r="O71" s="7">
        <f t="shared" ca="1" si="23"/>
        <v>0</v>
      </c>
      <c r="P71" s="7">
        <f t="shared" ca="1" si="24"/>
        <v>0</v>
      </c>
      <c r="U71" t="e">
        <f t="shared" ca="1" si="25"/>
        <v>#N/A</v>
      </c>
      <c r="V71" t="e">
        <f t="shared" ca="1" si="26"/>
        <v>#N/A</v>
      </c>
      <c r="X71" t="e">
        <f t="shared" ca="1" si="27"/>
        <v>#N/A</v>
      </c>
      <c r="Y71" t="e">
        <f t="shared" ca="1" si="28"/>
        <v>#N/A</v>
      </c>
      <c r="AQ71">
        <v>69</v>
      </c>
      <c r="AR71">
        <f t="shared" si="29"/>
        <v>4.3004153945436041</v>
      </c>
      <c r="AS71">
        <f t="shared" si="30"/>
        <v>11.202965117966421</v>
      </c>
      <c r="AV71">
        <v>901.97343474263403</v>
      </c>
      <c r="AW71">
        <v>201.17019919033299</v>
      </c>
      <c r="AX71">
        <v>201.17019919033302</v>
      </c>
      <c r="AY71">
        <f t="shared" si="31"/>
        <v>284.49762404026598</v>
      </c>
      <c r="AZ71">
        <v>1387.6514380655908</v>
      </c>
      <c r="BA71">
        <v>309.49261413897381</v>
      </c>
      <c r="BB71">
        <v>309.49261413897386</v>
      </c>
      <c r="BC71">
        <f t="shared" si="32"/>
        <v>437.6886523696399</v>
      </c>
    </row>
    <row r="72" spans="1:55" x14ac:dyDescent="0.25">
      <c r="A72">
        <v>36</v>
      </c>
      <c r="B72" s="5">
        <v>0</v>
      </c>
      <c r="C72" s="1">
        <f t="shared" ca="1" si="33"/>
        <v>0</v>
      </c>
      <c r="D72" s="46">
        <f t="shared" si="13"/>
        <v>0</v>
      </c>
      <c r="E72" s="46">
        <f t="shared" si="14"/>
        <v>0</v>
      </c>
      <c r="G72" t="e">
        <f t="shared" ca="1" si="15"/>
        <v>#N/A</v>
      </c>
      <c r="H72" t="e">
        <f t="shared" ca="1" si="16"/>
        <v>#N/A</v>
      </c>
      <c r="I72" s="7">
        <f t="shared" si="17"/>
        <v>0</v>
      </c>
      <c r="J72" s="7">
        <f t="shared" si="18"/>
        <v>0</v>
      </c>
      <c r="K72">
        <f t="shared" si="19"/>
        <v>0</v>
      </c>
      <c r="L72" s="15">
        <f t="shared" ca="1" si="20"/>
        <v>0</v>
      </c>
      <c r="M72" s="9">
        <f t="shared" ca="1" si="21"/>
        <v>0</v>
      </c>
      <c r="N72" s="7">
        <f t="shared" ca="1" si="22"/>
        <v>0</v>
      </c>
      <c r="O72" s="7">
        <f t="shared" ca="1" si="23"/>
        <v>0</v>
      </c>
      <c r="P72" s="7">
        <f t="shared" ca="1" si="24"/>
        <v>0</v>
      </c>
      <c r="U72" t="e">
        <f t="shared" ca="1" si="25"/>
        <v>#N/A</v>
      </c>
      <c r="V72" t="e">
        <f t="shared" ca="1" si="26"/>
        <v>#N/A</v>
      </c>
      <c r="X72" t="e">
        <f t="shared" ca="1" si="27"/>
        <v>#N/A</v>
      </c>
      <c r="Y72" t="e">
        <f t="shared" ca="1" si="28"/>
        <v>#N/A</v>
      </c>
      <c r="AQ72">
        <v>70</v>
      </c>
      <c r="AR72">
        <f t="shared" si="29"/>
        <v>4.1042417199080257</v>
      </c>
      <c r="AS72">
        <f t="shared" si="30"/>
        <v>11.276311449430899</v>
      </c>
      <c r="AV72">
        <v>918.80189031861426</v>
      </c>
      <c r="AW72">
        <v>197.82509292003795</v>
      </c>
      <c r="AX72">
        <v>197.82509292003795</v>
      </c>
      <c r="AY72">
        <f t="shared" si="31"/>
        <v>279.76692938523541</v>
      </c>
      <c r="AZ72">
        <v>1413.5413697209449</v>
      </c>
      <c r="BA72">
        <v>304.34629680005838</v>
      </c>
      <c r="BB72">
        <v>304.34629680005838</v>
      </c>
      <c r="BC72">
        <f t="shared" si="32"/>
        <v>430.41066059266984</v>
      </c>
    </row>
    <row r="73" spans="1:55" x14ac:dyDescent="0.25">
      <c r="A73">
        <v>37</v>
      </c>
      <c r="B73" s="5">
        <v>0</v>
      </c>
      <c r="C73" s="1">
        <f t="shared" ca="1" si="33"/>
        <v>0</v>
      </c>
      <c r="D73" s="46">
        <f t="shared" si="13"/>
        <v>0</v>
      </c>
      <c r="E73" s="46">
        <f t="shared" si="14"/>
        <v>0</v>
      </c>
      <c r="G73" t="e">
        <f t="shared" ca="1" si="15"/>
        <v>#N/A</v>
      </c>
      <c r="H73" t="e">
        <f t="shared" ca="1" si="16"/>
        <v>#N/A</v>
      </c>
      <c r="I73" s="7">
        <f t="shared" si="17"/>
        <v>0</v>
      </c>
      <c r="J73" s="7">
        <f t="shared" si="18"/>
        <v>0</v>
      </c>
      <c r="K73">
        <f t="shared" si="19"/>
        <v>0</v>
      </c>
      <c r="L73" s="15">
        <f t="shared" ca="1" si="20"/>
        <v>0</v>
      </c>
      <c r="M73" s="9">
        <f t="shared" ca="1" si="21"/>
        <v>0</v>
      </c>
      <c r="N73" s="7">
        <f t="shared" ca="1" si="22"/>
        <v>0</v>
      </c>
      <c r="O73" s="7">
        <f t="shared" ca="1" si="23"/>
        <v>0</v>
      </c>
      <c r="P73" s="7">
        <f t="shared" ca="1" si="24"/>
        <v>0</v>
      </c>
      <c r="U73" t="e">
        <f t="shared" ca="1" si="25"/>
        <v>#N/A</v>
      </c>
      <c r="V73" t="e">
        <f t="shared" ca="1" si="26"/>
        <v>#N/A</v>
      </c>
      <c r="X73" t="e">
        <f t="shared" ca="1" si="27"/>
        <v>#N/A</v>
      </c>
      <c r="Y73" t="e">
        <f t="shared" ca="1" si="28"/>
        <v>#N/A</v>
      </c>
      <c r="AQ73">
        <v>71</v>
      </c>
      <c r="AR73">
        <f t="shared" si="29"/>
        <v>3.9068178534858813</v>
      </c>
      <c r="AS73">
        <f t="shared" si="30"/>
        <v>11.346222907191802</v>
      </c>
      <c r="AV73">
        <v>935.63034589459448</v>
      </c>
      <c r="AW73">
        <v>194.28881649986235</v>
      </c>
      <c r="AX73">
        <v>194.28881649986235</v>
      </c>
      <c r="AY73">
        <f t="shared" si="31"/>
        <v>274.76587931152289</v>
      </c>
      <c r="AZ73">
        <v>1439.4313013762992</v>
      </c>
      <c r="BA73">
        <v>298.90587153824976</v>
      </c>
      <c r="BB73">
        <v>298.90587153824976</v>
      </c>
      <c r="BC73">
        <f t="shared" si="32"/>
        <v>422.71673740234291</v>
      </c>
    </row>
    <row r="74" spans="1:55" x14ac:dyDescent="0.25">
      <c r="A74">
        <v>38</v>
      </c>
      <c r="B74" s="5">
        <v>0</v>
      </c>
      <c r="C74" s="1">
        <f t="shared" ca="1" si="33"/>
        <v>0</v>
      </c>
      <c r="D74" s="46">
        <f t="shared" si="13"/>
        <v>0</v>
      </c>
      <c r="E74" s="46">
        <f t="shared" si="14"/>
        <v>0</v>
      </c>
      <c r="G74" t="e">
        <f t="shared" ca="1" si="15"/>
        <v>#N/A</v>
      </c>
      <c r="H74" t="e">
        <f t="shared" ca="1" si="16"/>
        <v>#N/A</v>
      </c>
      <c r="I74" s="7">
        <f t="shared" si="17"/>
        <v>0</v>
      </c>
      <c r="J74" s="7">
        <f t="shared" si="18"/>
        <v>0</v>
      </c>
      <c r="K74">
        <f t="shared" si="19"/>
        <v>0</v>
      </c>
      <c r="L74" s="15">
        <f t="shared" ca="1" si="20"/>
        <v>0</v>
      </c>
      <c r="M74" s="9">
        <f t="shared" ca="1" si="21"/>
        <v>0</v>
      </c>
      <c r="N74" s="7">
        <f t="shared" ca="1" si="22"/>
        <v>0</v>
      </c>
      <c r="O74" s="7">
        <f t="shared" ca="1" si="23"/>
        <v>0</v>
      </c>
      <c r="P74" s="7">
        <f t="shared" ca="1" si="24"/>
        <v>0</v>
      </c>
      <c r="U74" t="e">
        <f t="shared" ca="1" si="25"/>
        <v>#N/A</v>
      </c>
      <c r="V74" t="e">
        <f t="shared" ca="1" si="26"/>
        <v>#N/A</v>
      </c>
      <c r="X74" t="e">
        <f t="shared" ca="1" si="27"/>
        <v>#N/A</v>
      </c>
      <c r="Y74" t="e">
        <f t="shared" ca="1" si="28"/>
        <v>#N/A</v>
      </c>
      <c r="AQ74">
        <v>72</v>
      </c>
      <c r="AR74">
        <f t="shared" si="29"/>
        <v>3.7082039324993694</v>
      </c>
      <c r="AS74">
        <f t="shared" si="30"/>
        <v>11.412678195541842</v>
      </c>
      <c r="AV74">
        <v>952.45880147057471</v>
      </c>
      <c r="AW74">
        <v>190.55810585247906</v>
      </c>
      <c r="AX74">
        <v>190.55810585247909</v>
      </c>
      <c r="AY74">
        <f t="shared" si="31"/>
        <v>269.48985771670374</v>
      </c>
      <c r="AZ74">
        <v>1465.3212330316533</v>
      </c>
      <c r="BA74">
        <v>293.16631669612161</v>
      </c>
      <c r="BB74">
        <v>293.16631669612167</v>
      </c>
      <c r="BC74">
        <f t="shared" si="32"/>
        <v>414.59978110262119</v>
      </c>
    </row>
    <row r="75" spans="1:55" x14ac:dyDescent="0.25">
      <c r="A75">
        <v>39</v>
      </c>
      <c r="B75" s="5">
        <v>0</v>
      </c>
      <c r="C75" s="1">
        <f t="shared" ca="1" si="33"/>
        <v>0</v>
      </c>
      <c r="D75" s="46">
        <f t="shared" si="13"/>
        <v>0</v>
      </c>
      <c r="E75" s="46">
        <f t="shared" si="14"/>
        <v>0</v>
      </c>
      <c r="G75" t="e">
        <f t="shared" ca="1" si="15"/>
        <v>#N/A</v>
      </c>
      <c r="H75" t="e">
        <f t="shared" ca="1" si="16"/>
        <v>#N/A</v>
      </c>
      <c r="I75" s="7">
        <f t="shared" si="17"/>
        <v>0</v>
      </c>
      <c r="J75" s="7">
        <f t="shared" si="18"/>
        <v>0</v>
      </c>
      <c r="K75">
        <f t="shared" si="19"/>
        <v>0</v>
      </c>
      <c r="L75" s="15">
        <f t="shared" ca="1" si="20"/>
        <v>0</v>
      </c>
      <c r="M75" s="9">
        <f t="shared" ca="1" si="21"/>
        <v>0</v>
      </c>
      <c r="N75" s="7">
        <f t="shared" ca="1" si="22"/>
        <v>0</v>
      </c>
      <c r="O75" s="7">
        <f t="shared" ca="1" si="23"/>
        <v>0</v>
      </c>
      <c r="P75" s="7">
        <f t="shared" ca="1" si="24"/>
        <v>0</v>
      </c>
      <c r="U75" t="e">
        <f t="shared" ca="1" si="25"/>
        <v>#N/A</v>
      </c>
      <c r="V75" t="e">
        <f t="shared" ca="1" si="26"/>
        <v>#N/A</v>
      </c>
      <c r="X75" t="e">
        <f t="shared" ca="1" si="27"/>
        <v>#N/A</v>
      </c>
      <c r="Y75" t="e">
        <f t="shared" ca="1" si="28"/>
        <v>#N/A</v>
      </c>
      <c r="AQ75">
        <v>73</v>
      </c>
      <c r="AR75">
        <f t="shared" si="29"/>
        <v>3.5084604566728412</v>
      </c>
      <c r="AS75">
        <f t="shared" si="30"/>
        <v>11.475657071556425</v>
      </c>
      <c r="AV75">
        <v>969.28725704655494</v>
      </c>
      <c r="AW75">
        <v>186.62968164302077</v>
      </c>
      <c r="AX75">
        <v>186.62968164302083</v>
      </c>
      <c r="AY75">
        <f t="shared" si="31"/>
        <v>263.93422692093304</v>
      </c>
      <c r="AZ75">
        <v>1491.2111646870076</v>
      </c>
      <c r="BA75">
        <v>287.12258714310889</v>
      </c>
      <c r="BB75">
        <v>287.12258714310894</v>
      </c>
      <c r="BC75">
        <f t="shared" si="32"/>
        <v>406.05265680143549</v>
      </c>
    </row>
    <row r="76" spans="1:55" x14ac:dyDescent="0.25">
      <c r="A76">
        <v>40</v>
      </c>
      <c r="B76" s="5">
        <v>0</v>
      </c>
      <c r="C76" s="1">
        <f t="shared" ca="1" si="33"/>
        <v>0</v>
      </c>
      <c r="D76" s="46">
        <f t="shared" si="13"/>
        <v>0</v>
      </c>
      <c r="E76" s="46">
        <f t="shared" si="14"/>
        <v>0</v>
      </c>
      <c r="G76" t="e">
        <f t="shared" ca="1" si="15"/>
        <v>#N/A</v>
      </c>
      <c r="H76" t="e">
        <f t="shared" ca="1" si="16"/>
        <v>#N/A</v>
      </c>
      <c r="I76" s="7">
        <f t="shared" si="17"/>
        <v>0</v>
      </c>
      <c r="J76" s="7">
        <f t="shared" si="18"/>
        <v>0</v>
      </c>
      <c r="K76">
        <f t="shared" si="19"/>
        <v>0</v>
      </c>
      <c r="L76" s="15">
        <f t="shared" ca="1" si="20"/>
        <v>0</v>
      </c>
      <c r="M76" s="9">
        <f t="shared" ca="1" si="21"/>
        <v>0</v>
      </c>
      <c r="N76" s="7">
        <f t="shared" ca="1" si="22"/>
        <v>0</v>
      </c>
      <c r="O76" s="7">
        <f t="shared" ca="1" si="23"/>
        <v>0</v>
      </c>
      <c r="P76" s="7">
        <f t="shared" ca="1" si="24"/>
        <v>0</v>
      </c>
      <c r="U76" t="e">
        <f t="shared" ca="1" si="25"/>
        <v>#N/A</v>
      </c>
      <c r="V76" t="e">
        <f t="shared" ca="1" si="26"/>
        <v>#N/A</v>
      </c>
      <c r="X76" t="e">
        <f t="shared" ca="1" si="27"/>
        <v>#N/A</v>
      </c>
      <c r="Y76" t="e">
        <f t="shared" ca="1" si="28"/>
        <v>#N/A</v>
      </c>
      <c r="AQ76">
        <v>74</v>
      </c>
      <c r="AR76">
        <f t="shared" si="29"/>
        <v>3.3076482698039902</v>
      </c>
      <c r="AS76">
        <f t="shared" si="30"/>
        <v>11.535140351259827</v>
      </c>
      <c r="AV76">
        <v>986.11571262253517</v>
      </c>
      <c r="AW76">
        <v>182.50023653999745</v>
      </c>
      <c r="AX76">
        <v>182.50023653999745</v>
      </c>
      <c r="AY76">
        <f t="shared" si="31"/>
        <v>258.09430965116229</v>
      </c>
      <c r="AZ76">
        <v>1517.1010963423616</v>
      </c>
      <c r="BA76">
        <v>280.76959467691916</v>
      </c>
      <c r="BB76">
        <v>280.76959467691916</v>
      </c>
      <c r="BC76">
        <f t="shared" si="32"/>
        <v>397.06816869409579</v>
      </c>
    </row>
    <row r="77" spans="1:55" x14ac:dyDescent="0.25">
      <c r="A77">
        <v>41</v>
      </c>
      <c r="B77" s="5">
        <v>0</v>
      </c>
      <c r="C77" s="1">
        <f t="shared" ca="1" si="33"/>
        <v>0</v>
      </c>
      <c r="D77" s="46">
        <f t="shared" si="13"/>
        <v>0</v>
      </c>
      <c r="E77" s="46">
        <f t="shared" si="14"/>
        <v>0</v>
      </c>
      <c r="G77" t="e">
        <f t="shared" ca="1" si="15"/>
        <v>#N/A</v>
      </c>
      <c r="H77" t="e">
        <f t="shared" ca="1" si="16"/>
        <v>#N/A</v>
      </c>
      <c r="I77" s="7">
        <f t="shared" si="17"/>
        <v>0</v>
      </c>
      <c r="J77" s="7">
        <f t="shared" si="18"/>
        <v>0</v>
      </c>
      <c r="K77">
        <f t="shared" si="19"/>
        <v>0</v>
      </c>
      <c r="L77" s="15">
        <f t="shared" ca="1" si="20"/>
        <v>0</v>
      </c>
      <c r="M77" s="9">
        <f t="shared" ca="1" si="21"/>
        <v>0</v>
      </c>
      <c r="N77" s="7">
        <f t="shared" ca="1" si="22"/>
        <v>0</v>
      </c>
      <c r="O77" s="7">
        <f t="shared" ca="1" si="23"/>
        <v>0</v>
      </c>
      <c r="P77" s="7">
        <f t="shared" ca="1" si="24"/>
        <v>0</v>
      </c>
      <c r="U77" t="e">
        <f t="shared" ca="1" si="25"/>
        <v>#N/A</v>
      </c>
      <c r="V77" t="e">
        <f t="shared" ca="1" si="26"/>
        <v>#N/A</v>
      </c>
      <c r="X77" t="e">
        <f t="shared" ca="1" si="27"/>
        <v>#N/A</v>
      </c>
      <c r="Y77" t="e">
        <f t="shared" ca="1" si="28"/>
        <v>#N/A</v>
      </c>
      <c r="AQ77">
        <v>75</v>
      </c>
      <c r="AR77">
        <f t="shared" si="29"/>
        <v>3.1058285412302489</v>
      </c>
      <c r="AS77">
        <f t="shared" si="30"/>
        <v>11.59110991546882</v>
      </c>
      <c r="AV77">
        <v>1002.9441681985154</v>
      </c>
      <c r="AW77">
        <v>178.16642165229916</v>
      </c>
      <c r="AX77">
        <v>178.16642165229919</v>
      </c>
      <c r="AY77">
        <f t="shared" si="31"/>
        <v>251.96536986016494</v>
      </c>
      <c r="AZ77">
        <v>1542.9910279977159</v>
      </c>
      <c r="BA77">
        <v>274.1021871573833</v>
      </c>
      <c r="BB77">
        <v>274.10218715738336</v>
      </c>
      <c r="BC77">
        <f t="shared" si="32"/>
        <v>387.63903055409992</v>
      </c>
    </row>
    <row r="78" spans="1:55" x14ac:dyDescent="0.25">
      <c r="A78">
        <v>42</v>
      </c>
      <c r="B78" s="5">
        <v>0</v>
      </c>
      <c r="C78" s="1">
        <f t="shared" ca="1" si="33"/>
        <v>0</v>
      </c>
      <c r="D78" s="46">
        <f t="shared" si="13"/>
        <v>0</v>
      </c>
      <c r="E78" s="46">
        <f t="shared" si="14"/>
        <v>0</v>
      </c>
      <c r="G78" t="e">
        <f t="shared" ca="1" si="15"/>
        <v>#N/A</v>
      </c>
      <c r="H78" t="e">
        <f t="shared" ca="1" si="16"/>
        <v>#N/A</v>
      </c>
      <c r="I78" s="7">
        <f t="shared" si="17"/>
        <v>0</v>
      </c>
      <c r="J78" s="7">
        <f t="shared" si="18"/>
        <v>0</v>
      </c>
      <c r="K78">
        <f t="shared" si="19"/>
        <v>0</v>
      </c>
      <c r="L78" s="15">
        <f t="shared" ca="1" si="20"/>
        <v>0</v>
      </c>
      <c r="M78" s="9">
        <f t="shared" ca="1" si="21"/>
        <v>0</v>
      </c>
      <c r="N78" s="7">
        <f t="shared" ca="1" si="22"/>
        <v>0</v>
      </c>
      <c r="O78" s="7">
        <f t="shared" ca="1" si="23"/>
        <v>0</v>
      </c>
      <c r="P78" s="7">
        <f t="shared" ca="1" si="24"/>
        <v>0</v>
      </c>
      <c r="U78" t="e">
        <f t="shared" ca="1" si="25"/>
        <v>#N/A</v>
      </c>
      <c r="V78" t="e">
        <f t="shared" ca="1" si="26"/>
        <v>#N/A</v>
      </c>
      <c r="X78" t="e">
        <f t="shared" ca="1" si="27"/>
        <v>#N/A</v>
      </c>
      <c r="Y78" t="e">
        <f t="shared" ca="1" si="28"/>
        <v>#N/A</v>
      </c>
      <c r="AQ78">
        <v>76</v>
      </c>
      <c r="AR78">
        <f t="shared" si="29"/>
        <v>2.903062747196012</v>
      </c>
      <c r="AS78">
        <f t="shared" si="30"/>
        <v>11.643548715311958</v>
      </c>
      <c r="AV78">
        <v>1019.7726237744956</v>
      </c>
      <c r="AW78">
        <v>173.62483195991589</v>
      </c>
      <c r="AX78">
        <v>173.62483195991592</v>
      </c>
      <c r="AY78">
        <f t="shared" si="31"/>
        <v>245.54259212246268</v>
      </c>
      <c r="AZ78">
        <v>1568.8809596530702</v>
      </c>
      <c r="BA78">
        <v>267.11512609217829</v>
      </c>
      <c r="BB78">
        <v>267.11512609217834</v>
      </c>
      <c r="BC78">
        <f t="shared" si="32"/>
        <v>377.75783403455796</v>
      </c>
    </row>
    <row r="79" spans="1:55" x14ac:dyDescent="0.25">
      <c r="A79">
        <v>43</v>
      </c>
      <c r="B79" s="5">
        <v>0</v>
      </c>
      <c r="C79" s="1">
        <f t="shared" ca="1" si="33"/>
        <v>0</v>
      </c>
      <c r="D79" s="46">
        <f t="shared" si="13"/>
        <v>0</v>
      </c>
      <c r="E79" s="46">
        <f t="shared" si="14"/>
        <v>0</v>
      </c>
      <c r="G79" t="e">
        <f t="shared" ca="1" si="15"/>
        <v>#N/A</v>
      </c>
      <c r="H79" t="e">
        <f t="shared" ca="1" si="16"/>
        <v>#N/A</v>
      </c>
      <c r="I79" s="7">
        <f t="shared" si="17"/>
        <v>0</v>
      </c>
      <c r="J79" s="7">
        <f t="shared" si="18"/>
        <v>0</v>
      </c>
      <c r="K79">
        <f t="shared" si="19"/>
        <v>0</v>
      </c>
      <c r="L79" s="15">
        <f t="shared" ca="1" si="20"/>
        <v>0</v>
      </c>
      <c r="M79" s="9">
        <f t="shared" ca="1" si="21"/>
        <v>0</v>
      </c>
      <c r="N79" s="7">
        <f t="shared" ca="1" si="22"/>
        <v>0</v>
      </c>
      <c r="O79" s="7">
        <f t="shared" ca="1" si="23"/>
        <v>0</v>
      </c>
      <c r="P79" s="7">
        <f t="shared" ca="1" si="24"/>
        <v>0</v>
      </c>
      <c r="U79" t="e">
        <f t="shared" ca="1" si="25"/>
        <v>#N/A</v>
      </c>
      <c r="V79" t="e">
        <f t="shared" ca="1" si="26"/>
        <v>#N/A</v>
      </c>
      <c r="X79" t="e">
        <f t="shared" ca="1" si="27"/>
        <v>#N/A</v>
      </c>
      <c r="Y79" t="e">
        <f t="shared" ca="1" si="28"/>
        <v>#N/A</v>
      </c>
      <c r="AQ79">
        <v>77</v>
      </c>
      <c r="AR79">
        <f t="shared" si="29"/>
        <v>2.6994126521263793</v>
      </c>
      <c r="AS79">
        <f t="shared" si="30"/>
        <v>11.692440777422823</v>
      </c>
      <c r="AV79">
        <v>1036.6010793504759</v>
      </c>
      <c r="AW79">
        <v>168.87199051814292</v>
      </c>
      <c r="AX79">
        <v>168.87199051814295</v>
      </c>
      <c r="AY79">
        <f t="shared" si="31"/>
        <v>238.82105929569846</v>
      </c>
      <c r="AZ79">
        <v>1594.7708913084243</v>
      </c>
      <c r="BA79">
        <v>259.80306233560447</v>
      </c>
      <c r="BB79">
        <v>259.80306233560452</v>
      </c>
      <c r="BC79">
        <f t="shared" si="32"/>
        <v>367.41701430107452</v>
      </c>
    </row>
    <row r="80" spans="1:55" x14ac:dyDescent="0.25">
      <c r="A80">
        <v>44</v>
      </c>
      <c r="B80" s="5">
        <v>0</v>
      </c>
      <c r="C80" s="1">
        <f t="shared" ca="1" si="33"/>
        <v>0</v>
      </c>
      <c r="D80" s="46">
        <f t="shared" si="13"/>
        <v>0</v>
      </c>
      <c r="E80" s="46">
        <f t="shared" si="14"/>
        <v>0</v>
      </c>
      <c r="G80" t="e">
        <f t="shared" ca="1" si="15"/>
        <v>#N/A</v>
      </c>
      <c r="H80" t="e">
        <f t="shared" ca="1" si="16"/>
        <v>#N/A</v>
      </c>
      <c r="I80" s="7">
        <f t="shared" si="17"/>
        <v>0</v>
      </c>
      <c r="J80" s="7">
        <f t="shared" si="18"/>
        <v>0</v>
      </c>
      <c r="K80">
        <f t="shared" si="19"/>
        <v>0</v>
      </c>
      <c r="L80" s="15">
        <f t="shared" ca="1" si="20"/>
        <v>0</v>
      </c>
      <c r="M80" s="9">
        <f t="shared" ca="1" si="21"/>
        <v>0</v>
      </c>
      <c r="N80" s="7">
        <f t="shared" ca="1" si="22"/>
        <v>0</v>
      </c>
      <c r="O80" s="7">
        <f t="shared" ca="1" si="23"/>
        <v>0</v>
      </c>
      <c r="P80" s="7">
        <f t="shared" ca="1" si="24"/>
        <v>0</v>
      </c>
      <c r="U80" t="e">
        <f t="shared" ca="1" si="25"/>
        <v>#N/A</v>
      </c>
      <c r="V80" t="e">
        <f t="shared" ca="1" si="26"/>
        <v>#N/A</v>
      </c>
      <c r="X80" t="e">
        <f t="shared" ca="1" si="27"/>
        <v>#N/A</v>
      </c>
      <c r="Y80" t="e">
        <f t="shared" ca="1" si="28"/>
        <v>#N/A</v>
      </c>
      <c r="AQ80">
        <v>78</v>
      </c>
      <c r="AR80">
        <f t="shared" si="29"/>
        <v>2.4949402898131137</v>
      </c>
      <c r="AS80">
        <f t="shared" si="30"/>
        <v>11.737771208805666</v>
      </c>
      <c r="AV80">
        <v>1053.429534926456</v>
      </c>
      <c r="AW80">
        <v>163.90433116862803</v>
      </c>
      <c r="AX80">
        <v>163.904331168628</v>
      </c>
      <c r="AY80">
        <f t="shared" si="31"/>
        <v>231.79572807036496</v>
      </c>
      <c r="AZ80">
        <v>1620.6608229637784</v>
      </c>
      <c r="BA80">
        <v>252.16050949019697</v>
      </c>
      <c r="BB80">
        <v>252.16050949019692</v>
      </c>
      <c r="BC80">
        <f t="shared" si="32"/>
        <v>356.60881241594603</v>
      </c>
    </row>
    <row r="81" spans="1:55" x14ac:dyDescent="0.25">
      <c r="A81">
        <v>45</v>
      </c>
      <c r="B81" s="5">
        <v>0</v>
      </c>
      <c r="C81" s="1">
        <f t="shared" ca="1" si="33"/>
        <v>0</v>
      </c>
      <c r="D81" s="46">
        <f t="shared" si="13"/>
        <v>0</v>
      </c>
      <c r="E81" s="46">
        <f t="shared" si="14"/>
        <v>0</v>
      </c>
      <c r="G81" t="e">
        <f t="shared" ca="1" si="15"/>
        <v>#N/A</v>
      </c>
      <c r="H81" t="e">
        <f t="shared" ca="1" si="16"/>
        <v>#N/A</v>
      </c>
      <c r="I81" s="7">
        <f t="shared" si="17"/>
        <v>0</v>
      </c>
      <c r="J81" s="7">
        <f t="shared" si="18"/>
        <v>0</v>
      </c>
      <c r="K81">
        <f t="shared" si="19"/>
        <v>0</v>
      </c>
      <c r="L81" s="15">
        <f t="shared" ca="1" si="20"/>
        <v>0</v>
      </c>
      <c r="M81" s="9">
        <f t="shared" ca="1" si="21"/>
        <v>0</v>
      </c>
      <c r="N81" s="7">
        <f t="shared" ca="1" si="22"/>
        <v>0</v>
      </c>
      <c r="O81" s="7">
        <f t="shared" ca="1" si="23"/>
        <v>0</v>
      </c>
      <c r="P81" s="7">
        <f t="shared" ca="1" si="24"/>
        <v>0</v>
      </c>
      <c r="U81" t="e">
        <f t="shared" ca="1" si="25"/>
        <v>#N/A</v>
      </c>
      <c r="V81" t="e">
        <f t="shared" ca="1" si="26"/>
        <v>#N/A</v>
      </c>
      <c r="X81" t="e">
        <f t="shared" ca="1" si="27"/>
        <v>#N/A</v>
      </c>
      <c r="Y81" t="e">
        <f t="shared" ca="1" si="28"/>
        <v>#N/A</v>
      </c>
      <c r="AQ81">
        <v>79</v>
      </c>
      <c r="AR81">
        <f t="shared" si="29"/>
        <v>2.2897079445185389</v>
      </c>
      <c r="AS81">
        <f t="shared" si="30"/>
        <v>11.779526201371969</v>
      </c>
      <c r="AV81">
        <v>1070.2579905024361</v>
      </c>
      <c r="AW81">
        <v>158.71817942872372</v>
      </c>
      <c r="AX81">
        <v>158.71817942872377</v>
      </c>
      <c r="AY81">
        <f t="shared" si="31"/>
        <v>224.46140194326748</v>
      </c>
      <c r="AZ81">
        <v>1646.5507546191325</v>
      </c>
      <c r="BA81">
        <v>244.18181450572879</v>
      </c>
      <c r="BB81">
        <v>244.18181450572888</v>
      </c>
      <c r="BC81">
        <f t="shared" si="32"/>
        <v>345.32523375887308</v>
      </c>
    </row>
    <row r="82" spans="1:55" x14ac:dyDescent="0.25">
      <c r="A82">
        <v>46</v>
      </c>
      <c r="B82" s="5">
        <v>0</v>
      </c>
      <c r="C82" s="1">
        <f t="shared" ca="1" si="33"/>
        <v>0</v>
      </c>
      <c r="D82" s="46">
        <f t="shared" si="13"/>
        <v>0</v>
      </c>
      <c r="E82" s="46">
        <f t="shared" si="14"/>
        <v>0</v>
      </c>
      <c r="G82" t="e">
        <f t="shared" ca="1" si="15"/>
        <v>#N/A</v>
      </c>
      <c r="H82" t="e">
        <f t="shared" ca="1" si="16"/>
        <v>#N/A</v>
      </c>
      <c r="I82" s="7">
        <f t="shared" si="17"/>
        <v>0</v>
      </c>
      <c r="J82" s="7">
        <f t="shared" si="18"/>
        <v>0</v>
      </c>
      <c r="K82">
        <f t="shared" si="19"/>
        <v>0</v>
      </c>
      <c r="L82" s="15">
        <f t="shared" ca="1" si="20"/>
        <v>0</v>
      </c>
      <c r="M82" s="9">
        <f t="shared" ca="1" si="21"/>
        <v>0</v>
      </c>
      <c r="N82" s="7">
        <f t="shared" ca="1" si="22"/>
        <v>0</v>
      </c>
      <c r="O82" s="7">
        <f t="shared" ca="1" si="23"/>
        <v>0</v>
      </c>
      <c r="P82" s="7">
        <f t="shared" ca="1" si="24"/>
        <v>0</v>
      </c>
      <c r="U82" t="e">
        <f t="shared" ca="1" si="25"/>
        <v>#N/A</v>
      </c>
      <c r="V82" t="e">
        <f t="shared" ca="1" si="26"/>
        <v>#N/A</v>
      </c>
      <c r="X82" t="e">
        <f t="shared" ca="1" si="27"/>
        <v>#N/A</v>
      </c>
      <c r="Y82" t="e">
        <f t="shared" ca="1" si="28"/>
        <v>#N/A</v>
      </c>
      <c r="AQ82">
        <v>80</v>
      </c>
      <c r="AR82">
        <f t="shared" si="29"/>
        <v>2.083778132003165</v>
      </c>
      <c r="AS82">
        <f t="shared" si="30"/>
        <v>11.817693036146496</v>
      </c>
      <c r="AV82">
        <v>1087.0864460784162</v>
      </c>
      <c r="AW82">
        <v>153.30973115742319</v>
      </c>
      <c r="AX82">
        <v>153.30973115742316</v>
      </c>
      <c r="AY82">
        <f t="shared" si="31"/>
        <v>216.81270104660092</v>
      </c>
      <c r="AZ82">
        <v>1672.4406862744863</v>
      </c>
      <c r="BA82">
        <v>235.86112485757411</v>
      </c>
      <c r="BB82">
        <v>235.86112485757408</v>
      </c>
      <c r="BC82">
        <f t="shared" si="32"/>
        <v>333.55800161015526</v>
      </c>
    </row>
    <row r="83" spans="1:55" x14ac:dyDescent="0.25">
      <c r="A83">
        <v>47</v>
      </c>
      <c r="B83" s="5">
        <v>0</v>
      </c>
      <c r="C83" s="1">
        <f t="shared" ca="1" si="33"/>
        <v>0</v>
      </c>
      <c r="D83" s="46">
        <f t="shared" si="13"/>
        <v>0</v>
      </c>
      <c r="E83" s="46">
        <f t="shared" si="14"/>
        <v>0</v>
      </c>
      <c r="G83" t="e">
        <f t="shared" ca="1" si="15"/>
        <v>#N/A</v>
      </c>
      <c r="H83" t="e">
        <f t="shared" ca="1" si="16"/>
        <v>#N/A</v>
      </c>
      <c r="I83" s="7">
        <f t="shared" si="17"/>
        <v>0</v>
      </c>
      <c r="J83" s="7">
        <f t="shared" si="18"/>
        <v>0</v>
      </c>
      <c r="K83">
        <f t="shared" si="19"/>
        <v>0</v>
      </c>
      <c r="L83" s="15">
        <f t="shared" ca="1" si="20"/>
        <v>0</v>
      </c>
      <c r="M83" s="9">
        <f t="shared" ca="1" si="21"/>
        <v>0</v>
      </c>
      <c r="N83" s="7">
        <f t="shared" ca="1" si="22"/>
        <v>0</v>
      </c>
      <c r="O83" s="7">
        <f t="shared" ca="1" si="23"/>
        <v>0</v>
      </c>
      <c r="P83" s="7">
        <f t="shared" ca="1" si="24"/>
        <v>0</v>
      </c>
      <c r="U83" t="e">
        <f t="shared" ca="1" si="25"/>
        <v>#N/A</v>
      </c>
      <c r="V83" t="e">
        <f t="shared" ca="1" si="26"/>
        <v>#N/A</v>
      </c>
      <c r="X83" t="e">
        <f t="shared" ca="1" si="27"/>
        <v>#N/A</v>
      </c>
      <c r="Y83" t="e">
        <f t="shared" ca="1" si="28"/>
        <v>#N/A</v>
      </c>
      <c r="AQ83">
        <v>81</v>
      </c>
      <c r="AR83">
        <f t="shared" si="29"/>
        <v>1.877213580482771</v>
      </c>
      <c r="AS83">
        <f t="shared" si="30"/>
        <v>11.852260087141653</v>
      </c>
      <c r="AV83">
        <v>1103.9149016543963</v>
      </c>
      <c r="AW83">
        <v>147.67502849471768</v>
      </c>
      <c r="AX83">
        <v>147.67502849471765</v>
      </c>
      <c r="AY83">
        <f t="shared" si="31"/>
        <v>208.84402812106299</v>
      </c>
      <c r="AZ83">
        <v>1698.3306179298404</v>
      </c>
      <c r="BA83">
        <v>227.19235153033489</v>
      </c>
      <c r="BB83">
        <v>227.19235153033483</v>
      </c>
      <c r="BC83">
        <f t="shared" si="32"/>
        <v>321.29850480163537</v>
      </c>
    </row>
    <row r="84" spans="1:55" x14ac:dyDescent="0.25">
      <c r="A84">
        <v>48</v>
      </c>
      <c r="B84" s="5">
        <v>0</v>
      </c>
      <c r="C84" s="1">
        <f t="shared" ca="1" si="33"/>
        <v>0</v>
      </c>
      <c r="D84" s="46">
        <f t="shared" si="13"/>
        <v>0</v>
      </c>
      <c r="E84" s="46">
        <f t="shared" si="14"/>
        <v>0</v>
      </c>
      <c r="G84" t="e">
        <f t="shared" ca="1" si="15"/>
        <v>#N/A</v>
      </c>
      <c r="H84" t="e">
        <f t="shared" ca="1" si="16"/>
        <v>#N/A</v>
      </c>
      <c r="I84" s="7">
        <f t="shared" si="17"/>
        <v>0</v>
      </c>
      <c r="J84" s="7">
        <f t="shared" si="18"/>
        <v>0</v>
      </c>
      <c r="K84">
        <f t="shared" si="19"/>
        <v>0</v>
      </c>
      <c r="L84" s="15">
        <f t="shared" ca="1" si="20"/>
        <v>0</v>
      </c>
      <c r="M84" s="9">
        <f t="shared" ca="1" si="21"/>
        <v>0</v>
      </c>
      <c r="N84" s="7">
        <f t="shared" ca="1" si="22"/>
        <v>0</v>
      </c>
      <c r="O84" s="7">
        <f t="shared" ca="1" si="23"/>
        <v>0</v>
      </c>
      <c r="P84" s="7">
        <f t="shared" ca="1" si="24"/>
        <v>0</v>
      </c>
      <c r="U84" t="e">
        <f t="shared" ca="1" si="25"/>
        <v>#N/A</v>
      </c>
      <c r="V84" t="e">
        <f t="shared" ca="1" si="26"/>
        <v>#N/A</v>
      </c>
      <c r="X84" t="e">
        <f t="shared" ca="1" si="27"/>
        <v>#N/A</v>
      </c>
      <c r="Y84" t="e">
        <f t="shared" ca="1" si="28"/>
        <v>#N/A</v>
      </c>
      <c r="AQ84">
        <v>82</v>
      </c>
      <c r="AR84">
        <f t="shared" si="29"/>
        <v>1.6700772115207856</v>
      </c>
      <c r="AS84">
        <f t="shared" si="30"/>
        <v>11.883216824898845</v>
      </c>
      <c r="AV84">
        <v>1120.7433572303764</v>
      </c>
      <c r="AW84">
        <v>141.8099324473319</v>
      </c>
      <c r="AX84">
        <v>141.80993244733193</v>
      </c>
      <c r="AY84">
        <f t="shared" si="31"/>
        <v>200.54952974622921</v>
      </c>
      <c r="AZ84">
        <v>1724.2205495851945</v>
      </c>
      <c r="BA84">
        <v>218.16912684204908</v>
      </c>
      <c r="BB84">
        <v>218.16912684204911</v>
      </c>
      <c r="BC84">
        <f t="shared" si="32"/>
        <v>308.53773807112185</v>
      </c>
    </row>
    <row r="85" spans="1:55" x14ac:dyDescent="0.25">
      <c r="A85">
        <v>49</v>
      </c>
      <c r="B85" s="5">
        <v>0</v>
      </c>
      <c r="C85" s="1">
        <f t="shared" ca="1" si="33"/>
        <v>0</v>
      </c>
      <c r="D85" s="46">
        <f t="shared" si="13"/>
        <v>0</v>
      </c>
      <c r="E85" s="46">
        <f t="shared" si="14"/>
        <v>0</v>
      </c>
      <c r="G85" t="e">
        <f t="shared" ca="1" si="15"/>
        <v>#N/A</v>
      </c>
      <c r="H85" t="e">
        <f t="shared" ca="1" si="16"/>
        <v>#N/A</v>
      </c>
      <c r="I85" s="7">
        <f t="shared" si="17"/>
        <v>0</v>
      </c>
      <c r="J85" s="7">
        <f t="shared" si="18"/>
        <v>0</v>
      </c>
      <c r="K85">
        <f t="shared" si="19"/>
        <v>0</v>
      </c>
      <c r="L85" s="15">
        <f t="shared" ca="1" si="20"/>
        <v>0</v>
      </c>
      <c r="M85" s="9">
        <f t="shared" ca="1" si="21"/>
        <v>0</v>
      </c>
      <c r="N85" s="7">
        <f t="shared" ca="1" si="22"/>
        <v>0</v>
      </c>
      <c r="O85" s="7">
        <f t="shared" ca="1" si="23"/>
        <v>0</v>
      </c>
      <c r="P85" s="7">
        <f t="shared" ca="1" si="24"/>
        <v>0</v>
      </c>
      <c r="U85" t="e">
        <f t="shared" ca="1" si="25"/>
        <v>#N/A</v>
      </c>
      <c r="V85" t="e">
        <f t="shared" ca="1" si="26"/>
        <v>#N/A</v>
      </c>
      <c r="X85" t="e">
        <f t="shared" ca="1" si="27"/>
        <v>#N/A</v>
      </c>
      <c r="Y85" t="e">
        <f t="shared" ca="1" si="28"/>
        <v>#N/A</v>
      </c>
      <c r="AQ85">
        <v>83</v>
      </c>
      <c r="AR85">
        <f t="shared" si="29"/>
        <v>1.4624321208617699</v>
      </c>
      <c r="AS85">
        <f t="shared" si="30"/>
        <v>11.910553819695863</v>
      </c>
      <c r="AV85">
        <v>1137.5718128063565</v>
      </c>
      <c r="AW85">
        <v>135.71009132580087</v>
      </c>
      <c r="AX85">
        <v>135.7100913258009</v>
      </c>
      <c r="AY85">
        <f t="shared" si="31"/>
        <v>191.92305170383892</v>
      </c>
      <c r="AZ85">
        <v>1750.1104812405486</v>
      </c>
      <c r="BA85">
        <v>208.78475588584749</v>
      </c>
      <c r="BB85">
        <v>208.78475588584755</v>
      </c>
      <c r="BC85">
        <f t="shared" si="32"/>
        <v>295.26623339052145</v>
      </c>
    </row>
    <row r="86" spans="1:55" x14ac:dyDescent="0.25">
      <c r="A86">
        <v>50</v>
      </c>
      <c r="B86" s="5">
        <v>0</v>
      </c>
      <c r="C86" s="1">
        <f t="shared" ca="1" si="33"/>
        <v>0</v>
      </c>
      <c r="D86" s="46">
        <f t="shared" si="13"/>
        <v>0</v>
      </c>
      <c r="E86" s="46">
        <f t="shared" si="14"/>
        <v>0</v>
      </c>
      <c r="G86" t="e">
        <f t="shared" ca="1" si="15"/>
        <v>#N/A</v>
      </c>
      <c r="H86" t="e">
        <f t="shared" ca="1" si="16"/>
        <v>#N/A</v>
      </c>
      <c r="I86" s="7">
        <f t="shared" si="17"/>
        <v>0</v>
      </c>
      <c r="J86" s="7">
        <f t="shared" si="18"/>
        <v>0</v>
      </c>
      <c r="K86">
        <f t="shared" si="19"/>
        <v>0</v>
      </c>
      <c r="L86" s="15">
        <f t="shared" ca="1" si="20"/>
        <v>0</v>
      </c>
      <c r="M86" s="9">
        <f t="shared" ca="1" si="21"/>
        <v>0</v>
      </c>
      <c r="N86" s="7">
        <f t="shared" ca="1" si="22"/>
        <v>0</v>
      </c>
      <c r="O86" s="7">
        <f t="shared" ca="1" si="23"/>
        <v>0</v>
      </c>
      <c r="P86" s="7">
        <f t="shared" ca="1" si="24"/>
        <v>0</v>
      </c>
      <c r="U86" t="e">
        <f t="shared" ca="1" si="25"/>
        <v>#N/A</v>
      </c>
      <c r="V86" t="e">
        <f t="shared" ca="1" si="26"/>
        <v>#N/A</v>
      </c>
      <c r="X86" t="e">
        <f t="shared" ca="1" si="27"/>
        <v>#N/A</v>
      </c>
      <c r="Y86" t="e">
        <f t="shared" ca="1" si="28"/>
        <v>#N/A</v>
      </c>
      <c r="AQ86">
        <v>84</v>
      </c>
      <c r="AR86">
        <f t="shared" si="29"/>
        <v>1.2543415592118414</v>
      </c>
      <c r="AS86">
        <f t="shared" si="30"/>
        <v>11.934262744419279</v>
      </c>
      <c r="AV86">
        <v>1154.4002683823367</v>
      </c>
      <c r="AW86">
        <v>129.36255020334758</v>
      </c>
      <c r="AX86">
        <v>129.36255020334758</v>
      </c>
      <c r="AY86">
        <f t="shared" si="31"/>
        <v>182.94627296074452</v>
      </c>
      <c r="AZ86">
        <v>1776.0004128959024</v>
      </c>
      <c r="BA86">
        <v>199.01930800515012</v>
      </c>
      <c r="BB86">
        <v>199.01930800515012</v>
      </c>
      <c r="BC86">
        <f t="shared" si="32"/>
        <v>281.45580455499157</v>
      </c>
    </row>
    <row r="87" spans="1:55" x14ac:dyDescent="0.25">
      <c r="A87">
        <v>51</v>
      </c>
      <c r="B87" s="5">
        <v>0</v>
      </c>
      <c r="C87" s="1">
        <f t="shared" ca="1" si="33"/>
        <v>0</v>
      </c>
      <c r="D87" s="46">
        <f t="shared" si="13"/>
        <v>0</v>
      </c>
      <c r="E87" s="46">
        <f t="shared" si="14"/>
        <v>0</v>
      </c>
      <c r="G87" t="e">
        <f t="shared" ca="1" si="15"/>
        <v>#N/A</v>
      </c>
      <c r="H87" t="e">
        <f t="shared" ca="1" si="16"/>
        <v>#N/A</v>
      </c>
      <c r="I87" s="7">
        <f t="shared" si="17"/>
        <v>0</v>
      </c>
      <c r="J87" s="7">
        <f t="shared" si="18"/>
        <v>0</v>
      </c>
      <c r="K87">
        <f t="shared" si="19"/>
        <v>0</v>
      </c>
      <c r="L87" s="15">
        <f t="shared" ca="1" si="20"/>
        <v>0</v>
      </c>
      <c r="M87" s="9">
        <f t="shared" ca="1" si="21"/>
        <v>0</v>
      </c>
      <c r="N87" s="7">
        <f t="shared" ca="1" si="22"/>
        <v>0</v>
      </c>
      <c r="O87" s="7">
        <f t="shared" ca="1" si="23"/>
        <v>0</v>
      </c>
      <c r="P87" s="7">
        <f t="shared" ca="1" si="24"/>
        <v>0</v>
      </c>
      <c r="U87" t="e">
        <f t="shared" ca="1" si="25"/>
        <v>#N/A</v>
      </c>
      <c r="V87" t="e">
        <f t="shared" ca="1" si="26"/>
        <v>#N/A</v>
      </c>
      <c r="X87" t="e">
        <f t="shared" ca="1" si="27"/>
        <v>#N/A</v>
      </c>
      <c r="Y87" t="e">
        <f t="shared" ca="1" si="28"/>
        <v>#N/A</v>
      </c>
      <c r="AQ87">
        <v>85</v>
      </c>
      <c r="AR87">
        <f t="shared" si="29"/>
        <v>1.0458689129718977</v>
      </c>
      <c r="AS87">
        <f t="shared" si="30"/>
        <v>11.954336377100947</v>
      </c>
      <c r="AV87">
        <v>1171.2287239583168</v>
      </c>
      <c r="AW87">
        <v>122.73040507613329</v>
      </c>
      <c r="AX87">
        <v>122.73040507613325</v>
      </c>
      <c r="AY87">
        <f t="shared" si="31"/>
        <v>173.56700337421142</v>
      </c>
      <c r="AZ87">
        <v>1801.8903445512565</v>
      </c>
      <c r="BA87">
        <v>188.81600780943583</v>
      </c>
      <c r="BB87">
        <v>188.81600780943577</v>
      </c>
      <c r="BC87">
        <f t="shared" si="32"/>
        <v>267.02615903724836</v>
      </c>
    </row>
    <row r="88" spans="1:55" x14ac:dyDescent="0.25">
      <c r="A88">
        <v>52</v>
      </c>
      <c r="B88" s="5">
        <v>0</v>
      </c>
      <c r="C88" s="1">
        <f t="shared" ca="1" si="33"/>
        <v>0</v>
      </c>
      <c r="D88" s="46">
        <f t="shared" si="13"/>
        <v>0</v>
      </c>
      <c r="E88" s="46">
        <f t="shared" si="14"/>
        <v>0</v>
      </c>
      <c r="G88" t="e">
        <f t="shared" ca="1" si="15"/>
        <v>#N/A</v>
      </c>
      <c r="H88" t="e">
        <f t="shared" ca="1" si="16"/>
        <v>#N/A</v>
      </c>
      <c r="I88" s="7">
        <f t="shared" si="17"/>
        <v>0</v>
      </c>
      <c r="J88" s="7">
        <f t="shared" si="18"/>
        <v>0</v>
      </c>
      <c r="K88">
        <f t="shared" si="19"/>
        <v>0</v>
      </c>
      <c r="L88" s="15">
        <f t="shared" ca="1" si="20"/>
        <v>0</v>
      </c>
      <c r="M88" s="9">
        <f t="shared" ca="1" si="21"/>
        <v>0</v>
      </c>
      <c r="N88" s="7">
        <f t="shared" ca="1" si="22"/>
        <v>0</v>
      </c>
      <c r="O88" s="7">
        <f t="shared" ca="1" si="23"/>
        <v>0</v>
      </c>
      <c r="P88" s="7">
        <f t="shared" ca="1" si="24"/>
        <v>0</v>
      </c>
      <c r="U88" t="e">
        <f t="shared" ca="1" si="25"/>
        <v>#N/A</v>
      </c>
      <c r="V88" t="e">
        <f t="shared" ca="1" si="26"/>
        <v>#N/A</v>
      </c>
      <c r="X88" t="e">
        <f t="shared" ca="1" si="27"/>
        <v>#N/A</v>
      </c>
      <c r="Y88" t="e">
        <f t="shared" ca="1" si="28"/>
        <v>#N/A</v>
      </c>
      <c r="AQ88">
        <v>86</v>
      </c>
      <c r="AR88">
        <f t="shared" si="29"/>
        <v>0.83707768492950274</v>
      </c>
      <c r="AS88">
        <f t="shared" si="30"/>
        <v>11.970768603117889</v>
      </c>
      <c r="AV88">
        <v>1188.0571795342969</v>
      </c>
      <c r="AW88">
        <v>115.84770498100066</v>
      </c>
      <c r="AX88">
        <v>115.84770498100066</v>
      </c>
      <c r="AY88">
        <f t="shared" si="31"/>
        <v>163.83339555392828</v>
      </c>
      <c r="AZ88">
        <v>1827.7802762066106</v>
      </c>
      <c r="BA88">
        <v>178.2272384323087</v>
      </c>
      <c r="BB88">
        <v>178.2272384323087</v>
      </c>
      <c r="BC88">
        <f t="shared" si="32"/>
        <v>252.05137777527426</v>
      </c>
    </row>
    <row r="89" spans="1:55" x14ac:dyDescent="0.25">
      <c r="A89">
        <v>53</v>
      </c>
      <c r="B89" s="5">
        <v>0</v>
      </c>
      <c r="C89" s="1">
        <f t="shared" ca="1" si="33"/>
        <v>0</v>
      </c>
      <c r="D89" s="46">
        <f t="shared" si="13"/>
        <v>0</v>
      </c>
      <c r="E89" s="46">
        <f t="shared" si="14"/>
        <v>0</v>
      </c>
      <c r="G89" t="e">
        <f t="shared" ca="1" si="15"/>
        <v>#N/A</v>
      </c>
      <c r="H89" t="e">
        <f t="shared" ca="1" si="16"/>
        <v>#N/A</v>
      </c>
      <c r="I89" s="7">
        <f t="shared" si="17"/>
        <v>0</v>
      </c>
      <c r="J89" s="7">
        <f t="shared" si="18"/>
        <v>0</v>
      </c>
      <c r="K89">
        <f t="shared" si="19"/>
        <v>0</v>
      </c>
      <c r="L89" s="15">
        <f t="shared" ca="1" si="20"/>
        <v>0</v>
      </c>
      <c r="M89" s="9">
        <f t="shared" ca="1" si="21"/>
        <v>0</v>
      </c>
      <c r="N89" s="7">
        <f t="shared" ca="1" si="22"/>
        <v>0</v>
      </c>
      <c r="O89" s="7">
        <f t="shared" ca="1" si="23"/>
        <v>0</v>
      </c>
      <c r="P89" s="7">
        <f t="shared" ca="1" si="24"/>
        <v>0</v>
      </c>
      <c r="U89" t="e">
        <f t="shared" ca="1" si="25"/>
        <v>#N/A</v>
      </c>
      <c r="V89" t="e">
        <f t="shared" ca="1" si="26"/>
        <v>#N/A</v>
      </c>
      <c r="X89" t="e">
        <f t="shared" ca="1" si="27"/>
        <v>#N/A</v>
      </c>
      <c r="Y89" t="e">
        <f t="shared" ca="1" si="28"/>
        <v>#N/A</v>
      </c>
      <c r="AQ89">
        <v>87</v>
      </c>
      <c r="AR89">
        <f t="shared" si="29"/>
        <v>0.62803147491532763</v>
      </c>
      <c r="AS89">
        <f t="shared" si="30"/>
        <v>11.983554417054886</v>
      </c>
      <c r="AV89">
        <v>1204.885635110277</v>
      </c>
      <c r="AW89">
        <v>108.70871843271414</v>
      </c>
      <c r="AX89">
        <v>108.70871843271418</v>
      </c>
      <c r="AY89">
        <f t="shared" si="31"/>
        <v>153.73734395574243</v>
      </c>
      <c r="AZ89">
        <v>1853.6702078619646</v>
      </c>
      <c r="BA89">
        <v>167.24418220417559</v>
      </c>
      <c r="BB89">
        <v>167.24418220417564</v>
      </c>
      <c r="BC89">
        <f t="shared" si="32"/>
        <v>236.5189907011422</v>
      </c>
    </row>
    <row r="90" spans="1:55" x14ac:dyDescent="0.25">
      <c r="A90">
        <v>54</v>
      </c>
      <c r="B90" s="5">
        <v>0</v>
      </c>
      <c r="C90" s="1">
        <f t="shared" ca="1" si="33"/>
        <v>0</v>
      </c>
      <c r="D90" s="46">
        <f t="shared" si="13"/>
        <v>0</v>
      </c>
      <c r="E90" s="46">
        <f t="shared" si="14"/>
        <v>0</v>
      </c>
      <c r="G90" t="e">
        <f t="shared" ca="1" si="15"/>
        <v>#N/A</v>
      </c>
      <c r="H90" t="e">
        <f t="shared" ca="1" si="16"/>
        <v>#N/A</v>
      </c>
      <c r="I90" s="7">
        <f t="shared" si="17"/>
        <v>0</v>
      </c>
      <c r="J90" s="7">
        <f t="shared" si="18"/>
        <v>0</v>
      </c>
      <c r="K90">
        <f t="shared" si="19"/>
        <v>0</v>
      </c>
      <c r="L90" s="15">
        <f t="shared" ca="1" si="20"/>
        <v>0</v>
      </c>
      <c r="M90" s="9">
        <f t="shared" ca="1" si="21"/>
        <v>0</v>
      </c>
      <c r="N90" s="7">
        <f t="shared" ca="1" si="22"/>
        <v>0</v>
      </c>
      <c r="O90" s="7">
        <f t="shared" ca="1" si="23"/>
        <v>0</v>
      </c>
      <c r="P90" s="7">
        <f t="shared" ca="1" si="24"/>
        <v>0</v>
      </c>
      <c r="U90" t="e">
        <f t="shared" ca="1" si="25"/>
        <v>#N/A</v>
      </c>
      <c r="V90" t="e">
        <f t="shared" ca="1" si="26"/>
        <v>#N/A</v>
      </c>
      <c r="X90" t="e">
        <f t="shared" ca="1" si="27"/>
        <v>#N/A</v>
      </c>
      <c r="Y90" t="e">
        <f t="shared" ca="1" si="28"/>
        <v>#N/A</v>
      </c>
      <c r="AQ90">
        <v>88</v>
      </c>
      <c r="AR90">
        <f t="shared" si="29"/>
        <v>0.41879396043001293</v>
      </c>
      <c r="AS90">
        <f t="shared" si="30"/>
        <v>11.992689924229149</v>
      </c>
      <c r="AV90">
        <v>1221.7140906862571</v>
      </c>
      <c r="AW90">
        <v>101.30721697218438</v>
      </c>
      <c r="AX90">
        <v>101.30721697218434</v>
      </c>
      <c r="AY90">
        <f t="shared" si="31"/>
        <v>143.27004020833692</v>
      </c>
      <c r="AZ90">
        <v>1879.5601395173185</v>
      </c>
      <c r="BA90">
        <v>155.85725688028364</v>
      </c>
      <c r="BB90">
        <v>155.85725688028359</v>
      </c>
      <c r="BC90">
        <f t="shared" si="32"/>
        <v>220.41544647436447</v>
      </c>
    </row>
    <row r="91" spans="1:55" x14ac:dyDescent="0.25">
      <c r="A91">
        <v>55</v>
      </c>
      <c r="B91" s="5">
        <v>0</v>
      </c>
      <c r="C91" s="1">
        <f t="shared" ca="1" si="33"/>
        <v>0</v>
      </c>
      <c r="D91" s="46">
        <f t="shared" si="13"/>
        <v>0</v>
      </c>
      <c r="E91" s="46">
        <f t="shared" si="14"/>
        <v>0</v>
      </c>
      <c r="G91" t="e">
        <f t="shared" ca="1" si="15"/>
        <v>#N/A</v>
      </c>
      <c r="H91" t="e">
        <f t="shared" ca="1" si="16"/>
        <v>#N/A</v>
      </c>
      <c r="I91" s="7">
        <f t="shared" si="17"/>
        <v>0</v>
      </c>
      <c r="J91" s="7">
        <f t="shared" si="18"/>
        <v>0</v>
      </c>
      <c r="K91">
        <f t="shared" si="19"/>
        <v>0</v>
      </c>
      <c r="L91" s="15">
        <f t="shared" ca="1" si="20"/>
        <v>0</v>
      </c>
      <c r="M91" s="9">
        <f t="shared" ca="1" si="21"/>
        <v>0</v>
      </c>
      <c r="N91" s="7">
        <f t="shared" ca="1" si="22"/>
        <v>0</v>
      </c>
      <c r="O91" s="7">
        <f t="shared" ca="1" si="23"/>
        <v>0</v>
      </c>
      <c r="P91" s="7">
        <f t="shared" ca="1" si="24"/>
        <v>0</v>
      </c>
      <c r="U91" t="e">
        <f t="shared" ca="1" si="25"/>
        <v>#N/A</v>
      </c>
      <c r="V91" t="e">
        <f t="shared" ca="1" si="26"/>
        <v>#N/A</v>
      </c>
      <c r="X91" t="e">
        <f t="shared" ca="1" si="27"/>
        <v>#N/A</v>
      </c>
      <c r="Y91" t="e">
        <f t="shared" ca="1" si="28"/>
        <v>#N/A</v>
      </c>
      <c r="AQ91">
        <v>89</v>
      </c>
      <c r="AR91">
        <f t="shared" si="29"/>
        <v>0.20942887724740317</v>
      </c>
      <c r="AS91">
        <f t="shared" si="30"/>
        <v>11.998172341876696</v>
      </c>
      <c r="AV91">
        <v>1238.5425462622372</v>
      </c>
      <c r="AW91">
        <v>93.636379838999375</v>
      </c>
      <c r="AX91">
        <v>93.636379838999375</v>
      </c>
      <c r="AY91">
        <f t="shared" si="31"/>
        <v>132.42183829983156</v>
      </c>
      <c r="AZ91">
        <v>1905.4500711726726</v>
      </c>
      <c r="BA91">
        <v>144.05596898307596</v>
      </c>
      <c r="BB91">
        <v>144.05596898307596</v>
      </c>
      <c r="BC91">
        <f t="shared" si="32"/>
        <v>203.72590507666393</v>
      </c>
    </row>
    <row r="92" spans="1:55" x14ac:dyDescent="0.25">
      <c r="A92">
        <v>56</v>
      </c>
      <c r="B92" s="5">
        <v>0</v>
      </c>
      <c r="C92" s="1">
        <f t="shared" ca="1" si="33"/>
        <v>0</v>
      </c>
      <c r="D92" s="46">
        <f t="shared" si="13"/>
        <v>0</v>
      </c>
      <c r="E92" s="46">
        <f t="shared" si="14"/>
        <v>0</v>
      </c>
      <c r="G92" t="e">
        <f t="shared" ca="1" si="15"/>
        <v>#N/A</v>
      </c>
      <c r="H92" t="e">
        <f t="shared" ca="1" si="16"/>
        <v>#N/A</v>
      </c>
      <c r="I92" s="7">
        <f t="shared" si="17"/>
        <v>0</v>
      </c>
      <c r="J92" s="7">
        <f t="shared" si="18"/>
        <v>0</v>
      </c>
      <c r="K92">
        <f t="shared" si="19"/>
        <v>0</v>
      </c>
      <c r="L92" s="15">
        <f t="shared" ca="1" si="20"/>
        <v>0</v>
      </c>
      <c r="M92" s="9">
        <f t="shared" ca="1" si="21"/>
        <v>0</v>
      </c>
      <c r="N92" s="7">
        <f t="shared" ca="1" si="22"/>
        <v>0</v>
      </c>
      <c r="O92" s="7">
        <f t="shared" ca="1" si="23"/>
        <v>0</v>
      </c>
      <c r="P92" s="7">
        <f t="shared" ca="1" si="24"/>
        <v>0</v>
      </c>
      <c r="U92" t="e">
        <f t="shared" ca="1" si="25"/>
        <v>#N/A</v>
      </c>
      <c r="V92" t="e">
        <f t="shared" ca="1" si="26"/>
        <v>#N/A</v>
      </c>
      <c r="X92" t="e">
        <f t="shared" ca="1" si="27"/>
        <v>#N/A</v>
      </c>
      <c r="Y92" t="e">
        <f t="shared" ca="1" si="28"/>
        <v>#N/A</v>
      </c>
      <c r="AQ92">
        <v>90</v>
      </c>
      <c r="AR92">
        <f t="shared" si="29"/>
        <v>7.3508907294517201E-16</v>
      </c>
      <c r="AS92">
        <f t="shared" si="30"/>
        <v>12</v>
      </c>
      <c r="AV92">
        <v>1255.3710018382174</v>
      </c>
      <c r="AW92">
        <v>85.688676646673301</v>
      </c>
      <c r="AX92">
        <v>85.688676646673272</v>
      </c>
      <c r="AY92">
        <f t="shared" si="31"/>
        <v>121.18208865552806</v>
      </c>
      <c r="AZ92">
        <v>1931.3400028280266</v>
      </c>
      <c r="BA92">
        <v>131.82873330257431</v>
      </c>
      <c r="BB92">
        <v>131.82873330257425</v>
      </c>
      <c r="BC92">
        <f t="shared" si="32"/>
        <v>186.43398254696623</v>
      </c>
    </row>
    <row r="93" spans="1:55" x14ac:dyDescent="0.25">
      <c r="A93">
        <v>57</v>
      </c>
      <c r="B93" s="5">
        <v>0</v>
      </c>
      <c r="C93" s="1">
        <f t="shared" ca="1" si="33"/>
        <v>0</v>
      </c>
      <c r="D93" s="46">
        <f t="shared" si="13"/>
        <v>0</v>
      </c>
      <c r="E93" s="46">
        <f t="shared" si="14"/>
        <v>0</v>
      </c>
      <c r="G93" t="e">
        <f t="shared" ca="1" si="15"/>
        <v>#N/A</v>
      </c>
      <c r="H93" t="e">
        <f t="shared" ca="1" si="16"/>
        <v>#N/A</v>
      </c>
      <c r="I93" s="7">
        <f t="shared" si="17"/>
        <v>0</v>
      </c>
      <c r="J93" s="7">
        <f t="shared" si="18"/>
        <v>0</v>
      </c>
      <c r="K93">
        <f t="shared" si="19"/>
        <v>0</v>
      </c>
      <c r="L93" s="15">
        <f t="shared" ca="1" si="20"/>
        <v>0</v>
      </c>
      <c r="M93" s="9">
        <f t="shared" ca="1" si="21"/>
        <v>0</v>
      </c>
      <c r="N93" s="7">
        <f t="shared" ca="1" si="22"/>
        <v>0</v>
      </c>
      <c r="O93" s="7">
        <f t="shared" ca="1" si="23"/>
        <v>0</v>
      </c>
      <c r="P93" s="7">
        <f t="shared" ca="1" si="24"/>
        <v>0</v>
      </c>
      <c r="U93" t="e">
        <f t="shared" ca="1" si="25"/>
        <v>#N/A</v>
      </c>
      <c r="V93" t="e">
        <f t="shared" ca="1" si="26"/>
        <v>#N/A</v>
      </c>
      <c r="X93" t="e">
        <f t="shared" ca="1" si="27"/>
        <v>#N/A</v>
      </c>
      <c r="Y93" t="e">
        <f t="shared" ca="1" si="28"/>
        <v>#N/A</v>
      </c>
      <c r="AQ93">
        <v>91</v>
      </c>
      <c r="AR93">
        <f t="shared" si="29"/>
        <v>-0.20942887724740172</v>
      </c>
      <c r="AS93">
        <f t="shared" si="30"/>
        <v>11.998172341876696</v>
      </c>
      <c r="AV93">
        <v>1272.1994574141975</v>
      </c>
      <c r="AW93">
        <v>77.45572368590328</v>
      </c>
      <c r="AX93">
        <v>77.455723685903266</v>
      </c>
      <c r="AY93">
        <f t="shared" si="31"/>
        <v>109.53893492002739</v>
      </c>
      <c r="AZ93">
        <v>1957.2299344833807</v>
      </c>
      <c r="BA93">
        <v>119.16265182446658</v>
      </c>
      <c r="BB93">
        <v>119.16265182446656</v>
      </c>
      <c r="BC93">
        <f t="shared" si="32"/>
        <v>168.52143833850366</v>
      </c>
    </row>
    <row r="94" spans="1:55" x14ac:dyDescent="0.25">
      <c r="A94">
        <v>58</v>
      </c>
      <c r="B94" s="5">
        <v>0</v>
      </c>
      <c r="C94" s="1">
        <f t="shared" ca="1" si="33"/>
        <v>0</v>
      </c>
      <c r="D94" s="46">
        <f t="shared" si="13"/>
        <v>0</v>
      </c>
      <c r="E94" s="46">
        <f t="shared" si="14"/>
        <v>0</v>
      </c>
      <c r="G94" t="e">
        <f t="shared" ca="1" si="15"/>
        <v>#N/A</v>
      </c>
      <c r="H94" t="e">
        <f t="shared" ca="1" si="16"/>
        <v>#N/A</v>
      </c>
      <c r="I94" s="7">
        <f t="shared" si="17"/>
        <v>0</v>
      </c>
      <c r="J94" s="7">
        <f t="shared" si="18"/>
        <v>0</v>
      </c>
      <c r="K94">
        <f t="shared" si="19"/>
        <v>0</v>
      </c>
      <c r="L94" s="15">
        <f t="shared" ca="1" si="20"/>
        <v>0</v>
      </c>
      <c r="M94" s="9">
        <f t="shared" ca="1" si="21"/>
        <v>0</v>
      </c>
      <c r="N94" s="7">
        <f t="shared" ca="1" si="22"/>
        <v>0</v>
      </c>
      <c r="O94" s="7">
        <f t="shared" ca="1" si="23"/>
        <v>0</v>
      </c>
      <c r="P94" s="7">
        <f t="shared" ca="1" si="24"/>
        <v>0</v>
      </c>
      <c r="U94" t="e">
        <f t="shared" ca="1" si="25"/>
        <v>#N/A</v>
      </c>
      <c r="V94" t="e">
        <f t="shared" ca="1" si="26"/>
        <v>#N/A</v>
      </c>
      <c r="X94" t="e">
        <f t="shared" ca="1" si="27"/>
        <v>#N/A</v>
      </c>
      <c r="Y94" t="e">
        <f t="shared" ca="1" si="28"/>
        <v>#N/A</v>
      </c>
      <c r="AQ94">
        <v>92</v>
      </c>
      <c r="AR94">
        <f t="shared" si="29"/>
        <v>-0.41879396043001149</v>
      </c>
      <c r="AS94">
        <f t="shared" si="30"/>
        <v>11.992689924229149</v>
      </c>
      <c r="AV94">
        <v>1289.0279129901776</v>
      </c>
      <c r="AW94">
        <v>68.928112872793832</v>
      </c>
      <c r="AX94">
        <v>68.928112872793889</v>
      </c>
      <c r="AY94">
        <f t="shared" si="31"/>
        <v>97.479072053488593</v>
      </c>
      <c r="AZ94">
        <v>1983.1198661387348</v>
      </c>
      <c r="BA94">
        <v>106.04325057352897</v>
      </c>
      <c r="BB94">
        <v>106.04325057352905</v>
      </c>
      <c r="BC94">
        <f t="shared" si="32"/>
        <v>149.96780315921322</v>
      </c>
    </row>
    <row r="95" spans="1:55" x14ac:dyDescent="0.25">
      <c r="A95">
        <v>59</v>
      </c>
      <c r="B95" s="5">
        <v>0</v>
      </c>
      <c r="C95" s="1">
        <f t="shared" ca="1" si="33"/>
        <v>0</v>
      </c>
      <c r="D95" s="46">
        <f t="shared" si="13"/>
        <v>0</v>
      </c>
      <c r="E95" s="46">
        <f t="shared" si="14"/>
        <v>0</v>
      </c>
      <c r="G95" t="e">
        <f t="shared" ca="1" si="15"/>
        <v>#N/A</v>
      </c>
      <c r="H95" t="e">
        <f t="shared" ca="1" si="16"/>
        <v>#N/A</v>
      </c>
      <c r="I95" s="7">
        <f t="shared" si="17"/>
        <v>0</v>
      </c>
      <c r="J95" s="7">
        <f t="shared" si="18"/>
        <v>0</v>
      </c>
      <c r="K95">
        <f t="shared" si="19"/>
        <v>0</v>
      </c>
      <c r="L95" s="15">
        <f t="shared" ca="1" si="20"/>
        <v>0</v>
      </c>
      <c r="M95" s="9">
        <f t="shared" ca="1" si="21"/>
        <v>0</v>
      </c>
      <c r="N95" s="7">
        <f t="shared" ca="1" si="22"/>
        <v>0</v>
      </c>
      <c r="O95" s="7">
        <f t="shared" ca="1" si="23"/>
        <v>0</v>
      </c>
      <c r="P95" s="7">
        <f t="shared" ca="1" si="24"/>
        <v>0</v>
      </c>
      <c r="U95" t="e">
        <f t="shared" ca="1" si="25"/>
        <v>#N/A</v>
      </c>
      <c r="V95" t="e">
        <f t="shared" ca="1" si="26"/>
        <v>#N/A</v>
      </c>
      <c r="X95" t="e">
        <f t="shared" ca="1" si="27"/>
        <v>#N/A</v>
      </c>
      <c r="Y95" t="e">
        <f t="shared" ca="1" si="28"/>
        <v>#N/A</v>
      </c>
      <c r="AQ95">
        <v>93</v>
      </c>
      <c r="AR95">
        <f t="shared" si="29"/>
        <v>-0.62803147491532607</v>
      </c>
      <c r="AS95">
        <f t="shared" si="30"/>
        <v>11.983554417054886</v>
      </c>
      <c r="AV95">
        <v>1305.8563685661577</v>
      </c>
      <c r="AW95">
        <v>60.105622488042584</v>
      </c>
      <c r="AX95">
        <v>60.105622488042592</v>
      </c>
      <c r="AY95">
        <f t="shared" si="31"/>
        <v>85.002186497467122</v>
      </c>
      <c r="AZ95">
        <v>2009.0097977940886</v>
      </c>
      <c r="BA95">
        <v>92.470188443142433</v>
      </c>
      <c r="BB95">
        <v>92.470188443142447</v>
      </c>
      <c r="BC95">
        <f t="shared" si="32"/>
        <v>130.77259461148788</v>
      </c>
    </row>
    <row r="96" spans="1:55" x14ac:dyDescent="0.25">
      <c r="A96">
        <v>60</v>
      </c>
      <c r="B96" s="5">
        <v>0</v>
      </c>
      <c r="C96" s="1">
        <f t="shared" ca="1" si="33"/>
        <v>0</v>
      </c>
      <c r="D96" s="46">
        <f t="shared" si="13"/>
        <v>0</v>
      </c>
      <c r="E96" s="46">
        <f t="shared" si="14"/>
        <v>0</v>
      </c>
      <c r="G96" t="e">
        <f t="shared" ca="1" si="15"/>
        <v>#N/A</v>
      </c>
      <c r="H96" t="e">
        <f t="shared" ca="1" si="16"/>
        <v>#N/A</v>
      </c>
      <c r="I96" s="7">
        <f t="shared" si="17"/>
        <v>0</v>
      </c>
      <c r="J96" s="7">
        <f t="shared" si="18"/>
        <v>0</v>
      </c>
      <c r="K96">
        <f t="shared" si="19"/>
        <v>0</v>
      </c>
      <c r="L96" s="15">
        <f t="shared" ca="1" si="20"/>
        <v>0</v>
      </c>
      <c r="M96" s="9">
        <f t="shared" ca="1" si="21"/>
        <v>0</v>
      </c>
      <c r="N96" s="7">
        <f t="shared" ca="1" si="22"/>
        <v>0</v>
      </c>
      <c r="O96" s="7">
        <f t="shared" ca="1" si="23"/>
        <v>0</v>
      </c>
      <c r="P96" s="7">
        <f t="shared" ca="1" si="24"/>
        <v>0</v>
      </c>
      <c r="U96" t="e">
        <f t="shared" ca="1" si="25"/>
        <v>#N/A</v>
      </c>
      <c r="V96" t="e">
        <f t="shared" ca="1" si="26"/>
        <v>#N/A</v>
      </c>
      <c r="X96" t="e">
        <f t="shared" ca="1" si="27"/>
        <v>#N/A</v>
      </c>
      <c r="Y96" t="e">
        <f t="shared" ca="1" si="28"/>
        <v>#N/A</v>
      </c>
      <c r="AQ96">
        <v>94</v>
      </c>
      <c r="AR96">
        <f t="shared" si="29"/>
        <v>-0.83707768492950396</v>
      </c>
      <c r="AS96">
        <f t="shared" si="30"/>
        <v>11.970768603117889</v>
      </c>
      <c r="AV96">
        <v>1322.6848241421378</v>
      </c>
      <c r="AW96">
        <v>50.923581402378424</v>
      </c>
      <c r="AX96">
        <v>50.923581402378446</v>
      </c>
      <c r="AY96">
        <f t="shared" si="31"/>
        <v>72.016819463853892</v>
      </c>
      <c r="AZ96">
        <v>2034.8997294494427</v>
      </c>
      <c r="BA96">
        <v>78.343971388274497</v>
      </c>
      <c r="BB96">
        <v>78.343971388274525</v>
      </c>
      <c r="BC96">
        <f t="shared" si="32"/>
        <v>110.79510686746752</v>
      </c>
    </row>
    <row r="97" spans="1:55" x14ac:dyDescent="0.25">
      <c r="A97">
        <v>61</v>
      </c>
      <c r="B97" s="5">
        <v>0</v>
      </c>
      <c r="C97" s="1">
        <f t="shared" ca="1" si="33"/>
        <v>0</v>
      </c>
      <c r="D97" s="46">
        <f t="shared" si="13"/>
        <v>0</v>
      </c>
      <c r="E97" s="46">
        <f t="shared" si="14"/>
        <v>0</v>
      </c>
      <c r="G97" t="e">
        <f t="shared" ca="1" si="15"/>
        <v>#N/A</v>
      </c>
      <c r="H97" t="e">
        <f t="shared" ca="1" si="16"/>
        <v>#N/A</v>
      </c>
      <c r="I97" s="7">
        <f t="shared" si="17"/>
        <v>0</v>
      </c>
      <c r="J97" s="7">
        <f t="shared" si="18"/>
        <v>0</v>
      </c>
      <c r="K97">
        <f t="shared" si="19"/>
        <v>0</v>
      </c>
      <c r="L97" s="15">
        <f t="shared" ca="1" si="20"/>
        <v>0</v>
      </c>
      <c r="M97" s="9">
        <f t="shared" ca="1" si="21"/>
        <v>0</v>
      </c>
      <c r="N97" s="7">
        <f t="shared" ca="1" si="22"/>
        <v>0</v>
      </c>
      <c r="O97" s="7">
        <f t="shared" ca="1" si="23"/>
        <v>0</v>
      </c>
      <c r="P97" s="7">
        <f t="shared" ca="1" si="24"/>
        <v>0</v>
      </c>
      <c r="U97" t="e">
        <f t="shared" ca="1" si="25"/>
        <v>#N/A</v>
      </c>
      <c r="V97" t="e">
        <f t="shared" ca="1" si="26"/>
        <v>#N/A</v>
      </c>
      <c r="X97" t="e">
        <f t="shared" ca="1" si="27"/>
        <v>#N/A</v>
      </c>
      <c r="Y97" t="e">
        <f t="shared" ca="1" si="28"/>
        <v>#N/A</v>
      </c>
      <c r="AQ97">
        <v>95</v>
      </c>
      <c r="AR97">
        <f t="shared" si="29"/>
        <v>-1.0458689129718988</v>
      </c>
      <c r="AS97">
        <f t="shared" si="30"/>
        <v>11.954336377100947</v>
      </c>
      <c r="AV97">
        <v>1339.5132797181179</v>
      </c>
      <c r="AW97">
        <v>41.410045027423585</v>
      </c>
      <c r="AX97">
        <v>41.410045027423635</v>
      </c>
      <c r="AY97">
        <f t="shared" si="31"/>
        <v>58.562647296263016</v>
      </c>
      <c r="AZ97">
        <v>2060.7896611047968</v>
      </c>
      <c r="BA97">
        <v>63.70776158065167</v>
      </c>
      <c r="BB97">
        <v>63.707761580651741</v>
      </c>
      <c r="BC97">
        <f t="shared" si="32"/>
        <v>90.096380455789244</v>
      </c>
    </row>
    <row r="98" spans="1:55" x14ac:dyDescent="0.25">
      <c r="A98">
        <v>62</v>
      </c>
      <c r="B98" s="5">
        <v>0</v>
      </c>
      <c r="C98" s="1">
        <f t="shared" ca="1" si="33"/>
        <v>0</v>
      </c>
      <c r="D98" s="46">
        <f t="shared" si="13"/>
        <v>0</v>
      </c>
      <c r="E98" s="46">
        <f t="shared" si="14"/>
        <v>0</v>
      </c>
      <c r="G98" t="e">
        <f t="shared" ca="1" si="15"/>
        <v>#N/A</v>
      </c>
      <c r="H98" t="e">
        <f t="shared" ca="1" si="16"/>
        <v>#N/A</v>
      </c>
      <c r="I98" s="7">
        <f t="shared" si="17"/>
        <v>0</v>
      </c>
      <c r="J98" s="7">
        <f t="shared" si="18"/>
        <v>0</v>
      </c>
      <c r="K98">
        <f t="shared" si="19"/>
        <v>0</v>
      </c>
      <c r="L98" s="15">
        <f t="shared" ca="1" si="20"/>
        <v>0</v>
      </c>
      <c r="M98" s="9">
        <f t="shared" ca="1" si="21"/>
        <v>0</v>
      </c>
      <c r="N98" s="7">
        <f t="shared" ca="1" si="22"/>
        <v>0</v>
      </c>
      <c r="O98" s="7">
        <f t="shared" ca="1" si="23"/>
        <v>0</v>
      </c>
      <c r="P98" s="7">
        <f t="shared" ca="1" si="24"/>
        <v>0</v>
      </c>
      <c r="U98" t="e">
        <f t="shared" ca="1" si="25"/>
        <v>#N/A</v>
      </c>
      <c r="V98" t="e">
        <f t="shared" ca="1" si="26"/>
        <v>#N/A</v>
      </c>
      <c r="X98" t="e">
        <f t="shared" ca="1" si="27"/>
        <v>#N/A</v>
      </c>
      <c r="Y98" t="e">
        <f t="shared" ca="1" si="28"/>
        <v>#N/A</v>
      </c>
      <c r="AQ98">
        <v>96</v>
      </c>
      <c r="AR98">
        <f t="shared" si="29"/>
        <v>-1.2543415592118428</v>
      </c>
      <c r="AS98">
        <f t="shared" si="30"/>
        <v>11.934262744419279</v>
      </c>
      <c r="AV98">
        <v>1356.341735294098</v>
      </c>
      <c r="AW98">
        <v>31.553907561300136</v>
      </c>
      <c r="AX98">
        <v>31.553907561300132</v>
      </c>
      <c r="AY98">
        <f t="shared" si="31"/>
        <v>44.623964019057603</v>
      </c>
      <c r="AZ98">
        <v>2086.6795927601506</v>
      </c>
      <c r="BA98">
        <v>48.544473171230976</v>
      </c>
      <c r="BB98">
        <v>48.544473171230969</v>
      </c>
      <c r="BC98">
        <f t="shared" si="32"/>
        <v>68.652252337011689</v>
      </c>
    </row>
    <row r="99" spans="1:55" x14ac:dyDescent="0.25">
      <c r="A99">
        <v>63</v>
      </c>
      <c r="B99" s="5">
        <v>0</v>
      </c>
      <c r="C99" s="1">
        <f t="shared" ca="1" si="33"/>
        <v>0</v>
      </c>
      <c r="D99" s="46">
        <f t="shared" si="13"/>
        <v>0</v>
      </c>
      <c r="E99" s="46">
        <f t="shared" si="14"/>
        <v>0</v>
      </c>
      <c r="G99" t="e">
        <f t="shared" ca="1" si="15"/>
        <v>#N/A</v>
      </c>
      <c r="H99" t="e">
        <f t="shared" ca="1" si="16"/>
        <v>#N/A</v>
      </c>
      <c r="I99" s="7">
        <f t="shared" si="17"/>
        <v>0</v>
      </c>
      <c r="J99" s="7">
        <f t="shared" si="18"/>
        <v>0</v>
      </c>
      <c r="K99">
        <f t="shared" si="19"/>
        <v>0</v>
      </c>
      <c r="L99" s="15">
        <f t="shared" ca="1" si="20"/>
        <v>0</v>
      </c>
      <c r="M99" s="9">
        <f t="shared" ca="1" si="21"/>
        <v>0</v>
      </c>
      <c r="N99" s="7">
        <f t="shared" ca="1" si="22"/>
        <v>0</v>
      </c>
      <c r="O99" s="7">
        <f t="shared" ca="1" si="23"/>
        <v>0</v>
      </c>
      <c r="P99" s="7">
        <f t="shared" ca="1" si="24"/>
        <v>0</v>
      </c>
      <c r="U99" t="e">
        <f t="shared" ca="1" si="25"/>
        <v>#N/A</v>
      </c>
      <c r="V99" t="e">
        <f t="shared" ca="1" si="26"/>
        <v>#N/A</v>
      </c>
      <c r="X99" t="e">
        <f t="shared" ca="1" si="27"/>
        <v>#N/A</v>
      </c>
      <c r="Y99" t="e">
        <f t="shared" ca="1" si="28"/>
        <v>#N/A</v>
      </c>
      <c r="AQ99">
        <v>97</v>
      </c>
      <c r="AR99">
        <f t="shared" si="29"/>
        <v>-1.4624321208617683</v>
      </c>
      <c r="AS99">
        <f t="shared" si="30"/>
        <v>11.910553819695865</v>
      </c>
      <c r="AV99">
        <v>1373.1701908700782</v>
      </c>
      <c r="AW99">
        <v>21.368474658301889</v>
      </c>
      <c r="AX99">
        <v>21.368474658301889</v>
      </c>
      <c r="AY99">
        <f t="shared" si="31"/>
        <v>30.219586668996318</v>
      </c>
      <c r="AZ99">
        <v>2112.5695244155049</v>
      </c>
      <c r="BA99">
        <v>32.874576397387521</v>
      </c>
      <c r="BB99">
        <v>32.874576397387521</v>
      </c>
      <c r="BC99">
        <f t="shared" si="32"/>
        <v>46.491671798455876</v>
      </c>
    </row>
    <row r="100" spans="1:55" x14ac:dyDescent="0.25">
      <c r="A100">
        <v>64</v>
      </c>
      <c r="B100" s="5">
        <v>0</v>
      </c>
      <c r="C100" s="1">
        <f t="shared" ca="1" si="33"/>
        <v>0</v>
      </c>
      <c r="D100" s="46">
        <f t="shared" si="13"/>
        <v>0</v>
      </c>
      <c r="E100" s="46">
        <f t="shared" si="14"/>
        <v>0</v>
      </c>
      <c r="G100" t="e">
        <f t="shared" ca="1" si="15"/>
        <v>#N/A</v>
      </c>
      <c r="H100" t="e">
        <f t="shared" ca="1" si="16"/>
        <v>#N/A</v>
      </c>
      <c r="I100" s="7">
        <f t="shared" si="17"/>
        <v>0</v>
      </c>
      <c r="J100" s="7">
        <f t="shared" si="18"/>
        <v>0</v>
      </c>
      <c r="K100">
        <f t="shared" si="19"/>
        <v>0</v>
      </c>
      <c r="L100" s="15">
        <f t="shared" ca="1" si="20"/>
        <v>0</v>
      </c>
      <c r="M100" s="9">
        <f t="shared" ca="1" si="21"/>
        <v>0</v>
      </c>
      <c r="N100" s="7">
        <f t="shared" ca="1" si="22"/>
        <v>0</v>
      </c>
      <c r="O100" s="7">
        <f t="shared" ca="1" si="23"/>
        <v>0</v>
      </c>
      <c r="P100" s="7">
        <f t="shared" ca="1" si="24"/>
        <v>0</v>
      </c>
      <c r="U100" t="e">
        <f t="shared" ca="1" si="25"/>
        <v>#N/A</v>
      </c>
      <c r="V100" t="e">
        <f t="shared" ca="1" si="26"/>
        <v>#N/A</v>
      </c>
      <c r="X100" t="e">
        <f t="shared" ca="1" si="27"/>
        <v>#N/A</v>
      </c>
      <c r="Y100" t="e">
        <f t="shared" ca="1" si="28"/>
        <v>#N/A</v>
      </c>
      <c r="AQ100">
        <v>98</v>
      </c>
      <c r="AR100">
        <f t="shared" si="29"/>
        <v>-1.6700772115207843</v>
      </c>
      <c r="AS100">
        <f t="shared" si="30"/>
        <v>11.883216824898845</v>
      </c>
      <c r="AV100">
        <v>1389.9986464460583</v>
      </c>
      <c r="AW100">
        <v>13.159234574459678</v>
      </c>
      <c r="AX100">
        <v>13.159234574459674</v>
      </c>
      <c r="AY100">
        <f t="shared" si="31"/>
        <v>18.609968005649819</v>
      </c>
      <c r="AZ100">
        <v>2138.4594560708588</v>
      </c>
      <c r="BA100">
        <v>20.244976268399505</v>
      </c>
      <c r="BB100">
        <v>20.244976268399498</v>
      </c>
      <c r="BC100">
        <f t="shared" si="32"/>
        <v>28.630720008692027</v>
      </c>
    </row>
    <row r="101" spans="1:55" x14ac:dyDescent="0.25">
      <c r="A101">
        <v>65</v>
      </c>
      <c r="B101" s="5">
        <v>0</v>
      </c>
      <c r="C101" s="1">
        <f t="shared" ref="C101:C108" ca="1" si="34">IF(A101&lt;=$B$31,OFFSET($Q$36,MATCH(B101,$Q$36:$Q$47,0)-1,2),0)</f>
        <v>0</v>
      </c>
      <c r="D101" s="46">
        <f t="shared" si="13"/>
        <v>0</v>
      </c>
      <c r="E101" s="46">
        <f t="shared" si="14"/>
        <v>0</v>
      </c>
      <c r="G101" t="e">
        <f t="shared" ca="1" si="15"/>
        <v>#N/A</v>
      </c>
      <c r="H101" t="e">
        <f t="shared" ca="1" si="16"/>
        <v>#N/A</v>
      </c>
      <c r="I101" s="7">
        <f t="shared" si="17"/>
        <v>0</v>
      </c>
      <c r="J101" s="7">
        <f t="shared" si="18"/>
        <v>0</v>
      </c>
      <c r="K101">
        <f t="shared" si="19"/>
        <v>0</v>
      </c>
      <c r="L101" s="15">
        <f t="shared" ca="1" si="20"/>
        <v>0</v>
      </c>
      <c r="M101" s="9">
        <f t="shared" ca="1" si="21"/>
        <v>0</v>
      </c>
      <c r="N101" s="7">
        <f t="shared" ca="1" si="22"/>
        <v>0</v>
      </c>
      <c r="O101" s="7">
        <f t="shared" ca="1" si="23"/>
        <v>0</v>
      </c>
      <c r="P101" s="7">
        <f t="shared" ca="1" si="24"/>
        <v>0</v>
      </c>
      <c r="U101" t="e">
        <f t="shared" ca="1" si="25"/>
        <v>#N/A</v>
      </c>
      <c r="V101" t="e">
        <f t="shared" ca="1" si="26"/>
        <v>#N/A</v>
      </c>
      <c r="X101" t="e">
        <f t="shared" ca="1" si="27"/>
        <v>#N/A</v>
      </c>
      <c r="Y101" t="e">
        <f t="shared" ca="1" si="28"/>
        <v>#N/A</v>
      </c>
      <c r="AQ101">
        <v>99</v>
      </c>
      <c r="AR101">
        <f t="shared" si="29"/>
        <v>-1.8772135804827697</v>
      </c>
      <c r="AS101">
        <f t="shared" si="30"/>
        <v>11.852260087141653</v>
      </c>
      <c r="AV101">
        <v>1406.8271020220384</v>
      </c>
      <c r="AW101">
        <v>7.5727560036744013</v>
      </c>
      <c r="AX101">
        <v>7.5727560036743986</v>
      </c>
      <c r="AY101">
        <f t="shared" si="31"/>
        <v>10.709494244938616</v>
      </c>
      <c r="AZ101">
        <v>2164.3493877262126</v>
      </c>
      <c r="BA101">
        <v>11.65039385180677</v>
      </c>
      <c r="BB101">
        <v>11.650393851806767</v>
      </c>
      <c r="BC101">
        <f t="shared" si="32"/>
        <v>16.476144992213257</v>
      </c>
    </row>
    <row r="102" spans="1:55" x14ac:dyDescent="0.25">
      <c r="A102">
        <v>66</v>
      </c>
      <c r="B102" s="5">
        <v>0</v>
      </c>
      <c r="C102" s="1">
        <f t="shared" ca="1" si="34"/>
        <v>0</v>
      </c>
      <c r="D102" s="46">
        <f t="shared" ref="D102:D108" si="35">IF($E$32*(A102-1)&gt;=360,0,($B$3-$E$31)*COS(RADIANS(($E$32*(A102-1)))))</f>
        <v>0</v>
      </c>
      <c r="E102" s="46">
        <f t="shared" ref="E102:E108" si="36">IF($E$32*(A102-1)&gt;=360,0,($B$3-$E$31)*SIN(RADIANS($E$32*(A102-1))))</f>
        <v>0</v>
      </c>
      <c r="G102" t="e">
        <f t="shared" ref="G102:G108" ca="1" si="37">IF(C102=0,NA(),D102)</f>
        <v>#N/A</v>
      </c>
      <c r="H102" t="e">
        <f t="shared" ref="H102:H108" ca="1" si="38">IF(C102=0,NA(),E102)</f>
        <v>#N/A</v>
      </c>
      <c r="I102" s="7">
        <f t="shared" ref="I102:I108" si="39">D102*COS($B$10)+E102*SIN($B$10)</f>
        <v>0</v>
      </c>
      <c r="J102" s="7">
        <f t="shared" ref="J102:J108" si="40">-1*D102*SIN($B$10)+E102*COS($B$10)</f>
        <v>0</v>
      </c>
      <c r="K102">
        <f t="shared" ref="K102:K108" si="41">IF(B102=0,0,$B$3-J102)</f>
        <v>0</v>
      </c>
      <c r="L102" s="15">
        <f t="shared" ref="L102:L108" ca="1" si="42">IF($B$11=0,-1,IF(C102=0,0,(($B$11-K102)/$B$11)*$B$13)*IF($B$11&lt;0,-1,1))</f>
        <v>0</v>
      </c>
      <c r="M102" s="9">
        <f t="shared" ref="M102:M108" ca="1" si="43">IF(AND(L102&gt;0,K102&lt;=$B$12),MIN((L102*F$35),C$35)-IF($B$2="Whitney",$B$8,B216),MAX(L102*F$35,-1*C$35))</f>
        <v>0</v>
      </c>
      <c r="N102" s="7">
        <f t="shared" ref="N102:N108" ca="1" si="44">M102*C102</f>
        <v>0</v>
      </c>
      <c r="O102" s="7">
        <f t="shared" ref="O102:O108" ca="1" si="45">N102*J102</f>
        <v>0</v>
      </c>
      <c r="P102" s="7">
        <f t="shared" ref="P102:P108" ca="1" si="46">N102*I102</f>
        <v>0</v>
      </c>
      <c r="U102" t="e">
        <f t="shared" ref="U102:U108" ca="1" si="47">IF(AND(N102&lt;0,C102&gt;0),D102,NA())</f>
        <v>#N/A</v>
      </c>
      <c r="V102" t="e">
        <f t="shared" ref="V102:V108" ca="1" si="48">IF(AND(N102&lt;0,C102&gt;0),E102,NA())</f>
        <v>#N/A</v>
      </c>
      <c r="X102" t="e">
        <f t="shared" ref="X102:X108" ca="1" si="49">IF(AND(N102&gt;=0,C102&gt;0),D102,NA())</f>
        <v>#N/A</v>
      </c>
      <c r="Y102" t="e">
        <f t="shared" ref="Y102:Y108" ca="1" si="50">IF(AND(N102&gt;=0,C102&gt;0),E102,NA())</f>
        <v>#N/A</v>
      </c>
      <c r="AQ102">
        <v>100</v>
      </c>
      <c r="AR102">
        <f t="shared" si="29"/>
        <v>-2.0837781320031636</v>
      </c>
      <c r="AS102">
        <f t="shared" si="30"/>
        <v>11.817693036146496</v>
      </c>
      <c r="AV102">
        <v>1423.6555575980185</v>
      </c>
      <c r="AW102">
        <v>5.4137862492925279E-3</v>
      </c>
      <c r="AX102">
        <v>5.4137862492881737E-3</v>
      </c>
      <c r="AY102">
        <f t="shared" si="31"/>
        <v>7.6562499375353839E-3</v>
      </c>
      <c r="AZ102">
        <v>2190.2393193815669</v>
      </c>
      <c r="BA102">
        <v>8.3289019219885043E-3</v>
      </c>
      <c r="BB102">
        <v>8.3289019219818048E-3</v>
      </c>
      <c r="BC102">
        <f t="shared" si="32"/>
        <v>1.1778846057746744E-2</v>
      </c>
    </row>
    <row r="103" spans="1:55" x14ac:dyDescent="0.25">
      <c r="A103">
        <v>67</v>
      </c>
      <c r="B103" s="5">
        <v>0</v>
      </c>
      <c r="C103" s="1">
        <f t="shared" ca="1" si="34"/>
        <v>0</v>
      </c>
      <c r="D103" s="46">
        <f t="shared" si="35"/>
        <v>0</v>
      </c>
      <c r="E103" s="46">
        <f t="shared" si="36"/>
        <v>0</v>
      </c>
      <c r="G103" t="e">
        <f t="shared" ca="1" si="37"/>
        <v>#N/A</v>
      </c>
      <c r="H103" t="e">
        <f t="shared" ca="1" si="38"/>
        <v>#N/A</v>
      </c>
      <c r="I103" s="7">
        <f t="shared" si="39"/>
        <v>0</v>
      </c>
      <c r="J103" s="7">
        <f t="shared" si="40"/>
        <v>0</v>
      </c>
      <c r="K103">
        <f t="shared" si="41"/>
        <v>0</v>
      </c>
      <c r="L103" s="15">
        <f t="shared" ca="1" si="42"/>
        <v>0</v>
      </c>
      <c r="M103" s="9">
        <f t="shared" ca="1" si="43"/>
        <v>0</v>
      </c>
      <c r="N103" s="7">
        <f t="shared" ca="1" si="44"/>
        <v>0</v>
      </c>
      <c r="O103" s="7">
        <f t="shared" ca="1" si="45"/>
        <v>0</v>
      </c>
      <c r="P103" s="7">
        <f t="shared" ca="1" si="46"/>
        <v>0</v>
      </c>
      <c r="U103" t="e">
        <f t="shared" ca="1" si="47"/>
        <v>#N/A</v>
      </c>
      <c r="V103" t="e">
        <f t="shared" ca="1" si="48"/>
        <v>#N/A</v>
      </c>
      <c r="X103" t="e">
        <f t="shared" ca="1" si="49"/>
        <v>#N/A</v>
      </c>
      <c r="Y103" t="e">
        <f t="shared" ca="1" si="50"/>
        <v>#N/A</v>
      </c>
      <c r="AQ103">
        <v>101</v>
      </c>
      <c r="AR103">
        <f t="shared" si="29"/>
        <v>-2.2897079445185375</v>
      </c>
      <c r="AS103">
        <f t="shared" si="30"/>
        <v>11.779526201371969</v>
      </c>
    </row>
    <row r="104" spans="1:55" x14ac:dyDescent="0.25">
      <c r="A104">
        <v>68</v>
      </c>
      <c r="B104" s="5">
        <v>0</v>
      </c>
      <c r="C104" s="1">
        <f t="shared" ca="1" si="34"/>
        <v>0</v>
      </c>
      <c r="D104" s="46">
        <f t="shared" si="35"/>
        <v>0</v>
      </c>
      <c r="E104" s="46">
        <f t="shared" si="36"/>
        <v>0</v>
      </c>
      <c r="G104" t="e">
        <f t="shared" ca="1" si="37"/>
        <v>#N/A</v>
      </c>
      <c r="H104" t="e">
        <f t="shared" ca="1" si="38"/>
        <v>#N/A</v>
      </c>
      <c r="I104" s="7">
        <f t="shared" si="39"/>
        <v>0</v>
      </c>
      <c r="J104" s="7">
        <f t="shared" si="40"/>
        <v>0</v>
      </c>
      <c r="K104">
        <f t="shared" si="41"/>
        <v>0</v>
      </c>
      <c r="L104" s="15">
        <f t="shared" ca="1" si="42"/>
        <v>0</v>
      </c>
      <c r="M104" s="9">
        <f t="shared" ca="1" si="43"/>
        <v>0</v>
      </c>
      <c r="N104" s="7">
        <f t="shared" ca="1" si="44"/>
        <v>0</v>
      </c>
      <c r="O104" s="7">
        <f t="shared" ca="1" si="45"/>
        <v>0</v>
      </c>
      <c r="P104" s="7">
        <f t="shared" ca="1" si="46"/>
        <v>0</v>
      </c>
      <c r="U104" t="e">
        <f t="shared" ca="1" si="47"/>
        <v>#N/A</v>
      </c>
      <c r="V104" t="e">
        <f t="shared" ca="1" si="48"/>
        <v>#N/A</v>
      </c>
      <c r="X104" t="e">
        <f t="shared" ca="1" si="49"/>
        <v>#N/A</v>
      </c>
      <c r="Y104" t="e">
        <f t="shared" ca="1" si="50"/>
        <v>#N/A</v>
      </c>
      <c r="AQ104">
        <v>102</v>
      </c>
      <c r="AR104">
        <f t="shared" si="29"/>
        <v>-2.4949402898131119</v>
      </c>
      <c r="AS104">
        <f t="shared" si="30"/>
        <v>11.737771208805668</v>
      </c>
      <c r="AV104">
        <f>AV105</f>
        <v>1138.9324460784158</v>
      </c>
      <c r="AW104">
        <v>0</v>
      </c>
      <c r="AX104">
        <v>0</v>
      </c>
      <c r="AY104">
        <v>0</v>
      </c>
    </row>
    <row r="105" spans="1:55" x14ac:dyDescent="0.25">
      <c r="A105">
        <v>69</v>
      </c>
      <c r="B105" s="5">
        <v>0</v>
      </c>
      <c r="C105" s="1">
        <f t="shared" ca="1" si="34"/>
        <v>0</v>
      </c>
      <c r="D105" s="46">
        <f t="shared" si="35"/>
        <v>0</v>
      </c>
      <c r="E105" s="46">
        <f t="shared" si="36"/>
        <v>0</v>
      </c>
      <c r="G105" t="e">
        <f t="shared" ca="1" si="37"/>
        <v>#N/A</v>
      </c>
      <c r="H105" t="e">
        <f t="shared" ca="1" si="38"/>
        <v>#N/A</v>
      </c>
      <c r="I105" s="7">
        <f t="shared" si="39"/>
        <v>0</v>
      </c>
      <c r="J105" s="7">
        <f t="shared" si="40"/>
        <v>0</v>
      </c>
      <c r="K105">
        <f t="shared" si="41"/>
        <v>0</v>
      </c>
      <c r="L105" s="15">
        <f t="shared" ca="1" si="42"/>
        <v>0</v>
      </c>
      <c r="M105" s="9">
        <f t="shared" ca="1" si="43"/>
        <v>0</v>
      </c>
      <c r="N105" s="7">
        <f t="shared" ca="1" si="44"/>
        <v>0</v>
      </c>
      <c r="O105" s="7">
        <f t="shared" ca="1" si="45"/>
        <v>0</v>
      </c>
      <c r="P105" s="7">
        <f t="shared" ca="1" si="46"/>
        <v>0</v>
      </c>
      <c r="U105" t="e">
        <f t="shared" ca="1" si="47"/>
        <v>#N/A</v>
      </c>
      <c r="V105" t="e">
        <f t="shared" ca="1" si="48"/>
        <v>#N/A</v>
      </c>
      <c r="X105" t="e">
        <f t="shared" ca="1" si="49"/>
        <v>#N/A</v>
      </c>
      <c r="Y105" t="e">
        <f t="shared" ca="1" si="50"/>
        <v>#N/A</v>
      </c>
      <c r="AQ105">
        <v>103</v>
      </c>
      <c r="AR105">
        <f t="shared" si="29"/>
        <v>-2.6994126521263802</v>
      </c>
      <c r="AS105">
        <f t="shared" si="30"/>
        <v>11.692440777422823</v>
      </c>
      <c r="AV105">
        <v>1138.9324460784158</v>
      </c>
      <c r="AW105">
        <v>135.20650532621661</v>
      </c>
      <c r="AX105">
        <v>135.20650532621664</v>
      </c>
      <c r="AY105">
        <f t="shared" ref="AY105" si="51">SQRT(POWER(AW105,2)+POWER(AX105,2))</f>
        <v>191.21087355340566</v>
      </c>
    </row>
    <row r="106" spans="1:55" x14ac:dyDescent="0.25">
      <c r="A106">
        <v>70</v>
      </c>
      <c r="B106" s="5">
        <v>0</v>
      </c>
      <c r="C106" s="1">
        <f t="shared" ca="1" si="34"/>
        <v>0</v>
      </c>
      <c r="D106" s="46">
        <f t="shared" si="35"/>
        <v>0</v>
      </c>
      <c r="E106" s="46">
        <f t="shared" si="36"/>
        <v>0</v>
      </c>
      <c r="G106" t="e">
        <f t="shared" ca="1" si="37"/>
        <v>#N/A</v>
      </c>
      <c r="H106" t="e">
        <f t="shared" ca="1" si="38"/>
        <v>#N/A</v>
      </c>
      <c r="I106" s="7">
        <f t="shared" si="39"/>
        <v>0</v>
      </c>
      <c r="J106" s="7">
        <f t="shared" si="40"/>
        <v>0</v>
      </c>
      <c r="K106">
        <f t="shared" si="41"/>
        <v>0</v>
      </c>
      <c r="L106" s="15">
        <f t="shared" ca="1" si="42"/>
        <v>0</v>
      </c>
      <c r="M106" s="9">
        <f t="shared" ca="1" si="43"/>
        <v>0</v>
      </c>
      <c r="N106" s="7">
        <f t="shared" ca="1" si="44"/>
        <v>0</v>
      </c>
      <c r="O106" s="7">
        <f t="shared" ca="1" si="45"/>
        <v>0</v>
      </c>
      <c r="P106" s="7">
        <f t="shared" ca="1" si="46"/>
        <v>0</v>
      </c>
      <c r="U106" t="e">
        <f t="shared" ca="1" si="47"/>
        <v>#N/A</v>
      </c>
      <c r="V106" t="e">
        <f t="shared" ca="1" si="48"/>
        <v>#N/A</v>
      </c>
      <c r="X106" t="e">
        <f t="shared" ca="1" si="49"/>
        <v>#N/A</v>
      </c>
      <c r="Y106" t="e">
        <f t="shared" ca="1" si="50"/>
        <v>#N/A</v>
      </c>
      <c r="AQ106">
        <v>104</v>
      </c>
      <c r="AR106">
        <f t="shared" si="29"/>
        <v>-2.9030627471960133</v>
      </c>
      <c r="AS106">
        <f t="shared" si="30"/>
        <v>11.643548715311958</v>
      </c>
    </row>
    <row r="107" spans="1:55" x14ac:dyDescent="0.25">
      <c r="A107">
        <v>71</v>
      </c>
      <c r="B107" s="5">
        <v>0</v>
      </c>
      <c r="C107" s="1">
        <f t="shared" ca="1" si="34"/>
        <v>0</v>
      </c>
      <c r="D107" s="46">
        <f t="shared" si="35"/>
        <v>0</v>
      </c>
      <c r="E107" s="46">
        <f t="shared" si="36"/>
        <v>0</v>
      </c>
      <c r="G107" t="e">
        <f t="shared" ca="1" si="37"/>
        <v>#N/A</v>
      </c>
      <c r="H107" t="e">
        <f t="shared" ca="1" si="38"/>
        <v>#N/A</v>
      </c>
      <c r="I107" s="7">
        <f t="shared" si="39"/>
        <v>0</v>
      </c>
      <c r="J107" s="7">
        <f t="shared" si="40"/>
        <v>0</v>
      </c>
      <c r="K107">
        <f t="shared" si="41"/>
        <v>0</v>
      </c>
      <c r="L107" s="15">
        <f t="shared" ca="1" si="42"/>
        <v>0</v>
      </c>
      <c r="M107" s="9">
        <f t="shared" ca="1" si="43"/>
        <v>0</v>
      </c>
      <c r="N107" s="7">
        <f t="shared" ca="1" si="44"/>
        <v>0</v>
      </c>
      <c r="O107" s="7">
        <f t="shared" ca="1" si="45"/>
        <v>0</v>
      </c>
      <c r="P107" s="7">
        <f t="shared" ca="1" si="46"/>
        <v>0</v>
      </c>
      <c r="U107" t="e">
        <f t="shared" ca="1" si="47"/>
        <v>#N/A</v>
      </c>
      <c r="V107" t="e">
        <f t="shared" ca="1" si="48"/>
        <v>#N/A</v>
      </c>
      <c r="X107" t="e">
        <f t="shared" ca="1" si="49"/>
        <v>#N/A</v>
      </c>
      <c r="Y107" t="e">
        <f t="shared" ca="1" si="50"/>
        <v>#N/A</v>
      </c>
      <c r="AQ107">
        <v>105</v>
      </c>
      <c r="AR107">
        <f t="shared" si="29"/>
        <v>-3.1058285412302502</v>
      </c>
      <c r="AS107">
        <f t="shared" si="30"/>
        <v>11.59110991546882</v>
      </c>
    </row>
    <row r="108" spans="1:55" ht="15.75" thickBot="1" x14ac:dyDescent="0.3">
      <c r="A108">
        <v>72</v>
      </c>
      <c r="B108" s="5">
        <v>0</v>
      </c>
      <c r="C108" s="12">
        <f t="shared" ca="1" si="34"/>
        <v>0</v>
      </c>
      <c r="D108" s="46">
        <f t="shared" si="35"/>
        <v>0</v>
      </c>
      <c r="E108" s="46">
        <f t="shared" si="36"/>
        <v>0</v>
      </c>
      <c r="G108" t="e">
        <f t="shared" ca="1" si="37"/>
        <v>#N/A</v>
      </c>
      <c r="H108" t="e">
        <f t="shared" ca="1" si="38"/>
        <v>#N/A</v>
      </c>
      <c r="I108" s="7">
        <f t="shared" si="39"/>
        <v>0</v>
      </c>
      <c r="J108" s="7">
        <f t="shared" si="40"/>
        <v>0</v>
      </c>
      <c r="K108">
        <f t="shared" si="41"/>
        <v>0</v>
      </c>
      <c r="L108" s="15">
        <f t="shared" ca="1" si="42"/>
        <v>0</v>
      </c>
      <c r="M108" s="9">
        <f t="shared" ca="1" si="43"/>
        <v>0</v>
      </c>
      <c r="N108" s="7">
        <f t="shared" ca="1" si="44"/>
        <v>0</v>
      </c>
      <c r="O108" s="7">
        <f t="shared" ca="1" si="45"/>
        <v>0</v>
      </c>
      <c r="P108" s="7">
        <f t="shared" ca="1" si="46"/>
        <v>0</v>
      </c>
      <c r="U108" t="e">
        <f t="shared" ca="1" si="47"/>
        <v>#N/A</v>
      </c>
      <c r="V108" t="e">
        <f t="shared" ca="1" si="48"/>
        <v>#N/A</v>
      </c>
      <c r="X108" t="e">
        <f t="shared" ca="1" si="49"/>
        <v>#N/A</v>
      </c>
      <c r="Y108" t="e">
        <f t="shared" ca="1" si="50"/>
        <v>#N/A</v>
      </c>
      <c r="AQ108">
        <v>106</v>
      </c>
      <c r="AR108">
        <f t="shared" si="29"/>
        <v>-3.3076482698039884</v>
      </c>
      <c r="AS108">
        <f t="shared" si="30"/>
        <v>11.535140351259827</v>
      </c>
    </row>
    <row r="109" spans="1:55" ht="15.75" thickTop="1" x14ac:dyDescent="0.25">
      <c r="C109" s="13">
        <f ca="1">SUM(C37:C108)</f>
        <v>4.8</v>
      </c>
      <c r="L109" s="15">
        <f ca="1">MIN(L37:L108)</f>
        <v>-5.8710759110687299E-3</v>
      </c>
      <c r="M109" s="9"/>
      <c r="N109" s="7">
        <f ca="1">SUM(N37:N108)</f>
        <v>-130.17474615458156</v>
      </c>
      <c r="O109" s="7">
        <f t="shared" ref="O109:P109" ca="1" si="52">SUM(O37:O108)</f>
        <v>1190.5697655658398</v>
      </c>
      <c r="P109" s="7">
        <f t="shared" ca="1" si="52"/>
        <v>2.8421709430404007E-14</v>
      </c>
      <c r="AQ109">
        <v>107</v>
      </c>
      <c r="AR109">
        <f t="shared" si="29"/>
        <v>-3.5084604566728399</v>
      </c>
      <c r="AS109">
        <f t="shared" si="30"/>
        <v>11.475657071556427</v>
      </c>
    </row>
    <row r="110" spans="1:55" x14ac:dyDescent="0.25">
      <c r="M110" s="9"/>
      <c r="AQ110">
        <v>108</v>
      </c>
      <c r="AR110">
        <f t="shared" si="29"/>
        <v>-3.7082039324993681</v>
      </c>
      <c r="AS110">
        <f t="shared" si="30"/>
        <v>11.412678195541844</v>
      </c>
    </row>
    <row r="111" spans="1:55" x14ac:dyDescent="0.25">
      <c r="M111" s="9"/>
      <c r="AQ111">
        <v>109</v>
      </c>
      <c r="AR111">
        <f t="shared" si="29"/>
        <v>-3.9068178534858795</v>
      </c>
      <c r="AS111">
        <f t="shared" si="30"/>
        <v>11.346222907191802</v>
      </c>
    </row>
    <row r="112" spans="1:55" x14ac:dyDescent="0.25">
      <c r="A112" t="s">
        <v>21</v>
      </c>
      <c r="B112" s="10">
        <f ca="1">H31+N109</f>
        <v>222.22222222213082</v>
      </c>
      <c r="M112" s="9"/>
      <c r="AQ112">
        <v>110</v>
      </c>
      <c r="AR112">
        <f t="shared" si="29"/>
        <v>-4.1042417199080248</v>
      </c>
      <c r="AS112">
        <f t="shared" si="30"/>
        <v>11.276311449430901</v>
      </c>
    </row>
    <row r="113" spans="1:45" x14ac:dyDescent="0.25">
      <c r="A113" t="s">
        <v>56</v>
      </c>
      <c r="B113" s="10">
        <f ca="1">I31+O109</f>
        <v>4226.572628039361</v>
      </c>
      <c r="M113" s="9"/>
      <c r="AQ113">
        <v>111</v>
      </c>
      <c r="AR113">
        <f t="shared" si="29"/>
        <v>-4.3004153945436032</v>
      </c>
      <c r="AS113">
        <f t="shared" si="30"/>
        <v>11.202965117966421</v>
      </c>
    </row>
    <row r="114" spans="1:45" x14ac:dyDescent="0.25">
      <c r="A114" t="s">
        <v>57</v>
      </c>
      <c r="B114" s="10">
        <f ca="1">J31+P109</f>
        <v>5.7198690228688055E-13</v>
      </c>
      <c r="M114" s="9"/>
      <c r="AQ114">
        <v>112</v>
      </c>
      <c r="AR114">
        <f t="shared" si="29"/>
        <v>-4.4952791209909453</v>
      </c>
      <c r="AS114">
        <f t="shared" si="30"/>
        <v>11.126206254801449</v>
      </c>
    </row>
    <row r="115" spans="1:45" x14ac:dyDescent="0.25">
      <c r="M115" s="9"/>
      <c r="AQ115">
        <v>113</v>
      </c>
      <c r="AR115">
        <f t="shared" si="29"/>
        <v>-4.688773541871285</v>
      </c>
      <c r="AS115">
        <f t="shared" si="30"/>
        <v>11.046058241429282</v>
      </c>
    </row>
    <row r="116" spans="1:45" x14ac:dyDescent="0.25">
      <c r="A116" s="2" t="s">
        <v>58</v>
      </c>
      <c r="B116">
        <f ca="1">((B113*COS(-1*B10))+(B114*SIN(-1*B10)))</f>
        <v>2988.6381664640794</v>
      </c>
      <c r="C116" t="s">
        <v>59</v>
      </c>
      <c r="M116" s="9"/>
      <c r="AQ116">
        <v>114</v>
      </c>
      <c r="AR116">
        <f t="shared" si="29"/>
        <v>-4.8808397169096036</v>
      </c>
      <c r="AS116">
        <f t="shared" si="30"/>
        <v>10.962545491711211</v>
      </c>
    </row>
    <row r="117" spans="1:45" x14ac:dyDescent="0.25">
      <c r="A117" s="2" t="s">
        <v>60</v>
      </c>
      <c r="B117">
        <f ca="1">(-1*(B113)*SIN(-1*B10))+((B114)*COS(-1*B10))</f>
        <v>2988.6381664640799</v>
      </c>
      <c r="C117" t="s">
        <v>59</v>
      </c>
      <c r="M117" s="9"/>
      <c r="AQ117">
        <v>115</v>
      </c>
      <c r="AR117">
        <f t="shared" si="29"/>
        <v>-5.0714191408883922</v>
      </c>
      <c r="AS117">
        <f t="shared" si="30"/>
        <v>10.875693444439801</v>
      </c>
    </row>
    <row r="118" spans="1:45" x14ac:dyDescent="0.25">
      <c r="M118" s="9"/>
      <c r="AQ118">
        <v>116</v>
      </c>
      <c r="AR118">
        <f t="shared" si="29"/>
        <v>-5.2604537614689306</v>
      </c>
      <c r="AS118">
        <f t="shared" si="30"/>
        <v>10.785528555590004</v>
      </c>
    </row>
    <row r="119" spans="1:45" x14ac:dyDescent="0.25">
      <c r="M119" s="9"/>
      <c r="AQ119">
        <v>117</v>
      </c>
      <c r="AR119">
        <f t="shared" si="29"/>
        <v>-5.4478859968745601</v>
      </c>
      <c r="AS119">
        <f t="shared" si="30"/>
        <v>10.692078290260415</v>
      </c>
    </row>
    <row r="120" spans="1:45" x14ac:dyDescent="0.25">
      <c r="A120" t="s">
        <v>110</v>
      </c>
      <c r="M120" s="9"/>
      <c r="AQ120">
        <v>118</v>
      </c>
      <c r="AR120">
        <f t="shared" si="29"/>
        <v>-5.6336587534306908</v>
      </c>
      <c r="AS120">
        <f t="shared" si="30"/>
        <v>10.595371114307122</v>
      </c>
    </row>
    <row r="121" spans="1:45" ht="18" x14ac:dyDescent="0.35">
      <c r="A121" t="s">
        <v>88</v>
      </c>
      <c r="B121" t="s">
        <v>89</v>
      </c>
      <c r="M121" s="9"/>
      <c r="AQ121">
        <v>119</v>
      </c>
      <c r="AR121">
        <f t="shared" si="29"/>
        <v>-5.817715442956044</v>
      </c>
      <c r="AS121">
        <f t="shared" si="30"/>
        <v>10.49543648567275</v>
      </c>
    </row>
    <row r="122" spans="1:45" ht="18" x14ac:dyDescent="0.35">
      <c r="A122" t="s">
        <v>90</v>
      </c>
      <c r="B122" t="s">
        <v>91</v>
      </c>
      <c r="M122" s="9"/>
      <c r="AQ122">
        <v>120</v>
      </c>
      <c r="AR122">
        <f t="shared" si="29"/>
        <v>-5.9999999999999973</v>
      </c>
      <c r="AS122">
        <f t="shared" si="30"/>
        <v>10.392304845413264</v>
      </c>
    </row>
    <row r="123" spans="1:45" ht="18" x14ac:dyDescent="0.35">
      <c r="A123" t="s">
        <v>92</v>
      </c>
      <c r="M123" s="9"/>
      <c r="AQ123">
        <v>121</v>
      </c>
      <c r="AR123">
        <f t="shared" si="29"/>
        <v>-6.1804568989206512</v>
      </c>
      <c r="AS123">
        <f t="shared" si="30"/>
        <v>10.286007608425347</v>
      </c>
    </row>
    <row r="124" spans="1:45" ht="18.75" x14ac:dyDescent="0.35">
      <c r="A124" t="s">
        <v>93</v>
      </c>
      <c r="B124" t="s">
        <v>94</v>
      </c>
      <c r="M124" s="9"/>
      <c r="AQ124">
        <v>122</v>
      </c>
      <c r="AR124">
        <f t="shared" si="29"/>
        <v>-6.3590311707984579</v>
      </c>
      <c r="AS124">
        <f t="shared" si="30"/>
        <v>10.176577153877112</v>
      </c>
    </row>
    <row r="125" spans="1:45" x14ac:dyDescent="0.25">
      <c r="M125" s="9"/>
      <c r="AQ125">
        <v>123</v>
      </c>
      <c r="AR125">
        <f t="shared" si="29"/>
        <v>-6.5356684201803255</v>
      </c>
      <c r="AS125">
        <f t="shared" si="30"/>
        <v>10.064046815345087</v>
      </c>
    </row>
    <row r="126" spans="1:45" x14ac:dyDescent="0.25">
      <c r="A126" t="s">
        <v>95</v>
      </c>
      <c r="B126" s="4">
        <f>B5*1000</f>
        <v>5000</v>
      </c>
      <c r="C126" t="s">
        <v>96</v>
      </c>
      <c r="M126" s="9"/>
      <c r="AQ126">
        <v>124</v>
      </c>
      <c r="AR126">
        <f t="shared" si="29"/>
        <v>-6.7103148416489606</v>
      </c>
      <c r="AS126">
        <f t="shared" si="30"/>
        <v>9.9484508706605013</v>
      </c>
    </row>
    <row r="127" spans="1:45" x14ac:dyDescent="0.25">
      <c r="A127" t="s">
        <v>3</v>
      </c>
      <c r="B127" s="4">
        <f>B6*1000</f>
        <v>4030508.6527633211</v>
      </c>
      <c r="C127" t="s">
        <v>96</v>
      </c>
      <c r="M127" s="9"/>
      <c r="AQ127">
        <v>125</v>
      </c>
      <c r="AR127">
        <f t="shared" si="29"/>
        <v>-6.8829172362125544</v>
      </c>
      <c r="AS127">
        <f t="shared" si="30"/>
        <v>9.8298245314678994</v>
      </c>
    </row>
    <row r="128" spans="1:45" ht="18" x14ac:dyDescent="0.35">
      <c r="A128" t="s">
        <v>88</v>
      </c>
      <c r="B128" s="1">
        <f>(2*0.85*B126)/B127</f>
        <v>2.1089149614335629E-3</v>
      </c>
      <c r="C128" t="s">
        <v>97</v>
      </c>
      <c r="M128" s="9"/>
      <c r="AQ128">
        <v>126</v>
      </c>
      <c r="AR128">
        <f t="shared" si="29"/>
        <v>-7.0534230275096768</v>
      </c>
      <c r="AS128">
        <f t="shared" si="30"/>
        <v>9.7082039324993694</v>
      </c>
    </row>
    <row r="129" spans="1:45" ht="18" x14ac:dyDescent="0.35">
      <c r="A129" t="s">
        <v>98</v>
      </c>
      <c r="B129" s="1">
        <v>3.0000000000000001E-3</v>
      </c>
      <c r="C129" t="s">
        <v>97</v>
      </c>
      <c r="M129" s="9"/>
      <c r="AQ129">
        <v>127</v>
      </c>
      <c r="AR129">
        <f t="shared" si="29"/>
        <v>-7.2217802778245801</v>
      </c>
      <c r="AS129">
        <f t="shared" si="30"/>
        <v>9.5836261205675122</v>
      </c>
    </row>
    <row r="130" spans="1:45" ht="18" x14ac:dyDescent="0.35">
      <c r="A130" t="s">
        <v>99</v>
      </c>
      <c r="B130" s="1">
        <f>B129/B128</f>
        <v>1.422532465681172</v>
      </c>
      <c r="C130" t="s">
        <v>100</v>
      </c>
      <c r="M130" s="9"/>
      <c r="AQ130">
        <v>128</v>
      </c>
      <c r="AR130">
        <f t="shared" si="29"/>
        <v>-7.3879377039078999</v>
      </c>
      <c r="AS130">
        <f t="shared" si="30"/>
        <v>9.4561290432806651</v>
      </c>
    </row>
    <row r="131" spans="1:45" ht="18" x14ac:dyDescent="0.35">
      <c r="A131" t="s">
        <v>101</v>
      </c>
      <c r="B131" s="7">
        <f>B3</f>
        <v>12</v>
      </c>
      <c r="C131" t="s">
        <v>0</v>
      </c>
      <c r="M131" s="9"/>
      <c r="AQ131">
        <v>129</v>
      </c>
      <c r="AR131">
        <f t="shared" ref="AR131:AR194" si="53">$B$3*COS(RADIANS(AQ131))</f>
        <v>-7.5518446925980474</v>
      </c>
      <c r="AS131">
        <f t="shared" ref="AS131:AS194" si="54">$B$3*SIN(RADIANS(AQ131))</f>
        <v>9.3257515374836526</v>
      </c>
    </row>
    <row r="132" spans="1:45" x14ac:dyDescent="0.25">
      <c r="B132" s="1"/>
      <c r="M132" s="9"/>
      <c r="AQ132">
        <v>130</v>
      </c>
      <c r="AR132">
        <f t="shared" si="53"/>
        <v>-7.7134513162384728</v>
      </c>
      <c r="AS132">
        <f t="shared" si="54"/>
        <v>9.1925333174277366</v>
      </c>
    </row>
    <row r="133" spans="1:45" x14ac:dyDescent="0.25">
      <c r="A133" t="s">
        <v>102</v>
      </c>
      <c r="B133" s="9">
        <f>B11</f>
        <v>7.1651399037957733</v>
      </c>
      <c r="C133" t="s">
        <v>0</v>
      </c>
      <c r="D133" t="s">
        <v>103</v>
      </c>
      <c r="J133" s="1" t="s">
        <v>114</v>
      </c>
      <c r="K133" t="s">
        <v>115</v>
      </c>
      <c r="M133" s="9"/>
      <c r="AQ133">
        <v>131</v>
      </c>
      <c r="AR133">
        <f t="shared" si="53"/>
        <v>-7.8727083478860855</v>
      </c>
      <c r="AS133">
        <f t="shared" si="54"/>
        <v>9.0565149626732655</v>
      </c>
    </row>
    <row r="134" spans="1:45" ht="18" x14ac:dyDescent="0.35">
      <c r="A134" t="s">
        <v>104</v>
      </c>
      <c r="B134" s="1">
        <f>(((B128/B129)*B133)-B133)*-1</f>
        <v>2.1282496558359245</v>
      </c>
      <c r="C134" t="s">
        <v>0</v>
      </c>
      <c r="D134" t="s">
        <v>105</v>
      </c>
      <c r="M134" s="9"/>
      <c r="AQ134">
        <v>132</v>
      </c>
      <c r="AR134">
        <f t="shared" si="53"/>
        <v>-8.0295672763062989</v>
      </c>
      <c r="AS134">
        <f t="shared" si="54"/>
        <v>8.9177379057287318</v>
      </c>
    </row>
    <row r="135" spans="1:45" x14ac:dyDescent="0.25">
      <c r="A135" t="s">
        <v>106</v>
      </c>
      <c r="B135" s="1">
        <f>B131-B134</f>
        <v>9.8717503441640755</v>
      </c>
      <c r="C135" t="s">
        <v>0</v>
      </c>
      <c r="D135" t="s">
        <v>107</v>
      </c>
      <c r="J135">
        <f>IF(B135&lt;(-1*$B$3),0,SQRT(POWER($B$3,2)-POWER(B135,2)))</f>
        <v>6.8226494225114962</v>
      </c>
      <c r="K135">
        <f>-1*J135</f>
        <v>-6.8226494225114962</v>
      </c>
      <c r="M135" s="9"/>
      <c r="AQ135">
        <v>133</v>
      </c>
      <c r="AR135">
        <f t="shared" si="53"/>
        <v>-8.1839803207499813</v>
      </c>
      <c r="AS135">
        <f t="shared" si="54"/>
        <v>8.7762444194300464</v>
      </c>
    </row>
    <row r="136" spans="1:45" x14ac:dyDescent="0.25">
      <c r="A136" t="s">
        <v>108</v>
      </c>
      <c r="B136" s="1">
        <f>B131-B133</f>
        <v>4.8348600962042267</v>
      </c>
      <c r="C136" t="s">
        <v>0</v>
      </c>
      <c r="D136" t="s">
        <v>109</v>
      </c>
      <c r="J136">
        <f>IF(B136&lt;(-1*$B$3),0,SQRT(POWER($B$3,2)-POWER(B136,2)))</f>
        <v>10.982901613423115</v>
      </c>
      <c r="K136">
        <f>-1*J136</f>
        <v>-10.982901613423115</v>
      </c>
      <c r="M136" s="9"/>
      <c r="AQ136">
        <v>134</v>
      </c>
      <c r="AR136">
        <f t="shared" si="53"/>
        <v>-8.3359004455079688</v>
      </c>
      <c r="AS136">
        <f t="shared" si="54"/>
        <v>8.632077604063813</v>
      </c>
    </row>
    <row r="137" spans="1:45" x14ac:dyDescent="0.25">
      <c r="B137" s="9"/>
      <c r="M137" s="9"/>
      <c r="AQ137">
        <v>135</v>
      </c>
      <c r="AR137">
        <f t="shared" si="53"/>
        <v>-8.4852813742385695</v>
      </c>
      <c r="AS137">
        <f t="shared" si="54"/>
        <v>8.4852813742385713</v>
      </c>
    </row>
    <row r="138" spans="1:45" x14ac:dyDescent="0.25">
      <c r="M138" s="9"/>
      <c r="AQ138">
        <v>136</v>
      </c>
      <c r="AR138">
        <f t="shared" si="53"/>
        <v>-8.6320776040638147</v>
      </c>
      <c r="AS138">
        <f t="shared" si="54"/>
        <v>8.3359004455079653</v>
      </c>
    </row>
    <row r="139" spans="1:45" ht="15.75" thickBot="1" x14ac:dyDescent="0.3">
      <c r="A139" t="s">
        <v>111</v>
      </c>
      <c r="E139" t="s">
        <v>126</v>
      </c>
      <c r="J139" s="1"/>
      <c r="K139" s="1"/>
      <c r="L139" s="1" t="s">
        <v>117</v>
      </c>
      <c r="M139" s="9"/>
      <c r="N139" s="1"/>
      <c r="O139" s="1" t="s">
        <v>118</v>
      </c>
      <c r="P139" s="1"/>
      <c r="Q139" s="1"/>
      <c r="R139" s="1" t="s">
        <v>119</v>
      </c>
      <c r="S139" s="1"/>
      <c r="AQ139">
        <v>137</v>
      </c>
      <c r="AR139">
        <f t="shared" si="53"/>
        <v>-8.7762444194300464</v>
      </c>
      <c r="AS139">
        <f t="shared" si="54"/>
        <v>8.1839803207499831</v>
      </c>
    </row>
    <row r="140" spans="1:45" x14ac:dyDescent="0.25">
      <c r="A140" t="s">
        <v>112</v>
      </c>
      <c r="B140">
        <f>ATAN2(J136,B136)</f>
        <v>0.4146886703613441</v>
      </c>
      <c r="C140" t="s">
        <v>17</v>
      </c>
      <c r="D140">
        <f>B140/(2*PI())</f>
        <v>6.5999751732213466E-2</v>
      </c>
      <c r="E140" s="1" t="s">
        <v>122</v>
      </c>
      <c r="F140" s="1">
        <f>((-1*0.85*B126*POWER(B129,2)*POWER(B136,2))/(POWER(B133,2)*POWER(B128,2)))-((1.7*B129*B126*B136)/(B133*B128))</f>
        <v>-12074.965850936056</v>
      </c>
      <c r="G140" s="1"/>
      <c r="I140" t="s">
        <v>127</v>
      </c>
      <c r="J140" s="1">
        <f>((-1*F142*POWER(B3,4)*SIN(8*PI()*D140))/32)+((F140*POWER(B3,2)*SIN(4*PI()*D140))/4)-((F141*POWER(B3,3)*POWER(COS(2*PI()*D140),3))/3)+((PI()*F142*POWER(B3,4)*D140)/4)+(PI()*F140*POWER(B3,2)*D140)</f>
        <v>-2226302.5063202959</v>
      </c>
      <c r="K140" s="1">
        <f>((-1*F142*POWER(B3,4)*SIN(8*PI()*D145))/32)+((F140*POWER(B3,2)*SIN(4*PI()*D145))/4)-((F141*POWER(B3,3)*POWER(COS(2*PI()*D145),3))/3)+((PI()*F142*POWER(B3,4)*D145)/4)+(PI()*F140*POWER(B3,2)*D145)</f>
        <v>-2174591.371944549</v>
      </c>
      <c r="L140" s="19">
        <f>K140-J140</f>
        <v>51711.134375746828</v>
      </c>
      <c r="M140" s="9">
        <f>((-1*F141*POWER(B3,4)*SIN(8*PI()*D140))/32)+((F142*POWER(B3,5)*POWER(COS(2*PI()*D140),5))/5)-((F142*POWER(B3,5)*POWER(COS(2*PI()*D140),3))/3)-((F140*POWER(B3,3)*POWER(COS(2*PI()*D140),3))/3)+((PI()*F141*POWER(B3,4)*D140)/4)</f>
        <v>12986102.798354574</v>
      </c>
      <c r="N140" s="1">
        <f>((-1*F141*POWER(B3,4)*SIN(8*PI()*D145))/32)+((F142*POWER(B3,5)*POWER(COS(2*PI()*D145),5))/5)-((F142*POWER(B3,5)*POWER(COS(2*PI()*D145),3))/3)-((F140*POWER(B3,3)*POWER(COS(2*PI()*D145),3))/3)+((PI()*F141*POWER(B3,4)*D145)/4)</f>
        <v>13399034.168885149</v>
      </c>
      <c r="O140" s="42">
        <f>N140-M140</f>
        <v>412931.37053057551</v>
      </c>
      <c r="P140" s="1">
        <f>(((-1*F142*POWER(B3,5)*POWER(SIN(2*PI()*D140),5))/5)-((F141*POWER(B3,4)*POWER(SIN(2*PI()*D140),4))/4)+((F142*POWER(B3,5)*POWER(SIN(2*PI()*D140),3))/3)-((F140*POWER(B3,3)*POWER(SIN(2*PI()*D140),3))/3)+((F141*POWER(B3,4)*POWER(SIN(2*PI()*D140),2))/2)+(F140*POWER(B3,3)*SIN(2*PI()*D140)))*0.5</f>
        <v>-1901091.4746118993</v>
      </c>
      <c r="Q140" s="1">
        <f>(((-1*F142*POWER(B3,5)*POWER(SIN(2*PI()*D145),5))/5)-((F141*POWER(B3,4)*POWER(SIN(2*PI()*D145),4))/4)+((F142*POWER(B3,5)*POWER(SIN(2*PI()*D145),3))/3)-((F140*POWER(B3,3)*POWER(SIN(2*PI()*D145),3))/3)+((F141*POWER(B3,4)*POWER(SIN(2*PI()*D145),2))/2)+(F140*POWER(B3,3)*SIN(2*PI()*D145)))*0.5</f>
        <v>-1672066.2733862987</v>
      </c>
      <c r="R140" s="19">
        <f>Q140-P140</f>
        <v>229025.20122560067</v>
      </c>
      <c r="S140" s="1"/>
      <c r="AQ140">
        <v>138</v>
      </c>
      <c r="AR140">
        <f t="shared" si="53"/>
        <v>-8.9177379057287283</v>
      </c>
      <c r="AS140">
        <f t="shared" si="54"/>
        <v>8.0295672763063006</v>
      </c>
    </row>
    <row r="141" spans="1:45" x14ac:dyDescent="0.25">
      <c r="A141" t="s">
        <v>113</v>
      </c>
      <c r="B141">
        <f>IF(B140&lt;0,(2*PI())+ATAN2(K136,B136),ATAN2(K136,B136))</f>
        <v>2.726903983228449</v>
      </c>
      <c r="C141" t="s">
        <v>17</v>
      </c>
      <c r="D141">
        <f>B141/(2*PI())</f>
        <v>0.43400024826778655</v>
      </c>
      <c r="E141" s="1" t="s">
        <v>123</v>
      </c>
      <c r="F141" s="1">
        <f>((1.7*POWER(B129,2)*B126*B136)/(POWER(B133,2)*POWER(B128,2)))+((1.7*B129*B126)/(B133*B128))</f>
        <v>3307.4105972679822</v>
      </c>
      <c r="G141" s="1" t="s">
        <v>14</v>
      </c>
      <c r="I141" t="s">
        <v>128</v>
      </c>
      <c r="J141" s="1">
        <f>((-1*F142*POWER(B3,4)*SIN(8*PI()*D146))/32)+((F140*POWER(B3,2)*SIN(4*PI()*D146))/4)-((F141*POWER(B3,3)*POWER(COS(2*PI()*D146),3))/3)+((PI()*F142*POWER(B3,4)*D146)/4)+(PI()*F140*POWER(B3,2)*D146)</f>
        <v>-2161534.7505071936</v>
      </c>
      <c r="K141" s="1">
        <f>((-1*F142*POWER(B3,4)*SIN(8*PI()*D141))/32)+((F140*POWER(B3,2)*SIN(4*PI()*D141))/4)-((F141*POWER(B3,3)*POWER(COS(2*PI()*D141),3))/3)+((PI()*F142*POWER(B3,4)*D141)/4)+(PI()*F140*POWER(B3,2)*D141)</f>
        <v>-2109823.6161314482</v>
      </c>
      <c r="L141" s="41">
        <f>K141-J141</f>
        <v>51711.134375745431</v>
      </c>
      <c r="M141" s="9">
        <f>((-1*F141*POWER(B3,4)*SIN(8*PI()*D146))/32)+((F142*POWER(B3,5)*POWER(COS(2*PI()*D146),5))/5)-((F142*POWER(B3,5)*POWER(COS(2*PI()*D146),3))/3)-((F140*POWER(B3,3)*POWER(COS(2*PI()*D146),3))/3)+((PI()*F141*POWER(B3,4)*D146)/4)</f>
        <v>13533237.30687011</v>
      </c>
      <c r="N141" s="1">
        <f>((-1*F141*POWER(B3,4)*SIN(8*PI()*D141))/32)+((F142*POWER(B3,5)*POWER(COS(2*PI()*D141),5))/5)-((F142*POWER(B3,5)*POWER(COS(2*PI()*D141),3))/3)-((F140*POWER(B3,3)*POWER(COS(2*PI()*D141),3))/3)+((PI()*F141*POWER(B3,4)*D141)/4)</f>
        <v>13946168.67740069</v>
      </c>
      <c r="O141" s="43">
        <f>N141-M141</f>
        <v>412931.37053057924</v>
      </c>
      <c r="P141" s="1">
        <f>(((-1*F142*POWER(B3,5)*POWER(SIN(2*PI()*D146),5))/5)-((F141*POWER(B3,4)*POWER(SIN(2*PI()*D146),4))/4)+((F142*POWER(B3,5)*POWER(SIN(2*PI()*D146),3))/3)-((F140*POWER(B3,3)*POWER(SIN(2*PI()*D146),3))/3)+((F141*POWER(B3,4)*POWER(SIN(2*PI()*D146),2))/2)+(F140*POWER(B3,3)*SIN(2*PI()*D146)))*0.5</f>
        <v>-1672066.2733863005</v>
      </c>
      <c r="Q141" s="1">
        <f>(((-1*F142*POWER(B3,5)*POWER(SIN(2*PI()*D141),5))/5)-((F141*POWER(B3,4)*POWER(SIN(2*PI()*D141),4))/4)+((F142*POWER(B3,5)*POWER(SIN(2*PI()*D141),3))/3)-((F140*POWER(B3,3)*POWER(SIN(2*PI()*D141),3))/3)+((F141*POWER(B3,4)*POWER(SIN(2*PI()*D141),2))/2)+(F140*POWER(B3,3)*SIN(2*PI()*D141)))*0.5</f>
        <v>-1901091.4746118998</v>
      </c>
      <c r="R141" s="41">
        <f>Q141-P141</f>
        <v>-229025.20122559927</v>
      </c>
      <c r="S141" s="1"/>
      <c r="AQ141">
        <v>139</v>
      </c>
      <c r="AR141">
        <f t="shared" si="53"/>
        <v>-9.0565149626732637</v>
      </c>
      <c r="AS141">
        <f t="shared" si="54"/>
        <v>7.8727083478860873</v>
      </c>
    </row>
    <row r="142" spans="1:45" x14ac:dyDescent="0.25">
      <c r="E142" s="1" t="s">
        <v>124</v>
      </c>
      <c r="F142" s="1">
        <f>(-1*POWER(B129,2)*B126)/(POWER(B133,2)*POWER(B128,2))</f>
        <v>-197.0811231669675</v>
      </c>
      <c r="G142" s="9" t="s">
        <v>125</v>
      </c>
      <c r="J142" s="1"/>
      <c r="K142" s="1"/>
      <c r="L142" s="41">
        <f>L140+L141</f>
        <v>103422.26875149226</v>
      </c>
      <c r="M142" s="9"/>
      <c r="N142" s="1"/>
      <c r="O142" s="43">
        <f>O140+O141</f>
        <v>825862.74106115475</v>
      </c>
      <c r="P142" s="1"/>
      <c r="Q142" s="1"/>
      <c r="R142" s="41">
        <f>R140+R141</f>
        <v>1.3969838619232178E-9</v>
      </c>
      <c r="S142" s="1"/>
      <c r="AQ142">
        <v>140</v>
      </c>
      <c r="AR142">
        <f t="shared" si="53"/>
        <v>-9.1925333174277348</v>
      </c>
      <c r="AS142">
        <f t="shared" si="54"/>
        <v>7.7134513162384737</v>
      </c>
    </row>
    <row r="143" spans="1:45" x14ac:dyDescent="0.25">
      <c r="J143" s="1"/>
      <c r="K143" s="1"/>
      <c r="L143" s="41"/>
      <c r="M143" s="9"/>
      <c r="N143" s="1"/>
      <c r="O143" s="41"/>
      <c r="P143" s="1"/>
      <c r="Q143" s="1"/>
      <c r="R143" s="41"/>
      <c r="S143" s="1"/>
      <c r="AQ143">
        <v>141</v>
      </c>
      <c r="AR143">
        <f t="shared" si="53"/>
        <v>-9.3257515374836508</v>
      </c>
      <c r="AS143">
        <f t="shared" si="54"/>
        <v>7.5518446925980491</v>
      </c>
    </row>
    <row r="144" spans="1:45" x14ac:dyDescent="0.25">
      <c r="A144" t="s">
        <v>116</v>
      </c>
      <c r="B144" s="1"/>
      <c r="C144" s="1"/>
      <c r="E144" s="1"/>
      <c r="F144" s="1"/>
      <c r="G144" s="1"/>
      <c r="H144" s="1"/>
      <c r="I144" s="1"/>
      <c r="J144" s="1"/>
      <c r="K144" s="1"/>
      <c r="L144" s="41"/>
      <c r="M144" s="1"/>
      <c r="N144" s="1"/>
      <c r="O144" s="41"/>
      <c r="P144" s="1"/>
      <c r="Q144" s="1"/>
      <c r="R144" s="41"/>
      <c r="S144" s="1"/>
      <c r="AQ144">
        <v>142</v>
      </c>
      <c r="AR144">
        <f t="shared" si="53"/>
        <v>-9.4561290432806633</v>
      </c>
      <c r="AS144">
        <f t="shared" si="54"/>
        <v>7.3879377039079008</v>
      </c>
    </row>
    <row r="145" spans="1:45" x14ac:dyDescent="0.25">
      <c r="A145" t="s">
        <v>112</v>
      </c>
      <c r="B145">
        <f>ATAN2(J135,B135)</f>
        <v>0.96604914018344124</v>
      </c>
      <c r="C145" t="s">
        <v>17</v>
      </c>
      <c r="D145">
        <f>B145/(2*PI())</f>
        <v>0.15375149592987</v>
      </c>
      <c r="E145" s="1"/>
      <c r="F145" s="1"/>
      <c r="G145" s="1"/>
      <c r="J145" s="1">
        <f>(0.2125*B126*POWER(B3,2)*SIN(4*PI()*D145))+(0.85*PI()*B126*POWER(B3,2)*D145)</f>
        <v>438732.95693880902</v>
      </c>
      <c r="K145" s="1">
        <f>(0.2125*B126*POWER(B3,2)*SIN(4*PI()*D146))+(0.85*PI()*B126*POWER(B3,2)*D146)</f>
        <v>522594.3950596677</v>
      </c>
      <c r="L145" s="41">
        <f>K145-J145</f>
        <v>83861.438120858686</v>
      </c>
      <c r="M145" s="9">
        <f>(-1*17*B126*POWER(B3,3)*POWER(COS(2*PI()*D145),3))/60</f>
        <v>-449911.23989987228</v>
      </c>
      <c r="N145" s="1">
        <f>(-1*17*B126*POWER(B3,3)*POWER(COS(2*PI()*D146),3))/60</f>
        <v>449911.23989987175</v>
      </c>
      <c r="O145" s="43">
        <f>N145-M145</f>
        <v>899822.47979974397</v>
      </c>
      <c r="P145" s="1">
        <f>((17*B126*POWER(B3,3)*SIN(2*PI()*D145))/20)-((17*B126*POWER(B3,3)*POWER(SIN(2*PI()*D145),3))/60)</f>
        <v>4678654.5971708763</v>
      </c>
      <c r="Q145" s="1">
        <f>((17*B126*POWER(B3,3)*SIN(2*PI()*D146))/20)-((17*B126*POWER(B3,3)*POWER(SIN(2*PI()*D146),3))/60)</f>
        <v>4678654.5971708763</v>
      </c>
      <c r="R145" s="41">
        <f>Q145-P145</f>
        <v>0</v>
      </c>
      <c r="S145" s="1"/>
      <c r="AQ145">
        <v>143</v>
      </c>
      <c r="AR145">
        <f t="shared" si="53"/>
        <v>-9.5836261205675157</v>
      </c>
      <c r="AS145">
        <f t="shared" si="54"/>
        <v>7.2217802778245783</v>
      </c>
    </row>
    <row r="146" spans="1:45" x14ac:dyDescent="0.25">
      <c r="A146" t="s">
        <v>113</v>
      </c>
      <c r="B146">
        <f>IF(B145&lt;0,(2*PI())+ATAN2(K135,B135),ATAN2(K135,B135))</f>
        <v>2.1755435134063519</v>
      </c>
      <c r="C146" t="s">
        <v>17</v>
      </c>
      <c r="D146">
        <f>B146/(2*PI())</f>
        <v>0.34624850407012997</v>
      </c>
      <c r="E146" s="1"/>
      <c r="F146" s="1"/>
      <c r="G146" s="1"/>
      <c r="J146" s="1"/>
      <c r="K146" s="1"/>
      <c r="L146" s="41"/>
      <c r="M146" s="9"/>
      <c r="N146" s="1"/>
      <c r="O146" s="41"/>
      <c r="P146" s="1"/>
      <c r="Q146" s="1"/>
      <c r="R146" s="41"/>
      <c r="S146" s="1"/>
      <c r="AQ146">
        <v>144</v>
      </c>
      <c r="AR146">
        <f t="shared" si="53"/>
        <v>-9.7082039324993676</v>
      </c>
      <c r="AS146">
        <f t="shared" si="54"/>
        <v>7.0534230275096785</v>
      </c>
    </row>
    <row r="147" spans="1:45" ht="15.75" thickBot="1" x14ac:dyDescent="0.3">
      <c r="B147" s="38"/>
      <c r="C147" s="38"/>
      <c r="E147" s="1"/>
      <c r="F147" s="1"/>
      <c r="G147" s="1"/>
      <c r="J147" s="1"/>
      <c r="K147" s="1"/>
      <c r="L147" s="44">
        <f>(L142+L145)/1000</f>
        <v>187.28370687235093</v>
      </c>
      <c r="M147" s="40" t="s">
        <v>22</v>
      </c>
      <c r="N147" s="1"/>
      <c r="O147" s="45">
        <f>(O142+O145)/1000</f>
        <v>1725.6852208608987</v>
      </c>
      <c r="P147" s="35" t="s">
        <v>59</v>
      </c>
      <c r="Q147" s="1"/>
      <c r="R147" s="44">
        <f>(R145+R142)/1000</f>
        <v>1.3969838619232178E-12</v>
      </c>
      <c r="S147" s="35" t="s">
        <v>59</v>
      </c>
      <c r="AQ147">
        <v>145</v>
      </c>
      <c r="AR147">
        <f t="shared" si="53"/>
        <v>-9.8298245314679029</v>
      </c>
      <c r="AS147">
        <f t="shared" si="54"/>
        <v>6.8829172362125508</v>
      </c>
    </row>
    <row r="148" spans="1:45" x14ac:dyDescent="0.25">
      <c r="C148" s="38"/>
      <c r="E148" s="39"/>
      <c r="F148" s="1"/>
      <c r="G148" s="1"/>
      <c r="M148" s="9"/>
      <c r="AQ148">
        <v>146</v>
      </c>
      <c r="AR148">
        <f t="shared" si="53"/>
        <v>-9.9484508706604995</v>
      </c>
      <c r="AS148">
        <f t="shared" si="54"/>
        <v>6.7103148416489624</v>
      </c>
    </row>
    <row r="149" spans="1:45" x14ac:dyDescent="0.25">
      <c r="C149" s="38"/>
      <c r="E149" s="39"/>
      <c r="F149" s="1"/>
      <c r="G149" s="1"/>
      <c r="J149" t="s">
        <v>132</v>
      </c>
      <c r="L149" s="10">
        <f ca="1">N109</f>
        <v>-130.17474615458156</v>
      </c>
      <c r="O149" s="10">
        <f ca="1">O109</f>
        <v>1190.5697655658398</v>
      </c>
      <c r="R149" s="10">
        <f ca="1">P109</f>
        <v>2.8421709430404007E-14</v>
      </c>
      <c r="AQ149">
        <v>147</v>
      </c>
      <c r="AR149">
        <f t="shared" si="53"/>
        <v>-10.064046815345087</v>
      </c>
      <c r="AS149">
        <f t="shared" si="54"/>
        <v>6.5356684201803272</v>
      </c>
    </row>
    <row r="150" spans="1:45" x14ac:dyDescent="0.25">
      <c r="A150" t="s">
        <v>130</v>
      </c>
      <c r="B150" t="s">
        <v>131</v>
      </c>
      <c r="AQ150">
        <v>148</v>
      </c>
      <c r="AR150">
        <f t="shared" si="53"/>
        <v>-10.176577153877112</v>
      </c>
      <c r="AS150">
        <f t="shared" si="54"/>
        <v>6.3590311707984588</v>
      </c>
    </row>
    <row r="151" spans="1:45" x14ac:dyDescent="0.25">
      <c r="A151" s="15">
        <f ca="1">L37</f>
        <v>-4.7443890002843167E-3</v>
      </c>
      <c r="B151">
        <f ca="1">IF(AND(A151&gt;0,A151&lt;$B$128),(0.85*$B$126)*((2*(A151/$B$128))-POWER(A151/$B$128,2)),IF(A151&gt;0,0.85*$B$126,0))/1000</f>
        <v>0</v>
      </c>
      <c r="J151" t="s">
        <v>133</v>
      </c>
      <c r="L151" s="10">
        <f ca="1">L147+L149</f>
        <v>57.108960717769378</v>
      </c>
      <c r="O151" s="36">
        <f ca="1">O147+O149</f>
        <v>2916.2549864267385</v>
      </c>
      <c r="R151" s="10">
        <f ca="1">R147+R149</f>
        <v>1.4254055713536218E-12</v>
      </c>
      <c r="AQ151">
        <v>149</v>
      </c>
      <c r="AR151">
        <f t="shared" si="53"/>
        <v>-10.286007608425347</v>
      </c>
      <c r="AS151">
        <f t="shared" si="54"/>
        <v>6.180456898920653</v>
      </c>
    </row>
    <row r="152" spans="1:45" x14ac:dyDescent="0.25">
      <c r="A152" s="15">
        <f t="shared" ref="A152:A215" ca="1" si="55">L38</f>
        <v>-2.0243261797203427E-3</v>
      </c>
      <c r="B152">
        <f t="shared" ref="B152:B215" ca="1" si="56">IF(AND(A152&gt;0,A152&lt;$B$128),(0.85*$B$126)*((2*(A152/$B$128))-POWER(A152/$B$128,2)),IF(A152&gt;0,0.85*$B$126,0))/1000</f>
        <v>0</v>
      </c>
      <c r="M152" s="9"/>
      <c r="AQ152">
        <v>150</v>
      </c>
      <c r="AR152">
        <f t="shared" si="53"/>
        <v>-10.392304845413264</v>
      </c>
      <c r="AS152">
        <f t="shared" si="54"/>
        <v>5.9999999999999991</v>
      </c>
    </row>
    <row r="153" spans="1:45" x14ac:dyDescent="0.25">
      <c r="A153" s="15">
        <f t="shared" ca="1" si="55"/>
        <v>6.9573664084363203E-4</v>
      </c>
      <c r="B153">
        <f t="shared" ca="1" si="56"/>
        <v>2.3416205688715617</v>
      </c>
      <c r="J153" t="s">
        <v>134</v>
      </c>
      <c r="L153" s="10">
        <f ca="1">L151</f>
        <v>57.108960717769378</v>
      </c>
      <c r="M153" s="9"/>
      <c r="O153">
        <f ca="1">((O151*COS(-1*B10))+(R151*SIN(-1*B10)))</f>
        <v>2062.1036765714293</v>
      </c>
      <c r="R153">
        <f ca="1">(-1*(O151)*SIN(-1*B10))+((R151)*COS(-1*B10))</f>
        <v>2062.1036765714307</v>
      </c>
      <c r="AQ153">
        <v>151</v>
      </c>
      <c r="AR153">
        <f t="shared" si="53"/>
        <v>-10.495436485672748</v>
      </c>
      <c r="AS153">
        <f t="shared" si="54"/>
        <v>5.8177154429560458</v>
      </c>
    </row>
    <row r="154" spans="1:45" x14ac:dyDescent="0.25">
      <c r="A154" s="15">
        <f t="shared" ca="1" si="55"/>
        <v>1.8224235516280446E-3</v>
      </c>
      <c r="B154">
        <f t="shared" ca="1" si="56"/>
        <v>4.171567871081689</v>
      </c>
      <c r="E154" s="38"/>
      <c r="M154" s="9"/>
      <c r="AQ154">
        <v>152</v>
      </c>
      <c r="AR154">
        <f t="shared" si="53"/>
        <v>-10.595371114307124</v>
      </c>
      <c r="AS154">
        <f t="shared" si="54"/>
        <v>5.6336587534306881</v>
      </c>
    </row>
    <row r="155" spans="1:45" x14ac:dyDescent="0.25">
      <c r="A155" s="15">
        <f t="shared" ca="1" si="55"/>
        <v>6.9573664084363203E-4</v>
      </c>
      <c r="B155">
        <f t="shared" ca="1" si="56"/>
        <v>2.3416205688715617</v>
      </c>
      <c r="E155" s="38"/>
      <c r="M155" s="9"/>
      <c r="AQ155">
        <v>153</v>
      </c>
      <c r="AR155">
        <f t="shared" si="53"/>
        <v>-10.692078290260413</v>
      </c>
      <c r="AS155">
        <f t="shared" si="54"/>
        <v>5.4478859968745628</v>
      </c>
    </row>
    <row r="156" spans="1:45" x14ac:dyDescent="0.25">
      <c r="A156" s="15">
        <f t="shared" ca="1" si="55"/>
        <v>-2.0243261797203427E-3</v>
      </c>
      <c r="B156">
        <f t="shared" ca="1" si="56"/>
        <v>0</v>
      </c>
      <c r="E156" s="38"/>
      <c r="M156" s="9"/>
      <c r="AQ156">
        <v>154</v>
      </c>
      <c r="AR156">
        <f t="shared" si="53"/>
        <v>-10.785528555590005</v>
      </c>
      <c r="AS156">
        <f t="shared" si="54"/>
        <v>5.2604537614689271</v>
      </c>
    </row>
    <row r="157" spans="1:45" x14ac:dyDescent="0.25">
      <c r="A157" s="15">
        <f t="shared" ca="1" si="55"/>
        <v>-4.7443890002843167E-3</v>
      </c>
      <c r="B157">
        <f t="shared" ca="1" si="56"/>
        <v>0</v>
      </c>
      <c r="E157" s="38"/>
      <c r="M157" s="9"/>
      <c r="AQ157">
        <v>155</v>
      </c>
      <c r="AR157">
        <f t="shared" si="53"/>
        <v>-10.875693444439799</v>
      </c>
      <c r="AS157">
        <f t="shared" si="54"/>
        <v>5.071419140888394</v>
      </c>
    </row>
    <row r="158" spans="1:45" x14ac:dyDescent="0.25">
      <c r="A158" s="15">
        <f t="shared" ca="1" si="55"/>
        <v>-5.8710759110687299E-3</v>
      </c>
      <c r="B158">
        <f t="shared" ca="1" si="56"/>
        <v>0</v>
      </c>
      <c r="E158" s="38"/>
      <c r="M158" s="9"/>
      <c r="AQ158">
        <v>156</v>
      </c>
      <c r="AR158">
        <f t="shared" si="53"/>
        <v>-10.962545491711209</v>
      </c>
      <c r="AS158">
        <f t="shared" si="54"/>
        <v>4.8808397169096054</v>
      </c>
    </row>
    <row r="159" spans="1:45" x14ac:dyDescent="0.25">
      <c r="A159" s="15">
        <f t="shared" ca="1" si="55"/>
        <v>0</v>
      </c>
      <c r="B159">
        <f t="shared" ca="1" si="56"/>
        <v>0</v>
      </c>
      <c r="M159" s="9"/>
      <c r="AQ159">
        <v>157</v>
      </c>
      <c r="AR159">
        <f t="shared" si="53"/>
        <v>-11.046058241429284</v>
      </c>
      <c r="AS159">
        <f t="shared" si="54"/>
        <v>4.688773541871285</v>
      </c>
    </row>
    <row r="160" spans="1:45" x14ac:dyDescent="0.25">
      <c r="A160" s="15">
        <f t="shared" ca="1" si="55"/>
        <v>0</v>
      </c>
      <c r="B160">
        <f t="shared" ca="1" si="56"/>
        <v>0</v>
      </c>
      <c r="M160" s="9"/>
      <c r="AQ160">
        <v>158</v>
      </c>
      <c r="AR160">
        <f t="shared" si="53"/>
        <v>-11.126206254801447</v>
      </c>
      <c r="AS160">
        <f t="shared" si="54"/>
        <v>4.4952791209909471</v>
      </c>
    </row>
    <row r="161" spans="1:45" x14ac:dyDescent="0.25">
      <c r="A161" s="15">
        <f t="shared" ca="1" si="55"/>
        <v>0</v>
      </c>
      <c r="B161">
        <f t="shared" ca="1" si="56"/>
        <v>0</v>
      </c>
      <c r="M161" s="9"/>
      <c r="AQ161">
        <v>159</v>
      </c>
      <c r="AR161">
        <f t="shared" si="53"/>
        <v>-11.202965117966421</v>
      </c>
      <c r="AS161">
        <f t="shared" si="54"/>
        <v>4.3004153945436023</v>
      </c>
    </row>
    <row r="162" spans="1:45" x14ac:dyDescent="0.25">
      <c r="A162" s="15">
        <f t="shared" ca="1" si="55"/>
        <v>0</v>
      </c>
      <c r="B162">
        <f t="shared" ca="1" si="56"/>
        <v>0</v>
      </c>
      <c r="M162" s="9"/>
      <c r="AQ162">
        <v>160</v>
      </c>
      <c r="AR162">
        <f t="shared" si="53"/>
        <v>-11.276311449430899</v>
      </c>
      <c r="AS162">
        <f t="shared" si="54"/>
        <v>4.1042417199080266</v>
      </c>
    </row>
    <row r="163" spans="1:45" x14ac:dyDescent="0.25">
      <c r="A163" s="15">
        <f t="shared" ca="1" si="55"/>
        <v>0</v>
      </c>
      <c r="B163">
        <f t="shared" ca="1" si="56"/>
        <v>0</v>
      </c>
      <c r="M163" s="9"/>
      <c r="AQ163">
        <v>161</v>
      </c>
      <c r="AR163">
        <f t="shared" si="53"/>
        <v>-11.346222907191802</v>
      </c>
      <c r="AS163">
        <f t="shared" si="54"/>
        <v>3.9068178534858791</v>
      </c>
    </row>
    <row r="164" spans="1:45" x14ac:dyDescent="0.25">
      <c r="A164" s="15">
        <f t="shared" ca="1" si="55"/>
        <v>0</v>
      </c>
      <c r="B164">
        <f t="shared" ca="1" si="56"/>
        <v>0</v>
      </c>
      <c r="M164" s="9"/>
      <c r="AQ164">
        <v>162</v>
      </c>
      <c r="AR164">
        <f t="shared" si="53"/>
        <v>-11.412678195541842</v>
      </c>
      <c r="AS164">
        <f t="shared" si="54"/>
        <v>3.7082039324993703</v>
      </c>
    </row>
    <row r="165" spans="1:45" x14ac:dyDescent="0.25">
      <c r="A165" s="15">
        <f t="shared" ca="1" si="55"/>
        <v>0</v>
      </c>
      <c r="B165">
        <f t="shared" ca="1" si="56"/>
        <v>0</v>
      </c>
      <c r="M165" s="9"/>
      <c r="AQ165">
        <v>163</v>
      </c>
      <c r="AR165">
        <f t="shared" si="53"/>
        <v>-11.475657071556427</v>
      </c>
      <c r="AS165">
        <f t="shared" si="54"/>
        <v>3.5084604566728395</v>
      </c>
    </row>
    <row r="166" spans="1:45" x14ac:dyDescent="0.25">
      <c r="A166" s="15">
        <f t="shared" ca="1" si="55"/>
        <v>0</v>
      </c>
      <c r="B166">
        <f t="shared" ca="1" si="56"/>
        <v>0</v>
      </c>
      <c r="M166" s="9"/>
      <c r="AQ166">
        <v>164</v>
      </c>
      <c r="AR166">
        <f t="shared" si="53"/>
        <v>-11.535140351259827</v>
      </c>
      <c r="AS166">
        <f t="shared" si="54"/>
        <v>3.3076482698039906</v>
      </c>
    </row>
    <row r="167" spans="1:45" x14ac:dyDescent="0.25">
      <c r="A167" s="15">
        <f t="shared" ca="1" si="55"/>
        <v>0</v>
      </c>
      <c r="B167">
        <f t="shared" ca="1" si="56"/>
        <v>0</v>
      </c>
      <c r="M167" s="9"/>
      <c r="AQ167">
        <v>165</v>
      </c>
      <c r="AR167">
        <f t="shared" si="53"/>
        <v>-11.591109915468818</v>
      </c>
      <c r="AS167">
        <f t="shared" si="54"/>
        <v>3.1058285412302524</v>
      </c>
    </row>
    <row r="168" spans="1:45" x14ac:dyDescent="0.25">
      <c r="A168" s="15">
        <f t="shared" ca="1" si="55"/>
        <v>0</v>
      </c>
      <c r="B168">
        <f t="shared" ca="1" si="56"/>
        <v>0</v>
      </c>
      <c r="M168" s="9"/>
      <c r="AQ168">
        <v>166</v>
      </c>
      <c r="AR168">
        <f t="shared" si="53"/>
        <v>-11.643548715311958</v>
      </c>
      <c r="AS168">
        <f t="shared" si="54"/>
        <v>2.9030627471960129</v>
      </c>
    </row>
    <row r="169" spans="1:45" x14ac:dyDescent="0.25">
      <c r="A169" s="15">
        <f t="shared" ca="1" si="55"/>
        <v>0</v>
      </c>
      <c r="B169">
        <f t="shared" ca="1" si="56"/>
        <v>0</v>
      </c>
      <c r="M169" s="9"/>
      <c r="AQ169">
        <v>167</v>
      </c>
      <c r="AR169">
        <f t="shared" si="53"/>
        <v>-11.692440777422821</v>
      </c>
      <c r="AS169">
        <f t="shared" si="54"/>
        <v>2.6994126521263824</v>
      </c>
    </row>
    <row r="170" spans="1:45" x14ac:dyDescent="0.25">
      <c r="A170" s="15">
        <f t="shared" ca="1" si="55"/>
        <v>0</v>
      </c>
      <c r="B170">
        <f t="shared" ca="1" si="56"/>
        <v>0</v>
      </c>
      <c r="M170" s="9"/>
      <c r="AQ170">
        <v>168</v>
      </c>
      <c r="AR170">
        <f t="shared" si="53"/>
        <v>-11.737771208805668</v>
      </c>
      <c r="AS170">
        <f t="shared" si="54"/>
        <v>2.4949402898131119</v>
      </c>
    </row>
    <row r="171" spans="1:45" x14ac:dyDescent="0.25">
      <c r="A171" s="15">
        <f t="shared" ca="1" si="55"/>
        <v>0</v>
      </c>
      <c r="B171">
        <f t="shared" ca="1" si="56"/>
        <v>0</v>
      </c>
      <c r="M171" s="9"/>
      <c r="AQ171">
        <v>169</v>
      </c>
      <c r="AR171">
        <f t="shared" si="53"/>
        <v>-11.779526201371969</v>
      </c>
      <c r="AS171">
        <f t="shared" si="54"/>
        <v>2.2897079445185398</v>
      </c>
    </row>
    <row r="172" spans="1:45" x14ac:dyDescent="0.25">
      <c r="A172" s="15">
        <f t="shared" ca="1" si="55"/>
        <v>0</v>
      </c>
      <c r="B172">
        <f t="shared" ca="1" si="56"/>
        <v>0</v>
      </c>
      <c r="M172" s="9"/>
      <c r="AQ172">
        <v>170</v>
      </c>
      <c r="AR172">
        <f t="shared" si="53"/>
        <v>-11.817693036146496</v>
      </c>
      <c r="AS172">
        <f t="shared" si="54"/>
        <v>2.0837781320031632</v>
      </c>
    </row>
    <row r="173" spans="1:45" x14ac:dyDescent="0.25">
      <c r="A173" s="15">
        <f t="shared" ca="1" si="55"/>
        <v>0</v>
      </c>
      <c r="B173">
        <f t="shared" ca="1" si="56"/>
        <v>0</v>
      </c>
      <c r="M173" s="9"/>
      <c r="AQ173">
        <v>171</v>
      </c>
      <c r="AR173">
        <f t="shared" si="53"/>
        <v>-11.852260087141651</v>
      </c>
      <c r="AS173">
        <f t="shared" si="54"/>
        <v>1.8772135804827719</v>
      </c>
    </row>
    <row r="174" spans="1:45" x14ac:dyDescent="0.25">
      <c r="A174" s="15">
        <f t="shared" ca="1" si="55"/>
        <v>0</v>
      </c>
      <c r="B174">
        <f t="shared" ca="1" si="56"/>
        <v>0</v>
      </c>
      <c r="M174" s="9"/>
      <c r="AQ174">
        <v>172</v>
      </c>
      <c r="AR174">
        <f t="shared" si="53"/>
        <v>-11.883216824898845</v>
      </c>
      <c r="AS174">
        <f t="shared" si="54"/>
        <v>1.670077211520784</v>
      </c>
    </row>
    <row r="175" spans="1:45" x14ac:dyDescent="0.25">
      <c r="A175" s="15">
        <f t="shared" ca="1" si="55"/>
        <v>0</v>
      </c>
      <c r="B175">
        <f t="shared" ca="1" si="56"/>
        <v>0</v>
      </c>
      <c r="M175" s="9"/>
      <c r="AQ175">
        <v>173</v>
      </c>
      <c r="AR175">
        <f t="shared" si="53"/>
        <v>-11.910553819695863</v>
      </c>
      <c r="AS175">
        <f t="shared" si="54"/>
        <v>1.4624321208617705</v>
      </c>
    </row>
    <row r="176" spans="1:45" x14ac:dyDescent="0.25">
      <c r="A176" s="15">
        <f t="shared" ca="1" si="55"/>
        <v>0</v>
      </c>
      <c r="B176">
        <f t="shared" ca="1" si="56"/>
        <v>0</v>
      </c>
      <c r="M176" s="9"/>
      <c r="AQ176">
        <v>174</v>
      </c>
      <c r="AR176">
        <f t="shared" si="53"/>
        <v>-11.934262744419279</v>
      </c>
      <c r="AS176">
        <f t="shared" si="54"/>
        <v>1.2543415592118448</v>
      </c>
    </row>
    <row r="177" spans="1:45" x14ac:dyDescent="0.25">
      <c r="A177" s="15">
        <f t="shared" ca="1" si="55"/>
        <v>0</v>
      </c>
      <c r="B177">
        <f t="shared" ca="1" si="56"/>
        <v>0</v>
      </c>
      <c r="M177" s="9"/>
      <c r="AQ177">
        <v>175</v>
      </c>
      <c r="AR177">
        <f t="shared" si="53"/>
        <v>-11.954336377100947</v>
      </c>
      <c r="AS177">
        <f t="shared" si="54"/>
        <v>1.0458689129718983</v>
      </c>
    </row>
    <row r="178" spans="1:45" x14ac:dyDescent="0.25">
      <c r="A178" s="15">
        <f t="shared" ca="1" si="55"/>
        <v>0</v>
      </c>
      <c r="B178">
        <f t="shared" ca="1" si="56"/>
        <v>0</v>
      </c>
      <c r="M178" s="9"/>
      <c r="AQ178">
        <v>176</v>
      </c>
      <c r="AR178">
        <f t="shared" si="53"/>
        <v>-11.970768603117889</v>
      </c>
      <c r="AS178">
        <f t="shared" si="54"/>
        <v>0.83707768492950629</v>
      </c>
    </row>
    <row r="179" spans="1:45" x14ac:dyDescent="0.25">
      <c r="A179" s="15">
        <f t="shared" ca="1" si="55"/>
        <v>0</v>
      </c>
      <c r="B179">
        <f t="shared" ca="1" si="56"/>
        <v>0</v>
      </c>
      <c r="M179" s="9"/>
      <c r="AQ179">
        <v>177</v>
      </c>
      <c r="AR179">
        <f t="shared" si="53"/>
        <v>-11.983554417054886</v>
      </c>
      <c r="AS179">
        <f t="shared" si="54"/>
        <v>0.62803147491532574</v>
      </c>
    </row>
    <row r="180" spans="1:45" x14ac:dyDescent="0.25">
      <c r="A180" s="15">
        <f t="shared" ca="1" si="55"/>
        <v>0</v>
      </c>
      <c r="B180">
        <f t="shared" ca="1" si="56"/>
        <v>0</v>
      </c>
      <c r="M180" s="9"/>
      <c r="AQ180">
        <v>178</v>
      </c>
      <c r="AR180">
        <f t="shared" si="53"/>
        <v>-11.992689924229149</v>
      </c>
      <c r="AS180">
        <f t="shared" si="54"/>
        <v>0.41879396043001371</v>
      </c>
    </row>
    <row r="181" spans="1:45" x14ac:dyDescent="0.25">
      <c r="A181" s="15">
        <f t="shared" ca="1" si="55"/>
        <v>0</v>
      </c>
      <c r="B181">
        <f t="shared" ca="1" si="56"/>
        <v>0</v>
      </c>
      <c r="M181" s="9"/>
      <c r="AQ181">
        <v>179</v>
      </c>
      <c r="AR181">
        <f t="shared" si="53"/>
        <v>-11.998172341876696</v>
      </c>
      <c r="AS181">
        <f t="shared" si="54"/>
        <v>0.20942887724740128</v>
      </c>
    </row>
    <row r="182" spans="1:45" x14ac:dyDescent="0.25">
      <c r="A182" s="15">
        <f t="shared" ca="1" si="55"/>
        <v>0</v>
      </c>
      <c r="B182">
        <f t="shared" ca="1" si="56"/>
        <v>0</v>
      </c>
      <c r="M182" s="9"/>
      <c r="AQ182">
        <v>180</v>
      </c>
      <c r="AR182">
        <f t="shared" si="53"/>
        <v>-12</v>
      </c>
      <c r="AS182">
        <f t="shared" si="54"/>
        <v>1.470178145890344E-15</v>
      </c>
    </row>
    <row r="183" spans="1:45" x14ac:dyDescent="0.25">
      <c r="A183" s="15">
        <f t="shared" ca="1" si="55"/>
        <v>0</v>
      </c>
      <c r="B183">
        <f t="shared" ca="1" si="56"/>
        <v>0</v>
      </c>
      <c r="M183" s="9"/>
      <c r="AQ183">
        <v>181</v>
      </c>
      <c r="AR183">
        <f t="shared" si="53"/>
        <v>-11.998172341876696</v>
      </c>
      <c r="AS183">
        <f t="shared" si="54"/>
        <v>-0.20942887724740364</v>
      </c>
    </row>
    <row r="184" spans="1:45" x14ac:dyDescent="0.25">
      <c r="A184" s="15">
        <f t="shared" ca="1" si="55"/>
        <v>0</v>
      </c>
      <c r="B184">
        <f t="shared" ca="1" si="56"/>
        <v>0</v>
      </c>
      <c r="M184" s="9"/>
      <c r="AQ184">
        <v>182</v>
      </c>
      <c r="AR184">
        <f t="shared" si="53"/>
        <v>-11.992689924229149</v>
      </c>
      <c r="AS184">
        <f t="shared" si="54"/>
        <v>-0.41879396043001083</v>
      </c>
    </row>
    <row r="185" spans="1:45" x14ac:dyDescent="0.25">
      <c r="A185" s="15">
        <f t="shared" ca="1" si="55"/>
        <v>0</v>
      </c>
      <c r="B185">
        <f t="shared" ca="1" si="56"/>
        <v>0</v>
      </c>
      <c r="M185" s="9"/>
      <c r="AQ185">
        <v>183</v>
      </c>
      <c r="AR185">
        <f t="shared" si="53"/>
        <v>-11.983554417054886</v>
      </c>
      <c r="AS185">
        <f t="shared" si="54"/>
        <v>-0.62803147491532263</v>
      </c>
    </row>
    <row r="186" spans="1:45" x14ac:dyDescent="0.25">
      <c r="A186" s="15">
        <f t="shared" ca="1" si="55"/>
        <v>0</v>
      </c>
      <c r="B186">
        <f t="shared" ca="1" si="56"/>
        <v>0</v>
      </c>
      <c r="M186" s="9"/>
      <c r="AQ186">
        <v>184</v>
      </c>
      <c r="AR186">
        <f t="shared" si="53"/>
        <v>-11.970768603117889</v>
      </c>
      <c r="AS186">
        <f t="shared" si="54"/>
        <v>-0.8370776849295033</v>
      </c>
    </row>
    <row r="187" spans="1:45" x14ac:dyDescent="0.25">
      <c r="A187" s="15">
        <f t="shared" ca="1" si="55"/>
        <v>0</v>
      </c>
      <c r="B187">
        <f t="shared" ca="1" si="56"/>
        <v>0</v>
      </c>
      <c r="M187" s="9"/>
      <c r="AQ187">
        <v>185</v>
      </c>
      <c r="AR187">
        <f t="shared" si="53"/>
        <v>-11.954336377100947</v>
      </c>
      <c r="AS187">
        <f t="shared" si="54"/>
        <v>-1.0458689129718954</v>
      </c>
    </row>
    <row r="188" spans="1:45" x14ac:dyDescent="0.25">
      <c r="A188" s="15">
        <f t="shared" ca="1" si="55"/>
        <v>0</v>
      </c>
      <c r="B188">
        <f t="shared" ca="1" si="56"/>
        <v>0</v>
      </c>
      <c r="M188" s="9"/>
      <c r="AQ188">
        <v>186</v>
      </c>
      <c r="AR188">
        <f t="shared" si="53"/>
        <v>-11.934262744419279</v>
      </c>
      <c r="AS188">
        <f t="shared" si="54"/>
        <v>-1.2543415592118419</v>
      </c>
    </row>
    <row r="189" spans="1:45" x14ac:dyDescent="0.25">
      <c r="A189" s="15">
        <f t="shared" ca="1" si="55"/>
        <v>0</v>
      </c>
      <c r="B189">
        <f t="shared" ca="1" si="56"/>
        <v>0</v>
      </c>
      <c r="M189" s="9"/>
      <c r="AQ189">
        <v>187</v>
      </c>
      <c r="AR189">
        <f t="shared" si="53"/>
        <v>-11.910553819695865</v>
      </c>
      <c r="AS189">
        <f t="shared" si="54"/>
        <v>-1.4624321208617677</v>
      </c>
    </row>
    <row r="190" spans="1:45" x14ac:dyDescent="0.25">
      <c r="A190" s="15">
        <f t="shared" ca="1" si="55"/>
        <v>0</v>
      </c>
      <c r="B190">
        <f t="shared" ca="1" si="56"/>
        <v>0</v>
      </c>
      <c r="M190" s="9"/>
      <c r="AQ190">
        <v>188</v>
      </c>
      <c r="AR190">
        <f t="shared" si="53"/>
        <v>-11.883216824898843</v>
      </c>
      <c r="AS190">
        <f t="shared" si="54"/>
        <v>-1.6700772115207863</v>
      </c>
    </row>
    <row r="191" spans="1:45" x14ac:dyDescent="0.25">
      <c r="A191" s="15">
        <f t="shared" ca="1" si="55"/>
        <v>0</v>
      </c>
      <c r="B191">
        <f t="shared" ca="1" si="56"/>
        <v>0</v>
      </c>
      <c r="M191" s="9"/>
      <c r="AQ191">
        <v>189</v>
      </c>
      <c r="AR191">
        <f t="shared" si="53"/>
        <v>-11.852260087141653</v>
      </c>
      <c r="AS191">
        <f t="shared" si="54"/>
        <v>-1.8772135804827688</v>
      </c>
    </row>
    <row r="192" spans="1:45" x14ac:dyDescent="0.25">
      <c r="A192" s="15">
        <f t="shared" ca="1" si="55"/>
        <v>0</v>
      </c>
      <c r="B192">
        <f t="shared" ca="1" si="56"/>
        <v>0</v>
      </c>
      <c r="M192" s="9"/>
      <c r="AQ192">
        <v>190</v>
      </c>
      <c r="AR192">
        <f t="shared" si="53"/>
        <v>-11.817693036146496</v>
      </c>
      <c r="AS192">
        <f t="shared" si="54"/>
        <v>-2.0837781320031654</v>
      </c>
    </row>
    <row r="193" spans="1:45" x14ac:dyDescent="0.25">
      <c r="A193" s="15">
        <f t="shared" ca="1" si="55"/>
        <v>0</v>
      </c>
      <c r="B193">
        <f t="shared" ca="1" si="56"/>
        <v>0</v>
      </c>
      <c r="M193" s="9"/>
      <c r="AQ193">
        <v>191</v>
      </c>
      <c r="AR193">
        <f t="shared" si="53"/>
        <v>-11.779526201371969</v>
      </c>
      <c r="AS193">
        <f t="shared" si="54"/>
        <v>-2.2897079445185367</v>
      </c>
    </row>
    <row r="194" spans="1:45" x14ac:dyDescent="0.25">
      <c r="A194" s="15">
        <f t="shared" ca="1" si="55"/>
        <v>0</v>
      </c>
      <c r="B194">
        <f t="shared" ca="1" si="56"/>
        <v>0</v>
      </c>
      <c r="M194" s="9"/>
      <c r="AQ194">
        <v>192</v>
      </c>
      <c r="AR194">
        <f t="shared" si="53"/>
        <v>-11.737771208805666</v>
      </c>
      <c r="AS194">
        <f t="shared" si="54"/>
        <v>-2.4949402898131141</v>
      </c>
    </row>
    <row r="195" spans="1:45" x14ac:dyDescent="0.25">
      <c r="A195" s="15">
        <f t="shared" ca="1" si="55"/>
        <v>0</v>
      </c>
      <c r="B195">
        <f t="shared" ca="1" si="56"/>
        <v>0</v>
      </c>
      <c r="M195" s="9"/>
      <c r="AQ195">
        <v>193</v>
      </c>
      <c r="AR195">
        <f t="shared" ref="AR195:AR258" si="57">$B$3*COS(RADIANS(AQ195))</f>
        <v>-11.692440777422823</v>
      </c>
      <c r="AS195">
        <f t="shared" ref="AS195:AS258" si="58">$B$3*SIN(RADIANS(AQ195))</f>
        <v>-2.6994126521263797</v>
      </c>
    </row>
    <row r="196" spans="1:45" x14ac:dyDescent="0.25">
      <c r="A196" s="15">
        <f t="shared" ca="1" si="55"/>
        <v>0</v>
      </c>
      <c r="B196">
        <f t="shared" ca="1" si="56"/>
        <v>0</v>
      </c>
      <c r="M196" s="9"/>
      <c r="AQ196">
        <v>194</v>
      </c>
      <c r="AR196">
        <f t="shared" si="57"/>
        <v>-11.643548715311958</v>
      </c>
      <c r="AS196">
        <f t="shared" si="58"/>
        <v>-2.9030627471960102</v>
      </c>
    </row>
    <row r="197" spans="1:45" x14ac:dyDescent="0.25">
      <c r="A197" s="15">
        <f t="shared" ca="1" si="55"/>
        <v>0</v>
      </c>
      <c r="B197">
        <f t="shared" ca="1" si="56"/>
        <v>0</v>
      </c>
      <c r="M197" s="9"/>
      <c r="AQ197">
        <v>195</v>
      </c>
      <c r="AR197">
        <f t="shared" si="57"/>
        <v>-11.59110991546882</v>
      </c>
      <c r="AS197">
        <f t="shared" si="58"/>
        <v>-3.1058285412302498</v>
      </c>
    </row>
    <row r="198" spans="1:45" x14ac:dyDescent="0.25">
      <c r="A198" s="15">
        <f t="shared" ca="1" si="55"/>
        <v>0</v>
      </c>
      <c r="B198">
        <f t="shared" ca="1" si="56"/>
        <v>0</v>
      </c>
      <c r="M198" s="9"/>
      <c r="AQ198">
        <v>196</v>
      </c>
      <c r="AR198">
        <f t="shared" si="57"/>
        <v>-11.535140351259827</v>
      </c>
      <c r="AS198">
        <f t="shared" si="58"/>
        <v>-3.307648269803988</v>
      </c>
    </row>
    <row r="199" spans="1:45" x14ac:dyDescent="0.25">
      <c r="A199" s="15">
        <f t="shared" ca="1" si="55"/>
        <v>0</v>
      </c>
      <c r="B199">
        <f t="shared" ca="1" si="56"/>
        <v>0</v>
      </c>
      <c r="M199" s="9"/>
      <c r="AQ199">
        <v>197</v>
      </c>
      <c r="AR199">
        <f t="shared" si="57"/>
        <v>-11.475657071556425</v>
      </c>
      <c r="AS199">
        <f t="shared" si="58"/>
        <v>-3.5084604566728412</v>
      </c>
    </row>
    <row r="200" spans="1:45" x14ac:dyDescent="0.25">
      <c r="A200" s="15">
        <f t="shared" ca="1" si="55"/>
        <v>0</v>
      </c>
      <c r="B200">
        <f t="shared" ca="1" si="56"/>
        <v>0</v>
      </c>
      <c r="M200" s="9"/>
      <c r="AQ200">
        <v>198</v>
      </c>
      <c r="AR200">
        <f t="shared" si="57"/>
        <v>-11.412678195541844</v>
      </c>
      <c r="AS200">
        <f t="shared" si="58"/>
        <v>-3.7082039324993676</v>
      </c>
    </row>
    <row r="201" spans="1:45" x14ac:dyDescent="0.25">
      <c r="A201" s="15">
        <f t="shared" ca="1" si="55"/>
        <v>0</v>
      </c>
      <c r="B201">
        <f t="shared" ca="1" si="56"/>
        <v>0</v>
      </c>
      <c r="M201" s="9"/>
      <c r="AQ201">
        <v>199</v>
      </c>
      <c r="AR201">
        <f t="shared" si="57"/>
        <v>-11.346222907191802</v>
      </c>
      <c r="AS201">
        <f t="shared" si="58"/>
        <v>-3.9068178534858813</v>
      </c>
    </row>
    <row r="202" spans="1:45" x14ac:dyDescent="0.25">
      <c r="A202" s="15">
        <f t="shared" ca="1" si="55"/>
        <v>0</v>
      </c>
      <c r="B202">
        <f t="shared" ca="1" si="56"/>
        <v>0</v>
      </c>
      <c r="M202" s="9"/>
      <c r="AQ202">
        <v>200</v>
      </c>
      <c r="AR202">
        <f t="shared" si="57"/>
        <v>-11.276311449430901</v>
      </c>
      <c r="AS202">
        <f t="shared" si="58"/>
        <v>-4.1042417199080239</v>
      </c>
    </row>
    <row r="203" spans="1:45" x14ac:dyDescent="0.25">
      <c r="A203" s="15">
        <f t="shared" ca="1" si="55"/>
        <v>0</v>
      </c>
      <c r="B203">
        <f t="shared" ca="1" si="56"/>
        <v>0</v>
      </c>
      <c r="M203" s="9"/>
      <c r="AQ203">
        <v>201</v>
      </c>
      <c r="AR203">
        <f t="shared" si="57"/>
        <v>-11.202965117966421</v>
      </c>
      <c r="AS203">
        <f t="shared" si="58"/>
        <v>-4.300415394543605</v>
      </c>
    </row>
    <row r="204" spans="1:45" x14ac:dyDescent="0.25">
      <c r="A204" s="15">
        <f t="shared" ca="1" si="55"/>
        <v>0</v>
      </c>
      <c r="B204">
        <f t="shared" ca="1" si="56"/>
        <v>0</v>
      </c>
      <c r="M204" s="9"/>
      <c r="AQ204">
        <v>202</v>
      </c>
      <c r="AR204">
        <f t="shared" si="57"/>
        <v>-11.126206254801449</v>
      </c>
      <c r="AS204">
        <f t="shared" si="58"/>
        <v>-4.4952791209909444</v>
      </c>
    </row>
    <row r="205" spans="1:45" x14ac:dyDescent="0.25">
      <c r="A205" s="15">
        <f t="shared" ca="1" si="55"/>
        <v>0</v>
      </c>
      <c r="B205">
        <f t="shared" ca="1" si="56"/>
        <v>0</v>
      </c>
      <c r="M205" s="9"/>
      <c r="AQ205">
        <v>203</v>
      </c>
      <c r="AR205">
        <f t="shared" si="57"/>
        <v>-11.046058241429284</v>
      </c>
      <c r="AS205">
        <f t="shared" si="58"/>
        <v>-4.6887735418712824</v>
      </c>
    </row>
    <row r="206" spans="1:45" x14ac:dyDescent="0.25">
      <c r="A206" s="15">
        <f t="shared" ca="1" si="55"/>
        <v>0</v>
      </c>
      <c r="B206">
        <f t="shared" ca="1" si="56"/>
        <v>0</v>
      </c>
      <c r="M206" s="9"/>
      <c r="AQ206">
        <v>204</v>
      </c>
      <c r="AR206">
        <f t="shared" si="57"/>
        <v>-10.962545491711211</v>
      </c>
      <c r="AS206">
        <f t="shared" si="58"/>
        <v>-4.8808397169096027</v>
      </c>
    </row>
    <row r="207" spans="1:45" x14ac:dyDescent="0.25">
      <c r="A207" s="15">
        <f t="shared" ca="1" si="55"/>
        <v>0</v>
      </c>
      <c r="B207">
        <f t="shared" ca="1" si="56"/>
        <v>0</v>
      </c>
      <c r="M207" s="9"/>
      <c r="AQ207">
        <v>205</v>
      </c>
      <c r="AR207">
        <f t="shared" si="57"/>
        <v>-10.875693444439801</v>
      </c>
      <c r="AS207">
        <f t="shared" si="58"/>
        <v>-5.0714191408883913</v>
      </c>
    </row>
    <row r="208" spans="1:45" x14ac:dyDescent="0.25">
      <c r="A208" s="15">
        <f t="shared" ca="1" si="55"/>
        <v>0</v>
      </c>
      <c r="B208">
        <f t="shared" ca="1" si="56"/>
        <v>0</v>
      </c>
      <c r="M208" s="9"/>
      <c r="AQ208">
        <v>206</v>
      </c>
      <c r="AR208">
        <f t="shared" si="57"/>
        <v>-10.785528555590004</v>
      </c>
      <c r="AS208">
        <f t="shared" si="58"/>
        <v>-5.2604537614689297</v>
      </c>
    </row>
    <row r="209" spans="1:45" x14ac:dyDescent="0.25">
      <c r="A209" s="15">
        <f t="shared" ca="1" si="55"/>
        <v>0</v>
      </c>
      <c r="B209">
        <f t="shared" ca="1" si="56"/>
        <v>0</v>
      </c>
      <c r="M209" s="9"/>
      <c r="AQ209">
        <v>207</v>
      </c>
      <c r="AR209">
        <f t="shared" si="57"/>
        <v>-10.692078290260415</v>
      </c>
      <c r="AS209">
        <f t="shared" si="58"/>
        <v>-5.4478859968745601</v>
      </c>
    </row>
    <row r="210" spans="1:45" x14ac:dyDescent="0.25">
      <c r="A210" s="15">
        <f t="shared" ca="1" si="55"/>
        <v>0</v>
      </c>
      <c r="B210">
        <f t="shared" ca="1" si="56"/>
        <v>0</v>
      </c>
      <c r="M210" s="9"/>
      <c r="AQ210">
        <v>208</v>
      </c>
      <c r="AR210">
        <f t="shared" si="57"/>
        <v>-10.595371114307122</v>
      </c>
      <c r="AS210">
        <f t="shared" si="58"/>
        <v>-5.6336587534306908</v>
      </c>
    </row>
    <row r="211" spans="1:45" x14ac:dyDescent="0.25">
      <c r="A211" s="15">
        <f t="shared" ca="1" si="55"/>
        <v>0</v>
      </c>
      <c r="B211">
        <f t="shared" ca="1" si="56"/>
        <v>0</v>
      </c>
      <c r="M211" s="9"/>
      <c r="AQ211">
        <v>209</v>
      </c>
      <c r="AR211">
        <f t="shared" si="57"/>
        <v>-10.49543648567275</v>
      </c>
      <c r="AS211">
        <f t="shared" si="58"/>
        <v>-5.8177154429560431</v>
      </c>
    </row>
    <row r="212" spans="1:45" x14ac:dyDescent="0.25">
      <c r="A212" s="15">
        <f t="shared" ca="1" si="55"/>
        <v>0</v>
      </c>
      <c r="B212">
        <f t="shared" ca="1" si="56"/>
        <v>0</v>
      </c>
      <c r="M212" s="9"/>
      <c r="AQ212">
        <v>210</v>
      </c>
      <c r="AR212">
        <f t="shared" si="57"/>
        <v>-10.392304845413264</v>
      </c>
      <c r="AS212">
        <f t="shared" si="58"/>
        <v>-6.0000000000000018</v>
      </c>
    </row>
    <row r="213" spans="1:45" x14ac:dyDescent="0.25">
      <c r="A213" s="15">
        <f t="shared" ca="1" si="55"/>
        <v>0</v>
      </c>
      <c r="B213">
        <f t="shared" ca="1" si="56"/>
        <v>0</v>
      </c>
      <c r="M213" s="9"/>
      <c r="AQ213">
        <v>211</v>
      </c>
      <c r="AR213">
        <f t="shared" si="57"/>
        <v>-10.286007608425347</v>
      </c>
      <c r="AS213">
        <f t="shared" si="58"/>
        <v>-6.1804568989206494</v>
      </c>
    </row>
    <row r="214" spans="1:45" x14ac:dyDescent="0.25">
      <c r="A214" s="15">
        <f t="shared" ca="1" si="55"/>
        <v>0</v>
      </c>
      <c r="B214">
        <f t="shared" ca="1" si="56"/>
        <v>0</v>
      </c>
      <c r="M214" s="9"/>
      <c r="AQ214">
        <v>212</v>
      </c>
      <c r="AR214">
        <f t="shared" si="57"/>
        <v>-10.176577153877112</v>
      </c>
      <c r="AS214">
        <f t="shared" si="58"/>
        <v>-6.3590311707984579</v>
      </c>
    </row>
    <row r="215" spans="1:45" x14ac:dyDescent="0.25">
      <c r="A215" s="15">
        <f t="shared" ca="1" si="55"/>
        <v>0</v>
      </c>
      <c r="B215">
        <f t="shared" ca="1" si="56"/>
        <v>0</v>
      </c>
      <c r="M215" s="9"/>
      <c r="AQ215">
        <v>213</v>
      </c>
      <c r="AR215">
        <f t="shared" si="57"/>
        <v>-10.064046815345089</v>
      </c>
      <c r="AS215">
        <f t="shared" si="58"/>
        <v>-6.5356684201803255</v>
      </c>
    </row>
    <row r="216" spans="1:45" x14ac:dyDescent="0.25">
      <c r="A216" s="15">
        <f t="shared" ref="A216:A222" ca="1" si="59">L102</f>
        <v>0</v>
      </c>
      <c r="B216">
        <f t="shared" ref="B216:B222" ca="1" si="60">IF(AND(A216&gt;0,A216&lt;$B$128),(0.85*$B$126)*((2*(A216/$B$128))-POWER(A216/$B$128,2)),IF(A216&gt;0,0.85*$B$126,0))/1000</f>
        <v>0</v>
      </c>
      <c r="M216" s="9"/>
      <c r="AQ216">
        <v>214</v>
      </c>
      <c r="AR216">
        <f t="shared" si="57"/>
        <v>-9.9484508706605013</v>
      </c>
      <c r="AS216">
        <f t="shared" si="58"/>
        <v>-6.7103148416489606</v>
      </c>
    </row>
    <row r="217" spans="1:45" x14ac:dyDescent="0.25">
      <c r="A217" s="15">
        <f t="shared" ca="1" si="59"/>
        <v>0</v>
      </c>
      <c r="B217">
        <f t="shared" ca="1" si="60"/>
        <v>0</v>
      </c>
      <c r="M217" s="9"/>
      <c r="AQ217">
        <v>215</v>
      </c>
      <c r="AR217">
        <f t="shared" si="57"/>
        <v>-9.8298245314679011</v>
      </c>
      <c r="AS217">
        <f t="shared" si="58"/>
        <v>-6.8829172362125544</v>
      </c>
    </row>
    <row r="218" spans="1:45" x14ac:dyDescent="0.25">
      <c r="A218" s="15">
        <f t="shared" ca="1" si="59"/>
        <v>0</v>
      </c>
      <c r="B218">
        <f t="shared" ca="1" si="60"/>
        <v>0</v>
      </c>
      <c r="M218" s="9"/>
      <c r="AQ218">
        <v>216</v>
      </c>
      <c r="AR218">
        <f t="shared" si="57"/>
        <v>-9.7082039324993712</v>
      </c>
      <c r="AS218">
        <f t="shared" si="58"/>
        <v>-7.0534230275096768</v>
      </c>
    </row>
    <row r="219" spans="1:45" x14ac:dyDescent="0.25">
      <c r="A219" s="15">
        <f t="shared" ca="1" si="59"/>
        <v>0</v>
      </c>
      <c r="B219">
        <f t="shared" ca="1" si="60"/>
        <v>0</v>
      </c>
      <c r="M219" s="9"/>
      <c r="AQ219">
        <v>217</v>
      </c>
      <c r="AR219">
        <f t="shared" si="57"/>
        <v>-9.583626120567514</v>
      </c>
      <c r="AS219">
        <f t="shared" si="58"/>
        <v>-7.2217802778245801</v>
      </c>
    </row>
    <row r="220" spans="1:45" x14ac:dyDescent="0.25">
      <c r="A220" s="15">
        <f t="shared" ca="1" si="59"/>
        <v>0</v>
      </c>
      <c r="B220">
        <f t="shared" ca="1" si="60"/>
        <v>0</v>
      </c>
      <c r="M220" s="9"/>
      <c r="AQ220">
        <v>218</v>
      </c>
      <c r="AR220">
        <f t="shared" si="57"/>
        <v>-9.4561290432806651</v>
      </c>
      <c r="AS220">
        <f t="shared" si="58"/>
        <v>-7.3879377039078982</v>
      </c>
    </row>
    <row r="221" spans="1:45" x14ac:dyDescent="0.25">
      <c r="A221" s="15">
        <f t="shared" ca="1" si="59"/>
        <v>0</v>
      </c>
      <c r="B221">
        <f t="shared" ca="1" si="60"/>
        <v>0</v>
      </c>
      <c r="M221" s="9"/>
      <c r="AQ221">
        <v>219</v>
      </c>
      <c r="AR221">
        <f t="shared" si="57"/>
        <v>-9.325751537483649</v>
      </c>
      <c r="AS221">
        <f t="shared" si="58"/>
        <v>-7.5518446925980509</v>
      </c>
    </row>
    <row r="222" spans="1:45" x14ac:dyDescent="0.25">
      <c r="A222" s="15">
        <f t="shared" ca="1" si="59"/>
        <v>0</v>
      </c>
      <c r="B222">
        <f t="shared" ca="1" si="60"/>
        <v>0</v>
      </c>
      <c r="M222" s="9"/>
      <c r="AQ222">
        <v>220</v>
      </c>
      <c r="AR222">
        <f t="shared" si="57"/>
        <v>-9.1925333174277366</v>
      </c>
      <c r="AS222">
        <f t="shared" si="58"/>
        <v>-7.713451316238471</v>
      </c>
    </row>
    <row r="223" spans="1:45" x14ac:dyDescent="0.25">
      <c r="A223" s="15"/>
      <c r="M223" s="9"/>
      <c r="AQ223">
        <v>221</v>
      </c>
      <c r="AR223">
        <f t="shared" si="57"/>
        <v>-9.0565149626732655</v>
      </c>
      <c r="AS223">
        <f t="shared" si="58"/>
        <v>-7.8727083478860846</v>
      </c>
    </row>
    <row r="224" spans="1:45" x14ac:dyDescent="0.25">
      <c r="A224" s="15"/>
      <c r="M224" s="9"/>
      <c r="AQ224">
        <v>222</v>
      </c>
      <c r="AR224">
        <f t="shared" si="57"/>
        <v>-8.9177379057287318</v>
      </c>
      <c r="AS224">
        <f t="shared" si="58"/>
        <v>-8.0295672763062989</v>
      </c>
    </row>
    <row r="225" spans="13:45" x14ac:dyDescent="0.25">
      <c r="M225" s="9"/>
      <c r="AQ225">
        <v>223</v>
      </c>
      <c r="AR225">
        <f t="shared" si="57"/>
        <v>-8.7762444194300464</v>
      </c>
      <c r="AS225">
        <f t="shared" si="58"/>
        <v>-8.1839803207499813</v>
      </c>
    </row>
    <row r="226" spans="13:45" x14ac:dyDescent="0.25">
      <c r="M226" s="9"/>
      <c r="AQ226">
        <v>224</v>
      </c>
      <c r="AR226">
        <f t="shared" si="57"/>
        <v>-8.632077604063813</v>
      </c>
      <c r="AS226">
        <f t="shared" si="58"/>
        <v>-8.3359004455079688</v>
      </c>
    </row>
    <row r="227" spans="13:45" x14ac:dyDescent="0.25">
      <c r="M227" s="9"/>
      <c r="AQ227">
        <v>225</v>
      </c>
      <c r="AR227">
        <f t="shared" si="57"/>
        <v>-8.4852813742385713</v>
      </c>
      <c r="AS227">
        <f t="shared" si="58"/>
        <v>-8.4852813742385695</v>
      </c>
    </row>
    <row r="228" spans="13:45" x14ac:dyDescent="0.25">
      <c r="M228" s="9"/>
      <c r="AQ228">
        <v>226</v>
      </c>
      <c r="AR228">
        <f t="shared" si="57"/>
        <v>-8.335900445507967</v>
      </c>
      <c r="AS228">
        <f t="shared" si="58"/>
        <v>-8.6320776040638147</v>
      </c>
    </row>
    <row r="229" spans="13:45" x14ac:dyDescent="0.25">
      <c r="M229" s="9"/>
      <c r="AQ229">
        <v>227</v>
      </c>
      <c r="AR229">
        <f t="shared" si="57"/>
        <v>-8.1839803207499831</v>
      </c>
      <c r="AS229">
        <f t="shared" si="58"/>
        <v>-8.7762444194300464</v>
      </c>
    </row>
    <row r="230" spans="13:45" x14ac:dyDescent="0.25">
      <c r="M230" s="9"/>
      <c r="AQ230">
        <v>228</v>
      </c>
      <c r="AR230">
        <f t="shared" si="57"/>
        <v>-8.0295672763062971</v>
      </c>
      <c r="AS230">
        <f t="shared" si="58"/>
        <v>-8.9177379057287318</v>
      </c>
    </row>
    <row r="231" spans="13:45" x14ac:dyDescent="0.25">
      <c r="M231" s="9"/>
      <c r="AQ231">
        <v>229</v>
      </c>
      <c r="AR231">
        <f t="shared" si="57"/>
        <v>-7.8727083478860873</v>
      </c>
      <c r="AS231">
        <f t="shared" si="58"/>
        <v>-9.0565149626732637</v>
      </c>
    </row>
    <row r="232" spans="13:45" x14ac:dyDescent="0.25">
      <c r="M232" s="9"/>
      <c r="AQ232">
        <v>230</v>
      </c>
      <c r="AR232">
        <f t="shared" si="57"/>
        <v>-7.7134513162384737</v>
      </c>
      <c r="AS232">
        <f t="shared" si="58"/>
        <v>-9.1925333174277348</v>
      </c>
    </row>
    <row r="233" spans="13:45" x14ac:dyDescent="0.25">
      <c r="M233" s="9"/>
      <c r="AQ233">
        <v>231</v>
      </c>
      <c r="AR233">
        <f t="shared" si="57"/>
        <v>-7.5518446925980545</v>
      </c>
      <c r="AS233">
        <f t="shared" si="58"/>
        <v>-9.3257515374836473</v>
      </c>
    </row>
    <row r="234" spans="13:45" x14ac:dyDescent="0.25">
      <c r="M234" s="9"/>
      <c r="AQ234">
        <v>232</v>
      </c>
      <c r="AR234">
        <f t="shared" si="57"/>
        <v>-7.3879377039078964</v>
      </c>
      <c r="AS234">
        <f t="shared" si="58"/>
        <v>-9.4561290432806651</v>
      </c>
    </row>
    <row r="235" spans="13:45" x14ac:dyDescent="0.25">
      <c r="M235" s="9"/>
      <c r="AQ235">
        <v>233</v>
      </c>
      <c r="AR235">
        <f t="shared" si="57"/>
        <v>-7.2217802778245792</v>
      </c>
      <c r="AS235">
        <f t="shared" si="58"/>
        <v>-9.583626120567514</v>
      </c>
    </row>
    <row r="236" spans="13:45" x14ac:dyDescent="0.25">
      <c r="M236" s="9"/>
      <c r="AQ236">
        <v>234</v>
      </c>
      <c r="AR236">
        <f t="shared" si="57"/>
        <v>-7.0534230275096785</v>
      </c>
      <c r="AS236">
        <f t="shared" si="58"/>
        <v>-9.7082039324993676</v>
      </c>
    </row>
    <row r="237" spans="13:45" x14ac:dyDescent="0.25">
      <c r="M237" s="9"/>
      <c r="AQ237">
        <v>235</v>
      </c>
      <c r="AR237">
        <f t="shared" si="57"/>
        <v>-6.8829172362125561</v>
      </c>
      <c r="AS237">
        <f t="shared" si="58"/>
        <v>-9.8298245314678994</v>
      </c>
    </row>
    <row r="238" spans="13:45" x14ac:dyDescent="0.25">
      <c r="M238" s="9"/>
      <c r="AQ238">
        <v>236</v>
      </c>
      <c r="AR238">
        <f t="shared" si="57"/>
        <v>-6.7103148416489589</v>
      </c>
      <c r="AS238">
        <f t="shared" si="58"/>
        <v>-9.9484508706605013</v>
      </c>
    </row>
    <row r="239" spans="13:45" x14ac:dyDescent="0.25">
      <c r="M239" s="9"/>
      <c r="AQ239">
        <v>237</v>
      </c>
      <c r="AR239">
        <f t="shared" si="57"/>
        <v>-6.5356684201803237</v>
      </c>
      <c r="AS239">
        <f t="shared" si="58"/>
        <v>-10.064046815345089</v>
      </c>
    </row>
    <row r="240" spans="13:45" x14ac:dyDescent="0.25">
      <c r="M240" s="9"/>
      <c r="AQ240">
        <v>238</v>
      </c>
      <c r="AR240">
        <f t="shared" si="57"/>
        <v>-6.3590311707984597</v>
      </c>
      <c r="AS240">
        <f t="shared" si="58"/>
        <v>-10.176577153877112</v>
      </c>
    </row>
    <row r="241" spans="13:45" x14ac:dyDescent="0.25">
      <c r="M241" s="9"/>
      <c r="AQ241">
        <v>239</v>
      </c>
      <c r="AR241">
        <f t="shared" si="57"/>
        <v>-6.1804568989206539</v>
      </c>
      <c r="AS241">
        <f t="shared" si="58"/>
        <v>-10.286007608425345</v>
      </c>
    </row>
    <row r="242" spans="13:45" x14ac:dyDescent="0.25">
      <c r="M242" s="9"/>
      <c r="AQ242">
        <v>240</v>
      </c>
      <c r="AR242">
        <f t="shared" si="57"/>
        <v>-6.0000000000000053</v>
      </c>
      <c r="AS242">
        <f t="shared" si="58"/>
        <v>-10.39230484541326</v>
      </c>
    </row>
    <row r="243" spans="13:45" x14ac:dyDescent="0.25">
      <c r="M243" s="9"/>
      <c r="AQ243">
        <v>241</v>
      </c>
      <c r="AR243">
        <f t="shared" si="57"/>
        <v>-5.8177154429560423</v>
      </c>
      <c r="AS243">
        <f t="shared" si="58"/>
        <v>-10.495436485672752</v>
      </c>
    </row>
    <row r="244" spans="13:45" x14ac:dyDescent="0.25">
      <c r="M244" s="9"/>
      <c r="AQ244">
        <v>242</v>
      </c>
      <c r="AR244">
        <f t="shared" si="57"/>
        <v>-5.633658753430689</v>
      </c>
      <c r="AS244">
        <f t="shared" si="58"/>
        <v>-10.595371114307124</v>
      </c>
    </row>
    <row r="245" spans="13:45" x14ac:dyDescent="0.25">
      <c r="M245" s="9"/>
      <c r="AQ245">
        <v>243</v>
      </c>
      <c r="AR245">
        <f t="shared" si="57"/>
        <v>-5.4478859968745628</v>
      </c>
      <c r="AS245">
        <f t="shared" si="58"/>
        <v>-10.692078290260413</v>
      </c>
    </row>
    <row r="246" spans="13:45" x14ac:dyDescent="0.25">
      <c r="M246" s="9"/>
      <c r="AQ246">
        <v>244</v>
      </c>
      <c r="AR246">
        <f t="shared" si="57"/>
        <v>-5.2604537614689324</v>
      </c>
      <c r="AS246">
        <f t="shared" si="58"/>
        <v>-10.785528555590002</v>
      </c>
    </row>
    <row r="247" spans="13:45" x14ac:dyDescent="0.25">
      <c r="M247" s="9"/>
      <c r="AQ247">
        <v>245</v>
      </c>
      <c r="AR247">
        <f t="shared" si="57"/>
        <v>-5.0714191408883895</v>
      </c>
      <c r="AS247">
        <f t="shared" si="58"/>
        <v>-10.875693444439801</v>
      </c>
    </row>
    <row r="248" spans="13:45" x14ac:dyDescent="0.25">
      <c r="M248" s="9"/>
      <c r="AQ248">
        <v>246</v>
      </c>
      <c r="AR248">
        <f t="shared" si="57"/>
        <v>-4.8808397169096009</v>
      </c>
      <c r="AS248">
        <f t="shared" si="58"/>
        <v>-10.962545491711211</v>
      </c>
    </row>
    <row r="249" spans="13:45" x14ac:dyDescent="0.25">
      <c r="M249" s="9"/>
      <c r="AQ249">
        <v>247</v>
      </c>
      <c r="AR249">
        <f t="shared" si="57"/>
        <v>-4.6887735418712859</v>
      </c>
      <c r="AS249">
        <f t="shared" si="58"/>
        <v>-11.046058241429282</v>
      </c>
    </row>
    <row r="250" spans="13:45" x14ac:dyDescent="0.25">
      <c r="M250" s="9"/>
      <c r="AQ250">
        <v>248</v>
      </c>
      <c r="AR250">
        <f t="shared" si="57"/>
        <v>-4.4952791209909471</v>
      </c>
      <c r="AS250">
        <f t="shared" si="58"/>
        <v>-11.126206254801447</v>
      </c>
    </row>
    <row r="251" spans="13:45" x14ac:dyDescent="0.25">
      <c r="M251" s="9"/>
      <c r="AQ251">
        <v>249</v>
      </c>
      <c r="AR251">
        <f t="shared" si="57"/>
        <v>-4.3004153945436085</v>
      </c>
      <c r="AS251">
        <f t="shared" si="58"/>
        <v>-11.20296511796642</v>
      </c>
    </row>
    <row r="252" spans="13:45" x14ac:dyDescent="0.25">
      <c r="M252" s="9"/>
      <c r="AQ252">
        <v>250</v>
      </c>
      <c r="AR252">
        <f t="shared" si="57"/>
        <v>-4.104241719908023</v>
      </c>
      <c r="AS252">
        <f t="shared" si="58"/>
        <v>-11.276311449430901</v>
      </c>
    </row>
    <row r="253" spans="13:45" x14ac:dyDescent="0.25">
      <c r="M253" s="9"/>
      <c r="AQ253">
        <v>251</v>
      </c>
      <c r="AR253">
        <f t="shared" si="57"/>
        <v>-3.9068178534858795</v>
      </c>
      <c r="AS253">
        <f t="shared" si="58"/>
        <v>-11.346222907191802</v>
      </c>
    </row>
    <row r="254" spans="13:45" x14ac:dyDescent="0.25">
      <c r="M254" s="9"/>
      <c r="AQ254">
        <v>252</v>
      </c>
      <c r="AR254">
        <f t="shared" si="57"/>
        <v>-3.7082039324993707</v>
      </c>
      <c r="AS254">
        <f t="shared" si="58"/>
        <v>-11.412678195541842</v>
      </c>
    </row>
    <row r="255" spans="13:45" x14ac:dyDescent="0.25">
      <c r="M255" s="9"/>
      <c r="AQ255">
        <v>253</v>
      </c>
      <c r="AR255">
        <f t="shared" si="57"/>
        <v>-3.5084604566728452</v>
      </c>
      <c r="AS255">
        <f t="shared" si="58"/>
        <v>-11.475657071556423</v>
      </c>
    </row>
    <row r="256" spans="13:45" x14ac:dyDescent="0.25">
      <c r="M256" s="9"/>
      <c r="AQ256">
        <v>254</v>
      </c>
      <c r="AR256">
        <f t="shared" si="57"/>
        <v>-3.3076482698039866</v>
      </c>
      <c r="AS256">
        <f t="shared" si="58"/>
        <v>-11.535140351259829</v>
      </c>
    </row>
    <row r="257" spans="13:45" x14ac:dyDescent="0.25">
      <c r="M257" s="9"/>
      <c r="AQ257">
        <v>255</v>
      </c>
      <c r="AR257">
        <f t="shared" si="57"/>
        <v>-3.1058285412302475</v>
      </c>
      <c r="AS257">
        <f t="shared" si="58"/>
        <v>-11.59110991546882</v>
      </c>
    </row>
    <row r="258" spans="13:45" x14ac:dyDescent="0.25">
      <c r="M258" s="9"/>
      <c r="AQ258">
        <v>256</v>
      </c>
      <c r="AR258">
        <f t="shared" si="57"/>
        <v>-2.9030627471960133</v>
      </c>
      <c r="AS258">
        <f t="shared" si="58"/>
        <v>-11.643548715311958</v>
      </c>
    </row>
    <row r="259" spans="13:45" x14ac:dyDescent="0.25">
      <c r="M259" s="9"/>
      <c r="AQ259">
        <v>257</v>
      </c>
      <c r="AR259">
        <f t="shared" ref="AR259:AR322" si="61">$B$3*COS(RADIANS(AQ259))</f>
        <v>-2.6994126521263828</v>
      </c>
      <c r="AS259">
        <f t="shared" ref="AS259:AS322" si="62">$B$3*SIN(RADIANS(AQ259))</f>
        <v>-11.692440777422821</v>
      </c>
    </row>
    <row r="260" spans="13:45" x14ac:dyDescent="0.25">
      <c r="M260" s="9"/>
      <c r="AQ260">
        <v>258</v>
      </c>
      <c r="AR260">
        <f t="shared" si="61"/>
        <v>-2.4949402898131172</v>
      </c>
      <c r="AS260">
        <f t="shared" si="62"/>
        <v>-11.737771208805666</v>
      </c>
    </row>
    <row r="261" spans="13:45" x14ac:dyDescent="0.25">
      <c r="M261" s="9"/>
      <c r="AQ261">
        <v>259</v>
      </c>
      <c r="AR261">
        <f t="shared" si="61"/>
        <v>-2.2897079445185353</v>
      </c>
      <c r="AS261">
        <f t="shared" si="62"/>
        <v>-11.779526201371969</v>
      </c>
    </row>
    <row r="262" spans="13:45" x14ac:dyDescent="0.25">
      <c r="M262" s="9"/>
      <c r="AQ262">
        <v>260</v>
      </c>
      <c r="AR262">
        <f t="shared" si="61"/>
        <v>-2.0837781320031641</v>
      </c>
      <c r="AS262">
        <f t="shared" si="62"/>
        <v>-11.817693036146496</v>
      </c>
    </row>
    <row r="263" spans="13:45" x14ac:dyDescent="0.25">
      <c r="M263" s="9"/>
      <c r="AQ263">
        <v>261</v>
      </c>
      <c r="AR263">
        <f t="shared" si="61"/>
        <v>-1.8772135804827723</v>
      </c>
      <c r="AS263">
        <f t="shared" si="62"/>
        <v>-11.852260087141651</v>
      </c>
    </row>
    <row r="264" spans="13:45" x14ac:dyDescent="0.25">
      <c r="M264" s="9"/>
      <c r="AQ264">
        <v>262</v>
      </c>
      <c r="AR264">
        <f t="shared" si="61"/>
        <v>-1.6700772115207898</v>
      </c>
      <c r="AS264">
        <f t="shared" si="62"/>
        <v>-11.883216824898843</v>
      </c>
    </row>
    <row r="265" spans="13:45" x14ac:dyDescent="0.25">
      <c r="M265" s="9"/>
      <c r="AQ265">
        <v>263</v>
      </c>
      <c r="AR265">
        <f t="shared" si="61"/>
        <v>-1.4624321208617661</v>
      </c>
      <c r="AS265">
        <f t="shared" si="62"/>
        <v>-11.910553819695865</v>
      </c>
    </row>
    <row r="266" spans="13:45" x14ac:dyDescent="0.25">
      <c r="M266" s="9"/>
      <c r="AQ266">
        <v>264</v>
      </c>
      <c r="AR266">
        <f t="shared" si="61"/>
        <v>-1.2543415592118403</v>
      </c>
      <c r="AS266">
        <f t="shared" si="62"/>
        <v>-11.93426274441928</v>
      </c>
    </row>
    <row r="267" spans="13:45" x14ac:dyDescent="0.25">
      <c r="M267" s="9"/>
      <c r="AQ267">
        <v>265</v>
      </c>
      <c r="AR267">
        <f t="shared" si="61"/>
        <v>-1.045868912971899</v>
      </c>
      <c r="AS267">
        <f t="shared" si="62"/>
        <v>-11.954336377100947</v>
      </c>
    </row>
    <row r="268" spans="13:45" x14ac:dyDescent="0.25">
      <c r="M268" s="9"/>
      <c r="AQ268">
        <v>266</v>
      </c>
      <c r="AR268">
        <f t="shared" si="61"/>
        <v>-0.83707768492950696</v>
      </c>
      <c r="AS268">
        <f t="shared" si="62"/>
        <v>-11.970768603117889</v>
      </c>
    </row>
    <row r="269" spans="13:45" x14ac:dyDescent="0.25">
      <c r="M269" s="9"/>
      <c r="AQ269">
        <v>267</v>
      </c>
      <c r="AR269">
        <f t="shared" si="61"/>
        <v>-0.62803147491533173</v>
      </c>
      <c r="AS269">
        <f t="shared" si="62"/>
        <v>-11.983554417054886</v>
      </c>
    </row>
    <row r="270" spans="13:45" x14ac:dyDescent="0.25">
      <c r="M270" s="9"/>
      <c r="AQ270">
        <v>268</v>
      </c>
      <c r="AR270">
        <f t="shared" si="61"/>
        <v>-0.41879396043000916</v>
      </c>
      <c r="AS270">
        <f t="shared" si="62"/>
        <v>-11.992689924229149</v>
      </c>
    </row>
    <row r="271" spans="13:45" x14ac:dyDescent="0.25">
      <c r="M271" s="9"/>
      <c r="AQ271">
        <v>269</v>
      </c>
      <c r="AR271">
        <f t="shared" si="61"/>
        <v>-0.20942887724740197</v>
      </c>
      <c r="AS271">
        <f t="shared" si="62"/>
        <v>-11.998172341876696</v>
      </c>
    </row>
    <row r="272" spans="13:45" x14ac:dyDescent="0.25">
      <c r="M272" s="9"/>
      <c r="AQ272">
        <v>270</v>
      </c>
      <c r="AR272">
        <f t="shared" si="61"/>
        <v>-2.205267218835516E-15</v>
      </c>
      <c r="AS272">
        <f t="shared" si="62"/>
        <v>-12</v>
      </c>
    </row>
    <row r="273" spans="13:45" x14ac:dyDescent="0.25">
      <c r="M273" s="9"/>
      <c r="AQ273">
        <v>271</v>
      </c>
      <c r="AR273">
        <f t="shared" si="61"/>
        <v>0.20942887724739756</v>
      </c>
      <c r="AS273">
        <f t="shared" si="62"/>
        <v>-11.998172341876696</v>
      </c>
    </row>
    <row r="274" spans="13:45" x14ac:dyDescent="0.25">
      <c r="M274" s="9"/>
      <c r="AQ274">
        <v>272</v>
      </c>
      <c r="AR274">
        <f t="shared" si="61"/>
        <v>0.41879396043001538</v>
      </c>
      <c r="AS274">
        <f t="shared" si="62"/>
        <v>-11.992689924229149</v>
      </c>
    </row>
    <row r="275" spans="13:45" x14ac:dyDescent="0.25">
      <c r="M275" s="9"/>
      <c r="AQ275">
        <v>273</v>
      </c>
      <c r="AR275">
        <f t="shared" si="61"/>
        <v>0.62803147491532729</v>
      </c>
      <c r="AS275">
        <f t="shared" si="62"/>
        <v>-11.983554417054886</v>
      </c>
    </row>
    <row r="276" spans="13:45" x14ac:dyDescent="0.25">
      <c r="M276" s="9"/>
      <c r="AQ276">
        <v>274</v>
      </c>
      <c r="AR276">
        <f t="shared" si="61"/>
        <v>0.83707768492950263</v>
      </c>
      <c r="AS276">
        <f t="shared" si="62"/>
        <v>-11.970768603117891</v>
      </c>
    </row>
    <row r="277" spans="13:45" x14ac:dyDescent="0.25">
      <c r="M277" s="9"/>
      <c r="AQ277">
        <v>275</v>
      </c>
      <c r="AR277">
        <f t="shared" si="61"/>
        <v>1.0458689129718945</v>
      </c>
      <c r="AS277">
        <f t="shared" si="62"/>
        <v>-11.954336377100947</v>
      </c>
    </row>
    <row r="278" spans="13:45" x14ac:dyDescent="0.25">
      <c r="M278" s="9"/>
      <c r="AQ278">
        <v>276</v>
      </c>
      <c r="AR278">
        <f t="shared" si="61"/>
        <v>1.2543415592118359</v>
      </c>
      <c r="AS278">
        <f t="shared" si="62"/>
        <v>-11.93426274441928</v>
      </c>
    </row>
    <row r="279" spans="13:45" x14ac:dyDescent="0.25">
      <c r="M279" s="9"/>
      <c r="AQ279">
        <v>277</v>
      </c>
      <c r="AR279">
        <f t="shared" si="61"/>
        <v>1.4624321208617723</v>
      </c>
      <c r="AS279">
        <f t="shared" si="62"/>
        <v>-11.910553819695863</v>
      </c>
    </row>
    <row r="280" spans="13:45" x14ac:dyDescent="0.25">
      <c r="M280" s="9"/>
      <c r="AQ280">
        <v>278</v>
      </c>
      <c r="AR280">
        <f t="shared" si="61"/>
        <v>1.6700772115207856</v>
      </c>
      <c r="AS280">
        <f t="shared" si="62"/>
        <v>-11.883216824898845</v>
      </c>
    </row>
    <row r="281" spans="13:45" x14ac:dyDescent="0.25">
      <c r="M281" s="9"/>
      <c r="AQ281">
        <v>279</v>
      </c>
      <c r="AR281">
        <f t="shared" si="61"/>
        <v>1.8772135804827681</v>
      </c>
      <c r="AS281">
        <f t="shared" si="62"/>
        <v>-11.852260087141653</v>
      </c>
    </row>
    <row r="282" spans="13:45" x14ac:dyDescent="0.25">
      <c r="M282" s="9"/>
      <c r="AQ282">
        <v>280</v>
      </c>
      <c r="AR282">
        <f t="shared" si="61"/>
        <v>2.0837781320031596</v>
      </c>
      <c r="AS282">
        <f t="shared" si="62"/>
        <v>-11.817693036146498</v>
      </c>
    </row>
    <row r="283" spans="13:45" x14ac:dyDescent="0.25">
      <c r="M283" s="9"/>
      <c r="AQ283">
        <v>281</v>
      </c>
      <c r="AR283">
        <f t="shared" si="61"/>
        <v>2.2897079445185415</v>
      </c>
      <c r="AS283">
        <f t="shared" si="62"/>
        <v>-11.779526201371967</v>
      </c>
    </row>
    <row r="284" spans="13:45" x14ac:dyDescent="0.25">
      <c r="M284" s="9"/>
      <c r="AQ284">
        <v>282</v>
      </c>
      <c r="AR284">
        <f t="shared" si="61"/>
        <v>2.4949402898131132</v>
      </c>
      <c r="AS284">
        <f t="shared" si="62"/>
        <v>-11.737771208805666</v>
      </c>
    </row>
    <row r="285" spans="13:45" x14ac:dyDescent="0.25">
      <c r="M285" s="9"/>
      <c r="AQ285">
        <v>283</v>
      </c>
      <c r="AR285">
        <f t="shared" si="61"/>
        <v>2.6994126521263793</v>
      </c>
      <c r="AS285">
        <f t="shared" si="62"/>
        <v>-11.692440777422823</v>
      </c>
    </row>
    <row r="286" spans="13:45" x14ac:dyDescent="0.25">
      <c r="M286" s="9"/>
      <c r="AQ286">
        <v>284</v>
      </c>
      <c r="AR286">
        <f t="shared" si="61"/>
        <v>2.9030627471960093</v>
      </c>
      <c r="AS286">
        <f t="shared" si="62"/>
        <v>-11.643548715311958</v>
      </c>
    </row>
    <row r="287" spans="13:45" x14ac:dyDescent="0.25">
      <c r="M287" s="9"/>
      <c r="AQ287">
        <v>285</v>
      </c>
      <c r="AR287">
        <f t="shared" si="61"/>
        <v>3.1058285412302435</v>
      </c>
      <c r="AS287">
        <f t="shared" si="62"/>
        <v>-11.59110991546882</v>
      </c>
    </row>
    <row r="288" spans="13:45" x14ac:dyDescent="0.25">
      <c r="M288" s="9"/>
      <c r="AQ288">
        <v>286</v>
      </c>
      <c r="AR288">
        <f t="shared" si="61"/>
        <v>3.3076482698039928</v>
      </c>
      <c r="AS288">
        <f t="shared" si="62"/>
        <v>-11.535140351259825</v>
      </c>
    </row>
    <row r="289" spans="13:45" x14ac:dyDescent="0.25">
      <c r="M289" s="9"/>
      <c r="AQ289">
        <v>287</v>
      </c>
      <c r="AR289">
        <f t="shared" si="61"/>
        <v>3.5084604566728403</v>
      </c>
      <c r="AS289">
        <f t="shared" si="62"/>
        <v>-11.475657071556425</v>
      </c>
    </row>
    <row r="290" spans="13:45" x14ac:dyDescent="0.25">
      <c r="M290" s="9"/>
      <c r="AQ290">
        <v>288</v>
      </c>
      <c r="AR290">
        <f t="shared" si="61"/>
        <v>3.7082039324993668</v>
      </c>
      <c r="AS290">
        <f t="shared" si="62"/>
        <v>-11.412678195541844</v>
      </c>
    </row>
    <row r="291" spans="13:45" x14ac:dyDescent="0.25">
      <c r="M291" s="9"/>
      <c r="AQ291">
        <v>289</v>
      </c>
      <c r="AR291">
        <f t="shared" si="61"/>
        <v>3.906817853485876</v>
      </c>
      <c r="AS291">
        <f t="shared" si="62"/>
        <v>-11.346222907191803</v>
      </c>
    </row>
    <row r="292" spans="13:45" x14ac:dyDescent="0.25">
      <c r="M292" s="9"/>
      <c r="AQ292">
        <v>290</v>
      </c>
      <c r="AR292">
        <f t="shared" si="61"/>
        <v>4.1042417199080283</v>
      </c>
      <c r="AS292">
        <f t="shared" si="62"/>
        <v>-11.276311449430899</v>
      </c>
    </row>
    <row r="293" spans="13:45" x14ac:dyDescent="0.25">
      <c r="M293" s="9"/>
      <c r="AQ293">
        <v>291</v>
      </c>
      <c r="AR293">
        <f t="shared" si="61"/>
        <v>4.3004153945436041</v>
      </c>
      <c r="AS293">
        <f t="shared" si="62"/>
        <v>-11.202965117966421</v>
      </c>
    </row>
    <row r="294" spans="13:45" x14ac:dyDescent="0.25">
      <c r="M294" s="9"/>
      <c r="AQ294">
        <v>292</v>
      </c>
      <c r="AR294">
        <f t="shared" si="61"/>
        <v>4.4952791209909435</v>
      </c>
      <c r="AS294">
        <f t="shared" si="62"/>
        <v>-11.126206254801449</v>
      </c>
    </row>
    <row r="295" spans="13:45" x14ac:dyDescent="0.25">
      <c r="M295" s="9"/>
      <c r="AQ295">
        <v>293</v>
      </c>
      <c r="AR295">
        <f t="shared" si="61"/>
        <v>4.6887735418712815</v>
      </c>
      <c r="AS295">
        <f t="shared" si="62"/>
        <v>-11.046058241429286</v>
      </c>
    </row>
    <row r="296" spans="13:45" x14ac:dyDescent="0.25">
      <c r="M296" s="9"/>
      <c r="AQ296">
        <v>294</v>
      </c>
      <c r="AR296">
        <f t="shared" si="61"/>
        <v>4.8808397169095974</v>
      </c>
      <c r="AS296">
        <f t="shared" si="62"/>
        <v>-10.962545491711213</v>
      </c>
    </row>
    <row r="297" spans="13:45" x14ac:dyDescent="0.25">
      <c r="M297" s="9"/>
      <c r="AQ297">
        <v>295</v>
      </c>
      <c r="AR297">
        <f t="shared" si="61"/>
        <v>5.0714191408883948</v>
      </c>
      <c r="AS297">
        <f t="shared" si="62"/>
        <v>-10.875693444439799</v>
      </c>
    </row>
    <row r="298" spans="13:45" x14ac:dyDescent="0.25">
      <c r="M298" s="9"/>
      <c r="AQ298">
        <v>296</v>
      </c>
      <c r="AR298">
        <f t="shared" si="61"/>
        <v>5.2604537614689288</v>
      </c>
      <c r="AS298">
        <f t="shared" si="62"/>
        <v>-10.785528555590005</v>
      </c>
    </row>
    <row r="299" spans="13:45" x14ac:dyDescent="0.25">
      <c r="M299" s="9"/>
      <c r="AQ299">
        <v>297</v>
      </c>
      <c r="AR299">
        <f t="shared" si="61"/>
        <v>5.4478859968745592</v>
      </c>
      <c r="AS299">
        <f t="shared" si="62"/>
        <v>-10.692078290260415</v>
      </c>
    </row>
    <row r="300" spans="13:45" x14ac:dyDescent="0.25">
      <c r="M300" s="9"/>
      <c r="AQ300">
        <v>298</v>
      </c>
      <c r="AR300">
        <f t="shared" si="61"/>
        <v>5.6336587534306855</v>
      </c>
      <c r="AS300">
        <f t="shared" si="62"/>
        <v>-10.595371114307126</v>
      </c>
    </row>
    <row r="301" spans="13:45" x14ac:dyDescent="0.25">
      <c r="M301" s="9"/>
      <c r="AQ301">
        <v>299</v>
      </c>
      <c r="AR301">
        <f t="shared" si="61"/>
        <v>5.8177154429560476</v>
      </c>
      <c r="AS301">
        <f t="shared" si="62"/>
        <v>-10.495436485672748</v>
      </c>
    </row>
    <row r="302" spans="13:45" x14ac:dyDescent="0.25">
      <c r="M302" s="9"/>
      <c r="AQ302">
        <v>300</v>
      </c>
      <c r="AR302">
        <f t="shared" si="61"/>
        <v>6.0000000000000018</v>
      </c>
      <c r="AS302">
        <f t="shared" si="62"/>
        <v>-10.392304845413264</v>
      </c>
    </row>
    <row r="303" spans="13:45" x14ac:dyDescent="0.25">
      <c r="M303" s="9"/>
      <c r="AQ303">
        <v>301</v>
      </c>
      <c r="AR303">
        <f t="shared" si="61"/>
        <v>6.1804568989206494</v>
      </c>
      <c r="AS303">
        <f t="shared" si="62"/>
        <v>-10.286007608425347</v>
      </c>
    </row>
    <row r="304" spans="13:45" x14ac:dyDescent="0.25">
      <c r="M304" s="9"/>
      <c r="AQ304">
        <v>302</v>
      </c>
      <c r="AR304">
        <f t="shared" si="61"/>
        <v>6.3590311707984561</v>
      </c>
      <c r="AS304">
        <f t="shared" si="62"/>
        <v>-10.176577153877114</v>
      </c>
    </row>
    <row r="305" spans="13:45" x14ac:dyDescent="0.25">
      <c r="M305" s="9"/>
      <c r="AQ305">
        <v>303</v>
      </c>
      <c r="AR305">
        <f t="shared" si="61"/>
        <v>6.5356684201803201</v>
      </c>
      <c r="AS305">
        <f t="shared" si="62"/>
        <v>-10.06404681534509</v>
      </c>
    </row>
    <row r="306" spans="13:45" x14ac:dyDescent="0.25">
      <c r="M306" s="9"/>
      <c r="AQ306">
        <v>304</v>
      </c>
      <c r="AR306">
        <f t="shared" si="61"/>
        <v>6.7103148416489642</v>
      </c>
      <c r="AS306">
        <f t="shared" si="62"/>
        <v>-9.9484508706604995</v>
      </c>
    </row>
    <row r="307" spans="13:45" x14ac:dyDescent="0.25">
      <c r="M307" s="9"/>
      <c r="AQ307">
        <v>305</v>
      </c>
      <c r="AR307">
        <f t="shared" si="61"/>
        <v>6.8829172362125526</v>
      </c>
      <c r="AS307">
        <f t="shared" si="62"/>
        <v>-9.8298245314679011</v>
      </c>
    </row>
    <row r="308" spans="13:45" x14ac:dyDescent="0.25">
      <c r="M308" s="9"/>
      <c r="AQ308">
        <v>306</v>
      </c>
      <c r="AR308">
        <f t="shared" si="61"/>
        <v>7.053423027509675</v>
      </c>
      <c r="AS308">
        <f t="shared" si="62"/>
        <v>-9.7082039324993712</v>
      </c>
    </row>
    <row r="309" spans="13:45" x14ac:dyDescent="0.25">
      <c r="M309" s="9"/>
      <c r="AQ309">
        <v>307</v>
      </c>
      <c r="AR309">
        <f t="shared" si="61"/>
        <v>7.2217802778245748</v>
      </c>
      <c r="AS309">
        <f t="shared" si="62"/>
        <v>-9.5836261205675157</v>
      </c>
    </row>
    <row r="310" spans="13:45" x14ac:dyDescent="0.25">
      <c r="M310" s="9"/>
      <c r="AQ310">
        <v>308</v>
      </c>
      <c r="AR310">
        <f t="shared" si="61"/>
        <v>7.3879377039079017</v>
      </c>
      <c r="AS310">
        <f t="shared" si="62"/>
        <v>-9.4561290432806615</v>
      </c>
    </row>
    <row r="311" spans="13:45" x14ac:dyDescent="0.25">
      <c r="M311" s="9"/>
      <c r="AQ311">
        <v>309</v>
      </c>
      <c r="AR311">
        <f t="shared" si="61"/>
        <v>7.55184469259805</v>
      </c>
      <c r="AS311">
        <f t="shared" si="62"/>
        <v>-9.325751537483649</v>
      </c>
    </row>
    <row r="312" spans="13:45" x14ac:dyDescent="0.25">
      <c r="M312" s="9"/>
      <c r="AQ312">
        <v>310</v>
      </c>
      <c r="AR312">
        <f t="shared" si="61"/>
        <v>7.713451316238471</v>
      </c>
      <c r="AS312">
        <f t="shared" si="62"/>
        <v>-9.1925333174277384</v>
      </c>
    </row>
    <row r="313" spans="13:45" x14ac:dyDescent="0.25">
      <c r="M313" s="9"/>
      <c r="AQ313">
        <v>311</v>
      </c>
      <c r="AR313">
        <f t="shared" si="61"/>
        <v>7.8727083478860846</v>
      </c>
      <c r="AS313">
        <f t="shared" si="62"/>
        <v>-9.0565149626732673</v>
      </c>
    </row>
    <row r="314" spans="13:45" x14ac:dyDescent="0.25">
      <c r="M314" s="9"/>
      <c r="AQ314">
        <v>312</v>
      </c>
      <c r="AR314">
        <f t="shared" si="61"/>
        <v>8.0295672763062935</v>
      </c>
      <c r="AS314">
        <f t="shared" si="62"/>
        <v>-8.9177379057287354</v>
      </c>
    </row>
    <row r="315" spans="13:45" x14ac:dyDescent="0.25">
      <c r="M315" s="9"/>
      <c r="AQ315">
        <v>313</v>
      </c>
      <c r="AR315">
        <f t="shared" si="61"/>
        <v>8.1839803207499831</v>
      </c>
      <c r="AS315">
        <f t="shared" si="62"/>
        <v>-8.7762444194300446</v>
      </c>
    </row>
    <row r="316" spans="13:45" x14ac:dyDescent="0.25">
      <c r="M316" s="9"/>
      <c r="AQ316">
        <v>314</v>
      </c>
      <c r="AR316">
        <f t="shared" si="61"/>
        <v>8.335900445507967</v>
      </c>
      <c r="AS316">
        <f t="shared" si="62"/>
        <v>-8.6320776040638147</v>
      </c>
    </row>
    <row r="317" spans="13:45" x14ac:dyDescent="0.25">
      <c r="M317" s="9"/>
      <c r="AQ317">
        <v>315</v>
      </c>
      <c r="AR317">
        <f t="shared" si="61"/>
        <v>8.4852813742385678</v>
      </c>
      <c r="AS317">
        <f t="shared" si="62"/>
        <v>-8.4852813742385713</v>
      </c>
    </row>
    <row r="318" spans="13:45" x14ac:dyDescent="0.25">
      <c r="M318" s="9"/>
      <c r="AQ318">
        <v>316</v>
      </c>
      <c r="AR318">
        <f t="shared" si="61"/>
        <v>8.6320776040638094</v>
      </c>
      <c r="AS318">
        <f t="shared" si="62"/>
        <v>-8.3359004455079706</v>
      </c>
    </row>
    <row r="319" spans="13:45" x14ac:dyDescent="0.25">
      <c r="M319" s="9"/>
      <c r="AQ319">
        <v>317</v>
      </c>
      <c r="AR319">
        <f t="shared" si="61"/>
        <v>8.7762444194300482</v>
      </c>
      <c r="AS319">
        <f t="shared" si="62"/>
        <v>-8.1839803207499795</v>
      </c>
    </row>
    <row r="320" spans="13:45" x14ac:dyDescent="0.25">
      <c r="M320" s="9"/>
      <c r="AQ320">
        <v>318</v>
      </c>
      <c r="AR320">
        <f t="shared" si="61"/>
        <v>8.9177379057287318</v>
      </c>
      <c r="AS320">
        <f t="shared" si="62"/>
        <v>-8.0295672763062971</v>
      </c>
    </row>
    <row r="321" spans="13:45" x14ac:dyDescent="0.25">
      <c r="M321" s="9"/>
      <c r="AQ321">
        <v>319</v>
      </c>
      <c r="AR321">
        <f t="shared" si="61"/>
        <v>9.0565149626732619</v>
      </c>
      <c r="AS321">
        <f t="shared" si="62"/>
        <v>-7.8727083478860891</v>
      </c>
    </row>
    <row r="322" spans="13:45" x14ac:dyDescent="0.25">
      <c r="M322" s="9"/>
      <c r="AQ322">
        <v>320</v>
      </c>
      <c r="AR322">
        <f t="shared" si="61"/>
        <v>9.1925333174277331</v>
      </c>
      <c r="AS322">
        <f t="shared" si="62"/>
        <v>-7.7134513162384746</v>
      </c>
    </row>
    <row r="323" spans="13:45" x14ac:dyDescent="0.25">
      <c r="M323" s="9"/>
      <c r="AQ323">
        <v>321</v>
      </c>
      <c r="AR323">
        <f t="shared" ref="AR323:AR362" si="63">$B$3*COS(RADIANS(AQ323))</f>
        <v>9.3257515374836473</v>
      </c>
      <c r="AS323">
        <f t="shared" ref="AS323:AS362" si="64">$B$3*SIN(RADIANS(AQ323))</f>
        <v>-7.5518446925980545</v>
      </c>
    </row>
    <row r="324" spans="13:45" x14ac:dyDescent="0.25">
      <c r="M324" s="9"/>
      <c r="AQ324">
        <v>322</v>
      </c>
      <c r="AR324">
        <f t="shared" si="63"/>
        <v>9.4561290432806651</v>
      </c>
      <c r="AS324">
        <f t="shared" si="64"/>
        <v>-7.3879377039078982</v>
      </c>
    </row>
    <row r="325" spans="13:45" x14ac:dyDescent="0.25">
      <c r="M325" s="9"/>
      <c r="AQ325">
        <v>323</v>
      </c>
      <c r="AR325">
        <f t="shared" si="63"/>
        <v>9.583626120567514</v>
      </c>
      <c r="AS325">
        <f t="shared" si="64"/>
        <v>-7.2217802778245792</v>
      </c>
    </row>
    <row r="326" spans="13:45" x14ac:dyDescent="0.25">
      <c r="M326" s="9"/>
      <c r="AQ326">
        <v>324</v>
      </c>
      <c r="AR326">
        <f t="shared" si="63"/>
        <v>9.7082039324993676</v>
      </c>
      <c r="AS326">
        <f t="shared" si="64"/>
        <v>-7.0534230275096803</v>
      </c>
    </row>
    <row r="327" spans="13:45" x14ac:dyDescent="0.25">
      <c r="M327" s="9"/>
      <c r="AQ327">
        <v>325</v>
      </c>
      <c r="AR327">
        <f t="shared" si="63"/>
        <v>9.8298245314678994</v>
      </c>
      <c r="AS327">
        <f t="shared" si="64"/>
        <v>-6.8829172362125579</v>
      </c>
    </row>
    <row r="328" spans="13:45" x14ac:dyDescent="0.25">
      <c r="M328" s="9"/>
      <c r="AQ328">
        <v>326</v>
      </c>
      <c r="AR328">
        <f t="shared" si="63"/>
        <v>9.9484508706605013</v>
      </c>
      <c r="AS328">
        <f t="shared" si="64"/>
        <v>-6.7103148416489589</v>
      </c>
    </row>
    <row r="329" spans="13:45" x14ac:dyDescent="0.25">
      <c r="M329" s="9"/>
      <c r="AQ329">
        <v>327</v>
      </c>
      <c r="AR329">
        <f t="shared" si="63"/>
        <v>10.064046815345089</v>
      </c>
      <c r="AS329">
        <f t="shared" si="64"/>
        <v>-6.5356684201803237</v>
      </c>
    </row>
    <row r="330" spans="13:45" x14ac:dyDescent="0.25">
      <c r="M330" s="9"/>
      <c r="AQ330">
        <v>328</v>
      </c>
      <c r="AR330">
        <f t="shared" si="63"/>
        <v>10.176577153877112</v>
      </c>
      <c r="AS330">
        <f t="shared" si="64"/>
        <v>-6.3590311707984597</v>
      </c>
    </row>
    <row r="331" spans="13:45" x14ac:dyDescent="0.25">
      <c r="M331" s="9"/>
      <c r="AQ331">
        <v>329</v>
      </c>
      <c r="AR331">
        <f t="shared" si="63"/>
        <v>10.286007608425345</v>
      </c>
      <c r="AS331">
        <f t="shared" si="64"/>
        <v>-6.1804568989206539</v>
      </c>
    </row>
    <row r="332" spans="13:45" x14ac:dyDescent="0.25">
      <c r="M332" s="9"/>
      <c r="AQ332">
        <v>330</v>
      </c>
      <c r="AR332">
        <f t="shared" si="63"/>
        <v>10.39230484541326</v>
      </c>
      <c r="AS332">
        <f t="shared" si="64"/>
        <v>-6.0000000000000053</v>
      </c>
    </row>
    <row r="333" spans="13:45" x14ac:dyDescent="0.25">
      <c r="M333" s="9"/>
      <c r="AQ333">
        <v>331</v>
      </c>
      <c r="AR333">
        <f t="shared" si="63"/>
        <v>10.49543648567275</v>
      </c>
      <c r="AS333">
        <f t="shared" si="64"/>
        <v>-5.8177154429560431</v>
      </c>
    </row>
    <row r="334" spans="13:45" x14ac:dyDescent="0.25">
      <c r="M334" s="9"/>
      <c r="AQ334">
        <v>332</v>
      </c>
      <c r="AR334">
        <f t="shared" si="63"/>
        <v>10.595371114307122</v>
      </c>
      <c r="AS334">
        <f t="shared" si="64"/>
        <v>-5.6336587534306899</v>
      </c>
    </row>
    <row r="335" spans="13:45" x14ac:dyDescent="0.25">
      <c r="M335" s="9"/>
      <c r="AQ335">
        <v>333</v>
      </c>
      <c r="AR335">
        <f t="shared" si="63"/>
        <v>10.692078290260413</v>
      </c>
      <c r="AS335">
        <f t="shared" si="64"/>
        <v>-5.4478859968745637</v>
      </c>
    </row>
    <row r="336" spans="13:45" x14ac:dyDescent="0.25">
      <c r="M336" s="9"/>
      <c r="AQ336">
        <v>334</v>
      </c>
      <c r="AR336">
        <f t="shared" si="63"/>
        <v>10.785528555590002</v>
      </c>
      <c r="AS336">
        <f t="shared" si="64"/>
        <v>-5.2604537614689333</v>
      </c>
    </row>
    <row r="337" spans="13:45" x14ac:dyDescent="0.25">
      <c r="M337" s="9"/>
      <c r="AQ337">
        <v>335</v>
      </c>
      <c r="AR337">
        <f t="shared" si="63"/>
        <v>10.875693444439801</v>
      </c>
      <c r="AS337">
        <f t="shared" si="64"/>
        <v>-5.0714191408883904</v>
      </c>
    </row>
    <row r="338" spans="13:45" x14ac:dyDescent="0.25">
      <c r="M338" s="9"/>
      <c r="AQ338">
        <v>336</v>
      </c>
      <c r="AR338">
        <f t="shared" si="63"/>
        <v>10.962545491711211</v>
      </c>
      <c r="AS338">
        <f t="shared" si="64"/>
        <v>-4.8808397169096018</v>
      </c>
    </row>
    <row r="339" spans="13:45" x14ac:dyDescent="0.25">
      <c r="M339" s="9"/>
      <c r="AQ339">
        <v>337</v>
      </c>
      <c r="AR339">
        <f t="shared" si="63"/>
        <v>11.046058241429282</v>
      </c>
      <c r="AS339">
        <f t="shared" si="64"/>
        <v>-4.6887735418712868</v>
      </c>
    </row>
    <row r="340" spans="13:45" x14ac:dyDescent="0.25">
      <c r="M340" s="9"/>
      <c r="AQ340">
        <v>338</v>
      </c>
      <c r="AR340">
        <f t="shared" si="63"/>
        <v>11.126206254801447</v>
      </c>
      <c r="AS340">
        <f t="shared" si="64"/>
        <v>-4.495279120990948</v>
      </c>
    </row>
    <row r="341" spans="13:45" x14ac:dyDescent="0.25">
      <c r="M341" s="9"/>
      <c r="AQ341">
        <v>339</v>
      </c>
      <c r="AR341">
        <f t="shared" si="63"/>
        <v>11.202965117966418</v>
      </c>
      <c r="AS341">
        <f t="shared" si="64"/>
        <v>-4.3004153945436094</v>
      </c>
    </row>
    <row r="342" spans="13:45" x14ac:dyDescent="0.25">
      <c r="M342" s="9"/>
      <c r="AQ342">
        <v>340</v>
      </c>
      <c r="AR342">
        <f t="shared" si="63"/>
        <v>11.276311449430901</v>
      </c>
      <c r="AS342">
        <f t="shared" si="64"/>
        <v>-4.104241719908023</v>
      </c>
    </row>
    <row r="343" spans="13:45" x14ac:dyDescent="0.25">
      <c r="M343" s="9"/>
      <c r="AQ343">
        <v>341</v>
      </c>
      <c r="AR343">
        <f t="shared" si="63"/>
        <v>11.346222907191802</v>
      </c>
      <c r="AS343">
        <f t="shared" si="64"/>
        <v>-3.9068178534858804</v>
      </c>
    </row>
    <row r="344" spans="13:45" x14ac:dyDescent="0.25">
      <c r="M344" s="9"/>
      <c r="AQ344">
        <v>342</v>
      </c>
      <c r="AR344">
        <f t="shared" si="63"/>
        <v>11.412678195541842</v>
      </c>
      <c r="AS344">
        <f t="shared" si="64"/>
        <v>-3.7082039324993712</v>
      </c>
    </row>
    <row r="345" spans="13:45" x14ac:dyDescent="0.25">
      <c r="M345" s="9"/>
      <c r="AQ345">
        <v>343</v>
      </c>
      <c r="AR345">
        <f t="shared" si="63"/>
        <v>11.475657071556423</v>
      </c>
      <c r="AS345">
        <f t="shared" si="64"/>
        <v>-3.5084604566728457</v>
      </c>
    </row>
    <row r="346" spans="13:45" x14ac:dyDescent="0.25">
      <c r="M346" s="9"/>
      <c r="AQ346">
        <v>344</v>
      </c>
      <c r="AR346">
        <f t="shared" si="63"/>
        <v>11.535140351259827</v>
      </c>
      <c r="AS346">
        <f t="shared" si="64"/>
        <v>-3.3076482698039875</v>
      </c>
    </row>
    <row r="347" spans="13:45" x14ac:dyDescent="0.25">
      <c r="M347" s="9"/>
      <c r="AQ347">
        <v>345</v>
      </c>
      <c r="AR347">
        <f t="shared" si="63"/>
        <v>11.59110991546882</v>
      </c>
      <c r="AS347">
        <f t="shared" si="64"/>
        <v>-3.105828541230248</v>
      </c>
    </row>
    <row r="348" spans="13:45" x14ac:dyDescent="0.25">
      <c r="M348" s="9"/>
      <c r="AQ348">
        <v>346</v>
      </c>
      <c r="AR348">
        <f t="shared" si="63"/>
        <v>11.643548715311958</v>
      </c>
      <c r="AS348">
        <f t="shared" si="64"/>
        <v>-2.9030627471960146</v>
      </c>
    </row>
    <row r="349" spans="13:45" x14ac:dyDescent="0.25">
      <c r="M349" s="9"/>
      <c r="AQ349">
        <v>347</v>
      </c>
      <c r="AR349">
        <f t="shared" si="63"/>
        <v>11.692440777422821</v>
      </c>
      <c r="AS349">
        <f t="shared" si="64"/>
        <v>-2.6994126521263841</v>
      </c>
    </row>
    <row r="350" spans="13:45" x14ac:dyDescent="0.25">
      <c r="M350" s="9"/>
      <c r="AQ350">
        <v>348</v>
      </c>
      <c r="AR350">
        <f t="shared" si="63"/>
        <v>11.737771208805666</v>
      </c>
      <c r="AS350">
        <f t="shared" si="64"/>
        <v>-2.4949402898131186</v>
      </c>
    </row>
    <row r="351" spans="13:45" x14ac:dyDescent="0.25">
      <c r="M351" s="9"/>
      <c r="AQ351">
        <v>349</v>
      </c>
      <c r="AR351">
        <f t="shared" si="63"/>
        <v>11.779526201371969</v>
      </c>
      <c r="AS351">
        <f t="shared" si="64"/>
        <v>-2.2897079445185362</v>
      </c>
    </row>
    <row r="352" spans="13:45" x14ac:dyDescent="0.25">
      <c r="M352" s="9"/>
      <c r="AQ352">
        <v>350</v>
      </c>
      <c r="AR352">
        <f t="shared" si="63"/>
        <v>11.817693036146496</v>
      </c>
      <c r="AS352">
        <f t="shared" si="64"/>
        <v>-2.0837781320031645</v>
      </c>
    </row>
    <row r="353" spans="13:45" x14ac:dyDescent="0.25">
      <c r="M353" s="9"/>
      <c r="AQ353">
        <v>351</v>
      </c>
      <c r="AR353">
        <f t="shared" si="63"/>
        <v>11.852260087141651</v>
      </c>
      <c r="AS353">
        <f t="shared" si="64"/>
        <v>-1.8772135804827734</v>
      </c>
    </row>
    <row r="354" spans="13:45" x14ac:dyDescent="0.25">
      <c r="M354" s="9"/>
      <c r="AQ354">
        <v>352</v>
      </c>
      <c r="AR354">
        <f t="shared" si="63"/>
        <v>11.883216824898843</v>
      </c>
      <c r="AS354">
        <f t="shared" si="64"/>
        <v>-1.6700772115207907</v>
      </c>
    </row>
    <row r="355" spans="13:45" x14ac:dyDescent="0.25">
      <c r="M355" s="9"/>
      <c r="AQ355">
        <v>353</v>
      </c>
      <c r="AR355">
        <f t="shared" si="63"/>
        <v>11.910553819695865</v>
      </c>
      <c r="AS355">
        <f t="shared" si="64"/>
        <v>-1.4624321208617668</v>
      </c>
    </row>
    <row r="356" spans="13:45" x14ac:dyDescent="0.25">
      <c r="M356" s="9"/>
      <c r="AQ356">
        <v>354</v>
      </c>
      <c r="AR356">
        <f t="shared" si="63"/>
        <v>11.934262744419279</v>
      </c>
      <c r="AS356">
        <f t="shared" si="64"/>
        <v>-1.254341559211841</v>
      </c>
    </row>
    <row r="357" spans="13:45" x14ac:dyDescent="0.25">
      <c r="M357" s="9"/>
      <c r="AQ357">
        <v>355</v>
      </c>
      <c r="AR357">
        <f t="shared" si="63"/>
        <v>11.954336377100947</v>
      </c>
      <c r="AS357">
        <f t="shared" si="64"/>
        <v>-1.0458689129718999</v>
      </c>
    </row>
    <row r="358" spans="13:45" x14ac:dyDescent="0.25">
      <c r="M358" s="9"/>
      <c r="AQ358">
        <v>356</v>
      </c>
      <c r="AR358">
        <f t="shared" si="63"/>
        <v>11.970768603117889</v>
      </c>
      <c r="AS358">
        <f t="shared" si="64"/>
        <v>-0.83707768492950763</v>
      </c>
    </row>
    <row r="359" spans="13:45" x14ac:dyDescent="0.25">
      <c r="M359" s="9"/>
      <c r="AQ359">
        <v>357</v>
      </c>
      <c r="AR359">
        <f t="shared" si="63"/>
        <v>11.983554417054886</v>
      </c>
      <c r="AS359">
        <f t="shared" si="64"/>
        <v>-0.6280314749153324</v>
      </c>
    </row>
    <row r="360" spans="13:45" x14ac:dyDescent="0.25">
      <c r="M360" s="9"/>
      <c r="AQ360">
        <v>358</v>
      </c>
      <c r="AR360">
        <f t="shared" si="63"/>
        <v>11.992689924229149</v>
      </c>
      <c r="AS360">
        <f t="shared" si="64"/>
        <v>-0.41879396043000988</v>
      </c>
    </row>
    <row r="361" spans="13:45" x14ac:dyDescent="0.25">
      <c r="M361" s="9"/>
      <c r="AQ361">
        <v>359</v>
      </c>
      <c r="AR361">
        <f t="shared" si="63"/>
        <v>11.998172341876696</v>
      </c>
      <c r="AS361">
        <f t="shared" si="64"/>
        <v>-0.20942887724740272</v>
      </c>
    </row>
    <row r="362" spans="13:45" x14ac:dyDescent="0.25">
      <c r="M362" s="9"/>
      <c r="AQ362">
        <v>360</v>
      </c>
      <c r="AR362">
        <f t="shared" si="63"/>
        <v>12</v>
      </c>
      <c r="AS362">
        <f t="shared" si="64"/>
        <v>-2.940356291780688E-15</v>
      </c>
    </row>
    <row r="363" spans="13:45" x14ac:dyDescent="0.25">
      <c r="AJ363">
        <v>6.3006385996994831</v>
      </c>
      <c r="AK363">
        <v>75.528502789168499</v>
      </c>
      <c r="AL363">
        <v>-4.4086264186105845E-14</v>
      </c>
      <c r="AM363">
        <v>83.920558654631662</v>
      </c>
      <c r="AN363">
        <v>-4.8984737984562051E-14</v>
      </c>
    </row>
  </sheetData>
  <dataValidations disablePrompts="1" count="5">
    <dataValidation type="list" allowBlank="1" showInputMessage="1" showErrorMessage="1" sqref="B4" xr:uid="{5D5B2F67-CFB4-4B1C-988B-A121E5974B75}">
      <formula1>"Density, Simple"</formula1>
    </dataValidation>
    <dataValidation type="list" allowBlank="1" showInputMessage="1" showErrorMessage="1" sqref="B37:B108" xr:uid="{B5B79F87-2FDB-4F67-9AEB-B2240EE4442D}">
      <formula1>$Q$36:$Q$47</formula1>
    </dataValidation>
    <dataValidation type="list" allowBlank="1" showInputMessage="1" showErrorMessage="1" sqref="AA2" xr:uid="{EE2138F9-5CC7-4C51-B972-1E376F0AA54A}">
      <formula1>"6,8,12,24,36,72,180,360"</formula1>
    </dataValidation>
    <dataValidation type="list" allowBlank="1" showInputMessage="1" showErrorMessage="1" sqref="B31" xr:uid="{B45BC23B-3F52-47D7-B11B-30748310E385}">
      <formula1>$A$37:$A$108</formula1>
    </dataValidation>
    <dataValidation type="list" allowBlank="1" showInputMessage="1" showErrorMessage="1" sqref="B2" xr:uid="{45924ED4-95FF-49A4-BC50-1B5A96B63671}">
      <formula1>"Whitney, PCA_Parabolic"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isection_method_for_na">
                <anchor moveWithCells="1" sizeWithCells="1">
                  <from>
                    <xdr:col>4</xdr:col>
                    <xdr:colOff>47625</xdr:colOff>
                    <xdr:row>4</xdr:row>
                    <xdr:rowOff>38100</xdr:rowOff>
                  </from>
                  <to>
                    <xdr:col>6</xdr:col>
                    <xdr:colOff>581025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mx_my">
                <anchor moveWithCells="1" sizeWithCells="1">
                  <from>
                    <xdr:col>28</xdr:col>
                    <xdr:colOff>142875</xdr:colOff>
                    <xdr:row>0</xdr:row>
                    <xdr:rowOff>85725</xdr:rowOff>
                  </from>
                  <to>
                    <xdr:col>30</xdr:col>
                    <xdr:colOff>533400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p_m_curve">
                <anchor moveWithCells="1" sizeWithCells="1">
                  <from>
                    <xdr:col>31</xdr:col>
                    <xdr:colOff>123825</xdr:colOff>
                    <xdr:row>0</xdr:row>
                    <xdr:rowOff>85725</xdr:rowOff>
                  </from>
                  <to>
                    <xdr:col>33</xdr:col>
                    <xdr:colOff>514350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circle_section</vt:lpstr>
      <vt:lpstr>P_M_Curve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2020-11-26T06:42:33Z</dcterms:created>
  <dcterms:modified xsi:type="dcterms:W3CDTF">2020-11-30T12:04:20Z</dcterms:modified>
</cp:coreProperties>
</file>