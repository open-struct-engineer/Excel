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511051" documentId="114_{1C343C16-8EA1-436B-9AC3-457546D8BE82}" xr6:coauthVersionLast="45" xr6:coauthVersionMax="45" xr10:uidLastSave="{92E50152-7FA8-4B89-A984-B7EAC2803F52}"/>
  <bookViews>
    <workbookView xWindow="1590" yWindow="585" windowWidth="25935" windowHeight="16815" activeTab="1" xr2:uid="{95B8903A-7944-4A5B-B8CD-C02474F51CAC}"/>
  </bookViews>
  <sheets>
    <sheet name="Mx_vs_My" sheetId="4" r:id="rId1"/>
    <sheet name="circle_section" sheetId="1" r:id="rId2"/>
    <sheet name="P_M_Curve" sheetId="2" r:id="rId3"/>
    <sheet name="P_M_Curve (Whitney vs PCA)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6" i="1" l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F38" i="1"/>
  <c r="D38" i="1" s="1"/>
  <c r="F39" i="1"/>
  <c r="D39" i="1" s="1"/>
  <c r="F40" i="1"/>
  <c r="D40" i="1" s="1"/>
  <c r="F41" i="1"/>
  <c r="E41" i="1" s="1"/>
  <c r="F42" i="1"/>
  <c r="D42" i="1" s="1"/>
  <c r="F43" i="1"/>
  <c r="D43" i="1" s="1"/>
  <c r="F44" i="1"/>
  <c r="D44" i="1" s="1"/>
  <c r="F45" i="1"/>
  <c r="E45" i="1" s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37" i="1"/>
  <c r="D37" i="1" s="1"/>
  <c r="D45" i="1" l="1"/>
  <c r="D41" i="1"/>
  <c r="E44" i="1"/>
  <c r="E40" i="1"/>
  <c r="E43" i="1"/>
  <c r="E39" i="1"/>
  <c r="E42" i="1"/>
  <c r="E38" i="1"/>
  <c r="E37" i="1"/>
  <c r="BF105" i="1"/>
  <c r="BI104" i="1"/>
  <c r="BC3" i="1" l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BC2" i="1"/>
  <c r="AY2" i="1"/>
  <c r="AY104" i="1"/>
  <c r="AV105" i="1"/>
  <c r="BI105" i="1" l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M2" i="1"/>
  <c r="BI2" i="1"/>
  <c r="B7" i="1"/>
  <c r="AY105" i="1" l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E32" i="1"/>
  <c r="AA37" i="1"/>
  <c r="Z37" i="1"/>
  <c r="F10" i="1" l="1"/>
  <c r="F15" i="1" l="1"/>
  <c r="F14" i="1"/>
  <c r="G15" i="1"/>
  <c r="G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L38" i="1" s="1"/>
  <c r="I39" i="1"/>
  <c r="J39" i="1"/>
  <c r="K39" i="1" s="1"/>
  <c r="L39" i="1" s="1"/>
  <c r="I40" i="1"/>
  <c r="J40" i="1"/>
  <c r="K40" i="1" s="1"/>
  <c r="L40" i="1" s="1"/>
  <c r="I41" i="1"/>
  <c r="J41" i="1"/>
  <c r="K41" i="1" s="1"/>
  <c r="L41" i="1" s="1"/>
  <c r="I42" i="1"/>
  <c r="J42" i="1"/>
  <c r="K42" i="1" s="1"/>
  <c r="L42" i="1" s="1"/>
  <c r="I43" i="1"/>
  <c r="J43" i="1"/>
  <c r="K43" i="1" s="1"/>
  <c r="L43" i="1" s="1"/>
  <c r="I44" i="1"/>
  <c r="J44" i="1"/>
  <c r="K44" i="1" s="1"/>
  <c r="L44" i="1" s="1"/>
  <c r="I45" i="1"/>
  <c r="J45" i="1"/>
  <c r="K45" i="1" s="1"/>
  <c r="L45" i="1" s="1"/>
  <c r="I46" i="1"/>
  <c r="J46" i="1"/>
  <c r="K46" i="1" s="1"/>
  <c r="L46" i="1" s="1"/>
  <c r="I47" i="1"/>
  <c r="J47" i="1"/>
  <c r="K47" i="1" s="1"/>
  <c r="L47" i="1" s="1"/>
  <c r="I48" i="1"/>
  <c r="J48" i="1"/>
  <c r="K48" i="1" s="1"/>
  <c r="L48" i="1" s="1"/>
  <c r="I49" i="1"/>
  <c r="J49" i="1"/>
  <c r="K49" i="1" s="1"/>
  <c r="L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L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H18" i="1" l="1"/>
  <c r="C19" i="1"/>
  <c r="G17" i="1"/>
  <c r="H17" i="1"/>
  <c r="G18" i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L16" i="1" l="1"/>
  <c r="K16" i="1"/>
  <c r="A165" i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9" i="1"/>
  <c r="B127" i="1"/>
  <c r="B128" i="1" s="1"/>
  <c r="B8" i="1"/>
  <c r="B173" i="1" l="1"/>
  <c r="F142" i="1"/>
  <c r="F140" i="1"/>
  <c r="F141" i="1"/>
  <c r="M62" i="1"/>
  <c r="N62" i="1" s="1"/>
  <c r="M98" i="1"/>
  <c r="N98" i="1" s="1"/>
  <c r="M73" i="1"/>
  <c r="N73" i="1" s="1"/>
  <c r="M61" i="1"/>
  <c r="N61" i="1" s="1"/>
  <c r="M75" i="1"/>
  <c r="N75" i="1" s="1"/>
  <c r="M88" i="1"/>
  <c r="N88" i="1" s="1"/>
  <c r="M103" i="1"/>
  <c r="N103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M48" i="1" s="1"/>
  <c r="N48" i="1" s="1"/>
  <c r="B206" i="1"/>
  <c r="B182" i="1"/>
  <c r="B221" i="1"/>
  <c r="B134" i="1"/>
  <c r="B135" i="1" s="1"/>
  <c r="B130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M49" i="1" s="1"/>
  <c r="N49" i="1" s="1"/>
  <c r="B209" i="1"/>
  <c r="B158" i="1"/>
  <c r="M44" i="1" s="1"/>
  <c r="B155" i="1"/>
  <c r="M41" i="1" s="1"/>
  <c r="N41" i="1" s="1"/>
  <c r="B177" i="1"/>
  <c r="B204" i="1"/>
  <c r="B216" i="1"/>
  <c r="B192" i="1"/>
  <c r="B160" i="1"/>
  <c r="M46" i="1" s="1"/>
  <c r="N46" i="1" s="1"/>
  <c r="B171" i="1"/>
  <c r="B217" i="1"/>
  <c r="B202" i="1"/>
  <c r="B219" i="1"/>
  <c r="B174" i="1"/>
  <c r="B159" i="1"/>
  <c r="M45" i="1" s="1"/>
  <c r="N45" i="1" s="1"/>
  <c r="B214" i="1"/>
  <c r="B184" i="1"/>
  <c r="B195" i="1"/>
  <c r="B178" i="1"/>
  <c r="B197" i="1"/>
  <c r="B161" i="1"/>
  <c r="M47" i="1" s="1"/>
  <c r="N47" i="1" s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F144" i="1" l="1"/>
  <c r="F143" i="1"/>
  <c r="J135" i="1"/>
  <c r="K135" i="1" s="1"/>
  <c r="F12" i="1"/>
  <c r="F13" i="1"/>
  <c r="Q141" i="1"/>
  <c r="P140" i="1"/>
  <c r="N44" i="1"/>
  <c r="P44" i="1" s="1"/>
  <c r="J140" i="1"/>
  <c r="K141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45" i="1" l="1"/>
  <c r="B146" i="1" s="1"/>
  <c r="D146" i="1" s="1"/>
  <c r="P141" i="1" s="1"/>
  <c r="B16" i="1"/>
  <c r="B17" i="1" s="1"/>
  <c r="Y44" i="1"/>
  <c r="V44" i="1"/>
  <c r="O44" i="1"/>
  <c r="O109" i="1" s="1"/>
  <c r="O149" i="1" s="1"/>
  <c r="X44" i="1"/>
  <c r="N109" i="1"/>
  <c r="L149" i="1" s="1"/>
  <c r="U44" i="1"/>
  <c r="E18" i="1"/>
  <c r="E17" i="1"/>
  <c r="F18" i="1"/>
  <c r="F17" i="1"/>
  <c r="D26" i="1"/>
  <c r="B27" i="1" s="1"/>
  <c r="P109" i="1"/>
  <c r="R149" i="1" s="1"/>
  <c r="D27" i="1"/>
  <c r="B28" i="1" s="1"/>
  <c r="G28" i="1" s="1"/>
  <c r="D145" i="1" l="1"/>
  <c r="Q140" i="1" s="1"/>
  <c r="R140" i="1" s="1"/>
  <c r="L19" i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L24" i="1"/>
  <c r="L25" i="1" s="1"/>
  <c r="F27" i="1"/>
  <c r="F28" i="1"/>
  <c r="G27" i="1"/>
  <c r="J145" i="1" l="1"/>
  <c r="L145" i="1" s="1"/>
  <c r="N140" i="1"/>
  <c r="O140" i="1" s="1"/>
  <c r="O142" i="1" s="1"/>
  <c r="P145" i="1"/>
  <c r="R145" i="1" s="1"/>
  <c r="K140" i="1"/>
  <c r="L140" i="1" s="1"/>
  <c r="L142" i="1" s="1"/>
  <c r="M145" i="1"/>
  <c r="O145" i="1" s="1"/>
  <c r="H28" i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J3" i="1" l="1"/>
  <c r="R153" i="1"/>
  <c r="O153" i="1"/>
  <c r="L31" i="1"/>
  <c r="B113" i="1"/>
  <c r="B117" i="1" s="1"/>
  <c r="L30" i="1"/>
  <c r="J5" i="1" l="1"/>
  <c r="B116" i="1"/>
  <c r="J4" i="1" s="1"/>
  <c r="L4" i="1" l="1"/>
  <c r="L3" i="1" l="1"/>
  <c r="Z38" i="1"/>
  <c r="AA38" i="1" l="1"/>
  <c r="L5" i="1"/>
  <c r="J7" i="1"/>
  <c r="J6" i="1"/>
  <c r="L6" i="1" l="1"/>
</calcChain>
</file>

<file path=xl/sharedStrings.xml><?xml version="1.0" encoding="utf-8"?>
<sst xmlns="http://schemas.openxmlformats.org/spreadsheetml/2006/main" count="217" uniqueCount="150">
  <si>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</si>
  <si>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</si>
  <si>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</si>
  <si>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</si>
  <si>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</si>
  <si>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</si>
  <si>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</si>
  <si>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</si>
  <si>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</si>
  <si>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</si>
  <si>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</si>
  <si>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</si>
  <si>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</si>
  <si>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</si>
  <si>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</si>
  <si>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</si>
  <si>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</si>
  <si>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</si>
  <si>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</si>
  <si>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</si>
  <si>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</si>
  <si>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</si>
  <si>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</si>
  <si>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</si>
  <si>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</si>
  <si>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</si>
  <si>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</si>
  <si>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</si>
  <si>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</si>
  <si>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</si>
  <si>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</si>
  <si>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</si>
  <si>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</si>
  <si>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</si>
  <si>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</si>
  <si>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</si>
  <si>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</si>
  <si>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</si>
  <si>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</si>
  <si>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</si>
  <si>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</si>
  <si>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</si>
  <si>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</si>
  <si>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</si>
  <si>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</si>
  <si>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</si>
  <si>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</si>
  <si>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</si>
  <si>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</si>
  <si>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</si>
  <si>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</si>
  <si>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</si>
  <si>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</si>
  <si>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</si>
  <si>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</si>
  <si>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</si>
  <si>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</si>
  <si>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</si>
  <si>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</si>
  <si>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</si>
  <si>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</si>
  <si>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</si>
  <si>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</si>
  <si>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</si>
  <si>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</si>
  <si>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</si>
  <si>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</si>
  <si>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</si>
  <si>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</si>
  <si>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</si>
  <si>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</si>
  <si>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</si>
  <si>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</si>
  <si>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</si>
  <si>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</si>
  <si>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</si>
  <si>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</si>
  <si>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</si>
  <si>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</si>
  <si>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</si>
  <si>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</si>
  <si>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</si>
  <si>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</si>
  <si>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</si>
  <si>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</si>
  <si>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</si>
  <si>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</si>
  <si>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</si>
  <si>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</si>
  <si>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</si>
  <si>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</si>
  <si>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</si>
  <si>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</si>
  <si>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</si>
  <si>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</si>
  <si>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</si>
  <si>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</si>
  <si>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</si>
  <si>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</si>
  <si>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</si>
  <si>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</si>
  <si>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</si>
  <si>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</si>
  <si>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</si>
  <si>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</si>
  <si>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</si>
  <si>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</si>
  <si>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</si>
  <si>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</si>
  <si>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</si>
  <si>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</si>
  <si>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</si>
  <si>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</si>
  <si>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</si>
  <si>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</si>
  <si>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</si>
  <si>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</si>
  <si>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</si>
  <si>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</si>
  <si>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</si>
  <si>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</si>
  <si>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</si>
  <si>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</si>
  <si>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</si>
  <si>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</si>
  <si>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</si>
  <si>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</si>
  <si>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</si>
  <si>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</si>
  <si>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</si>
  <si>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</si>
  <si>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</si>
  <si>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</si>
  <si>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</si>
  <si>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</si>
  <si>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</si>
  <si>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</si>
  <si>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</si>
  <si>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</si>
  <si>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</si>
  <si>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</si>
  <si>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</si>
  <si>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</si>
  <si>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Other</t>
  </si>
  <si>
    <t>PCA_Parabolic</t>
  </si>
  <si>
    <t>Density</t>
  </si>
  <si>
    <t>PvM Run Time:</t>
  </si>
  <si>
    <t>Solver Run Time:</t>
  </si>
  <si>
    <t>First Bar @ Angle:</t>
  </si>
  <si>
    <t>cover to main bar: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</si>
</sst>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  <xf numFmtId="167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300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96130619354791"/>
          <c:y val="8.8939232913153282E-2"/>
          <c:w val="0.75684441134620783"/>
          <c:h val="0.84272719894062587"/>
        </c:manualLayout>
      </c:layout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149.65144615738791</c:v>
                </c:pt>
                <c:pt idx="1">
                  <c:v>149.6572299248021</c:v>
                </c:pt>
                <c:pt idx="2">
                  <c:v>149.62189988093246</c:v>
                </c:pt>
                <c:pt idx="3">
                  <c:v>149.54527636118746</c:v>
                </c:pt>
                <c:pt idx="4">
                  <c:v>149.42716475438931</c:v>
                </c:pt>
                <c:pt idx="5">
                  <c:v>149.2673736161203</c:v>
                </c:pt>
                <c:pt idx="6">
                  <c:v>149.05468229126072</c:v>
                </c:pt>
                <c:pt idx="7">
                  <c:v>148.75736042254371</c:v>
                </c:pt>
                <c:pt idx="8">
                  <c:v>148.41619695457055</c:v>
                </c:pt>
                <c:pt idx="9">
                  <c:v>148.03129483046814</c:v>
                </c:pt>
                <c:pt idx="10">
                  <c:v>147.60276436554653</c:v>
                </c:pt>
                <c:pt idx="11">
                  <c:v>147.13072324394582</c:v>
                </c:pt>
                <c:pt idx="12">
                  <c:v>146.61529653731037</c:v>
                </c:pt>
                <c:pt idx="13">
                  <c:v>146.05661674588856</c:v>
                </c:pt>
                <c:pt idx="14">
                  <c:v>145.45482386108966</c:v>
                </c:pt>
                <c:pt idx="15">
                  <c:v>144.76698052329874</c:v>
                </c:pt>
                <c:pt idx="16">
                  <c:v>144.02810224883657</c:v>
                </c:pt>
                <c:pt idx="17">
                  <c:v>143.25033205664508</c:v>
                </c:pt>
                <c:pt idx="18">
                  <c:v>142.43398640778898</c:v>
                </c:pt>
                <c:pt idx="19">
                  <c:v>141.57938210546502</c:v>
                </c:pt>
                <c:pt idx="20">
                  <c:v>140.68681771631086</c:v>
                </c:pt>
                <c:pt idx="21">
                  <c:v>139.75657276467737</c:v>
                </c:pt>
                <c:pt idx="22">
                  <c:v>138.78890778165413</c:v>
                </c:pt>
                <c:pt idx="23">
                  <c:v>137.78406446884725</c:v>
                </c:pt>
                <c:pt idx="24">
                  <c:v>136.74226597468044</c:v>
                </c:pt>
                <c:pt idx="25">
                  <c:v>135.66371728212061</c:v>
                </c:pt>
                <c:pt idx="26">
                  <c:v>134.54860570585907</c:v>
                </c:pt>
                <c:pt idx="27">
                  <c:v>133.3971014966904</c:v>
                </c:pt>
                <c:pt idx="28">
                  <c:v>132.20935855048143</c:v>
                </c:pt>
                <c:pt idx="29">
                  <c:v>130.98551521877766</c:v>
                </c:pt>
                <c:pt idx="30">
                  <c:v>129.61000522388733</c:v>
                </c:pt>
                <c:pt idx="31">
                  <c:v>127.99577816705042</c:v>
                </c:pt>
                <c:pt idx="32">
                  <c:v>126.63397173846479</c:v>
                </c:pt>
                <c:pt idx="33">
                  <c:v>125.2380312403134</c:v>
                </c:pt>
                <c:pt idx="34">
                  <c:v>123.80816104306363</c:v>
                </c:pt>
                <c:pt idx="35">
                  <c:v>122.34455002227379</c:v>
                </c:pt>
                <c:pt idx="36">
                  <c:v>120.84737249757609</c:v>
                </c:pt>
                <c:pt idx="37">
                  <c:v>119.31678926670607</c:v>
                </c:pt>
                <c:pt idx="38">
                  <c:v>117.75294873085019</c:v>
                </c:pt>
                <c:pt idx="39">
                  <c:v>116.15598810726516</c:v>
                </c:pt>
                <c:pt idx="40">
                  <c:v>114.52603472482065</c:v>
                </c:pt>
                <c:pt idx="41">
                  <c:v>112.86320739788178</c:v>
                </c:pt>
                <c:pt idx="42">
                  <c:v>111.16761787327778</c:v>
                </c:pt>
                <c:pt idx="43">
                  <c:v>109.43937234602561</c:v>
                </c:pt>
                <c:pt idx="44">
                  <c:v>107.67857343857709</c:v>
                </c:pt>
                <c:pt idx="45">
                  <c:v>105.8853311489046</c:v>
                </c:pt>
                <c:pt idx="46">
                  <c:v>104.0540551914707</c:v>
                </c:pt>
                <c:pt idx="47">
                  <c:v>102.17020912588291</c:v>
                </c:pt>
                <c:pt idx="48">
                  <c:v>100.25637834547494</c:v>
                </c:pt>
                <c:pt idx="49">
                  <c:v>98.313086609183301</c:v>
                </c:pt>
                <c:pt idx="50">
                  <c:v>96.340862264189482</c:v>
                </c:pt>
                <c:pt idx="51">
                  <c:v>94.340238354999371</c:v>
                </c:pt>
                <c:pt idx="52">
                  <c:v>92.311752747969862</c:v>
                </c:pt>
                <c:pt idx="53">
                  <c:v>90.255948270472658</c:v>
                </c:pt>
                <c:pt idx="54">
                  <c:v>88.173372862993034</c:v>
                </c:pt>
                <c:pt idx="55">
                  <c:v>86.03196345494834</c:v>
                </c:pt>
                <c:pt idx="56">
                  <c:v>83.860748880903344</c:v>
                </c:pt>
                <c:pt idx="57">
                  <c:v>81.669388410533259</c:v>
                </c:pt>
                <c:pt idx="58">
                  <c:v>79.458323553570068</c:v>
                </c:pt>
                <c:pt idx="59">
                  <c:v>77.227990734491783</c:v>
                </c:pt>
                <c:pt idx="60">
                  <c:v>74.978808291581643</c:v>
                </c:pt>
                <c:pt idx="61">
                  <c:v>72.711177029739389</c:v>
                </c:pt>
                <c:pt idx="62">
                  <c:v>70.42548140124245</c:v>
                </c:pt>
                <c:pt idx="63">
                  <c:v>68.122090765966178</c:v>
                </c:pt>
                <c:pt idx="64">
                  <c:v>65.80136072531549</c:v>
                </c:pt>
                <c:pt idx="65">
                  <c:v>63.463634524716824</c:v>
                </c:pt>
                <c:pt idx="66">
                  <c:v>61.109244519030639</c:v>
                </c:pt>
                <c:pt idx="67">
                  <c:v>58.738513695089637</c:v>
                </c:pt>
                <c:pt idx="68">
                  <c:v>56.351757245393195</c:v>
                </c:pt>
                <c:pt idx="69">
                  <c:v>53.949284186833395</c:v>
                </c:pt>
                <c:pt idx="70">
                  <c:v>51.186988706567313</c:v>
                </c:pt>
                <c:pt idx="71">
                  <c:v>48.330416495636719</c:v>
                </c:pt>
                <c:pt idx="72">
                  <c:v>45.873457554834914</c:v>
                </c:pt>
                <c:pt idx="73">
                  <c:v>43.404477470307171</c:v>
                </c:pt>
                <c:pt idx="74">
                  <c:v>40.923811331854075</c:v>
                </c:pt>
                <c:pt idx="75">
                  <c:v>38.431788146534146</c:v>
                </c:pt>
                <c:pt idx="76">
                  <c:v>35.928732508089432</c:v>
                </c:pt>
                <c:pt idx="77">
                  <c:v>33.414966299016797</c:v>
                </c:pt>
                <c:pt idx="78">
                  <c:v>30.890810418852354</c:v>
                </c:pt>
                <c:pt idx="79">
                  <c:v>28.356586532132678</c:v>
                </c:pt>
                <c:pt idx="80">
                  <c:v>25.81261882941191</c:v>
                </c:pt>
                <c:pt idx="81">
                  <c:v>23.259235794661908</c:v>
                </c:pt>
                <c:pt idx="82">
                  <c:v>20.696771972264255</c:v>
                </c:pt>
                <c:pt idx="83">
                  <c:v>18.125569727015741</c:v>
                </c:pt>
                <c:pt idx="84">
                  <c:v>15.545980896812075</c:v>
                </c:pt>
                <c:pt idx="85">
                  <c:v>12.958365452741971</c:v>
                </c:pt>
                <c:pt idx="86">
                  <c:v>10.365379235582271</c:v>
                </c:pt>
                <c:pt idx="87">
                  <c:v>7.776481483829123</c:v>
                </c:pt>
                <c:pt idx="88">
                  <c:v>5.1854860829992218</c:v>
                </c:pt>
                <c:pt idx="89">
                  <c:v>2.5930925352111069</c:v>
                </c:pt>
                <c:pt idx="90">
                  <c:v>-2.4320313119434707E-13</c:v>
                </c:pt>
                <c:pt idx="91">
                  <c:v>-2.5930925352116012</c:v>
                </c:pt>
                <c:pt idx="92">
                  <c:v>-5.1854860829997156</c:v>
                </c:pt>
                <c:pt idx="93">
                  <c:v>-7.7764814838296195</c:v>
                </c:pt>
                <c:pt idx="94">
                  <c:v>-10.365379235582765</c:v>
                </c:pt>
                <c:pt idx="95">
                  <c:v>-12.958365452742468</c:v>
                </c:pt>
                <c:pt idx="96">
                  <c:v>-15.545980896812575</c:v>
                </c:pt>
                <c:pt idx="97">
                  <c:v>-18.125569727016231</c:v>
                </c:pt>
                <c:pt idx="98">
                  <c:v>-20.696771972264745</c:v>
                </c:pt>
                <c:pt idx="99">
                  <c:v>-23.259235794662395</c:v>
                </c:pt>
                <c:pt idx="100">
                  <c:v>-25.812618829412404</c:v>
                </c:pt>
                <c:pt idx="101">
                  <c:v>-28.356586532133161</c:v>
                </c:pt>
                <c:pt idx="102">
                  <c:v>-30.890810418852844</c:v>
                </c:pt>
                <c:pt idx="103">
                  <c:v>-33.41496629901728</c:v>
                </c:pt>
                <c:pt idx="104">
                  <c:v>-35.928732508089915</c:v>
                </c:pt>
                <c:pt idx="105">
                  <c:v>-38.431788146534622</c:v>
                </c:pt>
                <c:pt idx="106">
                  <c:v>-40.923811331854559</c:v>
                </c:pt>
                <c:pt idx="107">
                  <c:v>-43.404477470307647</c:v>
                </c:pt>
                <c:pt idx="108">
                  <c:v>-45.873457554835376</c:v>
                </c:pt>
                <c:pt idx="109">
                  <c:v>-48.330416495637202</c:v>
                </c:pt>
                <c:pt idx="110">
                  <c:v>-51.18698870656781</c:v>
                </c:pt>
                <c:pt idx="111">
                  <c:v>-53.949284186833879</c:v>
                </c:pt>
                <c:pt idx="112">
                  <c:v>-56.351757245393664</c:v>
                </c:pt>
                <c:pt idx="113">
                  <c:v>-58.738513695090084</c:v>
                </c:pt>
                <c:pt idx="114">
                  <c:v>-61.109244519031115</c:v>
                </c:pt>
                <c:pt idx="115">
                  <c:v>-63.46363452471725</c:v>
                </c:pt>
                <c:pt idx="116">
                  <c:v>-65.801360725315874</c:v>
                </c:pt>
                <c:pt idx="117">
                  <c:v>-68.122090765966547</c:v>
                </c:pt>
                <c:pt idx="118">
                  <c:v>-70.425481401242763</c:v>
                </c:pt>
                <c:pt idx="119">
                  <c:v>-72.711177029739702</c:v>
                </c:pt>
                <c:pt idx="120">
                  <c:v>-74.978808291581913</c:v>
                </c:pt>
                <c:pt idx="121">
                  <c:v>-77.227990734492025</c:v>
                </c:pt>
                <c:pt idx="122">
                  <c:v>-79.458323553570295</c:v>
                </c:pt>
                <c:pt idx="123">
                  <c:v>-81.669388410533443</c:v>
                </c:pt>
                <c:pt idx="124">
                  <c:v>-83.860748880903486</c:v>
                </c:pt>
                <c:pt idx="125">
                  <c:v>-86.031963454948439</c:v>
                </c:pt>
                <c:pt idx="126">
                  <c:v>-88.173372862993133</c:v>
                </c:pt>
                <c:pt idx="127">
                  <c:v>-90.255948270472715</c:v>
                </c:pt>
                <c:pt idx="128">
                  <c:v>-92.311752747969891</c:v>
                </c:pt>
                <c:pt idx="129">
                  <c:v>-94.3402383549994</c:v>
                </c:pt>
                <c:pt idx="130">
                  <c:v>-96.340862264189496</c:v>
                </c:pt>
                <c:pt idx="131">
                  <c:v>-98.313086609183273</c:v>
                </c:pt>
                <c:pt idx="132">
                  <c:v>-100.25637834547489</c:v>
                </c:pt>
                <c:pt idx="133">
                  <c:v>-102.17020912588283</c:v>
                </c:pt>
                <c:pt idx="134">
                  <c:v>-104.05405519147058</c:v>
                </c:pt>
                <c:pt idx="135">
                  <c:v>-105.88533114890448</c:v>
                </c:pt>
                <c:pt idx="136">
                  <c:v>-107.67857343857693</c:v>
                </c:pt>
                <c:pt idx="137">
                  <c:v>-109.43937234602546</c:v>
                </c:pt>
                <c:pt idx="138">
                  <c:v>-111.16761787327758</c:v>
                </c:pt>
                <c:pt idx="139">
                  <c:v>-112.86320739788155</c:v>
                </c:pt>
                <c:pt idx="140">
                  <c:v>-114.52603472482045</c:v>
                </c:pt>
                <c:pt idx="141">
                  <c:v>-116.1559881072649</c:v>
                </c:pt>
                <c:pt idx="142">
                  <c:v>-117.75294873084995</c:v>
                </c:pt>
                <c:pt idx="143">
                  <c:v>-119.31678926670577</c:v>
                </c:pt>
                <c:pt idx="144">
                  <c:v>-120.84737249757579</c:v>
                </c:pt>
                <c:pt idx="145">
                  <c:v>-122.34455002227352</c:v>
                </c:pt>
                <c:pt idx="146">
                  <c:v>-123.80816104306334</c:v>
                </c:pt>
                <c:pt idx="147">
                  <c:v>-125.23803124031311</c:v>
                </c:pt>
                <c:pt idx="148">
                  <c:v>-126.63397173846447</c:v>
                </c:pt>
                <c:pt idx="149">
                  <c:v>-127.99577816705009</c:v>
                </c:pt>
                <c:pt idx="150">
                  <c:v>-129.61000522388701</c:v>
                </c:pt>
                <c:pt idx="151">
                  <c:v>-130.98551521877741</c:v>
                </c:pt>
                <c:pt idx="152">
                  <c:v>-132.20935855048111</c:v>
                </c:pt>
                <c:pt idx="153">
                  <c:v>-133.39710149669006</c:v>
                </c:pt>
                <c:pt idx="154">
                  <c:v>-134.54860570585873</c:v>
                </c:pt>
                <c:pt idx="155">
                  <c:v>-135.6637172821203</c:v>
                </c:pt>
                <c:pt idx="156">
                  <c:v>-136.74226597468007</c:v>
                </c:pt>
                <c:pt idx="157">
                  <c:v>-137.78406446884691</c:v>
                </c:pt>
                <c:pt idx="158">
                  <c:v>-138.78890778165382</c:v>
                </c:pt>
                <c:pt idx="159">
                  <c:v>-139.75657276467703</c:v>
                </c:pt>
                <c:pt idx="160">
                  <c:v>-140.68681771631054</c:v>
                </c:pt>
                <c:pt idx="161">
                  <c:v>-141.57938210546467</c:v>
                </c:pt>
                <c:pt idx="162">
                  <c:v>-142.43398640778867</c:v>
                </c:pt>
                <c:pt idx="163">
                  <c:v>-143.25033205664477</c:v>
                </c:pt>
                <c:pt idx="164">
                  <c:v>-144.02810224883629</c:v>
                </c:pt>
                <c:pt idx="165">
                  <c:v>-144.7669805232984</c:v>
                </c:pt>
                <c:pt idx="166">
                  <c:v>-145.45482386108941</c:v>
                </c:pt>
                <c:pt idx="167">
                  <c:v>-146.05661674588825</c:v>
                </c:pt>
                <c:pt idx="168">
                  <c:v>-146.61529653731012</c:v>
                </c:pt>
                <c:pt idx="169">
                  <c:v>-147.1307232439456</c:v>
                </c:pt>
                <c:pt idx="170">
                  <c:v>-147.60276436554634</c:v>
                </c:pt>
                <c:pt idx="171">
                  <c:v>-148.03129483046797</c:v>
                </c:pt>
                <c:pt idx="172">
                  <c:v>-148.41619695457032</c:v>
                </c:pt>
                <c:pt idx="173">
                  <c:v>-148.75736042254354</c:v>
                </c:pt>
                <c:pt idx="174">
                  <c:v>-149.05468229126058</c:v>
                </c:pt>
                <c:pt idx="175">
                  <c:v>-149.26737361612018</c:v>
                </c:pt>
                <c:pt idx="176">
                  <c:v>-149.42716475438922</c:v>
                </c:pt>
                <c:pt idx="177">
                  <c:v>-149.54527636118746</c:v>
                </c:pt>
                <c:pt idx="178">
                  <c:v>-149.6218998809324</c:v>
                </c:pt>
                <c:pt idx="179">
                  <c:v>-149.65722992480207</c:v>
                </c:pt>
                <c:pt idx="180">
                  <c:v>-149.65144615738791</c:v>
                </c:pt>
                <c:pt idx="181">
                  <c:v>-149.60471191699639</c:v>
                </c:pt>
                <c:pt idx="182">
                  <c:v>-149.51717365343097</c:v>
                </c:pt>
                <c:pt idx="183">
                  <c:v>-149.38896047809973</c:v>
                </c:pt>
                <c:pt idx="184">
                  <c:v>-149.22018382650529</c:v>
                </c:pt>
                <c:pt idx="185">
                  <c:v>-149.01093723437526</c:v>
                </c:pt>
                <c:pt idx="186">
                  <c:v>-148.76129622778279</c:v>
                </c:pt>
                <c:pt idx="187">
                  <c:v>-148.47131832729906</c:v>
                </c:pt>
                <c:pt idx="188">
                  <c:v>-148.14104316583854</c:v>
                </c:pt>
                <c:pt idx="189">
                  <c:v>-147.77049271948016</c:v>
                </c:pt>
                <c:pt idx="190">
                  <c:v>-147.38705984219399</c:v>
                </c:pt>
                <c:pt idx="191">
                  <c:v>-146.73216793800879</c:v>
                </c:pt>
                <c:pt idx="192">
                  <c:v>-146.20473164644878</c:v>
                </c:pt>
                <c:pt idx="193">
                  <c:v>-145.63770296434666</c:v>
                </c:pt>
                <c:pt idx="194">
                  <c:v>-145.03117894172925</c:v>
                </c:pt>
                <c:pt idx="195">
                  <c:v>-144.38523898894874</c:v>
                </c:pt>
                <c:pt idx="196">
                  <c:v>-143.6999452534875</c:v>
                </c:pt>
                <c:pt idx="197">
                  <c:v>-142.97534310744922</c:v>
                </c:pt>
                <c:pt idx="198">
                  <c:v>-142.21146174413497</c:v>
                </c:pt>
                <c:pt idx="199">
                  <c:v>-141.40831488172955</c:v>
                </c:pt>
                <c:pt idx="200">
                  <c:v>-140.56590157176402</c:v>
                </c:pt>
                <c:pt idx="201">
                  <c:v>-139.68420710972882</c:v>
                </c:pt>
                <c:pt idx="202">
                  <c:v>-138.7632040443722</c:v>
                </c:pt>
                <c:pt idx="203">
                  <c:v>-137.8028532833502</c:v>
                </c:pt>
                <c:pt idx="204">
                  <c:v>-136.80310588048394</c:v>
                </c:pt>
                <c:pt idx="205">
                  <c:v>-135.76391849902507</c:v>
                </c:pt>
                <c:pt idx="206">
                  <c:v>-134.67634622428287</c:v>
                </c:pt>
                <c:pt idx="207">
                  <c:v>-133.51577100742071</c:v>
                </c:pt>
                <c:pt idx="208">
                  <c:v>-132.31591362932664</c:v>
                </c:pt>
                <c:pt idx="209">
                  <c:v>-131.0771075512036</c:v>
                </c:pt>
                <c:pt idx="210">
                  <c:v>-129.79969259826532</c:v>
                </c:pt>
                <c:pt idx="211">
                  <c:v>-128.48401501599233</c:v>
                </c:pt>
                <c:pt idx="212">
                  <c:v>-127.13042754632745</c:v>
                </c:pt>
                <c:pt idx="213">
                  <c:v>-125.73928952359167</c:v>
                </c:pt>
                <c:pt idx="214">
                  <c:v>-124.31096698870077</c:v>
                </c:pt>
                <c:pt idx="215">
                  <c:v>-122.80555304628348</c:v>
                </c:pt>
                <c:pt idx="216">
                  <c:v>-121.25712498367234</c:v>
                </c:pt>
                <c:pt idx="217">
                  <c:v>-119.67728355633507</c:v>
                </c:pt>
                <c:pt idx="218">
                  <c:v>-118.06643207210864</c:v>
                </c:pt>
                <c:pt idx="219">
                  <c:v>-116.42497131506765</c:v>
                </c:pt>
                <c:pt idx="220">
                  <c:v>-114.75328274235294</c:v>
                </c:pt>
                <c:pt idx="221">
                  <c:v>-113.05172834959787</c:v>
                </c:pt>
                <c:pt idx="222">
                  <c:v>-111.32065132528369</c:v>
                </c:pt>
                <c:pt idx="223">
                  <c:v>-109.56037680843359</c:v>
                </c:pt>
                <c:pt idx="224">
                  <c:v>-107.77121274539928</c:v>
                </c:pt>
                <c:pt idx="225">
                  <c:v>-105.95345084241595</c:v>
                </c:pt>
                <c:pt idx="226">
                  <c:v>-104.10736760987659</c:v>
                </c:pt>
                <c:pt idx="227">
                  <c:v>-102.23322549404102</c:v>
                </c:pt>
                <c:pt idx="228">
                  <c:v>-100.33127409161555</c:v>
                </c:pt>
                <c:pt idx="229">
                  <c:v>-98.401751442373779</c:v>
                </c:pt>
                <c:pt idx="230">
                  <c:v>-96.200071135628505</c:v>
                </c:pt>
                <c:pt idx="231">
                  <c:v>-93.821208532648768</c:v>
                </c:pt>
                <c:pt idx="232">
                  <c:v>-91.789285920447369</c:v>
                </c:pt>
                <c:pt idx="233">
                  <c:v>-89.732804632211554</c:v>
                </c:pt>
                <c:pt idx="234">
                  <c:v>-87.652051708754399</c:v>
                </c:pt>
                <c:pt idx="235">
                  <c:v>-85.547302709660741</c:v>
                </c:pt>
                <c:pt idx="236">
                  <c:v>-83.418823101192245</c:v>
                </c:pt>
                <c:pt idx="237">
                  <c:v>-81.266869712136071</c:v>
                </c:pt>
                <c:pt idx="238">
                  <c:v>-79.091692252191123</c:v>
                </c:pt>
                <c:pt idx="239">
                  <c:v>-76.893534887259648</c:v>
                </c:pt>
                <c:pt idx="240">
                  <c:v>-74.672637865809037</c:v>
                </c:pt>
                <c:pt idx="241">
                  <c:v>-72.429239190313112</c:v>
                </c:pt>
                <c:pt idx="242">
                  <c:v>-70.163576327365263</c:v>
                </c:pt>
                <c:pt idx="243">
                  <c:v>-67.875887950657201</c:v>
                </c:pt>
                <c:pt idx="244">
                  <c:v>-65.566415873488992</c:v>
                </c:pt>
                <c:pt idx="245">
                  <c:v>-63.235410161175025</c:v>
                </c:pt>
                <c:pt idx="246">
                  <c:v>-60.881309428270875</c:v>
                </c:pt>
                <c:pt idx="247">
                  <c:v>-58.501412152074273</c:v>
                </c:pt>
                <c:pt idx="248">
                  <c:v>-56.104444206603915</c:v>
                </c:pt>
                <c:pt idx="249">
                  <c:v>-53.691056475472067</c:v>
                </c:pt>
                <c:pt idx="250">
                  <c:v>-51.26190210136042</c:v>
                </c:pt>
                <c:pt idx="251">
                  <c:v>-48.817636634765904</c:v>
                </c:pt>
                <c:pt idx="252">
                  <c:v>-46.358918191838889</c:v>
                </c:pt>
                <c:pt idx="253">
                  <c:v>-43.886407620009166</c:v>
                </c:pt>
                <c:pt idx="254">
                  <c:v>-41.400768669622543</c:v>
                </c:pt>
                <c:pt idx="255">
                  <c:v>-38.881649374397767</c:v>
                </c:pt>
                <c:pt idx="256">
                  <c:v>-36.349528810263187</c:v>
                </c:pt>
                <c:pt idx="257">
                  <c:v>-33.810959710623209</c:v>
                </c:pt>
                <c:pt idx="258">
                  <c:v>-31.266368534514999</c:v>
                </c:pt>
                <c:pt idx="259">
                  <c:v>-28.71617470758709</c:v>
                </c:pt>
                <c:pt idx="260">
                  <c:v>-26.160782991494095</c:v>
                </c:pt>
                <c:pt idx="261">
                  <c:v>-23.6005846574161</c:v>
                </c:pt>
                <c:pt idx="262">
                  <c:v>-21.035959050807907</c:v>
                </c:pt>
                <c:pt idx="263">
                  <c:v>-18.467275202145199</c:v>
                </c:pt>
                <c:pt idx="264">
                  <c:v>-15.894893477108376</c:v>
                </c:pt>
                <c:pt idx="265">
                  <c:v>-13.319167259850897</c:v>
                </c:pt>
                <c:pt idx="266">
                  <c:v>-10.74044466279955</c:v>
                </c:pt>
                <c:pt idx="267">
                  <c:v>-8.1590702563811082</c:v>
                </c:pt>
                <c:pt idx="268">
                  <c:v>-5.5753868120208523</c:v>
                </c:pt>
                <c:pt idx="269">
                  <c:v>-2.9897370517314878</c:v>
                </c:pt>
                <c:pt idx="270">
                  <c:v>-4.2272348153668043E-12</c:v>
                </c:pt>
                <c:pt idx="271">
                  <c:v>2.9897370517229969</c:v>
                </c:pt>
                <c:pt idx="272">
                  <c:v>5.5753868120123666</c:v>
                </c:pt>
                <c:pt idx="273">
                  <c:v>8.1590702563726332</c:v>
                </c:pt>
                <c:pt idx="274">
                  <c:v>10.740444662791075</c:v>
                </c:pt>
                <c:pt idx="275">
                  <c:v>13.319167259842438</c:v>
                </c:pt>
                <c:pt idx="276">
                  <c:v>15.894893477099934</c:v>
                </c:pt>
                <c:pt idx="277">
                  <c:v>18.467275202136754</c:v>
                </c:pt>
                <c:pt idx="278">
                  <c:v>21.035959050799484</c:v>
                </c:pt>
                <c:pt idx="279">
                  <c:v>23.60058465740768</c:v>
                </c:pt>
                <c:pt idx="280">
                  <c:v>26.160782991485693</c:v>
                </c:pt>
                <c:pt idx="281">
                  <c:v>28.71617470757873</c:v>
                </c:pt>
                <c:pt idx="282">
                  <c:v>31.266368534506633</c:v>
                </c:pt>
                <c:pt idx="283">
                  <c:v>33.810959710614874</c:v>
                </c:pt>
                <c:pt idx="284">
                  <c:v>36.34952881025486</c:v>
                </c:pt>
                <c:pt idx="285">
                  <c:v>38.881649374389475</c:v>
                </c:pt>
                <c:pt idx="286">
                  <c:v>41.400768669614365</c:v>
                </c:pt>
                <c:pt idx="287">
                  <c:v>43.886407620001023</c:v>
                </c:pt>
                <c:pt idx="288">
                  <c:v>46.35891819183076</c:v>
                </c:pt>
                <c:pt idx="289">
                  <c:v>48.817636634757854</c:v>
                </c:pt>
                <c:pt idx="290">
                  <c:v>51.261902101352426</c:v>
                </c:pt>
                <c:pt idx="291">
                  <c:v>53.691056475464123</c:v>
                </c:pt>
                <c:pt idx="292">
                  <c:v>56.104444206596035</c:v>
                </c:pt>
                <c:pt idx="293">
                  <c:v>58.501412152066429</c:v>
                </c:pt>
                <c:pt idx="294">
                  <c:v>60.88130942826308</c:v>
                </c:pt>
                <c:pt idx="295">
                  <c:v>63.235410161167323</c:v>
                </c:pt>
                <c:pt idx="296">
                  <c:v>65.56641587348139</c:v>
                </c:pt>
                <c:pt idx="297">
                  <c:v>67.875887950649627</c:v>
                </c:pt>
                <c:pt idx="298">
                  <c:v>70.163576327357774</c:v>
                </c:pt>
                <c:pt idx="299">
                  <c:v>72.429239190305708</c:v>
                </c:pt>
                <c:pt idx="300">
                  <c:v>74.67263786580169</c:v>
                </c:pt>
                <c:pt idx="301">
                  <c:v>76.893534887252429</c:v>
                </c:pt>
                <c:pt idx="302">
                  <c:v>79.091692252183975</c:v>
                </c:pt>
                <c:pt idx="303">
                  <c:v>81.26686971212898</c:v>
                </c:pt>
                <c:pt idx="304">
                  <c:v>83.418823101185225</c:v>
                </c:pt>
                <c:pt idx="305">
                  <c:v>85.547302709653835</c:v>
                </c:pt>
                <c:pt idx="306">
                  <c:v>87.652051708747535</c:v>
                </c:pt>
                <c:pt idx="307">
                  <c:v>89.73280463220479</c:v>
                </c:pt>
                <c:pt idx="308">
                  <c:v>91.789285920440662</c:v>
                </c:pt>
                <c:pt idx="309">
                  <c:v>93.821208532642117</c:v>
                </c:pt>
                <c:pt idx="310">
                  <c:v>96.200071135622053</c:v>
                </c:pt>
                <c:pt idx="311">
                  <c:v>98.401751442367456</c:v>
                </c:pt>
                <c:pt idx="312">
                  <c:v>100.33127409160926</c:v>
                </c:pt>
                <c:pt idx="313">
                  <c:v>102.23322549403484</c:v>
                </c:pt>
                <c:pt idx="314">
                  <c:v>104.10736760987049</c:v>
                </c:pt>
                <c:pt idx="315">
                  <c:v>105.95345084240996</c:v>
                </c:pt>
                <c:pt idx="316">
                  <c:v>107.77121274539341</c:v>
                </c:pt>
                <c:pt idx="317">
                  <c:v>109.56037680842779</c:v>
                </c:pt>
                <c:pt idx="318">
                  <c:v>111.32065132527795</c:v>
                </c:pt>
                <c:pt idx="319">
                  <c:v>113.05172834959222</c:v>
                </c:pt>
                <c:pt idx="320">
                  <c:v>114.75328274234745</c:v>
                </c:pt>
                <c:pt idx="321">
                  <c:v>116.42497131506225</c:v>
                </c:pt>
                <c:pt idx="322">
                  <c:v>118.06643207210328</c:v>
                </c:pt>
                <c:pt idx="323">
                  <c:v>119.67728355632985</c:v>
                </c:pt>
                <c:pt idx="324">
                  <c:v>121.25712498366724</c:v>
                </c:pt>
                <c:pt idx="325">
                  <c:v>122.8055530462785</c:v>
                </c:pt>
                <c:pt idx="326">
                  <c:v>124.31096698869604</c:v>
                </c:pt>
                <c:pt idx="327">
                  <c:v>125.73928952358705</c:v>
                </c:pt>
                <c:pt idx="328">
                  <c:v>127.13042754632288</c:v>
                </c:pt>
                <c:pt idx="329">
                  <c:v>128.48401501598801</c:v>
                </c:pt>
                <c:pt idx="330">
                  <c:v>129.79969259826112</c:v>
                </c:pt>
                <c:pt idx="331">
                  <c:v>131.07710755119948</c:v>
                </c:pt>
                <c:pt idx="332">
                  <c:v>132.31591362932269</c:v>
                </c:pt>
                <c:pt idx="333">
                  <c:v>133.51577100741684</c:v>
                </c:pt>
                <c:pt idx="334">
                  <c:v>134.67634622427914</c:v>
                </c:pt>
                <c:pt idx="335">
                  <c:v>135.7639184990216</c:v>
                </c:pt>
                <c:pt idx="336">
                  <c:v>136.80310588048067</c:v>
                </c:pt>
                <c:pt idx="337">
                  <c:v>137.80285328334705</c:v>
                </c:pt>
                <c:pt idx="338">
                  <c:v>138.7632040443691</c:v>
                </c:pt>
                <c:pt idx="339">
                  <c:v>139.68420710972586</c:v>
                </c:pt>
                <c:pt idx="340">
                  <c:v>140.56590157176126</c:v>
                </c:pt>
                <c:pt idx="341">
                  <c:v>141.40831488172691</c:v>
                </c:pt>
                <c:pt idx="342">
                  <c:v>142.21146174413244</c:v>
                </c:pt>
                <c:pt idx="343">
                  <c:v>142.97534310744678</c:v>
                </c:pt>
                <c:pt idx="344">
                  <c:v>143.69994525348514</c:v>
                </c:pt>
                <c:pt idx="345">
                  <c:v>144.38523898894653</c:v>
                </c:pt>
                <c:pt idx="346">
                  <c:v>145.03117894172721</c:v>
                </c:pt>
                <c:pt idx="347">
                  <c:v>145.63770296434473</c:v>
                </c:pt>
                <c:pt idx="348">
                  <c:v>146.20473164644704</c:v>
                </c:pt>
                <c:pt idx="349">
                  <c:v>146.73216793800714</c:v>
                </c:pt>
                <c:pt idx="350">
                  <c:v>147.38705984219254</c:v>
                </c:pt>
                <c:pt idx="351">
                  <c:v>147.77049271947894</c:v>
                </c:pt>
                <c:pt idx="352">
                  <c:v>148.14104316583737</c:v>
                </c:pt>
                <c:pt idx="353">
                  <c:v>148.47131832729801</c:v>
                </c:pt>
                <c:pt idx="354">
                  <c:v>148.76129622778191</c:v>
                </c:pt>
                <c:pt idx="355">
                  <c:v>149.01093723437452</c:v>
                </c:pt>
                <c:pt idx="356">
                  <c:v>149.22018382650472</c:v>
                </c:pt>
                <c:pt idx="357">
                  <c:v>149.38896047809925</c:v>
                </c:pt>
                <c:pt idx="358">
                  <c:v>149.5171736534306</c:v>
                </c:pt>
                <c:pt idx="359">
                  <c:v>149.60471191699619</c:v>
                </c:pt>
                <c:pt idx="360">
                  <c:v>149.65144615738782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0.17676757773948709</c:v>
                </c:pt>
                <c:pt idx="1">
                  <c:v>2.7705604958074939</c:v>
                </c:pt>
                <c:pt idx="2">
                  <c:v>5.3663248131006922</c:v>
                </c:pt>
                <c:pt idx="3">
                  <c:v>7.9636812035785312</c:v>
                </c:pt>
                <c:pt idx="4">
                  <c:v>10.562238086477196</c:v>
                </c:pt>
                <c:pt idx="5">
                  <c:v>13.161596180757584</c:v>
                </c:pt>
                <c:pt idx="6">
                  <c:v>15.757080170779117</c:v>
                </c:pt>
                <c:pt idx="7">
                  <c:v>18.333489975950968</c:v>
                </c:pt>
                <c:pt idx="8">
                  <c:v>20.904299332991474</c:v>
                </c:pt>
                <c:pt idx="9">
                  <c:v>23.468816100485181</c:v>
                </c:pt>
                <c:pt idx="10">
                  <c:v>26.026349784799834</c:v>
                </c:pt>
                <c:pt idx="11">
                  <c:v>28.576211366393611</c:v>
                </c:pt>
                <c:pt idx="12">
                  <c:v>31.117713128341023</c:v>
                </c:pt>
                <c:pt idx="13">
                  <c:v>33.650168488813037</c:v>
                </c:pt>
                <c:pt idx="14">
                  <c:v>36.172891839005928</c:v>
                </c:pt>
                <c:pt idx="15">
                  <c:v>38.684593709209715</c:v>
                </c:pt>
                <c:pt idx="16">
                  <c:v>41.181843117198063</c:v>
                </c:pt>
                <c:pt idx="17">
                  <c:v>43.664084393435914</c:v>
                </c:pt>
                <c:pt idx="18">
                  <c:v>46.131007814324356</c:v>
                </c:pt>
                <c:pt idx="19">
                  <c:v>48.582311975252146</c:v>
                </c:pt>
                <c:pt idx="20">
                  <c:v>51.01770187524744</c:v>
                </c:pt>
                <c:pt idx="21">
                  <c:v>53.436887096727098</c:v>
                </c:pt>
                <c:pt idx="22">
                  <c:v>55.839580026985004</c:v>
                </c:pt>
                <c:pt idx="23">
                  <c:v>58.22549409281951</c:v>
                </c:pt>
                <c:pt idx="24">
                  <c:v>60.594342014587951</c:v>
                </c:pt>
                <c:pt idx="25">
                  <c:v>62.945834086389254</c:v>
                </c:pt>
                <c:pt idx="26">
                  <c:v>65.279676488804157</c:v>
                </c:pt>
                <c:pt idx="27">
                  <c:v>67.595569640517454</c:v>
                </c:pt>
                <c:pt idx="28">
                  <c:v>69.893206595000038</c:v>
                </c:pt>
                <c:pt idx="29">
                  <c:v>72.172271488261273</c:v>
                </c:pt>
                <c:pt idx="30">
                  <c:v>74.830371405680197</c:v>
                </c:pt>
                <c:pt idx="31">
                  <c:v>77.350647963124118</c:v>
                </c:pt>
                <c:pt idx="32">
                  <c:v>79.55005982526238</c:v>
                </c:pt>
                <c:pt idx="33">
                  <c:v>81.727493867086395</c:v>
                </c:pt>
                <c:pt idx="34">
                  <c:v>83.882672340647829</c:v>
                </c:pt>
                <c:pt idx="35">
                  <c:v>86.015308494951896</c:v>
                </c:pt>
                <c:pt idx="36">
                  <c:v>88.125105097827813</c:v>
                </c:pt>
                <c:pt idx="37">
                  <c:v>90.211753020284874</c:v>
                </c:pt>
                <c:pt idx="38">
                  <c:v>92.274929888915835</c:v>
                </c:pt>
                <c:pt idx="39">
                  <c:v>94.314298811695508</c:v>
                </c:pt>
                <c:pt idx="40">
                  <c:v>96.32950718229219</c:v>
                </c:pt>
                <c:pt idx="41">
                  <c:v>98.320185567810682</c:v>
                </c:pt>
                <c:pt idx="42">
                  <c:v>100.28594668427061</c:v>
                </c:pt>
                <c:pt idx="43">
                  <c:v>102.2263844648931</c:v>
                </c:pt>
                <c:pt idx="44">
                  <c:v>104.14107384775615</c:v>
                </c:pt>
                <c:pt idx="45">
                  <c:v>106.02958590773895</c:v>
                </c:pt>
                <c:pt idx="46">
                  <c:v>107.88112664719168</c:v>
                </c:pt>
                <c:pt idx="47">
                  <c:v>109.66365624834067</c:v>
                </c:pt>
                <c:pt idx="48">
                  <c:v>111.41371482052897</c:v>
                </c:pt>
                <c:pt idx="49">
                  <c:v>113.13083832323791</c:v>
                </c:pt>
                <c:pt idx="50">
                  <c:v>114.81456871697199</c:v>
                </c:pt>
                <c:pt idx="51">
                  <c:v>116.46445382804691</c:v>
                </c:pt>
                <c:pt idx="52">
                  <c:v>118.08004722923707</c:v>
                </c:pt>
                <c:pt idx="53">
                  <c:v>119.66090813786532</c:v>
                </c:pt>
                <c:pt idx="54">
                  <c:v>121.20660133186084</c:v>
                </c:pt>
                <c:pt idx="55">
                  <c:v>122.6885394173645</c:v>
                </c:pt>
                <c:pt idx="56">
                  <c:v>124.12660164954535</c:v>
                </c:pt>
                <c:pt idx="57">
                  <c:v>125.52816774296366</c:v>
                </c:pt>
                <c:pt idx="58">
                  <c:v>126.8932038528291</c:v>
                </c:pt>
                <c:pt idx="59">
                  <c:v>128.22168272698357</c:v>
                </c:pt>
                <c:pt idx="60">
                  <c:v>129.51357029650737</c:v>
                </c:pt>
                <c:pt idx="61">
                  <c:v>130.76882376341396</c:v>
                </c:pt>
                <c:pt idx="62">
                  <c:v>131.98739026974442</c:v>
                </c:pt>
                <c:pt idx="63">
                  <c:v>133.16920565048767</c:v>
                </c:pt>
                <c:pt idx="64">
                  <c:v>134.31419327371179</c:v>
                </c:pt>
                <c:pt idx="65">
                  <c:v>135.42226297233248</c:v>
                </c:pt>
                <c:pt idx="66">
                  <c:v>136.49331007117888</c:v>
                </c:pt>
                <c:pt idx="67">
                  <c:v>137.52721451275065</c:v>
                </c:pt>
                <c:pt idx="68">
                  <c:v>138.52384008472112</c:v>
                </c:pt>
                <c:pt idx="69">
                  <c:v>139.48303375189482</c:v>
                </c:pt>
                <c:pt idx="70">
                  <c:v>140.63509564117297</c:v>
                </c:pt>
                <c:pt idx="71">
                  <c:v>141.52813434177042</c:v>
                </c:pt>
                <c:pt idx="72">
                  <c:v>142.33762927780509</c:v>
                </c:pt>
                <c:pt idx="73">
                  <c:v>143.10834726973113</c:v>
                </c:pt>
                <c:pt idx="74">
                  <c:v>143.84020691708028</c:v>
                </c:pt>
                <c:pt idx="75">
                  <c:v>144.53310996271517</c:v>
                </c:pt>
                <c:pt idx="76">
                  <c:v>145.18694076408269</c:v>
                </c:pt>
                <c:pt idx="77">
                  <c:v>145.80156587342947</c:v>
                </c:pt>
                <c:pt idx="78">
                  <c:v>146.37683372884209</c:v>
                </c:pt>
                <c:pt idx="79">
                  <c:v>146.91257445760928</c:v>
                </c:pt>
                <c:pt idx="80">
                  <c:v>147.40859979302968</c:v>
                </c:pt>
                <c:pt idx="81">
                  <c:v>147.8647031054887</c:v>
                </c:pt>
                <c:pt idx="82">
                  <c:v>148.28065954772242</c:v>
                </c:pt>
                <c:pt idx="83">
                  <c:v>148.65622631537252</c:v>
                </c:pt>
                <c:pt idx="84">
                  <c:v>148.9911437565562</c:v>
                </c:pt>
                <c:pt idx="85">
                  <c:v>149.28515400090174</c:v>
                </c:pt>
                <c:pt idx="86">
                  <c:v>149.52639500021257</c:v>
                </c:pt>
                <c:pt idx="87">
                  <c:v>149.68097898635131</c:v>
                </c:pt>
                <c:pt idx="88">
                  <c:v>149.79141491802588</c:v>
                </c:pt>
                <c:pt idx="89">
                  <c:v>149.8576839853306</c:v>
                </c:pt>
                <c:pt idx="90">
                  <c:v>149.87977492467692</c:v>
                </c:pt>
                <c:pt idx="91">
                  <c:v>149.85768398533057</c:v>
                </c:pt>
                <c:pt idx="92">
                  <c:v>149.79141491802588</c:v>
                </c:pt>
                <c:pt idx="93">
                  <c:v>149.68097898635128</c:v>
                </c:pt>
                <c:pt idx="94">
                  <c:v>149.52639500021255</c:v>
                </c:pt>
                <c:pt idx="95">
                  <c:v>149.28515400090171</c:v>
                </c:pt>
                <c:pt idx="96">
                  <c:v>148.99114375655617</c:v>
                </c:pt>
                <c:pt idx="97">
                  <c:v>148.65622631537249</c:v>
                </c:pt>
                <c:pt idx="98">
                  <c:v>148.28065954772237</c:v>
                </c:pt>
                <c:pt idx="99">
                  <c:v>147.86470310548862</c:v>
                </c:pt>
                <c:pt idx="100">
                  <c:v>147.40859979302962</c:v>
                </c:pt>
                <c:pt idx="101">
                  <c:v>146.9125744576092</c:v>
                </c:pt>
                <c:pt idx="102">
                  <c:v>146.376833728842</c:v>
                </c:pt>
                <c:pt idx="103">
                  <c:v>145.80156587342935</c:v>
                </c:pt>
                <c:pt idx="104">
                  <c:v>145.18694076408261</c:v>
                </c:pt>
                <c:pt idx="105">
                  <c:v>144.53310996271506</c:v>
                </c:pt>
                <c:pt idx="106">
                  <c:v>143.84020691708014</c:v>
                </c:pt>
                <c:pt idx="107">
                  <c:v>143.10834726973098</c:v>
                </c:pt>
                <c:pt idx="108">
                  <c:v>142.33762927780495</c:v>
                </c:pt>
                <c:pt idx="109">
                  <c:v>141.52813434177028</c:v>
                </c:pt>
                <c:pt idx="110">
                  <c:v>140.63509564117288</c:v>
                </c:pt>
                <c:pt idx="111">
                  <c:v>139.48303375189465</c:v>
                </c:pt>
                <c:pt idx="112">
                  <c:v>138.52384008472094</c:v>
                </c:pt>
                <c:pt idx="113">
                  <c:v>137.52721451275045</c:v>
                </c:pt>
                <c:pt idx="114">
                  <c:v>136.49331007117871</c:v>
                </c:pt>
                <c:pt idx="115">
                  <c:v>135.42226297233231</c:v>
                </c:pt>
                <c:pt idx="116">
                  <c:v>134.31419327371162</c:v>
                </c:pt>
                <c:pt idx="117">
                  <c:v>133.16920565048753</c:v>
                </c:pt>
                <c:pt idx="118">
                  <c:v>131.98739026974425</c:v>
                </c:pt>
                <c:pt idx="119">
                  <c:v>130.76882376341382</c:v>
                </c:pt>
                <c:pt idx="120">
                  <c:v>129.51357029650717</c:v>
                </c:pt>
                <c:pt idx="121">
                  <c:v>128.22168272698346</c:v>
                </c:pt>
                <c:pt idx="122">
                  <c:v>126.893203852829</c:v>
                </c:pt>
                <c:pt idx="123">
                  <c:v>125.52816774296359</c:v>
                </c:pt>
                <c:pt idx="124">
                  <c:v>124.12660164954522</c:v>
                </c:pt>
                <c:pt idx="125">
                  <c:v>122.68853941736447</c:v>
                </c:pt>
                <c:pt idx="126">
                  <c:v>121.20660133186077</c:v>
                </c:pt>
                <c:pt idx="127">
                  <c:v>119.66090813786528</c:v>
                </c:pt>
                <c:pt idx="128">
                  <c:v>118.08004722923701</c:v>
                </c:pt>
                <c:pt idx="129">
                  <c:v>116.46445382804696</c:v>
                </c:pt>
                <c:pt idx="130">
                  <c:v>114.81456871697199</c:v>
                </c:pt>
                <c:pt idx="131">
                  <c:v>113.13083832323797</c:v>
                </c:pt>
                <c:pt idx="132">
                  <c:v>111.41371482052904</c:v>
                </c:pt>
                <c:pt idx="133">
                  <c:v>109.66365624834079</c:v>
                </c:pt>
                <c:pt idx="134">
                  <c:v>107.88112664719181</c:v>
                </c:pt>
                <c:pt idx="135">
                  <c:v>106.02958590773908</c:v>
                </c:pt>
                <c:pt idx="136">
                  <c:v>104.14107384775632</c:v>
                </c:pt>
                <c:pt idx="137">
                  <c:v>102.22638446489329</c:v>
                </c:pt>
                <c:pt idx="138">
                  <c:v>100.28594668427081</c:v>
                </c:pt>
                <c:pt idx="139">
                  <c:v>98.320185567810952</c:v>
                </c:pt>
                <c:pt idx="140">
                  <c:v>96.32950718229246</c:v>
                </c:pt>
                <c:pt idx="141">
                  <c:v>94.314298811695807</c:v>
                </c:pt>
                <c:pt idx="142">
                  <c:v>92.274929888916162</c:v>
                </c:pt>
                <c:pt idx="143">
                  <c:v>90.211753020285244</c:v>
                </c:pt>
                <c:pt idx="144">
                  <c:v>88.125105097828225</c:v>
                </c:pt>
                <c:pt idx="145">
                  <c:v>86.015308494952322</c:v>
                </c:pt>
                <c:pt idx="146">
                  <c:v>83.882672340648313</c:v>
                </c:pt>
                <c:pt idx="147">
                  <c:v>81.727493867086878</c:v>
                </c:pt>
                <c:pt idx="148">
                  <c:v>79.550059825262892</c:v>
                </c:pt>
                <c:pt idx="149">
                  <c:v>77.350647963124658</c:v>
                </c:pt>
                <c:pt idx="150">
                  <c:v>74.830371405680779</c:v>
                </c:pt>
                <c:pt idx="151">
                  <c:v>72.172271488261941</c:v>
                </c:pt>
                <c:pt idx="152">
                  <c:v>69.893206595000677</c:v>
                </c:pt>
                <c:pt idx="153">
                  <c:v>67.59556964051815</c:v>
                </c:pt>
                <c:pt idx="154">
                  <c:v>65.279676488804853</c:v>
                </c:pt>
                <c:pt idx="155">
                  <c:v>62.945834086390022</c:v>
                </c:pt>
                <c:pt idx="156">
                  <c:v>60.594342014588754</c:v>
                </c:pt>
                <c:pt idx="157">
                  <c:v>58.225494092820348</c:v>
                </c:pt>
                <c:pt idx="158">
                  <c:v>55.839580026985864</c:v>
                </c:pt>
                <c:pt idx="159">
                  <c:v>53.436887096728</c:v>
                </c:pt>
                <c:pt idx="160">
                  <c:v>51.017701875248363</c:v>
                </c:pt>
                <c:pt idx="161">
                  <c:v>48.582311975253099</c:v>
                </c:pt>
                <c:pt idx="162">
                  <c:v>46.131007814325343</c:v>
                </c:pt>
                <c:pt idx="163">
                  <c:v>43.664084393436951</c:v>
                </c:pt>
                <c:pt idx="164">
                  <c:v>41.181843117199143</c:v>
                </c:pt>
                <c:pt idx="165">
                  <c:v>38.684593709210844</c:v>
                </c:pt>
                <c:pt idx="166">
                  <c:v>36.172891839007079</c:v>
                </c:pt>
                <c:pt idx="167">
                  <c:v>33.650168488814209</c:v>
                </c:pt>
                <c:pt idx="168">
                  <c:v>31.117713128342245</c:v>
                </c:pt>
                <c:pt idx="169">
                  <c:v>28.576211366394855</c:v>
                </c:pt>
                <c:pt idx="170">
                  <c:v>26.026349784801116</c:v>
                </c:pt>
                <c:pt idx="171">
                  <c:v>23.468816100486482</c:v>
                </c:pt>
                <c:pt idx="172">
                  <c:v>20.90429933299281</c:v>
                </c:pt>
                <c:pt idx="173">
                  <c:v>18.33348997595234</c:v>
                </c:pt>
                <c:pt idx="174">
                  <c:v>15.757080170780526</c:v>
                </c:pt>
                <c:pt idx="175">
                  <c:v>13.16159618075903</c:v>
                </c:pt>
                <c:pt idx="176">
                  <c:v>10.56223808647867</c:v>
                </c:pt>
                <c:pt idx="177">
                  <c:v>7.9636812035800348</c:v>
                </c:pt>
                <c:pt idx="178">
                  <c:v>5.3663248131022252</c:v>
                </c:pt>
                <c:pt idx="179">
                  <c:v>2.7705604958090535</c:v>
                </c:pt>
                <c:pt idx="180">
                  <c:v>0.17676757774107194</c:v>
                </c:pt>
                <c:pt idx="181">
                  <c:v>-2.4146854348833346</c:v>
                </c:pt>
                <c:pt idx="182">
                  <c:v>-5.0034391676459586</c:v>
                </c:pt>
                <c:pt idx="183">
                  <c:v>-7.589141663005984</c:v>
                </c:pt>
                <c:pt idx="184">
                  <c:v>-10.171446645147196</c:v>
                </c:pt>
                <c:pt idx="185">
                  <c:v>-12.750011771268419</c:v>
                </c:pt>
                <c:pt idx="186">
                  <c:v>-15.324496876032009</c:v>
                </c:pt>
                <c:pt idx="187">
                  <c:v>-17.894562215885589</c:v>
                </c:pt>
                <c:pt idx="188">
                  <c:v>-20.459866719954281</c:v>
                </c:pt>
                <c:pt idx="189">
                  <c:v>-23.020066254161566</c:v>
                </c:pt>
                <c:pt idx="190">
                  <c:v>-25.988315257470013</c:v>
                </c:pt>
                <c:pt idx="191">
                  <c:v>-28.90869871017928</c:v>
                </c:pt>
                <c:pt idx="192">
                  <c:v>-31.441235036986249</c:v>
                </c:pt>
                <c:pt idx="193">
                  <c:v>-33.964793507588126</c:v>
                </c:pt>
                <c:pt idx="194">
                  <c:v>-36.479043225470903</c:v>
                </c:pt>
                <c:pt idx="195">
                  <c:v>-38.983650133595205</c:v>
                </c:pt>
                <c:pt idx="196">
                  <c:v>-41.478275304257956</c:v>
                </c:pt>
                <c:pt idx="197">
                  <c:v>-43.962573255163115</c:v>
                </c:pt>
                <c:pt idx="198">
                  <c:v>-46.436190298203677</c:v>
                </c:pt>
                <c:pt idx="199">
                  <c:v>-48.898762927363819</c:v>
                </c:pt>
                <c:pt idx="200">
                  <c:v>-51.349916252037339</c:v>
                </c:pt>
                <c:pt idx="201">
                  <c:v>-53.789262481952541</c:v>
                </c:pt>
                <c:pt idx="202">
                  <c:v>-56.216399469544321</c:v>
                </c:pt>
                <c:pt idx="203">
                  <c:v>-58.630909316022148</c:v>
                </c:pt>
                <c:pt idx="204">
                  <c:v>-61.032357494888913</c:v>
                </c:pt>
                <c:pt idx="205">
                  <c:v>-63.420303326851354</c:v>
                </c:pt>
                <c:pt idx="206">
                  <c:v>-65.786515762229996</c:v>
                </c:pt>
                <c:pt idx="207">
                  <c:v>-68.105858976117986</c:v>
                </c:pt>
                <c:pt idx="208">
                  <c:v>-70.404944780162609</c:v>
                </c:pt>
                <c:pt idx="209">
                  <c:v>-72.683157982806321</c:v>
                </c:pt>
                <c:pt idx="210">
                  <c:v>-74.939887462336316</c:v>
                </c:pt>
                <c:pt idx="211">
                  <c:v>-77.174526002519968</c:v>
                </c:pt>
                <c:pt idx="212">
                  <c:v>-79.386470137859035</c:v>
                </c:pt>
                <c:pt idx="213">
                  <c:v>-81.575120010229014</c:v>
                </c:pt>
                <c:pt idx="214">
                  <c:v>-83.739879237978315</c:v>
                </c:pt>
                <c:pt idx="215">
                  <c:v>-85.864850674046124</c:v>
                </c:pt>
                <c:pt idx="216">
                  <c:v>-87.958786261662965</c:v>
                </c:pt>
                <c:pt idx="217">
                  <c:v>-90.025316999346131</c:v>
                </c:pt>
                <c:pt idx="218">
                  <c:v>-92.064260078173874</c:v>
                </c:pt>
                <c:pt idx="219">
                  <c:v>-94.075440623531932</c:v>
                </c:pt>
                <c:pt idx="220">
                  <c:v>-96.058683540988184</c:v>
                </c:pt>
                <c:pt idx="221">
                  <c:v>-98.013811530241284</c:v>
                </c:pt>
                <c:pt idx="222">
                  <c:v>-99.940643430634239</c:v>
                </c:pt>
                <c:pt idx="223">
                  <c:v>-101.83899261826221</c:v>
                </c:pt>
                <c:pt idx="224">
                  <c:v>-103.70866545982069</c:v>
                </c:pt>
                <c:pt idx="225">
                  <c:v>-105.5494598291159</c:v>
                </c:pt>
                <c:pt idx="226">
                  <c:v>-107.36116369160534</c:v>
                </c:pt>
                <c:pt idx="227">
                  <c:v>-109.14355376213901</c:v>
                </c:pt>
                <c:pt idx="228">
                  <c:v>-110.89639424081489</c:v>
                </c:pt>
                <c:pt idx="229">
                  <c:v>-112.61943563158721</c:v>
                </c:pt>
                <c:pt idx="230">
                  <c:v>-114.64678038369907</c:v>
                </c:pt>
                <c:pt idx="231">
                  <c:v>-116.46296749772939</c:v>
                </c:pt>
                <c:pt idx="232">
                  <c:v>-118.06397336476307</c:v>
                </c:pt>
                <c:pt idx="233">
                  <c:v>-119.63265229686129</c:v>
                </c:pt>
                <c:pt idx="234">
                  <c:v>-121.16881319514316</c:v>
                </c:pt>
                <c:pt idx="235">
                  <c:v>-122.6722512010604</c:v>
                </c:pt>
                <c:pt idx="236">
                  <c:v>-124.14274662856106</c:v>
                </c:pt>
                <c:pt idx="237">
                  <c:v>-125.58006398747816</c:v>
                </c:pt>
                <c:pt idx="238">
                  <c:v>-126.98395110209492</c:v>
                </c:pt>
                <c:pt idx="239">
                  <c:v>-128.35413832852714</c:v>
                </c:pt>
                <c:pt idx="240">
                  <c:v>-129.69033787424505</c:v>
                </c:pt>
                <c:pt idx="241">
                  <c:v>-130.99224322278937</c:v>
                </c:pt>
                <c:pt idx="242">
                  <c:v>-132.25952866592803</c:v>
                </c:pt>
                <c:pt idx="243">
                  <c:v>-133.49184894654056</c:v>
                </c:pt>
                <c:pt idx="244">
                  <c:v>-134.68883973602087</c:v>
                </c:pt>
                <c:pt idx="245">
                  <c:v>-135.85013559812046</c:v>
                </c:pt>
                <c:pt idx="246">
                  <c:v>-136.96368150263845</c:v>
                </c:pt>
                <c:pt idx="247">
                  <c:v>-137.99439811381478</c:v>
                </c:pt>
                <c:pt idx="248">
                  <c:v>-138.98434656222716</c:v>
                </c:pt>
                <c:pt idx="249">
                  <c:v>-139.93326992853073</c:v>
                </c:pt>
                <c:pt idx="250">
                  <c:v>-140.84091850177052</c:v>
                </c:pt>
                <c:pt idx="251">
                  <c:v>-141.70704968963022</c:v>
                </c:pt>
                <c:pt idx="252">
                  <c:v>-142.53142794886881</c:v>
                </c:pt>
                <c:pt idx="253">
                  <c:v>-143.31382473715254</c:v>
                </c:pt>
                <c:pt idx="254">
                  <c:v>-144.05401848619653</c:v>
                </c:pt>
                <c:pt idx="255">
                  <c:v>-144.71417961694766</c:v>
                </c:pt>
                <c:pt idx="256">
                  <c:v>-145.32291696495327</c:v>
                </c:pt>
                <c:pt idx="257">
                  <c:v>-145.89046885832812</c:v>
                </c:pt>
                <c:pt idx="258">
                  <c:v>-146.41695449859407</c:v>
                </c:pt>
                <c:pt idx="259">
                  <c:v>-146.90249754306203</c:v>
                </c:pt>
                <c:pt idx="260">
                  <c:v>-147.34720905753892</c:v>
                </c:pt>
                <c:pt idx="261">
                  <c:v>-147.75118590842195</c:v>
                </c:pt>
                <c:pt idx="262">
                  <c:v>-148.11450991590021</c:v>
                </c:pt>
                <c:pt idx="263">
                  <c:v>-148.43724711310387</c:v>
                </c:pt>
                <c:pt idx="264">
                  <c:v>-148.71944711241534</c:v>
                </c:pt>
                <c:pt idx="265">
                  <c:v>-148.96114258134071</c:v>
                </c:pt>
                <c:pt idx="266">
                  <c:v>-149.16234882945159</c:v>
                </c:pt>
                <c:pt idx="267">
                  <c:v>-149.32306350760348</c:v>
                </c:pt>
                <c:pt idx="268">
                  <c:v>-149.4432664202622</c:v>
                </c:pt>
                <c:pt idx="269">
                  <c:v>-149.52291945138521</c:v>
                </c:pt>
                <c:pt idx="270">
                  <c:v>-149.66074281136025</c:v>
                </c:pt>
                <c:pt idx="271">
                  <c:v>-149.52291945138543</c:v>
                </c:pt>
                <c:pt idx="272">
                  <c:v>-149.44326642026252</c:v>
                </c:pt>
                <c:pt idx="273">
                  <c:v>-149.32306350760399</c:v>
                </c:pt>
                <c:pt idx="274">
                  <c:v>-149.16234882945221</c:v>
                </c:pt>
                <c:pt idx="275">
                  <c:v>-148.96114258134148</c:v>
                </c:pt>
                <c:pt idx="276">
                  <c:v>-148.71944711241616</c:v>
                </c:pt>
                <c:pt idx="277">
                  <c:v>-148.43724711310483</c:v>
                </c:pt>
                <c:pt idx="278">
                  <c:v>-148.11450991590129</c:v>
                </c:pt>
                <c:pt idx="279">
                  <c:v>-147.75118590842317</c:v>
                </c:pt>
                <c:pt idx="280">
                  <c:v>-147.34720905754034</c:v>
                </c:pt>
                <c:pt idx="281">
                  <c:v>-146.90249754306362</c:v>
                </c:pt>
                <c:pt idx="282">
                  <c:v>-146.41695449859577</c:v>
                </c:pt>
                <c:pt idx="283">
                  <c:v>-145.89046885832997</c:v>
                </c:pt>
                <c:pt idx="284">
                  <c:v>-145.32291696495517</c:v>
                </c:pt>
                <c:pt idx="285">
                  <c:v>-144.71417961694974</c:v>
                </c:pt>
                <c:pt idx="286">
                  <c:v>-144.05401848619886</c:v>
                </c:pt>
                <c:pt idx="287">
                  <c:v>-143.31382473715507</c:v>
                </c:pt>
                <c:pt idx="288">
                  <c:v>-142.53142794887142</c:v>
                </c:pt>
                <c:pt idx="289">
                  <c:v>-141.70704968963307</c:v>
                </c:pt>
                <c:pt idx="290">
                  <c:v>-140.84091850177339</c:v>
                </c:pt>
                <c:pt idx="291">
                  <c:v>-139.9332699285338</c:v>
                </c:pt>
                <c:pt idx="292">
                  <c:v>-138.98434656223034</c:v>
                </c:pt>
                <c:pt idx="293">
                  <c:v>-137.99439811381811</c:v>
                </c:pt>
                <c:pt idx="294">
                  <c:v>-136.96368150264186</c:v>
                </c:pt>
                <c:pt idx="295">
                  <c:v>-135.85013559812421</c:v>
                </c:pt>
                <c:pt idx="296">
                  <c:v>-134.68883973602476</c:v>
                </c:pt>
                <c:pt idx="297">
                  <c:v>-133.49184894654451</c:v>
                </c:pt>
                <c:pt idx="298">
                  <c:v>-132.25952866593215</c:v>
                </c:pt>
                <c:pt idx="299">
                  <c:v>-130.99224322279358</c:v>
                </c:pt>
                <c:pt idx="300">
                  <c:v>-129.69033787424942</c:v>
                </c:pt>
                <c:pt idx="301">
                  <c:v>-128.3541383285316</c:v>
                </c:pt>
                <c:pt idx="302">
                  <c:v>-126.98395110209951</c:v>
                </c:pt>
                <c:pt idx="303">
                  <c:v>-125.58006398748282</c:v>
                </c:pt>
                <c:pt idx="304">
                  <c:v>-124.14274662856586</c:v>
                </c:pt>
                <c:pt idx="305">
                  <c:v>-122.67225120106531</c:v>
                </c:pt>
                <c:pt idx="306">
                  <c:v>-121.16881319514815</c:v>
                </c:pt>
                <c:pt idx="307">
                  <c:v>-119.63265229686642</c:v>
                </c:pt>
                <c:pt idx="308">
                  <c:v>-118.06397336476827</c:v>
                </c:pt>
                <c:pt idx="309">
                  <c:v>-116.46296749773471</c:v>
                </c:pt>
                <c:pt idx="310">
                  <c:v>-114.64678038370454</c:v>
                </c:pt>
                <c:pt idx="311">
                  <c:v>-112.61943563159285</c:v>
                </c:pt>
                <c:pt idx="312">
                  <c:v>-110.89639424082056</c:v>
                </c:pt>
                <c:pt idx="313">
                  <c:v>-109.1435537621448</c:v>
                </c:pt>
                <c:pt idx="314">
                  <c:v>-107.36116369161127</c:v>
                </c:pt>
                <c:pt idx="315">
                  <c:v>-105.54945982912191</c:v>
                </c:pt>
                <c:pt idx="316">
                  <c:v>-103.70866545982679</c:v>
                </c:pt>
                <c:pt idx="317">
                  <c:v>-101.83899261826842</c:v>
                </c:pt>
                <c:pt idx="318">
                  <c:v>-99.94064343064052</c:v>
                </c:pt>
                <c:pt idx="319">
                  <c:v>-98.013811530247622</c:v>
                </c:pt>
                <c:pt idx="320">
                  <c:v>-96.058683540994622</c:v>
                </c:pt>
                <c:pt idx="321">
                  <c:v>-94.075440623538512</c:v>
                </c:pt>
                <c:pt idx="322">
                  <c:v>-92.064260078180524</c:v>
                </c:pt>
                <c:pt idx="323">
                  <c:v>-90.025316999352881</c:v>
                </c:pt>
                <c:pt idx="324">
                  <c:v>-87.9587862616698</c:v>
                </c:pt>
                <c:pt idx="325">
                  <c:v>-85.864850674053073</c:v>
                </c:pt>
                <c:pt idx="326">
                  <c:v>-83.739879237985363</c:v>
                </c:pt>
                <c:pt idx="327">
                  <c:v>-81.575120010236148</c:v>
                </c:pt>
                <c:pt idx="328">
                  <c:v>-79.386470137866212</c:v>
                </c:pt>
                <c:pt idx="329">
                  <c:v>-77.174526002527259</c:v>
                </c:pt>
                <c:pt idx="330">
                  <c:v>-74.939887462343677</c:v>
                </c:pt>
                <c:pt idx="331">
                  <c:v>-72.683157982813768</c:v>
                </c:pt>
                <c:pt idx="332">
                  <c:v>-70.404944780170126</c:v>
                </c:pt>
                <c:pt idx="333">
                  <c:v>-68.105858976125546</c:v>
                </c:pt>
                <c:pt idx="334">
                  <c:v>-65.786515762237642</c:v>
                </c:pt>
                <c:pt idx="335">
                  <c:v>-63.420303326859148</c:v>
                </c:pt>
                <c:pt idx="336">
                  <c:v>-61.032357494896779</c:v>
                </c:pt>
                <c:pt idx="337">
                  <c:v>-58.630909316030063</c:v>
                </c:pt>
                <c:pt idx="338">
                  <c:v>-56.216399469552208</c:v>
                </c:pt>
                <c:pt idx="339">
                  <c:v>-53.789262481960506</c:v>
                </c:pt>
                <c:pt idx="340">
                  <c:v>-51.349916252045354</c:v>
                </c:pt>
                <c:pt idx="341">
                  <c:v>-48.898762927371877</c:v>
                </c:pt>
                <c:pt idx="342">
                  <c:v>-46.436190298211763</c:v>
                </c:pt>
                <c:pt idx="343">
                  <c:v>-43.962573255171222</c:v>
                </c:pt>
                <c:pt idx="344">
                  <c:v>-41.478275304266106</c:v>
                </c:pt>
                <c:pt idx="345">
                  <c:v>-38.98365013360339</c:v>
                </c:pt>
                <c:pt idx="346">
                  <c:v>-36.479043225479117</c:v>
                </c:pt>
                <c:pt idx="347">
                  <c:v>-33.964793507596362</c:v>
                </c:pt>
                <c:pt idx="348">
                  <c:v>-31.441235036994538</c:v>
                </c:pt>
                <c:pt idx="349">
                  <c:v>-28.908698710187576</c:v>
                </c:pt>
                <c:pt idx="350">
                  <c:v>-25.988315257478298</c:v>
                </c:pt>
                <c:pt idx="351">
                  <c:v>-23.02006625416994</c:v>
                </c:pt>
                <c:pt idx="352">
                  <c:v>-20.459866719962669</c:v>
                </c:pt>
                <c:pt idx="353">
                  <c:v>-17.894562215893991</c:v>
                </c:pt>
                <c:pt idx="354">
                  <c:v>-15.324496876040428</c:v>
                </c:pt>
                <c:pt idx="355">
                  <c:v>-12.750011771276856</c:v>
                </c:pt>
                <c:pt idx="356">
                  <c:v>-10.171446645155644</c:v>
                </c:pt>
                <c:pt idx="357">
                  <c:v>-7.5891416630144439</c:v>
                </c:pt>
                <c:pt idx="358">
                  <c:v>-5.0034391676544248</c:v>
                </c:pt>
                <c:pt idx="359">
                  <c:v>-2.4146854348918141</c:v>
                </c:pt>
                <c:pt idx="360">
                  <c:v>0.17676757773259416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4EFF-9FED-91A8171ACB73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230.23299408828908</c:v>
                </c:pt>
                <c:pt idx="1">
                  <c:v>230.24189219200321</c:v>
                </c:pt>
                <c:pt idx="2">
                  <c:v>230.18753827835764</c:v>
                </c:pt>
                <c:pt idx="3">
                  <c:v>230.06965594028838</c:v>
                </c:pt>
                <c:pt idx="4">
                  <c:v>229.88794577598355</c:v>
                </c:pt>
                <c:pt idx="5">
                  <c:v>229.64211325556968</c:v>
                </c:pt>
                <c:pt idx="6">
                  <c:v>229.3148958327088</c:v>
                </c:pt>
                <c:pt idx="7">
                  <c:v>228.85747757314417</c:v>
                </c:pt>
                <c:pt idx="8">
                  <c:v>228.33261069933931</c:v>
                </c:pt>
                <c:pt idx="9">
                  <c:v>227.74045358533559</c:v>
                </c:pt>
                <c:pt idx="10">
                  <c:v>227.08117594699465</c:v>
                </c:pt>
                <c:pt idx="11">
                  <c:v>226.35495883683973</c:v>
                </c:pt>
                <c:pt idx="12">
                  <c:v>225.56199467278518</c:v>
                </c:pt>
                <c:pt idx="13">
                  <c:v>224.702487301367</c:v>
                </c:pt>
                <c:pt idx="14">
                  <c:v>223.7766520939841</c:v>
                </c:pt>
                <c:pt idx="15">
                  <c:v>222.71843157430575</c:v>
                </c:pt>
                <c:pt idx="16">
                  <c:v>221.58169576744089</c:v>
                </c:pt>
                <c:pt idx="17">
                  <c:v>220.38512624099243</c:v>
                </c:pt>
                <c:pt idx="18">
                  <c:v>219.12920985813687</c:v>
                </c:pt>
                <c:pt idx="19">
                  <c:v>217.81443400840772</c:v>
                </c:pt>
                <c:pt idx="20">
                  <c:v>216.44125802509362</c:v>
                </c:pt>
                <c:pt idx="21">
                  <c:v>215.01011194565748</c:v>
                </c:pt>
                <c:pt idx="22">
                  <c:v>213.52139658716018</c:v>
                </c:pt>
                <c:pt idx="23">
                  <c:v>211.97548379822652</c:v>
                </c:pt>
                <c:pt idx="24">
                  <c:v>210.37271688412375</c:v>
                </c:pt>
                <c:pt idx="25">
                  <c:v>208.71341120326247</c:v>
                </c:pt>
                <c:pt idx="26">
                  <c:v>206.99785493209089</c:v>
                </c:pt>
                <c:pt idx="27">
                  <c:v>205.22630999490829</c:v>
                </c:pt>
                <c:pt idx="28">
                  <c:v>203.39901315458681</c:v>
                </c:pt>
                <c:pt idx="29">
                  <c:v>201.51617725965795</c:v>
                </c:pt>
                <c:pt idx="30">
                  <c:v>199.40000803674974</c:v>
                </c:pt>
                <c:pt idx="31">
                  <c:v>196.91658179546218</c:v>
                </c:pt>
                <c:pt idx="32">
                  <c:v>194.82149498225351</c:v>
                </c:pt>
                <c:pt idx="33">
                  <c:v>192.67389421586677</c:v>
                </c:pt>
                <c:pt idx="34">
                  <c:v>190.47409391240558</c:v>
                </c:pt>
                <c:pt idx="35">
                  <c:v>188.22238464965199</c:v>
                </c:pt>
                <c:pt idx="36">
                  <c:v>185.91903461165552</c:v>
                </c:pt>
                <c:pt idx="37">
                  <c:v>183.56429117954778</c:v>
                </c:pt>
                <c:pt idx="38">
                  <c:v>181.15838266284644</c:v>
                </c:pt>
                <c:pt idx="39">
                  <c:v>178.70152016502331</c:v>
                </c:pt>
                <c:pt idx="40">
                  <c:v>176.19389957664714</c:v>
                </c:pt>
                <c:pt idx="41">
                  <c:v>173.63570368904888</c:v>
                </c:pt>
                <c:pt idx="42">
                  <c:v>171.02710442042735</c:v>
                </c:pt>
                <c:pt idx="43">
                  <c:v>168.36826514773171</c:v>
                </c:pt>
                <c:pt idx="44">
                  <c:v>165.65934375165705</c:v>
                </c:pt>
                <c:pt idx="45">
                  <c:v>162.90050945985323</c:v>
                </c:pt>
                <c:pt idx="46">
                  <c:v>160.08316183303182</c:v>
                </c:pt>
                <c:pt idx="47">
                  <c:v>157.18493711674293</c:v>
                </c:pt>
                <c:pt idx="48">
                  <c:v>154.24058206996145</c:v>
                </c:pt>
                <c:pt idx="49">
                  <c:v>151.25090247566661</c:v>
                </c:pt>
                <c:pt idx="50">
                  <c:v>148.21671117567612</c:v>
                </c:pt>
                <c:pt idx="51">
                  <c:v>145.13882823846058</c:v>
                </c:pt>
                <c:pt idx="52">
                  <c:v>142.01808115072285</c:v>
                </c:pt>
                <c:pt idx="53">
                  <c:v>138.85530503149639</c:v>
                </c:pt>
                <c:pt idx="54">
                  <c:v>135.65134286614312</c:v>
                </c:pt>
                <c:pt idx="55">
                  <c:v>132.35686685376666</c:v>
                </c:pt>
                <c:pt idx="56">
                  <c:v>129.01653673985129</c:v>
                </c:pt>
                <c:pt idx="57">
                  <c:v>125.64521293928193</c:v>
                </c:pt>
                <c:pt idx="58">
                  <c:v>122.2435746978001</c:v>
                </c:pt>
                <c:pt idx="59">
                  <c:v>118.81229343767966</c:v>
                </c:pt>
                <c:pt idx="60">
                  <c:v>115.35201275627945</c:v>
                </c:pt>
                <c:pt idx="61">
                  <c:v>111.86334927652213</c:v>
                </c:pt>
                <c:pt idx="62">
                  <c:v>108.34689446344991</c:v>
                </c:pt>
                <c:pt idx="63">
                  <c:v>104.80321656302489</c:v>
                </c:pt>
                <c:pt idx="64">
                  <c:v>101.23286265433153</c:v>
                </c:pt>
                <c:pt idx="65">
                  <c:v>97.636360807256651</c:v>
                </c:pt>
                <c:pt idx="66">
                  <c:v>94.014222336970207</c:v>
                </c:pt>
                <c:pt idx="67">
                  <c:v>90.366944146291743</c:v>
                </c:pt>
                <c:pt idx="68">
                  <c:v>86.695011146758759</c:v>
                </c:pt>
                <c:pt idx="69">
                  <c:v>82.998898748974455</c:v>
                </c:pt>
                <c:pt idx="70">
                  <c:v>78.749213394718936</c:v>
                </c:pt>
                <c:pt idx="71">
                  <c:v>74.354486916364181</c:v>
                </c:pt>
                <c:pt idx="72">
                  <c:v>70.574550084361405</c:v>
                </c:pt>
                <c:pt idx="73">
                  <c:v>66.77611918508795</c:v>
                </c:pt>
                <c:pt idx="74">
                  <c:v>62.959709741313958</c:v>
                </c:pt>
                <c:pt idx="75">
                  <c:v>59.125827917744836</c:v>
                </c:pt>
                <c:pt idx="76">
                  <c:v>55.274973089368352</c:v>
                </c:pt>
                <c:pt idx="77">
                  <c:v>51.407640460025839</c:v>
                </c:pt>
                <c:pt idx="78">
                  <c:v>47.524323721311312</c:v>
                </c:pt>
                <c:pt idx="79">
                  <c:v>43.625517741742577</c:v>
                </c:pt>
                <c:pt idx="80">
                  <c:v>39.711721276018324</c:v>
                </c:pt>
                <c:pt idx="81">
                  <c:v>35.783439684095242</c:v>
                </c:pt>
                <c:pt idx="82">
                  <c:v>31.841187649637313</c:v>
                </c:pt>
                <c:pt idx="83">
                  <c:v>27.885491887716523</c:v>
                </c:pt>
                <c:pt idx="84">
                  <c:v>23.916893687403192</c:v>
                </c:pt>
                <c:pt idx="85">
                  <c:v>19.935946850372261</c:v>
                </c:pt>
                <c:pt idx="86">
                  <c:v>15.946737285511185</c:v>
                </c:pt>
                <c:pt idx="87">
                  <c:v>11.963817667429419</c:v>
                </c:pt>
                <c:pt idx="88">
                  <c:v>7.9776708969218797</c:v>
                </c:pt>
                <c:pt idx="89">
                  <c:v>3.9893731310940104</c:v>
                </c:pt>
                <c:pt idx="90">
                  <c:v>-3.7415866337591856E-13</c:v>
                </c:pt>
                <c:pt idx="91">
                  <c:v>-3.9893731310947711</c:v>
                </c:pt>
                <c:pt idx="92">
                  <c:v>-7.9776708969226391</c:v>
                </c:pt>
                <c:pt idx="93">
                  <c:v>-11.963817667430183</c:v>
                </c:pt>
                <c:pt idx="94">
                  <c:v>-15.946737285511945</c:v>
                </c:pt>
                <c:pt idx="95">
                  <c:v>-19.935946850373028</c:v>
                </c:pt>
                <c:pt idx="96">
                  <c:v>-23.916893687403959</c:v>
                </c:pt>
                <c:pt idx="97">
                  <c:v>-27.885491887717276</c:v>
                </c:pt>
                <c:pt idx="98">
                  <c:v>-31.841187649638069</c:v>
                </c:pt>
                <c:pt idx="99">
                  <c:v>-35.783439684095988</c:v>
                </c:pt>
                <c:pt idx="100">
                  <c:v>-39.711721276019084</c:v>
                </c:pt>
                <c:pt idx="101">
                  <c:v>-43.625517741743323</c:v>
                </c:pt>
                <c:pt idx="102">
                  <c:v>-47.524323721312065</c:v>
                </c:pt>
                <c:pt idx="103">
                  <c:v>-51.407640460026585</c:v>
                </c:pt>
                <c:pt idx="104">
                  <c:v>-55.274973089369098</c:v>
                </c:pt>
                <c:pt idx="105">
                  <c:v>-59.125827917745568</c:v>
                </c:pt>
                <c:pt idx="106">
                  <c:v>-62.959709741314704</c:v>
                </c:pt>
                <c:pt idx="107">
                  <c:v>-66.776119185088689</c:v>
                </c:pt>
                <c:pt idx="108">
                  <c:v>-70.574550084362116</c:v>
                </c:pt>
                <c:pt idx="109">
                  <c:v>-74.35448691636492</c:v>
                </c:pt>
                <c:pt idx="110">
                  <c:v>-78.749213394719703</c:v>
                </c:pt>
                <c:pt idx="111">
                  <c:v>-82.998898748975193</c:v>
                </c:pt>
                <c:pt idx="112">
                  <c:v>-86.695011146759484</c:v>
                </c:pt>
                <c:pt idx="113">
                  <c:v>-90.36694414629244</c:v>
                </c:pt>
                <c:pt idx="114">
                  <c:v>-94.014222336970946</c:v>
                </c:pt>
                <c:pt idx="115">
                  <c:v>-97.636360807257304</c:v>
                </c:pt>
                <c:pt idx="116">
                  <c:v>-101.23286265433211</c:v>
                </c:pt>
                <c:pt idx="117">
                  <c:v>-104.80321656302546</c:v>
                </c:pt>
                <c:pt idx="118">
                  <c:v>-108.3468944634504</c:v>
                </c:pt>
                <c:pt idx="119">
                  <c:v>-111.86334927652261</c:v>
                </c:pt>
                <c:pt idx="120">
                  <c:v>-115.35201275627986</c:v>
                </c:pt>
                <c:pt idx="121">
                  <c:v>-118.81229343768004</c:v>
                </c:pt>
                <c:pt idx="122">
                  <c:v>-122.24357469780045</c:v>
                </c:pt>
                <c:pt idx="123">
                  <c:v>-125.64521293928222</c:v>
                </c:pt>
                <c:pt idx="124">
                  <c:v>-129.01653673985152</c:v>
                </c:pt>
                <c:pt idx="125">
                  <c:v>-132.35686685376683</c:v>
                </c:pt>
                <c:pt idx="126">
                  <c:v>-135.65134286614327</c:v>
                </c:pt>
                <c:pt idx="127">
                  <c:v>-138.85530503149647</c:v>
                </c:pt>
                <c:pt idx="128">
                  <c:v>-142.01808115072291</c:v>
                </c:pt>
                <c:pt idx="129">
                  <c:v>-145.1388282384606</c:v>
                </c:pt>
                <c:pt idx="130">
                  <c:v>-148.21671117567615</c:v>
                </c:pt>
                <c:pt idx="131">
                  <c:v>-151.25090247566658</c:v>
                </c:pt>
                <c:pt idx="132">
                  <c:v>-154.24058206996136</c:v>
                </c:pt>
                <c:pt idx="133">
                  <c:v>-157.18493711674282</c:v>
                </c:pt>
                <c:pt idx="134">
                  <c:v>-160.08316183303165</c:v>
                </c:pt>
                <c:pt idx="135">
                  <c:v>-162.90050945985305</c:v>
                </c:pt>
                <c:pt idx="136">
                  <c:v>-165.65934375165682</c:v>
                </c:pt>
                <c:pt idx="137">
                  <c:v>-168.36826514773148</c:v>
                </c:pt>
                <c:pt idx="138">
                  <c:v>-171.02710442042704</c:v>
                </c:pt>
                <c:pt idx="139">
                  <c:v>-173.63570368904854</c:v>
                </c:pt>
                <c:pt idx="140">
                  <c:v>-176.19389957664683</c:v>
                </c:pt>
                <c:pt idx="141">
                  <c:v>-178.70152016502291</c:v>
                </c:pt>
                <c:pt idx="142">
                  <c:v>-181.15838266284607</c:v>
                </c:pt>
                <c:pt idx="143">
                  <c:v>-183.56429117954733</c:v>
                </c:pt>
                <c:pt idx="144">
                  <c:v>-185.91903461165506</c:v>
                </c:pt>
                <c:pt idx="145">
                  <c:v>-188.22238464965156</c:v>
                </c:pt>
                <c:pt idx="146">
                  <c:v>-190.47409391240512</c:v>
                </c:pt>
                <c:pt idx="147">
                  <c:v>-192.67389421586631</c:v>
                </c:pt>
                <c:pt idx="148">
                  <c:v>-194.82149498225303</c:v>
                </c:pt>
                <c:pt idx="149">
                  <c:v>-196.91658179546167</c:v>
                </c:pt>
                <c:pt idx="150">
                  <c:v>-199.40000803674926</c:v>
                </c:pt>
                <c:pt idx="151">
                  <c:v>-201.51617725965755</c:v>
                </c:pt>
                <c:pt idx="152">
                  <c:v>-203.39901315458633</c:v>
                </c:pt>
                <c:pt idx="153">
                  <c:v>-205.22630999490778</c:v>
                </c:pt>
                <c:pt idx="154">
                  <c:v>-206.99785493209035</c:v>
                </c:pt>
                <c:pt idx="155">
                  <c:v>-208.71341120326198</c:v>
                </c:pt>
                <c:pt idx="156">
                  <c:v>-210.37271688412318</c:v>
                </c:pt>
                <c:pt idx="157">
                  <c:v>-211.97548379822601</c:v>
                </c:pt>
                <c:pt idx="158">
                  <c:v>-213.52139658715973</c:v>
                </c:pt>
                <c:pt idx="159">
                  <c:v>-215.01011194565697</c:v>
                </c:pt>
                <c:pt idx="160">
                  <c:v>-216.44125802509313</c:v>
                </c:pt>
                <c:pt idx="161">
                  <c:v>-217.81443400840718</c:v>
                </c:pt>
                <c:pt idx="162">
                  <c:v>-219.12920985813639</c:v>
                </c:pt>
                <c:pt idx="163">
                  <c:v>-220.38512624099195</c:v>
                </c:pt>
                <c:pt idx="164">
                  <c:v>-221.58169576744044</c:v>
                </c:pt>
                <c:pt idx="165">
                  <c:v>-222.71843157430521</c:v>
                </c:pt>
                <c:pt idx="166">
                  <c:v>-223.7766520939837</c:v>
                </c:pt>
                <c:pt idx="167">
                  <c:v>-224.70248730136652</c:v>
                </c:pt>
                <c:pt idx="168">
                  <c:v>-225.56199467278478</c:v>
                </c:pt>
                <c:pt idx="169">
                  <c:v>-226.35495883683936</c:v>
                </c:pt>
                <c:pt idx="170">
                  <c:v>-227.08117594699436</c:v>
                </c:pt>
                <c:pt idx="171">
                  <c:v>-227.74045358533533</c:v>
                </c:pt>
                <c:pt idx="172">
                  <c:v>-228.33261069933894</c:v>
                </c:pt>
                <c:pt idx="173">
                  <c:v>-228.85747757314391</c:v>
                </c:pt>
                <c:pt idx="174">
                  <c:v>-229.31489583270857</c:v>
                </c:pt>
                <c:pt idx="175">
                  <c:v>-229.64211325556951</c:v>
                </c:pt>
                <c:pt idx="176">
                  <c:v>-229.88794577598341</c:v>
                </c:pt>
                <c:pt idx="177">
                  <c:v>-230.06965594028838</c:v>
                </c:pt>
                <c:pt idx="178">
                  <c:v>-230.18753827835752</c:v>
                </c:pt>
                <c:pt idx="179">
                  <c:v>-230.24189219200318</c:v>
                </c:pt>
                <c:pt idx="180">
                  <c:v>-230.23299408828908</c:v>
                </c:pt>
                <c:pt idx="181">
                  <c:v>-230.16109525691752</c:v>
                </c:pt>
                <c:pt idx="182">
                  <c:v>-230.02642100527842</c:v>
                </c:pt>
                <c:pt idx="183">
                  <c:v>-229.82916996630726</c:v>
                </c:pt>
                <c:pt idx="184">
                  <c:v>-229.5695135792389</c:v>
                </c:pt>
                <c:pt idx="185">
                  <c:v>-229.24759574519271</c:v>
                </c:pt>
                <c:pt idx="186">
                  <c:v>-228.86353265812735</c:v>
                </c:pt>
                <c:pt idx="187">
                  <c:v>-228.41741281122933</c:v>
                </c:pt>
                <c:pt idx="188">
                  <c:v>-227.90929717821314</c:v>
                </c:pt>
                <c:pt idx="189">
                  <c:v>-227.33921956843102</c:v>
                </c:pt>
                <c:pt idx="190">
                  <c:v>-226.74932283414461</c:v>
                </c:pt>
                <c:pt idx="191">
                  <c:v>-225.74179682770583</c:v>
                </c:pt>
                <c:pt idx="192">
                  <c:v>-224.93035637915196</c:v>
                </c:pt>
                <c:pt idx="193">
                  <c:v>-224.05800456053331</c:v>
                </c:pt>
                <c:pt idx="194">
                  <c:v>-223.12489067958344</c:v>
                </c:pt>
                <c:pt idx="195">
                  <c:v>-222.13113690607497</c:v>
                </c:pt>
                <c:pt idx="196">
                  <c:v>-221.07683885151923</c:v>
                </c:pt>
                <c:pt idx="197">
                  <c:v>-219.96206631915263</c:v>
                </c:pt>
                <c:pt idx="198">
                  <c:v>-218.7868642217461</c:v>
                </c:pt>
                <c:pt idx="199">
                  <c:v>-217.55125366419929</c:v>
                </c:pt>
                <c:pt idx="200">
                  <c:v>-216.25523318732925</c:v>
                </c:pt>
                <c:pt idx="201">
                  <c:v>-214.89878016881354</c:v>
                </c:pt>
                <c:pt idx="202">
                  <c:v>-213.48185237595723</c:v>
                </c:pt>
                <c:pt idx="203">
                  <c:v>-212.00438966669262</c:v>
                </c:pt>
                <c:pt idx="204">
                  <c:v>-210.46631673920606</c:v>
                </c:pt>
                <c:pt idx="205">
                  <c:v>-208.86756692157701</c:v>
                </c:pt>
                <c:pt idx="206">
                  <c:v>-207.19437880658901</c:v>
                </c:pt>
                <c:pt idx="207">
                  <c:v>-205.40887847295494</c:v>
                </c:pt>
                <c:pt idx="208">
                  <c:v>-203.56294404511792</c:v>
                </c:pt>
                <c:pt idx="209">
                  <c:v>-201.65708854031323</c:v>
                </c:pt>
                <c:pt idx="210">
                  <c:v>-199.69183476656204</c:v>
                </c:pt>
                <c:pt idx="211">
                  <c:v>-197.66771540921897</c:v>
                </c:pt>
                <c:pt idx="212">
                  <c:v>-195.58527314819608</c:v>
                </c:pt>
                <c:pt idx="213">
                  <c:v>-193.44506080552563</c:v>
                </c:pt>
                <c:pt idx="214">
                  <c:v>-191.24764152107809</c:v>
                </c:pt>
                <c:pt idx="215">
                  <c:v>-188.93162007120534</c:v>
                </c:pt>
                <c:pt idx="216">
                  <c:v>-186.54942305180359</c:v>
                </c:pt>
                <c:pt idx="217">
                  <c:v>-184.11889777897701</c:v>
                </c:pt>
                <c:pt idx="218">
                  <c:v>-181.64066472632098</c:v>
                </c:pt>
                <c:pt idx="219">
                  <c:v>-179.11534048471947</c:v>
                </c:pt>
                <c:pt idx="220">
                  <c:v>-176.54351191131221</c:v>
                </c:pt>
                <c:pt idx="221">
                  <c:v>-173.92573592245824</c:v>
                </c:pt>
                <c:pt idx="222">
                  <c:v>-171.26254050043644</c:v>
                </c:pt>
                <c:pt idx="223">
                  <c:v>-168.5544258591286</c:v>
                </c:pt>
                <c:pt idx="224">
                  <c:v>-165.80186576215274</c:v>
                </c:pt>
                <c:pt idx="225">
                  <c:v>-163.00530898833222</c:v>
                </c:pt>
                <c:pt idx="226">
                  <c:v>-160.16518093827167</c:v>
                </c:pt>
                <c:pt idx="227">
                  <c:v>-157.28188537544773</c:v>
                </c:pt>
                <c:pt idx="228">
                  <c:v>-154.35580629479315</c:v>
                </c:pt>
                <c:pt idx="229">
                  <c:v>-151.38730991134426</c:v>
                </c:pt>
                <c:pt idx="230">
                  <c:v>-148.00010943942846</c:v>
                </c:pt>
                <c:pt idx="231">
                  <c:v>-144.34032081945963</c:v>
                </c:pt>
                <c:pt idx="232">
                  <c:v>-141.21428603145748</c:v>
                </c:pt>
                <c:pt idx="233">
                  <c:v>-138.05046866494084</c:v>
                </c:pt>
                <c:pt idx="234">
                  <c:v>-134.8493103211606</c:v>
                </c:pt>
                <c:pt idx="235">
                  <c:v>-131.6112349379396</c:v>
                </c:pt>
                <c:pt idx="236">
                  <c:v>-128.33665092491114</c:v>
                </c:pt>
                <c:pt idx="237">
                  <c:v>-125.02595340328625</c:v>
                </c:pt>
                <c:pt idx="238">
                  <c:v>-121.67952654183249</c:v>
                </c:pt>
                <c:pt idx="239">
                  <c:v>-118.29774598039945</c:v>
                </c:pt>
                <c:pt idx="240">
                  <c:v>-114.8809813320139</c:v>
                </c:pt>
                <c:pt idx="241">
                  <c:v>-111.42959875432786</c:v>
                </c:pt>
                <c:pt idx="242">
                  <c:v>-107.94396358056194</c:v>
                </c:pt>
                <c:pt idx="243">
                  <c:v>-104.42444300101107</c:v>
                </c:pt>
                <c:pt idx="244">
                  <c:v>-100.87140903613691</c:v>
                </c:pt>
                <c:pt idx="245">
                  <c:v>-97.285246401807726</c:v>
                </c:pt>
                <c:pt idx="246">
                  <c:v>-93.663552966570577</c:v>
                </c:pt>
                <c:pt idx="247">
                  <c:v>-90.002172541652726</c:v>
                </c:pt>
                <c:pt idx="248">
                  <c:v>-86.314529548621408</c:v>
                </c:pt>
                <c:pt idx="249">
                  <c:v>-82.601625346880098</c:v>
                </c:pt>
                <c:pt idx="250">
                  <c:v>-78.864464771323725</c:v>
                </c:pt>
                <c:pt idx="251">
                  <c:v>-75.104056361178309</c:v>
                </c:pt>
                <c:pt idx="252">
                  <c:v>-71.321412602829056</c:v>
                </c:pt>
                <c:pt idx="253">
                  <c:v>-67.517550184629485</c:v>
                </c:pt>
                <c:pt idx="254">
                  <c:v>-63.693490260957759</c:v>
                </c:pt>
                <c:pt idx="255">
                  <c:v>-59.817922114458099</c:v>
                </c:pt>
                <c:pt idx="256">
                  <c:v>-55.922352015789521</c:v>
                </c:pt>
                <c:pt idx="257">
                  <c:v>-52.016861093266471</c:v>
                </c:pt>
                <c:pt idx="258">
                  <c:v>-48.10210543771538</c:v>
                </c:pt>
                <c:pt idx="259">
                  <c:v>-44.178730319364753</c:v>
                </c:pt>
                <c:pt idx="260">
                  <c:v>-40.247358448452452</c:v>
                </c:pt>
                <c:pt idx="261">
                  <c:v>-36.30859178064015</c:v>
                </c:pt>
                <c:pt idx="262">
                  <c:v>-32.363013924319858</c:v>
                </c:pt>
                <c:pt idx="263">
                  <c:v>-28.411192618684922</c:v>
                </c:pt>
                <c:pt idx="264">
                  <c:v>-24.453682272474424</c:v>
                </c:pt>
                <c:pt idx="265">
                  <c:v>-20.491026553616763</c:v>
                </c:pt>
                <c:pt idx="266">
                  <c:v>-16.523761019691616</c:v>
                </c:pt>
                <c:pt idx="267">
                  <c:v>-12.552415779047859</c:v>
                </c:pt>
                <c:pt idx="268">
                  <c:v>-8.5775181723397722</c:v>
                </c:pt>
                <c:pt idx="269">
                  <c:v>-4.5995954642022889</c:v>
                </c:pt>
                <c:pt idx="270">
                  <c:v>-6.5034381774873912E-12</c:v>
                </c:pt>
                <c:pt idx="271">
                  <c:v>4.5995954641892256</c:v>
                </c:pt>
                <c:pt idx="272">
                  <c:v>8.5775181723267178</c:v>
                </c:pt>
                <c:pt idx="273">
                  <c:v>12.552415779034821</c:v>
                </c:pt>
                <c:pt idx="274">
                  <c:v>16.523761019678577</c:v>
                </c:pt>
                <c:pt idx="275">
                  <c:v>20.491026553603749</c:v>
                </c:pt>
                <c:pt idx="276">
                  <c:v>24.453682272461435</c:v>
                </c:pt>
                <c:pt idx="277">
                  <c:v>28.411192618671929</c:v>
                </c:pt>
                <c:pt idx="278">
                  <c:v>32.363013924306898</c:v>
                </c:pt>
                <c:pt idx="279">
                  <c:v>36.308591780627196</c:v>
                </c:pt>
                <c:pt idx="280">
                  <c:v>40.247358448439527</c:v>
                </c:pt>
                <c:pt idx="281">
                  <c:v>44.178730319351892</c:v>
                </c:pt>
                <c:pt idx="282">
                  <c:v>48.102105437702512</c:v>
                </c:pt>
                <c:pt idx="283">
                  <c:v>52.016861093253652</c:v>
                </c:pt>
                <c:pt idx="284">
                  <c:v>55.922352015776703</c:v>
                </c:pt>
                <c:pt idx="285">
                  <c:v>59.817922114445345</c:v>
                </c:pt>
                <c:pt idx="286">
                  <c:v>63.693490260945175</c:v>
                </c:pt>
                <c:pt idx="287">
                  <c:v>67.517550184616951</c:v>
                </c:pt>
                <c:pt idx="288">
                  <c:v>71.321412602816551</c:v>
                </c:pt>
                <c:pt idx="289">
                  <c:v>75.104056361165931</c:v>
                </c:pt>
                <c:pt idx="290">
                  <c:v>78.864464771311418</c:v>
                </c:pt>
                <c:pt idx="291">
                  <c:v>82.601625346867877</c:v>
                </c:pt>
                <c:pt idx="292">
                  <c:v>86.314529548609286</c:v>
                </c:pt>
                <c:pt idx="293">
                  <c:v>90.002172541640661</c:v>
                </c:pt>
                <c:pt idx="294">
                  <c:v>93.663552966558584</c:v>
                </c:pt>
                <c:pt idx="295">
                  <c:v>97.285246401795874</c:v>
                </c:pt>
                <c:pt idx="296">
                  <c:v>100.87140903612521</c:v>
                </c:pt>
                <c:pt idx="297">
                  <c:v>104.42444300099942</c:v>
                </c:pt>
                <c:pt idx="298">
                  <c:v>107.94396358055042</c:v>
                </c:pt>
                <c:pt idx="299">
                  <c:v>111.42959875431647</c:v>
                </c:pt>
                <c:pt idx="300">
                  <c:v>114.88098133200259</c:v>
                </c:pt>
                <c:pt idx="301">
                  <c:v>118.29774598038834</c:v>
                </c:pt>
                <c:pt idx="302">
                  <c:v>121.6795265418215</c:v>
                </c:pt>
                <c:pt idx="303">
                  <c:v>125.02595340327535</c:v>
                </c:pt>
                <c:pt idx="304">
                  <c:v>128.33665092490034</c:v>
                </c:pt>
                <c:pt idx="305">
                  <c:v>131.61123493792897</c:v>
                </c:pt>
                <c:pt idx="306">
                  <c:v>134.84931032115006</c:v>
                </c:pt>
                <c:pt idx="307">
                  <c:v>138.05046866493043</c:v>
                </c:pt>
                <c:pt idx="308">
                  <c:v>141.21428603144716</c:v>
                </c:pt>
                <c:pt idx="309">
                  <c:v>144.3403208194494</c:v>
                </c:pt>
                <c:pt idx="310">
                  <c:v>148.00010943941854</c:v>
                </c:pt>
                <c:pt idx="311">
                  <c:v>151.38730991133454</c:v>
                </c:pt>
                <c:pt idx="312">
                  <c:v>154.35580629478346</c:v>
                </c:pt>
                <c:pt idx="313">
                  <c:v>157.28188537543821</c:v>
                </c:pt>
                <c:pt idx="314">
                  <c:v>160.1651809382623</c:v>
                </c:pt>
                <c:pt idx="315">
                  <c:v>163.00530898832301</c:v>
                </c:pt>
                <c:pt idx="316">
                  <c:v>165.80186576214371</c:v>
                </c:pt>
                <c:pt idx="317">
                  <c:v>168.55442585911968</c:v>
                </c:pt>
                <c:pt idx="318">
                  <c:v>171.2625405004276</c:v>
                </c:pt>
                <c:pt idx="319">
                  <c:v>173.92573592244958</c:v>
                </c:pt>
                <c:pt idx="320">
                  <c:v>176.54351191130377</c:v>
                </c:pt>
                <c:pt idx="321">
                  <c:v>179.11534048471114</c:v>
                </c:pt>
                <c:pt idx="322">
                  <c:v>181.64066472631274</c:v>
                </c:pt>
                <c:pt idx="323">
                  <c:v>184.118897778969</c:v>
                </c:pt>
                <c:pt idx="324">
                  <c:v>186.54942305179574</c:v>
                </c:pt>
                <c:pt idx="325">
                  <c:v>188.9316200711977</c:v>
                </c:pt>
                <c:pt idx="326">
                  <c:v>191.24764152107082</c:v>
                </c:pt>
                <c:pt idx="327">
                  <c:v>193.44506080551852</c:v>
                </c:pt>
                <c:pt idx="328">
                  <c:v>195.58527314818903</c:v>
                </c:pt>
                <c:pt idx="329">
                  <c:v>197.66771540921232</c:v>
                </c:pt>
                <c:pt idx="330">
                  <c:v>199.69183476655556</c:v>
                </c:pt>
                <c:pt idx="331">
                  <c:v>201.65708854030689</c:v>
                </c:pt>
                <c:pt idx="332">
                  <c:v>203.56294404511183</c:v>
                </c:pt>
                <c:pt idx="333">
                  <c:v>205.408878472949</c:v>
                </c:pt>
                <c:pt idx="334">
                  <c:v>207.1943788065833</c:v>
                </c:pt>
                <c:pt idx="335">
                  <c:v>208.86756692157169</c:v>
                </c:pt>
                <c:pt idx="336">
                  <c:v>210.46631673920103</c:v>
                </c:pt>
                <c:pt idx="337">
                  <c:v>212.00438966668776</c:v>
                </c:pt>
                <c:pt idx="338">
                  <c:v>213.48185237595246</c:v>
                </c:pt>
                <c:pt idx="339">
                  <c:v>214.898780168809</c:v>
                </c:pt>
                <c:pt idx="340">
                  <c:v>216.25523318732502</c:v>
                </c:pt>
                <c:pt idx="341">
                  <c:v>217.55125366419523</c:v>
                </c:pt>
                <c:pt idx="342">
                  <c:v>218.78686422174221</c:v>
                </c:pt>
                <c:pt idx="343">
                  <c:v>219.96206631914887</c:v>
                </c:pt>
                <c:pt idx="344">
                  <c:v>221.07683885151559</c:v>
                </c:pt>
                <c:pt idx="345">
                  <c:v>222.13113690607156</c:v>
                </c:pt>
                <c:pt idx="346">
                  <c:v>223.12489067958032</c:v>
                </c:pt>
                <c:pt idx="347">
                  <c:v>224.05800456053035</c:v>
                </c:pt>
                <c:pt idx="348">
                  <c:v>224.93035637914929</c:v>
                </c:pt>
                <c:pt idx="349">
                  <c:v>225.74179682770327</c:v>
                </c:pt>
                <c:pt idx="350">
                  <c:v>226.74932283414236</c:v>
                </c:pt>
                <c:pt idx="351">
                  <c:v>227.33921956842912</c:v>
                </c:pt>
                <c:pt idx="352">
                  <c:v>227.90929717821135</c:v>
                </c:pt>
                <c:pt idx="353">
                  <c:v>228.41741281122771</c:v>
                </c:pt>
                <c:pt idx="354">
                  <c:v>228.86353265812602</c:v>
                </c:pt>
                <c:pt idx="355">
                  <c:v>229.24759574519157</c:v>
                </c:pt>
                <c:pt idx="356">
                  <c:v>229.56951357923802</c:v>
                </c:pt>
                <c:pt idx="357">
                  <c:v>229.82916996630652</c:v>
                </c:pt>
                <c:pt idx="358">
                  <c:v>230.02642100527785</c:v>
                </c:pt>
                <c:pt idx="359">
                  <c:v>230.16109525691721</c:v>
                </c:pt>
                <c:pt idx="360">
                  <c:v>230.23299408828896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0.27195011959921089</c:v>
                </c:pt>
                <c:pt idx="1">
                  <c:v>4.2624007627807599</c:v>
                </c:pt>
                <c:pt idx="2">
                  <c:v>8.2558843278472178</c:v>
                </c:pt>
                <c:pt idx="3">
                  <c:v>12.251817236274663</c:v>
                </c:pt>
                <c:pt idx="4">
                  <c:v>16.249597056118763</c:v>
                </c:pt>
                <c:pt idx="5">
                  <c:v>20.248609508857822</c:v>
                </c:pt>
                <c:pt idx="6">
                  <c:v>24.241661801198642</c:v>
                </c:pt>
                <c:pt idx="7">
                  <c:v>28.205369193770718</c:v>
                </c:pt>
                <c:pt idx="8">
                  <c:v>32.160460512294577</c:v>
                </c:pt>
                <c:pt idx="9">
                  <c:v>36.105870923823353</c:v>
                </c:pt>
                <c:pt idx="10">
                  <c:v>40.040538130461279</c:v>
                </c:pt>
                <c:pt idx="11">
                  <c:v>43.963402102144016</c:v>
                </c:pt>
                <c:pt idx="12">
                  <c:v>47.873404812832341</c:v>
                </c:pt>
                <c:pt idx="13">
                  <c:v>51.769489982789288</c:v>
                </c:pt>
                <c:pt idx="14">
                  <c:v>55.650602829239887</c:v>
                </c:pt>
                <c:pt idx="15">
                  <c:v>59.514759552630331</c:v>
                </c:pt>
                <c:pt idx="16">
                  <c:v>63.356681718766247</c:v>
                </c:pt>
                <c:pt idx="17">
                  <c:v>67.175514451439867</c:v>
                </c:pt>
                <c:pt idx="18">
                  <c:v>70.970781252806702</c:v>
                </c:pt>
                <c:pt idx="19">
                  <c:v>74.742018423464842</c:v>
                </c:pt>
                <c:pt idx="20">
                  <c:v>78.488772115765286</c:v>
                </c:pt>
                <c:pt idx="21">
                  <c:v>82.2105955334263</c:v>
                </c:pt>
                <c:pt idx="22">
                  <c:v>85.907046195361545</c:v>
                </c:pt>
                <c:pt idx="23">
                  <c:v>89.577683219722317</c:v>
                </c:pt>
                <c:pt idx="24">
                  <c:v>93.222064637827614</c:v>
                </c:pt>
                <c:pt idx="25">
                  <c:v>96.839744748291153</c:v>
                </c:pt>
                <c:pt idx="26">
                  <c:v>100.43027152123716</c:v>
                </c:pt>
                <c:pt idx="27">
                  <c:v>103.99318406233454</c:v>
                </c:pt>
                <c:pt idx="28">
                  <c:v>107.5280101461539</c:v>
                </c:pt>
                <c:pt idx="29">
                  <c:v>111.03426382809427</c:v>
                </c:pt>
                <c:pt idx="30">
                  <c:v>115.12364831643107</c:v>
                </c:pt>
                <c:pt idx="31">
                  <c:v>119.00099686634479</c:v>
                </c:pt>
                <c:pt idx="32">
                  <c:v>122.38470742348058</c:v>
                </c:pt>
                <c:pt idx="33">
                  <c:v>125.73460594936368</c:v>
                </c:pt>
                <c:pt idx="34">
                  <c:v>129.05026513945819</c:v>
                </c:pt>
                <c:pt idx="35">
                  <c:v>132.33124383838754</c:v>
                </c:pt>
                <c:pt idx="36">
                  <c:v>135.57708476588894</c:v>
                </c:pt>
                <c:pt idx="37">
                  <c:v>138.7873123388998</c:v>
                </c:pt>
                <c:pt idx="38">
                  <c:v>141.96143059833204</c:v>
                </c:pt>
                <c:pt idx="39">
                  <c:v>145.09892124876231</c:v>
                </c:pt>
                <c:pt idx="40">
                  <c:v>148.19924181891105</c:v>
                </c:pt>
                <c:pt idx="41">
                  <c:v>151.26182395047798</c:v>
                </c:pt>
                <c:pt idx="42">
                  <c:v>154.28607182195478</c:v>
                </c:pt>
                <c:pt idx="43">
                  <c:v>157.27136071522014</c:v>
                </c:pt>
                <c:pt idx="44">
                  <c:v>160.21703668885561</c:v>
                </c:pt>
                <c:pt idx="45">
                  <c:v>163.12243985805992</c:v>
                </c:pt>
                <c:pt idx="46">
                  <c:v>165.97096407260258</c:v>
                </c:pt>
                <c:pt idx="47">
                  <c:v>168.7133173051395</c:v>
                </c:pt>
                <c:pt idx="48">
                  <c:v>171.40571510850609</c:v>
                </c:pt>
                <c:pt idx="49">
                  <c:v>174.04744357421217</c:v>
                </c:pt>
                <c:pt idx="50">
                  <c:v>176.63779802611074</c:v>
                </c:pt>
                <c:pt idx="51">
                  <c:v>179.17608281237986</c:v>
                </c:pt>
                <c:pt idx="52">
                  <c:v>181.66161112190318</c:v>
                </c:pt>
                <c:pt idx="53">
                  <c:v>184.09370482748511</c:v>
                </c:pt>
                <c:pt idx="54">
                  <c:v>186.47169435670898</c:v>
                </c:pt>
                <c:pt idx="55">
                  <c:v>188.75159910363769</c:v>
                </c:pt>
                <c:pt idx="56">
                  <c:v>190.96400253776207</c:v>
                </c:pt>
                <c:pt idx="57">
                  <c:v>193.12025806609793</c:v>
                </c:pt>
                <c:pt idx="58">
                  <c:v>195.22031361973708</c:v>
                </c:pt>
                <c:pt idx="59">
                  <c:v>197.26412727228242</c:v>
                </c:pt>
                <c:pt idx="60">
                  <c:v>199.25164661001133</c:v>
                </c:pt>
                <c:pt idx="61">
                  <c:v>201.18280578986761</c:v>
                </c:pt>
                <c:pt idx="62">
                  <c:v>203.05752349191448</c:v>
                </c:pt>
                <c:pt idx="63">
                  <c:v>204.87570100075024</c:v>
                </c:pt>
                <c:pt idx="64">
                  <c:v>206.63722042109507</c:v>
                </c:pt>
                <c:pt idx="65">
                  <c:v>208.34194303435766</c:v>
                </c:pt>
                <c:pt idx="66">
                  <c:v>209.98970780181367</c:v>
                </c:pt>
                <c:pt idx="67">
                  <c:v>211.58033001961638</c:v>
                </c:pt>
                <c:pt idx="68">
                  <c:v>213.11360013034016</c:v>
                </c:pt>
                <c:pt idx="69">
                  <c:v>214.58928269522281</c:v>
                </c:pt>
                <c:pt idx="70">
                  <c:v>216.36168560180457</c:v>
                </c:pt>
                <c:pt idx="71">
                  <c:v>217.73559129503141</c:v>
                </c:pt>
                <c:pt idx="72">
                  <c:v>218.98096811970012</c:v>
                </c:pt>
                <c:pt idx="73">
                  <c:v>220.16668810727865</c:v>
                </c:pt>
                <c:pt idx="74">
                  <c:v>221.29262602627736</c:v>
                </c:pt>
                <c:pt idx="75">
                  <c:v>222.35863071186949</c:v>
                </c:pt>
                <c:pt idx="76">
                  <c:v>223.3645242524349</c:v>
                </c:pt>
                <c:pt idx="77">
                  <c:v>224.31010134373764</c:v>
                </c:pt>
                <c:pt idx="78">
                  <c:v>225.19512881360319</c:v>
                </c:pt>
                <c:pt idx="79">
                  <c:v>226.01934531939889</c:v>
                </c:pt>
                <c:pt idx="80">
                  <c:v>226.78246122004566</c:v>
                </c:pt>
                <c:pt idx="81">
                  <c:v>227.48415862382876</c:v>
                </c:pt>
                <c:pt idx="82">
                  <c:v>228.12409161188063</c:v>
                </c:pt>
                <c:pt idx="83">
                  <c:v>228.70188663903463</c:v>
                </c:pt>
                <c:pt idx="84">
                  <c:v>229.21714424085567</c:v>
                </c:pt>
                <c:pt idx="85">
                  <c:v>229.66946769369497</c:v>
                </c:pt>
                <c:pt idx="86">
                  <c:v>230.04060769263472</c:v>
                </c:pt>
                <c:pt idx="87">
                  <c:v>230.27842920977122</c:v>
                </c:pt>
                <c:pt idx="88">
                  <c:v>230.44833064311672</c:v>
                </c:pt>
                <c:pt idx="89">
                  <c:v>230.55028305435476</c:v>
                </c:pt>
                <c:pt idx="90">
                  <c:v>230.58426911488758</c:v>
                </c:pt>
                <c:pt idx="91">
                  <c:v>230.55028305435471</c:v>
                </c:pt>
                <c:pt idx="92">
                  <c:v>230.44833064311672</c:v>
                </c:pt>
                <c:pt idx="93">
                  <c:v>230.27842920977119</c:v>
                </c:pt>
                <c:pt idx="94">
                  <c:v>230.04060769263467</c:v>
                </c:pt>
                <c:pt idx="95">
                  <c:v>229.66946769369494</c:v>
                </c:pt>
                <c:pt idx="96">
                  <c:v>229.21714424085565</c:v>
                </c:pt>
                <c:pt idx="97">
                  <c:v>228.7018866390346</c:v>
                </c:pt>
                <c:pt idx="98">
                  <c:v>228.12409161188054</c:v>
                </c:pt>
                <c:pt idx="99">
                  <c:v>227.48415862382862</c:v>
                </c:pt>
                <c:pt idx="100">
                  <c:v>226.78246122004558</c:v>
                </c:pt>
                <c:pt idx="101">
                  <c:v>226.01934531939875</c:v>
                </c:pt>
                <c:pt idx="102">
                  <c:v>225.19512881360308</c:v>
                </c:pt>
                <c:pt idx="103">
                  <c:v>224.31010134373747</c:v>
                </c:pt>
                <c:pt idx="104">
                  <c:v>223.36452425243476</c:v>
                </c:pt>
                <c:pt idx="105">
                  <c:v>222.35863071186932</c:v>
                </c:pt>
                <c:pt idx="106">
                  <c:v>221.29262602627713</c:v>
                </c:pt>
                <c:pt idx="107">
                  <c:v>220.16668810727842</c:v>
                </c:pt>
                <c:pt idx="108">
                  <c:v>218.98096811969992</c:v>
                </c:pt>
                <c:pt idx="109">
                  <c:v>217.73559129503118</c:v>
                </c:pt>
                <c:pt idx="110">
                  <c:v>216.36168560180442</c:v>
                </c:pt>
                <c:pt idx="111">
                  <c:v>214.58928269522252</c:v>
                </c:pt>
                <c:pt idx="112">
                  <c:v>213.1136001303399</c:v>
                </c:pt>
                <c:pt idx="113">
                  <c:v>211.58033001961607</c:v>
                </c:pt>
                <c:pt idx="114">
                  <c:v>209.98970780181341</c:v>
                </c:pt>
                <c:pt idx="115">
                  <c:v>208.3419430343574</c:v>
                </c:pt>
                <c:pt idx="116">
                  <c:v>206.63722042109481</c:v>
                </c:pt>
                <c:pt idx="117">
                  <c:v>204.87570100075004</c:v>
                </c:pt>
                <c:pt idx="118">
                  <c:v>203.05752349191422</c:v>
                </c:pt>
                <c:pt idx="119">
                  <c:v>201.18280578986742</c:v>
                </c:pt>
                <c:pt idx="120">
                  <c:v>199.25164661001102</c:v>
                </c:pt>
                <c:pt idx="121">
                  <c:v>197.26412727228225</c:v>
                </c:pt>
                <c:pt idx="122">
                  <c:v>195.22031361973691</c:v>
                </c:pt>
                <c:pt idx="123">
                  <c:v>193.12025806609782</c:v>
                </c:pt>
                <c:pt idx="124">
                  <c:v>190.96400253776187</c:v>
                </c:pt>
                <c:pt idx="125">
                  <c:v>188.75159910363763</c:v>
                </c:pt>
                <c:pt idx="126">
                  <c:v>186.47169435670887</c:v>
                </c:pt>
                <c:pt idx="127">
                  <c:v>184.09370482748503</c:v>
                </c:pt>
                <c:pt idx="128">
                  <c:v>181.66161112190309</c:v>
                </c:pt>
                <c:pt idx="129">
                  <c:v>179.17608281237992</c:v>
                </c:pt>
                <c:pt idx="130">
                  <c:v>176.63779802611074</c:v>
                </c:pt>
                <c:pt idx="131">
                  <c:v>174.04744357421225</c:v>
                </c:pt>
                <c:pt idx="132">
                  <c:v>171.4057151085062</c:v>
                </c:pt>
                <c:pt idx="133">
                  <c:v>168.71331730513967</c:v>
                </c:pt>
                <c:pt idx="134">
                  <c:v>165.97096407260278</c:v>
                </c:pt>
                <c:pt idx="135">
                  <c:v>163.12243985806012</c:v>
                </c:pt>
                <c:pt idx="136">
                  <c:v>160.21703668885587</c:v>
                </c:pt>
                <c:pt idx="137">
                  <c:v>157.27136071522042</c:v>
                </c:pt>
                <c:pt idx="138">
                  <c:v>154.28607182195509</c:v>
                </c:pt>
                <c:pt idx="139">
                  <c:v>151.26182395047837</c:v>
                </c:pt>
                <c:pt idx="140">
                  <c:v>148.19924181891147</c:v>
                </c:pt>
                <c:pt idx="141">
                  <c:v>145.09892124876276</c:v>
                </c:pt>
                <c:pt idx="142">
                  <c:v>141.96143059833256</c:v>
                </c:pt>
                <c:pt idx="143">
                  <c:v>138.78731233890036</c:v>
                </c:pt>
                <c:pt idx="144">
                  <c:v>135.57708476588957</c:v>
                </c:pt>
                <c:pt idx="145">
                  <c:v>132.33124383838819</c:v>
                </c:pt>
                <c:pt idx="146">
                  <c:v>129.05026513945893</c:v>
                </c:pt>
                <c:pt idx="147">
                  <c:v>125.73460594936442</c:v>
                </c:pt>
                <c:pt idx="148">
                  <c:v>122.38470742348137</c:v>
                </c:pt>
                <c:pt idx="149">
                  <c:v>119.00099686634562</c:v>
                </c:pt>
                <c:pt idx="150">
                  <c:v>115.12364831643197</c:v>
                </c:pt>
                <c:pt idx="151">
                  <c:v>111.03426382809529</c:v>
                </c:pt>
                <c:pt idx="152">
                  <c:v>107.52801014615488</c:v>
                </c:pt>
                <c:pt idx="153">
                  <c:v>103.99318406233562</c:v>
                </c:pt>
                <c:pt idx="154">
                  <c:v>100.43027152123823</c:v>
                </c:pt>
                <c:pt idx="155">
                  <c:v>96.839744748292333</c:v>
                </c:pt>
                <c:pt idx="156">
                  <c:v>93.222064637828851</c:v>
                </c:pt>
                <c:pt idx="157">
                  <c:v>89.57768321972361</c:v>
                </c:pt>
                <c:pt idx="158">
                  <c:v>85.907046195362867</c:v>
                </c:pt>
                <c:pt idx="159">
                  <c:v>82.210595533427693</c:v>
                </c:pt>
                <c:pt idx="160">
                  <c:v>78.488772115766707</c:v>
                </c:pt>
                <c:pt idx="161">
                  <c:v>74.742018423466305</c:v>
                </c:pt>
                <c:pt idx="162">
                  <c:v>70.970781252808223</c:v>
                </c:pt>
                <c:pt idx="163">
                  <c:v>67.175514451441458</c:v>
                </c:pt>
                <c:pt idx="164">
                  <c:v>63.356681718767909</c:v>
                </c:pt>
                <c:pt idx="165">
                  <c:v>59.514759552632064</c:v>
                </c:pt>
                <c:pt idx="166">
                  <c:v>55.650602829241656</c:v>
                </c:pt>
                <c:pt idx="167">
                  <c:v>51.769489982791093</c:v>
                </c:pt>
                <c:pt idx="168">
                  <c:v>47.873404812834224</c:v>
                </c:pt>
                <c:pt idx="169">
                  <c:v>43.963402102145928</c:v>
                </c:pt>
                <c:pt idx="170">
                  <c:v>40.040538130463254</c:v>
                </c:pt>
                <c:pt idx="171">
                  <c:v>36.105870923825357</c:v>
                </c:pt>
                <c:pt idx="172">
                  <c:v>32.16046051229663</c:v>
                </c:pt>
                <c:pt idx="173">
                  <c:v>28.205369193772828</c:v>
                </c:pt>
                <c:pt idx="174">
                  <c:v>24.241661801200809</c:v>
                </c:pt>
                <c:pt idx="175">
                  <c:v>20.248609508860046</c:v>
                </c:pt>
                <c:pt idx="176">
                  <c:v>16.249597056121029</c:v>
                </c:pt>
                <c:pt idx="177">
                  <c:v>12.251817236276976</c:v>
                </c:pt>
                <c:pt idx="178">
                  <c:v>8.2558843278495768</c:v>
                </c:pt>
                <c:pt idx="179">
                  <c:v>4.2624007627831588</c:v>
                </c:pt>
                <c:pt idx="180">
                  <c:v>0.27195011960164911</c:v>
                </c:pt>
                <c:pt idx="181">
                  <c:v>-3.7149006690512838</c:v>
                </c:pt>
                <c:pt idx="182">
                  <c:v>-7.6975987194553204</c:v>
                </c:pt>
                <c:pt idx="183">
                  <c:v>-11.675602558470745</c:v>
                </c:pt>
                <c:pt idx="184">
                  <c:v>-15.648379454072607</c:v>
                </c:pt>
                <c:pt idx="185">
                  <c:v>-19.615402725028336</c:v>
                </c:pt>
                <c:pt idx="186">
                  <c:v>-23.576149040049245</c:v>
                </c:pt>
                <c:pt idx="187">
                  <c:v>-27.530095716747059</c:v>
                </c:pt>
                <c:pt idx="188">
                  <c:v>-31.476718030698894</c:v>
                </c:pt>
                <c:pt idx="189">
                  <c:v>-35.415486544863946</c:v>
                </c:pt>
                <c:pt idx="190">
                  <c:v>-39.982023473030786</c:v>
                </c:pt>
                <c:pt idx="191">
                  <c:v>-44.474921092583507</c:v>
                </c:pt>
                <c:pt idx="192">
                  <c:v>-48.371130826132692</c:v>
                </c:pt>
                <c:pt idx="193">
                  <c:v>-52.253528473212498</c:v>
                </c:pt>
                <c:pt idx="194">
                  <c:v>-56.121604962262928</c:v>
                </c:pt>
                <c:pt idx="195">
                  <c:v>-59.974846359377239</c:v>
                </c:pt>
                <c:pt idx="196">
                  <c:v>-63.81273123731993</c:v>
                </c:pt>
                <c:pt idx="197">
                  <c:v>-67.634728084866325</c:v>
                </c:pt>
                <c:pt idx="198">
                  <c:v>-71.440292766467195</c:v>
                </c:pt>
                <c:pt idx="199">
                  <c:v>-75.228866042098176</c:v>
                </c:pt>
                <c:pt idx="200">
                  <c:v>-78.999871156980518</c:v>
                </c:pt>
                <c:pt idx="201">
                  <c:v>-82.752711510696216</c:v>
                </c:pt>
                <c:pt idx="202">
                  <c:v>-86.486768414683567</c:v>
                </c:pt>
                <c:pt idx="203">
                  <c:v>-90.201398947726375</c:v>
                </c:pt>
                <c:pt idx="204">
                  <c:v>-93.895934607521397</c:v>
                </c:pt>
                <c:pt idx="205">
                  <c:v>-97.569697425925156</c:v>
                </c:pt>
                <c:pt idx="206">
                  <c:v>-101.21002424958461</c:v>
                </c:pt>
                <c:pt idx="207">
                  <c:v>-104.77824457864305</c:v>
                </c:pt>
                <c:pt idx="208">
                  <c:v>-108.31529966178863</c:v>
                </c:pt>
                <c:pt idx="209">
                  <c:v>-111.82024305047126</c:v>
                </c:pt>
                <c:pt idx="210">
                  <c:v>-115.29213455744048</c:v>
                </c:pt>
                <c:pt idx="211">
                  <c:v>-118.73004000387687</c:v>
                </c:pt>
                <c:pt idx="212">
                  <c:v>-122.13303098132158</c:v>
                </c:pt>
                <c:pt idx="213">
                  <c:v>-125.50018463112156</c:v>
                </c:pt>
                <c:pt idx="214">
                  <c:v>-128.83058344304357</c:v>
                </c:pt>
                <c:pt idx="215">
                  <c:v>-132.09977026776326</c:v>
                </c:pt>
                <c:pt idx="216">
                  <c:v>-135.32120963332764</c:v>
                </c:pt>
                <c:pt idx="217">
                  <c:v>-138.50048769130174</c:v>
                </c:pt>
                <c:pt idx="218">
                  <c:v>-141.63732319719057</c:v>
                </c:pt>
                <c:pt idx="219">
                  <c:v>-144.73144711312605</c:v>
                </c:pt>
                <c:pt idx="220">
                  <c:v>-147.78259006305873</c:v>
                </c:pt>
                <c:pt idx="221">
                  <c:v>-150.79047927729428</c:v>
                </c:pt>
                <c:pt idx="222">
                  <c:v>-153.7548360471296</c:v>
                </c:pt>
                <c:pt idx="223">
                  <c:v>-156.67537325886494</c:v>
                </c:pt>
                <c:pt idx="224">
                  <c:v>-159.55179301510876</c:v>
                </c:pt>
                <c:pt idx="225">
                  <c:v>-162.383784352486</c:v>
                </c:pt>
                <c:pt idx="226">
                  <c:v>-165.17102106400822</c:v>
                </c:pt>
                <c:pt idx="227">
                  <c:v>-167.91315963406001</c:v>
                </c:pt>
                <c:pt idx="228">
                  <c:v>-170.60983729356136</c:v>
                </c:pt>
                <c:pt idx="229">
                  <c:v>-173.26067020244184</c:v>
                </c:pt>
                <c:pt idx="230">
                  <c:v>-176.37966212876779</c:v>
                </c:pt>
                <c:pt idx="231">
                  <c:v>-179.1737961503529</c:v>
                </c:pt>
                <c:pt idx="232">
                  <c:v>-181.6368820996355</c:v>
                </c:pt>
                <c:pt idx="233">
                  <c:v>-184.05023430286352</c:v>
                </c:pt>
                <c:pt idx="234">
                  <c:v>-186.41355876175871</c:v>
                </c:pt>
                <c:pt idx="235">
                  <c:v>-188.7265403093237</c:v>
                </c:pt>
                <c:pt idx="236">
                  <c:v>-190.98884096701701</c:v>
                </c:pt>
                <c:pt idx="237">
                  <c:v>-193.20009844227408</c:v>
                </c:pt>
                <c:pt idx="238">
                  <c:v>-195.35992477245372</c:v>
                </c:pt>
                <c:pt idx="239">
                  <c:v>-197.46790512081097</c:v>
                </c:pt>
                <c:pt idx="240">
                  <c:v>-199.52359672960776</c:v>
                </c:pt>
                <c:pt idx="241">
                  <c:v>-201.52652803506055</c:v>
                </c:pt>
                <c:pt idx="242">
                  <c:v>-203.47619794758157</c:v>
                </c:pt>
                <c:pt idx="243">
                  <c:v>-205.37207530237009</c:v>
                </c:pt>
                <c:pt idx="244">
                  <c:v>-207.21359959387826</c:v>
                </c:pt>
                <c:pt idx="245">
                  <c:v>-209.000208612493</c:v>
                </c:pt>
                <c:pt idx="246">
                  <c:v>-210.71335615790531</c:v>
                </c:pt>
                <c:pt idx="247">
                  <c:v>-212.29907402125352</c:v>
                </c:pt>
                <c:pt idx="248">
                  <c:v>-213.82207163419562</c:v>
                </c:pt>
                <c:pt idx="249">
                  <c:v>-215.28195373620113</c:v>
                </c:pt>
                <c:pt idx="250">
                  <c:v>-216.67833615657003</c:v>
                </c:pt>
                <c:pt idx="251">
                  <c:v>-218.01084567635419</c:v>
                </c:pt>
                <c:pt idx="252">
                  <c:v>-219.27911992133662</c:v>
                </c:pt>
                <c:pt idx="253">
                  <c:v>-220.48280728792699</c:v>
                </c:pt>
                <c:pt idx="254">
                  <c:v>-221.62156690184079</c:v>
                </c:pt>
                <c:pt idx="255">
                  <c:v>-222.63719941068871</c:v>
                </c:pt>
                <c:pt idx="256">
                  <c:v>-223.57371840762039</c:v>
                </c:pt>
                <c:pt idx="257">
                  <c:v>-224.44687516665863</c:v>
                </c:pt>
                <c:pt idx="258">
                  <c:v>-225.2568530747601</c:v>
                </c:pt>
                <c:pt idx="259">
                  <c:v>-226.00384237394158</c:v>
                </c:pt>
                <c:pt idx="260">
                  <c:v>-226.68801393467524</c:v>
                </c:pt>
                <c:pt idx="261">
                  <c:v>-227.30951678218759</c:v>
                </c:pt>
                <c:pt idx="262">
                  <c:v>-227.86847679369262</c:v>
                </c:pt>
                <c:pt idx="263">
                  <c:v>-228.36499555862133</c:v>
                </c:pt>
                <c:pt idx="264">
                  <c:v>-228.79914940371589</c:v>
                </c:pt>
                <c:pt idx="265">
                  <c:v>-229.17098858667799</c:v>
                </c:pt>
                <c:pt idx="266">
                  <c:v>-229.48053666069475</c:v>
                </c:pt>
                <c:pt idx="267">
                  <c:v>-229.72779001169766</c:v>
                </c:pt>
                <c:pt idx="268">
                  <c:v>-229.91271756963414</c:v>
                </c:pt>
                <c:pt idx="269">
                  <c:v>-230.03526069443876</c:v>
                </c:pt>
                <c:pt idx="270">
                  <c:v>-230.24729663286192</c:v>
                </c:pt>
                <c:pt idx="271">
                  <c:v>-230.03526069443913</c:v>
                </c:pt>
                <c:pt idx="272">
                  <c:v>-229.91271756963462</c:v>
                </c:pt>
                <c:pt idx="273">
                  <c:v>-229.72779001169843</c:v>
                </c:pt>
                <c:pt idx="274">
                  <c:v>-229.48053666069569</c:v>
                </c:pt>
                <c:pt idx="275">
                  <c:v>-229.17098858667919</c:v>
                </c:pt>
                <c:pt idx="276">
                  <c:v>-228.79914940371717</c:v>
                </c:pt>
                <c:pt idx="277">
                  <c:v>-228.36499555862281</c:v>
                </c:pt>
                <c:pt idx="278">
                  <c:v>-227.8684767936943</c:v>
                </c:pt>
                <c:pt idx="279">
                  <c:v>-227.30951678218949</c:v>
                </c:pt>
                <c:pt idx="280">
                  <c:v>-226.68801393467743</c:v>
                </c:pt>
                <c:pt idx="281">
                  <c:v>-226.00384237394402</c:v>
                </c:pt>
                <c:pt idx="282">
                  <c:v>-225.25685307476272</c:v>
                </c:pt>
                <c:pt idx="283">
                  <c:v>-224.44687516666147</c:v>
                </c:pt>
                <c:pt idx="284">
                  <c:v>-223.57371840762332</c:v>
                </c:pt>
                <c:pt idx="285">
                  <c:v>-222.63719941069189</c:v>
                </c:pt>
                <c:pt idx="286">
                  <c:v>-221.62156690184437</c:v>
                </c:pt>
                <c:pt idx="287">
                  <c:v>-220.48280728793088</c:v>
                </c:pt>
                <c:pt idx="288">
                  <c:v>-219.27911992134065</c:v>
                </c:pt>
                <c:pt idx="289">
                  <c:v>-218.01084567635857</c:v>
                </c:pt>
                <c:pt idx="290">
                  <c:v>-216.67833615657443</c:v>
                </c:pt>
                <c:pt idx="291">
                  <c:v>-215.28195373620585</c:v>
                </c:pt>
                <c:pt idx="292">
                  <c:v>-213.82207163420051</c:v>
                </c:pt>
                <c:pt idx="293">
                  <c:v>-212.29907402125863</c:v>
                </c:pt>
                <c:pt idx="294">
                  <c:v>-210.71335615791054</c:v>
                </c:pt>
                <c:pt idx="295">
                  <c:v>-209.00020861249877</c:v>
                </c:pt>
                <c:pt idx="296">
                  <c:v>-207.21359959388425</c:v>
                </c:pt>
                <c:pt idx="297">
                  <c:v>-205.37207530237615</c:v>
                </c:pt>
                <c:pt idx="298">
                  <c:v>-203.47619794758791</c:v>
                </c:pt>
                <c:pt idx="299">
                  <c:v>-201.52652803506703</c:v>
                </c:pt>
                <c:pt idx="300">
                  <c:v>-199.5235967296145</c:v>
                </c:pt>
                <c:pt idx="301">
                  <c:v>-197.46790512081785</c:v>
                </c:pt>
                <c:pt idx="302">
                  <c:v>-195.35992477246077</c:v>
                </c:pt>
                <c:pt idx="303">
                  <c:v>-193.20009844228125</c:v>
                </c:pt>
                <c:pt idx="304">
                  <c:v>-190.9888409670244</c:v>
                </c:pt>
                <c:pt idx="305">
                  <c:v>-188.72654030933123</c:v>
                </c:pt>
                <c:pt idx="306">
                  <c:v>-186.41355876176638</c:v>
                </c:pt>
                <c:pt idx="307">
                  <c:v>-184.05023430287142</c:v>
                </c:pt>
                <c:pt idx="308">
                  <c:v>-181.63688209964349</c:v>
                </c:pt>
                <c:pt idx="309">
                  <c:v>-179.17379615036108</c:v>
                </c:pt>
                <c:pt idx="310">
                  <c:v>-176.3796621287762</c:v>
                </c:pt>
                <c:pt idx="311">
                  <c:v>-173.26067020245054</c:v>
                </c:pt>
                <c:pt idx="312">
                  <c:v>-170.60983729357008</c:v>
                </c:pt>
                <c:pt idx="313">
                  <c:v>-167.91315963406893</c:v>
                </c:pt>
                <c:pt idx="314">
                  <c:v>-165.17102106401734</c:v>
                </c:pt>
                <c:pt idx="315">
                  <c:v>-162.38378435249524</c:v>
                </c:pt>
                <c:pt idx="316">
                  <c:v>-159.55179301511814</c:v>
                </c:pt>
                <c:pt idx="317">
                  <c:v>-156.67537325887449</c:v>
                </c:pt>
                <c:pt idx="318">
                  <c:v>-153.75483604713926</c:v>
                </c:pt>
                <c:pt idx="319">
                  <c:v>-150.79047927730403</c:v>
                </c:pt>
                <c:pt idx="320">
                  <c:v>-147.78259006306865</c:v>
                </c:pt>
                <c:pt idx="321">
                  <c:v>-144.73144711313617</c:v>
                </c:pt>
                <c:pt idx="322">
                  <c:v>-141.6373231972008</c:v>
                </c:pt>
                <c:pt idx="323">
                  <c:v>-138.50048769131212</c:v>
                </c:pt>
                <c:pt idx="324">
                  <c:v>-135.32120963333816</c:v>
                </c:pt>
                <c:pt idx="325">
                  <c:v>-132.09977026777395</c:v>
                </c:pt>
                <c:pt idx="326">
                  <c:v>-128.83058344305439</c:v>
                </c:pt>
                <c:pt idx="327">
                  <c:v>-125.50018463113253</c:v>
                </c:pt>
                <c:pt idx="328">
                  <c:v>-122.13303098133262</c:v>
                </c:pt>
                <c:pt idx="329">
                  <c:v>-118.73004000388809</c:v>
                </c:pt>
                <c:pt idx="330">
                  <c:v>-115.2921345574518</c:v>
                </c:pt>
                <c:pt idx="331">
                  <c:v>-111.82024305048272</c:v>
                </c:pt>
                <c:pt idx="332">
                  <c:v>-108.3152996618002</c:v>
                </c:pt>
                <c:pt idx="333">
                  <c:v>-104.77824457865468</c:v>
                </c:pt>
                <c:pt idx="334">
                  <c:v>-101.21002424959637</c:v>
                </c:pt>
                <c:pt idx="335">
                  <c:v>-97.56969742593715</c:v>
                </c:pt>
                <c:pt idx="336">
                  <c:v>-93.895934607533505</c:v>
                </c:pt>
                <c:pt idx="337">
                  <c:v>-90.201398947738554</c:v>
                </c:pt>
                <c:pt idx="338">
                  <c:v>-86.486768414695703</c:v>
                </c:pt>
                <c:pt idx="339">
                  <c:v>-82.752711510708465</c:v>
                </c:pt>
                <c:pt idx="340">
                  <c:v>-78.999871156992853</c:v>
                </c:pt>
                <c:pt idx="341">
                  <c:v>-75.228866042110582</c:v>
                </c:pt>
                <c:pt idx="342">
                  <c:v>-71.440292766479629</c:v>
                </c:pt>
                <c:pt idx="343">
                  <c:v>-67.634728084878802</c:v>
                </c:pt>
                <c:pt idx="344">
                  <c:v>-63.812731237332471</c:v>
                </c:pt>
                <c:pt idx="345">
                  <c:v>-59.974846359389829</c:v>
                </c:pt>
                <c:pt idx="346">
                  <c:v>-56.121604962275562</c:v>
                </c:pt>
                <c:pt idx="347">
                  <c:v>-52.253528473225167</c:v>
                </c:pt>
                <c:pt idx="348">
                  <c:v>-48.371130826145439</c:v>
                </c:pt>
                <c:pt idx="349">
                  <c:v>-44.474921092596269</c:v>
                </c:pt>
                <c:pt idx="350">
                  <c:v>-39.982023473043533</c:v>
                </c:pt>
                <c:pt idx="351">
                  <c:v>-35.415486544876828</c:v>
                </c:pt>
                <c:pt idx="352">
                  <c:v>-31.476718030711798</c:v>
                </c:pt>
                <c:pt idx="353">
                  <c:v>-27.530095716759984</c:v>
                </c:pt>
                <c:pt idx="354">
                  <c:v>-23.576149040062194</c:v>
                </c:pt>
                <c:pt idx="355">
                  <c:v>-19.615402725041317</c:v>
                </c:pt>
                <c:pt idx="356">
                  <c:v>-15.648379454085605</c:v>
                </c:pt>
                <c:pt idx="357">
                  <c:v>-11.67560255848376</c:v>
                </c:pt>
                <c:pt idx="358">
                  <c:v>-7.6975987194683455</c:v>
                </c:pt>
                <c:pt idx="359">
                  <c:v>-3.7149006690643294</c:v>
                </c:pt>
                <c:pt idx="360">
                  <c:v>0.27195011958860638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6-4EFF-9FED-91A8171ACB73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96-4EFF-9FED-91A8171ACB73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149.66074281136034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-1.2316074086508404E-14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96-4EFF-9FED-91A8171ACB73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149.66074281136034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-1.2316074086508404E-14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96-4EFF-9FED-91A8171A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9</c:v>
                </c:pt>
                <c:pt idx="1">
                  <c:v>8.9986292564075221</c:v>
                </c:pt>
                <c:pt idx="2">
                  <c:v>8.994517443171862</c:v>
                </c:pt>
                <c:pt idx="3">
                  <c:v>8.9876658127911639</c:v>
                </c:pt>
                <c:pt idx="4">
                  <c:v>8.9780764523384171</c:v>
                </c:pt>
                <c:pt idx="5">
                  <c:v>8.9657522828257097</c:v>
                </c:pt>
                <c:pt idx="6">
                  <c:v>8.9506970583144589</c:v>
                </c:pt>
                <c:pt idx="7">
                  <c:v>8.9329153647718975</c:v>
                </c:pt>
                <c:pt idx="8">
                  <c:v>8.9124126186741339</c:v>
                </c:pt>
                <c:pt idx="9">
                  <c:v>8.8891950653562404</c:v>
                </c:pt>
                <c:pt idx="10">
                  <c:v>8.8632697771098723</c:v>
                </c:pt>
                <c:pt idx="11">
                  <c:v>8.8346446510289756</c:v>
                </c:pt>
                <c:pt idx="12">
                  <c:v>8.8033284066042512</c:v>
                </c:pt>
                <c:pt idx="13">
                  <c:v>8.7693305830671164</c:v>
                </c:pt>
                <c:pt idx="14">
                  <c:v>8.7326615364839686</c:v>
                </c:pt>
                <c:pt idx="15">
                  <c:v>8.6933324366016151</c:v>
                </c:pt>
                <c:pt idx="16">
                  <c:v>8.65135526344487</c:v>
                </c:pt>
                <c:pt idx="17">
                  <c:v>8.6067428036673181</c:v>
                </c:pt>
                <c:pt idx="18">
                  <c:v>8.559508646656381</c:v>
                </c:pt>
                <c:pt idx="19">
                  <c:v>8.5096671803938513</c:v>
                </c:pt>
                <c:pt idx="20">
                  <c:v>8.4572335870731763</c:v>
                </c:pt>
                <c:pt idx="21">
                  <c:v>8.402223838474816</c:v>
                </c:pt>
                <c:pt idx="22">
                  <c:v>8.3446546911010877</c:v>
                </c:pt>
                <c:pt idx="23">
                  <c:v>8.2845436810719626</c:v>
                </c:pt>
                <c:pt idx="24">
                  <c:v>8.2219091187834081</c:v>
                </c:pt>
                <c:pt idx="25">
                  <c:v>8.1567700833298495</c:v>
                </c:pt>
                <c:pt idx="26">
                  <c:v>8.089146416692504</c:v>
                </c:pt>
                <c:pt idx="27">
                  <c:v>8.0190587176953105</c:v>
                </c:pt>
                <c:pt idx="28">
                  <c:v>7.9465283357303429</c:v>
                </c:pt>
                <c:pt idx="29">
                  <c:v>7.8715773642545619</c:v>
                </c:pt>
                <c:pt idx="30">
                  <c:v>7.794228634059948</c:v>
                </c:pt>
                <c:pt idx="31">
                  <c:v>7.7145057063190112</c:v>
                </c:pt>
                <c:pt idx="32">
                  <c:v>7.6324328654078339</c:v>
                </c:pt>
                <c:pt idx="33">
                  <c:v>7.5480351115088169</c:v>
                </c:pt>
                <c:pt idx="34">
                  <c:v>7.4613381529953742</c:v>
                </c:pt>
                <c:pt idx="35">
                  <c:v>7.3723683986009263</c:v>
                </c:pt>
                <c:pt idx="36">
                  <c:v>7.2811529493745271</c:v>
                </c:pt>
                <c:pt idx="37">
                  <c:v>7.187719590425635</c:v>
                </c:pt>
                <c:pt idx="38">
                  <c:v>7.092096782460497</c:v>
                </c:pt>
                <c:pt idx="39">
                  <c:v>6.9943136531127381</c:v>
                </c:pt>
                <c:pt idx="40">
                  <c:v>6.894399988070802</c:v>
                </c:pt>
                <c:pt idx="41">
                  <c:v>6.7923862220049482</c:v>
                </c:pt>
                <c:pt idx="42">
                  <c:v>6.688303429296548</c:v>
                </c:pt>
                <c:pt idx="43">
                  <c:v>6.5821833145725339</c:v>
                </c:pt>
                <c:pt idx="44">
                  <c:v>6.4740582030478606</c:v>
                </c:pt>
                <c:pt idx="45">
                  <c:v>6.3639610306789285</c:v>
                </c:pt>
                <c:pt idx="46">
                  <c:v>6.2519253341309753</c:v>
                </c:pt>
                <c:pt idx="47">
                  <c:v>6.137985240562486</c:v>
                </c:pt>
                <c:pt idx="48">
                  <c:v>6.0221754572297241</c:v>
                </c:pt>
                <c:pt idx="49">
                  <c:v>5.904531260914565</c:v>
                </c:pt>
                <c:pt idx="50">
                  <c:v>5.7850884871788546</c:v>
                </c:pt>
                <c:pt idx="51">
                  <c:v>5.6638835194485377</c:v>
                </c:pt>
                <c:pt idx="52">
                  <c:v>5.5409532779309245</c:v>
                </c:pt>
                <c:pt idx="53">
                  <c:v>5.4163352083684355</c:v>
                </c:pt>
                <c:pt idx="54">
                  <c:v>5.2900672706322585</c:v>
                </c:pt>
                <c:pt idx="55">
                  <c:v>5.1621879271594153</c:v>
                </c:pt>
                <c:pt idx="56">
                  <c:v>5.0327361312367209</c:v>
                </c:pt>
                <c:pt idx="57">
                  <c:v>4.9017513151352441</c:v>
                </c:pt>
                <c:pt idx="58">
                  <c:v>4.7692733780988439</c:v>
                </c:pt>
                <c:pt idx="59">
                  <c:v>4.6353426741904871</c:v>
                </c:pt>
                <c:pt idx="60">
                  <c:v>4.5000000000000009</c:v>
                </c:pt>
                <c:pt idx="61">
                  <c:v>4.3632865822170341</c:v>
                </c:pt>
                <c:pt idx="62">
                  <c:v>4.2252440650730181</c:v>
                </c:pt>
                <c:pt idx="63">
                  <c:v>4.0859144976559216</c:v>
                </c:pt>
                <c:pt idx="64">
                  <c:v>3.9453403211016971</c:v>
                </c:pt>
                <c:pt idx="65">
                  <c:v>3.8035643556662948</c:v>
                </c:pt>
                <c:pt idx="66">
                  <c:v>3.6606297876822018</c:v>
                </c:pt>
                <c:pt idx="67">
                  <c:v>3.5165801564034633</c:v>
                </c:pt>
                <c:pt idx="68">
                  <c:v>3.3714593407432076</c:v>
                </c:pt>
                <c:pt idx="69">
                  <c:v>3.2253115459077035</c:v>
                </c:pt>
                <c:pt idx="70">
                  <c:v>3.0781812899310195</c:v>
                </c:pt>
                <c:pt idx="71">
                  <c:v>2.930113390114411</c:v>
                </c:pt>
                <c:pt idx="72">
                  <c:v>2.7811529493745271</c:v>
                </c:pt>
                <c:pt idx="73">
                  <c:v>2.6313453425046309</c:v>
                </c:pt>
                <c:pt idx="74">
                  <c:v>2.4807362023529924</c:v>
                </c:pt>
                <c:pt idx="75">
                  <c:v>2.3293714059226867</c:v>
                </c:pt>
                <c:pt idx="76">
                  <c:v>2.177297060397009</c:v>
                </c:pt>
                <c:pt idx="77">
                  <c:v>2.0245594890947842</c:v>
                </c:pt>
                <c:pt idx="78">
                  <c:v>1.871205217359835</c:v>
                </c:pt>
                <c:pt idx="79">
                  <c:v>1.7172809583889042</c:v>
                </c:pt>
                <c:pt idx="80">
                  <c:v>1.5628335990023738</c:v>
                </c:pt>
                <c:pt idx="81">
                  <c:v>1.4079101853620783</c:v>
                </c:pt>
                <c:pt idx="82">
                  <c:v>1.2525579086405891</c:v>
                </c:pt>
                <c:pt idx="83">
                  <c:v>1.0968240906463274</c:v>
                </c:pt>
                <c:pt idx="84">
                  <c:v>0.94075616940888107</c:v>
                </c:pt>
                <c:pt idx="85">
                  <c:v>0.78440168472892324</c:v>
                </c:pt>
                <c:pt idx="86">
                  <c:v>0.62780826369712706</c:v>
                </c:pt>
                <c:pt idx="87">
                  <c:v>0.47102360618649569</c:v>
                </c:pt>
                <c:pt idx="88">
                  <c:v>0.31409547032250973</c:v>
                </c:pt>
                <c:pt idx="89">
                  <c:v>0.15707165793555239</c:v>
                </c:pt>
                <c:pt idx="90">
                  <c:v>5.51316804708879E-16</c:v>
                </c:pt>
                <c:pt idx="91">
                  <c:v>-0.15707165793555128</c:v>
                </c:pt>
                <c:pt idx="92">
                  <c:v>-0.31409547032250862</c:v>
                </c:pt>
                <c:pt idx="93">
                  <c:v>-0.47102360618649458</c:v>
                </c:pt>
                <c:pt idx="94">
                  <c:v>-0.62780826369712794</c:v>
                </c:pt>
                <c:pt idx="95">
                  <c:v>-0.78440168472892413</c:v>
                </c:pt>
                <c:pt idx="96">
                  <c:v>-0.94075616940888196</c:v>
                </c:pt>
                <c:pt idx="97">
                  <c:v>-1.0968240906463262</c:v>
                </c:pt>
                <c:pt idx="98">
                  <c:v>-1.2525579086405882</c:v>
                </c:pt>
                <c:pt idx="99">
                  <c:v>-1.4079101853620772</c:v>
                </c:pt>
                <c:pt idx="100">
                  <c:v>-1.5628335990023727</c:v>
                </c:pt>
                <c:pt idx="101">
                  <c:v>-1.7172809583889033</c:v>
                </c:pt>
                <c:pt idx="102">
                  <c:v>-1.8712052173598341</c:v>
                </c:pt>
                <c:pt idx="103">
                  <c:v>-2.0245594890947851</c:v>
                </c:pt>
                <c:pt idx="104">
                  <c:v>-2.1772970603970099</c:v>
                </c:pt>
                <c:pt idx="105">
                  <c:v>-2.3293714059226875</c:v>
                </c:pt>
                <c:pt idx="106">
                  <c:v>-2.4807362023529915</c:v>
                </c:pt>
                <c:pt idx="107">
                  <c:v>-2.63134534250463</c:v>
                </c:pt>
                <c:pt idx="108">
                  <c:v>-2.7811529493745262</c:v>
                </c:pt>
                <c:pt idx="109">
                  <c:v>-2.9301133901144096</c:v>
                </c:pt>
                <c:pt idx="110">
                  <c:v>-3.0781812899310186</c:v>
                </c:pt>
                <c:pt idx="111">
                  <c:v>-3.2253115459077026</c:v>
                </c:pt>
                <c:pt idx="112">
                  <c:v>-3.3714593407432085</c:v>
                </c:pt>
                <c:pt idx="113">
                  <c:v>-3.5165801564034638</c:v>
                </c:pt>
                <c:pt idx="114">
                  <c:v>-3.6606297876822023</c:v>
                </c:pt>
                <c:pt idx="115">
                  <c:v>-3.8035643556662939</c:v>
                </c:pt>
                <c:pt idx="116">
                  <c:v>-3.9453403211016975</c:v>
                </c:pt>
                <c:pt idx="117">
                  <c:v>-4.0859144976559199</c:v>
                </c:pt>
                <c:pt idx="118">
                  <c:v>-4.2252440650730181</c:v>
                </c:pt>
                <c:pt idx="119">
                  <c:v>-4.3632865822170332</c:v>
                </c:pt>
                <c:pt idx="120">
                  <c:v>-4.4999999999999982</c:v>
                </c:pt>
                <c:pt idx="121">
                  <c:v>-4.635342674190488</c:v>
                </c:pt>
                <c:pt idx="122">
                  <c:v>-4.769273378098843</c:v>
                </c:pt>
                <c:pt idx="123">
                  <c:v>-4.9017513151352441</c:v>
                </c:pt>
                <c:pt idx="124">
                  <c:v>-5.03273613123672</c:v>
                </c:pt>
                <c:pt idx="125">
                  <c:v>-5.1621879271594153</c:v>
                </c:pt>
                <c:pt idx="126">
                  <c:v>-5.2900672706322576</c:v>
                </c:pt>
                <c:pt idx="127">
                  <c:v>-5.4163352083684355</c:v>
                </c:pt>
                <c:pt idx="128">
                  <c:v>-5.5409532779309245</c:v>
                </c:pt>
                <c:pt idx="129">
                  <c:v>-5.663883519448536</c:v>
                </c:pt>
                <c:pt idx="130">
                  <c:v>-5.7850884871788546</c:v>
                </c:pt>
                <c:pt idx="131">
                  <c:v>-5.9045312609145642</c:v>
                </c:pt>
                <c:pt idx="132">
                  <c:v>-6.0221754572297241</c:v>
                </c:pt>
                <c:pt idx="133">
                  <c:v>-6.1379852405624851</c:v>
                </c:pt>
                <c:pt idx="134">
                  <c:v>-6.2519253341309762</c:v>
                </c:pt>
                <c:pt idx="135">
                  <c:v>-6.3639610306789276</c:v>
                </c:pt>
                <c:pt idx="136">
                  <c:v>-6.4740582030478606</c:v>
                </c:pt>
                <c:pt idx="137">
                  <c:v>-6.5821833145725339</c:v>
                </c:pt>
                <c:pt idx="138">
                  <c:v>-6.6883034292965462</c:v>
                </c:pt>
                <c:pt idx="139">
                  <c:v>-6.7923862220049482</c:v>
                </c:pt>
                <c:pt idx="140">
                  <c:v>-6.8943999880708011</c:v>
                </c:pt>
                <c:pt idx="141">
                  <c:v>-6.9943136531127381</c:v>
                </c:pt>
                <c:pt idx="142">
                  <c:v>-7.092096782460497</c:v>
                </c:pt>
                <c:pt idx="143">
                  <c:v>-7.1877195904256368</c:v>
                </c:pt>
                <c:pt idx="144">
                  <c:v>-7.2811529493745262</c:v>
                </c:pt>
                <c:pt idx="145">
                  <c:v>-7.3723683986009272</c:v>
                </c:pt>
                <c:pt idx="146">
                  <c:v>-7.4613381529953742</c:v>
                </c:pt>
                <c:pt idx="147">
                  <c:v>-7.5480351115088151</c:v>
                </c:pt>
                <c:pt idx="148">
                  <c:v>-7.6324328654078339</c:v>
                </c:pt>
                <c:pt idx="149">
                  <c:v>-7.7145057063190103</c:v>
                </c:pt>
                <c:pt idx="150">
                  <c:v>-7.794228634059948</c:v>
                </c:pt>
                <c:pt idx="151">
                  <c:v>-7.8715773642545619</c:v>
                </c:pt>
                <c:pt idx="152">
                  <c:v>-7.9465283357303429</c:v>
                </c:pt>
                <c:pt idx="153">
                  <c:v>-8.0190587176953105</c:v>
                </c:pt>
                <c:pt idx="154">
                  <c:v>-8.089146416692504</c:v>
                </c:pt>
                <c:pt idx="155">
                  <c:v>-8.1567700833298495</c:v>
                </c:pt>
                <c:pt idx="156">
                  <c:v>-8.2219091187834064</c:v>
                </c:pt>
                <c:pt idx="157">
                  <c:v>-8.2845436810719626</c:v>
                </c:pt>
                <c:pt idx="158">
                  <c:v>-8.3446546911010859</c:v>
                </c:pt>
                <c:pt idx="159">
                  <c:v>-8.402223838474816</c:v>
                </c:pt>
                <c:pt idx="160">
                  <c:v>-8.4572335870731745</c:v>
                </c:pt>
                <c:pt idx="161">
                  <c:v>-8.5096671803938513</c:v>
                </c:pt>
                <c:pt idx="162">
                  <c:v>-8.559508646656381</c:v>
                </c:pt>
                <c:pt idx="163">
                  <c:v>-8.6067428036673199</c:v>
                </c:pt>
                <c:pt idx="164">
                  <c:v>-8.65135526344487</c:v>
                </c:pt>
                <c:pt idx="165">
                  <c:v>-8.6933324366016134</c:v>
                </c:pt>
                <c:pt idx="166">
                  <c:v>-8.7326615364839686</c:v>
                </c:pt>
                <c:pt idx="167">
                  <c:v>-8.7693305830671164</c:v>
                </c:pt>
                <c:pt idx="168">
                  <c:v>-8.8033284066042512</c:v>
                </c:pt>
                <c:pt idx="169">
                  <c:v>-8.8346446510289756</c:v>
                </c:pt>
                <c:pt idx="170">
                  <c:v>-8.8632697771098723</c:v>
                </c:pt>
                <c:pt idx="171">
                  <c:v>-8.8891950653562386</c:v>
                </c:pt>
                <c:pt idx="172">
                  <c:v>-8.9124126186741339</c:v>
                </c:pt>
                <c:pt idx="173">
                  <c:v>-8.9329153647718975</c:v>
                </c:pt>
                <c:pt idx="174">
                  <c:v>-8.9506970583144589</c:v>
                </c:pt>
                <c:pt idx="175">
                  <c:v>-8.9657522828257097</c:v>
                </c:pt>
                <c:pt idx="176">
                  <c:v>-8.9780764523384171</c:v>
                </c:pt>
                <c:pt idx="177">
                  <c:v>-8.9876658127911639</c:v>
                </c:pt>
                <c:pt idx="178">
                  <c:v>-8.994517443171862</c:v>
                </c:pt>
                <c:pt idx="179">
                  <c:v>-8.9986292564075221</c:v>
                </c:pt>
                <c:pt idx="180">
                  <c:v>-9</c:v>
                </c:pt>
                <c:pt idx="181">
                  <c:v>-8.9986292564075221</c:v>
                </c:pt>
                <c:pt idx="182">
                  <c:v>-8.994517443171862</c:v>
                </c:pt>
                <c:pt idx="183">
                  <c:v>-8.9876658127911639</c:v>
                </c:pt>
                <c:pt idx="184">
                  <c:v>-8.9780764523384171</c:v>
                </c:pt>
                <c:pt idx="185">
                  <c:v>-8.9657522828257097</c:v>
                </c:pt>
                <c:pt idx="186">
                  <c:v>-8.9506970583144589</c:v>
                </c:pt>
                <c:pt idx="187">
                  <c:v>-8.9329153647718993</c:v>
                </c:pt>
                <c:pt idx="188">
                  <c:v>-8.9124126186741321</c:v>
                </c:pt>
                <c:pt idx="189">
                  <c:v>-8.8891950653562404</c:v>
                </c:pt>
                <c:pt idx="190">
                  <c:v>-8.8632697771098723</c:v>
                </c:pt>
                <c:pt idx="191">
                  <c:v>-8.8346446510289756</c:v>
                </c:pt>
                <c:pt idx="192">
                  <c:v>-8.8033284066042494</c:v>
                </c:pt>
                <c:pt idx="193">
                  <c:v>-8.7693305830671164</c:v>
                </c:pt>
                <c:pt idx="194">
                  <c:v>-8.7326615364839686</c:v>
                </c:pt>
                <c:pt idx="195">
                  <c:v>-8.6933324366016151</c:v>
                </c:pt>
                <c:pt idx="196">
                  <c:v>-8.65135526344487</c:v>
                </c:pt>
                <c:pt idx="197">
                  <c:v>-8.6067428036673181</c:v>
                </c:pt>
                <c:pt idx="198">
                  <c:v>-8.5595086466563828</c:v>
                </c:pt>
                <c:pt idx="199">
                  <c:v>-8.5096671803938513</c:v>
                </c:pt>
                <c:pt idx="200">
                  <c:v>-8.4572335870731763</c:v>
                </c:pt>
                <c:pt idx="201">
                  <c:v>-8.402223838474816</c:v>
                </c:pt>
                <c:pt idx="202">
                  <c:v>-8.3446546911010877</c:v>
                </c:pt>
                <c:pt idx="203">
                  <c:v>-8.2845436810719626</c:v>
                </c:pt>
                <c:pt idx="204">
                  <c:v>-8.2219091187834081</c:v>
                </c:pt>
                <c:pt idx="205">
                  <c:v>-8.1567700833298495</c:v>
                </c:pt>
                <c:pt idx="206">
                  <c:v>-8.0891464166925022</c:v>
                </c:pt>
                <c:pt idx="207">
                  <c:v>-8.0190587176953105</c:v>
                </c:pt>
                <c:pt idx="208">
                  <c:v>-7.946528335730342</c:v>
                </c:pt>
                <c:pt idx="209">
                  <c:v>-7.8715773642545628</c:v>
                </c:pt>
                <c:pt idx="210">
                  <c:v>-7.7942286340599471</c:v>
                </c:pt>
                <c:pt idx="211">
                  <c:v>-7.7145057063190112</c:v>
                </c:pt>
                <c:pt idx="212">
                  <c:v>-7.6324328654078348</c:v>
                </c:pt>
                <c:pt idx="213">
                  <c:v>-7.5480351115088169</c:v>
                </c:pt>
                <c:pt idx="214">
                  <c:v>-7.4613381529953768</c:v>
                </c:pt>
                <c:pt idx="215">
                  <c:v>-7.3723683986009263</c:v>
                </c:pt>
                <c:pt idx="216">
                  <c:v>-7.2811529493745279</c:v>
                </c:pt>
                <c:pt idx="217">
                  <c:v>-7.187719590425635</c:v>
                </c:pt>
                <c:pt idx="218">
                  <c:v>-7.0920967824604979</c:v>
                </c:pt>
                <c:pt idx="219">
                  <c:v>-6.9943136531127372</c:v>
                </c:pt>
                <c:pt idx="220">
                  <c:v>-6.894399988070802</c:v>
                </c:pt>
                <c:pt idx="221">
                  <c:v>-6.7923862220049491</c:v>
                </c:pt>
                <c:pt idx="222">
                  <c:v>-6.688303429296548</c:v>
                </c:pt>
                <c:pt idx="223">
                  <c:v>-6.5821833145725348</c:v>
                </c:pt>
                <c:pt idx="224">
                  <c:v>-6.4740582030478597</c:v>
                </c:pt>
                <c:pt idx="225">
                  <c:v>-6.3639610306789294</c:v>
                </c:pt>
                <c:pt idx="226">
                  <c:v>-6.2519253341309753</c:v>
                </c:pt>
                <c:pt idx="227">
                  <c:v>-6.1379852405624877</c:v>
                </c:pt>
                <c:pt idx="228">
                  <c:v>-6.0221754572297232</c:v>
                </c:pt>
                <c:pt idx="229">
                  <c:v>-5.904531260914565</c:v>
                </c:pt>
                <c:pt idx="230">
                  <c:v>-5.7850884871788555</c:v>
                </c:pt>
                <c:pt idx="231">
                  <c:v>-5.6638835194485404</c:v>
                </c:pt>
                <c:pt idx="232">
                  <c:v>-5.5409532779309227</c:v>
                </c:pt>
                <c:pt idx="233">
                  <c:v>-5.4163352083684346</c:v>
                </c:pt>
                <c:pt idx="234">
                  <c:v>-5.2900672706322593</c:v>
                </c:pt>
                <c:pt idx="235">
                  <c:v>-5.1621879271594171</c:v>
                </c:pt>
                <c:pt idx="236">
                  <c:v>-5.0327361312367191</c:v>
                </c:pt>
                <c:pt idx="237">
                  <c:v>-4.9017513151352432</c:v>
                </c:pt>
                <c:pt idx="238">
                  <c:v>-4.7692733780988448</c:v>
                </c:pt>
                <c:pt idx="239">
                  <c:v>-4.6353426741904906</c:v>
                </c:pt>
                <c:pt idx="240">
                  <c:v>-4.5000000000000036</c:v>
                </c:pt>
                <c:pt idx="241">
                  <c:v>-4.3632865822170315</c:v>
                </c:pt>
                <c:pt idx="242">
                  <c:v>-4.2252440650730172</c:v>
                </c:pt>
                <c:pt idx="243">
                  <c:v>-4.0859144976559225</c:v>
                </c:pt>
                <c:pt idx="244">
                  <c:v>-3.9453403211016997</c:v>
                </c:pt>
                <c:pt idx="245">
                  <c:v>-3.8035643556662926</c:v>
                </c:pt>
                <c:pt idx="246">
                  <c:v>-3.6606297876822009</c:v>
                </c:pt>
                <c:pt idx="247">
                  <c:v>-3.5165801564034647</c:v>
                </c:pt>
                <c:pt idx="248">
                  <c:v>-3.3714593407432107</c:v>
                </c:pt>
                <c:pt idx="249">
                  <c:v>-3.2253115459077062</c:v>
                </c:pt>
                <c:pt idx="250">
                  <c:v>-3.0781812899310168</c:v>
                </c:pt>
                <c:pt idx="251">
                  <c:v>-2.9301133901144096</c:v>
                </c:pt>
                <c:pt idx="252">
                  <c:v>-2.7811529493745279</c:v>
                </c:pt>
                <c:pt idx="253">
                  <c:v>-2.631345342504634</c:v>
                </c:pt>
                <c:pt idx="254">
                  <c:v>-2.4807362023529897</c:v>
                </c:pt>
                <c:pt idx="255">
                  <c:v>-2.3293714059226858</c:v>
                </c:pt>
                <c:pt idx="256">
                  <c:v>-2.1772970603970099</c:v>
                </c:pt>
                <c:pt idx="257">
                  <c:v>-2.0245594890947873</c:v>
                </c:pt>
                <c:pt idx="258">
                  <c:v>-1.8712052173598381</c:v>
                </c:pt>
                <c:pt idx="259">
                  <c:v>-1.7172809583889015</c:v>
                </c:pt>
                <c:pt idx="260">
                  <c:v>-1.562833599002373</c:v>
                </c:pt>
                <c:pt idx="261">
                  <c:v>-1.4079101853620792</c:v>
                </c:pt>
                <c:pt idx="262">
                  <c:v>-1.2525579086405925</c:v>
                </c:pt>
                <c:pt idx="263">
                  <c:v>-1.0968240906463245</c:v>
                </c:pt>
                <c:pt idx="264">
                  <c:v>-0.94075616940888018</c:v>
                </c:pt>
                <c:pt idx="265">
                  <c:v>-0.78440168472892424</c:v>
                </c:pt>
                <c:pt idx="266">
                  <c:v>-0.62780826369713028</c:v>
                </c:pt>
                <c:pt idx="267">
                  <c:v>-0.47102360618649874</c:v>
                </c:pt>
                <c:pt idx="268">
                  <c:v>-0.31409547032250684</c:v>
                </c:pt>
                <c:pt idx="269">
                  <c:v>-0.15707165793555147</c:v>
                </c:pt>
                <c:pt idx="270">
                  <c:v>-1.653950414126637E-15</c:v>
                </c:pt>
                <c:pt idx="271">
                  <c:v>0.15707165793554817</c:v>
                </c:pt>
                <c:pt idx="272">
                  <c:v>0.31409547032251151</c:v>
                </c:pt>
                <c:pt idx="273">
                  <c:v>0.47102360618649552</c:v>
                </c:pt>
                <c:pt idx="274">
                  <c:v>0.62780826369712694</c:v>
                </c:pt>
                <c:pt idx="275">
                  <c:v>0.78440168472892102</c:v>
                </c:pt>
                <c:pt idx="276">
                  <c:v>0.94075616940887685</c:v>
                </c:pt>
                <c:pt idx="277">
                  <c:v>1.0968240906463291</c:v>
                </c:pt>
                <c:pt idx="278">
                  <c:v>1.2525579086405891</c:v>
                </c:pt>
                <c:pt idx="279">
                  <c:v>1.4079101853620761</c:v>
                </c:pt>
                <c:pt idx="280">
                  <c:v>1.5628335990023698</c:v>
                </c:pt>
                <c:pt idx="281">
                  <c:v>1.7172809583889059</c:v>
                </c:pt>
                <c:pt idx="282">
                  <c:v>1.8712052173598348</c:v>
                </c:pt>
                <c:pt idx="283">
                  <c:v>2.0245594890947842</c:v>
                </c:pt>
                <c:pt idx="284">
                  <c:v>2.1772970603970072</c:v>
                </c:pt>
                <c:pt idx="285">
                  <c:v>2.3293714059226827</c:v>
                </c:pt>
                <c:pt idx="286">
                  <c:v>2.4807362023529946</c:v>
                </c:pt>
                <c:pt idx="287">
                  <c:v>2.6313453425046305</c:v>
                </c:pt>
                <c:pt idx="288">
                  <c:v>2.7811529493745253</c:v>
                </c:pt>
                <c:pt idx="289">
                  <c:v>2.930113390114407</c:v>
                </c:pt>
                <c:pt idx="290">
                  <c:v>3.0781812899310208</c:v>
                </c:pt>
                <c:pt idx="291">
                  <c:v>3.2253115459077035</c:v>
                </c:pt>
                <c:pt idx="292">
                  <c:v>3.3714593407432076</c:v>
                </c:pt>
                <c:pt idx="293">
                  <c:v>3.5165801564034616</c:v>
                </c:pt>
                <c:pt idx="294">
                  <c:v>3.6606297876821978</c:v>
                </c:pt>
                <c:pt idx="295">
                  <c:v>3.8035643556662966</c:v>
                </c:pt>
                <c:pt idx="296">
                  <c:v>3.9453403211016966</c:v>
                </c:pt>
                <c:pt idx="297">
                  <c:v>4.0859144976559199</c:v>
                </c:pt>
                <c:pt idx="298">
                  <c:v>4.2252440650730136</c:v>
                </c:pt>
                <c:pt idx="299">
                  <c:v>4.3632865822170359</c:v>
                </c:pt>
                <c:pt idx="300">
                  <c:v>4.5000000000000009</c:v>
                </c:pt>
                <c:pt idx="301">
                  <c:v>4.6353426741904871</c:v>
                </c:pt>
                <c:pt idx="302">
                  <c:v>4.7692733780988421</c:v>
                </c:pt>
                <c:pt idx="303">
                  <c:v>4.9017513151352397</c:v>
                </c:pt>
                <c:pt idx="304">
                  <c:v>5.0327361312367227</c:v>
                </c:pt>
                <c:pt idx="305">
                  <c:v>5.1621879271594144</c:v>
                </c:pt>
                <c:pt idx="306">
                  <c:v>5.2900672706322567</c:v>
                </c:pt>
                <c:pt idx="307">
                  <c:v>5.4163352083684311</c:v>
                </c:pt>
                <c:pt idx="308">
                  <c:v>5.5409532779309263</c:v>
                </c:pt>
                <c:pt idx="309">
                  <c:v>5.6638835194485377</c:v>
                </c:pt>
                <c:pt idx="310">
                  <c:v>5.7850884871788537</c:v>
                </c:pt>
                <c:pt idx="311">
                  <c:v>5.9045312609145633</c:v>
                </c:pt>
                <c:pt idx="312">
                  <c:v>6.0221754572297197</c:v>
                </c:pt>
                <c:pt idx="313">
                  <c:v>6.1379852405624877</c:v>
                </c:pt>
                <c:pt idx="314">
                  <c:v>6.2519253341309753</c:v>
                </c:pt>
                <c:pt idx="315">
                  <c:v>6.3639610306789258</c:v>
                </c:pt>
                <c:pt idx="316">
                  <c:v>6.474058203047858</c:v>
                </c:pt>
                <c:pt idx="317">
                  <c:v>6.5821833145725357</c:v>
                </c:pt>
                <c:pt idx="318">
                  <c:v>6.688303429296548</c:v>
                </c:pt>
                <c:pt idx="319">
                  <c:v>6.7923862220049473</c:v>
                </c:pt>
                <c:pt idx="320">
                  <c:v>6.8943999880708002</c:v>
                </c:pt>
                <c:pt idx="321">
                  <c:v>6.9943136531127355</c:v>
                </c:pt>
                <c:pt idx="322">
                  <c:v>7.0920967824604979</c:v>
                </c:pt>
                <c:pt idx="323">
                  <c:v>7.187719590425635</c:v>
                </c:pt>
                <c:pt idx="324">
                  <c:v>7.2811529493745262</c:v>
                </c:pt>
                <c:pt idx="325">
                  <c:v>7.3723683986009245</c:v>
                </c:pt>
                <c:pt idx="326">
                  <c:v>7.4613381529953768</c:v>
                </c:pt>
                <c:pt idx="327">
                  <c:v>7.5480351115088169</c:v>
                </c:pt>
                <c:pt idx="328">
                  <c:v>7.6324328654078339</c:v>
                </c:pt>
                <c:pt idx="329">
                  <c:v>7.7145057063190094</c:v>
                </c:pt>
                <c:pt idx="330">
                  <c:v>7.7942286340599454</c:v>
                </c:pt>
                <c:pt idx="331">
                  <c:v>7.8715773642545628</c:v>
                </c:pt>
                <c:pt idx="332">
                  <c:v>7.946528335730342</c:v>
                </c:pt>
                <c:pt idx="333">
                  <c:v>8.0190587176953105</c:v>
                </c:pt>
                <c:pt idx="334">
                  <c:v>8.0891464166925005</c:v>
                </c:pt>
                <c:pt idx="335">
                  <c:v>8.1567700833298495</c:v>
                </c:pt>
                <c:pt idx="336">
                  <c:v>8.2219091187834081</c:v>
                </c:pt>
                <c:pt idx="337">
                  <c:v>8.2845436810719626</c:v>
                </c:pt>
                <c:pt idx="338">
                  <c:v>8.3446546911010859</c:v>
                </c:pt>
                <c:pt idx="339">
                  <c:v>8.4022238384748142</c:v>
                </c:pt>
                <c:pt idx="340">
                  <c:v>8.4572335870731763</c:v>
                </c:pt>
                <c:pt idx="341">
                  <c:v>8.5096671803938513</c:v>
                </c:pt>
                <c:pt idx="342">
                  <c:v>8.559508646656381</c:v>
                </c:pt>
                <c:pt idx="343">
                  <c:v>8.6067428036673181</c:v>
                </c:pt>
                <c:pt idx="344">
                  <c:v>8.65135526344487</c:v>
                </c:pt>
                <c:pt idx="345">
                  <c:v>8.6933324366016151</c:v>
                </c:pt>
                <c:pt idx="346">
                  <c:v>8.7326615364839686</c:v>
                </c:pt>
                <c:pt idx="347">
                  <c:v>8.7693305830671164</c:v>
                </c:pt>
                <c:pt idx="348">
                  <c:v>8.8033284066042494</c:v>
                </c:pt>
                <c:pt idx="349">
                  <c:v>8.8346446510289756</c:v>
                </c:pt>
                <c:pt idx="350">
                  <c:v>8.8632697771098723</c:v>
                </c:pt>
                <c:pt idx="351">
                  <c:v>8.8891950653562386</c:v>
                </c:pt>
                <c:pt idx="352">
                  <c:v>8.9124126186741321</c:v>
                </c:pt>
                <c:pt idx="353">
                  <c:v>8.9329153647718993</c:v>
                </c:pt>
                <c:pt idx="354">
                  <c:v>8.9506970583144589</c:v>
                </c:pt>
                <c:pt idx="355">
                  <c:v>8.9657522828257097</c:v>
                </c:pt>
                <c:pt idx="356">
                  <c:v>8.9780764523384171</c:v>
                </c:pt>
                <c:pt idx="357">
                  <c:v>8.9876658127911639</c:v>
                </c:pt>
                <c:pt idx="358">
                  <c:v>8.994517443171862</c:v>
                </c:pt>
                <c:pt idx="359">
                  <c:v>8.9986292564075221</c:v>
                </c:pt>
                <c:pt idx="360">
                  <c:v>9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0.15707165793555161</c:v>
                </c:pt>
                <c:pt idx="2">
                  <c:v>0.31409547032250873</c:v>
                </c:pt>
                <c:pt idx="3">
                  <c:v>0.47102360618649453</c:v>
                </c:pt>
                <c:pt idx="4">
                  <c:v>0.62780826369712772</c:v>
                </c:pt>
                <c:pt idx="5">
                  <c:v>0.78440168472892347</c:v>
                </c:pt>
                <c:pt idx="6">
                  <c:v>0.94075616940888129</c:v>
                </c:pt>
                <c:pt idx="7">
                  <c:v>1.0968240906463274</c:v>
                </c:pt>
                <c:pt idx="8">
                  <c:v>1.2525579086405889</c:v>
                </c:pt>
                <c:pt idx="9">
                  <c:v>1.4079101853620779</c:v>
                </c:pt>
                <c:pt idx="10">
                  <c:v>1.562833599002373</c:v>
                </c:pt>
                <c:pt idx="11">
                  <c:v>1.7172809583889033</c:v>
                </c:pt>
                <c:pt idx="12">
                  <c:v>1.8712052173598341</c:v>
                </c:pt>
                <c:pt idx="13">
                  <c:v>2.0245594890947851</c:v>
                </c:pt>
                <c:pt idx="14">
                  <c:v>2.1772970603970094</c:v>
                </c:pt>
                <c:pt idx="15">
                  <c:v>2.3293714059226867</c:v>
                </c:pt>
                <c:pt idx="16">
                  <c:v>2.4807362023529924</c:v>
                </c:pt>
                <c:pt idx="17">
                  <c:v>2.6313453425046309</c:v>
                </c:pt>
                <c:pt idx="18">
                  <c:v>2.7811529493745266</c:v>
                </c:pt>
                <c:pt idx="19">
                  <c:v>2.9301133901144105</c:v>
                </c:pt>
                <c:pt idx="20">
                  <c:v>3.0781812899310186</c:v>
                </c:pt>
                <c:pt idx="21">
                  <c:v>3.2253115459077026</c:v>
                </c:pt>
                <c:pt idx="22">
                  <c:v>3.3714593407432081</c:v>
                </c:pt>
                <c:pt idx="23">
                  <c:v>3.5165801564034638</c:v>
                </c:pt>
                <c:pt idx="24">
                  <c:v>3.6606297876822018</c:v>
                </c:pt>
                <c:pt idx="25">
                  <c:v>3.8035643556662948</c:v>
                </c:pt>
                <c:pt idx="26">
                  <c:v>3.9453403211016966</c:v>
                </c:pt>
                <c:pt idx="27">
                  <c:v>4.0859144976559207</c:v>
                </c:pt>
                <c:pt idx="28">
                  <c:v>4.2252440650730172</c:v>
                </c:pt>
                <c:pt idx="29">
                  <c:v>4.3632865822170332</c:v>
                </c:pt>
                <c:pt idx="30">
                  <c:v>4.4999999999999991</c:v>
                </c:pt>
                <c:pt idx="31">
                  <c:v>4.6353426741904871</c:v>
                </c:pt>
                <c:pt idx="32">
                  <c:v>4.7692733780988439</c:v>
                </c:pt>
                <c:pt idx="33">
                  <c:v>4.9017513151352441</c:v>
                </c:pt>
                <c:pt idx="34">
                  <c:v>5.0327361312367218</c:v>
                </c:pt>
                <c:pt idx="35">
                  <c:v>5.1621879271594144</c:v>
                </c:pt>
                <c:pt idx="36">
                  <c:v>5.2900672706322585</c:v>
                </c:pt>
                <c:pt idx="37">
                  <c:v>5.4163352083684346</c:v>
                </c:pt>
                <c:pt idx="38">
                  <c:v>5.5409532779309245</c:v>
                </c:pt>
                <c:pt idx="39">
                  <c:v>5.6638835194485369</c:v>
                </c:pt>
                <c:pt idx="40">
                  <c:v>5.7850884871788537</c:v>
                </c:pt>
                <c:pt idx="41">
                  <c:v>5.904531260914565</c:v>
                </c:pt>
                <c:pt idx="42">
                  <c:v>6.0221754572297241</c:v>
                </c:pt>
                <c:pt idx="43">
                  <c:v>6.137985240562486</c:v>
                </c:pt>
                <c:pt idx="44">
                  <c:v>6.2519253341309753</c:v>
                </c:pt>
                <c:pt idx="45">
                  <c:v>6.3639610306789276</c:v>
                </c:pt>
                <c:pt idx="46">
                  <c:v>6.4740582030478597</c:v>
                </c:pt>
                <c:pt idx="47">
                  <c:v>6.5821833145725339</c:v>
                </c:pt>
                <c:pt idx="48">
                  <c:v>6.688303429296548</c:v>
                </c:pt>
                <c:pt idx="49">
                  <c:v>6.7923862220049482</c:v>
                </c:pt>
                <c:pt idx="50">
                  <c:v>6.894399988070802</c:v>
                </c:pt>
                <c:pt idx="51">
                  <c:v>6.9943136531127381</c:v>
                </c:pt>
                <c:pt idx="52">
                  <c:v>7.0920967824604979</c:v>
                </c:pt>
                <c:pt idx="53">
                  <c:v>7.187719590425635</c:v>
                </c:pt>
                <c:pt idx="54">
                  <c:v>7.2811529493745271</c:v>
                </c:pt>
                <c:pt idx="55">
                  <c:v>7.3723683986009263</c:v>
                </c:pt>
                <c:pt idx="56">
                  <c:v>7.4613381529953759</c:v>
                </c:pt>
                <c:pt idx="57">
                  <c:v>7.5480351115088169</c:v>
                </c:pt>
                <c:pt idx="58">
                  <c:v>7.6324328654078339</c:v>
                </c:pt>
                <c:pt idx="59">
                  <c:v>7.7145057063190112</c:v>
                </c:pt>
                <c:pt idx="60">
                  <c:v>7.7942286340599471</c:v>
                </c:pt>
                <c:pt idx="61">
                  <c:v>7.8715773642545619</c:v>
                </c:pt>
                <c:pt idx="62">
                  <c:v>7.946528335730342</c:v>
                </c:pt>
                <c:pt idx="63">
                  <c:v>8.0190587176953105</c:v>
                </c:pt>
                <c:pt idx="64">
                  <c:v>8.089146416692504</c:v>
                </c:pt>
                <c:pt idx="65">
                  <c:v>8.1567700833298495</c:v>
                </c:pt>
                <c:pt idx="66">
                  <c:v>8.2219091187834081</c:v>
                </c:pt>
                <c:pt idx="67">
                  <c:v>8.2845436810719626</c:v>
                </c:pt>
                <c:pt idx="68">
                  <c:v>8.3446546911010877</c:v>
                </c:pt>
                <c:pt idx="69">
                  <c:v>8.402223838474816</c:v>
                </c:pt>
                <c:pt idx="70">
                  <c:v>8.4572335870731745</c:v>
                </c:pt>
                <c:pt idx="71">
                  <c:v>8.5096671803938513</c:v>
                </c:pt>
                <c:pt idx="72">
                  <c:v>8.559508646656381</c:v>
                </c:pt>
                <c:pt idx="73">
                  <c:v>8.6067428036673181</c:v>
                </c:pt>
                <c:pt idx="74">
                  <c:v>8.65135526344487</c:v>
                </c:pt>
                <c:pt idx="75">
                  <c:v>8.6933324366016151</c:v>
                </c:pt>
                <c:pt idx="76">
                  <c:v>8.7326615364839686</c:v>
                </c:pt>
                <c:pt idx="77">
                  <c:v>8.7693305830671164</c:v>
                </c:pt>
                <c:pt idx="78">
                  <c:v>8.8033284066042494</c:v>
                </c:pt>
                <c:pt idx="79">
                  <c:v>8.8346446510289756</c:v>
                </c:pt>
                <c:pt idx="80">
                  <c:v>8.8632697771098723</c:v>
                </c:pt>
                <c:pt idx="81">
                  <c:v>8.8891950653562404</c:v>
                </c:pt>
                <c:pt idx="82">
                  <c:v>8.9124126186741339</c:v>
                </c:pt>
                <c:pt idx="83">
                  <c:v>8.9329153647718975</c:v>
                </c:pt>
                <c:pt idx="84">
                  <c:v>8.9506970583144589</c:v>
                </c:pt>
                <c:pt idx="85">
                  <c:v>8.9657522828257097</c:v>
                </c:pt>
                <c:pt idx="86">
                  <c:v>8.9780764523384171</c:v>
                </c:pt>
                <c:pt idx="87">
                  <c:v>8.9876658127911639</c:v>
                </c:pt>
                <c:pt idx="88">
                  <c:v>8.994517443171862</c:v>
                </c:pt>
                <c:pt idx="89">
                  <c:v>8.9986292564075221</c:v>
                </c:pt>
                <c:pt idx="90">
                  <c:v>9</c:v>
                </c:pt>
                <c:pt idx="91">
                  <c:v>8.9986292564075221</c:v>
                </c:pt>
                <c:pt idx="92">
                  <c:v>8.994517443171862</c:v>
                </c:pt>
                <c:pt idx="93">
                  <c:v>8.9876658127911639</c:v>
                </c:pt>
                <c:pt idx="94">
                  <c:v>8.9780764523384171</c:v>
                </c:pt>
                <c:pt idx="95">
                  <c:v>8.9657522828257097</c:v>
                </c:pt>
                <c:pt idx="96">
                  <c:v>8.9506970583144589</c:v>
                </c:pt>
                <c:pt idx="97">
                  <c:v>8.9329153647718993</c:v>
                </c:pt>
                <c:pt idx="98">
                  <c:v>8.9124126186741339</c:v>
                </c:pt>
                <c:pt idx="99">
                  <c:v>8.8891950653562404</c:v>
                </c:pt>
                <c:pt idx="100">
                  <c:v>8.8632697771098723</c:v>
                </c:pt>
                <c:pt idx="101">
                  <c:v>8.8346446510289756</c:v>
                </c:pt>
                <c:pt idx="102">
                  <c:v>8.8033284066042512</c:v>
                </c:pt>
                <c:pt idx="103">
                  <c:v>8.7693305830671164</c:v>
                </c:pt>
                <c:pt idx="104">
                  <c:v>8.7326615364839686</c:v>
                </c:pt>
                <c:pt idx="105">
                  <c:v>8.6933324366016151</c:v>
                </c:pt>
                <c:pt idx="106">
                  <c:v>8.65135526344487</c:v>
                </c:pt>
                <c:pt idx="107">
                  <c:v>8.6067428036673199</c:v>
                </c:pt>
                <c:pt idx="108">
                  <c:v>8.5595086466563828</c:v>
                </c:pt>
                <c:pt idx="109">
                  <c:v>8.5096671803938513</c:v>
                </c:pt>
                <c:pt idx="110">
                  <c:v>8.4572335870731763</c:v>
                </c:pt>
                <c:pt idx="111">
                  <c:v>8.402223838474816</c:v>
                </c:pt>
                <c:pt idx="112">
                  <c:v>8.3446546911010877</c:v>
                </c:pt>
                <c:pt idx="113">
                  <c:v>8.2845436810719626</c:v>
                </c:pt>
                <c:pt idx="114">
                  <c:v>8.2219091187834081</c:v>
                </c:pt>
                <c:pt idx="115">
                  <c:v>8.1567700833298495</c:v>
                </c:pt>
                <c:pt idx="116">
                  <c:v>8.0891464166925022</c:v>
                </c:pt>
                <c:pt idx="117">
                  <c:v>8.0190587176953105</c:v>
                </c:pt>
                <c:pt idx="118">
                  <c:v>7.946528335730342</c:v>
                </c:pt>
                <c:pt idx="119">
                  <c:v>7.8715773642545628</c:v>
                </c:pt>
                <c:pt idx="120">
                  <c:v>7.794228634059948</c:v>
                </c:pt>
                <c:pt idx="121">
                  <c:v>7.7145057063190112</c:v>
                </c:pt>
                <c:pt idx="122">
                  <c:v>7.6324328654078348</c:v>
                </c:pt>
                <c:pt idx="123">
                  <c:v>7.5480351115088151</c:v>
                </c:pt>
                <c:pt idx="124">
                  <c:v>7.4613381529953759</c:v>
                </c:pt>
                <c:pt idx="125">
                  <c:v>7.3723683986009254</c:v>
                </c:pt>
                <c:pt idx="126">
                  <c:v>7.2811529493745271</c:v>
                </c:pt>
                <c:pt idx="127">
                  <c:v>7.1877195904256341</c:v>
                </c:pt>
                <c:pt idx="128">
                  <c:v>7.0920967824604979</c:v>
                </c:pt>
                <c:pt idx="129">
                  <c:v>6.994313653112739</c:v>
                </c:pt>
                <c:pt idx="130">
                  <c:v>6.894399988070802</c:v>
                </c:pt>
                <c:pt idx="131">
                  <c:v>6.7923862220049491</c:v>
                </c:pt>
                <c:pt idx="132">
                  <c:v>6.688303429296548</c:v>
                </c:pt>
                <c:pt idx="133">
                  <c:v>6.5821833145725348</c:v>
                </c:pt>
                <c:pt idx="134">
                  <c:v>6.4740582030478597</c:v>
                </c:pt>
                <c:pt idx="135">
                  <c:v>6.3639610306789285</c:v>
                </c:pt>
                <c:pt idx="136">
                  <c:v>6.2519253341309744</c:v>
                </c:pt>
                <c:pt idx="137">
                  <c:v>6.1379852405624877</c:v>
                </c:pt>
                <c:pt idx="138">
                  <c:v>6.022175457229725</c:v>
                </c:pt>
                <c:pt idx="139">
                  <c:v>5.904531260914565</c:v>
                </c:pt>
                <c:pt idx="140">
                  <c:v>5.7850884871788555</c:v>
                </c:pt>
                <c:pt idx="141">
                  <c:v>5.6638835194485369</c:v>
                </c:pt>
                <c:pt idx="142">
                  <c:v>5.5409532779309254</c:v>
                </c:pt>
                <c:pt idx="143">
                  <c:v>5.4163352083684337</c:v>
                </c:pt>
                <c:pt idx="144">
                  <c:v>5.2900672706322593</c:v>
                </c:pt>
                <c:pt idx="145">
                  <c:v>5.1621879271594135</c:v>
                </c:pt>
                <c:pt idx="146">
                  <c:v>5.0327361312367218</c:v>
                </c:pt>
                <c:pt idx="147">
                  <c:v>4.9017513151352459</c:v>
                </c:pt>
                <c:pt idx="148">
                  <c:v>4.7692733780988439</c:v>
                </c:pt>
                <c:pt idx="149">
                  <c:v>4.6353426741904897</c:v>
                </c:pt>
                <c:pt idx="150">
                  <c:v>4.4999999999999991</c:v>
                </c:pt>
                <c:pt idx="151">
                  <c:v>4.3632865822170341</c:v>
                </c:pt>
                <c:pt idx="152">
                  <c:v>4.2252440650730163</c:v>
                </c:pt>
                <c:pt idx="153">
                  <c:v>4.0859144976559216</c:v>
                </c:pt>
                <c:pt idx="154">
                  <c:v>3.9453403211016957</c:v>
                </c:pt>
                <c:pt idx="155">
                  <c:v>3.8035643556662952</c:v>
                </c:pt>
                <c:pt idx="156">
                  <c:v>3.660629787682204</c:v>
                </c:pt>
                <c:pt idx="157">
                  <c:v>3.5165801564034638</c:v>
                </c:pt>
                <c:pt idx="158">
                  <c:v>3.3714593407432103</c:v>
                </c:pt>
                <c:pt idx="159">
                  <c:v>3.2253115459077017</c:v>
                </c:pt>
                <c:pt idx="160">
                  <c:v>3.0781812899310199</c:v>
                </c:pt>
                <c:pt idx="161">
                  <c:v>2.9301133901144092</c:v>
                </c:pt>
                <c:pt idx="162">
                  <c:v>2.7811529493745275</c:v>
                </c:pt>
                <c:pt idx="163">
                  <c:v>2.6313453425046296</c:v>
                </c:pt>
                <c:pt idx="164">
                  <c:v>2.4807362023529929</c:v>
                </c:pt>
                <c:pt idx="165">
                  <c:v>2.3293714059226893</c:v>
                </c:pt>
                <c:pt idx="166">
                  <c:v>2.1772970603970094</c:v>
                </c:pt>
                <c:pt idx="167">
                  <c:v>2.0245594890947869</c:v>
                </c:pt>
                <c:pt idx="168">
                  <c:v>1.8712052173598339</c:v>
                </c:pt>
                <c:pt idx="169">
                  <c:v>1.7172809583889048</c:v>
                </c:pt>
                <c:pt idx="170">
                  <c:v>1.5628335990023725</c:v>
                </c:pt>
                <c:pt idx="171">
                  <c:v>1.4079101853620788</c:v>
                </c:pt>
                <c:pt idx="172">
                  <c:v>1.252557908640588</c:v>
                </c:pt>
                <c:pt idx="173">
                  <c:v>1.096824090646328</c:v>
                </c:pt>
                <c:pt idx="174">
                  <c:v>0.94075616940888362</c:v>
                </c:pt>
                <c:pt idx="175">
                  <c:v>0.78440168472892369</c:v>
                </c:pt>
                <c:pt idx="176">
                  <c:v>0.62780826369712972</c:v>
                </c:pt>
                <c:pt idx="177">
                  <c:v>0.47102360618649425</c:v>
                </c:pt>
                <c:pt idx="178">
                  <c:v>0.31409547032251028</c:v>
                </c:pt>
                <c:pt idx="179">
                  <c:v>0.15707165793555095</c:v>
                </c:pt>
                <c:pt idx="180">
                  <c:v>1.102633609417758E-15</c:v>
                </c:pt>
                <c:pt idx="181">
                  <c:v>-0.15707165793555272</c:v>
                </c:pt>
                <c:pt idx="182">
                  <c:v>-0.31409547032250812</c:v>
                </c:pt>
                <c:pt idx="183">
                  <c:v>-0.47102360618649203</c:v>
                </c:pt>
                <c:pt idx="184">
                  <c:v>-0.6278082636971275</c:v>
                </c:pt>
                <c:pt idx="185">
                  <c:v>-0.78440168472892147</c:v>
                </c:pt>
                <c:pt idx="186">
                  <c:v>-0.94075616940888152</c:v>
                </c:pt>
                <c:pt idx="187">
                  <c:v>-1.0968240906463258</c:v>
                </c:pt>
                <c:pt idx="188">
                  <c:v>-1.2525579086405898</c:v>
                </c:pt>
                <c:pt idx="189">
                  <c:v>-1.4079101853620766</c:v>
                </c:pt>
                <c:pt idx="190">
                  <c:v>-1.5628335990023743</c:v>
                </c:pt>
                <c:pt idx="191">
                  <c:v>-1.7172809583889026</c:v>
                </c:pt>
                <c:pt idx="192">
                  <c:v>-1.8712052173598357</c:v>
                </c:pt>
                <c:pt idx="193">
                  <c:v>-2.0245594890947847</c:v>
                </c:pt>
                <c:pt idx="194">
                  <c:v>-2.1772970603970077</c:v>
                </c:pt>
                <c:pt idx="195">
                  <c:v>-2.3293714059226871</c:v>
                </c:pt>
                <c:pt idx="196">
                  <c:v>-2.4807362023529911</c:v>
                </c:pt>
                <c:pt idx="197">
                  <c:v>-2.6313453425046309</c:v>
                </c:pt>
                <c:pt idx="198">
                  <c:v>-2.7811529493745257</c:v>
                </c:pt>
                <c:pt idx="199">
                  <c:v>-2.930113390114411</c:v>
                </c:pt>
                <c:pt idx="200">
                  <c:v>-3.0781812899310177</c:v>
                </c:pt>
                <c:pt idx="201">
                  <c:v>-3.225311545907704</c:v>
                </c:pt>
                <c:pt idx="202">
                  <c:v>-3.3714593407432081</c:v>
                </c:pt>
                <c:pt idx="203">
                  <c:v>-3.516580156403462</c:v>
                </c:pt>
                <c:pt idx="204">
                  <c:v>-3.6606297876822018</c:v>
                </c:pt>
                <c:pt idx="205">
                  <c:v>-3.8035643556662935</c:v>
                </c:pt>
                <c:pt idx="206">
                  <c:v>-3.9453403211016971</c:v>
                </c:pt>
                <c:pt idx="207">
                  <c:v>-4.0859144976559199</c:v>
                </c:pt>
                <c:pt idx="208">
                  <c:v>-4.2252440650730181</c:v>
                </c:pt>
                <c:pt idx="209">
                  <c:v>-4.3632865822170324</c:v>
                </c:pt>
                <c:pt idx="210">
                  <c:v>-4.5000000000000009</c:v>
                </c:pt>
                <c:pt idx="211">
                  <c:v>-4.6353426741904871</c:v>
                </c:pt>
                <c:pt idx="212">
                  <c:v>-4.769273378098843</c:v>
                </c:pt>
                <c:pt idx="213">
                  <c:v>-4.9017513151352441</c:v>
                </c:pt>
                <c:pt idx="214">
                  <c:v>-5.03273613123672</c:v>
                </c:pt>
                <c:pt idx="215">
                  <c:v>-5.1621879271594153</c:v>
                </c:pt>
                <c:pt idx="216">
                  <c:v>-5.2900672706322576</c:v>
                </c:pt>
                <c:pt idx="217">
                  <c:v>-5.4163352083684355</c:v>
                </c:pt>
                <c:pt idx="218">
                  <c:v>-5.5409532779309236</c:v>
                </c:pt>
                <c:pt idx="219">
                  <c:v>-5.6638835194485386</c:v>
                </c:pt>
                <c:pt idx="220">
                  <c:v>-5.7850884871788537</c:v>
                </c:pt>
                <c:pt idx="221">
                  <c:v>-5.9045312609145633</c:v>
                </c:pt>
                <c:pt idx="222">
                  <c:v>-6.0221754572297241</c:v>
                </c:pt>
                <c:pt idx="223">
                  <c:v>-6.1379852405624851</c:v>
                </c:pt>
                <c:pt idx="224">
                  <c:v>-6.2519253341309762</c:v>
                </c:pt>
                <c:pt idx="225">
                  <c:v>-6.3639610306789276</c:v>
                </c:pt>
                <c:pt idx="226">
                  <c:v>-6.4740582030478606</c:v>
                </c:pt>
                <c:pt idx="227">
                  <c:v>-6.5821833145725339</c:v>
                </c:pt>
                <c:pt idx="228">
                  <c:v>-6.6883034292965489</c:v>
                </c:pt>
                <c:pt idx="229">
                  <c:v>-6.7923862220049482</c:v>
                </c:pt>
                <c:pt idx="230">
                  <c:v>-6.8943999880708011</c:v>
                </c:pt>
                <c:pt idx="231">
                  <c:v>-6.9943136531127355</c:v>
                </c:pt>
                <c:pt idx="232">
                  <c:v>-7.0920967824604988</c:v>
                </c:pt>
                <c:pt idx="233">
                  <c:v>-7.187719590425635</c:v>
                </c:pt>
                <c:pt idx="234">
                  <c:v>-7.2811529493745262</c:v>
                </c:pt>
                <c:pt idx="235">
                  <c:v>-7.3723683986009245</c:v>
                </c:pt>
                <c:pt idx="236">
                  <c:v>-7.4613381529953768</c:v>
                </c:pt>
                <c:pt idx="237">
                  <c:v>-7.5480351115088169</c:v>
                </c:pt>
                <c:pt idx="238">
                  <c:v>-7.6324328654078339</c:v>
                </c:pt>
                <c:pt idx="239">
                  <c:v>-7.7145057063190094</c:v>
                </c:pt>
                <c:pt idx="240">
                  <c:v>-7.7942286340599454</c:v>
                </c:pt>
                <c:pt idx="241">
                  <c:v>-7.8715773642545637</c:v>
                </c:pt>
                <c:pt idx="242">
                  <c:v>-7.9465283357303429</c:v>
                </c:pt>
                <c:pt idx="243">
                  <c:v>-8.0190587176953105</c:v>
                </c:pt>
                <c:pt idx="244">
                  <c:v>-8.0891464166925005</c:v>
                </c:pt>
                <c:pt idx="245">
                  <c:v>-8.1567700833298495</c:v>
                </c:pt>
                <c:pt idx="246">
                  <c:v>-8.2219091187834081</c:v>
                </c:pt>
                <c:pt idx="247">
                  <c:v>-8.2845436810719626</c:v>
                </c:pt>
                <c:pt idx="248">
                  <c:v>-8.3446546911010859</c:v>
                </c:pt>
                <c:pt idx="249">
                  <c:v>-8.4022238384748142</c:v>
                </c:pt>
                <c:pt idx="250">
                  <c:v>-8.4572335870731763</c:v>
                </c:pt>
                <c:pt idx="251">
                  <c:v>-8.5096671803938513</c:v>
                </c:pt>
                <c:pt idx="252">
                  <c:v>-8.559508646656381</c:v>
                </c:pt>
                <c:pt idx="253">
                  <c:v>-8.6067428036673181</c:v>
                </c:pt>
                <c:pt idx="254">
                  <c:v>-8.6513552634448718</c:v>
                </c:pt>
                <c:pt idx="255">
                  <c:v>-8.6933324366016151</c:v>
                </c:pt>
                <c:pt idx="256">
                  <c:v>-8.7326615364839686</c:v>
                </c:pt>
                <c:pt idx="257">
                  <c:v>-8.7693305830671164</c:v>
                </c:pt>
                <c:pt idx="258">
                  <c:v>-8.8033284066042494</c:v>
                </c:pt>
                <c:pt idx="259">
                  <c:v>-8.8346446510289756</c:v>
                </c:pt>
                <c:pt idx="260">
                  <c:v>-8.8632697771098723</c:v>
                </c:pt>
                <c:pt idx="261">
                  <c:v>-8.8891950653562386</c:v>
                </c:pt>
                <c:pt idx="262">
                  <c:v>-8.9124126186741321</c:v>
                </c:pt>
                <c:pt idx="263">
                  <c:v>-8.9329153647718993</c:v>
                </c:pt>
                <c:pt idx="264">
                  <c:v>-8.9506970583144607</c:v>
                </c:pt>
                <c:pt idx="265">
                  <c:v>-8.9657522828257097</c:v>
                </c:pt>
                <c:pt idx="266">
                  <c:v>-8.9780764523384171</c:v>
                </c:pt>
                <c:pt idx="267">
                  <c:v>-8.9876658127911639</c:v>
                </c:pt>
                <c:pt idx="268">
                  <c:v>-8.994517443171862</c:v>
                </c:pt>
                <c:pt idx="269">
                  <c:v>-8.9986292564075221</c:v>
                </c:pt>
                <c:pt idx="270">
                  <c:v>-9</c:v>
                </c:pt>
                <c:pt idx="271">
                  <c:v>-8.9986292564075221</c:v>
                </c:pt>
                <c:pt idx="272">
                  <c:v>-8.994517443171862</c:v>
                </c:pt>
                <c:pt idx="273">
                  <c:v>-8.9876658127911639</c:v>
                </c:pt>
                <c:pt idx="274">
                  <c:v>-8.9780764523384189</c:v>
                </c:pt>
                <c:pt idx="275">
                  <c:v>-8.9657522828257097</c:v>
                </c:pt>
                <c:pt idx="276">
                  <c:v>-8.9506970583144607</c:v>
                </c:pt>
                <c:pt idx="277">
                  <c:v>-8.9329153647718975</c:v>
                </c:pt>
                <c:pt idx="278">
                  <c:v>-8.9124126186741339</c:v>
                </c:pt>
                <c:pt idx="279">
                  <c:v>-8.8891950653562404</c:v>
                </c:pt>
                <c:pt idx="280">
                  <c:v>-8.8632697771098741</c:v>
                </c:pt>
                <c:pt idx="281">
                  <c:v>-8.8346446510289756</c:v>
                </c:pt>
                <c:pt idx="282">
                  <c:v>-8.8033284066042494</c:v>
                </c:pt>
                <c:pt idx="283">
                  <c:v>-8.7693305830671164</c:v>
                </c:pt>
                <c:pt idx="284">
                  <c:v>-8.7326615364839686</c:v>
                </c:pt>
                <c:pt idx="285">
                  <c:v>-8.6933324366016151</c:v>
                </c:pt>
                <c:pt idx="286">
                  <c:v>-8.6513552634448683</c:v>
                </c:pt>
                <c:pt idx="287">
                  <c:v>-8.6067428036673181</c:v>
                </c:pt>
                <c:pt idx="288">
                  <c:v>-8.5595086466563828</c:v>
                </c:pt>
                <c:pt idx="289">
                  <c:v>-8.5096671803938531</c:v>
                </c:pt>
                <c:pt idx="290">
                  <c:v>-8.4572335870731745</c:v>
                </c:pt>
                <c:pt idx="291">
                  <c:v>-8.402223838474816</c:v>
                </c:pt>
                <c:pt idx="292">
                  <c:v>-8.3446546911010877</c:v>
                </c:pt>
                <c:pt idx="293">
                  <c:v>-8.2845436810719644</c:v>
                </c:pt>
                <c:pt idx="294">
                  <c:v>-8.2219091187834099</c:v>
                </c:pt>
                <c:pt idx="295">
                  <c:v>-8.1567700833298495</c:v>
                </c:pt>
                <c:pt idx="296">
                  <c:v>-8.089146416692504</c:v>
                </c:pt>
                <c:pt idx="297">
                  <c:v>-8.0190587176953105</c:v>
                </c:pt>
                <c:pt idx="298">
                  <c:v>-7.9465283357303438</c:v>
                </c:pt>
                <c:pt idx="299">
                  <c:v>-7.871577364254561</c:v>
                </c:pt>
                <c:pt idx="300">
                  <c:v>-7.7942286340599471</c:v>
                </c:pt>
                <c:pt idx="301">
                  <c:v>-7.7145057063190112</c:v>
                </c:pt>
                <c:pt idx="302">
                  <c:v>-7.6324328654078357</c:v>
                </c:pt>
                <c:pt idx="303">
                  <c:v>-7.5480351115088187</c:v>
                </c:pt>
                <c:pt idx="304">
                  <c:v>-7.4613381529953742</c:v>
                </c:pt>
                <c:pt idx="305">
                  <c:v>-7.3723683986009263</c:v>
                </c:pt>
                <c:pt idx="306">
                  <c:v>-7.2811529493745279</c:v>
                </c:pt>
                <c:pt idx="307">
                  <c:v>-7.1877195904256377</c:v>
                </c:pt>
                <c:pt idx="308">
                  <c:v>-7.0920967824604961</c:v>
                </c:pt>
                <c:pt idx="309">
                  <c:v>-6.9943136531127372</c:v>
                </c:pt>
                <c:pt idx="310">
                  <c:v>-6.8943999880708029</c:v>
                </c:pt>
                <c:pt idx="311">
                  <c:v>-6.79238622200495</c:v>
                </c:pt>
                <c:pt idx="312">
                  <c:v>-6.6883034292965515</c:v>
                </c:pt>
                <c:pt idx="313">
                  <c:v>-6.582183314572533</c:v>
                </c:pt>
                <c:pt idx="314">
                  <c:v>-6.4740582030478606</c:v>
                </c:pt>
                <c:pt idx="315">
                  <c:v>-6.3639610306789294</c:v>
                </c:pt>
                <c:pt idx="316">
                  <c:v>-6.251925334130978</c:v>
                </c:pt>
                <c:pt idx="317">
                  <c:v>-6.1379852405624842</c:v>
                </c:pt>
                <c:pt idx="318">
                  <c:v>-6.0221754572297232</c:v>
                </c:pt>
                <c:pt idx="319">
                  <c:v>-5.9045312609145668</c:v>
                </c:pt>
                <c:pt idx="320">
                  <c:v>-5.7850884871788564</c:v>
                </c:pt>
                <c:pt idx="321">
                  <c:v>-5.6638835194485404</c:v>
                </c:pt>
                <c:pt idx="322">
                  <c:v>-5.5409532779309236</c:v>
                </c:pt>
                <c:pt idx="323">
                  <c:v>-5.4163352083684346</c:v>
                </c:pt>
                <c:pt idx="324">
                  <c:v>-5.2900672706322602</c:v>
                </c:pt>
                <c:pt idx="325">
                  <c:v>-5.1621879271594189</c:v>
                </c:pt>
                <c:pt idx="326">
                  <c:v>-5.0327361312367191</c:v>
                </c:pt>
                <c:pt idx="327">
                  <c:v>-4.9017513151352432</c:v>
                </c:pt>
                <c:pt idx="328">
                  <c:v>-4.7692733780988448</c:v>
                </c:pt>
                <c:pt idx="329">
                  <c:v>-4.6353426741904906</c:v>
                </c:pt>
                <c:pt idx="330">
                  <c:v>-4.5000000000000036</c:v>
                </c:pt>
                <c:pt idx="331">
                  <c:v>-4.3632865822170324</c:v>
                </c:pt>
                <c:pt idx="332">
                  <c:v>-4.2252440650730172</c:v>
                </c:pt>
                <c:pt idx="333">
                  <c:v>-4.0859144976559225</c:v>
                </c:pt>
                <c:pt idx="334">
                  <c:v>-3.9453403211017002</c:v>
                </c:pt>
                <c:pt idx="335">
                  <c:v>-3.803564355666293</c:v>
                </c:pt>
                <c:pt idx="336">
                  <c:v>-3.6606297876822014</c:v>
                </c:pt>
                <c:pt idx="337">
                  <c:v>-3.5165801564034651</c:v>
                </c:pt>
                <c:pt idx="338">
                  <c:v>-3.3714593407432112</c:v>
                </c:pt>
                <c:pt idx="339">
                  <c:v>-3.2253115459077071</c:v>
                </c:pt>
                <c:pt idx="340">
                  <c:v>-3.0781812899310173</c:v>
                </c:pt>
                <c:pt idx="341">
                  <c:v>-2.9301133901144105</c:v>
                </c:pt>
                <c:pt idx="342">
                  <c:v>-2.7811529493745284</c:v>
                </c:pt>
                <c:pt idx="343">
                  <c:v>-2.6313453425046345</c:v>
                </c:pt>
                <c:pt idx="344">
                  <c:v>-2.4807362023529906</c:v>
                </c:pt>
                <c:pt idx="345">
                  <c:v>-2.3293714059226862</c:v>
                </c:pt>
                <c:pt idx="346">
                  <c:v>-2.1772970603970108</c:v>
                </c:pt>
                <c:pt idx="347">
                  <c:v>-2.0245594890947882</c:v>
                </c:pt>
                <c:pt idx="348">
                  <c:v>-1.8712052173598388</c:v>
                </c:pt>
                <c:pt idx="349">
                  <c:v>-1.7172809583889019</c:v>
                </c:pt>
                <c:pt idx="350">
                  <c:v>-1.5628335990023734</c:v>
                </c:pt>
                <c:pt idx="351">
                  <c:v>-1.4079101853620801</c:v>
                </c:pt>
                <c:pt idx="352">
                  <c:v>-1.2525579086405929</c:v>
                </c:pt>
                <c:pt idx="353">
                  <c:v>-1.0968240906463251</c:v>
                </c:pt>
                <c:pt idx="354">
                  <c:v>-0.94075616940888074</c:v>
                </c:pt>
                <c:pt idx="355">
                  <c:v>-0.78440168472892491</c:v>
                </c:pt>
                <c:pt idx="356">
                  <c:v>-0.62780826369713072</c:v>
                </c:pt>
                <c:pt idx="357">
                  <c:v>-0.4710236061864993</c:v>
                </c:pt>
                <c:pt idx="358">
                  <c:v>-0.3140954703225074</c:v>
                </c:pt>
                <c:pt idx="359">
                  <c:v>-0.15707165793555206</c:v>
                </c:pt>
                <c:pt idx="360">
                  <c:v>-2.205267218835516E-15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3"/>
          <c:order val="1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8.9635120297232831</c:v>
                </c:pt>
                <c:pt idx="1">
                  <c:v>-8.9635120297232831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-0.80959995862524359</c:v>
                </c:pt>
                <c:pt idx="1">
                  <c:v>-0.80959995862524359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2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1.152320033099806</c:v>
                </c:pt>
                <c:pt idx="1">
                  <c:v>1.152320033099806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2"/>
          <c:order val="3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-5.3585321859162134</c:v>
                </c:pt>
                <c:pt idx="4">
                  <c:v>-2.1162496368275741</c:v>
                </c:pt>
                <c:pt idx="5">
                  <c:v>2.1162496368275767</c:v>
                </c:pt>
                <c:pt idx="6">
                  <c:v>5.3585321859162125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-3.0937500000000009</c:v>
                </c:pt>
                <c:pt idx="4">
                  <c:v>-5.8143480911128087</c:v>
                </c:pt>
                <c:pt idx="5">
                  <c:v>-5.8143480911128078</c:v>
                </c:pt>
                <c:pt idx="6">
                  <c:v>-3.0937500000000027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3.7903030323735432E-16</c:v>
                </c:pt>
                <c:pt idx="1">
                  <c:v>-3.9772483349354624</c:v>
                </c:pt>
                <c:pt idx="2">
                  <c:v>-6.0934979717630373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6.0934979717630382</c:v>
                </c:pt>
                <c:pt idx="8">
                  <c:v>3.9772483349354637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6.1875</c:v>
                </c:pt>
                <c:pt idx="1">
                  <c:v>4.7398999917986764</c:v>
                </c:pt>
                <c:pt idx="2">
                  <c:v>1.074448099314131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1.0744480993141288</c:v>
                </c:pt>
                <c:pt idx="8">
                  <c:v>4.7398999917986755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300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149.65144615738791</c:v>
                </c:pt>
                <c:pt idx="1">
                  <c:v>149.6572299248021</c:v>
                </c:pt>
                <c:pt idx="2">
                  <c:v>149.62189988093246</c:v>
                </c:pt>
                <c:pt idx="3">
                  <c:v>149.54527636118746</c:v>
                </c:pt>
                <c:pt idx="4">
                  <c:v>149.42716475438931</c:v>
                </c:pt>
                <c:pt idx="5">
                  <c:v>149.2673736161203</c:v>
                </c:pt>
                <c:pt idx="6">
                  <c:v>149.05468229126072</c:v>
                </c:pt>
                <c:pt idx="7">
                  <c:v>148.75736042254371</c:v>
                </c:pt>
                <c:pt idx="8">
                  <c:v>148.41619695457055</c:v>
                </c:pt>
                <c:pt idx="9">
                  <c:v>148.03129483046814</c:v>
                </c:pt>
                <c:pt idx="10">
                  <c:v>147.60276436554653</c:v>
                </c:pt>
                <c:pt idx="11">
                  <c:v>147.13072324394582</c:v>
                </c:pt>
                <c:pt idx="12">
                  <c:v>146.61529653731037</c:v>
                </c:pt>
                <c:pt idx="13">
                  <c:v>146.05661674588856</c:v>
                </c:pt>
                <c:pt idx="14">
                  <c:v>145.45482386108966</c:v>
                </c:pt>
                <c:pt idx="15">
                  <c:v>144.76698052329874</c:v>
                </c:pt>
                <c:pt idx="16">
                  <c:v>144.02810224883657</c:v>
                </c:pt>
                <c:pt idx="17">
                  <c:v>143.25033205664508</c:v>
                </c:pt>
                <c:pt idx="18">
                  <c:v>142.43398640778898</c:v>
                </c:pt>
                <c:pt idx="19">
                  <c:v>141.57938210546502</c:v>
                </c:pt>
                <c:pt idx="20">
                  <c:v>140.68681771631086</c:v>
                </c:pt>
                <c:pt idx="21">
                  <c:v>139.75657276467737</c:v>
                </c:pt>
                <c:pt idx="22">
                  <c:v>138.78890778165413</c:v>
                </c:pt>
                <c:pt idx="23">
                  <c:v>137.78406446884725</c:v>
                </c:pt>
                <c:pt idx="24">
                  <c:v>136.74226597468044</c:v>
                </c:pt>
                <c:pt idx="25">
                  <c:v>135.66371728212061</c:v>
                </c:pt>
                <c:pt idx="26">
                  <c:v>134.54860570585907</c:v>
                </c:pt>
                <c:pt idx="27">
                  <c:v>133.3971014966904</c:v>
                </c:pt>
                <c:pt idx="28">
                  <c:v>132.20935855048143</c:v>
                </c:pt>
                <c:pt idx="29">
                  <c:v>130.98551521877766</c:v>
                </c:pt>
                <c:pt idx="30">
                  <c:v>129.61000522388733</c:v>
                </c:pt>
                <c:pt idx="31">
                  <c:v>127.99577816705042</c:v>
                </c:pt>
                <c:pt idx="32">
                  <c:v>126.63397173846479</c:v>
                </c:pt>
                <c:pt idx="33">
                  <c:v>125.2380312403134</c:v>
                </c:pt>
                <c:pt idx="34">
                  <c:v>123.80816104306363</c:v>
                </c:pt>
                <c:pt idx="35">
                  <c:v>122.34455002227379</c:v>
                </c:pt>
                <c:pt idx="36">
                  <c:v>120.84737249757609</c:v>
                </c:pt>
                <c:pt idx="37">
                  <c:v>119.31678926670607</c:v>
                </c:pt>
                <c:pt idx="38">
                  <c:v>117.75294873085019</c:v>
                </c:pt>
                <c:pt idx="39">
                  <c:v>116.15598810726516</c:v>
                </c:pt>
                <c:pt idx="40">
                  <c:v>114.52603472482065</c:v>
                </c:pt>
                <c:pt idx="41">
                  <c:v>112.86320739788178</c:v>
                </c:pt>
                <c:pt idx="42">
                  <c:v>111.16761787327778</c:v>
                </c:pt>
                <c:pt idx="43">
                  <c:v>109.43937234602561</c:v>
                </c:pt>
                <c:pt idx="44">
                  <c:v>107.67857343857709</c:v>
                </c:pt>
                <c:pt idx="45">
                  <c:v>105.8853311489046</c:v>
                </c:pt>
                <c:pt idx="46">
                  <c:v>104.0540551914707</c:v>
                </c:pt>
                <c:pt idx="47">
                  <c:v>102.17020912588291</c:v>
                </c:pt>
                <c:pt idx="48">
                  <c:v>100.25637834547494</c:v>
                </c:pt>
                <c:pt idx="49">
                  <c:v>98.313086609183301</c:v>
                </c:pt>
                <c:pt idx="50">
                  <c:v>96.340862264189482</c:v>
                </c:pt>
                <c:pt idx="51">
                  <c:v>94.340238354999371</c:v>
                </c:pt>
                <c:pt idx="52">
                  <c:v>92.311752747969862</c:v>
                </c:pt>
                <c:pt idx="53">
                  <c:v>90.255948270472658</c:v>
                </c:pt>
                <c:pt idx="54">
                  <c:v>88.173372862993034</c:v>
                </c:pt>
                <c:pt idx="55">
                  <c:v>86.03196345494834</c:v>
                </c:pt>
                <c:pt idx="56">
                  <c:v>83.860748880903344</c:v>
                </c:pt>
                <c:pt idx="57">
                  <c:v>81.669388410533259</c:v>
                </c:pt>
                <c:pt idx="58">
                  <c:v>79.458323553570068</c:v>
                </c:pt>
                <c:pt idx="59">
                  <c:v>77.227990734491783</c:v>
                </c:pt>
                <c:pt idx="60">
                  <c:v>74.978808291581643</c:v>
                </c:pt>
                <c:pt idx="61">
                  <c:v>72.711177029739389</c:v>
                </c:pt>
                <c:pt idx="62">
                  <c:v>70.42548140124245</c:v>
                </c:pt>
                <c:pt idx="63">
                  <c:v>68.122090765966178</c:v>
                </c:pt>
                <c:pt idx="64">
                  <c:v>65.80136072531549</c:v>
                </c:pt>
                <c:pt idx="65">
                  <c:v>63.463634524716824</c:v>
                </c:pt>
                <c:pt idx="66">
                  <c:v>61.109244519030639</c:v>
                </c:pt>
                <c:pt idx="67">
                  <c:v>58.738513695089637</c:v>
                </c:pt>
                <c:pt idx="68">
                  <c:v>56.351757245393195</c:v>
                </c:pt>
                <c:pt idx="69">
                  <c:v>53.949284186833395</c:v>
                </c:pt>
                <c:pt idx="70">
                  <c:v>51.186988706567313</c:v>
                </c:pt>
                <c:pt idx="71">
                  <c:v>48.330416495636719</c:v>
                </c:pt>
                <c:pt idx="72">
                  <c:v>45.873457554834914</c:v>
                </c:pt>
                <c:pt idx="73">
                  <c:v>43.404477470307171</c:v>
                </c:pt>
                <c:pt idx="74">
                  <c:v>40.923811331854075</c:v>
                </c:pt>
                <c:pt idx="75">
                  <c:v>38.431788146534146</c:v>
                </c:pt>
                <c:pt idx="76">
                  <c:v>35.928732508089432</c:v>
                </c:pt>
                <c:pt idx="77">
                  <c:v>33.414966299016797</c:v>
                </c:pt>
                <c:pt idx="78">
                  <c:v>30.890810418852354</c:v>
                </c:pt>
                <c:pt idx="79">
                  <c:v>28.356586532132678</c:v>
                </c:pt>
                <c:pt idx="80">
                  <c:v>25.81261882941191</c:v>
                </c:pt>
                <c:pt idx="81">
                  <c:v>23.259235794661908</c:v>
                </c:pt>
                <c:pt idx="82">
                  <c:v>20.696771972264255</c:v>
                </c:pt>
                <c:pt idx="83">
                  <c:v>18.125569727015741</c:v>
                </c:pt>
                <c:pt idx="84">
                  <c:v>15.545980896812075</c:v>
                </c:pt>
                <c:pt idx="85">
                  <c:v>12.958365452741971</c:v>
                </c:pt>
                <c:pt idx="86">
                  <c:v>10.365379235582271</c:v>
                </c:pt>
                <c:pt idx="87">
                  <c:v>7.776481483829123</c:v>
                </c:pt>
                <c:pt idx="88">
                  <c:v>5.1854860829992218</c:v>
                </c:pt>
                <c:pt idx="89">
                  <c:v>2.5930925352111069</c:v>
                </c:pt>
                <c:pt idx="90">
                  <c:v>-2.4320313119434707E-13</c:v>
                </c:pt>
                <c:pt idx="91">
                  <c:v>-2.5930925352116012</c:v>
                </c:pt>
                <c:pt idx="92">
                  <c:v>-5.1854860829997156</c:v>
                </c:pt>
                <c:pt idx="93">
                  <c:v>-7.7764814838296195</c:v>
                </c:pt>
                <c:pt idx="94">
                  <c:v>-10.365379235582765</c:v>
                </c:pt>
                <c:pt idx="95">
                  <c:v>-12.958365452742468</c:v>
                </c:pt>
                <c:pt idx="96">
                  <c:v>-15.545980896812575</c:v>
                </c:pt>
                <c:pt idx="97">
                  <c:v>-18.125569727016231</c:v>
                </c:pt>
                <c:pt idx="98">
                  <c:v>-20.696771972264745</c:v>
                </c:pt>
                <c:pt idx="99">
                  <c:v>-23.259235794662395</c:v>
                </c:pt>
                <c:pt idx="100">
                  <c:v>-25.812618829412404</c:v>
                </c:pt>
                <c:pt idx="101">
                  <c:v>-28.356586532133161</c:v>
                </c:pt>
                <c:pt idx="102">
                  <c:v>-30.890810418852844</c:v>
                </c:pt>
                <c:pt idx="103">
                  <c:v>-33.41496629901728</c:v>
                </c:pt>
                <c:pt idx="104">
                  <c:v>-35.928732508089915</c:v>
                </c:pt>
                <c:pt idx="105">
                  <c:v>-38.431788146534622</c:v>
                </c:pt>
                <c:pt idx="106">
                  <c:v>-40.923811331854559</c:v>
                </c:pt>
                <c:pt idx="107">
                  <c:v>-43.404477470307647</c:v>
                </c:pt>
                <c:pt idx="108">
                  <c:v>-45.873457554835376</c:v>
                </c:pt>
                <c:pt idx="109">
                  <c:v>-48.330416495637202</c:v>
                </c:pt>
                <c:pt idx="110">
                  <c:v>-51.18698870656781</c:v>
                </c:pt>
                <c:pt idx="111">
                  <c:v>-53.949284186833879</c:v>
                </c:pt>
                <c:pt idx="112">
                  <c:v>-56.351757245393664</c:v>
                </c:pt>
                <c:pt idx="113">
                  <c:v>-58.738513695090084</c:v>
                </c:pt>
                <c:pt idx="114">
                  <c:v>-61.109244519031115</c:v>
                </c:pt>
                <c:pt idx="115">
                  <c:v>-63.46363452471725</c:v>
                </c:pt>
                <c:pt idx="116">
                  <c:v>-65.801360725315874</c:v>
                </c:pt>
                <c:pt idx="117">
                  <c:v>-68.122090765966547</c:v>
                </c:pt>
                <c:pt idx="118">
                  <c:v>-70.425481401242763</c:v>
                </c:pt>
                <c:pt idx="119">
                  <c:v>-72.711177029739702</c:v>
                </c:pt>
                <c:pt idx="120">
                  <c:v>-74.978808291581913</c:v>
                </c:pt>
                <c:pt idx="121">
                  <c:v>-77.227990734492025</c:v>
                </c:pt>
                <c:pt idx="122">
                  <c:v>-79.458323553570295</c:v>
                </c:pt>
                <c:pt idx="123">
                  <c:v>-81.669388410533443</c:v>
                </c:pt>
                <c:pt idx="124">
                  <c:v>-83.860748880903486</c:v>
                </c:pt>
                <c:pt idx="125">
                  <c:v>-86.031963454948439</c:v>
                </c:pt>
                <c:pt idx="126">
                  <c:v>-88.173372862993133</c:v>
                </c:pt>
                <c:pt idx="127">
                  <c:v>-90.255948270472715</c:v>
                </c:pt>
                <c:pt idx="128">
                  <c:v>-92.311752747969891</c:v>
                </c:pt>
                <c:pt idx="129">
                  <c:v>-94.3402383549994</c:v>
                </c:pt>
                <c:pt idx="130">
                  <c:v>-96.340862264189496</c:v>
                </c:pt>
                <c:pt idx="131">
                  <c:v>-98.313086609183273</c:v>
                </c:pt>
                <c:pt idx="132">
                  <c:v>-100.25637834547489</c:v>
                </c:pt>
                <c:pt idx="133">
                  <c:v>-102.17020912588283</c:v>
                </c:pt>
                <c:pt idx="134">
                  <c:v>-104.05405519147058</c:v>
                </c:pt>
                <c:pt idx="135">
                  <c:v>-105.88533114890448</c:v>
                </c:pt>
                <c:pt idx="136">
                  <c:v>-107.67857343857693</c:v>
                </c:pt>
                <c:pt idx="137">
                  <c:v>-109.43937234602546</c:v>
                </c:pt>
                <c:pt idx="138">
                  <c:v>-111.16761787327758</c:v>
                </c:pt>
                <c:pt idx="139">
                  <c:v>-112.86320739788155</c:v>
                </c:pt>
                <c:pt idx="140">
                  <c:v>-114.52603472482045</c:v>
                </c:pt>
                <c:pt idx="141">
                  <c:v>-116.1559881072649</c:v>
                </c:pt>
                <c:pt idx="142">
                  <c:v>-117.75294873084995</c:v>
                </c:pt>
                <c:pt idx="143">
                  <c:v>-119.31678926670577</c:v>
                </c:pt>
                <c:pt idx="144">
                  <c:v>-120.84737249757579</c:v>
                </c:pt>
                <c:pt idx="145">
                  <c:v>-122.34455002227352</c:v>
                </c:pt>
                <c:pt idx="146">
                  <c:v>-123.80816104306334</c:v>
                </c:pt>
                <c:pt idx="147">
                  <c:v>-125.23803124031311</c:v>
                </c:pt>
                <c:pt idx="148">
                  <c:v>-126.63397173846447</c:v>
                </c:pt>
                <c:pt idx="149">
                  <c:v>-127.99577816705009</c:v>
                </c:pt>
                <c:pt idx="150">
                  <c:v>-129.61000522388701</c:v>
                </c:pt>
                <c:pt idx="151">
                  <c:v>-130.98551521877741</c:v>
                </c:pt>
                <c:pt idx="152">
                  <c:v>-132.20935855048111</c:v>
                </c:pt>
                <c:pt idx="153">
                  <c:v>-133.39710149669006</c:v>
                </c:pt>
                <c:pt idx="154">
                  <c:v>-134.54860570585873</c:v>
                </c:pt>
                <c:pt idx="155">
                  <c:v>-135.6637172821203</c:v>
                </c:pt>
                <c:pt idx="156">
                  <c:v>-136.74226597468007</c:v>
                </c:pt>
                <c:pt idx="157">
                  <c:v>-137.78406446884691</c:v>
                </c:pt>
                <c:pt idx="158">
                  <c:v>-138.78890778165382</c:v>
                </c:pt>
                <c:pt idx="159">
                  <c:v>-139.75657276467703</c:v>
                </c:pt>
                <c:pt idx="160">
                  <c:v>-140.68681771631054</c:v>
                </c:pt>
                <c:pt idx="161">
                  <c:v>-141.57938210546467</c:v>
                </c:pt>
                <c:pt idx="162">
                  <c:v>-142.43398640778867</c:v>
                </c:pt>
                <c:pt idx="163">
                  <c:v>-143.25033205664477</c:v>
                </c:pt>
                <c:pt idx="164">
                  <c:v>-144.02810224883629</c:v>
                </c:pt>
                <c:pt idx="165">
                  <c:v>-144.7669805232984</c:v>
                </c:pt>
                <c:pt idx="166">
                  <c:v>-145.45482386108941</c:v>
                </c:pt>
                <c:pt idx="167">
                  <c:v>-146.05661674588825</c:v>
                </c:pt>
                <c:pt idx="168">
                  <c:v>-146.61529653731012</c:v>
                </c:pt>
                <c:pt idx="169">
                  <c:v>-147.1307232439456</c:v>
                </c:pt>
                <c:pt idx="170">
                  <c:v>-147.60276436554634</c:v>
                </c:pt>
                <c:pt idx="171">
                  <c:v>-148.03129483046797</c:v>
                </c:pt>
                <c:pt idx="172">
                  <c:v>-148.41619695457032</c:v>
                </c:pt>
                <c:pt idx="173">
                  <c:v>-148.75736042254354</c:v>
                </c:pt>
                <c:pt idx="174">
                  <c:v>-149.05468229126058</c:v>
                </c:pt>
                <c:pt idx="175">
                  <c:v>-149.26737361612018</c:v>
                </c:pt>
                <c:pt idx="176">
                  <c:v>-149.42716475438922</c:v>
                </c:pt>
                <c:pt idx="177">
                  <c:v>-149.54527636118746</c:v>
                </c:pt>
                <c:pt idx="178">
                  <c:v>-149.6218998809324</c:v>
                </c:pt>
                <c:pt idx="179">
                  <c:v>-149.65722992480207</c:v>
                </c:pt>
                <c:pt idx="180">
                  <c:v>-149.65144615738791</c:v>
                </c:pt>
                <c:pt idx="181">
                  <c:v>-149.60471191699639</c:v>
                </c:pt>
                <c:pt idx="182">
                  <c:v>-149.51717365343097</c:v>
                </c:pt>
                <c:pt idx="183">
                  <c:v>-149.38896047809973</c:v>
                </c:pt>
                <c:pt idx="184">
                  <c:v>-149.22018382650529</c:v>
                </c:pt>
                <c:pt idx="185">
                  <c:v>-149.01093723437526</c:v>
                </c:pt>
                <c:pt idx="186">
                  <c:v>-148.76129622778279</c:v>
                </c:pt>
                <c:pt idx="187">
                  <c:v>-148.47131832729906</c:v>
                </c:pt>
                <c:pt idx="188">
                  <c:v>-148.14104316583854</c:v>
                </c:pt>
                <c:pt idx="189">
                  <c:v>-147.77049271948016</c:v>
                </c:pt>
                <c:pt idx="190">
                  <c:v>-147.38705984219399</c:v>
                </c:pt>
                <c:pt idx="191">
                  <c:v>-146.73216793800879</c:v>
                </c:pt>
                <c:pt idx="192">
                  <c:v>-146.20473164644878</c:v>
                </c:pt>
                <c:pt idx="193">
                  <c:v>-145.63770296434666</c:v>
                </c:pt>
                <c:pt idx="194">
                  <c:v>-145.03117894172925</c:v>
                </c:pt>
                <c:pt idx="195">
                  <c:v>-144.38523898894874</c:v>
                </c:pt>
                <c:pt idx="196">
                  <c:v>-143.6999452534875</c:v>
                </c:pt>
                <c:pt idx="197">
                  <c:v>-142.97534310744922</c:v>
                </c:pt>
                <c:pt idx="198">
                  <c:v>-142.21146174413497</c:v>
                </c:pt>
                <c:pt idx="199">
                  <c:v>-141.40831488172955</c:v>
                </c:pt>
                <c:pt idx="200">
                  <c:v>-140.56590157176402</c:v>
                </c:pt>
                <c:pt idx="201">
                  <c:v>-139.68420710972882</c:v>
                </c:pt>
                <c:pt idx="202">
                  <c:v>-138.7632040443722</c:v>
                </c:pt>
                <c:pt idx="203">
                  <c:v>-137.8028532833502</c:v>
                </c:pt>
                <c:pt idx="204">
                  <c:v>-136.80310588048394</c:v>
                </c:pt>
                <c:pt idx="205">
                  <c:v>-135.76391849902507</c:v>
                </c:pt>
                <c:pt idx="206">
                  <c:v>-134.67634622428287</c:v>
                </c:pt>
                <c:pt idx="207">
                  <c:v>-133.51577100742071</c:v>
                </c:pt>
                <c:pt idx="208">
                  <c:v>-132.31591362932664</c:v>
                </c:pt>
                <c:pt idx="209">
                  <c:v>-131.0771075512036</c:v>
                </c:pt>
                <c:pt idx="210">
                  <c:v>-129.79969259826532</c:v>
                </c:pt>
                <c:pt idx="211">
                  <c:v>-128.48401501599233</c:v>
                </c:pt>
                <c:pt idx="212">
                  <c:v>-127.13042754632745</c:v>
                </c:pt>
                <c:pt idx="213">
                  <c:v>-125.73928952359167</c:v>
                </c:pt>
                <c:pt idx="214">
                  <c:v>-124.31096698870077</c:v>
                </c:pt>
                <c:pt idx="215">
                  <c:v>-122.80555304628348</c:v>
                </c:pt>
                <c:pt idx="216">
                  <c:v>-121.25712498367234</c:v>
                </c:pt>
                <c:pt idx="217">
                  <c:v>-119.67728355633507</c:v>
                </c:pt>
                <c:pt idx="218">
                  <c:v>-118.06643207210864</c:v>
                </c:pt>
                <c:pt idx="219">
                  <c:v>-116.42497131506765</c:v>
                </c:pt>
                <c:pt idx="220">
                  <c:v>-114.75328274235294</c:v>
                </c:pt>
                <c:pt idx="221">
                  <c:v>-113.05172834959787</c:v>
                </c:pt>
                <c:pt idx="222">
                  <c:v>-111.32065132528369</c:v>
                </c:pt>
                <c:pt idx="223">
                  <c:v>-109.56037680843359</c:v>
                </c:pt>
                <c:pt idx="224">
                  <c:v>-107.77121274539928</c:v>
                </c:pt>
                <c:pt idx="225">
                  <c:v>-105.95345084241595</c:v>
                </c:pt>
                <c:pt idx="226">
                  <c:v>-104.10736760987659</c:v>
                </c:pt>
                <c:pt idx="227">
                  <c:v>-102.23322549404102</c:v>
                </c:pt>
                <c:pt idx="228">
                  <c:v>-100.33127409161555</c:v>
                </c:pt>
                <c:pt idx="229">
                  <c:v>-98.401751442373779</c:v>
                </c:pt>
                <c:pt idx="230">
                  <c:v>-96.200071135628505</c:v>
                </c:pt>
                <c:pt idx="231">
                  <c:v>-93.821208532648768</c:v>
                </c:pt>
                <c:pt idx="232">
                  <c:v>-91.789285920447369</c:v>
                </c:pt>
                <c:pt idx="233">
                  <c:v>-89.732804632211554</c:v>
                </c:pt>
                <c:pt idx="234">
                  <c:v>-87.652051708754399</c:v>
                </c:pt>
                <c:pt idx="235">
                  <c:v>-85.547302709660741</c:v>
                </c:pt>
                <c:pt idx="236">
                  <c:v>-83.418823101192245</c:v>
                </c:pt>
                <c:pt idx="237">
                  <c:v>-81.266869712136071</c:v>
                </c:pt>
                <c:pt idx="238">
                  <c:v>-79.091692252191123</c:v>
                </c:pt>
                <c:pt idx="239">
                  <c:v>-76.893534887259648</c:v>
                </c:pt>
                <c:pt idx="240">
                  <c:v>-74.672637865809037</c:v>
                </c:pt>
                <c:pt idx="241">
                  <c:v>-72.429239190313112</c:v>
                </c:pt>
                <c:pt idx="242">
                  <c:v>-70.163576327365263</c:v>
                </c:pt>
                <c:pt idx="243">
                  <c:v>-67.875887950657201</c:v>
                </c:pt>
                <c:pt idx="244">
                  <c:v>-65.566415873488992</c:v>
                </c:pt>
                <c:pt idx="245">
                  <c:v>-63.235410161175025</c:v>
                </c:pt>
                <c:pt idx="246">
                  <c:v>-60.881309428270875</c:v>
                </c:pt>
                <c:pt idx="247">
                  <c:v>-58.501412152074273</c:v>
                </c:pt>
                <c:pt idx="248">
                  <c:v>-56.104444206603915</c:v>
                </c:pt>
                <c:pt idx="249">
                  <c:v>-53.691056475472067</c:v>
                </c:pt>
                <c:pt idx="250">
                  <c:v>-51.26190210136042</c:v>
                </c:pt>
                <c:pt idx="251">
                  <c:v>-48.817636634765904</c:v>
                </c:pt>
                <c:pt idx="252">
                  <c:v>-46.358918191838889</c:v>
                </c:pt>
                <c:pt idx="253">
                  <c:v>-43.886407620009166</c:v>
                </c:pt>
                <c:pt idx="254">
                  <c:v>-41.400768669622543</c:v>
                </c:pt>
                <c:pt idx="255">
                  <c:v>-38.881649374397767</c:v>
                </c:pt>
                <c:pt idx="256">
                  <c:v>-36.349528810263187</c:v>
                </c:pt>
                <c:pt idx="257">
                  <c:v>-33.810959710623209</c:v>
                </c:pt>
                <c:pt idx="258">
                  <c:v>-31.266368534514999</c:v>
                </c:pt>
                <c:pt idx="259">
                  <c:v>-28.71617470758709</c:v>
                </c:pt>
                <c:pt idx="260">
                  <c:v>-26.160782991494095</c:v>
                </c:pt>
                <c:pt idx="261">
                  <c:v>-23.6005846574161</c:v>
                </c:pt>
                <c:pt idx="262">
                  <c:v>-21.035959050807907</c:v>
                </c:pt>
                <c:pt idx="263">
                  <c:v>-18.467275202145199</c:v>
                </c:pt>
                <c:pt idx="264">
                  <c:v>-15.894893477108376</c:v>
                </c:pt>
                <c:pt idx="265">
                  <c:v>-13.319167259850897</c:v>
                </c:pt>
                <c:pt idx="266">
                  <c:v>-10.74044466279955</c:v>
                </c:pt>
                <c:pt idx="267">
                  <c:v>-8.1590702563811082</c:v>
                </c:pt>
                <c:pt idx="268">
                  <c:v>-5.5753868120208523</c:v>
                </c:pt>
                <c:pt idx="269">
                  <c:v>-2.9897370517314878</c:v>
                </c:pt>
                <c:pt idx="270">
                  <c:v>-4.2272348153668043E-12</c:v>
                </c:pt>
                <c:pt idx="271">
                  <c:v>2.9897370517229969</c:v>
                </c:pt>
                <c:pt idx="272">
                  <c:v>5.5753868120123666</c:v>
                </c:pt>
                <c:pt idx="273">
                  <c:v>8.1590702563726332</c:v>
                </c:pt>
                <c:pt idx="274">
                  <c:v>10.740444662791075</c:v>
                </c:pt>
                <c:pt idx="275">
                  <c:v>13.319167259842438</c:v>
                </c:pt>
                <c:pt idx="276">
                  <c:v>15.894893477099934</c:v>
                </c:pt>
                <c:pt idx="277">
                  <c:v>18.467275202136754</c:v>
                </c:pt>
                <c:pt idx="278">
                  <c:v>21.035959050799484</c:v>
                </c:pt>
                <c:pt idx="279">
                  <c:v>23.60058465740768</c:v>
                </c:pt>
                <c:pt idx="280">
                  <c:v>26.160782991485693</c:v>
                </c:pt>
                <c:pt idx="281">
                  <c:v>28.71617470757873</c:v>
                </c:pt>
                <c:pt idx="282">
                  <c:v>31.266368534506633</c:v>
                </c:pt>
                <c:pt idx="283">
                  <c:v>33.810959710614874</c:v>
                </c:pt>
                <c:pt idx="284">
                  <c:v>36.34952881025486</c:v>
                </c:pt>
                <c:pt idx="285">
                  <c:v>38.881649374389475</c:v>
                </c:pt>
                <c:pt idx="286">
                  <c:v>41.400768669614365</c:v>
                </c:pt>
                <c:pt idx="287">
                  <c:v>43.886407620001023</c:v>
                </c:pt>
                <c:pt idx="288">
                  <c:v>46.35891819183076</c:v>
                </c:pt>
                <c:pt idx="289">
                  <c:v>48.817636634757854</c:v>
                </c:pt>
                <c:pt idx="290">
                  <c:v>51.261902101352426</c:v>
                </c:pt>
                <c:pt idx="291">
                  <c:v>53.691056475464123</c:v>
                </c:pt>
                <c:pt idx="292">
                  <c:v>56.104444206596035</c:v>
                </c:pt>
                <c:pt idx="293">
                  <c:v>58.501412152066429</c:v>
                </c:pt>
                <c:pt idx="294">
                  <c:v>60.88130942826308</c:v>
                </c:pt>
                <c:pt idx="295">
                  <c:v>63.235410161167323</c:v>
                </c:pt>
                <c:pt idx="296">
                  <c:v>65.56641587348139</c:v>
                </c:pt>
                <c:pt idx="297">
                  <c:v>67.875887950649627</c:v>
                </c:pt>
                <c:pt idx="298">
                  <c:v>70.163576327357774</c:v>
                </c:pt>
                <c:pt idx="299">
                  <c:v>72.429239190305708</c:v>
                </c:pt>
                <c:pt idx="300">
                  <c:v>74.67263786580169</c:v>
                </c:pt>
                <c:pt idx="301">
                  <c:v>76.893534887252429</c:v>
                </c:pt>
                <c:pt idx="302">
                  <c:v>79.091692252183975</c:v>
                </c:pt>
                <c:pt idx="303">
                  <c:v>81.26686971212898</c:v>
                </c:pt>
                <c:pt idx="304">
                  <c:v>83.418823101185225</c:v>
                </c:pt>
                <c:pt idx="305">
                  <c:v>85.547302709653835</c:v>
                </c:pt>
                <c:pt idx="306">
                  <c:v>87.652051708747535</c:v>
                </c:pt>
                <c:pt idx="307">
                  <c:v>89.73280463220479</c:v>
                </c:pt>
                <c:pt idx="308">
                  <c:v>91.789285920440662</c:v>
                </c:pt>
                <c:pt idx="309">
                  <c:v>93.821208532642117</c:v>
                </c:pt>
                <c:pt idx="310">
                  <c:v>96.200071135622053</c:v>
                </c:pt>
                <c:pt idx="311">
                  <c:v>98.401751442367456</c:v>
                </c:pt>
                <c:pt idx="312">
                  <c:v>100.33127409160926</c:v>
                </c:pt>
                <c:pt idx="313">
                  <c:v>102.23322549403484</c:v>
                </c:pt>
                <c:pt idx="314">
                  <c:v>104.10736760987049</c:v>
                </c:pt>
                <c:pt idx="315">
                  <c:v>105.95345084240996</c:v>
                </c:pt>
                <c:pt idx="316">
                  <c:v>107.77121274539341</c:v>
                </c:pt>
                <c:pt idx="317">
                  <c:v>109.56037680842779</c:v>
                </c:pt>
                <c:pt idx="318">
                  <c:v>111.32065132527795</c:v>
                </c:pt>
                <c:pt idx="319">
                  <c:v>113.05172834959222</c:v>
                </c:pt>
                <c:pt idx="320">
                  <c:v>114.75328274234745</c:v>
                </c:pt>
                <c:pt idx="321">
                  <c:v>116.42497131506225</c:v>
                </c:pt>
                <c:pt idx="322">
                  <c:v>118.06643207210328</c:v>
                </c:pt>
                <c:pt idx="323">
                  <c:v>119.67728355632985</c:v>
                </c:pt>
                <c:pt idx="324">
                  <c:v>121.25712498366724</c:v>
                </c:pt>
                <c:pt idx="325">
                  <c:v>122.8055530462785</c:v>
                </c:pt>
                <c:pt idx="326">
                  <c:v>124.31096698869604</c:v>
                </c:pt>
                <c:pt idx="327">
                  <c:v>125.73928952358705</c:v>
                </c:pt>
                <c:pt idx="328">
                  <c:v>127.13042754632288</c:v>
                </c:pt>
                <c:pt idx="329">
                  <c:v>128.48401501598801</c:v>
                </c:pt>
                <c:pt idx="330">
                  <c:v>129.79969259826112</c:v>
                </c:pt>
                <c:pt idx="331">
                  <c:v>131.07710755119948</c:v>
                </c:pt>
                <c:pt idx="332">
                  <c:v>132.31591362932269</c:v>
                </c:pt>
                <c:pt idx="333">
                  <c:v>133.51577100741684</c:v>
                </c:pt>
                <c:pt idx="334">
                  <c:v>134.67634622427914</c:v>
                </c:pt>
                <c:pt idx="335">
                  <c:v>135.7639184990216</c:v>
                </c:pt>
                <c:pt idx="336">
                  <c:v>136.80310588048067</c:v>
                </c:pt>
                <c:pt idx="337">
                  <c:v>137.80285328334705</c:v>
                </c:pt>
                <c:pt idx="338">
                  <c:v>138.7632040443691</c:v>
                </c:pt>
                <c:pt idx="339">
                  <c:v>139.68420710972586</c:v>
                </c:pt>
                <c:pt idx="340">
                  <c:v>140.56590157176126</c:v>
                </c:pt>
                <c:pt idx="341">
                  <c:v>141.40831488172691</c:v>
                </c:pt>
                <c:pt idx="342">
                  <c:v>142.21146174413244</c:v>
                </c:pt>
                <c:pt idx="343">
                  <c:v>142.97534310744678</c:v>
                </c:pt>
                <c:pt idx="344">
                  <c:v>143.69994525348514</c:v>
                </c:pt>
                <c:pt idx="345">
                  <c:v>144.38523898894653</c:v>
                </c:pt>
                <c:pt idx="346">
                  <c:v>145.03117894172721</c:v>
                </c:pt>
                <c:pt idx="347">
                  <c:v>145.63770296434473</c:v>
                </c:pt>
                <c:pt idx="348">
                  <c:v>146.20473164644704</c:v>
                </c:pt>
                <c:pt idx="349">
                  <c:v>146.73216793800714</c:v>
                </c:pt>
                <c:pt idx="350">
                  <c:v>147.38705984219254</c:v>
                </c:pt>
                <c:pt idx="351">
                  <c:v>147.77049271947894</c:v>
                </c:pt>
                <c:pt idx="352">
                  <c:v>148.14104316583737</c:v>
                </c:pt>
                <c:pt idx="353">
                  <c:v>148.47131832729801</c:v>
                </c:pt>
                <c:pt idx="354">
                  <c:v>148.76129622778191</c:v>
                </c:pt>
                <c:pt idx="355">
                  <c:v>149.01093723437452</c:v>
                </c:pt>
                <c:pt idx="356">
                  <c:v>149.22018382650472</c:v>
                </c:pt>
                <c:pt idx="357">
                  <c:v>149.38896047809925</c:v>
                </c:pt>
                <c:pt idx="358">
                  <c:v>149.5171736534306</c:v>
                </c:pt>
                <c:pt idx="359">
                  <c:v>149.60471191699619</c:v>
                </c:pt>
                <c:pt idx="360">
                  <c:v>149.65144615738782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0.17676757773948709</c:v>
                </c:pt>
                <c:pt idx="1">
                  <c:v>2.7705604958074939</c:v>
                </c:pt>
                <c:pt idx="2">
                  <c:v>5.3663248131006922</c:v>
                </c:pt>
                <c:pt idx="3">
                  <c:v>7.9636812035785312</c:v>
                </c:pt>
                <c:pt idx="4">
                  <c:v>10.562238086477196</c:v>
                </c:pt>
                <c:pt idx="5">
                  <c:v>13.161596180757584</c:v>
                </c:pt>
                <c:pt idx="6">
                  <c:v>15.757080170779117</c:v>
                </c:pt>
                <c:pt idx="7">
                  <c:v>18.333489975950968</c:v>
                </c:pt>
                <c:pt idx="8">
                  <c:v>20.904299332991474</c:v>
                </c:pt>
                <c:pt idx="9">
                  <c:v>23.468816100485181</c:v>
                </c:pt>
                <c:pt idx="10">
                  <c:v>26.026349784799834</c:v>
                </c:pt>
                <c:pt idx="11">
                  <c:v>28.576211366393611</c:v>
                </c:pt>
                <c:pt idx="12">
                  <c:v>31.117713128341023</c:v>
                </c:pt>
                <c:pt idx="13">
                  <c:v>33.650168488813037</c:v>
                </c:pt>
                <c:pt idx="14">
                  <c:v>36.172891839005928</c:v>
                </c:pt>
                <c:pt idx="15">
                  <c:v>38.684593709209715</c:v>
                </c:pt>
                <c:pt idx="16">
                  <c:v>41.181843117198063</c:v>
                </c:pt>
                <c:pt idx="17">
                  <c:v>43.664084393435914</c:v>
                </c:pt>
                <c:pt idx="18">
                  <c:v>46.131007814324356</c:v>
                </c:pt>
                <c:pt idx="19">
                  <c:v>48.582311975252146</c:v>
                </c:pt>
                <c:pt idx="20">
                  <c:v>51.01770187524744</c:v>
                </c:pt>
                <c:pt idx="21">
                  <c:v>53.436887096727098</c:v>
                </c:pt>
                <c:pt idx="22">
                  <c:v>55.839580026985004</c:v>
                </c:pt>
                <c:pt idx="23">
                  <c:v>58.22549409281951</c:v>
                </c:pt>
                <c:pt idx="24">
                  <c:v>60.594342014587951</c:v>
                </c:pt>
                <c:pt idx="25">
                  <c:v>62.945834086389254</c:v>
                </c:pt>
                <c:pt idx="26">
                  <c:v>65.279676488804157</c:v>
                </c:pt>
                <c:pt idx="27">
                  <c:v>67.595569640517454</c:v>
                </c:pt>
                <c:pt idx="28">
                  <c:v>69.893206595000038</c:v>
                </c:pt>
                <c:pt idx="29">
                  <c:v>72.172271488261273</c:v>
                </c:pt>
                <c:pt idx="30">
                  <c:v>74.830371405680197</c:v>
                </c:pt>
                <c:pt idx="31">
                  <c:v>77.350647963124118</c:v>
                </c:pt>
                <c:pt idx="32">
                  <c:v>79.55005982526238</c:v>
                </c:pt>
                <c:pt idx="33">
                  <c:v>81.727493867086395</c:v>
                </c:pt>
                <c:pt idx="34">
                  <c:v>83.882672340647829</c:v>
                </c:pt>
                <c:pt idx="35">
                  <c:v>86.015308494951896</c:v>
                </c:pt>
                <c:pt idx="36">
                  <c:v>88.125105097827813</c:v>
                </c:pt>
                <c:pt idx="37">
                  <c:v>90.211753020284874</c:v>
                </c:pt>
                <c:pt idx="38">
                  <c:v>92.274929888915835</c:v>
                </c:pt>
                <c:pt idx="39">
                  <c:v>94.314298811695508</c:v>
                </c:pt>
                <c:pt idx="40">
                  <c:v>96.32950718229219</c:v>
                </c:pt>
                <c:pt idx="41">
                  <c:v>98.320185567810682</c:v>
                </c:pt>
                <c:pt idx="42">
                  <c:v>100.28594668427061</c:v>
                </c:pt>
                <c:pt idx="43">
                  <c:v>102.2263844648931</c:v>
                </c:pt>
                <c:pt idx="44">
                  <c:v>104.14107384775615</c:v>
                </c:pt>
                <c:pt idx="45">
                  <c:v>106.02958590773895</c:v>
                </c:pt>
                <c:pt idx="46">
                  <c:v>107.88112664719168</c:v>
                </c:pt>
                <c:pt idx="47">
                  <c:v>109.66365624834067</c:v>
                </c:pt>
                <c:pt idx="48">
                  <c:v>111.41371482052897</c:v>
                </c:pt>
                <c:pt idx="49">
                  <c:v>113.13083832323791</c:v>
                </c:pt>
                <c:pt idx="50">
                  <c:v>114.81456871697199</c:v>
                </c:pt>
                <c:pt idx="51">
                  <c:v>116.46445382804691</c:v>
                </c:pt>
                <c:pt idx="52">
                  <c:v>118.08004722923707</c:v>
                </c:pt>
                <c:pt idx="53">
                  <c:v>119.66090813786532</c:v>
                </c:pt>
                <c:pt idx="54">
                  <c:v>121.20660133186084</c:v>
                </c:pt>
                <c:pt idx="55">
                  <c:v>122.6885394173645</c:v>
                </c:pt>
                <c:pt idx="56">
                  <c:v>124.12660164954535</c:v>
                </c:pt>
                <c:pt idx="57">
                  <c:v>125.52816774296366</c:v>
                </c:pt>
                <c:pt idx="58">
                  <c:v>126.8932038528291</c:v>
                </c:pt>
                <c:pt idx="59">
                  <c:v>128.22168272698357</c:v>
                </c:pt>
                <c:pt idx="60">
                  <c:v>129.51357029650737</c:v>
                </c:pt>
                <c:pt idx="61">
                  <c:v>130.76882376341396</c:v>
                </c:pt>
                <c:pt idx="62">
                  <c:v>131.98739026974442</c:v>
                </c:pt>
                <c:pt idx="63">
                  <c:v>133.16920565048767</c:v>
                </c:pt>
                <c:pt idx="64">
                  <c:v>134.31419327371179</c:v>
                </c:pt>
                <c:pt idx="65">
                  <c:v>135.42226297233248</c:v>
                </c:pt>
                <c:pt idx="66">
                  <c:v>136.49331007117888</c:v>
                </c:pt>
                <c:pt idx="67">
                  <c:v>137.52721451275065</c:v>
                </c:pt>
                <c:pt idx="68">
                  <c:v>138.52384008472112</c:v>
                </c:pt>
                <c:pt idx="69">
                  <c:v>139.48303375189482</c:v>
                </c:pt>
                <c:pt idx="70">
                  <c:v>140.63509564117297</c:v>
                </c:pt>
                <c:pt idx="71">
                  <c:v>141.52813434177042</c:v>
                </c:pt>
                <c:pt idx="72">
                  <c:v>142.33762927780509</c:v>
                </c:pt>
                <c:pt idx="73">
                  <c:v>143.10834726973113</c:v>
                </c:pt>
                <c:pt idx="74">
                  <c:v>143.84020691708028</c:v>
                </c:pt>
                <c:pt idx="75">
                  <c:v>144.53310996271517</c:v>
                </c:pt>
                <c:pt idx="76">
                  <c:v>145.18694076408269</c:v>
                </c:pt>
                <c:pt idx="77">
                  <c:v>145.80156587342947</c:v>
                </c:pt>
                <c:pt idx="78">
                  <c:v>146.37683372884209</c:v>
                </c:pt>
                <c:pt idx="79">
                  <c:v>146.91257445760928</c:v>
                </c:pt>
                <c:pt idx="80">
                  <c:v>147.40859979302968</c:v>
                </c:pt>
                <c:pt idx="81">
                  <c:v>147.8647031054887</c:v>
                </c:pt>
                <c:pt idx="82">
                  <c:v>148.28065954772242</c:v>
                </c:pt>
                <c:pt idx="83">
                  <c:v>148.65622631537252</c:v>
                </c:pt>
                <c:pt idx="84">
                  <c:v>148.9911437565562</c:v>
                </c:pt>
                <c:pt idx="85">
                  <c:v>149.28515400090174</c:v>
                </c:pt>
                <c:pt idx="86">
                  <c:v>149.52639500021257</c:v>
                </c:pt>
                <c:pt idx="87">
                  <c:v>149.68097898635131</c:v>
                </c:pt>
                <c:pt idx="88">
                  <c:v>149.79141491802588</c:v>
                </c:pt>
                <c:pt idx="89">
                  <c:v>149.8576839853306</c:v>
                </c:pt>
                <c:pt idx="90">
                  <c:v>149.87977492467692</c:v>
                </c:pt>
                <c:pt idx="91">
                  <c:v>149.85768398533057</c:v>
                </c:pt>
                <c:pt idx="92">
                  <c:v>149.79141491802588</c:v>
                </c:pt>
                <c:pt idx="93">
                  <c:v>149.68097898635128</c:v>
                </c:pt>
                <c:pt idx="94">
                  <c:v>149.52639500021255</c:v>
                </c:pt>
                <c:pt idx="95">
                  <c:v>149.28515400090171</c:v>
                </c:pt>
                <c:pt idx="96">
                  <c:v>148.99114375655617</c:v>
                </c:pt>
                <c:pt idx="97">
                  <c:v>148.65622631537249</c:v>
                </c:pt>
                <c:pt idx="98">
                  <c:v>148.28065954772237</c:v>
                </c:pt>
                <c:pt idx="99">
                  <c:v>147.86470310548862</c:v>
                </c:pt>
                <c:pt idx="100">
                  <c:v>147.40859979302962</c:v>
                </c:pt>
                <c:pt idx="101">
                  <c:v>146.9125744576092</c:v>
                </c:pt>
                <c:pt idx="102">
                  <c:v>146.376833728842</c:v>
                </c:pt>
                <c:pt idx="103">
                  <c:v>145.80156587342935</c:v>
                </c:pt>
                <c:pt idx="104">
                  <c:v>145.18694076408261</c:v>
                </c:pt>
                <c:pt idx="105">
                  <c:v>144.53310996271506</c:v>
                </c:pt>
                <c:pt idx="106">
                  <c:v>143.84020691708014</c:v>
                </c:pt>
                <c:pt idx="107">
                  <c:v>143.10834726973098</c:v>
                </c:pt>
                <c:pt idx="108">
                  <c:v>142.33762927780495</c:v>
                </c:pt>
                <c:pt idx="109">
                  <c:v>141.52813434177028</c:v>
                </c:pt>
                <c:pt idx="110">
                  <c:v>140.63509564117288</c:v>
                </c:pt>
                <c:pt idx="111">
                  <c:v>139.48303375189465</c:v>
                </c:pt>
                <c:pt idx="112">
                  <c:v>138.52384008472094</c:v>
                </c:pt>
                <c:pt idx="113">
                  <c:v>137.52721451275045</c:v>
                </c:pt>
                <c:pt idx="114">
                  <c:v>136.49331007117871</c:v>
                </c:pt>
                <c:pt idx="115">
                  <c:v>135.42226297233231</c:v>
                </c:pt>
                <c:pt idx="116">
                  <c:v>134.31419327371162</c:v>
                </c:pt>
                <c:pt idx="117">
                  <c:v>133.16920565048753</c:v>
                </c:pt>
                <c:pt idx="118">
                  <c:v>131.98739026974425</c:v>
                </c:pt>
                <c:pt idx="119">
                  <c:v>130.76882376341382</c:v>
                </c:pt>
                <c:pt idx="120">
                  <c:v>129.51357029650717</c:v>
                </c:pt>
                <c:pt idx="121">
                  <c:v>128.22168272698346</c:v>
                </c:pt>
                <c:pt idx="122">
                  <c:v>126.893203852829</c:v>
                </c:pt>
                <c:pt idx="123">
                  <c:v>125.52816774296359</c:v>
                </c:pt>
                <c:pt idx="124">
                  <c:v>124.12660164954522</c:v>
                </c:pt>
                <c:pt idx="125">
                  <c:v>122.68853941736447</c:v>
                </c:pt>
                <c:pt idx="126">
                  <c:v>121.20660133186077</c:v>
                </c:pt>
                <c:pt idx="127">
                  <c:v>119.66090813786528</c:v>
                </c:pt>
                <c:pt idx="128">
                  <c:v>118.08004722923701</c:v>
                </c:pt>
                <c:pt idx="129">
                  <c:v>116.46445382804696</c:v>
                </c:pt>
                <c:pt idx="130">
                  <c:v>114.81456871697199</c:v>
                </c:pt>
                <c:pt idx="131">
                  <c:v>113.13083832323797</c:v>
                </c:pt>
                <c:pt idx="132">
                  <c:v>111.41371482052904</c:v>
                </c:pt>
                <c:pt idx="133">
                  <c:v>109.66365624834079</c:v>
                </c:pt>
                <c:pt idx="134">
                  <c:v>107.88112664719181</c:v>
                </c:pt>
                <c:pt idx="135">
                  <c:v>106.02958590773908</c:v>
                </c:pt>
                <c:pt idx="136">
                  <c:v>104.14107384775632</c:v>
                </c:pt>
                <c:pt idx="137">
                  <c:v>102.22638446489329</c:v>
                </c:pt>
                <c:pt idx="138">
                  <c:v>100.28594668427081</c:v>
                </c:pt>
                <c:pt idx="139">
                  <c:v>98.320185567810952</c:v>
                </c:pt>
                <c:pt idx="140">
                  <c:v>96.32950718229246</c:v>
                </c:pt>
                <c:pt idx="141">
                  <c:v>94.314298811695807</c:v>
                </c:pt>
                <c:pt idx="142">
                  <c:v>92.274929888916162</c:v>
                </c:pt>
                <c:pt idx="143">
                  <c:v>90.211753020285244</c:v>
                </c:pt>
                <c:pt idx="144">
                  <c:v>88.125105097828225</c:v>
                </c:pt>
                <c:pt idx="145">
                  <c:v>86.015308494952322</c:v>
                </c:pt>
                <c:pt idx="146">
                  <c:v>83.882672340648313</c:v>
                </c:pt>
                <c:pt idx="147">
                  <c:v>81.727493867086878</c:v>
                </c:pt>
                <c:pt idx="148">
                  <c:v>79.550059825262892</c:v>
                </c:pt>
                <c:pt idx="149">
                  <c:v>77.350647963124658</c:v>
                </c:pt>
                <c:pt idx="150">
                  <c:v>74.830371405680779</c:v>
                </c:pt>
                <c:pt idx="151">
                  <c:v>72.172271488261941</c:v>
                </c:pt>
                <c:pt idx="152">
                  <c:v>69.893206595000677</c:v>
                </c:pt>
                <c:pt idx="153">
                  <c:v>67.59556964051815</c:v>
                </c:pt>
                <c:pt idx="154">
                  <c:v>65.279676488804853</c:v>
                </c:pt>
                <c:pt idx="155">
                  <c:v>62.945834086390022</c:v>
                </c:pt>
                <c:pt idx="156">
                  <c:v>60.594342014588754</c:v>
                </c:pt>
                <c:pt idx="157">
                  <c:v>58.225494092820348</c:v>
                </c:pt>
                <c:pt idx="158">
                  <c:v>55.839580026985864</c:v>
                </c:pt>
                <c:pt idx="159">
                  <c:v>53.436887096728</c:v>
                </c:pt>
                <c:pt idx="160">
                  <c:v>51.017701875248363</c:v>
                </c:pt>
                <c:pt idx="161">
                  <c:v>48.582311975253099</c:v>
                </c:pt>
                <c:pt idx="162">
                  <c:v>46.131007814325343</c:v>
                </c:pt>
                <c:pt idx="163">
                  <c:v>43.664084393436951</c:v>
                </c:pt>
                <c:pt idx="164">
                  <c:v>41.181843117199143</c:v>
                </c:pt>
                <c:pt idx="165">
                  <c:v>38.684593709210844</c:v>
                </c:pt>
                <c:pt idx="166">
                  <c:v>36.172891839007079</c:v>
                </c:pt>
                <c:pt idx="167">
                  <c:v>33.650168488814209</c:v>
                </c:pt>
                <c:pt idx="168">
                  <c:v>31.117713128342245</c:v>
                </c:pt>
                <c:pt idx="169">
                  <c:v>28.576211366394855</c:v>
                </c:pt>
                <c:pt idx="170">
                  <c:v>26.026349784801116</c:v>
                </c:pt>
                <c:pt idx="171">
                  <c:v>23.468816100486482</c:v>
                </c:pt>
                <c:pt idx="172">
                  <c:v>20.90429933299281</c:v>
                </c:pt>
                <c:pt idx="173">
                  <c:v>18.33348997595234</c:v>
                </c:pt>
                <c:pt idx="174">
                  <c:v>15.757080170780526</c:v>
                </c:pt>
                <c:pt idx="175">
                  <c:v>13.16159618075903</c:v>
                </c:pt>
                <c:pt idx="176">
                  <c:v>10.56223808647867</c:v>
                </c:pt>
                <c:pt idx="177">
                  <c:v>7.9636812035800348</c:v>
                </c:pt>
                <c:pt idx="178">
                  <c:v>5.3663248131022252</c:v>
                </c:pt>
                <c:pt idx="179">
                  <c:v>2.7705604958090535</c:v>
                </c:pt>
                <c:pt idx="180">
                  <c:v>0.17676757774107194</c:v>
                </c:pt>
                <c:pt idx="181">
                  <c:v>-2.4146854348833346</c:v>
                </c:pt>
                <c:pt idx="182">
                  <c:v>-5.0034391676459586</c:v>
                </c:pt>
                <c:pt idx="183">
                  <c:v>-7.589141663005984</c:v>
                </c:pt>
                <c:pt idx="184">
                  <c:v>-10.171446645147196</c:v>
                </c:pt>
                <c:pt idx="185">
                  <c:v>-12.750011771268419</c:v>
                </c:pt>
                <c:pt idx="186">
                  <c:v>-15.324496876032009</c:v>
                </c:pt>
                <c:pt idx="187">
                  <c:v>-17.894562215885589</c:v>
                </c:pt>
                <c:pt idx="188">
                  <c:v>-20.459866719954281</c:v>
                </c:pt>
                <c:pt idx="189">
                  <c:v>-23.020066254161566</c:v>
                </c:pt>
                <c:pt idx="190">
                  <c:v>-25.988315257470013</c:v>
                </c:pt>
                <c:pt idx="191">
                  <c:v>-28.90869871017928</c:v>
                </c:pt>
                <c:pt idx="192">
                  <c:v>-31.441235036986249</c:v>
                </c:pt>
                <c:pt idx="193">
                  <c:v>-33.964793507588126</c:v>
                </c:pt>
                <c:pt idx="194">
                  <c:v>-36.479043225470903</c:v>
                </c:pt>
                <c:pt idx="195">
                  <c:v>-38.983650133595205</c:v>
                </c:pt>
                <c:pt idx="196">
                  <c:v>-41.478275304257956</c:v>
                </c:pt>
                <c:pt idx="197">
                  <c:v>-43.962573255163115</c:v>
                </c:pt>
                <c:pt idx="198">
                  <c:v>-46.436190298203677</c:v>
                </c:pt>
                <c:pt idx="199">
                  <c:v>-48.898762927363819</c:v>
                </c:pt>
                <c:pt idx="200">
                  <c:v>-51.349916252037339</c:v>
                </c:pt>
                <c:pt idx="201">
                  <c:v>-53.789262481952541</c:v>
                </c:pt>
                <c:pt idx="202">
                  <c:v>-56.216399469544321</c:v>
                </c:pt>
                <c:pt idx="203">
                  <c:v>-58.630909316022148</c:v>
                </c:pt>
                <c:pt idx="204">
                  <c:v>-61.032357494888913</c:v>
                </c:pt>
                <c:pt idx="205">
                  <c:v>-63.420303326851354</c:v>
                </c:pt>
                <c:pt idx="206">
                  <c:v>-65.786515762229996</c:v>
                </c:pt>
                <c:pt idx="207">
                  <c:v>-68.105858976117986</c:v>
                </c:pt>
                <c:pt idx="208">
                  <c:v>-70.404944780162609</c:v>
                </c:pt>
                <c:pt idx="209">
                  <c:v>-72.683157982806321</c:v>
                </c:pt>
                <c:pt idx="210">
                  <c:v>-74.939887462336316</c:v>
                </c:pt>
                <c:pt idx="211">
                  <c:v>-77.174526002519968</c:v>
                </c:pt>
                <c:pt idx="212">
                  <c:v>-79.386470137859035</c:v>
                </c:pt>
                <c:pt idx="213">
                  <c:v>-81.575120010229014</c:v>
                </c:pt>
                <c:pt idx="214">
                  <c:v>-83.739879237978315</c:v>
                </c:pt>
                <c:pt idx="215">
                  <c:v>-85.864850674046124</c:v>
                </c:pt>
                <c:pt idx="216">
                  <c:v>-87.958786261662965</c:v>
                </c:pt>
                <c:pt idx="217">
                  <c:v>-90.025316999346131</c:v>
                </c:pt>
                <c:pt idx="218">
                  <c:v>-92.064260078173874</c:v>
                </c:pt>
                <c:pt idx="219">
                  <c:v>-94.075440623531932</c:v>
                </c:pt>
                <c:pt idx="220">
                  <c:v>-96.058683540988184</c:v>
                </c:pt>
                <c:pt idx="221">
                  <c:v>-98.013811530241284</c:v>
                </c:pt>
                <c:pt idx="222">
                  <c:v>-99.940643430634239</c:v>
                </c:pt>
                <c:pt idx="223">
                  <c:v>-101.83899261826221</c:v>
                </c:pt>
                <c:pt idx="224">
                  <c:v>-103.70866545982069</c:v>
                </c:pt>
                <c:pt idx="225">
                  <c:v>-105.5494598291159</c:v>
                </c:pt>
                <c:pt idx="226">
                  <c:v>-107.36116369160534</c:v>
                </c:pt>
                <c:pt idx="227">
                  <c:v>-109.14355376213901</c:v>
                </c:pt>
                <c:pt idx="228">
                  <c:v>-110.89639424081489</c:v>
                </c:pt>
                <c:pt idx="229">
                  <c:v>-112.61943563158721</c:v>
                </c:pt>
                <c:pt idx="230">
                  <c:v>-114.64678038369907</c:v>
                </c:pt>
                <c:pt idx="231">
                  <c:v>-116.46296749772939</c:v>
                </c:pt>
                <c:pt idx="232">
                  <c:v>-118.06397336476307</c:v>
                </c:pt>
                <c:pt idx="233">
                  <c:v>-119.63265229686129</c:v>
                </c:pt>
                <c:pt idx="234">
                  <c:v>-121.16881319514316</c:v>
                </c:pt>
                <c:pt idx="235">
                  <c:v>-122.6722512010604</c:v>
                </c:pt>
                <c:pt idx="236">
                  <c:v>-124.14274662856106</c:v>
                </c:pt>
                <c:pt idx="237">
                  <c:v>-125.58006398747816</c:v>
                </c:pt>
                <c:pt idx="238">
                  <c:v>-126.98395110209492</c:v>
                </c:pt>
                <c:pt idx="239">
                  <c:v>-128.35413832852714</c:v>
                </c:pt>
                <c:pt idx="240">
                  <c:v>-129.69033787424505</c:v>
                </c:pt>
                <c:pt idx="241">
                  <c:v>-130.99224322278937</c:v>
                </c:pt>
                <c:pt idx="242">
                  <c:v>-132.25952866592803</c:v>
                </c:pt>
                <c:pt idx="243">
                  <c:v>-133.49184894654056</c:v>
                </c:pt>
                <c:pt idx="244">
                  <c:v>-134.68883973602087</c:v>
                </c:pt>
                <c:pt idx="245">
                  <c:v>-135.85013559812046</c:v>
                </c:pt>
                <c:pt idx="246">
                  <c:v>-136.96368150263845</c:v>
                </c:pt>
                <c:pt idx="247">
                  <c:v>-137.99439811381478</c:v>
                </c:pt>
                <c:pt idx="248">
                  <c:v>-138.98434656222716</c:v>
                </c:pt>
                <c:pt idx="249">
                  <c:v>-139.93326992853073</c:v>
                </c:pt>
                <c:pt idx="250">
                  <c:v>-140.84091850177052</c:v>
                </c:pt>
                <c:pt idx="251">
                  <c:v>-141.70704968963022</c:v>
                </c:pt>
                <c:pt idx="252">
                  <c:v>-142.53142794886881</c:v>
                </c:pt>
                <c:pt idx="253">
                  <c:v>-143.31382473715254</c:v>
                </c:pt>
                <c:pt idx="254">
                  <c:v>-144.05401848619653</c:v>
                </c:pt>
                <c:pt idx="255">
                  <c:v>-144.71417961694766</c:v>
                </c:pt>
                <c:pt idx="256">
                  <c:v>-145.32291696495327</c:v>
                </c:pt>
                <c:pt idx="257">
                  <c:v>-145.89046885832812</c:v>
                </c:pt>
                <c:pt idx="258">
                  <c:v>-146.41695449859407</c:v>
                </c:pt>
                <c:pt idx="259">
                  <c:v>-146.90249754306203</c:v>
                </c:pt>
                <c:pt idx="260">
                  <c:v>-147.34720905753892</c:v>
                </c:pt>
                <c:pt idx="261">
                  <c:v>-147.75118590842195</c:v>
                </c:pt>
                <c:pt idx="262">
                  <c:v>-148.11450991590021</c:v>
                </c:pt>
                <c:pt idx="263">
                  <c:v>-148.43724711310387</c:v>
                </c:pt>
                <c:pt idx="264">
                  <c:v>-148.71944711241534</c:v>
                </c:pt>
                <c:pt idx="265">
                  <c:v>-148.96114258134071</c:v>
                </c:pt>
                <c:pt idx="266">
                  <c:v>-149.16234882945159</c:v>
                </c:pt>
                <c:pt idx="267">
                  <c:v>-149.32306350760348</c:v>
                </c:pt>
                <c:pt idx="268">
                  <c:v>-149.4432664202622</c:v>
                </c:pt>
                <c:pt idx="269">
                  <c:v>-149.52291945138521</c:v>
                </c:pt>
                <c:pt idx="270">
                  <c:v>-149.66074281136025</c:v>
                </c:pt>
                <c:pt idx="271">
                  <c:v>-149.52291945138543</c:v>
                </c:pt>
                <c:pt idx="272">
                  <c:v>-149.44326642026252</c:v>
                </c:pt>
                <c:pt idx="273">
                  <c:v>-149.32306350760399</c:v>
                </c:pt>
                <c:pt idx="274">
                  <c:v>-149.16234882945221</c:v>
                </c:pt>
                <c:pt idx="275">
                  <c:v>-148.96114258134148</c:v>
                </c:pt>
                <c:pt idx="276">
                  <c:v>-148.71944711241616</c:v>
                </c:pt>
                <c:pt idx="277">
                  <c:v>-148.43724711310483</c:v>
                </c:pt>
                <c:pt idx="278">
                  <c:v>-148.11450991590129</c:v>
                </c:pt>
                <c:pt idx="279">
                  <c:v>-147.75118590842317</c:v>
                </c:pt>
                <c:pt idx="280">
                  <c:v>-147.34720905754034</c:v>
                </c:pt>
                <c:pt idx="281">
                  <c:v>-146.90249754306362</c:v>
                </c:pt>
                <c:pt idx="282">
                  <c:v>-146.41695449859577</c:v>
                </c:pt>
                <c:pt idx="283">
                  <c:v>-145.89046885832997</c:v>
                </c:pt>
                <c:pt idx="284">
                  <c:v>-145.32291696495517</c:v>
                </c:pt>
                <c:pt idx="285">
                  <c:v>-144.71417961694974</c:v>
                </c:pt>
                <c:pt idx="286">
                  <c:v>-144.05401848619886</c:v>
                </c:pt>
                <c:pt idx="287">
                  <c:v>-143.31382473715507</c:v>
                </c:pt>
                <c:pt idx="288">
                  <c:v>-142.53142794887142</c:v>
                </c:pt>
                <c:pt idx="289">
                  <c:v>-141.70704968963307</c:v>
                </c:pt>
                <c:pt idx="290">
                  <c:v>-140.84091850177339</c:v>
                </c:pt>
                <c:pt idx="291">
                  <c:v>-139.9332699285338</c:v>
                </c:pt>
                <c:pt idx="292">
                  <c:v>-138.98434656223034</c:v>
                </c:pt>
                <c:pt idx="293">
                  <c:v>-137.99439811381811</c:v>
                </c:pt>
                <c:pt idx="294">
                  <c:v>-136.96368150264186</c:v>
                </c:pt>
                <c:pt idx="295">
                  <c:v>-135.85013559812421</c:v>
                </c:pt>
                <c:pt idx="296">
                  <c:v>-134.68883973602476</c:v>
                </c:pt>
                <c:pt idx="297">
                  <c:v>-133.49184894654451</c:v>
                </c:pt>
                <c:pt idx="298">
                  <c:v>-132.25952866593215</c:v>
                </c:pt>
                <c:pt idx="299">
                  <c:v>-130.99224322279358</c:v>
                </c:pt>
                <c:pt idx="300">
                  <c:v>-129.69033787424942</c:v>
                </c:pt>
                <c:pt idx="301">
                  <c:v>-128.3541383285316</c:v>
                </c:pt>
                <c:pt idx="302">
                  <c:v>-126.98395110209951</c:v>
                </c:pt>
                <c:pt idx="303">
                  <c:v>-125.58006398748282</c:v>
                </c:pt>
                <c:pt idx="304">
                  <c:v>-124.14274662856586</c:v>
                </c:pt>
                <c:pt idx="305">
                  <c:v>-122.67225120106531</c:v>
                </c:pt>
                <c:pt idx="306">
                  <c:v>-121.16881319514815</c:v>
                </c:pt>
                <c:pt idx="307">
                  <c:v>-119.63265229686642</c:v>
                </c:pt>
                <c:pt idx="308">
                  <c:v>-118.06397336476827</c:v>
                </c:pt>
                <c:pt idx="309">
                  <c:v>-116.46296749773471</c:v>
                </c:pt>
                <c:pt idx="310">
                  <c:v>-114.64678038370454</c:v>
                </c:pt>
                <c:pt idx="311">
                  <c:v>-112.61943563159285</c:v>
                </c:pt>
                <c:pt idx="312">
                  <c:v>-110.89639424082056</c:v>
                </c:pt>
                <c:pt idx="313">
                  <c:v>-109.1435537621448</c:v>
                </c:pt>
                <c:pt idx="314">
                  <c:v>-107.36116369161127</c:v>
                </c:pt>
                <c:pt idx="315">
                  <c:v>-105.54945982912191</c:v>
                </c:pt>
                <c:pt idx="316">
                  <c:v>-103.70866545982679</c:v>
                </c:pt>
                <c:pt idx="317">
                  <c:v>-101.83899261826842</c:v>
                </c:pt>
                <c:pt idx="318">
                  <c:v>-99.94064343064052</c:v>
                </c:pt>
                <c:pt idx="319">
                  <c:v>-98.013811530247622</c:v>
                </c:pt>
                <c:pt idx="320">
                  <c:v>-96.058683540994622</c:v>
                </c:pt>
                <c:pt idx="321">
                  <c:v>-94.075440623538512</c:v>
                </c:pt>
                <c:pt idx="322">
                  <c:v>-92.064260078180524</c:v>
                </c:pt>
                <c:pt idx="323">
                  <c:v>-90.025316999352881</c:v>
                </c:pt>
                <c:pt idx="324">
                  <c:v>-87.9587862616698</c:v>
                </c:pt>
                <c:pt idx="325">
                  <c:v>-85.864850674053073</c:v>
                </c:pt>
                <c:pt idx="326">
                  <c:v>-83.739879237985363</c:v>
                </c:pt>
                <c:pt idx="327">
                  <c:v>-81.575120010236148</c:v>
                </c:pt>
                <c:pt idx="328">
                  <c:v>-79.386470137866212</c:v>
                </c:pt>
                <c:pt idx="329">
                  <c:v>-77.174526002527259</c:v>
                </c:pt>
                <c:pt idx="330">
                  <c:v>-74.939887462343677</c:v>
                </c:pt>
                <c:pt idx="331">
                  <c:v>-72.683157982813768</c:v>
                </c:pt>
                <c:pt idx="332">
                  <c:v>-70.404944780170126</c:v>
                </c:pt>
                <c:pt idx="333">
                  <c:v>-68.105858976125546</c:v>
                </c:pt>
                <c:pt idx="334">
                  <c:v>-65.786515762237642</c:v>
                </c:pt>
                <c:pt idx="335">
                  <c:v>-63.420303326859148</c:v>
                </c:pt>
                <c:pt idx="336">
                  <c:v>-61.032357494896779</c:v>
                </c:pt>
                <c:pt idx="337">
                  <c:v>-58.630909316030063</c:v>
                </c:pt>
                <c:pt idx="338">
                  <c:v>-56.216399469552208</c:v>
                </c:pt>
                <c:pt idx="339">
                  <c:v>-53.789262481960506</c:v>
                </c:pt>
                <c:pt idx="340">
                  <c:v>-51.349916252045354</c:v>
                </c:pt>
                <c:pt idx="341">
                  <c:v>-48.898762927371877</c:v>
                </c:pt>
                <c:pt idx="342">
                  <c:v>-46.436190298211763</c:v>
                </c:pt>
                <c:pt idx="343">
                  <c:v>-43.962573255171222</c:v>
                </c:pt>
                <c:pt idx="344">
                  <c:v>-41.478275304266106</c:v>
                </c:pt>
                <c:pt idx="345">
                  <c:v>-38.98365013360339</c:v>
                </c:pt>
                <c:pt idx="346">
                  <c:v>-36.479043225479117</c:v>
                </c:pt>
                <c:pt idx="347">
                  <c:v>-33.964793507596362</c:v>
                </c:pt>
                <c:pt idx="348">
                  <c:v>-31.441235036994538</c:v>
                </c:pt>
                <c:pt idx="349">
                  <c:v>-28.908698710187576</c:v>
                </c:pt>
                <c:pt idx="350">
                  <c:v>-25.988315257478298</c:v>
                </c:pt>
                <c:pt idx="351">
                  <c:v>-23.02006625416994</c:v>
                </c:pt>
                <c:pt idx="352">
                  <c:v>-20.459866719962669</c:v>
                </c:pt>
                <c:pt idx="353">
                  <c:v>-17.894562215893991</c:v>
                </c:pt>
                <c:pt idx="354">
                  <c:v>-15.324496876040428</c:v>
                </c:pt>
                <c:pt idx="355">
                  <c:v>-12.750011771276856</c:v>
                </c:pt>
                <c:pt idx="356">
                  <c:v>-10.171446645155644</c:v>
                </c:pt>
                <c:pt idx="357">
                  <c:v>-7.5891416630144439</c:v>
                </c:pt>
                <c:pt idx="358">
                  <c:v>-5.0034391676544248</c:v>
                </c:pt>
                <c:pt idx="359">
                  <c:v>-2.4146854348918141</c:v>
                </c:pt>
                <c:pt idx="360">
                  <c:v>0.17676757773259416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230.23299408828908</c:v>
                </c:pt>
                <c:pt idx="1">
                  <c:v>230.24189219200321</c:v>
                </c:pt>
                <c:pt idx="2">
                  <c:v>230.18753827835764</c:v>
                </c:pt>
                <c:pt idx="3">
                  <c:v>230.06965594028838</c:v>
                </c:pt>
                <c:pt idx="4">
                  <c:v>229.88794577598355</c:v>
                </c:pt>
                <c:pt idx="5">
                  <c:v>229.64211325556968</c:v>
                </c:pt>
                <c:pt idx="6">
                  <c:v>229.3148958327088</c:v>
                </c:pt>
                <c:pt idx="7">
                  <c:v>228.85747757314417</c:v>
                </c:pt>
                <c:pt idx="8">
                  <c:v>228.33261069933931</c:v>
                </c:pt>
                <c:pt idx="9">
                  <c:v>227.74045358533559</c:v>
                </c:pt>
                <c:pt idx="10">
                  <c:v>227.08117594699465</c:v>
                </c:pt>
                <c:pt idx="11">
                  <c:v>226.35495883683973</c:v>
                </c:pt>
                <c:pt idx="12">
                  <c:v>225.56199467278518</c:v>
                </c:pt>
                <c:pt idx="13">
                  <c:v>224.702487301367</c:v>
                </c:pt>
                <c:pt idx="14">
                  <c:v>223.7766520939841</c:v>
                </c:pt>
                <c:pt idx="15">
                  <c:v>222.71843157430575</c:v>
                </c:pt>
                <c:pt idx="16">
                  <c:v>221.58169576744089</c:v>
                </c:pt>
                <c:pt idx="17">
                  <c:v>220.38512624099243</c:v>
                </c:pt>
                <c:pt idx="18">
                  <c:v>219.12920985813687</c:v>
                </c:pt>
                <c:pt idx="19">
                  <c:v>217.81443400840772</c:v>
                </c:pt>
                <c:pt idx="20">
                  <c:v>216.44125802509362</c:v>
                </c:pt>
                <c:pt idx="21">
                  <c:v>215.01011194565748</c:v>
                </c:pt>
                <c:pt idx="22">
                  <c:v>213.52139658716018</c:v>
                </c:pt>
                <c:pt idx="23">
                  <c:v>211.97548379822652</c:v>
                </c:pt>
                <c:pt idx="24">
                  <c:v>210.37271688412375</c:v>
                </c:pt>
                <c:pt idx="25">
                  <c:v>208.71341120326247</c:v>
                </c:pt>
                <c:pt idx="26">
                  <c:v>206.99785493209089</c:v>
                </c:pt>
                <c:pt idx="27">
                  <c:v>205.22630999490829</c:v>
                </c:pt>
                <c:pt idx="28">
                  <c:v>203.39901315458681</c:v>
                </c:pt>
                <c:pt idx="29">
                  <c:v>201.51617725965795</c:v>
                </c:pt>
                <c:pt idx="30">
                  <c:v>199.40000803674974</c:v>
                </c:pt>
                <c:pt idx="31">
                  <c:v>196.91658179546218</c:v>
                </c:pt>
                <c:pt idx="32">
                  <c:v>194.82149498225351</c:v>
                </c:pt>
                <c:pt idx="33">
                  <c:v>192.67389421586677</c:v>
                </c:pt>
                <c:pt idx="34">
                  <c:v>190.47409391240558</c:v>
                </c:pt>
                <c:pt idx="35">
                  <c:v>188.22238464965199</c:v>
                </c:pt>
                <c:pt idx="36">
                  <c:v>185.91903461165552</c:v>
                </c:pt>
                <c:pt idx="37">
                  <c:v>183.56429117954778</c:v>
                </c:pt>
                <c:pt idx="38">
                  <c:v>181.15838266284644</c:v>
                </c:pt>
                <c:pt idx="39">
                  <c:v>178.70152016502331</c:v>
                </c:pt>
                <c:pt idx="40">
                  <c:v>176.19389957664714</c:v>
                </c:pt>
                <c:pt idx="41">
                  <c:v>173.63570368904888</c:v>
                </c:pt>
                <c:pt idx="42">
                  <c:v>171.02710442042735</c:v>
                </c:pt>
                <c:pt idx="43">
                  <c:v>168.36826514773171</c:v>
                </c:pt>
                <c:pt idx="44">
                  <c:v>165.65934375165705</c:v>
                </c:pt>
                <c:pt idx="45">
                  <c:v>162.90050945985323</c:v>
                </c:pt>
                <c:pt idx="46">
                  <c:v>160.08316183303182</c:v>
                </c:pt>
                <c:pt idx="47">
                  <c:v>157.18493711674293</c:v>
                </c:pt>
                <c:pt idx="48">
                  <c:v>154.24058206996145</c:v>
                </c:pt>
                <c:pt idx="49">
                  <c:v>151.25090247566661</c:v>
                </c:pt>
                <c:pt idx="50">
                  <c:v>148.21671117567612</c:v>
                </c:pt>
                <c:pt idx="51">
                  <c:v>145.13882823846058</c:v>
                </c:pt>
                <c:pt idx="52">
                  <c:v>142.01808115072285</c:v>
                </c:pt>
                <c:pt idx="53">
                  <c:v>138.85530503149639</c:v>
                </c:pt>
                <c:pt idx="54">
                  <c:v>135.65134286614312</c:v>
                </c:pt>
                <c:pt idx="55">
                  <c:v>132.35686685376666</c:v>
                </c:pt>
                <c:pt idx="56">
                  <c:v>129.01653673985129</c:v>
                </c:pt>
                <c:pt idx="57">
                  <c:v>125.64521293928193</c:v>
                </c:pt>
                <c:pt idx="58">
                  <c:v>122.2435746978001</c:v>
                </c:pt>
                <c:pt idx="59">
                  <c:v>118.81229343767966</c:v>
                </c:pt>
                <c:pt idx="60">
                  <c:v>115.35201275627945</c:v>
                </c:pt>
                <c:pt idx="61">
                  <c:v>111.86334927652213</c:v>
                </c:pt>
                <c:pt idx="62">
                  <c:v>108.34689446344991</c:v>
                </c:pt>
                <c:pt idx="63">
                  <c:v>104.80321656302489</c:v>
                </c:pt>
                <c:pt idx="64">
                  <c:v>101.23286265433153</c:v>
                </c:pt>
                <c:pt idx="65">
                  <c:v>97.636360807256651</c:v>
                </c:pt>
                <c:pt idx="66">
                  <c:v>94.014222336970207</c:v>
                </c:pt>
                <c:pt idx="67">
                  <c:v>90.366944146291743</c:v>
                </c:pt>
                <c:pt idx="68">
                  <c:v>86.695011146758759</c:v>
                </c:pt>
                <c:pt idx="69">
                  <c:v>82.998898748974455</c:v>
                </c:pt>
                <c:pt idx="70">
                  <c:v>78.749213394718936</c:v>
                </c:pt>
                <c:pt idx="71">
                  <c:v>74.354486916364181</c:v>
                </c:pt>
                <c:pt idx="72">
                  <c:v>70.574550084361405</c:v>
                </c:pt>
                <c:pt idx="73">
                  <c:v>66.77611918508795</c:v>
                </c:pt>
                <c:pt idx="74">
                  <c:v>62.959709741313958</c:v>
                </c:pt>
                <c:pt idx="75">
                  <c:v>59.125827917744836</c:v>
                </c:pt>
                <c:pt idx="76">
                  <c:v>55.274973089368352</c:v>
                </c:pt>
                <c:pt idx="77">
                  <c:v>51.407640460025839</c:v>
                </c:pt>
                <c:pt idx="78">
                  <c:v>47.524323721311312</c:v>
                </c:pt>
                <c:pt idx="79">
                  <c:v>43.625517741742577</c:v>
                </c:pt>
                <c:pt idx="80">
                  <c:v>39.711721276018324</c:v>
                </c:pt>
                <c:pt idx="81">
                  <c:v>35.783439684095242</c:v>
                </c:pt>
                <c:pt idx="82">
                  <c:v>31.841187649637313</c:v>
                </c:pt>
                <c:pt idx="83">
                  <c:v>27.885491887716523</c:v>
                </c:pt>
                <c:pt idx="84">
                  <c:v>23.916893687403192</c:v>
                </c:pt>
                <c:pt idx="85">
                  <c:v>19.935946850372261</c:v>
                </c:pt>
                <c:pt idx="86">
                  <c:v>15.946737285511185</c:v>
                </c:pt>
                <c:pt idx="87">
                  <c:v>11.963817667429419</c:v>
                </c:pt>
                <c:pt idx="88">
                  <c:v>7.9776708969218797</c:v>
                </c:pt>
                <c:pt idx="89">
                  <c:v>3.9893731310940104</c:v>
                </c:pt>
                <c:pt idx="90">
                  <c:v>-3.7415866337591856E-13</c:v>
                </c:pt>
                <c:pt idx="91">
                  <c:v>-3.9893731310947711</c:v>
                </c:pt>
                <c:pt idx="92">
                  <c:v>-7.9776708969226391</c:v>
                </c:pt>
                <c:pt idx="93">
                  <c:v>-11.963817667430183</c:v>
                </c:pt>
                <c:pt idx="94">
                  <c:v>-15.946737285511945</c:v>
                </c:pt>
                <c:pt idx="95">
                  <c:v>-19.935946850373028</c:v>
                </c:pt>
                <c:pt idx="96">
                  <c:v>-23.916893687403959</c:v>
                </c:pt>
                <c:pt idx="97">
                  <c:v>-27.885491887717276</c:v>
                </c:pt>
                <c:pt idx="98">
                  <c:v>-31.841187649638069</c:v>
                </c:pt>
                <c:pt idx="99">
                  <c:v>-35.783439684095988</c:v>
                </c:pt>
                <c:pt idx="100">
                  <c:v>-39.711721276019084</c:v>
                </c:pt>
                <c:pt idx="101">
                  <c:v>-43.625517741743323</c:v>
                </c:pt>
                <c:pt idx="102">
                  <c:v>-47.524323721312065</c:v>
                </c:pt>
                <c:pt idx="103">
                  <c:v>-51.407640460026585</c:v>
                </c:pt>
                <c:pt idx="104">
                  <c:v>-55.274973089369098</c:v>
                </c:pt>
                <c:pt idx="105">
                  <c:v>-59.125827917745568</c:v>
                </c:pt>
                <c:pt idx="106">
                  <c:v>-62.959709741314704</c:v>
                </c:pt>
                <c:pt idx="107">
                  <c:v>-66.776119185088689</c:v>
                </c:pt>
                <c:pt idx="108">
                  <c:v>-70.574550084362116</c:v>
                </c:pt>
                <c:pt idx="109">
                  <c:v>-74.35448691636492</c:v>
                </c:pt>
                <c:pt idx="110">
                  <c:v>-78.749213394719703</c:v>
                </c:pt>
                <c:pt idx="111">
                  <c:v>-82.998898748975193</c:v>
                </c:pt>
                <c:pt idx="112">
                  <c:v>-86.695011146759484</c:v>
                </c:pt>
                <c:pt idx="113">
                  <c:v>-90.36694414629244</c:v>
                </c:pt>
                <c:pt idx="114">
                  <c:v>-94.014222336970946</c:v>
                </c:pt>
                <c:pt idx="115">
                  <c:v>-97.636360807257304</c:v>
                </c:pt>
                <c:pt idx="116">
                  <c:v>-101.23286265433211</c:v>
                </c:pt>
                <c:pt idx="117">
                  <c:v>-104.80321656302546</c:v>
                </c:pt>
                <c:pt idx="118">
                  <c:v>-108.3468944634504</c:v>
                </c:pt>
                <c:pt idx="119">
                  <c:v>-111.86334927652261</c:v>
                </c:pt>
                <c:pt idx="120">
                  <c:v>-115.35201275627986</c:v>
                </c:pt>
                <c:pt idx="121">
                  <c:v>-118.81229343768004</c:v>
                </c:pt>
                <c:pt idx="122">
                  <c:v>-122.24357469780045</c:v>
                </c:pt>
                <c:pt idx="123">
                  <c:v>-125.64521293928222</c:v>
                </c:pt>
                <c:pt idx="124">
                  <c:v>-129.01653673985152</c:v>
                </c:pt>
                <c:pt idx="125">
                  <c:v>-132.35686685376683</c:v>
                </c:pt>
                <c:pt idx="126">
                  <c:v>-135.65134286614327</c:v>
                </c:pt>
                <c:pt idx="127">
                  <c:v>-138.85530503149647</c:v>
                </c:pt>
                <c:pt idx="128">
                  <c:v>-142.01808115072291</c:v>
                </c:pt>
                <c:pt idx="129">
                  <c:v>-145.1388282384606</c:v>
                </c:pt>
                <c:pt idx="130">
                  <c:v>-148.21671117567615</c:v>
                </c:pt>
                <c:pt idx="131">
                  <c:v>-151.25090247566658</c:v>
                </c:pt>
                <c:pt idx="132">
                  <c:v>-154.24058206996136</c:v>
                </c:pt>
                <c:pt idx="133">
                  <c:v>-157.18493711674282</c:v>
                </c:pt>
                <c:pt idx="134">
                  <c:v>-160.08316183303165</c:v>
                </c:pt>
                <c:pt idx="135">
                  <c:v>-162.90050945985305</c:v>
                </c:pt>
                <c:pt idx="136">
                  <c:v>-165.65934375165682</c:v>
                </c:pt>
                <c:pt idx="137">
                  <c:v>-168.36826514773148</c:v>
                </c:pt>
                <c:pt idx="138">
                  <c:v>-171.02710442042704</c:v>
                </c:pt>
                <c:pt idx="139">
                  <c:v>-173.63570368904854</c:v>
                </c:pt>
                <c:pt idx="140">
                  <c:v>-176.19389957664683</c:v>
                </c:pt>
                <c:pt idx="141">
                  <c:v>-178.70152016502291</c:v>
                </c:pt>
                <c:pt idx="142">
                  <c:v>-181.15838266284607</c:v>
                </c:pt>
                <c:pt idx="143">
                  <c:v>-183.56429117954733</c:v>
                </c:pt>
                <c:pt idx="144">
                  <c:v>-185.91903461165506</c:v>
                </c:pt>
                <c:pt idx="145">
                  <c:v>-188.22238464965156</c:v>
                </c:pt>
                <c:pt idx="146">
                  <c:v>-190.47409391240512</c:v>
                </c:pt>
                <c:pt idx="147">
                  <c:v>-192.67389421586631</c:v>
                </c:pt>
                <c:pt idx="148">
                  <c:v>-194.82149498225303</c:v>
                </c:pt>
                <c:pt idx="149">
                  <c:v>-196.91658179546167</c:v>
                </c:pt>
                <c:pt idx="150">
                  <c:v>-199.40000803674926</c:v>
                </c:pt>
                <c:pt idx="151">
                  <c:v>-201.51617725965755</c:v>
                </c:pt>
                <c:pt idx="152">
                  <c:v>-203.39901315458633</c:v>
                </c:pt>
                <c:pt idx="153">
                  <c:v>-205.22630999490778</c:v>
                </c:pt>
                <c:pt idx="154">
                  <c:v>-206.99785493209035</c:v>
                </c:pt>
                <c:pt idx="155">
                  <c:v>-208.71341120326198</c:v>
                </c:pt>
                <c:pt idx="156">
                  <c:v>-210.37271688412318</c:v>
                </c:pt>
                <c:pt idx="157">
                  <c:v>-211.97548379822601</c:v>
                </c:pt>
                <c:pt idx="158">
                  <c:v>-213.52139658715973</c:v>
                </c:pt>
                <c:pt idx="159">
                  <c:v>-215.01011194565697</c:v>
                </c:pt>
                <c:pt idx="160">
                  <c:v>-216.44125802509313</c:v>
                </c:pt>
                <c:pt idx="161">
                  <c:v>-217.81443400840718</c:v>
                </c:pt>
                <c:pt idx="162">
                  <c:v>-219.12920985813639</c:v>
                </c:pt>
                <c:pt idx="163">
                  <c:v>-220.38512624099195</c:v>
                </c:pt>
                <c:pt idx="164">
                  <c:v>-221.58169576744044</c:v>
                </c:pt>
                <c:pt idx="165">
                  <c:v>-222.71843157430521</c:v>
                </c:pt>
                <c:pt idx="166">
                  <c:v>-223.7766520939837</c:v>
                </c:pt>
                <c:pt idx="167">
                  <c:v>-224.70248730136652</c:v>
                </c:pt>
                <c:pt idx="168">
                  <c:v>-225.56199467278478</c:v>
                </c:pt>
                <c:pt idx="169">
                  <c:v>-226.35495883683936</c:v>
                </c:pt>
                <c:pt idx="170">
                  <c:v>-227.08117594699436</c:v>
                </c:pt>
                <c:pt idx="171">
                  <c:v>-227.74045358533533</c:v>
                </c:pt>
                <c:pt idx="172">
                  <c:v>-228.33261069933894</c:v>
                </c:pt>
                <c:pt idx="173">
                  <c:v>-228.85747757314391</c:v>
                </c:pt>
                <c:pt idx="174">
                  <c:v>-229.31489583270857</c:v>
                </c:pt>
                <c:pt idx="175">
                  <c:v>-229.64211325556951</c:v>
                </c:pt>
                <c:pt idx="176">
                  <c:v>-229.88794577598341</c:v>
                </c:pt>
                <c:pt idx="177">
                  <c:v>-230.06965594028838</c:v>
                </c:pt>
                <c:pt idx="178">
                  <c:v>-230.18753827835752</c:v>
                </c:pt>
                <c:pt idx="179">
                  <c:v>-230.24189219200318</c:v>
                </c:pt>
                <c:pt idx="180">
                  <c:v>-230.23299408828908</c:v>
                </c:pt>
                <c:pt idx="181">
                  <c:v>-230.16109525691752</c:v>
                </c:pt>
                <c:pt idx="182">
                  <c:v>-230.02642100527842</c:v>
                </c:pt>
                <c:pt idx="183">
                  <c:v>-229.82916996630726</c:v>
                </c:pt>
                <c:pt idx="184">
                  <c:v>-229.5695135792389</c:v>
                </c:pt>
                <c:pt idx="185">
                  <c:v>-229.24759574519271</c:v>
                </c:pt>
                <c:pt idx="186">
                  <c:v>-228.86353265812735</c:v>
                </c:pt>
                <c:pt idx="187">
                  <c:v>-228.41741281122933</c:v>
                </c:pt>
                <c:pt idx="188">
                  <c:v>-227.90929717821314</c:v>
                </c:pt>
                <c:pt idx="189">
                  <c:v>-227.33921956843102</c:v>
                </c:pt>
                <c:pt idx="190">
                  <c:v>-226.74932283414461</c:v>
                </c:pt>
                <c:pt idx="191">
                  <c:v>-225.74179682770583</c:v>
                </c:pt>
                <c:pt idx="192">
                  <c:v>-224.93035637915196</c:v>
                </c:pt>
                <c:pt idx="193">
                  <c:v>-224.05800456053331</c:v>
                </c:pt>
                <c:pt idx="194">
                  <c:v>-223.12489067958344</c:v>
                </c:pt>
                <c:pt idx="195">
                  <c:v>-222.13113690607497</c:v>
                </c:pt>
                <c:pt idx="196">
                  <c:v>-221.07683885151923</c:v>
                </c:pt>
                <c:pt idx="197">
                  <c:v>-219.96206631915263</c:v>
                </c:pt>
                <c:pt idx="198">
                  <c:v>-218.7868642217461</c:v>
                </c:pt>
                <c:pt idx="199">
                  <c:v>-217.55125366419929</c:v>
                </c:pt>
                <c:pt idx="200">
                  <c:v>-216.25523318732925</c:v>
                </c:pt>
                <c:pt idx="201">
                  <c:v>-214.89878016881354</c:v>
                </c:pt>
                <c:pt idx="202">
                  <c:v>-213.48185237595723</c:v>
                </c:pt>
                <c:pt idx="203">
                  <c:v>-212.00438966669262</c:v>
                </c:pt>
                <c:pt idx="204">
                  <c:v>-210.46631673920606</c:v>
                </c:pt>
                <c:pt idx="205">
                  <c:v>-208.86756692157701</c:v>
                </c:pt>
                <c:pt idx="206">
                  <c:v>-207.19437880658901</c:v>
                </c:pt>
                <c:pt idx="207">
                  <c:v>-205.40887847295494</c:v>
                </c:pt>
                <c:pt idx="208">
                  <c:v>-203.56294404511792</c:v>
                </c:pt>
                <c:pt idx="209">
                  <c:v>-201.65708854031323</c:v>
                </c:pt>
                <c:pt idx="210">
                  <c:v>-199.69183476656204</c:v>
                </c:pt>
                <c:pt idx="211">
                  <c:v>-197.66771540921897</c:v>
                </c:pt>
                <c:pt idx="212">
                  <c:v>-195.58527314819608</c:v>
                </c:pt>
                <c:pt idx="213">
                  <c:v>-193.44506080552563</c:v>
                </c:pt>
                <c:pt idx="214">
                  <c:v>-191.24764152107809</c:v>
                </c:pt>
                <c:pt idx="215">
                  <c:v>-188.93162007120534</c:v>
                </c:pt>
                <c:pt idx="216">
                  <c:v>-186.54942305180359</c:v>
                </c:pt>
                <c:pt idx="217">
                  <c:v>-184.11889777897701</c:v>
                </c:pt>
                <c:pt idx="218">
                  <c:v>-181.64066472632098</c:v>
                </c:pt>
                <c:pt idx="219">
                  <c:v>-179.11534048471947</c:v>
                </c:pt>
                <c:pt idx="220">
                  <c:v>-176.54351191131221</c:v>
                </c:pt>
                <c:pt idx="221">
                  <c:v>-173.92573592245824</c:v>
                </c:pt>
                <c:pt idx="222">
                  <c:v>-171.26254050043644</c:v>
                </c:pt>
                <c:pt idx="223">
                  <c:v>-168.5544258591286</c:v>
                </c:pt>
                <c:pt idx="224">
                  <c:v>-165.80186576215274</c:v>
                </c:pt>
                <c:pt idx="225">
                  <c:v>-163.00530898833222</c:v>
                </c:pt>
                <c:pt idx="226">
                  <c:v>-160.16518093827167</c:v>
                </c:pt>
                <c:pt idx="227">
                  <c:v>-157.28188537544773</c:v>
                </c:pt>
                <c:pt idx="228">
                  <c:v>-154.35580629479315</c:v>
                </c:pt>
                <c:pt idx="229">
                  <c:v>-151.38730991134426</c:v>
                </c:pt>
                <c:pt idx="230">
                  <c:v>-148.00010943942846</c:v>
                </c:pt>
                <c:pt idx="231">
                  <c:v>-144.34032081945963</c:v>
                </c:pt>
                <c:pt idx="232">
                  <c:v>-141.21428603145748</c:v>
                </c:pt>
                <c:pt idx="233">
                  <c:v>-138.05046866494084</c:v>
                </c:pt>
                <c:pt idx="234">
                  <c:v>-134.8493103211606</c:v>
                </c:pt>
                <c:pt idx="235">
                  <c:v>-131.6112349379396</c:v>
                </c:pt>
                <c:pt idx="236">
                  <c:v>-128.33665092491114</c:v>
                </c:pt>
                <c:pt idx="237">
                  <c:v>-125.02595340328625</c:v>
                </c:pt>
                <c:pt idx="238">
                  <c:v>-121.67952654183249</c:v>
                </c:pt>
                <c:pt idx="239">
                  <c:v>-118.29774598039945</c:v>
                </c:pt>
                <c:pt idx="240">
                  <c:v>-114.8809813320139</c:v>
                </c:pt>
                <c:pt idx="241">
                  <c:v>-111.42959875432786</c:v>
                </c:pt>
                <c:pt idx="242">
                  <c:v>-107.94396358056194</c:v>
                </c:pt>
                <c:pt idx="243">
                  <c:v>-104.42444300101107</c:v>
                </c:pt>
                <c:pt idx="244">
                  <c:v>-100.87140903613691</c:v>
                </c:pt>
                <c:pt idx="245">
                  <c:v>-97.285246401807726</c:v>
                </c:pt>
                <c:pt idx="246">
                  <c:v>-93.663552966570577</c:v>
                </c:pt>
                <c:pt idx="247">
                  <c:v>-90.002172541652726</c:v>
                </c:pt>
                <c:pt idx="248">
                  <c:v>-86.314529548621408</c:v>
                </c:pt>
                <c:pt idx="249">
                  <c:v>-82.601625346880098</c:v>
                </c:pt>
                <c:pt idx="250">
                  <c:v>-78.864464771323725</c:v>
                </c:pt>
                <c:pt idx="251">
                  <c:v>-75.104056361178309</c:v>
                </c:pt>
                <c:pt idx="252">
                  <c:v>-71.321412602829056</c:v>
                </c:pt>
                <c:pt idx="253">
                  <c:v>-67.517550184629485</c:v>
                </c:pt>
                <c:pt idx="254">
                  <c:v>-63.693490260957759</c:v>
                </c:pt>
                <c:pt idx="255">
                  <c:v>-59.817922114458099</c:v>
                </c:pt>
                <c:pt idx="256">
                  <c:v>-55.922352015789521</c:v>
                </c:pt>
                <c:pt idx="257">
                  <c:v>-52.016861093266471</c:v>
                </c:pt>
                <c:pt idx="258">
                  <c:v>-48.10210543771538</c:v>
                </c:pt>
                <c:pt idx="259">
                  <c:v>-44.178730319364753</c:v>
                </c:pt>
                <c:pt idx="260">
                  <c:v>-40.247358448452452</c:v>
                </c:pt>
                <c:pt idx="261">
                  <c:v>-36.30859178064015</c:v>
                </c:pt>
                <c:pt idx="262">
                  <c:v>-32.363013924319858</c:v>
                </c:pt>
                <c:pt idx="263">
                  <c:v>-28.411192618684922</c:v>
                </c:pt>
                <c:pt idx="264">
                  <c:v>-24.453682272474424</c:v>
                </c:pt>
                <c:pt idx="265">
                  <c:v>-20.491026553616763</c:v>
                </c:pt>
                <c:pt idx="266">
                  <c:v>-16.523761019691616</c:v>
                </c:pt>
                <c:pt idx="267">
                  <c:v>-12.552415779047859</c:v>
                </c:pt>
                <c:pt idx="268">
                  <c:v>-8.5775181723397722</c:v>
                </c:pt>
                <c:pt idx="269">
                  <c:v>-4.5995954642022889</c:v>
                </c:pt>
                <c:pt idx="270">
                  <c:v>-6.5034381774873912E-12</c:v>
                </c:pt>
                <c:pt idx="271">
                  <c:v>4.5995954641892256</c:v>
                </c:pt>
                <c:pt idx="272">
                  <c:v>8.5775181723267178</c:v>
                </c:pt>
                <c:pt idx="273">
                  <c:v>12.552415779034821</c:v>
                </c:pt>
                <c:pt idx="274">
                  <c:v>16.523761019678577</c:v>
                </c:pt>
                <c:pt idx="275">
                  <c:v>20.491026553603749</c:v>
                </c:pt>
                <c:pt idx="276">
                  <c:v>24.453682272461435</c:v>
                </c:pt>
                <c:pt idx="277">
                  <c:v>28.411192618671929</c:v>
                </c:pt>
                <c:pt idx="278">
                  <c:v>32.363013924306898</c:v>
                </c:pt>
                <c:pt idx="279">
                  <c:v>36.308591780627196</c:v>
                </c:pt>
                <c:pt idx="280">
                  <c:v>40.247358448439527</c:v>
                </c:pt>
                <c:pt idx="281">
                  <c:v>44.178730319351892</c:v>
                </c:pt>
                <c:pt idx="282">
                  <c:v>48.102105437702512</c:v>
                </c:pt>
                <c:pt idx="283">
                  <c:v>52.016861093253652</c:v>
                </c:pt>
                <c:pt idx="284">
                  <c:v>55.922352015776703</c:v>
                </c:pt>
                <c:pt idx="285">
                  <c:v>59.817922114445345</c:v>
                </c:pt>
                <c:pt idx="286">
                  <c:v>63.693490260945175</c:v>
                </c:pt>
                <c:pt idx="287">
                  <c:v>67.517550184616951</c:v>
                </c:pt>
                <c:pt idx="288">
                  <c:v>71.321412602816551</c:v>
                </c:pt>
                <c:pt idx="289">
                  <c:v>75.104056361165931</c:v>
                </c:pt>
                <c:pt idx="290">
                  <c:v>78.864464771311418</c:v>
                </c:pt>
                <c:pt idx="291">
                  <c:v>82.601625346867877</c:v>
                </c:pt>
                <c:pt idx="292">
                  <c:v>86.314529548609286</c:v>
                </c:pt>
                <c:pt idx="293">
                  <c:v>90.002172541640661</c:v>
                </c:pt>
                <c:pt idx="294">
                  <c:v>93.663552966558584</c:v>
                </c:pt>
                <c:pt idx="295">
                  <c:v>97.285246401795874</c:v>
                </c:pt>
                <c:pt idx="296">
                  <c:v>100.87140903612521</c:v>
                </c:pt>
                <c:pt idx="297">
                  <c:v>104.42444300099942</c:v>
                </c:pt>
                <c:pt idx="298">
                  <c:v>107.94396358055042</c:v>
                </c:pt>
                <c:pt idx="299">
                  <c:v>111.42959875431647</c:v>
                </c:pt>
                <c:pt idx="300">
                  <c:v>114.88098133200259</c:v>
                </c:pt>
                <c:pt idx="301">
                  <c:v>118.29774598038834</c:v>
                </c:pt>
                <c:pt idx="302">
                  <c:v>121.6795265418215</c:v>
                </c:pt>
                <c:pt idx="303">
                  <c:v>125.02595340327535</c:v>
                </c:pt>
                <c:pt idx="304">
                  <c:v>128.33665092490034</c:v>
                </c:pt>
                <c:pt idx="305">
                  <c:v>131.61123493792897</c:v>
                </c:pt>
                <c:pt idx="306">
                  <c:v>134.84931032115006</c:v>
                </c:pt>
                <c:pt idx="307">
                  <c:v>138.05046866493043</c:v>
                </c:pt>
                <c:pt idx="308">
                  <c:v>141.21428603144716</c:v>
                </c:pt>
                <c:pt idx="309">
                  <c:v>144.3403208194494</c:v>
                </c:pt>
                <c:pt idx="310">
                  <c:v>148.00010943941854</c:v>
                </c:pt>
                <c:pt idx="311">
                  <c:v>151.38730991133454</c:v>
                </c:pt>
                <c:pt idx="312">
                  <c:v>154.35580629478346</c:v>
                </c:pt>
                <c:pt idx="313">
                  <c:v>157.28188537543821</c:v>
                </c:pt>
                <c:pt idx="314">
                  <c:v>160.1651809382623</c:v>
                </c:pt>
                <c:pt idx="315">
                  <c:v>163.00530898832301</c:v>
                </c:pt>
                <c:pt idx="316">
                  <c:v>165.80186576214371</c:v>
                </c:pt>
                <c:pt idx="317">
                  <c:v>168.55442585911968</c:v>
                </c:pt>
                <c:pt idx="318">
                  <c:v>171.2625405004276</c:v>
                </c:pt>
                <c:pt idx="319">
                  <c:v>173.92573592244958</c:v>
                </c:pt>
                <c:pt idx="320">
                  <c:v>176.54351191130377</c:v>
                </c:pt>
                <c:pt idx="321">
                  <c:v>179.11534048471114</c:v>
                </c:pt>
                <c:pt idx="322">
                  <c:v>181.64066472631274</c:v>
                </c:pt>
                <c:pt idx="323">
                  <c:v>184.118897778969</c:v>
                </c:pt>
                <c:pt idx="324">
                  <c:v>186.54942305179574</c:v>
                </c:pt>
                <c:pt idx="325">
                  <c:v>188.9316200711977</c:v>
                </c:pt>
                <c:pt idx="326">
                  <c:v>191.24764152107082</c:v>
                </c:pt>
                <c:pt idx="327">
                  <c:v>193.44506080551852</c:v>
                </c:pt>
                <c:pt idx="328">
                  <c:v>195.58527314818903</c:v>
                </c:pt>
                <c:pt idx="329">
                  <c:v>197.66771540921232</c:v>
                </c:pt>
                <c:pt idx="330">
                  <c:v>199.69183476655556</c:v>
                </c:pt>
                <c:pt idx="331">
                  <c:v>201.65708854030689</c:v>
                </c:pt>
                <c:pt idx="332">
                  <c:v>203.56294404511183</c:v>
                </c:pt>
                <c:pt idx="333">
                  <c:v>205.408878472949</c:v>
                </c:pt>
                <c:pt idx="334">
                  <c:v>207.1943788065833</c:v>
                </c:pt>
                <c:pt idx="335">
                  <c:v>208.86756692157169</c:v>
                </c:pt>
                <c:pt idx="336">
                  <c:v>210.46631673920103</c:v>
                </c:pt>
                <c:pt idx="337">
                  <c:v>212.00438966668776</c:v>
                </c:pt>
                <c:pt idx="338">
                  <c:v>213.48185237595246</c:v>
                </c:pt>
                <c:pt idx="339">
                  <c:v>214.898780168809</c:v>
                </c:pt>
                <c:pt idx="340">
                  <c:v>216.25523318732502</c:v>
                </c:pt>
                <c:pt idx="341">
                  <c:v>217.55125366419523</c:v>
                </c:pt>
                <c:pt idx="342">
                  <c:v>218.78686422174221</c:v>
                </c:pt>
                <c:pt idx="343">
                  <c:v>219.96206631914887</c:v>
                </c:pt>
                <c:pt idx="344">
                  <c:v>221.07683885151559</c:v>
                </c:pt>
                <c:pt idx="345">
                  <c:v>222.13113690607156</c:v>
                </c:pt>
                <c:pt idx="346">
                  <c:v>223.12489067958032</c:v>
                </c:pt>
                <c:pt idx="347">
                  <c:v>224.05800456053035</c:v>
                </c:pt>
                <c:pt idx="348">
                  <c:v>224.93035637914929</c:v>
                </c:pt>
                <c:pt idx="349">
                  <c:v>225.74179682770327</c:v>
                </c:pt>
                <c:pt idx="350">
                  <c:v>226.74932283414236</c:v>
                </c:pt>
                <c:pt idx="351">
                  <c:v>227.33921956842912</c:v>
                </c:pt>
                <c:pt idx="352">
                  <c:v>227.90929717821135</c:v>
                </c:pt>
                <c:pt idx="353">
                  <c:v>228.41741281122771</c:v>
                </c:pt>
                <c:pt idx="354">
                  <c:v>228.86353265812602</c:v>
                </c:pt>
                <c:pt idx="355">
                  <c:v>229.24759574519157</c:v>
                </c:pt>
                <c:pt idx="356">
                  <c:v>229.56951357923802</c:v>
                </c:pt>
                <c:pt idx="357">
                  <c:v>229.82916996630652</c:v>
                </c:pt>
                <c:pt idx="358">
                  <c:v>230.02642100527785</c:v>
                </c:pt>
                <c:pt idx="359">
                  <c:v>230.16109525691721</c:v>
                </c:pt>
                <c:pt idx="360">
                  <c:v>230.23299408828896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0.27195011959921089</c:v>
                </c:pt>
                <c:pt idx="1">
                  <c:v>4.2624007627807599</c:v>
                </c:pt>
                <c:pt idx="2">
                  <c:v>8.2558843278472178</c:v>
                </c:pt>
                <c:pt idx="3">
                  <c:v>12.251817236274663</c:v>
                </c:pt>
                <c:pt idx="4">
                  <c:v>16.249597056118763</c:v>
                </c:pt>
                <c:pt idx="5">
                  <c:v>20.248609508857822</c:v>
                </c:pt>
                <c:pt idx="6">
                  <c:v>24.241661801198642</c:v>
                </c:pt>
                <c:pt idx="7">
                  <c:v>28.205369193770718</c:v>
                </c:pt>
                <c:pt idx="8">
                  <c:v>32.160460512294577</c:v>
                </c:pt>
                <c:pt idx="9">
                  <c:v>36.105870923823353</c:v>
                </c:pt>
                <c:pt idx="10">
                  <c:v>40.040538130461279</c:v>
                </c:pt>
                <c:pt idx="11">
                  <c:v>43.963402102144016</c:v>
                </c:pt>
                <c:pt idx="12">
                  <c:v>47.873404812832341</c:v>
                </c:pt>
                <c:pt idx="13">
                  <c:v>51.769489982789288</c:v>
                </c:pt>
                <c:pt idx="14">
                  <c:v>55.650602829239887</c:v>
                </c:pt>
                <c:pt idx="15">
                  <c:v>59.514759552630331</c:v>
                </c:pt>
                <c:pt idx="16">
                  <c:v>63.356681718766247</c:v>
                </c:pt>
                <c:pt idx="17">
                  <c:v>67.175514451439867</c:v>
                </c:pt>
                <c:pt idx="18">
                  <c:v>70.970781252806702</c:v>
                </c:pt>
                <c:pt idx="19">
                  <c:v>74.742018423464842</c:v>
                </c:pt>
                <c:pt idx="20">
                  <c:v>78.488772115765286</c:v>
                </c:pt>
                <c:pt idx="21">
                  <c:v>82.2105955334263</c:v>
                </c:pt>
                <c:pt idx="22">
                  <c:v>85.907046195361545</c:v>
                </c:pt>
                <c:pt idx="23">
                  <c:v>89.577683219722317</c:v>
                </c:pt>
                <c:pt idx="24">
                  <c:v>93.222064637827614</c:v>
                </c:pt>
                <c:pt idx="25">
                  <c:v>96.839744748291153</c:v>
                </c:pt>
                <c:pt idx="26">
                  <c:v>100.43027152123716</c:v>
                </c:pt>
                <c:pt idx="27">
                  <c:v>103.99318406233454</c:v>
                </c:pt>
                <c:pt idx="28">
                  <c:v>107.5280101461539</c:v>
                </c:pt>
                <c:pt idx="29">
                  <c:v>111.03426382809427</c:v>
                </c:pt>
                <c:pt idx="30">
                  <c:v>115.12364831643107</c:v>
                </c:pt>
                <c:pt idx="31">
                  <c:v>119.00099686634479</c:v>
                </c:pt>
                <c:pt idx="32">
                  <c:v>122.38470742348058</c:v>
                </c:pt>
                <c:pt idx="33">
                  <c:v>125.73460594936368</c:v>
                </c:pt>
                <c:pt idx="34">
                  <c:v>129.05026513945819</c:v>
                </c:pt>
                <c:pt idx="35">
                  <c:v>132.33124383838754</c:v>
                </c:pt>
                <c:pt idx="36">
                  <c:v>135.57708476588894</c:v>
                </c:pt>
                <c:pt idx="37">
                  <c:v>138.7873123388998</c:v>
                </c:pt>
                <c:pt idx="38">
                  <c:v>141.96143059833204</c:v>
                </c:pt>
                <c:pt idx="39">
                  <c:v>145.09892124876231</c:v>
                </c:pt>
                <c:pt idx="40">
                  <c:v>148.19924181891105</c:v>
                </c:pt>
                <c:pt idx="41">
                  <c:v>151.26182395047798</c:v>
                </c:pt>
                <c:pt idx="42">
                  <c:v>154.28607182195478</c:v>
                </c:pt>
                <c:pt idx="43">
                  <c:v>157.27136071522014</c:v>
                </c:pt>
                <c:pt idx="44">
                  <c:v>160.21703668885561</c:v>
                </c:pt>
                <c:pt idx="45">
                  <c:v>163.12243985805992</c:v>
                </c:pt>
                <c:pt idx="46">
                  <c:v>165.97096407260258</c:v>
                </c:pt>
                <c:pt idx="47">
                  <c:v>168.7133173051395</c:v>
                </c:pt>
                <c:pt idx="48">
                  <c:v>171.40571510850609</c:v>
                </c:pt>
                <c:pt idx="49">
                  <c:v>174.04744357421217</c:v>
                </c:pt>
                <c:pt idx="50">
                  <c:v>176.63779802611074</c:v>
                </c:pt>
                <c:pt idx="51">
                  <c:v>179.17608281237986</c:v>
                </c:pt>
                <c:pt idx="52">
                  <c:v>181.66161112190318</c:v>
                </c:pt>
                <c:pt idx="53">
                  <c:v>184.09370482748511</c:v>
                </c:pt>
                <c:pt idx="54">
                  <c:v>186.47169435670898</c:v>
                </c:pt>
                <c:pt idx="55">
                  <c:v>188.75159910363769</c:v>
                </c:pt>
                <c:pt idx="56">
                  <c:v>190.96400253776207</c:v>
                </c:pt>
                <c:pt idx="57">
                  <c:v>193.12025806609793</c:v>
                </c:pt>
                <c:pt idx="58">
                  <c:v>195.22031361973708</c:v>
                </c:pt>
                <c:pt idx="59">
                  <c:v>197.26412727228242</c:v>
                </c:pt>
                <c:pt idx="60">
                  <c:v>199.25164661001133</c:v>
                </c:pt>
                <c:pt idx="61">
                  <c:v>201.18280578986761</c:v>
                </c:pt>
                <c:pt idx="62">
                  <c:v>203.05752349191448</c:v>
                </c:pt>
                <c:pt idx="63">
                  <c:v>204.87570100075024</c:v>
                </c:pt>
                <c:pt idx="64">
                  <c:v>206.63722042109507</c:v>
                </c:pt>
                <c:pt idx="65">
                  <c:v>208.34194303435766</c:v>
                </c:pt>
                <c:pt idx="66">
                  <c:v>209.98970780181367</c:v>
                </c:pt>
                <c:pt idx="67">
                  <c:v>211.58033001961638</c:v>
                </c:pt>
                <c:pt idx="68">
                  <c:v>213.11360013034016</c:v>
                </c:pt>
                <c:pt idx="69">
                  <c:v>214.58928269522281</c:v>
                </c:pt>
                <c:pt idx="70">
                  <c:v>216.36168560180457</c:v>
                </c:pt>
                <c:pt idx="71">
                  <c:v>217.73559129503141</c:v>
                </c:pt>
                <c:pt idx="72">
                  <c:v>218.98096811970012</c:v>
                </c:pt>
                <c:pt idx="73">
                  <c:v>220.16668810727865</c:v>
                </c:pt>
                <c:pt idx="74">
                  <c:v>221.29262602627736</c:v>
                </c:pt>
                <c:pt idx="75">
                  <c:v>222.35863071186949</c:v>
                </c:pt>
                <c:pt idx="76">
                  <c:v>223.3645242524349</c:v>
                </c:pt>
                <c:pt idx="77">
                  <c:v>224.31010134373764</c:v>
                </c:pt>
                <c:pt idx="78">
                  <c:v>225.19512881360319</c:v>
                </c:pt>
                <c:pt idx="79">
                  <c:v>226.01934531939889</c:v>
                </c:pt>
                <c:pt idx="80">
                  <c:v>226.78246122004566</c:v>
                </c:pt>
                <c:pt idx="81">
                  <c:v>227.48415862382876</c:v>
                </c:pt>
                <c:pt idx="82">
                  <c:v>228.12409161188063</c:v>
                </c:pt>
                <c:pt idx="83">
                  <c:v>228.70188663903463</c:v>
                </c:pt>
                <c:pt idx="84">
                  <c:v>229.21714424085567</c:v>
                </c:pt>
                <c:pt idx="85">
                  <c:v>229.66946769369497</c:v>
                </c:pt>
                <c:pt idx="86">
                  <c:v>230.04060769263472</c:v>
                </c:pt>
                <c:pt idx="87">
                  <c:v>230.27842920977122</c:v>
                </c:pt>
                <c:pt idx="88">
                  <c:v>230.44833064311672</c:v>
                </c:pt>
                <c:pt idx="89">
                  <c:v>230.55028305435476</c:v>
                </c:pt>
                <c:pt idx="90">
                  <c:v>230.58426911488758</c:v>
                </c:pt>
                <c:pt idx="91">
                  <c:v>230.55028305435471</c:v>
                </c:pt>
                <c:pt idx="92">
                  <c:v>230.44833064311672</c:v>
                </c:pt>
                <c:pt idx="93">
                  <c:v>230.27842920977119</c:v>
                </c:pt>
                <c:pt idx="94">
                  <c:v>230.04060769263467</c:v>
                </c:pt>
                <c:pt idx="95">
                  <c:v>229.66946769369494</c:v>
                </c:pt>
                <c:pt idx="96">
                  <c:v>229.21714424085565</c:v>
                </c:pt>
                <c:pt idx="97">
                  <c:v>228.7018866390346</c:v>
                </c:pt>
                <c:pt idx="98">
                  <c:v>228.12409161188054</c:v>
                </c:pt>
                <c:pt idx="99">
                  <c:v>227.48415862382862</c:v>
                </c:pt>
                <c:pt idx="100">
                  <c:v>226.78246122004558</c:v>
                </c:pt>
                <c:pt idx="101">
                  <c:v>226.01934531939875</c:v>
                </c:pt>
                <c:pt idx="102">
                  <c:v>225.19512881360308</c:v>
                </c:pt>
                <c:pt idx="103">
                  <c:v>224.31010134373747</c:v>
                </c:pt>
                <c:pt idx="104">
                  <c:v>223.36452425243476</c:v>
                </c:pt>
                <c:pt idx="105">
                  <c:v>222.35863071186932</c:v>
                </c:pt>
                <c:pt idx="106">
                  <c:v>221.29262602627713</c:v>
                </c:pt>
                <c:pt idx="107">
                  <c:v>220.16668810727842</c:v>
                </c:pt>
                <c:pt idx="108">
                  <c:v>218.98096811969992</c:v>
                </c:pt>
                <c:pt idx="109">
                  <c:v>217.73559129503118</c:v>
                </c:pt>
                <c:pt idx="110">
                  <c:v>216.36168560180442</c:v>
                </c:pt>
                <c:pt idx="111">
                  <c:v>214.58928269522252</c:v>
                </c:pt>
                <c:pt idx="112">
                  <c:v>213.1136001303399</c:v>
                </c:pt>
                <c:pt idx="113">
                  <c:v>211.58033001961607</c:v>
                </c:pt>
                <c:pt idx="114">
                  <c:v>209.98970780181341</c:v>
                </c:pt>
                <c:pt idx="115">
                  <c:v>208.3419430343574</c:v>
                </c:pt>
                <c:pt idx="116">
                  <c:v>206.63722042109481</c:v>
                </c:pt>
                <c:pt idx="117">
                  <c:v>204.87570100075004</c:v>
                </c:pt>
                <c:pt idx="118">
                  <c:v>203.05752349191422</c:v>
                </c:pt>
                <c:pt idx="119">
                  <c:v>201.18280578986742</c:v>
                </c:pt>
                <c:pt idx="120">
                  <c:v>199.25164661001102</c:v>
                </c:pt>
                <c:pt idx="121">
                  <c:v>197.26412727228225</c:v>
                </c:pt>
                <c:pt idx="122">
                  <c:v>195.22031361973691</c:v>
                </c:pt>
                <c:pt idx="123">
                  <c:v>193.12025806609782</c:v>
                </c:pt>
                <c:pt idx="124">
                  <c:v>190.96400253776187</c:v>
                </c:pt>
                <c:pt idx="125">
                  <c:v>188.75159910363763</c:v>
                </c:pt>
                <c:pt idx="126">
                  <c:v>186.47169435670887</c:v>
                </c:pt>
                <c:pt idx="127">
                  <c:v>184.09370482748503</c:v>
                </c:pt>
                <c:pt idx="128">
                  <c:v>181.66161112190309</c:v>
                </c:pt>
                <c:pt idx="129">
                  <c:v>179.17608281237992</c:v>
                </c:pt>
                <c:pt idx="130">
                  <c:v>176.63779802611074</c:v>
                </c:pt>
                <c:pt idx="131">
                  <c:v>174.04744357421225</c:v>
                </c:pt>
                <c:pt idx="132">
                  <c:v>171.4057151085062</c:v>
                </c:pt>
                <c:pt idx="133">
                  <c:v>168.71331730513967</c:v>
                </c:pt>
                <c:pt idx="134">
                  <c:v>165.97096407260278</c:v>
                </c:pt>
                <c:pt idx="135">
                  <c:v>163.12243985806012</c:v>
                </c:pt>
                <c:pt idx="136">
                  <c:v>160.21703668885587</c:v>
                </c:pt>
                <c:pt idx="137">
                  <c:v>157.27136071522042</c:v>
                </c:pt>
                <c:pt idx="138">
                  <c:v>154.28607182195509</c:v>
                </c:pt>
                <c:pt idx="139">
                  <c:v>151.26182395047837</c:v>
                </c:pt>
                <c:pt idx="140">
                  <c:v>148.19924181891147</c:v>
                </c:pt>
                <c:pt idx="141">
                  <c:v>145.09892124876276</c:v>
                </c:pt>
                <c:pt idx="142">
                  <c:v>141.96143059833256</c:v>
                </c:pt>
                <c:pt idx="143">
                  <c:v>138.78731233890036</c:v>
                </c:pt>
                <c:pt idx="144">
                  <c:v>135.57708476588957</c:v>
                </c:pt>
                <c:pt idx="145">
                  <c:v>132.33124383838819</c:v>
                </c:pt>
                <c:pt idx="146">
                  <c:v>129.05026513945893</c:v>
                </c:pt>
                <c:pt idx="147">
                  <c:v>125.73460594936442</c:v>
                </c:pt>
                <c:pt idx="148">
                  <c:v>122.38470742348137</c:v>
                </c:pt>
                <c:pt idx="149">
                  <c:v>119.00099686634562</c:v>
                </c:pt>
                <c:pt idx="150">
                  <c:v>115.12364831643197</c:v>
                </c:pt>
                <c:pt idx="151">
                  <c:v>111.03426382809529</c:v>
                </c:pt>
                <c:pt idx="152">
                  <c:v>107.52801014615488</c:v>
                </c:pt>
                <c:pt idx="153">
                  <c:v>103.99318406233562</c:v>
                </c:pt>
                <c:pt idx="154">
                  <c:v>100.43027152123823</c:v>
                </c:pt>
                <c:pt idx="155">
                  <c:v>96.839744748292333</c:v>
                </c:pt>
                <c:pt idx="156">
                  <c:v>93.222064637828851</c:v>
                </c:pt>
                <c:pt idx="157">
                  <c:v>89.57768321972361</c:v>
                </c:pt>
                <c:pt idx="158">
                  <c:v>85.907046195362867</c:v>
                </c:pt>
                <c:pt idx="159">
                  <c:v>82.210595533427693</c:v>
                </c:pt>
                <c:pt idx="160">
                  <c:v>78.488772115766707</c:v>
                </c:pt>
                <c:pt idx="161">
                  <c:v>74.742018423466305</c:v>
                </c:pt>
                <c:pt idx="162">
                  <c:v>70.970781252808223</c:v>
                </c:pt>
                <c:pt idx="163">
                  <c:v>67.175514451441458</c:v>
                </c:pt>
                <c:pt idx="164">
                  <c:v>63.356681718767909</c:v>
                </c:pt>
                <c:pt idx="165">
                  <c:v>59.514759552632064</c:v>
                </c:pt>
                <c:pt idx="166">
                  <c:v>55.650602829241656</c:v>
                </c:pt>
                <c:pt idx="167">
                  <c:v>51.769489982791093</c:v>
                </c:pt>
                <c:pt idx="168">
                  <c:v>47.873404812834224</c:v>
                </c:pt>
                <c:pt idx="169">
                  <c:v>43.963402102145928</c:v>
                </c:pt>
                <c:pt idx="170">
                  <c:v>40.040538130463254</c:v>
                </c:pt>
                <c:pt idx="171">
                  <c:v>36.105870923825357</c:v>
                </c:pt>
                <c:pt idx="172">
                  <c:v>32.16046051229663</c:v>
                </c:pt>
                <c:pt idx="173">
                  <c:v>28.205369193772828</c:v>
                </c:pt>
                <c:pt idx="174">
                  <c:v>24.241661801200809</c:v>
                </c:pt>
                <c:pt idx="175">
                  <c:v>20.248609508860046</c:v>
                </c:pt>
                <c:pt idx="176">
                  <c:v>16.249597056121029</c:v>
                </c:pt>
                <c:pt idx="177">
                  <c:v>12.251817236276976</c:v>
                </c:pt>
                <c:pt idx="178">
                  <c:v>8.2558843278495768</c:v>
                </c:pt>
                <c:pt idx="179">
                  <c:v>4.2624007627831588</c:v>
                </c:pt>
                <c:pt idx="180">
                  <c:v>0.27195011960164911</c:v>
                </c:pt>
                <c:pt idx="181">
                  <c:v>-3.7149006690512838</c:v>
                </c:pt>
                <c:pt idx="182">
                  <c:v>-7.6975987194553204</c:v>
                </c:pt>
                <c:pt idx="183">
                  <c:v>-11.675602558470745</c:v>
                </c:pt>
                <c:pt idx="184">
                  <c:v>-15.648379454072607</c:v>
                </c:pt>
                <c:pt idx="185">
                  <c:v>-19.615402725028336</c:v>
                </c:pt>
                <c:pt idx="186">
                  <c:v>-23.576149040049245</c:v>
                </c:pt>
                <c:pt idx="187">
                  <c:v>-27.530095716747059</c:v>
                </c:pt>
                <c:pt idx="188">
                  <c:v>-31.476718030698894</c:v>
                </c:pt>
                <c:pt idx="189">
                  <c:v>-35.415486544863946</c:v>
                </c:pt>
                <c:pt idx="190">
                  <c:v>-39.982023473030786</c:v>
                </c:pt>
                <c:pt idx="191">
                  <c:v>-44.474921092583507</c:v>
                </c:pt>
                <c:pt idx="192">
                  <c:v>-48.371130826132692</c:v>
                </c:pt>
                <c:pt idx="193">
                  <c:v>-52.253528473212498</c:v>
                </c:pt>
                <c:pt idx="194">
                  <c:v>-56.121604962262928</c:v>
                </c:pt>
                <c:pt idx="195">
                  <c:v>-59.974846359377239</c:v>
                </c:pt>
                <c:pt idx="196">
                  <c:v>-63.81273123731993</c:v>
                </c:pt>
                <c:pt idx="197">
                  <c:v>-67.634728084866325</c:v>
                </c:pt>
                <c:pt idx="198">
                  <c:v>-71.440292766467195</c:v>
                </c:pt>
                <c:pt idx="199">
                  <c:v>-75.228866042098176</c:v>
                </c:pt>
                <c:pt idx="200">
                  <c:v>-78.999871156980518</c:v>
                </c:pt>
                <c:pt idx="201">
                  <c:v>-82.752711510696216</c:v>
                </c:pt>
                <c:pt idx="202">
                  <c:v>-86.486768414683567</c:v>
                </c:pt>
                <c:pt idx="203">
                  <c:v>-90.201398947726375</c:v>
                </c:pt>
                <c:pt idx="204">
                  <c:v>-93.895934607521397</c:v>
                </c:pt>
                <c:pt idx="205">
                  <c:v>-97.569697425925156</c:v>
                </c:pt>
                <c:pt idx="206">
                  <c:v>-101.21002424958461</c:v>
                </c:pt>
                <c:pt idx="207">
                  <c:v>-104.77824457864305</c:v>
                </c:pt>
                <c:pt idx="208">
                  <c:v>-108.31529966178863</c:v>
                </c:pt>
                <c:pt idx="209">
                  <c:v>-111.82024305047126</c:v>
                </c:pt>
                <c:pt idx="210">
                  <c:v>-115.29213455744048</c:v>
                </c:pt>
                <c:pt idx="211">
                  <c:v>-118.73004000387687</c:v>
                </c:pt>
                <c:pt idx="212">
                  <c:v>-122.13303098132158</c:v>
                </c:pt>
                <c:pt idx="213">
                  <c:v>-125.50018463112156</c:v>
                </c:pt>
                <c:pt idx="214">
                  <c:v>-128.83058344304357</c:v>
                </c:pt>
                <c:pt idx="215">
                  <c:v>-132.09977026776326</c:v>
                </c:pt>
                <c:pt idx="216">
                  <c:v>-135.32120963332764</c:v>
                </c:pt>
                <c:pt idx="217">
                  <c:v>-138.50048769130174</c:v>
                </c:pt>
                <c:pt idx="218">
                  <c:v>-141.63732319719057</c:v>
                </c:pt>
                <c:pt idx="219">
                  <c:v>-144.73144711312605</c:v>
                </c:pt>
                <c:pt idx="220">
                  <c:v>-147.78259006305873</c:v>
                </c:pt>
                <c:pt idx="221">
                  <c:v>-150.79047927729428</c:v>
                </c:pt>
                <c:pt idx="222">
                  <c:v>-153.7548360471296</c:v>
                </c:pt>
                <c:pt idx="223">
                  <c:v>-156.67537325886494</c:v>
                </c:pt>
                <c:pt idx="224">
                  <c:v>-159.55179301510876</c:v>
                </c:pt>
                <c:pt idx="225">
                  <c:v>-162.383784352486</c:v>
                </c:pt>
                <c:pt idx="226">
                  <c:v>-165.17102106400822</c:v>
                </c:pt>
                <c:pt idx="227">
                  <c:v>-167.91315963406001</c:v>
                </c:pt>
                <c:pt idx="228">
                  <c:v>-170.60983729356136</c:v>
                </c:pt>
                <c:pt idx="229">
                  <c:v>-173.26067020244184</c:v>
                </c:pt>
                <c:pt idx="230">
                  <c:v>-176.37966212876779</c:v>
                </c:pt>
                <c:pt idx="231">
                  <c:v>-179.1737961503529</c:v>
                </c:pt>
                <c:pt idx="232">
                  <c:v>-181.6368820996355</c:v>
                </c:pt>
                <c:pt idx="233">
                  <c:v>-184.05023430286352</c:v>
                </c:pt>
                <c:pt idx="234">
                  <c:v>-186.41355876175871</c:v>
                </c:pt>
                <c:pt idx="235">
                  <c:v>-188.7265403093237</c:v>
                </c:pt>
                <c:pt idx="236">
                  <c:v>-190.98884096701701</c:v>
                </c:pt>
                <c:pt idx="237">
                  <c:v>-193.20009844227408</c:v>
                </c:pt>
                <c:pt idx="238">
                  <c:v>-195.35992477245372</c:v>
                </c:pt>
                <c:pt idx="239">
                  <c:v>-197.46790512081097</c:v>
                </c:pt>
                <c:pt idx="240">
                  <c:v>-199.52359672960776</c:v>
                </c:pt>
                <c:pt idx="241">
                  <c:v>-201.52652803506055</c:v>
                </c:pt>
                <c:pt idx="242">
                  <c:v>-203.47619794758157</c:v>
                </c:pt>
                <c:pt idx="243">
                  <c:v>-205.37207530237009</c:v>
                </c:pt>
                <c:pt idx="244">
                  <c:v>-207.21359959387826</c:v>
                </c:pt>
                <c:pt idx="245">
                  <c:v>-209.000208612493</c:v>
                </c:pt>
                <c:pt idx="246">
                  <c:v>-210.71335615790531</c:v>
                </c:pt>
                <c:pt idx="247">
                  <c:v>-212.29907402125352</c:v>
                </c:pt>
                <c:pt idx="248">
                  <c:v>-213.82207163419562</c:v>
                </c:pt>
                <c:pt idx="249">
                  <c:v>-215.28195373620113</c:v>
                </c:pt>
                <c:pt idx="250">
                  <c:v>-216.67833615657003</c:v>
                </c:pt>
                <c:pt idx="251">
                  <c:v>-218.01084567635419</c:v>
                </c:pt>
                <c:pt idx="252">
                  <c:v>-219.27911992133662</c:v>
                </c:pt>
                <c:pt idx="253">
                  <c:v>-220.48280728792699</c:v>
                </c:pt>
                <c:pt idx="254">
                  <c:v>-221.62156690184079</c:v>
                </c:pt>
                <c:pt idx="255">
                  <c:v>-222.63719941068871</c:v>
                </c:pt>
                <c:pt idx="256">
                  <c:v>-223.57371840762039</c:v>
                </c:pt>
                <c:pt idx="257">
                  <c:v>-224.44687516665863</c:v>
                </c:pt>
                <c:pt idx="258">
                  <c:v>-225.2568530747601</c:v>
                </c:pt>
                <c:pt idx="259">
                  <c:v>-226.00384237394158</c:v>
                </c:pt>
                <c:pt idx="260">
                  <c:v>-226.68801393467524</c:v>
                </c:pt>
                <c:pt idx="261">
                  <c:v>-227.30951678218759</c:v>
                </c:pt>
                <c:pt idx="262">
                  <c:v>-227.86847679369262</c:v>
                </c:pt>
                <c:pt idx="263">
                  <c:v>-228.36499555862133</c:v>
                </c:pt>
                <c:pt idx="264">
                  <c:v>-228.79914940371589</c:v>
                </c:pt>
                <c:pt idx="265">
                  <c:v>-229.17098858667799</c:v>
                </c:pt>
                <c:pt idx="266">
                  <c:v>-229.48053666069475</c:v>
                </c:pt>
                <c:pt idx="267">
                  <c:v>-229.72779001169766</c:v>
                </c:pt>
                <c:pt idx="268">
                  <c:v>-229.91271756963414</c:v>
                </c:pt>
                <c:pt idx="269">
                  <c:v>-230.03526069443876</c:v>
                </c:pt>
                <c:pt idx="270">
                  <c:v>-230.24729663286192</c:v>
                </c:pt>
                <c:pt idx="271">
                  <c:v>-230.03526069443913</c:v>
                </c:pt>
                <c:pt idx="272">
                  <c:v>-229.91271756963462</c:v>
                </c:pt>
                <c:pt idx="273">
                  <c:v>-229.72779001169843</c:v>
                </c:pt>
                <c:pt idx="274">
                  <c:v>-229.48053666069569</c:v>
                </c:pt>
                <c:pt idx="275">
                  <c:v>-229.17098858667919</c:v>
                </c:pt>
                <c:pt idx="276">
                  <c:v>-228.79914940371717</c:v>
                </c:pt>
                <c:pt idx="277">
                  <c:v>-228.36499555862281</c:v>
                </c:pt>
                <c:pt idx="278">
                  <c:v>-227.8684767936943</c:v>
                </c:pt>
                <c:pt idx="279">
                  <c:v>-227.30951678218949</c:v>
                </c:pt>
                <c:pt idx="280">
                  <c:v>-226.68801393467743</c:v>
                </c:pt>
                <c:pt idx="281">
                  <c:v>-226.00384237394402</c:v>
                </c:pt>
                <c:pt idx="282">
                  <c:v>-225.25685307476272</c:v>
                </c:pt>
                <c:pt idx="283">
                  <c:v>-224.44687516666147</c:v>
                </c:pt>
                <c:pt idx="284">
                  <c:v>-223.57371840762332</c:v>
                </c:pt>
                <c:pt idx="285">
                  <c:v>-222.63719941069189</c:v>
                </c:pt>
                <c:pt idx="286">
                  <c:v>-221.62156690184437</c:v>
                </c:pt>
                <c:pt idx="287">
                  <c:v>-220.48280728793088</c:v>
                </c:pt>
                <c:pt idx="288">
                  <c:v>-219.27911992134065</c:v>
                </c:pt>
                <c:pt idx="289">
                  <c:v>-218.01084567635857</c:v>
                </c:pt>
                <c:pt idx="290">
                  <c:v>-216.67833615657443</c:v>
                </c:pt>
                <c:pt idx="291">
                  <c:v>-215.28195373620585</c:v>
                </c:pt>
                <c:pt idx="292">
                  <c:v>-213.82207163420051</c:v>
                </c:pt>
                <c:pt idx="293">
                  <c:v>-212.29907402125863</c:v>
                </c:pt>
                <c:pt idx="294">
                  <c:v>-210.71335615791054</c:v>
                </c:pt>
                <c:pt idx="295">
                  <c:v>-209.00020861249877</c:v>
                </c:pt>
                <c:pt idx="296">
                  <c:v>-207.21359959388425</c:v>
                </c:pt>
                <c:pt idx="297">
                  <c:v>-205.37207530237615</c:v>
                </c:pt>
                <c:pt idx="298">
                  <c:v>-203.47619794758791</c:v>
                </c:pt>
                <c:pt idx="299">
                  <c:v>-201.52652803506703</c:v>
                </c:pt>
                <c:pt idx="300">
                  <c:v>-199.5235967296145</c:v>
                </c:pt>
                <c:pt idx="301">
                  <c:v>-197.46790512081785</c:v>
                </c:pt>
                <c:pt idx="302">
                  <c:v>-195.35992477246077</c:v>
                </c:pt>
                <c:pt idx="303">
                  <c:v>-193.20009844228125</c:v>
                </c:pt>
                <c:pt idx="304">
                  <c:v>-190.9888409670244</c:v>
                </c:pt>
                <c:pt idx="305">
                  <c:v>-188.72654030933123</c:v>
                </c:pt>
                <c:pt idx="306">
                  <c:v>-186.41355876176638</c:v>
                </c:pt>
                <c:pt idx="307">
                  <c:v>-184.05023430287142</c:v>
                </c:pt>
                <c:pt idx="308">
                  <c:v>-181.63688209964349</c:v>
                </c:pt>
                <c:pt idx="309">
                  <c:v>-179.17379615036108</c:v>
                </c:pt>
                <c:pt idx="310">
                  <c:v>-176.3796621287762</c:v>
                </c:pt>
                <c:pt idx="311">
                  <c:v>-173.26067020245054</c:v>
                </c:pt>
                <c:pt idx="312">
                  <c:v>-170.60983729357008</c:v>
                </c:pt>
                <c:pt idx="313">
                  <c:v>-167.91315963406893</c:v>
                </c:pt>
                <c:pt idx="314">
                  <c:v>-165.17102106401734</c:v>
                </c:pt>
                <c:pt idx="315">
                  <c:v>-162.38378435249524</c:v>
                </c:pt>
                <c:pt idx="316">
                  <c:v>-159.55179301511814</c:v>
                </c:pt>
                <c:pt idx="317">
                  <c:v>-156.67537325887449</c:v>
                </c:pt>
                <c:pt idx="318">
                  <c:v>-153.75483604713926</c:v>
                </c:pt>
                <c:pt idx="319">
                  <c:v>-150.79047927730403</c:v>
                </c:pt>
                <c:pt idx="320">
                  <c:v>-147.78259006306865</c:v>
                </c:pt>
                <c:pt idx="321">
                  <c:v>-144.73144711313617</c:v>
                </c:pt>
                <c:pt idx="322">
                  <c:v>-141.6373231972008</c:v>
                </c:pt>
                <c:pt idx="323">
                  <c:v>-138.50048769131212</c:v>
                </c:pt>
                <c:pt idx="324">
                  <c:v>-135.32120963333816</c:v>
                </c:pt>
                <c:pt idx="325">
                  <c:v>-132.09977026777395</c:v>
                </c:pt>
                <c:pt idx="326">
                  <c:v>-128.83058344305439</c:v>
                </c:pt>
                <c:pt idx="327">
                  <c:v>-125.50018463113253</c:v>
                </c:pt>
                <c:pt idx="328">
                  <c:v>-122.13303098133262</c:v>
                </c:pt>
                <c:pt idx="329">
                  <c:v>-118.73004000388809</c:v>
                </c:pt>
                <c:pt idx="330">
                  <c:v>-115.2921345574518</c:v>
                </c:pt>
                <c:pt idx="331">
                  <c:v>-111.82024305048272</c:v>
                </c:pt>
                <c:pt idx="332">
                  <c:v>-108.3152996618002</c:v>
                </c:pt>
                <c:pt idx="333">
                  <c:v>-104.77824457865468</c:v>
                </c:pt>
                <c:pt idx="334">
                  <c:v>-101.21002424959637</c:v>
                </c:pt>
                <c:pt idx="335">
                  <c:v>-97.56969742593715</c:v>
                </c:pt>
                <c:pt idx="336">
                  <c:v>-93.895934607533505</c:v>
                </c:pt>
                <c:pt idx="337">
                  <c:v>-90.201398947738554</c:v>
                </c:pt>
                <c:pt idx="338">
                  <c:v>-86.486768414695703</c:v>
                </c:pt>
                <c:pt idx="339">
                  <c:v>-82.752711510708465</c:v>
                </c:pt>
                <c:pt idx="340">
                  <c:v>-78.999871156992853</c:v>
                </c:pt>
                <c:pt idx="341">
                  <c:v>-75.228866042110582</c:v>
                </c:pt>
                <c:pt idx="342">
                  <c:v>-71.440292766479629</c:v>
                </c:pt>
                <c:pt idx="343">
                  <c:v>-67.634728084878802</c:v>
                </c:pt>
                <c:pt idx="344">
                  <c:v>-63.812731237332471</c:v>
                </c:pt>
                <c:pt idx="345">
                  <c:v>-59.974846359389829</c:v>
                </c:pt>
                <c:pt idx="346">
                  <c:v>-56.121604962275562</c:v>
                </c:pt>
                <c:pt idx="347">
                  <c:v>-52.253528473225167</c:v>
                </c:pt>
                <c:pt idx="348">
                  <c:v>-48.371130826145439</c:v>
                </c:pt>
                <c:pt idx="349">
                  <c:v>-44.474921092596269</c:v>
                </c:pt>
                <c:pt idx="350">
                  <c:v>-39.982023473043533</c:v>
                </c:pt>
                <c:pt idx="351">
                  <c:v>-35.415486544876828</c:v>
                </c:pt>
                <c:pt idx="352">
                  <c:v>-31.476718030711798</c:v>
                </c:pt>
                <c:pt idx="353">
                  <c:v>-27.530095716759984</c:v>
                </c:pt>
                <c:pt idx="354">
                  <c:v>-23.576149040062194</c:v>
                </c:pt>
                <c:pt idx="355">
                  <c:v>-19.615402725041317</c:v>
                </c:pt>
                <c:pt idx="356">
                  <c:v>-15.648379454085605</c:v>
                </c:pt>
                <c:pt idx="357">
                  <c:v>-11.67560255848376</c:v>
                </c:pt>
                <c:pt idx="358">
                  <c:v>-7.6975987194683455</c:v>
                </c:pt>
                <c:pt idx="359">
                  <c:v>-3.7149006690643294</c:v>
                </c:pt>
                <c:pt idx="360">
                  <c:v>0.27195011958860638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149.66074281136034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-1.2316074086508404E-14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149.66074281136034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-1.2316074086508404E-14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7.496810501975067E-3</c:v>
                </c:pt>
                <c:pt idx="1">
                  <c:v>7.4469882565948238</c:v>
                </c:pt>
                <c:pt idx="2">
                  <c:v>14.489277375248205</c:v>
                </c:pt>
                <c:pt idx="3">
                  <c:v>21.22759983050144</c:v>
                </c:pt>
                <c:pt idx="4">
                  <c:v>27.291292368157958</c:v>
                </c:pt>
                <c:pt idx="5">
                  <c:v>32.966998858761485</c:v>
                </c:pt>
                <c:pt idx="6">
                  <c:v>38.406287839520672</c:v>
                </c:pt>
                <c:pt idx="7">
                  <c:v>43.661091878315652</c:v>
                </c:pt>
                <c:pt idx="8">
                  <c:v>48.979512403185019</c:v>
                </c:pt>
                <c:pt idx="9">
                  <c:v>54.321033603133472</c:v>
                </c:pt>
                <c:pt idx="10">
                  <c:v>59.667970274946128</c:v>
                </c:pt>
                <c:pt idx="11">
                  <c:v>65.00870247889776</c:v>
                </c:pt>
                <c:pt idx="12">
                  <c:v>70.333402694826702</c:v>
                </c:pt>
                <c:pt idx="13">
                  <c:v>75.63274874641769</c:v>
                </c:pt>
                <c:pt idx="14">
                  <c:v>80.897552070833285</c:v>
                </c:pt>
                <c:pt idx="15">
                  <c:v>86.118715835079215</c:v>
                </c:pt>
                <c:pt idx="16">
                  <c:v>91.287318203628288</c:v>
                </c:pt>
                <c:pt idx="17">
                  <c:v>96.394735126818517</c:v>
                </c:pt>
                <c:pt idx="18">
                  <c:v>100.67595929333635</c:v>
                </c:pt>
                <c:pt idx="19">
                  <c:v>104.84225067392836</c:v>
                </c:pt>
                <c:pt idx="20">
                  <c:v>109.10473527224471</c:v>
                </c:pt>
                <c:pt idx="21">
                  <c:v>113.34803121777077</c:v>
                </c:pt>
                <c:pt idx="22">
                  <c:v>117.06750748071042</c:v>
                </c:pt>
                <c:pt idx="23">
                  <c:v>120.69325035024747</c:v>
                </c:pt>
                <c:pt idx="24">
                  <c:v>124.3979750354315</c:v>
                </c:pt>
                <c:pt idx="25">
                  <c:v>128.09325096459696</c:v>
                </c:pt>
                <c:pt idx="26">
                  <c:v>134.30749235754121</c:v>
                </c:pt>
                <c:pt idx="27">
                  <c:v>140.45472780472389</c:v>
                </c:pt>
                <c:pt idx="28">
                  <c:v>146.51248584393272</c:v>
                </c:pt>
                <c:pt idx="29">
                  <c:v>151.53529440299883</c:v>
                </c:pt>
                <c:pt idx="30">
                  <c:v>152.73928622721203</c:v>
                </c:pt>
                <c:pt idx="31">
                  <c:v>153.72854404936049</c:v>
                </c:pt>
                <c:pt idx="32">
                  <c:v>154.35292404081676</c:v>
                </c:pt>
                <c:pt idx="33">
                  <c:v>154.32588005142611</c:v>
                </c:pt>
                <c:pt idx="34">
                  <c:v>153.66809684768776</c:v>
                </c:pt>
                <c:pt idx="35">
                  <c:v>152.61321792973908</c:v>
                </c:pt>
                <c:pt idx="36">
                  <c:v>151.05159318429003</c:v>
                </c:pt>
                <c:pt idx="37">
                  <c:v>149.5423082508548</c:v>
                </c:pt>
                <c:pt idx="38">
                  <c:v>147.63395102348957</c:v>
                </c:pt>
                <c:pt idx="39">
                  <c:v>145.18357698852981</c:v>
                </c:pt>
                <c:pt idx="40">
                  <c:v>145.09356876637284</c:v>
                </c:pt>
                <c:pt idx="41">
                  <c:v>144.90900345599704</c:v>
                </c:pt>
                <c:pt idx="42">
                  <c:v>144.61462241436936</c:v>
                </c:pt>
                <c:pt idx="43">
                  <c:v>144.18110822228979</c:v>
                </c:pt>
                <c:pt idx="44">
                  <c:v>143.46561916382731</c:v>
                </c:pt>
                <c:pt idx="45">
                  <c:v>142.59525594113558</c:v>
                </c:pt>
                <c:pt idx="46">
                  <c:v>141.55476960606276</c:v>
                </c:pt>
                <c:pt idx="47">
                  <c:v>140.245668868216</c:v>
                </c:pt>
                <c:pt idx="48">
                  <c:v>138.6598550845259</c:v>
                </c:pt>
                <c:pt idx="49">
                  <c:v>136.85911678661347</c:v>
                </c:pt>
                <c:pt idx="50">
                  <c:v>134.82952215563307</c:v>
                </c:pt>
                <c:pt idx="51">
                  <c:v>132.55773429943645</c:v>
                </c:pt>
                <c:pt idx="52">
                  <c:v>130.03103344735689</c:v>
                </c:pt>
                <c:pt idx="53">
                  <c:v>127.23734535359095</c:v>
                </c:pt>
                <c:pt idx="54">
                  <c:v>124.14520761310789</c:v>
                </c:pt>
                <c:pt idx="55">
                  <c:v>120.76722807783712</c:v>
                </c:pt>
                <c:pt idx="56">
                  <c:v>117.08779206472909</c:v>
                </c:pt>
                <c:pt idx="57">
                  <c:v>113.09548897007235</c:v>
                </c:pt>
                <c:pt idx="58">
                  <c:v>108.77148185698937</c:v>
                </c:pt>
                <c:pt idx="59">
                  <c:v>104.12160125549133</c:v>
                </c:pt>
                <c:pt idx="60">
                  <c:v>99.142710909212951</c:v>
                </c:pt>
                <c:pt idx="61">
                  <c:v>93.835422726503992</c:v>
                </c:pt>
                <c:pt idx="62">
                  <c:v>88.206844238442812</c:v>
                </c:pt>
                <c:pt idx="63">
                  <c:v>82.27707432477942</c:v>
                </c:pt>
                <c:pt idx="64">
                  <c:v>76.101926363131454</c:v>
                </c:pt>
                <c:pt idx="65">
                  <c:v>70.040226901417029</c:v>
                </c:pt>
                <c:pt idx="66">
                  <c:v>63.772090377327693</c:v>
                </c:pt>
                <c:pt idx="67">
                  <c:v>57.475513499667514</c:v>
                </c:pt>
                <c:pt idx="68">
                  <c:v>50.907266477609923</c:v>
                </c:pt>
                <c:pt idx="69">
                  <c:v>44.294933987475865</c:v>
                </c:pt>
                <c:pt idx="70">
                  <c:v>37.503210557851403</c:v>
                </c:pt>
                <c:pt idx="71">
                  <c:v>30.402772764768336</c:v>
                </c:pt>
                <c:pt idx="72">
                  <c:v>23.189817674726303</c:v>
                </c:pt>
                <c:pt idx="73">
                  <c:v>15.853316535785076</c:v>
                </c:pt>
                <c:pt idx="74">
                  <c:v>8.4213809122327348</c:v>
                </c:pt>
                <c:pt idx="75">
                  <c:v>7.0883482253232735E-3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17.53801252297772</c:v>
                </c:pt>
                <c:pt idx="27">
                  <c:v>35.07602504595544</c:v>
                </c:pt>
                <c:pt idx="28">
                  <c:v>52.614037568933156</c:v>
                </c:pt>
                <c:pt idx="29">
                  <c:v>70.15205009191088</c:v>
                </c:pt>
                <c:pt idx="30">
                  <c:v>87.690062614888603</c:v>
                </c:pt>
                <c:pt idx="31">
                  <c:v>105.22807513786633</c:v>
                </c:pt>
                <c:pt idx="32">
                  <c:v>122.76608766084405</c:v>
                </c:pt>
                <c:pt idx="33">
                  <c:v>140.30410018382176</c:v>
                </c:pt>
                <c:pt idx="34">
                  <c:v>157.84211270679947</c:v>
                </c:pt>
                <c:pt idx="35">
                  <c:v>175.38012522977718</c:v>
                </c:pt>
                <c:pt idx="36">
                  <c:v>192.91813775275489</c:v>
                </c:pt>
                <c:pt idx="37">
                  <c:v>210.4561502757326</c:v>
                </c:pt>
                <c:pt idx="38">
                  <c:v>227.99416279871031</c:v>
                </c:pt>
                <c:pt idx="39">
                  <c:v>245.53217532168802</c:v>
                </c:pt>
                <c:pt idx="40">
                  <c:v>263.07018784466572</c:v>
                </c:pt>
                <c:pt idx="41">
                  <c:v>280.60820036764346</c:v>
                </c:pt>
                <c:pt idx="42">
                  <c:v>298.1462128906212</c:v>
                </c:pt>
                <c:pt idx="43">
                  <c:v>315.68422541359894</c:v>
                </c:pt>
                <c:pt idx="44">
                  <c:v>333.22223793657668</c:v>
                </c:pt>
                <c:pt idx="45">
                  <c:v>350.76025045955441</c:v>
                </c:pt>
                <c:pt idx="46">
                  <c:v>368.29826298253215</c:v>
                </c:pt>
                <c:pt idx="47">
                  <c:v>385.83627550550989</c:v>
                </c:pt>
                <c:pt idx="48">
                  <c:v>403.37428802848763</c:v>
                </c:pt>
                <c:pt idx="49">
                  <c:v>420.91230055146536</c:v>
                </c:pt>
                <c:pt idx="50">
                  <c:v>438.4503130744431</c:v>
                </c:pt>
                <c:pt idx="51">
                  <c:v>455.98832559742084</c:v>
                </c:pt>
                <c:pt idx="52">
                  <c:v>473.52633812039858</c:v>
                </c:pt>
                <c:pt idx="53">
                  <c:v>491.06435064337632</c:v>
                </c:pt>
                <c:pt idx="54">
                  <c:v>508.60236316635405</c:v>
                </c:pt>
                <c:pt idx="55">
                  <c:v>526.14037568933179</c:v>
                </c:pt>
                <c:pt idx="56">
                  <c:v>543.67838821230953</c:v>
                </c:pt>
                <c:pt idx="57">
                  <c:v>561.21640073528727</c:v>
                </c:pt>
                <c:pt idx="58">
                  <c:v>578.754413258265</c:v>
                </c:pt>
                <c:pt idx="59">
                  <c:v>596.29242578124274</c:v>
                </c:pt>
                <c:pt idx="60">
                  <c:v>613.83043830422048</c:v>
                </c:pt>
                <c:pt idx="61">
                  <c:v>631.36845082719822</c:v>
                </c:pt>
                <c:pt idx="62">
                  <c:v>648.90646335017595</c:v>
                </c:pt>
                <c:pt idx="63">
                  <c:v>666.44447587315369</c:v>
                </c:pt>
                <c:pt idx="64">
                  <c:v>683.98248839613143</c:v>
                </c:pt>
                <c:pt idx="65">
                  <c:v>701.52050091910917</c:v>
                </c:pt>
                <c:pt idx="66">
                  <c:v>719.05851344208691</c:v>
                </c:pt>
                <c:pt idx="67">
                  <c:v>736.59652596506464</c:v>
                </c:pt>
                <c:pt idx="68">
                  <c:v>754.13453848804238</c:v>
                </c:pt>
                <c:pt idx="69">
                  <c:v>771.67255101102012</c:v>
                </c:pt>
                <c:pt idx="70">
                  <c:v>789.21056353399786</c:v>
                </c:pt>
                <c:pt idx="71">
                  <c:v>806.74857605697559</c:v>
                </c:pt>
                <c:pt idx="72">
                  <c:v>824.28658857995333</c:v>
                </c:pt>
                <c:pt idx="73">
                  <c:v>841.82460110293107</c:v>
                </c:pt>
                <c:pt idx="74">
                  <c:v>859.36261362590881</c:v>
                </c:pt>
                <c:pt idx="75">
                  <c:v>876.90062614888654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8.3297894466389626E-3</c:v>
                </c:pt>
                <c:pt idx="1">
                  <c:v>8.2744313962164711</c:v>
                </c:pt>
                <c:pt idx="2">
                  <c:v>16.099197083609116</c:v>
                </c:pt>
                <c:pt idx="3">
                  <c:v>23.58622203389049</c:v>
                </c:pt>
                <c:pt idx="4">
                  <c:v>30.323658186842174</c:v>
                </c:pt>
                <c:pt idx="5">
                  <c:v>36.629998731957208</c:v>
                </c:pt>
                <c:pt idx="6">
                  <c:v>42.673653155022969</c:v>
                </c:pt>
                <c:pt idx="7">
                  <c:v>48.512324309239609</c:v>
                </c:pt>
                <c:pt idx="8">
                  <c:v>54.421680447983348</c:v>
                </c:pt>
                <c:pt idx="9">
                  <c:v>60.356704003481632</c:v>
                </c:pt>
                <c:pt idx="10">
                  <c:v>66.297744749940136</c:v>
                </c:pt>
                <c:pt idx="11">
                  <c:v>72.23189164321974</c:v>
                </c:pt>
                <c:pt idx="12">
                  <c:v>78.148225216474117</c:v>
                </c:pt>
                <c:pt idx="13">
                  <c:v>84.036387496019671</c:v>
                </c:pt>
                <c:pt idx="14">
                  <c:v>89.886168967592525</c:v>
                </c:pt>
                <c:pt idx="15">
                  <c:v>95.687462038976904</c:v>
                </c:pt>
                <c:pt idx="16">
                  <c:v>101.430353559587</c:v>
                </c:pt>
                <c:pt idx="17">
                  <c:v>107.10526125202057</c:v>
                </c:pt>
                <c:pt idx="18">
                  <c:v>111.86217699259592</c:v>
                </c:pt>
                <c:pt idx="19">
                  <c:v>116.49138963769818</c:v>
                </c:pt>
                <c:pt idx="20">
                  <c:v>121.22748363582745</c:v>
                </c:pt>
                <c:pt idx="21">
                  <c:v>125.94225690863418</c:v>
                </c:pt>
                <c:pt idx="22">
                  <c:v>130.07500831190046</c:v>
                </c:pt>
                <c:pt idx="23">
                  <c:v>134.10361150027495</c:v>
                </c:pt>
                <c:pt idx="24">
                  <c:v>138.21997226159056</c:v>
                </c:pt>
                <c:pt idx="25">
                  <c:v>142.32583440510771</c:v>
                </c:pt>
                <c:pt idx="26">
                  <c:v>149.23054706393464</c:v>
                </c:pt>
                <c:pt idx="27">
                  <c:v>156.06080867191542</c:v>
                </c:pt>
                <c:pt idx="28">
                  <c:v>162.79165093770303</c:v>
                </c:pt>
                <c:pt idx="29">
                  <c:v>169.58835634444853</c:v>
                </c:pt>
                <c:pt idx="30">
                  <c:v>177.2818666536445</c:v>
                </c:pt>
                <c:pt idx="31">
                  <c:v>185.29108140402266</c:v>
                </c:pt>
                <c:pt idx="32">
                  <c:v>193.09756339449282</c:v>
                </c:pt>
                <c:pt idx="33">
                  <c:v>199.21771766387374</c:v>
                </c:pt>
                <c:pt idx="34">
                  <c:v>204.42647673943952</c:v>
                </c:pt>
                <c:pt idx="35">
                  <c:v>209.15787046543716</c:v>
                </c:pt>
                <c:pt idx="36">
                  <c:v>213.89848331269323</c:v>
                </c:pt>
                <c:pt idx="37">
                  <c:v>218.6368932754103</c:v>
                </c:pt>
                <c:pt idx="38">
                  <c:v>222.87857174265579</c:v>
                </c:pt>
                <c:pt idx="39">
                  <c:v>223.35934921312278</c:v>
                </c:pt>
                <c:pt idx="40">
                  <c:v>223.22087502518897</c:v>
                </c:pt>
                <c:pt idx="41">
                  <c:v>222.93692839384161</c:v>
                </c:pt>
                <c:pt idx="42">
                  <c:v>222.48403448364516</c:v>
                </c:pt>
                <c:pt idx="43">
                  <c:v>221.81708957275353</c:v>
                </c:pt>
                <c:pt idx="44">
                  <c:v>220.71633717511892</c:v>
                </c:pt>
                <c:pt idx="45">
                  <c:v>219.37731683251627</c:v>
                </c:pt>
                <c:pt idx="46">
                  <c:v>217.77656862471193</c:v>
                </c:pt>
                <c:pt idx="47">
                  <c:v>215.76256748956308</c:v>
                </c:pt>
                <c:pt idx="48">
                  <c:v>213.32285397619364</c:v>
                </c:pt>
                <c:pt idx="49">
                  <c:v>210.55248736402069</c:v>
                </c:pt>
                <c:pt idx="50">
                  <c:v>207.43003408558934</c:v>
                </c:pt>
                <c:pt idx="51">
                  <c:v>203.93497584528686</c:v>
                </c:pt>
                <c:pt idx="52">
                  <c:v>200.04774376516443</c:v>
                </c:pt>
                <c:pt idx="53">
                  <c:v>195.74976208244763</c:v>
                </c:pt>
                <c:pt idx="54">
                  <c:v>190.99262709708904</c:v>
                </c:pt>
                <c:pt idx="55">
                  <c:v>185.79573550436479</c:v>
                </c:pt>
                <c:pt idx="56">
                  <c:v>180.13506471496783</c:v>
                </c:pt>
                <c:pt idx="57">
                  <c:v>173.99305995395747</c:v>
                </c:pt>
                <c:pt idx="58">
                  <c:v>167.3407413184452</c:v>
                </c:pt>
                <c:pt idx="59">
                  <c:v>160.18707885460205</c:v>
                </c:pt>
                <c:pt idx="60">
                  <c:v>152.52724755263532</c:v>
                </c:pt>
                <c:pt idx="61">
                  <c:v>144.36218881000613</c:v>
                </c:pt>
                <c:pt idx="62">
                  <c:v>135.70283728991203</c:v>
                </c:pt>
                <c:pt idx="63">
                  <c:v>126.58011434581448</c:v>
                </c:pt>
                <c:pt idx="64">
                  <c:v>117.07988671250992</c:v>
                </c:pt>
                <c:pt idx="65">
                  <c:v>107.75419523294927</c:v>
                </c:pt>
                <c:pt idx="66">
                  <c:v>98.110908272811827</c:v>
                </c:pt>
                <c:pt idx="67">
                  <c:v>88.423866922565409</c:v>
                </c:pt>
                <c:pt idx="68">
                  <c:v>78.318871504015263</c:v>
                </c:pt>
                <c:pt idx="69">
                  <c:v>68.1460522884244</c:v>
                </c:pt>
                <c:pt idx="70">
                  <c:v>57.697247012079089</c:v>
                </c:pt>
                <c:pt idx="71">
                  <c:v>46.773496561182057</c:v>
                </c:pt>
                <c:pt idx="72">
                  <c:v>35.676642576502005</c:v>
                </c:pt>
                <c:pt idx="73">
                  <c:v>24.389717747361651</c:v>
                </c:pt>
                <c:pt idx="74">
                  <c:v>12.955970634204206</c:v>
                </c:pt>
                <c:pt idx="75">
                  <c:v>1.0905151115881959E-2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19.486680581086354</c:v>
                </c:pt>
                <c:pt idx="27">
                  <c:v>38.973361162172708</c:v>
                </c:pt>
                <c:pt idx="28">
                  <c:v>58.460041743259062</c:v>
                </c:pt>
                <c:pt idx="29">
                  <c:v>78.509570434735295</c:v>
                </c:pt>
                <c:pt idx="30">
                  <c:v>101.78034984540061</c:v>
                </c:pt>
                <c:pt idx="31">
                  <c:v>126.83281401597398</c:v>
                </c:pt>
                <c:pt idx="32">
                  <c:v>153.58201046139547</c:v>
                </c:pt>
                <c:pt idx="33">
                  <c:v>181.11714385293189</c:v>
                </c:pt>
                <c:pt idx="34">
                  <c:v>209.97921913318766</c:v>
                </c:pt>
                <c:pt idx="35">
                  <c:v>240.36013402135197</c:v>
                </c:pt>
                <c:pt idx="36">
                  <c:v>273.18412337748987</c:v>
                </c:pt>
                <c:pt idx="37">
                  <c:v>307.69539005511535</c:v>
                </c:pt>
                <c:pt idx="38">
                  <c:v>344.19598620749559</c:v>
                </c:pt>
                <c:pt idx="39">
                  <c:v>377.74180818721231</c:v>
                </c:pt>
                <c:pt idx="40">
                  <c:v>404.72336591487033</c:v>
                </c:pt>
                <c:pt idx="41">
                  <c:v>431.7049236425284</c:v>
                </c:pt>
                <c:pt idx="42">
                  <c:v>458.68648137018647</c:v>
                </c:pt>
                <c:pt idx="43">
                  <c:v>485.66803909784448</c:v>
                </c:pt>
                <c:pt idx="44">
                  <c:v>512.64959682550261</c:v>
                </c:pt>
                <c:pt idx="45">
                  <c:v>539.63115455316063</c:v>
                </c:pt>
                <c:pt idx="46">
                  <c:v>566.61271228081864</c:v>
                </c:pt>
                <c:pt idx="47">
                  <c:v>593.59427000847677</c:v>
                </c:pt>
                <c:pt idx="48">
                  <c:v>620.57582773613478</c:v>
                </c:pt>
                <c:pt idx="49">
                  <c:v>647.5573854637928</c:v>
                </c:pt>
                <c:pt idx="50">
                  <c:v>674.53894319145093</c:v>
                </c:pt>
                <c:pt idx="51">
                  <c:v>701.52050091910894</c:v>
                </c:pt>
                <c:pt idx="52">
                  <c:v>728.50205864676707</c:v>
                </c:pt>
                <c:pt idx="53">
                  <c:v>755.48361637442508</c:v>
                </c:pt>
                <c:pt idx="54">
                  <c:v>782.4651741020831</c:v>
                </c:pt>
                <c:pt idx="55">
                  <c:v>809.44673182974122</c:v>
                </c:pt>
                <c:pt idx="56">
                  <c:v>836.42828955739924</c:v>
                </c:pt>
                <c:pt idx="57">
                  <c:v>863.40984728505725</c:v>
                </c:pt>
                <c:pt idx="58">
                  <c:v>890.39140501271538</c:v>
                </c:pt>
                <c:pt idx="59">
                  <c:v>917.3729627403734</c:v>
                </c:pt>
                <c:pt idx="60">
                  <c:v>944.35452046803152</c:v>
                </c:pt>
                <c:pt idx="61">
                  <c:v>971.33607819568954</c:v>
                </c:pt>
                <c:pt idx="62">
                  <c:v>998.31763592334755</c:v>
                </c:pt>
                <c:pt idx="63">
                  <c:v>1025.2991936510057</c:v>
                </c:pt>
                <c:pt idx="64">
                  <c:v>1052.2807513786638</c:v>
                </c:pt>
                <c:pt idx="65">
                  <c:v>1079.2623091063217</c:v>
                </c:pt>
                <c:pt idx="66">
                  <c:v>1106.2438668339798</c:v>
                </c:pt>
                <c:pt idx="67">
                  <c:v>1133.225424561638</c:v>
                </c:pt>
                <c:pt idx="68">
                  <c:v>1160.2069822892959</c:v>
                </c:pt>
                <c:pt idx="69">
                  <c:v>1187.188540016954</c:v>
                </c:pt>
                <c:pt idx="70">
                  <c:v>1214.1700977446121</c:v>
                </c:pt>
                <c:pt idx="71">
                  <c:v>1241.15165547227</c:v>
                </c:pt>
                <c:pt idx="72">
                  <c:v>1268.1332131999282</c:v>
                </c:pt>
                <c:pt idx="73">
                  <c:v>1295.1147709275863</c:v>
                </c:pt>
                <c:pt idx="74">
                  <c:v>1322.0963286552442</c:v>
                </c:pt>
                <c:pt idx="75">
                  <c:v>1349.0778863829023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149.66074281136034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299.99999999937063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70.03737367148274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701.52850091910886</c:v>
                </c:pt>
                <c:pt idx="1">
                  <c:v>701.52850091910886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(PCA)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7.496810501975067E-3</c:v>
                </c:pt>
                <c:pt idx="1">
                  <c:v>7.4469882565948238</c:v>
                </c:pt>
                <c:pt idx="2">
                  <c:v>14.489277375248205</c:v>
                </c:pt>
                <c:pt idx="3">
                  <c:v>21.22759983050144</c:v>
                </c:pt>
                <c:pt idx="4">
                  <c:v>27.291292368157958</c:v>
                </c:pt>
                <c:pt idx="5">
                  <c:v>32.966998858761485</c:v>
                </c:pt>
                <c:pt idx="6">
                  <c:v>38.406287839520672</c:v>
                </c:pt>
                <c:pt idx="7">
                  <c:v>43.661091878315652</c:v>
                </c:pt>
                <c:pt idx="8">
                  <c:v>48.979512403185019</c:v>
                </c:pt>
                <c:pt idx="9">
                  <c:v>54.321033603133472</c:v>
                </c:pt>
                <c:pt idx="10">
                  <c:v>59.667970274946128</c:v>
                </c:pt>
                <c:pt idx="11">
                  <c:v>65.00870247889776</c:v>
                </c:pt>
                <c:pt idx="12">
                  <c:v>70.333402694826702</c:v>
                </c:pt>
                <c:pt idx="13">
                  <c:v>75.63274874641769</c:v>
                </c:pt>
                <c:pt idx="14">
                  <c:v>80.897552070833285</c:v>
                </c:pt>
                <c:pt idx="15">
                  <c:v>86.118715835079215</c:v>
                </c:pt>
                <c:pt idx="16">
                  <c:v>91.287318203628288</c:v>
                </c:pt>
                <c:pt idx="17">
                  <c:v>96.394735126818517</c:v>
                </c:pt>
                <c:pt idx="18">
                  <c:v>100.67595929333635</c:v>
                </c:pt>
                <c:pt idx="19">
                  <c:v>104.84225067392836</c:v>
                </c:pt>
                <c:pt idx="20">
                  <c:v>109.10473527224471</c:v>
                </c:pt>
                <c:pt idx="21">
                  <c:v>113.34803121777077</c:v>
                </c:pt>
                <c:pt idx="22">
                  <c:v>117.06750748071042</c:v>
                </c:pt>
                <c:pt idx="23">
                  <c:v>120.69325035024747</c:v>
                </c:pt>
                <c:pt idx="24">
                  <c:v>124.3979750354315</c:v>
                </c:pt>
                <c:pt idx="25">
                  <c:v>128.09325096459696</c:v>
                </c:pt>
                <c:pt idx="26">
                  <c:v>134.30749235754121</c:v>
                </c:pt>
                <c:pt idx="27">
                  <c:v>140.45472780472389</c:v>
                </c:pt>
                <c:pt idx="28">
                  <c:v>146.51248584393272</c:v>
                </c:pt>
                <c:pt idx="29">
                  <c:v>151.53529440299883</c:v>
                </c:pt>
                <c:pt idx="30">
                  <c:v>152.73928622721203</c:v>
                </c:pt>
                <c:pt idx="31">
                  <c:v>153.72854404936049</c:v>
                </c:pt>
                <c:pt idx="32">
                  <c:v>154.35292404081676</c:v>
                </c:pt>
                <c:pt idx="33">
                  <c:v>154.32588005142611</c:v>
                </c:pt>
                <c:pt idx="34">
                  <c:v>153.66809684768776</c:v>
                </c:pt>
                <c:pt idx="35">
                  <c:v>152.61321792973908</c:v>
                </c:pt>
                <c:pt idx="36">
                  <c:v>151.05159318429003</c:v>
                </c:pt>
                <c:pt idx="37">
                  <c:v>149.5423082508548</c:v>
                </c:pt>
                <c:pt idx="38">
                  <c:v>147.63395102348957</c:v>
                </c:pt>
                <c:pt idx="39">
                  <c:v>145.18357698852981</c:v>
                </c:pt>
                <c:pt idx="40">
                  <c:v>145.09356876637284</c:v>
                </c:pt>
                <c:pt idx="41">
                  <c:v>144.90900345599704</c:v>
                </c:pt>
                <c:pt idx="42">
                  <c:v>144.61462241436936</c:v>
                </c:pt>
                <c:pt idx="43">
                  <c:v>144.18110822228979</c:v>
                </c:pt>
                <c:pt idx="44">
                  <c:v>143.46561916382731</c:v>
                </c:pt>
                <c:pt idx="45">
                  <c:v>142.59525594113558</c:v>
                </c:pt>
                <c:pt idx="46">
                  <c:v>141.55476960606276</c:v>
                </c:pt>
                <c:pt idx="47">
                  <c:v>140.245668868216</c:v>
                </c:pt>
                <c:pt idx="48">
                  <c:v>138.6598550845259</c:v>
                </c:pt>
                <c:pt idx="49">
                  <c:v>136.85911678661347</c:v>
                </c:pt>
                <c:pt idx="50">
                  <c:v>134.82952215563307</c:v>
                </c:pt>
                <c:pt idx="51">
                  <c:v>132.55773429943645</c:v>
                </c:pt>
                <c:pt idx="52">
                  <c:v>130.03103344735689</c:v>
                </c:pt>
                <c:pt idx="53">
                  <c:v>127.23734535359095</c:v>
                </c:pt>
                <c:pt idx="54">
                  <c:v>124.14520761310789</c:v>
                </c:pt>
                <c:pt idx="55">
                  <c:v>120.76722807783712</c:v>
                </c:pt>
                <c:pt idx="56">
                  <c:v>117.08779206472909</c:v>
                </c:pt>
                <c:pt idx="57">
                  <c:v>113.09548897007235</c:v>
                </c:pt>
                <c:pt idx="58">
                  <c:v>108.77148185698937</c:v>
                </c:pt>
                <c:pt idx="59">
                  <c:v>104.12160125549133</c:v>
                </c:pt>
                <c:pt idx="60">
                  <c:v>99.142710909212951</c:v>
                </c:pt>
                <c:pt idx="61">
                  <c:v>93.835422726503992</c:v>
                </c:pt>
                <c:pt idx="62">
                  <c:v>88.206844238442812</c:v>
                </c:pt>
                <c:pt idx="63">
                  <c:v>82.27707432477942</c:v>
                </c:pt>
                <c:pt idx="64">
                  <c:v>76.101926363131454</c:v>
                </c:pt>
                <c:pt idx="65">
                  <c:v>70.040226901417029</c:v>
                </c:pt>
                <c:pt idx="66">
                  <c:v>63.772090377327693</c:v>
                </c:pt>
                <c:pt idx="67">
                  <c:v>57.475513499667514</c:v>
                </c:pt>
                <c:pt idx="68">
                  <c:v>50.907266477609923</c:v>
                </c:pt>
                <c:pt idx="69">
                  <c:v>44.294933987475865</c:v>
                </c:pt>
                <c:pt idx="70">
                  <c:v>37.503210557851403</c:v>
                </c:pt>
                <c:pt idx="71">
                  <c:v>30.402772764768336</c:v>
                </c:pt>
                <c:pt idx="72">
                  <c:v>23.189817674726303</c:v>
                </c:pt>
                <c:pt idx="73">
                  <c:v>15.853316535785076</c:v>
                </c:pt>
                <c:pt idx="74">
                  <c:v>8.4213809122327348</c:v>
                </c:pt>
                <c:pt idx="75">
                  <c:v>7.0883482253232735E-3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17.53801252297772</c:v>
                </c:pt>
                <c:pt idx="27">
                  <c:v>35.07602504595544</c:v>
                </c:pt>
                <c:pt idx="28">
                  <c:v>52.614037568933156</c:v>
                </c:pt>
                <c:pt idx="29">
                  <c:v>70.15205009191088</c:v>
                </c:pt>
                <c:pt idx="30">
                  <c:v>87.690062614888603</c:v>
                </c:pt>
                <c:pt idx="31">
                  <c:v>105.22807513786633</c:v>
                </c:pt>
                <c:pt idx="32">
                  <c:v>122.76608766084405</c:v>
                </c:pt>
                <c:pt idx="33">
                  <c:v>140.30410018382176</c:v>
                </c:pt>
                <c:pt idx="34">
                  <c:v>157.84211270679947</c:v>
                </c:pt>
                <c:pt idx="35">
                  <c:v>175.38012522977718</c:v>
                </c:pt>
                <c:pt idx="36">
                  <c:v>192.91813775275489</c:v>
                </c:pt>
                <c:pt idx="37">
                  <c:v>210.4561502757326</c:v>
                </c:pt>
                <c:pt idx="38">
                  <c:v>227.99416279871031</c:v>
                </c:pt>
                <c:pt idx="39">
                  <c:v>245.53217532168802</c:v>
                </c:pt>
                <c:pt idx="40">
                  <c:v>263.07018784466572</c:v>
                </c:pt>
                <c:pt idx="41">
                  <c:v>280.60820036764346</c:v>
                </c:pt>
                <c:pt idx="42">
                  <c:v>298.1462128906212</c:v>
                </c:pt>
                <c:pt idx="43">
                  <c:v>315.68422541359894</c:v>
                </c:pt>
                <c:pt idx="44">
                  <c:v>333.22223793657668</c:v>
                </c:pt>
                <c:pt idx="45">
                  <c:v>350.76025045955441</c:v>
                </c:pt>
                <c:pt idx="46">
                  <c:v>368.29826298253215</c:v>
                </c:pt>
                <c:pt idx="47">
                  <c:v>385.83627550550989</c:v>
                </c:pt>
                <c:pt idx="48">
                  <c:v>403.37428802848763</c:v>
                </c:pt>
                <c:pt idx="49">
                  <c:v>420.91230055146536</c:v>
                </c:pt>
                <c:pt idx="50">
                  <c:v>438.4503130744431</c:v>
                </c:pt>
                <c:pt idx="51">
                  <c:v>455.98832559742084</c:v>
                </c:pt>
                <c:pt idx="52">
                  <c:v>473.52633812039858</c:v>
                </c:pt>
                <c:pt idx="53">
                  <c:v>491.06435064337632</c:v>
                </c:pt>
                <c:pt idx="54">
                  <c:v>508.60236316635405</c:v>
                </c:pt>
                <c:pt idx="55">
                  <c:v>526.14037568933179</c:v>
                </c:pt>
                <c:pt idx="56">
                  <c:v>543.67838821230953</c:v>
                </c:pt>
                <c:pt idx="57">
                  <c:v>561.21640073528727</c:v>
                </c:pt>
                <c:pt idx="58">
                  <c:v>578.754413258265</c:v>
                </c:pt>
                <c:pt idx="59">
                  <c:v>596.29242578124274</c:v>
                </c:pt>
                <c:pt idx="60">
                  <c:v>613.83043830422048</c:v>
                </c:pt>
                <c:pt idx="61">
                  <c:v>631.36845082719822</c:v>
                </c:pt>
                <c:pt idx="62">
                  <c:v>648.90646335017595</c:v>
                </c:pt>
                <c:pt idx="63">
                  <c:v>666.44447587315369</c:v>
                </c:pt>
                <c:pt idx="64">
                  <c:v>683.98248839613143</c:v>
                </c:pt>
                <c:pt idx="65">
                  <c:v>701.52050091910917</c:v>
                </c:pt>
                <c:pt idx="66">
                  <c:v>719.05851344208691</c:v>
                </c:pt>
                <c:pt idx="67">
                  <c:v>736.59652596506464</c:v>
                </c:pt>
                <c:pt idx="68">
                  <c:v>754.13453848804238</c:v>
                </c:pt>
                <c:pt idx="69">
                  <c:v>771.67255101102012</c:v>
                </c:pt>
                <c:pt idx="70">
                  <c:v>789.21056353399786</c:v>
                </c:pt>
                <c:pt idx="71">
                  <c:v>806.74857605697559</c:v>
                </c:pt>
                <c:pt idx="72">
                  <c:v>824.28658857995333</c:v>
                </c:pt>
                <c:pt idx="73">
                  <c:v>841.82460110293107</c:v>
                </c:pt>
                <c:pt idx="74">
                  <c:v>859.36261362590881</c:v>
                </c:pt>
                <c:pt idx="75">
                  <c:v>876.90062614888654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(PCA)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8.3297894466389626E-3</c:v>
                </c:pt>
                <c:pt idx="1">
                  <c:v>8.2744313962164711</c:v>
                </c:pt>
                <c:pt idx="2">
                  <c:v>16.099197083609116</c:v>
                </c:pt>
                <c:pt idx="3">
                  <c:v>23.58622203389049</c:v>
                </c:pt>
                <c:pt idx="4">
                  <c:v>30.323658186842174</c:v>
                </c:pt>
                <c:pt idx="5">
                  <c:v>36.629998731957208</c:v>
                </c:pt>
                <c:pt idx="6">
                  <c:v>42.673653155022969</c:v>
                </c:pt>
                <c:pt idx="7">
                  <c:v>48.512324309239609</c:v>
                </c:pt>
                <c:pt idx="8">
                  <c:v>54.421680447983348</c:v>
                </c:pt>
                <c:pt idx="9">
                  <c:v>60.356704003481632</c:v>
                </c:pt>
                <c:pt idx="10">
                  <c:v>66.297744749940136</c:v>
                </c:pt>
                <c:pt idx="11">
                  <c:v>72.23189164321974</c:v>
                </c:pt>
                <c:pt idx="12">
                  <c:v>78.148225216474117</c:v>
                </c:pt>
                <c:pt idx="13">
                  <c:v>84.036387496019671</c:v>
                </c:pt>
                <c:pt idx="14">
                  <c:v>89.886168967592525</c:v>
                </c:pt>
                <c:pt idx="15">
                  <c:v>95.687462038976904</c:v>
                </c:pt>
                <c:pt idx="16">
                  <c:v>101.430353559587</c:v>
                </c:pt>
                <c:pt idx="17">
                  <c:v>107.10526125202057</c:v>
                </c:pt>
                <c:pt idx="18">
                  <c:v>111.86217699259592</c:v>
                </c:pt>
                <c:pt idx="19">
                  <c:v>116.49138963769818</c:v>
                </c:pt>
                <c:pt idx="20">
                  <c:v>121.22748363582745</c:v>
                </c:pt>
                <c:pt idx="21">
                  <c:v>125.94225690863418</c:v>
                </c:pt>
                <c:pt idx="22">
                  <c:v>130.07500831190046</c:v>
                </c:pt>
                <c:pt idx="23">
                  <c:v>134.10361150027495</c:v>
                </c:pt>
                <c:pt idx="24">
                  <c:v>138.21997226159056</c:v>
                </c:pt>
                <c:pt idx="25">
                  <c:v>142.32583440510771</c:v>
                </c:pt>
                <c:pt idx="26">
                  <c:v>149.23054706393464</c:v>
                </c:pt>
                <c:pt idx="27">
                  <c:v>156.06080867191542</c:v>
                </c:pt>
                <c:pt idx="28">
                  <c:v>162.79165093770303</c:v>
                </c:pt>
                <c:pt idx="29">
                  <c:v>169.58835634444853</c:v>
                </c:pt>
                <c:pt idx="30">
                  <c:v>177.2818666536445</c:v>
                </c:pt>
                <c:pt idx="31">
                  <c:v>185.29108140402266</c:v>
                </c:pt>
                <c:pt idx="32">
                  <c:v>193.09756339449282</c:v>
                </c:pt>
                <c:pt idx="33">
                  <c:v>199.21771766387374</c:v>
                </c:pt>
                <c:pt idx="34">
                  <c:v>204.42647673943952</c:v>
                </c:pt>
                <c:pt idx="35">
                  <c:v>209.15787046543716</c:v>
                </c:pt>
                <c:pt idx="36">
                  <c:v>213.89848331269323</c:v>
                </c:pt>
                <c:pt idx="37">
                  <c:v>218.6368932754103</c:v>
                </c:pt>
                <c:pt idx="38">
                  <c:v>222.87857174265579</c:v>
                </c:pt>
                <c:pt idx="39">
                  <c:v>223.35934921312278</c:v>
                </c:pt>
                <c:pt idx="40">
                  <c:v>223.22087502518897</c:v>
                </c:pt>
                <c:pt idx="41">
                  <c:v>222.93692839384161</c:v>
                </c:pt>
                <c:pt idx="42">
                  <c:v>222.48403448364516</c:v>
                </c:pt>
                <c:pt idx="43">
                  <c:v>221.81708957275353</c:v>
                </c:pt>
                <c:pt idx="44">
                  <c:v>220.71633717511892</c:v>
                </c:pt>
                <c:pt idx="45">
                  <c:v>219.37731683251627</c:v>
                </c:pt>
                <c:pt idx="46">
                  <c:v>217.77656862471193</c:v>
                </c:pt>
                <c:pt idx="47">
                  <c:v>215.76256748956308</c:v>
                </c:pt>
                <c:pt idx="48">
                  <c:v>213.32285397619364</c:v>
                </c:pt>
                <c:pt idx="49">
                  <c:v>210.55248736402069</c:v>
                </c:pt>
                <c:pt idx="50">
                  <c:v>207.43003408558934</c:v>
                </c:pt>
                <c:pt idx="51">
                  <c:v>203.93497584528686</c:v>
                </c:pt>
                <c:pt idx="52">
                  <c:v>200.04774376516443</c:v>
                </c:pt>
                <c:pt idx="53">
                  <c:v>195.74976208244763</c:v>
                </c:pt>
                <c:pt idx="54">
                  <c:v>190.99262709708904</c:v>
                </c:pt>
                <c:pt idx="55">
                  <c:v>185.79573550436479</c:v>
                </c:pt>
                <c:pt idx="56">
                  <c:v>180.13506471496783</c:v>
                </c:pt>
                <c:pt idx="57">
                  <c:v>173.99305995395747</c:v>
                </c:pt>
                <c:pt idx="58">
                  <c:v>167.3407413184452</c:v>
                </c:pt>
                <c:pt idx="59">
                  <c:v>160.18707885460205</c:v>
                </c:pt>
                <c:pt idx="60">
                  <c:v>152.52724755263532</c:v>
                </c:pt>
                <c:pt idx="61">
                  <c:v>144.36218881000613</c:v>
                </c:pt>
                <c:pt idx="62">
                  <c:v>135.70283728991203</c:v>
                </c:pt>
                <c:pt idx="63">
                  <c:v>126.58011434581448</c:v>
                </c:pt>
                <c:pt idx="64">
                  <c:v>117.07988671250992</c:v>
                </c:pt>
                <c:pt idx="65">
                  <c:v>107.75419523294927</c:v>
                </c:pt>
                <c:pt idx="66">
                  <c:v>98.110908272811827</c:v>
                </c:pt>
                <c:pt idx="67">
                  <c:v>88.423866922565409</c:v>
                </c:pt>
                <c:pt idx="68">
                  <c:v>78.318871504015263</c:v>
                </c:pt>
                <c:pt idx="69">
                  <c:v>68.1460522884244</c:v>
                </c:pt>
                <c:pt idx="70">
                  <c:v>57.697247012079089</c:v>
                </c:pt>
                <c:pt idx="71">
                  <c:v>46.773496561182057</c:v>
                </c:pt>
                <c:pt idx="72">
                  <c:v>35.676642576502005</c:v>
                </c:pt>
                <c:pt idx="73">
                  <c:v>24.389717747361651</c:v>
                </c:pt>
                <c:pt idx="74">
                  <c:v>12.955970634204206</c:v>
                </c:pt>
                <c:pt idx="75">
                  <c:v>1.0905151115881959E-2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19.486680581086354</c:v>
                </c:pt>
                <c:pt idx="27">
                  <c:v>38.973361162172708</c:v>
                </c:pt>
                <c:pt idx="28">
                  <c:v>58.460041743259062</c:v>
                </c:pt>
                <c:pt idx="29">
                  <c:v>78.509570434735295</c:v>
                </c:pt>
                <c:pt idx="30">
                  <c:v>101.78034984540061</c:v>
                </c:pt>
                <c:pt idx="31">
                  <c:v>126.83281401597398</c:v>
                </c:pt>
                <c:pt idx="32">
                  <c:v>153.58201046139547</c:v>
                </c:pt>
                <c:pt idx="33">
                  <c:v>181.11714385293189</c:v>
                </c:pt>
                <c:pt idx="34">
                  <c:v>209.97921913318766</c:v>
                </c:pt>
                <c:pt idx="35">
                  <c:v>240.36013402135197</c:v>
                </c:pt>
                <c:pt idx="36">
                  <c:v>273.18412337748987</c:v>
                </c:pt>
                <c:pt idx="37">
                  <c:v>307.69539005511535</c:v>
                </c:pt>
                <c:pt idx="38">
                  <c:v>344.19598620749559</c:v>
                </c:pt>
                <c:pt idx="39">
                  <c:v>377.74180818721231</c:v>
                </c:pt>
                <c:pt idx="40">
                  <c:v>404.72336591487033</c:v>
                </c:pt>
                <c:pt idx="41">
                  <c:v>431.7049236425284</c:v>
                </c:pt>
                <c:pt idx="42">
                  <c:v>458.68648137018647</c:v>
                </c:pt>
                <c:pt idx="43">
                  <c:v>485.66803909784448</c:v>
                </c:pt>
                <c:pt idx="44">
                  <c:v>512.64959682550261</c:v>
                </c:pt>
                <c:pt idx="45">
                  <c:v>539.63115455316063</c:v>
                </c:pt>
                <c:pt idx="46">
                  <c:v>566.61271228081864</c:v>
                </c:pt>
                <c:pt idx="47">
                  <c:v>593.59427000847677</c:v>
                </c:pt>
                <c:pt idx="48">
                  <c:v>620.57582773613478</c:v>
                </c:pt>
                <c:pt idx="49">
                  <c:v>647.5573854637928</c:v>
                </c:pt>
                <c:pt idx="50">
                  <c:v>674.53894319145093</c:v>
                </c:pt>
                <c:pt idx="51">
                  <c:v>701.52050091910894</c:v>
                </c:pt>
                <c:pt idx="52">
                  <c:v>728.50205864676707</c:v>
                </c:pt>
                <c:pt idx="53">
                  <c:v>755.48361637442508</c:v>
                </c:pt>
                <c:pt idx="54">
                  <c:v>782.4651741020831</c:v>
                </c:pt>
                <c:pt idx="55">
                  <c:v>809.44673182974122</c:v>
                </c:pt>
                <c:pt idx="56">
                  <c:v>836.42828955739924</c:v>
                </c:pt>
                <c:pt idx="57">
                  <c:v>863.40984728505725</c:v>
                </c:pt>
                <c:pt idx="58">
                  <c:v>890.39140501271538</c:v>
                </c:pt>
                <c:pt idx="59">
                  <c:v>917.3729627403734</c:v>
                </c:pt>
                <c:pt idx="60">
                  <c:v>944.35452046803152</c:v>
                </c:pt>
                <c:pt idx="61">
                  <c:v>971.33607819568954</c:v>
                </c:pt>
                <c:pt idx="62">
                  <c:v>998.31763592334755</c:v>
                </c:pt>
                <c:pt idx="63">
                  <c:v>1025.2991936510057</c:v>
                </c:pt>
                <c:pt idx="64">
                  <c:v>1052.2807513786638</c:v>
                </c:pt>
                <c:pt idx="65">
                  <c:v>1079.2623091063217</c:v>
                </c:pt>
                <c:pt idx="66">
                  <c:v>1106.2438668339798</c:v>
                </c:pt>
                <c:pt idx="67">
                  <c:v>1133.225424561638</c:v>
                </c:pt>
                <c:pt idx="68">
                  <c:v>1160.2069822892959</c:v>
                </c:pt>
                <c:pt idx="69">
                  <c:v>1187.188540016954</c:v>
                </c:pt>
                <c:pt idx="70">
                  <c:v>1214.1700977446121</c:v>
                </c:pt>
                <c:pt idx="71">
                  <c:v>1241.15165547227</c:v>
                </c:pt>
                <c:pt idx="72">
                  <c:v>1268.1332131999282</c:v>
                </c:pt>
                <c:pt idx="73">
                  <c:v>1295.1147709275863</c:v>
                </c:pt>
                <c:pt idx="74">
                  <c:v>1322.0963286552442</c:v>
                </c:pt>
                <c:pt idx="75">
                  <c:v>1349.0778863829023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5"/>
          <c:order val="2"/>
          <c:tx>
            <c:v>P_M (Whitney)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9.9972843934864383E-3</c:v>
                </c:pt>
                <c:pt idx="1">
                  <c:v>10.087776057818669</c:v>
                </c:pt>
                <c:pt idx="2">
                  <c:v>19.82396912383992</c:v>
                </c:pt>
                <c:pt idx="3">
                  <c:v>29.299488926575378</c:v>
                </c:pt>
                <c:pt idx="4">
                  <c:v>38.292306702961085</c:v>
                </c:pt>
                <c:pt idx="5">
                  <c:v>46.774137948953467</c:v>
                </c:pt>
                <c:pt idx="6">
                  <c:v>55.263510686913705</c:v>
                </c:pt>
                <c:pt idx="7">
                  <c:v>63.74744605684014</c:v>
                </c:pt>
                <c:pt idx="8">
                  <c:v>72.211885358359012</c:v>
                </c:pt>
                <c:pt idx="9">
                  <c:v>80.642547549432194</c:v>
                </c:pt>
                <c:pt idx="10">
                  <c:v>89.025691445679115</c:v>
                </c:pt>
                <c:pt idx="11">
                  <c:v>97.348682791185396</c:v>
                </c:pt>
                <c:pt idx="12">
                  <c:v>105.60033513752919</c:v>
                </c:pt>
                <c:pt idx="13">
                  <c:v>113.77104738878013</c:v>
                </c:pt>
                <c:pt idx="14">
                  <c:v>121.34895404894259</c:v>
                </c:pt>
                <c:pt idx="15">
                  <c:v>128.30849776741906</c:v>
                </c:pt>
                <c:pt idx="16">
                  <c:v>135.27097414571762</c:v>
                </c:pt>
                <c:pt idx="17">
                  <c:v>142.01665129356599</c:v>
                </c:pt>
                <c:pt idx="18">
                  <c:v>148.97336061410675</c:v>
                </c:pt>
                <c:pt idx="19">
                  <c:v>155.92154252507882</c:v>
                </c:pt>
                <c:pt idx="20">
                  <c:v>162.85732489540996</c:v>
                </c:pt>
                <c:pt idx="21">
                  <c:v>169.7767464150038</c:v>
                </c:pt>
                <c:pt idx="22">
                  <c:v>176.67579213530533</c:v>
                </c:pt>
                <c:pt idx="23">
                  <c:v>183.55042828222395</c:v>
                </c:pt>
                <c:pt idx="24">
                  <c:v>190.39663541135366</c:v>
                </c:pt>
                <c:pt idx="25">
                  <c:v>197.21043916355075</c:v>
                </c:pt>
                <c:pt idx="26">
                  <c:v>215.72546927837391</c:v>
                </c:pt>
                <c:pt idx="27">
                  <c:v>233.89067411850669</c:v>
                </c:pt>
                <c:pt idx="28">
                  <c:v>251.63771202752287</c:v>
                </c:pt>
                <c:pt idx="29">
                  <c:v>268.90759770313952</c:v>
                </c:pt>
                <c:pt idx="30">
                  <c:v>285.65085976650619</c:v>
                </c:pt>
                <c:pt idx="31">
                  <c:v>301.82694087979604</c:v>
                </c:pt>
                <c:pt idx="32">
                  <c:v>316.70882775975849</c:v>
                </c:pt>
                <c:pt idx="33">
                  <c:v>328.37622811986739</c:v>
                </c:pt>
                <c:pt idx="34">
                  <c:v>339.83832161641493</c:v>
                </c:pt>
                <c:pt idx="35">
                  <c:v>347.52107776892632</c:v>
                </c:pt>
                <c:pt idx="36">
                  <c:v>348.87921010949754</c:v>
                </c:pt>
                <c:pt idx="37">
                  <c:v>349.66156087853199</c:v>
                </c:pt>
                <c:pt idx="38">
                  <c:v>349.17271314124622</c:v>
                </c:pt>
                <c:pt idx="39">
                  <c:v>347.85485009084221</c:v>
                </c:pt>
                <c:pt idx="40">
                  <c:v>345.53383554941263</c:v>
                </c:pt>
                <c:pt idx="41">
                  <c:v>339.70120135035677</c:v>
                </c:pt>
                <c:pt idx="42">
                  <c:v>333.13122228690975</c:v>
                </c:pt>
                <c:pt idx="43">
                  <c:v>325.75082802357502</c:v>
                </c:pt>
                <c:pt idx="44">
                  <c:v>326.18948516329061</c:v>
                </c:pt>
                <c:pt idx="45">
                  <c:v>326.22190016003515</c:v>
                </c:pt>
                <c:pt idx="46">
                  <c:v>325.81337318002204</c:v>
                </c:pt>
                <c:pt idx="47">
                  <c:v>324.93095303147544</c:v>
                </c:pt>
                <c:pt idx="48">
                  <c:v>323.5433686768352</c:v>
                </c:pt>
                <c:pt idx="49">
                  <c:v>321.36104910016547</c:v>
                </c:pt>
                <c:pt idx="50">
                  <c:v>318.80823915999213</c:v>
                </c:pt>
                <c:pt idx="51">
                  <c:v>315.66247468098408</c:v>
                </c:pt>
                <c:pt idx="52">
                  <c:v>311.89824792577616</c:v>
                </c:pt>
                <c:pt idx="53">
                  <c:v>307.4911049985048</c:v>
                </c:pt>
                <c:pt idx="54">
                  <c:v>302.41749434596721</c:v>
                </c:pt>
                <c:pt idx="55">
                  <c:v>296.49631313506939</c:v>
                </c:pt>
                <c:pt idx="56">
                  <c:v>289.59801040306644</c:v>
                </c:pt>
                <c:pt idx="57">
                  <c:v>281.95415682516318</c:v>
                </c:pt>
                <c:pt idx="58">
                  <c:v>273.54235812950674</c:v>
                </c:pt>
                <c:pt idx="59">
                  <c:v>264.34024277081789</c:v>
                </c:pt>
                <c:pt idx="60">
                  <c:v>254.32522565325155</c:v>
                </c:pt>
                <c:pt idx="61">
                  <c:v>243.47424801520378</c:v>
                </c:pt>
                <c:pt idx="62">
                  <c:v>231.76348382846149</c:v>
                </c:pt>
                <c:pt idx="63">
                  <c:v>219.16799935144132</c:v>
                </c:pt>
                <c:pt idx="64">
                  <c:v>205.66134710588881</c:v>
                </c:pt>
                <c:pt idx="65">
                  <c:v>191.21506736130877</c:v>
                </c:pt>
                <c:pt idx="66">
                  <c:v>175.73316096532744</c:v>
                </c:pt>
                <c:pt idx="67">
                  <c:v>159.19136807066516</c:v>
                </c:pt>
                <c:pt idx="68">
                  <c:v>141.6002200525711</c:v>
                </c:pt>
                <c:pt idx="69">
                  <c:v>122.91364164729207</c:v>
                </c:pt>
                <c:pt idx="70">
                  <c:v>103.07699789459411</c:v>
                </c:pt>
                <c:pt idx="71">
                  <c:v>82.028422561869235</c:v>
                </c:pt>
                <c:pt idx="72">
                  <c:v>59.600483793064086</c:v>
                </c:pt>
                <c:pt idx="73">
                  <c:v>35.79812215918912</c:v>
                </c:pt>
                <c:pt idx="74">
                  <c:v>16.323451257858839</c:v>
                </c:pt>
                <c:pt idx="75">
                  <c:v>7.656249999083424E-3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3"/>
          <c:tx>
            <c:v>P_M_Nominal (Whitney)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1.1108093770540487E-2</c:v>
                </c:pt>
                <c:pt idx="1">
                  <c:v>11.208640064242966</c:v>
                </c:pt>
                <c:pt idx="2">
                  <c:v>22.026632359822134</c:v>
                </c:pt>
                <c:pt idx="3">
                  <c:v>32.554987696194864</c:v>
                </c:pt>
                <c:pt idx="4">
                  <c:v>42.547007447734536</c:v>
                </c:pt>
                <c:pt idx="5">
                  <c:v>51.971264387726073</c:v>
                </c:pt>
                <c:pt idx="6">
                  <c:v>61.403900763237445</c:v>
                </c:pt>
                <c:pt idx="7">
                  <c:v>70.830495618711268</c:v>
                </c:pt>
                <c:pt idx="8">
                  <c:v>80.235428175954453</c:v>
                </c:pt>
                <c:pt idx="9">
                  <c:v>89.602830610480211</c:v>
                </c:pt>
                <c:pt idx="10">
                  <c:v>98.917434939643456</c:v>
                </c:pt>
                <c:pt idx="11">
                  <c:v>108.1652031013171</c:v>
                </c:pt>
                <c:pt idx="12">
                  <c:v>117.33370570836576</c:v>
                </c:pt>
                <c:pt idx="13">
                  <c:v>126.41227487642237</c:v>
                </c:pt>
                <c:pt idx="14">
                  <c:v>134.83217116549176</c:v>
                </c:pt>
                <c:pt idx="15">
                  <c:v>142.56499751935451</c:v>
                </c:pt>
                <c:pt idx="16">
                  <c:v>150.30108238413069</c:v>
                </c:pt>
                <c:pt idx="17">
                  <c:v>157.79627921507333</c:v>
                </c:pt>
                <c:pt idx="18">
                  <c:v>165.52595623789639</c:v>
                </c:pt>
                <c:pt idx="19">
                  <c:v>173.2461583611987</c:v>
                </c:pt>
                <c:pt idx="20">
                  <c:v>180.95258321712217</c:v>
                </c:pt>
                <c:pt idx="21">
                  <c:v>188.64082935000422</c:v>
                </c:pt>
                <c:pt idx="22">
                  <c:v>196.30643570589481</c:v>
                </c:pt>
                <c:pt idx="23">
                  <c:v>203.94492031358214</c:v>
                </c:pt>
                <c:pt idx="24">
                  <c:v>211.55181712372627</c:v>
                </c:pt>
                <c:pt idx="25">
                  <c:v>219.12271018172305</c:v>
                </c:pt>
                <c:pt idx="26">
                  <c:v>239.69496586485988</c:v>
                </c:pt>
                <c:pt idx="27">
                  <c:v>259.87852679834077</c:v>
                </c:pt>
                <c:pt idx="28">
                  <c:v>279.59745780835874</c:v>
                </c:pt>
                <c:pt idx="29">
                  <c:v>298.78621967015499</c:v>
                </c:pt>
                <c:pt idx="30">
                  <c:v>317.38984418500689</c:v>
                </c:pt>
                <c:pt idx="31">
                  <c:v>335.36326764421784</c:v>
                </c:pt>
                <c:pt idx="32">
                  <c:v>351.89869751084274</c:v>
                </c:pt>
                <c:pt idx="33">
                  <c:v>364.86247568874154</c:v>
                </c:pt>
                <c:pt idx="34">
                  <c:v>377.59813512934994</c:v>
                </c:pt>
                <c:pt idx="35">
                  <c:v>391.89638755794772</c:v>
                </c:pt>
                <c:pt idx="36">
                  <c:v>409.6151972454424</c:v>
                </c:pt>
                <c:pt idx="37">
                  <c:v>427.81093346795751</c:v>
                </c:pt>
                <c:pt idx="38">
                  <c:v>445.95864544689238</c:v>
                </c:pt>
                <c:pt idx="39">
                  <c:v>463.87486555215037</c:v>
                </c:pt>
                <c:pt idx="40">
                  <c:v>481.06057752343378</c:v>
                </c:pt>
                <c:pt idx="41">
                  <c:v>489.30209626986158</c:v>
                </c:pt>
                <c:pt idx="42">
                  <c:v>496.46950610154704</c:v>
                </c:pt>
                <c:pt idx="43">
                  <c:v>501.15512003626924</c:v>
                </c:pt>
                <c:pt idx="44">
                  <c:v>501.82997717429322</c:v>
                </c:pt>
                <c:pt idx="45">
                  <c:v>501.87984640005408</c:v>
                </c:pt>
                <c:pt idx="46">
                  <c:v>501.25134335388003</c:v>
                </c:pt>
                <c:pt idx="47">
                  <c:v>499.89377389457758</c:v>
                </c:pt>
                <c:pt idx="48">
                  <c:v>497.75902873359257</c:v>
                </c:pt>
                <c:pt idx="49">
                  <c:v>494.40161400025454</c:v>
                </c:pt>
                <c:pt idx="50">
                  <c:v>490.47421409229554</c:v>
                </c:pt>
                <c:pt idx="51">
                  <c:v>485.63457643228315</c:v>
                </c:pt>
                <c:pt idx="52">
                  <c:v>479.84345834734791</c:v>
                </c:pt>
                <c:pt idx="53">
                  <c:v>473.06323845923811</c:v>
                </c:pt>
                <c:pt idx="54">
                  <c:v>465.25768360918033</c:v>
                </c:pt>
                <c:pt idx="55">
                  <c:v>456.14817405395286</c:v>
                </c:pt>
                <c:pt idx="56">
                  <c:v>445.53540062010222</c:v>
                </c:pt>
                <c:pt idx="57">
                  <c:v>433.77562588486643</c:v>
                </c:pt>
                <c:pt idx="58">
                  <c:v>420.83439712231802</c:v>
                </c:pt>
                <c:pt idx="59">
                  <c:v>406.67729657048903</c:v>
                </c:pt>
                <c:pt idx="60">
                  <c:v>391.26957792807929</c:v>
                </c:pt>
                <c:pt idx="61">
                  <c:v>374.57576617723657</c:v>
                </c:pt>
                <c:pt idx="62">
                  <c:v>356.55920588994076</c:v>
                </c:pt>
                <c:pt idx="63">
                  <c:v>337.18153746375589</c:v>
                </c:pt>
                <c:pt idx="64">
                  <c:v>316.40207247059817</c:v>
                </c:pt>
                <c:pt idx="65">
                  <c:v>294.17702670970579</c:v>
                </c:pt>
                <c:pt idx="66">
                  <c:v>270.35870917742682</c:v>
                </c:pt>
                <c:pt idx="67">
                  <c:v>244.90979703179255</c:v>
                </c:pt>
                <c:pt idx="68">
                  <c:v>217.84649238857091</c:v>
                </c:pt>
                <c:pt idx="69">
                  <c:v>189.09791022660318</c:v>
                </c:pt>
                <c:pt idx="70">
                  <c:v>158.57999676091401</c:v>
                </c:pt>
                <c:pt idx="71">
                  <c:v>126.19757317210652</c:v>
                </c:pt>
                <c:pt idx="72">
                  <c:v>91.693051989329362</c:v>
                </c:pt>
                <c:pt idx="73">
                  <c:v>55.074034091060184</c:v>
                </c:pt>
                <c:pt idx="74">
                  <c:v>25.113001935167443</c:v>
                </c:pt>
                <c:pt idx="75">
                  <c:v>1.1778846152436037E-2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321.08870847853166</c:v>
                </c:pt>
                <c:pt idx="36">
                  <c:v>367.7295915897447</c:v>
                </c:pt>
                <c:pt idx="37">
                  <c:v>418.04223135257286</c:v>
                </c:pt>
                <c:pt idx="38">
                  <c:v>472.75111954712639</c:v>
                </c:pt>
                <c:pt idx="39">
                  <c:v>531.57645626113663</c:v>
                </c:pt>
                <c:pt idx="40">
                  <c:v>594.61432798057581</c:v>
                </c:pt>
                <c:pt idx="41">
                  <c:v>656.19799605524622</c:v>
                </c:pt>
                <c:pt idx="42">
                  <c:v>721.37499653644079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4"/>
          <c:order val="4"/>
          <c:tx>
            <c:v>min_e_line (PCA)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70.03737367148274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701.52850091910886</c:v>
                </c:pt>
                <c:pt idx="1">
                  <c:v>701.52850091910886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7"/>
          <c:order val="5"/>
          <c:tx>
            <c:v>min_e_line (Whitney)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191.21087355477931</c:v>
                </c:pt>
                <c:pt idx="1">
                  <c:v>0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ser>
          <c:idx val="2"/>
          <c:order val="6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7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149.66074281136034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299.99999999937063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FD4D41-D9E6-4342-B858-3A96133753D0}">
  <sheetPr codeName="Chart3"/>
  <sheetViews>
    <sheetView zoomScale="12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28575</xdr:rowOff>
        </xdr:from>
        <xdr:to>
          <xdr:col>6</xdr:col>
          <xdr:colOff>390525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Brent's Method to solve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590550</xdr:colOff>
      <xdr:row>4</xdr:row>
      <xdr:rowOff>25400</xdr:rowOff>
    </xdr:from>
    <xdr:to>
      <xdr:col>31</xdr:col>
      <xdr:colOff>590550</xdr:colOff>
      <xdr:row>32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523875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CX362"/>
  <sheetViews>
    <sheetView tabSelected="1" zoomScale="75" zoomScaleNormal="75" workbookViewId="0">
      <selection activeCell="X3" sqref="X3"/>
    </sheetView>
  </sheetViews>
  <sheetFormatPr defaultColWidth="8.85546875"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3.85546875" customWidth="1"/>
    <col min="13" max="13" width="14.85546875" bestFit="1" customWidth="1"/>
    <col min="14" max="14" width="9" bestFit="1" customWidth="1"/>
    <col min="15" max="15" width="14.7109375" bestFit="1" customWidth="1"/>
    <col min="16" max="17" width="9" bestFit="1" customWidth="1"/>
    <col min="18" max="18" width="10.85546875" bestFit="1" customWidth="1"/>
    <col min="19" max="21" width="9" bestFit="1" customWidth="1"/>
    <col min="22" max="22" width="11.42578125" customWidth="1"/>
    <col min="23" max="24" width="9" bestFit="1" customWidth="1"/>
    <col min="25" max="25" width="13.85546875" bestFit="1" customWidth="1"/>
    <col min="26" max="26" width="11" bestFit="1" customWidth="1"/>
    <col min="27" max="27" width="9" bestFit="1" customWidth="1"/>
    <col min="28" max="28" width="10.85546875" bestFit="1" customWidth="1"/>
    <col min="29" max="30" width="9" bestFit="1" customWidth="1"/>
    <col min="31" max="31" width="10.710937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2" ht="15.75" thickBot="1" x14ac:dyDescent="0.3">
      <c r="A1" s="2" t="s">
        <v>142</v>
      </c>
      <c r="B1" s="5" t="s">
        <v>143</v>
      </c>
      <c r="E1" s="2" t="s">
        <v>70</v>
      </c>
      <c r="F1" s="34">
        <v>1E-10</v>
      </c>
      <c r="L1" s="1">
        <v>0</v>
      </c>
      <c r="Z1" s="2" t="s">
        <v>82</v>
      </c>
      <c r="AA1" s="1">
        <v>20.34</v>
      </c>
      <c r="AB1" t="s">
        <v>83</v>
      </c>
      <c r="AI1">
        <v>300</v>
      </c>
      <c r="AJ1" t="s">
        <v>81</v>
      </c>
      <c r="AK1" s="1" t="s">
        <v>56</v>
      </c>
      <c r="AL1" s="1" t="s">
        <v>57</v>
      </c>
      <c r="AM1" s="1" t="s">
        <v>79</v>
      </c>
      <c r="AN1" s="1" t="s">
        <v>80</v>
      </c>
      <c r="AR1" t="s">
        <v>13</v>
      </c>
      <c r="AS1" t="s">
        <v>14</v>
      </c>
      <c r="AU1">
        <v>17.53801252297772</v>
      </c>
      <c r="AV1" s="1" t="s">
        <v>21</v>
      </c>
      <c r="AW1" s="1" t="s">
        <v>56</v>
      </c>
      <c r="AX1" s="1" t="s">
        <v>57</v>
      </c>
      <c r="AY1" s="1" t="s">
        <v>136</v>
      </c>
      <c r="AZ1" s="1" t="s">
        <v>138</v>
      </c>
      <c r="BA1" s="1" t="s">
        <v>134</v>
      </c>
      <c r="BB1" s="1" t="s">
        <v>135</v>
      </c>
      <c r="BC1" s="1" t="s">
        <v>137</v>
      </c>
      <c r="BF1" s="1" t="s">
        <v>21</v>
      </c>
      <c r="BG1" s="1" t="s">
        <v>56</v>
      </c>
      <c r="BH1" s="1" t="s">
        <v>57</v>
      </c>
      <c r="BI1" s="1" t="s">
        <v>136</v>
      </c>
      <c r="BJ1" s="1" t="s">
        <v>138</v>
      </c>
      <c r="BK1" s="1" t="s">
        <v>134</v>
      </c>
      <c r="BL1" s="1" t="s">
        <v>135</v>
      </c>
      <c r="BM1" s="1" t="s">
        <v>137</v>
      </c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E1" s="1"/>
      <c r="CI1" s="1"/>
    </row>
    <row r="2" spans="1:102" x14ac:dyDescent="0.25">
      <c r="A2" t="s">
        <v>128</v>
      </c>
      <c r="B2" s="5" t="s">
        <v>144</v>
      </c>
      <c r="E2" s="2" t="s">
        <v>71</v>
      </c>
      <c r="F2" s="8">
        <v>75</v>
      </c>
      <c r="G2">
        <v>157</v>
      </c>
      <c r="H2">
        <v>3</v>
      </c>
      <c r="I2" s="16" t="s">
        <v>61</v>
      </c>
      <c r="J2" s="17">
        <f ca="1">IF(ABS(L109)&lt;0.002,IF(B1="Spiral",0.75,0.65),IF(ABS(L109)&gt;0.005,0.9,IF(B1="Spiral",0.75+((ABS(L109)-0.002)*(50)),0.65+((ABS(L109)-0.002)*(250/3)))))</f>
        <v>0.65</v>
      </c>
      <c r="K2" s="18"/>
      <c r="L2" s="19" t="s">
        <v>62</v>
      </c>
      <c r="Z2" t="s">
        <v>78</v>
      </c>
      <c r="AA2" s="5">
        <v>360</v>
      </c>
      <c r="AJ2">
        <v>0</v>
      </c>
      <c r="AK2">
        <v>149.65144615738791</v>
      </c>
      <c r="AL2">
        <v>0.17676757773948709</v>
      </c>
      <c r="AM2">
        <v>230.23299408828908</v>
      </c>
      <c r="AN2">
        <v>0.27195011959921089</v>
      </c>
      <c r="AQ2">
        <v>0</v>
      </c>
      <c r="AR2">
        <f>$B$3*COS(RADIANS(AQ2))</f>
        <v>9</v>
      </c>
      <c r="AS2">
        <f>$B$3*SIN(RADIANS(AQ2))</f>
        <v>0</v>
      </c>
      <c r="AV2">
        <v>-259.19</v>
      </c>
      <c r="AW2">
        <v>6.7053347809045809E-3</v>
      </c>
      <c r="AX2">
        <v>-3.3527083348413966E-3</v>
      </c>
      <c r="AY2">
        <f t="shared" ref="AY2:AY65" si="0">SQRT(POWER(AW2,2)+POWER(AX2,2))</f>
        <v>7.496810501975067E-3</v>
      </c>
      <c r="AZ2">
        <v>-287.98888888888888</v>
      </c>
      <c r="BA2">
        <v>7.4503719787828672E-3</v>
      </c>
      <c r="BB2">
        <v>-3.7252314831571071E-3</v>
      </c>
      <c r="BC2">
        <f t="shared" ref="BC2:BC65" si="1">SQRT(POWER(BA2,2)+POWER(BB2,2))</f>
        <v>8.3297894466389626E-3</v>
      </c>
      <c r="BF2">
        <v>-259.19</v>
      </c>
      <c r="BG2">
        <v>6.3954970297173003E-15</v>
      </c>
      <c r="BH2">
        <v>9.9972843934864383E-3</v>
      </c>
      <c r="BI2">
        <f>SQRT(POWER(BG2,2)+POWER(BH2,2))</f>
        <v>9.9972843934864383E-3</v>
      </c>
      <c r="BJ2">
        <v>-287.98888888888888</v>
      </c>
      <c r="BK2">
        <v>7.1061078107969998E-15</v>
      </c>
      <c r="BL2">
        <v>1.1108093770540487E-2</v>
      </c>
      <c r="BM2">
        <f>SQRT(POWER(BK2,2)+POWER(BL2,2))</f>
        <v>1.1108093770540487E-2</v>
      </c>
    </row>
    <row r="3" spans="1:102" x14ac:dyDescent="0.25">
      <c r="A3" s="2" t="s">
        <v>12</v>
      </c>
      <c r="B3" s="8">
        <v>9</v>
      </c>
      <c r="C3" t="s">
        <v>0</v>
      </c>
      <c r="E3" s="2" t="s">
        <v>86</v>
      </c>
      <c r="F3" s="8">
        <v>0</v>
      </c>
      <c r="I3" s="20" t="s">
        <v>63</v>
      </c>
      <c r="J3" s="7">
        <f ca="1">J2*IF(B2="Whitney",B112,L153)</f>
        <v>299.99999999937063</v>
      </c>
      <c r="K3" s="21" t="s">
        <v>22</v>
      </c>
      <c r="L3" s="22">
        <f ca="1">J3-J9</f>
        <v>-6.2937033362686634E-10</v>
      </c>
      <c r="AJ3">
        <v>1.7453292519943295E-2</v>
      </c>
      <c r="AK3">
        <v>149.6572299248021</v>
      </c>
      <c r="AL3">
        <v>2.7705604958074939</v>
      </c>
      <c r="AM3">
        <v>230.24189219200321</v>
      </c>
      <c r="AN3">
        <v>4.2624007627807599</v>
      </c>
      <c r="AQ3">
        <v>1</v>
      </c>
      <c r="AR3">
        <f t="shared" ref="AR3:AR66" si="2">$B$3*COS(RADIANS(AQ3))</f>
        <v>8.9986292564075221</v>
      </c>
      <c r="AS3">
        <f t="shared" ref="AS3:AS66" si="3">$B$3*SIN(RADIANS(AQ3))</f>
        <v>0.15707165793555161</v>
      </c>
      <c r="AV3">
        <v>-248.82239999999999</v>
      </c>
      <c r="AW3">
        <v>6.6607887877564709</v>
      </c>
      <c r="AX3">
        <v>-3.3303943938757317</v>
      </c>
      <c r="AY3">
        <f t="shared" si="0"/>
        <v>7.4469882565948238</v>
      </c>
      <c r="AZ3">
        <v>-276.46933333333334</v>
      </c>
      <c r="BA3">
        <v>7.4008764308405226</v>
      </c>
      <c r="BB3">
        <v>-3.7004382154174795</v>
      </c>
      <c r="BC3">
        <f t="shared" si="1"/>
        <v>8.2744313962164711</v>
      </c>
      <c r="BF3">
        <v>-248.82239999999999</v>
      </c>
      <c r="BG3">
        <v>7.0128357843759374E-15</v>
      </c>
      <c r="BH3">
        <v>10.087776057818669</v>
      </c>
      <c r="BI3">
        <f t="shared" ref="BI3:BI66" si="4">SQRT(POWER(BG3,2)+POWER(BH3,2))</f>
        <v>10.087776057818669</v>
      </c>
      <c r="BJ3">
        <v>-276.46933333333334</v>
      </c>
      <c r="BK3">
        <v>7.7920397604177077E-15</v>
      </c>
      <c r="BL3">
        <v>11.208640064242966</v>
      </c>
      <c r="BM3">
        <f t="shared" ref="BM3:BM66" si="5">SQRT(POWER(BK3,2)+POWER(BL3,2))</f>
        <v>11.208640064242966</v>
      </c>
    </row>
    <row r="4" spans="1:102" x14ac:dyDescent="0.25">
      <c r="A4" s="2" t="s">
        <v>5</v>
      </c>
      <c r="B4" s="5" t="s">
        <v>145</v>
      </c>
      <c r="I4" s="20" t="s">
        <v>64</v>
      </c>
      <c r="J4" s="7">
        <f ca="1">J2*IF(B2="Whitney",(B116/12),(O153/12))</f>
        <v>149.66074281136034</v>
      </c>
      <c r="K4" s="21" t="s">
        <v>65</v>
      </c>
      <c r="L4" s="23" t="str">
        <f>IF(J10=0,J4,"")</f>
        <v/>
      </c>
      <c r="AF4" s="2" t="s">
        <v>146</v>
      </c>
      <c r="AG4" s="1">
        <v>83.35</v>
      </c>
      <c r="AH4" t="s">
        <v>83</v>
      </c>
      <c r="AJ4">
        <v>3.4906585039886591E-2</v>
      </c>
      <c r="AK4">
        <v>149.62189988093246</v>
      </c>
      <c r="AL4">
        <v>5.3663248131006922</v>
      </c>
      <c r="AM4">
        <v>230.18753827835764</v>
      </c>
      <c r="AN4">
        <v>8.2558843278472178</v>
      </c>
      <c r="AQ4">
        <v>2</v>
      </c>
      <c r="AR4">
        <f t="shared" si="2"/>
        <v>8.994517443171862</v>
      </c>
      <c r="AS4">
        <f t="shared" si="3"/>
        <v>0.31409547032250873</v>
      </c>
      <c r="AV4">
        <v>-238.45479999999998</v>
      </c>
      <c r="AW4">
        <v>12.959603662361886</v>
      </c>
      <c r="AX4">
        <v>-6.4798018311809447</v>
      </c>
      <c r="AY4">
        <f t="shared" si="0"/>
        <v>14.489277375248205</v>
      </c>
      <c r="AZ4">
        <v>-264.94977777777774</v>
      </c>
      <c r="BA4">
        <v>14.399559624846539</v>
      </c>
      <c r="BB4">
        <v>-7.1997798124232713</v>
      </c>
      <c r="BC4">
        <f t="shared" si="1"/>
        <v>16.099197083609116</v>
      </c>
      <c r="BF4">
        <v>-238.45479999999998</v>
      </c>
      <c r="BG4">
        <v>7.6092498789523355E-15</v>
      </c>
      <c r="BH4">
        <v>19.82396912383992</v>
      </c>
      <c r="BI4">
        <f t="shared" si="4"/>
        <v>19.82396912383992</v>
      </c>
      <c r="BJ4">
        <v>-264.94977777777774</v>
      </c>
      <c r="BK4">
        <v>8.4547220877248177E-15</v>
      </c>
      <c r="BL4">
        <v>22.026632359822134</v>
      </c>
      <c r="BM4">
        <f t="shared" si="5"/>
        <v>22.026632359822134</v>
      </c>
    </row>
    <row r="5" spans="1:102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-1.2316074086508404E-14</v>
      </c>
      <c r="K5" s="21" t="s">
        <v>65</v>
      </c>
      <c r="L5" s="23">
        <f ca="1">IF(J11=0,J5,"")</f>
        <v>-1.2316074086508404E-14</v>
      </c>
      <c r="AJ5">
        <v>5.235987755982989E-2</v>
      </c>
      <c r="AK5">
        <v>149.54527636118746</v>
      </c>
      <c r="AL5">
        <v>7.9636812035785312</v>
      </c>
      <c r="AM5">
        <v>230.06965594028838</v>
      </c>
      <c r="AN5">
        <v>12.251817236274663</v>
      </c>
      <c r="AQ5">
        <v>3</v>
      </c>
      <c r="AR5">
        <f t="shared" si="2"/>
        <v>8.9876658127911639</v>
      </c>
      <c r="AS5">
        <f t="shared" si="3"/>
        <v>0.47102360618649453</v>
      </c>
      <c r="AV5">
        <v>-228.08719999999997</v>
      </c>
      <c r="AW5">
        <v>18.986542488065691</v>
      </c>
      <c r="AX5">
        <v>-9.4932712440328526</v>
      </c>
      <c r="AY5">
        <f t="shared" si="0"/>
        <v>21.22759983050144</v>
      </c>
      <c r="AZ5">
        <v>-253.43022222222217</v>
      </c>
      <c r="BA5">
        <v>21.096158320072991</v>
      </c>
      <c r="BB5">
        <v>-10.548079160036503</v>
      </c>
      <c r="BC5">
        <f t="shared" si="1"/>
        <v>23.58622203389049</v>
      </c>
      <c r="BF5">
        <v>-228.08719999999997</v>
      </c>
      <c r="BG5">
        <v>8.1896958012412037E-15</v>
      </c>
      <c r="BH5">
        <v>29.299488926575378</v>
      </c>
      <c r="BI5">
        <f t="shared" si="4"/>
        <v>29.299488926575378</v>
      </c>
      <c r="BJ5">
        <v>-253.43022222222217</v>
      </c>
      <c r="BK5">
        <v>9.0996620013791147E-15</v>
      </c>
      <c r="BL5">
        <v>32.554987696194864</v>
      </c>
      <c r="BM5">
        <f t="shared" si="5"/>
        <v>32.554987696194864</v>
      </c>
    </row>
    <row r="6" spans="1:102" ht="15.75" thickBot="1" x14ac:dyDescent="0.3">
      <c r="A6" s="2" t="s">
        <v>140</v>
      </c>
      <c r="B6" s="8">
        <v>145</v>
      </c>
      <c r="C6" t="s">
        <v>141</v>
      </c>
      <c r="I6" s="24" t="s">
        <v>67</v>
      </c>
      <c r="J6" s="25">
        <f ca="1">IF(AND(J4=0,J5=0),0,MOD(ATAN2(J4,J5),2*PI()))</f>
        <v>0</v>
      </c>
      <c r="K6" s="26" t="s">
        <v>17</v>
      </c>
      <c r="L6" s="27">
        <f ca="1">IF((J12-J6)=0,0,ATAN2(COS(J12-J6),SIN(J12-J6)))</f>
        <v>0</v>
      </c>
      <c r="M6" s="48"/>
      <c r="AJ6">
        <v>6.9813170079773182E-2</v>
      </c>
      <c r="AK6">
        <v>149.42716475438931</v>
      </c>
      <c r="AL6">
        <v>10.562238086477196</v>
      </c>
      <c r="AM6">
        <v>229.88794577598355</v>
      </c>
      <c r="AN6">
        <v>16.249597056118763</v>
      </c>
      <c r="AQ6">
        <v>4</v>
      </c>
      <c r="AR6">
        <f t="shared" si="2"/>
        <v>8.9780764523384171</v>
      </c>
      <c r="AS6">
        <f t="shared" si="3"/>
        <v>0.62780826369712772</v>
      </c>
      <c r="AV6">
        <v>-217.71959999999996</v>
      </c>
      <c r="AW6">
        <v>24.410073970800923</v>
      </c>
      <c r="AX6">
        <v>-12.205036987420561</v>
      </c>
      <c r="AY6">
        <f t="shared" si="0"/>
        <v>27.291292368157958</v>
      </c>
      <c r="AZ6">
        <v>-241.9106666666666</v>
      </c>
      <c r="BA6">
        <v>27.122304412001025</v>
      </c>
      <c r="BB6">
        <v>-13.561152208245067</v>
      </c>
      <c r="BC6">
        <f t="shared" si="1"/>
        <v>30.323658186842174</v>
      </c>
      <c r="BF6">
        <v>-217.71959999999996</v>
      </c>
      <c r="BG6">
        <v>8.7405726414418881E-15</v>
      </c>
      <c r="BH6">
        <v>38.292306702961085</v>
      </c>
      <c r="BI6">
        <f t="shared" si="4"/>
        <v>38.292306702961085</v>
      </c>
      <c r="BJ6">
        <v>-241.9106666666666</v>
      </c>
      <c r="BK6">
        <v>9.7117473793798762E-15</v>
      </c>
      <c r="BL6">
        <v>42.547007447734536</v>
      </c>
      <c r="BM6">
        <f t="shared" si="5"/>
        <v>42.547007447734536</v>
      </c>
    </row>
    <row r="7" spans="1:102" ht="15.75" thickBot="1" x14ac:dyDescent="0.3">
      <c r="A7" s="2" t="s">
        <v>3</v>
      </c>
      <c r="B7" s="4">
        <f>IF(B4="Density",(POWER(B6,1.5)*33*SQRT(1000*B5))/1000,(57000*SQRT(1000*B5))/1000)</f>
        <v>4074.2806880478911</v>
      </c>
      <c r="C7" t="s">
        <v>2</v>
      </c>
      <c r="E7" t="s">
        <v>147</v>
      </c>
      <c r="F7" s="1">
        <v>0.23</v>
      </c>
      <c r="G7" t="s">
        <v>83</v>
      </c>
      <c r="I7" s="20" t="s">
        <v>68</v>
      </c>
      <c r="J7" s="7">
        <f ca="1">SQRT(POWER(J4,2)+POWER(J5,2))</f>
        <v>149.66074281136034</v>
      </c>
      <c r="K7" s="21" t="s">
        <v>65</v>
      </c>
      <c r="L7" s="28"/>
      <c r="AJ7">
        <v>8.7266462599716474E-2</v>
      </c>
      <c r="AK7">
        <v>149.2673736161203</v>
      </c>
      <c r="AL7">
        <v>13.161596180757584</v>
      </c>
      <c r="AM7">
        <v>229.64211325556968</v>
      </c>
      <c r="AN7">
        <v>20.248609508857822</v>
      </c>
      <c r="AQ7">
        <v>5</v>
      </c>
      <c r="AR7">
        <f t="shared" si="2"/>
        <v>8.9657522828257097</v>
      </c>
      <c r="AS7">
        <f t="shared" si="3"/>
        <v>0.78440168472892347</v>
      </c>
      <c r="AV7">
        <v>-207.35199999999995</v>
      </c>
      <c r="AW7">
        <v>29.486580184939584</v>
      </c>
      <c r="AX7">
        <v>-14.743290092469499</v>
      </c>
      <c r="AY7">
        <f t="shared" si="0"/>
        <v>32.966998858761485</v>
      </c>
      <c r="AZ7">
        <v>-230.39111111111106</v>
      </c>
      <c r="BA7">
        <v>32.762866872155094</v>
      </c>
      <c r="BB7">
        <v>-16.38143343607722</v>
      </c>
      <c r="BC7">
        <f t="shared" si="1"/>
        <v>36.629998731957208</v>
      </c>
      <c r="BF7">
        <v>-207.35199999999995</v>
      </c>
      <c r="BG7">
        <v>9.2601477637330523E-15</v>
      </c>
      <c r="BH7">
        <v>46.774137948953467</v>
      </c>
      <c r="BI7">
        <f t="shared" si="4"/>
        <v>46.774137948953467</v>
      </c>
      <c r="BJ7">
        <v>-230.39111111111106</v>
      </c>
      <c r="BK7">
        <v>1.0289053070814502E-14</v>
      </c>
      <c r="BL7">
        <v>51.971264387726073</v>
      </c>
      <c r="BM7">
        <f t="shared" si="5"/>
        <v>51.971264387726073</v>
      </c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</row>
    <row r="8" spans="1:102" x14ac:dyDescent="0.25">
      <c r="A8" s="2" t="s">
        <v>4</v>
      </c>
      <c r="B8" s="1">
        <f>IF(B5&lt;=4,0.85,IF(B5&lt;=8,0.85 - ((0.05*(B5-4))/1),0.65))</f>
        <v>0.79999999999999993</v>
      </c>
      <c r="I8" s="16" t="s">
        <v>69</v>
      </c>
      <c r="J8" s="29"/>
      <c r="K8" s="18"/>
      <c r="AJ8">
        <v>0.10471975511965977</v>
      </c>
      <c r="AK8">
        <v>149.05468229126072</v>
      </c>
      <c r="AL8">
        <v>15.757080170779117</v>
      </c>
      <c r="AM8">
        <v>229.3148958327088</v>
      </c>
      <c r="AN8">
        <v>24.241661801198642</v>
      </c>
      <c r="AQ8">
        <v>6</v>
      </c>
      <c r="AR8">
        <f t="shared" si="2"/>
        <v>8.9506970583144589</v>
      </c>
      <c r="AS8">
        <f t="shared" si="3"/>
        <v>0.94075616940888129</v>
      </c>
      <c r="AV8">
        <v>-196.98439999999994</v>
      </c>
      <c r="AW8">
        <v>34.35162814818905</v>
      </c>
      <c r="AX8">
        <v>-17.175814076213666</v>
      </c>
      <c r="AY8">
        <f t="shared" si="0"/>
        <v>38.406287839520672</v>
      </c>
      <c r="AZ8">
        <v>-218.87155555555549</v>
      </c>
      <c r="BA8">
        <v>38.168475720210054</v>
      </c>
      <c r="BB8">
        <v>-19.084237862459627</v>
      </c>
      <c r="BC8">
        <f t="shared" si="1"/>
        <v>42.673653155022969</v>
      </c>
      <c r="BF8">
        <v>-196.98439999999994</v>
      </c>
      <c r="BG8">
        <v>-1.0603509873732053E-14</v>
      </c>
      <c r="BH8">
        <v>55.263510686913705</v>
      </c>
      <c r="BI8">
        <f t="shared" si="4"/>
        <v>55.263510686913705</v>
      </c>
      <c r="BJ8">
        <v>-218.87155555555549</v>
      </c>
      <c r="BK8">
        <v>-1.1781677637480059E-14</v>
      </c>
      <c r="BL8">
        <v>61.403900763237445</v>
      </c>
      <c r="BM8">
        <f t="shared" si="5"/>
        <v>61.403900763237445</v>
      </c>
    </row>
    <row r="9" spans="1:102" x14ac:dyDescent="0.25">
      <c r="A9" s="2" t="s">
        <v>6</v>
      </c>
      <c r="B9" s="1">
        <f>0.85*B5</f>
        <v>4.25</v>
      </c>
      <c r="C9" t="s">
        <v>2</v>
      </c>
      <c r="D9">
        <v>8</v>
      </c>
      <c r="I9" s="20" t="s">
        <v>21</v>
      </c>
      <c r="J9" s="30">
        <v>300</v>
      </c>
      <c r="K9" s="21" t="s">
        <v>22</v>
      </c>
      <c r="L9" s="28" t="str">
        <f>"+ Compression"</f>
        <v>+ Compression</v>
      </c>
      <c r="AJ9">
        <v>0.12217304763960306</v>
      </c>
      <c r="AK9">
        <v>148.75736042254371</v>
      </c>
      <c r="AL9">
        <v>18.333489975950968</v>
      </c>
      <c r="AM9">
        <v>228.85747757314417</v>
      </c>
      <c r="AN9">
        <v>28.205369193770718</v>
      </c>
      <c r="AQ9">
        <v>7</v>
      </c>
      <c r="AR9">
        <f t="shared" si="2"/>
        <v>8.9329153647718975</v>
      </c>
      <c r="AS9">
        <f t="shared" si="3"/>
        <v>1.0968240906463274</v>
      </c>
      <c r="AV9">
        <v>-186.61679999999993</v>
      </c>
      <c r="AW9">
        <v>39.051667764711688</v>
      </c>
      <c r="AX9">
        <v>-19.525833882354398</v>
      </c>
      <c r="AY9">
        <f t="shared" si="0"/>
        <v>43.661091878315652</v>
      </c>
      <c r="AZ9">
        <v>-207.35199999999992</v>
      </c>
      <c r="BA9">
        <v>43.390741960790763</v>
      </c>
      <c r="BB9">
        <v>-21.695370980393776</v>
      </c>
      <c r="BC9">
        <f t="shared" si="1"/>
        <v>48.512324309239609</v>
      </c>
      <c r="BF9">
        <v>-186.61679999999993</v>
      </c>
      <c r="BG9">
        <v>-1.0083805858231555E-14</v>
      </c>
      <c r="BH9">
        <v>63.74744605684014</v>
      </c>
      <c r="BI9">
        <f t="shared" si="4"/>
        <v>63.74744605684014</v>
      </c>
      <c r="BJ9">
        <v>-207.35199999999992</v>
      </c>
      <c r="BK9">
        <v>-1.1204228731368394E-14</v>
      </c>
      <c r="BL9">
        <v>70.830495618711268</v>
      </c>
      <c r="BM9">
        <f t="shared" si="5"/>
        <v>70.830495618711268</v>
      </c>
    </row>
    <row r="10" spans="1:102" x14ac:dyDescent="0.25">
      <c r="A10" s="2" t="s">
        <v>7</v>
      </c>
      <c r="B10" s="6">
        <v>0</v>
      </c>
      <c r="C10" t="s">
        <v>8</v>
      </c>
      <c r="E10" t="s">
        <v>18</v>
      </c>
      <c r="F10" s="36">
        <f>B3-B11</f>
        <v>-0.80959995862524359</v>
      </c>
      <c r="I10" s="20" t="s">
        <v>56</v>
      </c>
      <c r="J10" s="30">
        <v>10</v>
      </c>
      <c r="K10" s="21" t="s">
        <v>65</v>
      </c>
      <c r="L10" s="28" t="str">
        <f>"+ Puts Top of Section in Compression"</f>
        <v>+ Puts Top of Section in Compression</v>
      </c>
      <c r="AJ10">
        <v>0.13962634015954636</v>
      </c>
      <c r="AK10">
        <v>148.41619695457055</v>
      </c>
      <c r="AL10">
        <v>20.904299332991474</v>
      </c>
      <c r="AM10">
        <v>228.33261069933931</v>
      </c>
      <c r="AN10">
        <v>32.160460512294577</v>
      </c>
      <c r="AQ10">
        <v>8</v>
      </c>
      <c r="AR10">
        <f t="shared" si="2"/>
        <v>8.9124126186741339</v>
      </c>
      <c r="AS10">
        <f t="shared" si="3"/>
        <v>1.2525579086405889</v>
      </c>
      <c r="AV10">
        <v>-176.24919999999992</v>
      </c>
      <c r="AW10">
        <v>43.808607695326543</v>
      </c>
      <c r="AX10">
        <v>-21.9043038476627</v>
      </c>
      <c r="AY10">
        <f t="shared" si="0"/>
        <v>48.979512403185019</v>
      </c>
      <c r="AZ10">
        <v>-195.83244444444435</v>
      </c>
      <c r="BA10">
        <v>48.676230772585043</v>
      </c>
      <c r="BB10">
        <v>-24.338115386291889</v>
      </c>
      <c r="BC10">
        <f t="shared" si="1"/>
        <v>54.421680447983348</v>
      </c>
      <c r="BF10">
        <v>-176.24919999999992</v>
      </c>
      <c r="BG10">
        <v>1.08183986104825E-14</v>
      </c>
      <c r="BH10">
        <v>72.211885358359012</v>
      </c>
      <c r="BI10">
        <f t="shared" si="4"/>
        <v>72.211885358359012</v>
      </c>
      <c r="BJ10">
        <v>-195.83244444444435</v>
      </c>
      <c r="BK10">
        <v>1.2020442900536111E-14</v>
      </c>
      <c r="BL10">
        <v>80.235428175954453</v>
      </c>
      <c r="BM10">
        <f t="shared" si="5"/>
        <v>80.235428175954453</v>
      </c>
    </row>
    <row r="11" spans="1:102" x14ac:dyDescent="0.25">
      <c r="A11" s="2" t="s">
        <v>9</v>
      </c>
      <c r="B11" s="6">
        <v>9.8095999586252436</v>
      </c>
      <c r="C11" t="s">
        <v>0</v>
      </c>
      <c r="E11" t="s">
        <v>76</v>
      </c>
      <c r="F11" s="9">
        <f>B3-B12</f>
        <v>1.152320033099806</v>
      </c>
      <c r="G11" s="1"/>
      <c r="I11" s="20" t="s">
        <v>57</v>
      </c>
      <c r="J11" s="30">
        <v>0</v>
      </c>
      <c r="K11" s="21" t="s">
        <v>65</v>
      </c>
      <c r="L11" s="28" t="str">
        <f>"+ Puts Left of Section in Compression"</f>
        <v>+ Puts Left of Section in Compression</v>
      </c>
      <c r="AJ11">
        <v>0.15707963267948966</v>
      </c>
      <c r="AK11">
        <v>148.03129483046814</v>
      </c>
      <c r="AL11">
        <v>23.468816100485181</v>
      </c>
      <c r="AM11">
        <v>227.74045358533559</v>
      </c>
      <c r="AN11">
        <v>36.105870923823353</v>
      </c>
      <c r="AQ11">
        <v>9</v>
      </c>
      <c r="AR11">
        <f t="shared" si="2"/>
        <v>8.8891950653562404</v>
      </c>
      <c r="AS11">
        <f t="shared" si="3"/>
        <v>1.4079101853620779</v>
      </c>
      <c r="AV11">
        <v>-165.88159999999991</v>
      </c>
      <c r="AW11">
        <v>48.586209497862832</v>
      </c>
      <c r="AX11">
        <v>-24.293104748931103</v>
      </c>
      <c r="AY11">
        <f t="shared" si="0"/>
        <v>54.321033603133472</v>
      </c>
      <c r="AZ11">
        <v>-184.31288888888878</v>
      </c>
      <c r="BA11">
        <v>53.98467721984759</v>
      </c>
      <c r="BB11">
        <v>-26.992338609923447</v>
      </c>
      <c r="BC11">
        <f t="shared" si="1"/>
        <v>60.356704003481632</v>
      </c>
      <c r="BF11">
        <v>-165.88159999999991</v>
      </c>
      <c r="BG11">
        <v>-2.9432550215890753E-14</v>
      </c>
      <c r="BH11">
        <v>80.642547549432194</v>
      </c>
      <c r="BI11">
        <f t="shared" si="4"/>
        <v>80.642547549432194</v>
      </c>
      <c r="BJ11">
        <v>-184.31288888888878</v>
      </c>
      <c r="BK11">
        <v>-3.2702833573211946E-14</v>
      </c>
      <c r="BL11">
        <v>89.602830610480211</v>
      </c>
      <c r="BM11">
        <f t="shared" si="5"/>
        <v>89.602830610480211</v>
      </c>
    </row>
    <row r="12" spans="1:102" ht="15.75" thickBot="1" x14ac:dyDescent="0.3">
      <c r="A12" s="2" t="s">
        <v>10</v>
      </c>
      <c r="B12" s="7">
        <f>B11*B8</f>
        <v>7.847679966900194</v>
      </c>
      <c r="C12" t="s">
        <v>0</v>
      </c>
      <c r="E12" t="s">
        <v>19</v>
      </c>
      <c r="F12" s="9">
        <f>IF(B11&lt;0,0,IF(F11&lt;(-1*B3),0,SQRT(POWER(B3,2)-POWER(F11,2))))</f>
        <v>8.9259262007545672</v>
      </c>
      <c r="G12" s="9">
        <f>F11</f>
        <v>1.152320033099806</v>
      </c>
      <c r="I12" s="24" t="s">
        <v>67</v>
      </c>
      <c r="J12" s="25">
        <f>IF(AND(J10=0,J11=0),0,MOD(ATAN2(J10,J11),2*PI()))</f>
        <v>0</v>
      </c>
      <c r="K12" s="26" t="s">
        <v>17</v>
      </c>
      <c r="AJ12">
        <v>0.17453292519943295</v>
      </c>
      <c r="AK12">
        <v>147.60276436554653</v>
      </c>
      <c r="AL12">
        <v>26.026349784799834</v>
      </c>
      <c r="AM12">
        <v>227.08117594699465</v>
      </c>
      <c r="AN12">
        <v>40.040538130461279</v>
      </c>
      <c r="AQ12">
        <v>10</v>
      </c>
      <c r="AR12">
        <f t="shared" si="2"/>
        <v>8.8632697771098723</v>
      </c>
      <c r="AS12">
        <f t="shared" si="3"/>
        <v>1.562833599002373</v>
      </c>
      <c r="AV12">
        <v>-155.5139999999999</v>
      </c>
      <c r="AW12">
        <v>53.368655043628721</v>
      </c>
      <c r="AX12">
        <v>-26.684327526958917</v>
      </c>
      <c r="AY12">
        <f t="shared" si="0"/>
        <v>59.667970274946128</v>
      </c>
      <c r="AZ12">
        <v>-172.79333333333321</v>
      </c>
      <c r="BA12">
        <v>59.298505604031909</v>
      </c>
      <c r="BB12">
        <v>-29.649252807732129</v>
      </c>
      <c r="BC12">
        <f t="shared" si="1"/>
        <v>66.297744749940136</v>
      </c>
      <c r="BF12">
        <v>-155.5139999999999</v>
      </c>
      <c r="BG12">
        <v>1.1848369037933169E-14</v>
      </c>
      <c r="BH12">
        <v>89.025691445679115</v>
      </c>
      <c r="BI12">
        <f t="shared" si="4"/>
        <v>89.025691445679115</v>
      </c>
      <c r="BJ12">
        <v>-172.79333333333321</v>
      </c>
      <c r="BK12">
        <v>1.3164854486592409E-14</v>
      </c>
      <c r="BL12">
        <v>98.917434939643456</v>
      </c>
      <c r="BM12">
        <f t="shared" si="5"/>
        <v>98.917434939643456</v>
      </c>
    </row>
    <row r="13" spans="1:102" ht="15.75" thickBot="1" x14ac:dyDescent="0.3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-8.9259262007545672</v>
      </c>
      <c r="G13" s="9">
        <f>F11</f>
        <v>1.152320033099806</v>
      </c>
      <c r="I13" s="31" t="s">
        <v>68</v>
      </c>
      <c r="J13" s="32">
        <f>SQRT(POWER(J10,2)+POWER(J11,2))</f>
        <v>10</v>
      </c>
      <c r="K13" s="33" t="s">
        <v>65</v>
      </c>
      <c r="L13">
        <f>DEGREES(J12)</f>
        <v>0</v>
      </c>
      <c r="AJ13">
        <v>0.19198621771937624</v>
      </c>
      <c r="AK13">
        <v>147.13072324394582</v>
      </c>
      <c r="AL13">
        <v>28.576211366393611</v>
      </c>
      <c r="AM13">
        <v>226.35495883683973</v>
      </c>
      <c r="AN13">
        <v>43.963402102144016</v>
      </c>
      <c r="AQ13">
        <v>11</v>
      </c>
      <c r="AR13">
        <f t="shared" si="2"/>
        <v>8.8346446510289756</v>
      </c>
      <c r="AS13">
        <f t="shared" si="3"/>
        <v>1.7172809583889033</v>
      </c>
      <c r="AV13">
        <v>-145.14639999999989</v>
      </c>
      <c r="AW13">
        <v>58.145551148749796</v>
      </c>
      <c r="AX13">
        <v>-29.072775574374909</v>
      </c>
      <c r="AY13">
        <f t="shared" si="0"/>
        <v>65.00870247889776</v>
      </c>
      <c r="AZ13">
        <v>-161.27377777777764</v>
      </c>
      <c r="BA13">
        <v>64.606167943055326</v>
      </c>
      <c r="BB13">
        <v>-32.303083971527677</v>
      </c>
      <c r="BC13">
        <f t="shared" si="1"/>
        <v>72.23189164321974</v>
      </c>
      <c r="BF13">
        <v>-145.14639999999989</v>
      </c>
      <c r="BG13">
        <v>-8.0254806948264619E-15</v>
      </c>
      <c r="BH13">
        <v>97.348682791185396</v>
      </c>
      <c r="BI13">
        <f t="shared" si="4"/>
        <v>97.348682791185396</v>
      </c>
      <c r="BJ13">
        <v>-161.27377777777764</v>
      </c>
      <c r="BK13">
        <v>-8.917200772029402E-15</v>
      </c>
      <c r="BL13">
        <v>108.1652031013171</v>
      </c>
      <c r="BM13">
        <f t="shared" si="5"/>
        <v>108.1652031013171</v>
      </c>
    </row>
    <row r="14" spans="1:102" x14ac:dyDescent="0.25">
      <c r="F14" s="1">
        <f>IF(B11&lt;0,0,IF(F10&lt;(-1*B3),0,SQRT(POWER(B3,2)-POWER(F10,2))))</f>
        <v>8.9635120297232831</v>
      </c>
      <c r="G14" s="36">
        <f>F10</f>
        <v>-0.80959995862524359</v>
      </c>
      <c r="AJ14">
        <v>0.20943951023931953</v>
      </c>
      <c r="AK14">
        <v>146.61529653731037</v>
      </c>
      <c r="AL14">
        <v>31.117713128341023</v>
      </c>
      <c r="AM14">
        <v>225.56199467278518</v>
      </c>
      <c r="AN14">
        <v>47.873404812832341</v>
      </c>
      <c r="AQ14">
        <v>12</v>
      </c>
      <c r="AR14">
        <f t="shared" si="2"/>
        <v>8.8033284066042512</v>
      </c>
      <c r="AS14">
        <f t="shared" si="3"/>
        <v>1.8712052173598341</v>
      </c>
      <c r="AV14">
        <v>-134.77879999999988</v>
      </c>
      <c r="AW14">
        <v>62.908107802986109</v>
      </c>
      <c r="AX14">
        <v>-31.454053908527186</v>
      </c>
      <c r="AY14">
        <f t="shared" si="0"/>
        <v>70.333402694826702</v>
      </c>
      <c r="AZ14">
        <v>-149.75422222222207</v>
      </c>
      <c r="BA14">
        <v>69.897897558873453</v>
      </c>
      <c r="BB14">
        <v>-34.948948787252426</v>
      </c>
      <c r="BC14">
        <f t="shared" si="1"/>
        <v>78.148225216474117</v>
      </c>
      <c r="BF14">
        <v>-134.77879999999988</v>
      </c>
      <c r="BG14">
        <v>1.2863688993419718E-14</v>
      </c>
      <c r="BH14">
        <v>105.60033513752919</v>
      </c>
      <c r="BI14">
        <f t="shared" si="4"/>
        <v>105.60033513752919</v>
      </c>
      <c r="BJ14">
        <v>-149.75422222222207</v>
      </c>
      <c r="BK14">
        <v>1.4292987770466354E-14</v>
      </c>
      <c r="BL14">
        <v>117.33370570836576</v>
      </c>
      <c r="BM14">
        <f t="shared" si="5"/>
        <v>117.33370570836576</v>
      </c>
    </row>
    <row r="15" spans="1:102" x14ac:dyDescent="0.25">
      <c r="F15" s="1">
        <f>IF(B11&lt;0,0,IF(F10&lt;(-1*B3),0,-1*SQRT(POWER(B3,2)-POWER(F10,2))))</f>
        <v>-8.9635120297232831</v>
      </c>
      <c r="G15" s="36">
        <f>F10</f>
        <v>-0.80959995862524359</v>
      </c>
      <c r="J15" s="1" t="s">
        <v>34</v>
      </c>
      <c r="K15" t="s">
        <v>77</v>
      </c>
      <c r="AJ15">
        <v>0.22689280275926282</v>
      </c>
      <c r="AK15">
        <v>146.05661674588856</v>
      </c>
      <c r="AL15">
        <v>33.650168488813037</v>
      </c>
      <c r="AM15">
        <v>224.702487301367</v>
      </c>
      <c r="AN15">
        <v>51.769489982789288</v>
      </c>
      <c r="AQ15">
        <v>13</v>
      </c>
      <c r="AR15">
        <f t="shared" si="2"/>
        <v>8.7693305830671164</v>
      </c>
      <c r="AS15">
        <f t="shared" si="3"/>
        <v>2.0245594890947851</v>
      </c>
      <c r="AV15">
        <v>-124.41119999999988</v>
      </c>
      <c r="AW15">
        <v>67.647987006640577</v>
      </c>
      <c r="AX15">
        <v>-33.823993508870828</v>
      </c>
      <c r="AY15">
        <f t="shared" si="0"/>
        <v>75.63274874641769</v>
      </c>
      <c r="AZ15">
        <v>-138.23466666666653</v>
      </c>
      <c r="BA15">
        <v>75.164430007378414</v>
      </c>
      <c r="BB15">
        <v>-37.582215009856476</v>
      </c>
      <c r="BC15">
        <f t="shared" si="1"/>
        <v>84.036387496019671</v>
      </c>
      <c r="BF15">
        <v>-124.41119999999988</v>
      </c>
      <c r="BG15">
        <v>1.336420576792587E-14</v>
      </c>
      <c r="BH15">
        <v>113.77104738878013</v>
      </c>
      <c r="BI15">
        <f t="shared" si="4"/>
        <v>113.77104738878013</v>
      </c>
      <c r="BJ15">
        <v>-138.23466666666653</v>
      </c>
      <c r="BK15">
        <v>1.4849117519917633E-14</v>
      </c>
      <c r="BL15">
        <v>126.41227487642237</v>
      </c>
      <c r="BM15">
        <f t="shared" si="5"/>
        <v>126.41227487642237</v>
      </c>
    </row>
    <row r="16" spans="1:102" x14ac:dyDescent="0.25">
      <c r="A16" s="2" t="s">
        <v>15</v>
      </c>
      <c r="B16">
        <f>IF(B11&lt;0,0,ATAN2(F12,G12))</f>
        <v>0.12838798197566142</v>
      </c>
      <c r="C16" t="s">
        <v>17</v>
      </c>
      <c r="E16" s="1" t="s">
        <v>46</v>
      </c>
      <c r="F16" s="1" t="s">
        <v>47</v>
      </c>
      <c r="I16" s="1" t="s">
        <v>74</v>
      </c>
      <c r="J16" s="4">
        <f ca="1">((((PI()*B3*B3)-C109)*B9)+(C35*C109))*IF(B1="Spiral",0.85,0.8)*IF(B1="Spiral",0.75,0.65)</f>
        <v>718.92250091910887</v>
      </c>
      <c r="K16" s="1">
        <f ca="1">J16/IF(B1="Spiral",0.75,0.65)</f>
        <v>1106.034616798629</v>
      </c>
      <c r="L16">
        <f ca="1">J16/IF(B1="Spiral",0.85,0.8)</f>
        <v>898.65312614888603</v>
      </c>
      <c r="AJ16">
        <v>0.24434609527920612</v>
      </c>
      <c r="AK16">
        <v>145.45482386108966</v>
      </c>
      <c r="AL16">
        <v>36.172891839005928</v>
      </c>
      <c r="AM16">
        <v>223.7766520939841</v>
      </c>
      <c r="AN16">
        <v>55.650602829239887</v>
      </c>
      <c r="AQ16">
        <v>14</v>
      </c>
      <c r="AR16">
        <f t="shared" si="2"/>
        <v>8.7326615364839686</v>
      </c>
      <c r="AS16">
        <f t="shared" si="3"/>
        <v>2.1772970603970094</v>
      </c>
      <c r="AV16">
        <v>-114.04359999999988</v>
      </c>
      <c r="AW16">
        <v>72.356970257502994</v>
      </c>
      <c r="AX16">
        <v>-36.178485128706107</v>
      </c>
      <c r="AY16">
        <f t="shared" si="0"/>
        <v>80.897552070833285</v>
      </c>
      <c r="AZ16">
        <v>-126.71511111111099</v>
      </c>
      <c r="BA16">
        <v>80.396633619447769</v>
      </c>
      <c r="BB16">
        <v>-40.19831680967345</v>
      </c>
      <c r="BC16">
        <f t="shared" si="1"/>
        <v>89.886168967592525</v>
      </c>
      <c r="BF16">
        <v>-114.04359999999988</v>
      </c>
      <c r="BG16">
        <v>1.0497739725857394E-14</v>
      </c>
      <c r="BH16">
        <v>121.34895404894259</v>
      </c>
      <c r="BI16">
        <f t="shared" si="4"/>
        <v>121.34895404894259</v>
      </c>
      <c r="BJ16">
        <v>-126.71511111111099</v>
      </c>
      <c r="BK16">
        <v>1.1664155250952659E-14</v>
      </c>
      <c r="BL16">
        <v>134.83217116549176</v>
      </c>
      <c r="BM16">
        <f t="shared" si="5"/>
        <v>134.83217116549176</v>
      </c>
    </row>
    <row r="17" spans="1:65" x14ac:dyDescent="0.25">
      <c r="A17" s="2" t="s">
        <v>16</v>
      </c>
      <c r="B17">
        <f>IF(B11&lt;0,0,IF(B16&lt;0,(2*PI())+ATAN2(F13,G13),ATAN2(F13,G13)))</f>
        <v>3.0132046716141319</v>
      </c>
      <c r="C17" t="s">
        <v>17</v>
      </c>
      <c r="E17" s="7" t="e">
        <f>IF(B2="Whitney",F12*COS(-1*$B$10)+G12*SIN(-1*$B$10),NA())</f>
        <v>#N/A</v>
      </c>
      <c r="F17" s="7">
        <f>-1*F12*SIN(-1*$B$10)+G12*COS(-1*$B$10)</f>
        <v>1.152320033099806</v>
      </c>
      <c r="G17" s="7">
        <f>F14*COS(-1*$B$10)+G14*SIN(-1*$B$10)</f>
        <v>8.9635120297232831</v>
      </c>
      <c r="H17" s="7">
        <f>-1*F14*SIN(-1*$B$10)+G14*COS(-1*$B$10)</f>
        <v>-0.80959995862524359</v>
      </c>
      <c r="I17" s="1" t="s">
        <v>75</v>
      </c>
      <c r="J17" s="4">
        <f ca="1">-1*C109*C35*0.9</f>
        <v>-291.59999999999997</v>
      </c>
      <c r="K17" s="1">
        <f ca="1">J17/0.9</f>
        <v>-323.99999999999994</v>
      </c>
      <c r="AJ17">
        <v>0.26179938779914941</v>
      </c>
      <c r="AK17">
        <v>144.76698052329874</v>
      </c>
      <c r="AL17">
        <v>38.684593709209715</v>
      </c>
      <c r="AM17">
        <v>222.71843157430575</v>
      </c>
      <c r="AN17">
        <v>59.514759552630331</v>
      </c>
      <c r="AQ17">
        <v>15</v>
      </c>
      <c r="AR17">
        <f t="shared" si="2"/>
        <v>8.6933324366016151</v>
      </c>
      <c r="AS17">
        <f t="shared" si="3"/>
        <v>2.3293714059226867</v>
      </c>
      <c r="AV17">
        <v>-103.67599999999989</v>
      </c>
      <c r="AW17">
        <v>77.026921093578352</v>
      </c>
      <c r="AX17">
        <v>-38.513460555067986</v>
      </c>
      <c r="AY17">
        <f t="shared" si="0"/>
        <v>86.118715835079215</v>
      </c>
      <c r="AZ17">
        <v>-115.19555555555543</v>
      </c>
      <c r="BA17">
        <v>85.585467881753729</v>
      </c>
      <c r="BB17">
        <v>-42.792733950075537</v>
      </c>
      <c r="BC17">
        <f t="shared" si="1"/>
        <v>95.687462038976904</v>
      </c>
      <c r="BF17">
        <v>-103.67599999999989</v>
      </c>
      <c r="BG17">
        <v>1.0924063437535414E-14</v>
      </c>
      <c r="BH17">
        <v>128.30849776741906</v>
      </c>
      <c r="BI17">
        <f t="shared" si="4"/>
        <v>128.30849776741906</v>
      </c>
      <c r="BJ17">
        <v>-115.19555555555543</v>
      </c>
      <c r="BK17">
        <v>1.2137848263928237E-14</v>
      </c>
      <c r="BL17">
        <v>142.56499751935451</v>
      </c>
      <c r="BM17">
        <f t="shared" si="5"/>
        <v>142.56499751935451</v>
      </c>
    </row>
    <row r="18" spans="1:6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1.152320033099806</v>
      </c>
      <c r="G18" s="7">
        <f>F15*COS(-1*$B$10)+G15*SIN(-1*$B$10)</f>
        <v>-8.9635120297232831</v>
      </c>
      <c r="H18" s="7">
        <f>-1*F15*SIN(-1*$B$10)+G15*COS(-1*$B$10)</f>
        <v>-0.80959995862524359</v>
      </c>
      <c r="AJ18">
        <v>0.27925268031909273</v>
      </c>
      <c r="AK18">
        <v>144.02810224883657</v>
      </c>
      <c r="AL18">
        <v>41.181843117198063</v>
      </c>
      <c r="AM18">
        <v>221.58169576744089</v>
      </c>
      <c r="AN18">
        <v>63.356681718766247</v>
      </c>
      <c r="AQ18">
        <v>16</v>
      </c>
      <c r="AR18">
        <f t="shared" si="2"/>
        <v>8.65135526344487</v>
      </c>
      <c r="AS18">
        <f t="shared" si="3"/>
        <v>2.4807362023529924</v>
      </c>
      <c r="AV18">
        <v>-93.308399999999892</v>
      </c>
      <c r="AW18">
        <v>81.649859591287751</v>
      </c>
      <c r="AX18">
        <v>-40.824929804391367</v>
      </c>
      <c r="AY18">
        <f t="shared" si="0"/>
        <v>91.287318203628288</v>
      </c>
      <c r="AZ18">
        <v>-103.67599999999987</v>
      </c>
      <c r="BA18">
        <v>90.722066212541947</v>
      </c>
      <c r="BB18">
        <v>-45.361033115990409</v>
      </c>
      <c r="BC18">
        <f t="shared" si="1"/>
        <v>101.430353559587</v>
      </c>
      <c r="BF18">
        <v>-93.308399999999892</v>
      </c>
      <c r="BG18">
        <v>3.1734261528513801E-14</v>
      </c>
      <c r="BH18">
        <v>135.27097414571762</v>
      </c>
      <c r="BI18">
        <f t="shared" si="4"/>
        <v>135.27097414571762</v>
      </c>
      <c r="BJ18">
        <v>-103.67599999999987</v>
      </c>
      <c r="BK18">
        <v>3.5260290587237553E-14</v>
      </c>
      <c r="BL18">
        <v>150.30108238413069</v>
      </c>
      <c r="BM18">
        <f t="shared" si="5"/>
        <v>150.30108238413069</v>
      </c>
    </row>
    <row r="19" spans="1:65" x14ac:dyDescent="0.25">
      <c r="A19" t="s">
        <v>139</v>
      </c>
      <c r="C19">
        <f ca="1">IF(B2="Whitney",(-1*B13*MAX(K37:K108))/((C35/F35)-B13),(-1*B13*MAX(K37:K108))/((C35/F35)-B13)+50)</f>
        <v>97.735121626919053</v>
      </c>
      <c r="D19" t="s">
        <v>0</v>
      </c>
      <c r="L19">
        <f>IF(B16=0,(($B$3*$B$3*B16)/2),(($F$11*$F$11)/(2*TAN(B16)))+(($B$3*$B$3*B16)/2))</f>
        <v>10.342475057564251</v>
      </c>
      <c r="M19">
        <f>IF(B16=0,-1*POWER($B$3,3)*COS(B16)*(1/3),(POWER($F$11,3)/(3*TAN(B16)))-(POWER($B$3,3)*COS(B16)*(1/3)))</f>
        <v>-237.04926913153733</v>
      </c>
      <c r="N19">
        <f>IF(B16=0,POWER($B$3,3)*SIN(B16)*(1/3),(POWER($F$11,3)/(6*POWER(SIN(B16),2)))+(POWER($B$3,3)*SIN(B16)*(1/3)))</f>
        <v>46.66896134054214</v>
      </c>
      <c r="AJ19">
        <v>0.29670597283903605</v>
      </c>
      <c r="AK19">
        <v>143.25033205664508</v>
      </c>
      <c r="AL19">
        <v>43.664084393435914</v>
      </c>
      <c r="AM19">
        <v>220.38512624099243</v>
      </c>
      <c r="AN19">
        <v>67.175514451439867</v>
      </c>
      <c r="AQ19">
        <v>17</v>
      </c>
      <c r="AR19">
        <f t="shared" si="2"/>
        <v>8.6067428036673181</v>
      </c>
      <c r="AS19">
        <f t="shared" si="3"/>
        <v>2.6313453425046309</v>
      </c>
      <c r="AV19">
        <v>-82.940799999999896</v>
      </c>
      <c r="AW19">
        <v>86.218072162541972</v>
      </c>
      <c r="AX19">
        <v>-43.109036091569067</v>
      </c>
      <c r="AY19">
        <f t="shared" si="0"/>
        <v>96.394735126818517</v>
      </c>
      <c r="AZ19">
        <v>-92.156444444444332</v>
      </c>
      <c r="BA19">
        <v>95.797857958379964</v>
      </c>
      <c r="BB19">
        <v>-47.898928990632292</v>
      </c>
      <c r="BC19">
        <f t="shared" si="1"/>
        <v>107.10526125202057</v>
      </c>
      <c r="BF19">
        <v>-82.940799999999896</v>
      </c>
      <c r="BG19">
        <v>-1.7146417968093207E-14</v>
      </c>
      <c r="BH19">
        <v>142.01665129356599</v>
      </c>
      <c r="BI19">
        <f t="shared" si="4"/>
        <v>142.01665129356599</v>
      </c>
      <c r="BJ19">
        <v>-92.156444444444332</v>
      </c>
      <c r="BK19">
        <v>-1.9051575520103563E-14</v>
      </c>
      <c r="BL19">
        <v>157.79627921507333</v>
      </c>
      <c r="BM19">
        <f t="shared" si="5"/>
        <v>157.79627921507333</v>
      </c>
    </row>
    <row r="20" spans="1:65" x14ac:dyDescent="0.25">
      <c r="L20">
        <f>IF(B17=0,(($B$3*$B$3*B17)/2),(($F$11*$F$11)/(2*TAN(B17)))+(($B$3*$B$3*B17)/2))</f>
        <v>116.89202741282237</v>
      </c>
      <c r="M20">
        <f>IF(B17=0,-1*POWER($B$3,3)*COS(B17)*(1/3),(POWER($F$11,3)/(3*TAN(B17)))-(POWER($B$3,3)*COS(B17)*(1/3)))</f>
        <v>237.04926913153733</v>
      </c>
      <c r="N20">
        <f>IF(B17=0,POWER($B$3,3)*SIN(B17)*(1/3),(POWER($F$11,3)/(6*POWER(SIN(B17),2)))+(POWER($B$3,3)*SIN(B17)*(1/3)))</f>
        <v>46.668961340542147</v>
      </c>
      <c r="AJ20">
        <v>0.31415926535897937</v>
      </c>
      <c r="AK20">
        <v>142.43398640778898</v>
      </c>
      <c r="AL20">
        <v>46.131007814324356</v>
      </c>
      <c r="AM20">
        <v>219.12920985813687</v>
      </c>
      <c r="AN20">
        <v>70.970781252806702</v>
      </c>
      <c r="AQ20">
        <v>18</v>
      </c>
      <c r="AR20">
        <f t="shared" si="2"/>
        <v>8.559508646656381</v>
      </c>
      <c r="AS20">
        <f t="shared" si="3"/>
        <v>2.7811529493745266</v>
      </c>
      <c r="AV20">
        <v>-72.5731999999999</v>
      </c>
      <c r="AW20">
        <v>90.047315472002452</v>
      </c>
      <c r="AX20">
        <v>-45.02365773589684</v>
      </c>
      <c r="AY20">
        <f t="shared" si="0"/>
        <v>100.67595929333635</v>
      </c>
      <c r="AZ20">
        <v>-80.636888888888777</v>
      </c>
      <c r="BA20">
        <v>100.05257274666938</v>
      </c>
      <c r="BB20">
        <v>-50.02628637321871</v>
      </c>
      <c r="BC20">
        <f t="shared" si="1"/>
        <v>111.86217699259592</v>
      </c>
      <c r="BF20">
        <v>-72.5731999999999</v>
      </c>
      <c r="BG20">
        <v>3.6634268477901113E-15</v>
      </c>
      <c r="BH20">
        <v>148.97336061410675</v>
      </c>
      <c r="BI20">
        <f t="shared" si="4"/>
        <v>148.97336061410675</v>
      </c>
      <c r="BJ20">
        <v>-80.636888888888777</v>
      </c>
      <c r="BK20">
        <v>4.070474275322346E-15</v>
      </c>
      <c r="BL20">
        <v>165.52595623789639</v>
      </c>
      <c r="BM20">
        <f t="shared" si="5"/>
        <v>165.52595623789639</v>
      </c>
    </row>
    <row r="21" spans="1:65" x14ac:dyDescent="0.25">
      <c r="L21">
        <f>L20-L19</f>
        <v>106.54955235525813</v>
      </c>
      <c r="M21">
        <f>M20-M19</f>
        <v>474.09853826307466</v>
      </c>
      <c r="N21">
        <f>N20-N19</f>
        <v>0</v>
      </c>
      <c r="AJ21">
        <v>0.33161255787892269</v>
      </c>
      <c r="AK21">
        <v>141.57938210546502</v>
      </c>
      <c r="AL21">
        <v>48.582311975252146</v>
      </c>
      <c r="AM21">
        <v>217.81443400840772</v>
      </c>
      <c r="AN21">
        <v>74.742018423464842</v>
      </c>
      <c r="AQ21">
        <v>19</v>
      </c>
      <c r="AR21">
        <f t="shared" si="2"/>
        <v>8.5096671803938513</v>
      </c>
      <c r="AS21">
        <f t="shared" si="3"/>
        <v>2.9301133901144105</v>
      </c>
      <c r="AV21">
        <v>-62.205599999999905</v>
      </c>
      <c r="AW21">
        <v>93.773759768390775</v>
      </c>
      <c r="AX21">
        <v>-46.886879884195409</v>
      </c>
      <c r="AY21">
        <f t="shared" si="0"/>
        <v>104.84225067392836</v>
      </c>
      <c r="AZ21">
        <v>-69.117333333333221</v>
      </c>
      <c r="BA21">
        <v>104.19306640932308</v>
      </c>
      <c r="BB21">
        <v>-52.096533204661561</v>
      </c>
      <c r="BC21">
        <f t="shared" si="1"/>
        <v>116.49138963769818</v>
      </c>
      <c r="BF21">
        <v>-62.205599999999905</v>
      </c>
      <c r="BG21">
        <v>1.2615567393543887E-14</v>
      </c>
      <c r="BH21">
        <v>155.92154252507882</v>
      </c>
      <c r="BI21">
        <f t="shared" si="4"/>
        <v>155.92154252507882</v>
      </c>
      <c r="BJ21">
        <v>-69.117333333333221</v>
      </c>
      <c r="BK21">
        <v>1.4017297103937652E-14</v>
      </c>
      <c r="BL21">
        <v>173.2461583611987</v>
      </c>
      <c r="BM21">
        <f t="shared" si="5"/>
        <v>173.2461583611987</v>
      </c>
    </row>
    <row r="22" spans="1:65" x14ac:dyDescent="0.25">
      <c r="A22" s="35" t="s">
        <v>72</v>
      </c>
      <c r="L22">
        <f>L21*B9</f>
        <v>452.83559750984705</v>
      </c>
      <c r="M22">
        <f>M21*B9</f>
        <v>2014.9187876180672</v>
      </c>
      <c r="N22">
        <f>N21*B9</f>
        <v>0</v>
      </c>
      <c r="AJ22">
        <v>0.34906585039886601</v>
      </c>
      <c r="AK22">
        <v>140.68681771631086</v>
      </c>
      <c r="AL22">
        <v>51.01770187524744</v>
      </c>
      <c r="AM22">
        <v>216.44125802509362</v>
      </c>
      <c r="AN22">
        <v>78.488772115765286</v>
      </c>
      <c r="AQ22">
        <v>20</v>
      </c>
      <c r="AR22">
        <f t="shared" si="2"/>
        <v>8.4572335870731763</v>
      </c>
      <c r="AS22">
        <f t="shared" si="3"/>
        <v>3.0781812899310186</v>
      </c>
      <c r="AV22">
        <v>-51.837999999999909</v>
      </c>
      <c r="AW22">
        <v>97.586241894343516</v>
      </c>
      <c r="AX22">
        <v>-48.793120947171175</v>
      </c>
      <c r="AY22">
        <f t="shared" si="0"/>
        <v>109.10473527224471</v>
      </c>
      <c r="AZ22">
        <v>-57.597777777777672</v>
      </c>
      <c r="BA22">
        <v>108.42915766038168</v>
      </c>
      <c r="BB22">
        <v>-54.214578830190192</v>
      </c>
      <c r="BC22">
        <f t="shared" si="1"/>
        <v>121.22748363582745</v>
      </c>
      <c r="BF22">
        <v>-51.837999999999909</v>
      </c>
      <c r="BG22">
        <v>2.4897617449270236E-14</v>
      </c>
      <c r="BH22">
        <v>162.85732489540996</v>
      </c>
      <c r="BI22">
        <f t="shared" si="4"/>
        <v>162.85732489540996</v>
      </c>
      <c r="BJ22">
        <v>-57.597777777777672</v>
      </c>
      <c r="BK22">
        <v>2.7664019388078038E-14</v>
      </c>
      <c r="BL22">
        <v>180.95258321712217</v>
      </c>
      <c r="BM22">
        <f t="shared" si="5"/>
        <v>180.95258321712217</v>
      </c>
    </row>
    <row r="23" spans="1:6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0.36651914291880933</v>
      </c>
      <c r="AK23">
        <v>139.75657276467737</v>
      </c>
      <c r="AL23">
        <v>53.436887096727098</v>
      </c>
      <c r="AM23">
        <v>215.01011194565748</v>
      </c>
      <c r="AN23">
        <v>82.2105955334263</v>
      </c>
      <c r="AQ23">
        <v>21</v>
      </c>
      <c r="AR23">
        <f t="shared" si="2"/>
        <v>8.402223838474816</v>
      </c>
      <c r="AS23">
        <f t="shared" si="3"/>
        <v>3.2253115459077026</v>
      </c>
      <c r="AV23">
        <v>-41.470399999999913</v>
      </c>
      <c r="AW23">
        <v>101.38156116761816</v>
      </c>
      <c r="AX23">
        <v>-50.690780583467379</v>
      </c>
      <c r="AY23">
        <f t="shared" si="0"/>
        <v>113.34803121777077</v>
      </c>
      <c r="AZ23">
        <v>-46.078222222222124</v>
      </c>
      <c r="BA23">
        <v>112.64617907513129</v>
      </c>
      <c r="BB23">
        <v>-56.323089537185979</v>
      </c>
      <c r="BC23">
        <f t="shared" si="1"/>
        <v>125.94225690863418</v>
      </c>
      <c r="BF23">
        <v>-41.470399999999913</v>
      </c>
      <c r="BG23">
        <v>4.9377886463319589E-15</v>
      </c>
      <c r="BH23">
        <v>169.7767464150038</v>
      </c>
      <c r="BI23">
        <f t="shared" si="4"/>
        <v>169.7767464150038</v>
      </c>
      <c r="BJ23">
        <v>-46.078222222222124</v>
      </c>
      <c r="BK23">
        <v>5.4864318292577315E-15</v>
      </c>
      <c r="BL23">
        <v>188.64082935000422</v>
      </c>
      <c r="BM23">
        <f t="shared" si="5"/>
        <v>188.64082935000422</v>
      </c>
    </row>
    <row r="24" spans="1:6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496.54907270402174</v>
      </c>
      <c r="I24" s="1">
        <f>IF(F11&lt;(-1*B3),0,(1/3)*B9*POWER(B3,3)*((COS(B16)-COS(B17))))</f>
        <v>2048.5000630731734</v>
      </c>
      <c r="J24" s="1">
        <f>IF(F11&lt;(-1*B3),0,(1/3)*B9*POWER(B3,3)*((SIN(B17)-SIN(B16))))</f>
        <v>-5.7329141434081521E-14</v>
      </c>
      <c r="L24">
        <f>(((POWER(B3,2)-POWER(F11,2))*TAN(B17))+((POWER(F11,2)-POWER(B3,2))*TAN(B16)))/(2*TAN(B16)*TAN(B17))</f>
        <v>617.1443583095438</v>
      </c>
      <c r="AJ24">
        <v>0.38397243543875265</v>
      </c>
      <c r="AK24">
        <v>138.78890778165413</v>
      </c>
      <c r="AL24">
        <v>55.839580026985004</v>
      </c>
      <c r="AM24">
        <v>213.52139658716018</v>
      </c>
      <c r="AN24">
        <v>85.907046195361545</v>
      </c>
      <c r="AQ24">
        <v>22</v>
      </c>
      <c r="AR24">
        <f t="shared" si="2"/>
        <v>8.3446546911010877</v>
      </c>
      <c r="AS24">
        <f t="shared" si="3"/>
        <v>3.3714593407432081</v>
      </c>
      <c r="AV24">
        <v>-31.102799999999913</v>
      </c>
      <c r="AW24">
        <v>104.70836187040878</v>
      </c>
      <c r="AX24">
        <v>-52.354180942516088</v>
      </c>
      <c r="AY24">
        <f t="shared" si="0"/>
        <v>117.06750748071042</v>
      </c>
      <c r="AZ24">
        <v>-34.558666666666568</v>
      </c>
      <c r="BA24">
        <v>116.34262430045419</v>
      </c>
      <c r="BB24">
        <v>-58.171312158351206</v>
      </c>
      <c r="BC24">
        <f t="shared" si="1"/>
        <v>130.07500831190046</v>
      </c>
      <c r="BF24">
        <v>-31.102799999999913</v>
      </c>
      <c r="BG24">
        <v>-3.1661064225606772E-15</v>
      </c>
      <c r="BH24">
        <v>176.67579213530533</v>
      </c>
      <c r="BI24">
        <f t="shared" si="4"/>
        <v>176.67579213530533</v>
      </c>
      <c r="BJ24">
        <v>-34.558666666666568</v>
      </c>
      <c r="BK24">
        <v>-3.517896025067419E-15</v>
      </c>
      <c r="BL24">
        <v>196.30643570589481</v>
      </c>
      <c r="BM24">
        <f t="shared" si="5"/>
        <v>196.30643570589481</v>
      </c>
    </row>
    <row r="25" spans="1:6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2622.8635228155613</v>
      </c>
      <c r="AJ25">
        <v>0.40142572795869597</v>
      </c>
      <c r="AK25">
        <v>137.78406446884725</v>
      </c>
      <c r="AL25">
        <v>58.22549409281951</v>
      </c>
      <c r="AM25">
        <v>211.97548379822652</v>
      </c>
      <c r="AN25">
        <v>89.577683219722317</v>
      </c>
      <c r="AQ25">
        <v>23</v>
      </c>
      <c r="AR25">
        <f t="shared" si="2"/>
        <v>8.2845436810719626</v>
      </c>
      <c r="AS25">
        <f t="shared" si="3"/>
        <v>3.5165801564034638</v>
      </c>
      <c r="AV25">
        <v>-20.735199999999914</v>
      </c>
      <c r="AW25">
        <v>107.95132487886988</v>
      </c>
      <c r="AX25">
        <v>-53.97566245081385</v>
      </c>
      <c r="AY25">
        <f t="shared" si="0"/>
        <v>120.69325035024747</v>
      </c>
      <c r="AZ25">
        <v>-23.039111111111016</v>
      </c>
      <c r="BA25">
        <v>119.94591653207765</v>
      </c>
      <c r="BB25">
        <v>-59.972958278682057</v>
      </c>
      <c r="BC25">
        <f t="shared" si="1"/>
        <v>134.10361150027495</v>
      </c>
      <c r="BF25">
        <v>-20.735199999999914</v>
      </c>
      <c r="BG25">
        <v>1.7638710802230012E-14</v>
      </c>
      <c r="BH25">
        <v>183.55042828222395</v>
      </c>
      <c r="BI25">
        <f t="shared" si="4"/>
        <v>183.55042828222395</v>
      </c>
      <c r="BJ25">
        <v>-23.039111111111016</v>
      </c>
      <c r="BK25">
        <v>1.9598567558033347E-14</v>
      </c>
      <c r="BL25">
        <v>203.94492031358214</v>
      </c>
      <c r="BM25">
        <f t="shared" si="5"/>
        <v>203.94492031358214</v>
      </c>
    </row>
    <row r="26" spans="1:65" x14ac:dyDescent="0.25">
      <c r="A26" s="1" t="s">
        <v>25</v>
      </c>
      <c r="B26" s="1">
        <v>0</v>
      </c>
      <c r="C26" s="1">
        <v>0</v>
      </c>
      <c r="D26" s="9">
        <f>F12</f>
        <v>8.9259262007545672</v>
      </c>
      <c r="E26" s="9">
        <f>G12</f>
        <v>1.152320033099806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21.856737597087346</v>
      </c>
      <c r="I26" s="7">
        <f>((1/12)*(E26-C26)*(F26*B26*((3*C26)+E26)+F26*D26*(C26+E26)+G26*B26*(C26+E26)+G26*D26*(C26+(3*E26))))</f>
        <v>16.790637727552976</v>
      </c>
      <c r="J26" s="7">
        <f t="shared" ref="J26" si="6">((-1/24)*(E26-C26)*(B26*B26*((3*F26)+G26)+2*B26*D26*(F26+G26)+D26*D26*(F26+(3*G26))))</f>
        <v>-65.030542260286452</v>
      </c>
      <c r="AJ26">
        <v>0.41887902047863929</v>
      </c>
      <c r="AK26">
        <v>136.74226597468044</v>
      </c>
      <c r="AL26">
        <v>60.594342014587951</v>
      </c>
      <c r="AM26">
        <v>210.37271688412375</v>
      </c>
      <c r="AN26">
        <v>93.222064637827614</v>
      </c>
      <c r="AQ26">
        <v>24</v>
      </c>
      <c r="AR26">
        <f t="shared" si="2"/>
        <v>8.2219091187834081</v>
      </c>
      <c r="AS26">
        <f t="shared" si="3"/>
        <v>3.6606297876822018</v>
      </c>
      <c r="AV26">
        <v>-10.367599999999914</v>
      </c>
      <c r="AW26">
        <v>111.26493137293667</v>
      </c>
      <c r="AX26">
        <v>-55.632465696673293</v>
      </c>
      <c r="AY26">
        <f t="shared" si="0"/>
        <v>124.3979750354315</v>
      </c>
      <c r="AZ26">
        <v>-11.51955555555546</v>
      </c>
      <c r="BA26">
        <v>123.62770152548519</v>
      </c>
      <c r="BB26">
        <v>-61.813850774081438</v>
      </c>
      <c r="BC26">
        <f t="shared" si="1"/>
        <v>138.21997226159056</v>
      </c>
      <c r="BF26">
        <v>-10.367599999999914</v>
      </c>
      <c r="BG26">
        <v>-3.4566479560690519E-14</v>
      </c>
      <c r="BH26">
        <v>190.39663541135366</v>
      </c>
      <c r="BI26">
        <f t="shared" si="4"/>
        <v>190.39663541135366</v>
      </c>
      <c r="BJ26">
        <v>-11.51955555555546</v>
      </c>
      <c r="BK26">
        <v>-3.8407199511878352E-14</v>
      </c>
      <c r="BL26">
        <v>211.55181712372627</v>
      </c>
      <c r="BM26">
        <f t="shared" si="5"/>
        <v>211.55181712372627</v>
      </c>
    </row>
    <row r="27" spans="1:65" x14ac:dyDescent="0.25">
      <c r="A27" s="1" t="s">
        <v>27</v>
      </c>
      <c r="B27" s="9">
        <f>D26</f>
        <v>8.9259262007545672</v>
      </c>
      <c r="C27" s="9">
        <f>E26</f>
        <v>1.152320033099806</v>
      </c>
      <c r="D27" s="1">
        <f>F13</f>
        <v>-8.9259262007545672</v>
      </c>
      <c r="E27" s="9">
        <f>G13</f>
        <v>1.152320033099806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7">(1/6)*(E27-C27)*((F27*((2*B27)+D27))+(G27*(B27+(2*D27))))</f>
        <v>0</v>
      </c>
      <c r="I27" s="7">
        <f t="shared" ref="I27:I28" si="8">((1/12)*(E27-C27)*(F27*B27*((3*C27)+E27)+F27*D27*(C27+E27)+G27*B27*(C27+E27)+G27*D27*(C27+(3*E27))))</f>
        <v>0</v>
      </c>
      <c r="J27" s="7">
        <f t="shared" ref="J27:J28" si="9">((-1/24)*(E27-C27)*(B27*B27*((3*F27)+G27)+2*B27*D27*(F27+G27)+D27*D27*(F27+(3*G27))))</f>
        <v>0</v>
      </c>
      <c r="AJ27">
        <v>0.43633231299858261</v>
      </c>
      <c r="AK27">
        <v>135.66371728212061</v>
      </c>
      <c r="AL27">
        <v>62.945834086389254</v>
      </c>
      <c r="AM27">
        <v>208.71341120326247</v>
      </c>
      <c r="AN27">
        <v>96.839744748291153</v>
      </c>
      <c r="AQ27">
        <v>25</v>
      </c>
      <c r="AR27">
        <f t="shared" si="2"/>
        <v>8.1567700833298495</v>
      </c>
      <c r="AS27">
        <f t="shared" si="3"/>
        <v>3.8035643556662948</v>
      </c>
      <c r="AV27">
        <v>0</v>
      </c>
      <c r="AW27">
        <v>114.57008664631176</v>
      </c>
      <c r="AX27">
        <v>-57.28504332315574</v>
      </c>
      <c r="AY27">
        <f t="shared" si="0"/>
        <v>128.09325096459696</v>
      </c>
      <c r="AZ27">
        <v>0</v>
      </c>
      <c r="BA27">
        <v>127.30009627367974</v>
      </c>
      <c r="BB27">
        <v>-63.650048136839708</v>
      </c>
      <c r="BC27">
        <f t="shared" si="1"/>
        <v>142.32583440510771</v>
      </c>
      <c r="BF27">
        <v>0</v>
      </c>
      <c r="BG27">
        <v>2.7002000692615834E-14</v>
      </c>
      <c r="BH27">
        <v>197.21043916355075</v>
      </c>
      <c r="BI27">
        <f t="shared" si="4"/>
        <v>197.21043916355075</v>
      </c>
      <c r="BJ27">
        <v>0</v>
      </c>
      <c r="BK27">
        <v>3.0002222991795369E-14</v>
      </c>
      <c r="BL27">
        <v>219.12271018172305</v>
      </c>
      <c r="BM27">
        <f t="shared" si="5"/>
        <v>219.12271018172305</v>
      </c>
    </row>
    <row r="28" spans="1:65" ht="15.75" thickBot="1" x14ac:dyDescent="0.3">
      <c r="A28" s="1" t="s">
        <v>26</v>
      </c>
      <c r="B28" s="1">
        <f>D27</f>
        <v>-8.9259262007545672</v>
      </c>
      <c r="C28" s="9">
        <f>E27</f>
        <v>1.152320033099806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7"/>
        <v>21.856737597087346</v>
      </c>
      <c r="I28" s="11">
        <f t="shared" si="8"/>
        <v>16.790637727552976</v>
      </c>
      <c r="J28" s="11">
        <f t="shared" si="9"/>
        <v>65.030542260286452</v>
      </c>
      <c r="AJ28">
        <v>0.45378560551852593</v>
      </c>
      <c r="AK28">
        <v>134.54860570585907</v>
      </c>
      <c r="AL28">
        <v>65.279676488804157</v>
      </c>
      <c r="AM28">
        <v>206.99785493209089</v>
      </c>
      <c r="AN28">
        <v>100.43027152123716</v>
      </c>
      <c r="AQ28">
        <v>26</v>
      </c>
      <c r="AR28">
        <f t="shared" si="2"/>
        <v>8.089146416692504</v>
      </c>
      <c r="AS28">
        <f t="shared" si="3"/>
        <v>3.9453403211016966</v>
      </c>
      <c r="AV28">
        <v>17.53801252297772</v>
      </c>
      <c r="AW28">
        <v>120.12827311633079</v>
      </c>
      <c r="AX28">
        <v>-60.064136566334014</v>
      </c>
      <c r="AY28">
        <f t="shared" si="0"/>
        <v>134.30749235754121</v>
      </c>
      <c r="AZ28">
        <v>19.486680581086354</v>
      </c>
      <c r="BA28">
        <v>133.47585901814531</v>
      </c>
      <c r="BB28">
        <v>-66.737929518148903</v>
      </c>
      <c r="BC28">
        <f t="shared" si="1"/>
        <v>149.23054706393464</v>
      </c>
      <c r="BF28">
        <v>28.473111151960392</v>
      </c>
      <c r="BG28">
        <v>2.8136183719503942E-14</v>
      </c>
      <c r="BH28">
        <v>215.72546927837391</v>
      </c>
      <c r="BI28">
        <f t="shared" si="4"/>
        <v>215.72546927837391</v>
      </c>
      <c r="BJ28">
        <v>31.636790168844879</v>
      </c>
      <c r="BK28">
        <v>3.126242635500438E-14</v>
      </c>
      <c r="BL28">
        <v>239.69496586485988</v>
      </c>
      <c r="BM28">
        <f t="shared" si="5"/>
        <v>239.69496586485988</v>
      </c>
    </row>
    <row r="29" spans="1:6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43.713475194174691</v>
      </c>
      <c r="I29" s="7">
        <f t="shared" ref="I29:J29" si="10">SUM(I26:I28)</f>
        <v>33.581275455105953</v>
      </c>
      <c r="J29" s="7">
        <f t="shared" si="10"/>
        <v>0</v>
      </c>
      <c r="AJ29">
        <v>0.47123889803846924</v>
      </c>
      <c r="AK29">
        <v>133.3971014966904</v>
      </c>
      <c r="AL29">
        <v>67.595569640517454</v>
      </c>
      <c r="AM29">
        <v>205.22630999490829</v>
      </c>
      <c r="AN29">
        <v>103.99318406233454</v>
      </c>
      <c r="AQ29">
        <v>27</v>
      </c>
      <c r="AR29">
        <f t="shared" si="2"/>
        <v>8.0190587176953105</v>
      </c>
      <c r="AS29">
        <f t="shared" si="3"/>
        <v>4.0859144976559207</v>
      </c>
      <c r="AV29">
        <v>35.07602504595544</v>
      </c>
      <c r="AW29">
        <v>125.62652765115303</v>
      </c>
      <c r="AX29">
        <v>-62.813263830286338</v>
      </c>
      <c r="AY29">
        <f t="shared" si="0"/>
        <v>140.45472780472389</v>
      </c>
      <c r="AZ29">
        <v>38.973361162172708</v>
      </c>
      <c r="BA29">
        <v>139.58503072350337</v>
      </c>
      <c r="BB29">
        <v>-69.792515366984816</v>
      </c>
      <c r="BC29">
        <f t="shared" si="1"/>
        <v>156.06080867191542</v>
      </c>
      <c r="BF29">
        <v>56.946222303920784</v>
      </c>
      <c r="BG29">
        <v>3.38729790414233E-16</v>
      </c>
      <c r="BH29">
        <v>233.89067411850669</v>
      </c>
      <c r="BI29">
        <f t="shared" si="4"/>
        <v>233.89067411850669</v>
      </c>
      <c r="BJ29">
        <v>63.273580337689758</v>
      </c>
      <c r="BK29">
        <v>3.763664337935922E-16</v>
      </c>
      <c r="BL29">
        <v>259.87852679834077</v>
      </c>
      <c r="BM29">
        <f t="shared" si="5"/>
        <v>259.87852679834077</v>
      </c>
    </row>
    <row r="30" spans="1:65" x14ac:dyDescent="0.25">
      <c r="A30" s="1"/>
      <c r="B30" s="1"/>
      <c r="C30" s="1"/>
      <c r="D30" s="2" t="s">
        <v>148</v>
      </c>
      <c r="E30" s="8">
        <v>90</v>
      </c>
      <c r="F30" s="1" t="s">
        <v>45</v>
      </c>
      <c r="G30" s="1"/>
      <c r="H30" s="7"/>
      <c r="I30" s="1"/>
      <c r="J30" s="1"/>
      <c r="L30">
        <f>((I31*COS(-1*B10))+(J31*SIN(-1*B10)))</f>
        <v>2014.9187876180674</v>
      </c>
      <c r="AJ30">
        <v>0.48869219055841256</v>
      </c>
      <c r="AK30">
        <v>132.20935855048143</v>
      </c>
      <c r="AL30">
        <v>69.893206595000038</v>
      </c>
      <c r="AM30">
        <v>203.39901315458681</v>
      </c>
      <c r="AN30">
        <v>107.5280101461539</v>
      </c>
      <c r="AQ30">
        <v>28</v>
      </c>
      <c r="AR30">
        <f t="shared" si="2"/>
        <v>7.9465283357303429</v>
      </c>
      <c r="AS30">
        <f t="shared" si="3"/>
        <v>4.2252440650730172</v>
      </c>
      <c r="AV30">
        <v>52.614037568933156</v>
      </c>
      <c r="AW30">
        <v>131.0447511598037</v>
      </c>
      <c r="AX30">
        <v>-65.522375579901805</v>
      </c>
      <c r="AY30">
        <f t="shared" si="0"/>
        <v>146.51248584393272</v>
      </c>
      <c r="AZ30">
        <v>58.460041743259062</v>
      </c>
      <c r="BA30">
        <v>145.60527906644856</v>
      </c>
      <c r="BB30">
        <v>-72.802639533224223</v>
      </c>
      <c r="BC30">
        <f t="shared" si="1"/>
        <v>162.79165093770303</v>
      </c>
      <c r="BF30">
        <v>85.419333455881173</v>
      </c>
      <c r="BG30">
        <v>-1.0431314308910643E-14</v>
      </c>
      <c r="BH30">
        <v>251.63771202752287</v>
      </c>
      <c r="BI30">
        <f t="shared" si="4"/>
        <v>251.63771202752287</v>
      </c>
      <c r="BJ30">
        <v>94.910370506534633</v>
      </c>
      <c r="BK30">
        <v>-1.1590349232122936E-14</v>
      </c>
      <c r="BL30">
        <v>279.59745780835874</v>
      </c>
      <c r="BM30">
        <f t="shared" si="5"/>
        <v>279.59745780835874</v>
      </c>
    </row>
    <row r="31" spans="1:65" x14ac:dyDescent="0.25">
      <c r="A31" s="2" t="s">
        <v>84</v>
      </c>
      <c r="B31" s="5">
        <v>9</v>
      </c>
      <c r="C31" s="1"/>
      <c r="D31" s="2" t="s">
        <v>149</v>
      </c>
      <c r="E31" s="8">
        <v>2.375</v>
      </c>
      <c r="F31" s="1"/>
      <c r="G31" s="1" t="s">
        <v>73</v>
      </c>
      <c r="H31" s="7">
        <f>H24-H29</f>
        <v>452.83559750984705</v>
      </c>
      <c r="I31" s="7">
        <f>(I24-I29)</f>
        <v>2014.9187876180674</v>
      </c>
      <c r="J31" s="7">
        <f t="shared" ref="J31" si="11">J24-J29</f>
        <v>-5.7329141434081521E-14</v>
      </c>
      <c r="L31">
        <f>(-1*(I31)*SIN(-1*B10))+((J31)*COS(-1*B10))</f>
        <v>-5.7329141434081521E-14</v>
      </c>
      <c r="AJ31">
        <v>0.50614548307835583</v>
      </c>
      <c r="AK31">
        <v>130.98551521877766</v>
      </c>
      <c r="AL31">
        <v>72.172271488261273</v>
      </c>
      <c r="AM31">
        <v>201.51617725965795</v>
      </c>
      <c r="AN31">
        <v>111.03426382809427</v>
      </c>
      <c r="AQ31">
        <v>29</v>
      </c>
      <c r="AR31">
        <f t="shared" si="2"/>
        <v>7.8715773642545619</v>
      </c>
      <c r="AS31">
        <f t="shared" si="3"/>
        <v>4.3632865822170332</v>
      </c>
      <c r="AV31">
        <v>70.15205009191088</v>
      </c>
      <c r="AW31">
        <v>135.53728770385197</v>
      </c>
      <c r="AX31">
        <v>-67.768643867844844</v>
      </c>
      <c r="AY31">
        <f t="shared" si="0"/>
        <v>151.53529440299883</v>
      </c>
      <c r="AZ31">
        <v>78.509570434735295</v>
      </c>
      <c r="BA31">
        <v>151.68443718433173</v>
      </c>
      <c r="BB31">
        <v>-75.842218609981202</v>
      </c>
      <c r="BC31">
        <f t="shared" si="1"/>
        <v>169.58835634444853</v>
      </c>
      <c r="BF31">
        <v>113.89244460784157</v>
      </c>
      <c r="BG31">
        <v>2.2867471013800407E-14</v>
      </c>
      <c r="BH31">
        <v>268.90759770313952</v>
      </c>
      <c r="BI31">
        <f t="shared" si="4"/>
        <v>268.90759770313952</v>
      </c>
      <c r="BJ31">
        <v>126.54716067537952</v>
      </c>
      <c r="BK31">
        <v>2.5408301126444898E-14</v>
      </c>
      <c r="BL31">
        <v>298.78621967015499</v>
      </c>
      <c r="BM31">
        <f t="shared" si="5"/>
        <v>298.78621967015499</v>
      </c>
    </row>
    <row r="32" spans="1:65" x14ac:dyDescent="0.25">
      <c r="A32" s="2" t="s">
        <v>85</v>
      </c>
      <c r="B32" s="37">
        <f ca="1">C109/(PI()*B3*B3)</f>
        <v>2.1220659078919377E-2</v>
      </c>
      <c r="D32" t="s">
        <v>45</v>
      </c>
      <c r="E32" s="14">
        <f>360/B31</f>
        <v>40</v>
      </c>
      <c r="AJ32">
        <v>0.52359877559829915</v>
      </c>
      <c r="AK32">
        <v>129.61000522388733</v>
      </c>
      <c r="AL32">
        <v>74.830371405680197</v>
      </c>
      <c r="AM32">
        <v>199.40000803674974</v>
      </c>
      <c r="AN32">
        <v>115.12364831643107</v>
      </c>
      <c r="AQ32">
        <v>30</v>
      </c>
      <c r="AR32">
        <f t="shared" si="2"/>
        <v>7.794228634059948</v>
      </c>
      <c r="AS32">
        <f t="shared" si="3"/>
        <v>4.4999999999999991</v>
      </c>
      <c r="AV32">
        <v>87.690062614888603</v>
      </c>
      <c r="AW32">
        <v>136.61417073463784</v>
      </c>
      <c r="AX32">
        <v>-68.307085369567815</v>
      </c>
      <c r="AY32">
        <f t="shared" si="0"/>
        <v>152.73928622721203</v>
      </c>
      <c r="AZ32">
        <v>101.78034984540061</v>
      </c>
      <c r="BA32">
        <v>158.56572200519682</v>
      </c>
      <c r="BB32">
        <v>-79.282861005208659</v>
      </c>
      <c r="BC32">
        <f t="shared" si="1"/>
        <v>177.2818666536445</v>
      </c>
      <c r="BF32">
        <v>142.36555575980196</v>
      </c>
      <c r="BG32">
        <v>3.5094253640357299E-15</v>
      </c>
      <c r="BH32">
        <v>285.65085976650619</v>
      </c>
      <c r="BI32">
        <f t="shared" si="4"/>
        <v>285.65085976650619</v>
      </c>
      <c r="BJ32">
        <v>158.1839508442244</v>
      </c>
      <c r="BK32">
        <v>3.8993615155952555E-15</v>
      </c>
      <c r="BL32">
        <v>317.38984418500689</v>
      </c>
      <c r="BM32">
        <f t="shared" si="5"/>
        <v>317.38984418500689</v>
      </c>
    </row>
    <row r="33" spans="1:65" x14ac:dyDescent="0.25">
      <c r="D33" s="2" t="s">
        <v>13</v>
      </c>
      <c r="E33" s="14">
        <f>(B3-E31)*COS(RADIANS(E32))</f>
        <v>5.0750444356632292</v>
      </c>
      <c r="AJ33">
        <v>0.54105206811824247</v>
      </c>
      <c r="AK33">
        <v>127.99577816705042</v>
      </c>
      <c r="AL33">
        <v>77.350647963124118</v>
      </c>
      <c r="AM33">
        <v>196.91658179546218</v>
      </c>
      <c r="AN33">
        <v>119.00099686634479</v>
      </c>
      <c r="AQ33">
        <v>31</v>
      </c>
      <c r="AR33">
        <f t="shared" si="2"/>
        <v>7.7145057063190112</v>
      </c>
      <c r="AS33">
        <f t="shared" si="3"/>
        <v>4.6353426741904871</v>
      </c>
      <c r="AV33">
        <v>105.22807513786633</v>
      </c>
      <c r="AW33">
        <v>137.49898983057636</v>
      </c>
      <c r="AX33">
        <v>-68.749494915288111</v>
      </c>
      <c r="AY33">
        <f t="shared" si="0"/>
        <v>153.72854404936049</v>
      </c>
      <c r="AZ33">
        <v>126.83281401597398</v>
      </c>
      <c r="BA33">
        <v>165.72938145753676</v>
      </c>
      <c r="BB33">
        <v>-82.864690728768295</v>
      </c>
      <c r="BC33">
        <f t="shared" si="1"/>
        <v>185.29108140402266</v>
      </c>
      <c r="BF33">
        <v>170.83866691176235</v>
      </c>
      <c r="BG33">
        <v>-1.5883364328960965E-14</v>
      </c>
      <c r="BH33">
        <v>301.82694087979604</v>
      </c>
      <c r="BI33">
        <f t="shared" si="4"/>
        <v>301.82694087979604</v>
      </c>
      <c r="BJ33">
        <v>189.82074101306927</v>
      </c>
      <c r="BK33">
        <v>-1.7648182587734407E-14</v>
      </c>
      <c r="BL33">
        <v>335.36326764421784</v>
      </c>
      <c r="BM33">
        <f t="shared" si="5"/>
        <v>335.36326764421784</v>
      </c>
    </row>
    <row r="34" spans="1:65" x14ac:dyDescent="0.25">
      <c r="A34" t="s">
        <v>37</v>
      </c>
      <c r="D34" s="2" t="s">
        <v>14</v>
      </c>
      <c r="E34" s="14">
        <f>(B3-E31)*SIN(RADIANS(E32))</f>
        <v>4.2584679141733224</v>
      </c>
      <c r="Z34" t="str">
        <f>"Mx vs My @ Pu = " &amp;AI1&amp;" Kips"</f>
        <v>Mx vs My @ Pu = 300 Kips</v>
      </c>
      <c r="AJ34">
        <v>0.55850536063818579</v>
      </c>
      <c r="AK34">
        <v>126.63397173846479</v>
      </c>
      <c r="AL34">
        <v>79.55005982526238</v>
      </c>
      <c r="AM34">
        <v>194.82149498225351</v>
      </c>
      <c r="AN34">
        <v>122.38470742348058</v>
      </c>
      <c r="AQ34">
        <v>32</v>
      </c>
      <c r="AR34">
        <f t="shared" si="2"/>
        <v>7.6324328654078339</v>
      </c>
      <c r="AS34">
        <f t="shared" si="3"/>
        <v>4.7692733780988439</v>
      </c>
      <c r="AV34">
        <v>122.76608766084405</v>
      </c>
      <c r="AW34">
        <v>138.05745227245112</v>
      </c>
      <c r="AX34">
        <v>-69.028726136225558</v>
      </c>
      <c r="AY34">
        <f t="shared" si="0"/>
        <v>154.35292404081676</v>
      </c>
      <c r="AZ34">
        <v>153.58201046139547</v>
      </c>
      <c r="BA34">
        <v>172.7117112158644</v>
      </c>
      <c r="BB34">
        <v>-86.355855607932199</v>
      </c>
      <c r="BC34">
        <f t="shared" si="1"/>
        <v>193.09756339449282</v>
      </c>
      <c r="BF34">
        <v>199.31177806372273</v>
      </c>
      <c r="BG34">
        <v>-2.1819690494236196E-15</v>
      </c>
      <c r="BH34">
        <v>316.70882775975849</v>
      </c>
      <c r="BI34">
        <f t="shared" si="4"/>
        <v>316.70882775975849</v>
      </c>
      <c r="BJ34">
        <v>221.45753118191413</v>
      </c>
      <c r="BK34">
        <v>-2.4244100549151326E-15</v>
      </c>
      <c r="BL34">
        <v>351.89869751084274</v>
      </c>
      <c r="BM34">
        <f t="shared" si="5"/>
        <v>351.89869751084274</v>
      </c>
    </row>
    <row r="35" spans="1:6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119</v>
      </c>
      <c r="X35" t="s">
        <v>120</v>
      </c>
      <c r="AJ35">
        <v>0.57595865315812911</v>
      </c>
      <c r="AK35">
        <v>125.2380312403134</v>
      </c>
      <c r="AL35">
        <v>81.727493867086395</v>
      </c>
      <c r="AM35">
        <v>192.67389421586677</v>
      </c>
      <c r="AN35">
        <v>125.73460594936368</v>
      </c>
      <c r="AQ35">
        <v>33</v>
      </c>
      <c r="AR35">
        <f t="shared" si="2"/>
        <v>7.5480351115088169</v>
      </c>
      <c r="AS35">
        <f t="shared" si="3"/>
        <v>4.9017513151352441</v>
      </c>
      <c r="AV35">
        <v>140.30410018382176</v>
      </c>
      <c r="AW35">
        <v>138.03326339298704</v>
      </c>
      <c r="AX35">
        <v>-69.016631696493477</v>
      </c>
      <c r="AY35">
        <f t="shared" si="0"/>
        <v>154.32588005142611</v>
      </c>
      <c r="AZ35">
        <v>181.11714385293189</v>
      </c>
      <c r="BA35">
        <v>178.18574360751293</v>
      </c>
      <c r="BB35">
        <v>-89.09287180375641</v>
      </c>
      <c r="BC35">
        <f t="shared" si="1"/>
        <v>199.21771766387374</v>
      </c>
      <c r="BF35">
        <v>227.78488921568311</v>
      </c>
      <c r="BG35">
        <v>1.4653184144333037E-14</v>
      </c>
      <c r="BH35">
        <v>328.37622811986739</v>
      </c>
      <c r="BI35">
        <f t="shared" si="4"/>
        <v>328.37622811986739</v>
      </c>
      <c r="BJ35">
        <v>253.094321350759</v>
      </c>
      <c r="BK35">
        <v>1.6281315715925597E-14</v>
      </c>
      <c r="BL35">
        <v>364.86247568874154</v>
      </c>
      <c r="BM35">
        <f t="shared" si="5"/>
        <v>364.86247568874154</v>
      </c>
    </row>
    <row r="36" spans="1:6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0.59341194567807243</v>
      </c>
      <c r="AK36">
        <v>123.80816104306363</v>
      </c>
      <c r="AL36">
        <v>83.882672340647829</v>
      </c>
      <c r="AM36">
        <v>190.47409391240558</v>
      </c>
      <c r="AN36">
        <v>129.05026513945819</v>
      </c>
      <c r="AQ36">
        <v>34</v>
      </c>
      <c r="AR36">
        <f t="shared" si="2"/>
        <v>7.4613381529953742</v>
      </c>
      <c r="AS36">
        <f t="shared" si="3"/>
        <v>5.0327361312367218</v>
      </c>
      <c r="AV36">
        <v>157.84211270679947</v>
      </c>
      <c r="AW36">
        <v>137.44492420978042</v>
      </c>
      <c r="AX36">
        <v>-68.722462104890113</v>
      </c>
      <c r="AY36">
        <f t="shared" si="0"/>
        <v>153.66809684768776</v>
      </c>
      <c r="AZ36">
        <v>209.97921913318766</v>
      </c>
      <c r="BA36">
        <v>182.84459935606657</v>
      </c>
      <c r="BB36">
        <v>-91.422299678033156</v>
      </c>
      <c r="BC36">
        <f t="shared" si="1"/>
        <v>204.42647673943952</v>
      </c>
      <c r="BF36">
        <v>256.25800036764349</v>
      </c>
      <c r="BG36">
        <v>-1.355488511004037E-14</v>
      </c>
      <c r="BH36">
        <v>339.83832161641493</v>
      </c>
      <c r="BI36">
        <f t="shared" si="4"/>
        <v>339.83832161641493</v>
      </c>
      <c r="BJ36">
        <v>284.73111151960387</v>
      </c>
      <c r="BK36">
        <v>-1.506098345560041E-14</v>
      </c>
      <c r="BL36">
        <v>377.59813512934994</v>
      </c>
      <c r="BM36">
        <f t="shared" si="5"/>
        <v>377.59813512934994</v>
      </c>
    </row>
    <row r="37" spans="1:65" x14ac:dyDescent="0.25">
      <c r="A37">
        <v>1</v>
      </c>
      <c r="B37" s="5">
        <v>7</v>
      </c>
      <c r="C37" s="1">
        <f t="shared" ref="C37:C68" ca="1" si="12">IF(A37&lt;=$B$31,OFFSET($Q$36,MATCH(B37,$Q$36:$Q$47,0)-1,2),0)</f>
        <v>0.6</v>
      </c>
      <c r="D37" s="46">
        <f ca="1">IF($E$32*(A37-1)&gt;=360,0,(($B$3-F37)*COS(RADIANS(($E$32*(A37-1))+$E$30))))</f>
        <v>3.7903030323735432E-16</v>
      </c>
      <c r="E37" s="46">
        <f ca="1">IF($E$32*(A37-1)&gt;=360,0,($B$3-F37)*SIN(RADIANS(($E$32*(A37-1))+$E$30)))</f>
        <v>6.1875</v>
      </c>
      <c r="F37" s="1">
        <f ca="1">$E$31+(OFFSET($Q$36,MATCH(B37,$Q$36:$Q$47,0)-1,1)/2)</f>
        <v>2.8125</v>
      </c>
      <c r="G37">
        <f ca="1">IF(C37=0,NA(),D37)</f>
        <v>3.7903030323735432E-16</v>
      </c>
      <c r="H37">
        <f ca="1">IF(C37=0,NA(),E37)</f>
        <v>6.1875</v>
      </c>
      <c r="I37" s="7">
        <f ca="1">D37*COS($B$10)+E37*SIN($B$10)</f>
        <v>3.7903030323735432E-16</v>
      </c>
      <c r="J37" s="7">
        <f ca="1">-1*D37*SIN($B$10)+E37*COS($B$10)</f>
        <v>6.1875</v>
      </c>
      <c r="K37">
        <f ca="1">IF(B37=0,0,$B$3-J37)</f>
        <v>2.8125</v>
      </c>
      <c r="L37" s="15">
        <f ca="1">IF($B$11&lt;=0,-1,IF(C37=0,0,(($B$11-K37)/$B$11)*$B$13)*IF($B$11&lt;0,-1,1))</f>
        <v>2.1398731818231594E-3</v>
      </c>
      <c r="M37" s="9">
        <f t="shared" ref="M37:M68" ca="1" si="13">IF(AND(L37&gt;0,K37&lt;=$B$12),MIN((L37*F$35),C$35)-IF($B$2="Whitney",$B$9,B151),MAX(L37*F$35,-1*C$35))</f>
        <v>55.75</v>
      </c>
      <c r="N37" s="7">
        <f ca="1">M37*C37</f>
        <v>33.449999999999996</v>
      </c>
      <c r="O37" s="7">
        <f ca="1">N37*J37</f>
        <v>206.97187499999998</v>
      </c>
      <c r="P37" s="7">
        <f ca="1">N37*I37</f>
        <v>1.26785636432895E-14</v>
      </c>
      <c r="Q37" s="1">
        <v>3</v>
      </c>
      <c r="R37" s="7">
        <v>0.375</v>
      </c>
      <c r="S37" s="7">
        <v>0.11</v>
      </c>
      <c r="U37" t="e">
        <f ca="1">IF(AND(N37&lt;0,C37&gt;0),D37,NA())</f>
        <v>#N/A</v>
      </c>
      <c r="V37" t="e">
        <f ca="1">IF(AND(N37&lt;0,C37&gt;0),E37,NA())</f>
        <v>#N/A</v>
      </c>
      <c r="X37">
        <f ca="1">IF(AND(N37&gt;=0,C37&gt;0),D37,NA())</f>
        <v>3.7903030323735432E-16</v>
      </c>
      <c r="Y37">
        <f ca="1">IF(AND(N37&gt;=0,C37&gt;0),E37,NA())</f>
        <v>6.1875</v>
      </c>
      <c r="Z37" s="10">
        <f>J10</f>
        <v>10</v>
      </c>
      <c r="AA37" s="10">
        <f>J11</f>
        <v>0</v>
      </c>
      <c r="AJ37">
        <v>0.61086523819801575</v>
      </c>
      <c r="AK37">
        <v>122.34455002227379</v>
      </c>
      <c r="AL37">
        <v>86.015308494951896</v>
      </c>
      <c r="AM37">
        <v>188.22238464965199</v>
      </c>
      <c r="AN37">
        <v>132.33124383838754</v>
      </c>
      <c r="AQ37">
        <v>35</v>
      </c>
      <c r="AR37">
        <f t="shared" si="2"/>
        <v>7.3723683986009263</v>
      </c>
      <c r="AS37">
        <f t="shared" si="3"/>
        <v>5.1621879271594144</v>
      </c>
      <c r="AV37">
        <v>175.38012522977718</v>
      </c>
      <c r="AW37">
        <v>136.50141182212323</v>
      </c>
      <c r="AX37">
        <v>-68.250705911639841</v>
      </c>
      <c r="AY37">
        <f t="shared" si="0"/>
        <v>152.61321792973908</v>
      </c>
      <c r="AZ37">
        <v>240.36013402135197</v>
      </c>
      <c r="BA37">
        <v>187.07648655560823</v>
      </c>
      <c r="BB37">
        <v>-93.538243278596582</v>
      </c>
      <c r="BC37">
        <f t="shared" si="1"/>
        <v>209.15787046543716</v>
      </c>
      <c r="BF37">
        <v>284.73111151960387</v>
      </c>
      <c r="BG37">
        <v>2.968939734666457E-14</v>
      </c>
      <c r="BH37">
        <v>347.52107776892632</v>
      </c>
      <c r="BI37">
        <f t="shared" si="4"/>
        <v>347.52107776892632</v>
      </c>
      <c r="BJ37">
        <v>321.08870847853166</v>
      </c>
      <c r="BK37">
        <v>3.3480465828512473E-14</v>
      </c>
      <c r="BL37">
        <v>391.89638755794772</v>
      </c>
      <c r="BM37">
        <f t="shared" si="5"/>
        <v>391.89638755794772</v>
      </c>
    </row>
    <row r="38" spans="1:65" x14ac:dyDescent="0.25">
      <c r="A38">
        <v>2</v>
      </c>
      <c r="B38" s="5">
        <v>7</v>
      </c>
      <c r="C38" s="1">
        <f t="shared" ca="1" si="12"/>
        <v>0.6</v>
      </c>
      <c r="D38" s="46">
        <f t="shared" ref="D38:D101" ca="1" si="14">IF($E$32*(A38-1)&gt;=360,0,(($B$3-F38)*COS(RADIANS(($E$32*(A38-1))+$E$30))))</f>
        <v>-3.9772483349354624</v>
      </c>
      <c r="E38" s="46">
        <f t="shared" ref="E38:E101" ca="1" si="15">IF($E$32*(A38-1)&gt;=360,0,($B$3-F38)*SIN(RADIANS(($E$32*(A38-1))+$E$30)))</f>
        <v>4.7398999917986764</v>
      </c>
      <c r="F38" s="1">
        <f t="shared" ref="F38:F101" ca="1" si="16">$E$31+(OFFSET($Q$36,MATCH(B38,$Q$36:$Q$47,0)-1,1)/2)</f>
        <v>2.8125</v>
      </c>
      <c r="G38">
        <f t="shared" ref="G38:G101" ca="1" si="17">IF(C38=0,NA(),D38)</f>
        <v>-3.9772483349354624</v>
      </c>
      <c r="H38">
        <f t="shared" ref="H38:H101" ca="1" si="18">IF(C38=0,NA(),E38)</f>
        <v>4.7398999917986764</v>
      </c>
      <c r="I38" s="7">
        <f t="shared" ref="I38:I101" ca="1" si="19">D38*COS($B$10)+E38*SIN($B$10)</f>
        <v>-3.9772483349354624</v>
      </c>
      <c r="J38" s="7">
        <f t="shared" ref="J38:J101" ca="1" si="20">-1*D38*SIN($B$10)+E38*COS($B$10)</f>
        <v>4.7398999917986764</v>
      </c>
      <c r="K38">
        <f t="shared" ref="K38:K101" ca="1" si="21">IF(B38=0,0,$B$3-J38)</f>
        <v>4.2601000082013236</v>
      </c>
      <c r="L38" s="15">
        <f t="shared" ref="L38:L101" ca="1" si="22">IF($B$11&lt;=0,-1,IF(C38=0,0,(($B$11-K38)/$B$11)*$B$13)*IF($B$11&lt;0,-1,1))</f>
        <v>1.6971639946064578E-3</v>
      </c>
      <c r="M38" s="9">
        <f t="shared" ca="1" si="13"/>
        <v>45.115585537180358</v>
      </c>
      <c r="N38" s="7">
        <f t="shared" ref="N38:N101" ca="1" si="23">M38*C38</f>
        <v>27.069351322308215</v>
      </c>
      <c r="O38" s="7">
        <f t="shared" ref="O38:O101" ca="1" si="24">N38*J38</f>
        <v>128.30601811060419</v>
      </c>
      <c r="P38" s="7">
        <f t="shared" ref="P38:P101" ca="1" si="25">N38*I38</f>
        <v>-107.6615324744334</v>
      </c>
      <c r="Q38" s="1">
        <v>4</v>
      </c>
      <c r="R38" s="7">
        <v>0.5</v>
      </c>
      <c r="S38" s="7">
        <v>0.2</v>
      </c>
      <c r="U38" t="e">
        <f t="shared" ref="U38:U101" ca="1" si="26">IF(AND(N38&lt;0,C38&gt;0),D38,NA())</f>
        <v>#N/A</v>
      </c>
      <c r="V38" t="e">
        <f t="shared" ref="V38:V101" ca="1" si="27">IF(AND(N38&lt;0,C38&gt;0),E38,NA())</f>
        <v>#N/A</v>
      </c>
      <c r="X38">
        <f t="shared" ref="X38:X101" ca="1" si="28">IF(AND(N38&gt;=0,C38&gt;0),D38,NA())</f>
        <v>-3.9772483349354624</v>
      </c>
      <c r="Y38">
        <f t="shared" ref="Y38:Y101" ca="1" si="29">IF(AND(N38&gt;=0,C38&gt;0),E38,NA())</f>
        <v>4.7398999917986764</v>
      </c>
      <c r="Z38" s="10">
        <f ca="1">J4</f>
        <v>149.66074281136034</v>
      </c>
      <c r="AA38" s="10">
        <f ca="1">J5</f>
        <v>-1.2316074086508404E-14</v>
      </c>
      <c r="AJ38">
        <v>0.62831853071795907</v>
      </c>
      <c r="AK38">
        <v>120.84737249757609</v>
      </c>
      <c r="AL38">
        <v>88.125105097827813</v>
      </c>
      <c r="AM38">
        <v>185.91903461165552</v>
      </c>
      <c r="AN38">
        <v>135.57708476588894</v>
      </c>
      <c r="AQ38">
        <v>36</v>
      </c>
      <c r="AR38">
        <f t="shared" si="2"/>
        <v>7.2811529493745271</v>
      </c>
      <c r="AS38">
        <f t="shared" si="3"/>
        <v>5.2900672706322585</v>
      </c>
      <c r="AV38">
        <v>192.91813775275489</v>
      </c>
      <c r="AW38">
        <v>135.10465218159379</v>
      </c>
      <c r="AX38">
        <v>-67.552326106528838</v>
      </c>
      <c r="AY38">
        <f t="shared" si="0"/>
        <v>151.05159318429003</v>
      </c>
      <c r="AZ38">
        <v>273.18412337748987</v>
      </c>
      <c r="BA38">
        <v>191.31661957960361</v>
      </c>
      <c r="BB38">
        <v>-95.658309812079224</v>
      </c>
      <c r="BC38">
        <f t="shared" si="1"/>
        <v>213.89848331269323</v>
      </c>
      <c r="BF38">
        <v>313.20422267156425</v>
      </c>
      <c r="BG38">
        <v>3.5051177817167976E-14</v>
      </c>
      <c r="BH38">
        <v>348.87921010949754</v>
      </c>
      <c r="BI38">
        <f t="shared" si="4"/>
        <v>348.87921010949754</v>
      </c>
      <c r="BJ38">
        <v>367.7295915897447</v>
      </c>
      <c r="BK38">
        <v>4.1153197723527759E-14</v>
      </c>
      <c r="BL38">
        <v>409.6151972454424</v>
      </c>
      <c r="BM38">
        <f t="shared" si="5"/>
        <v>409.6151972454424</v>
      </c>
    </row>
    <row r="39" spans="1:65" x14ac:dyDescent="0.25">
      <c r="A39">
        <v>3</v>
      </c>
      <c r="B39" s="5">
        <v>7</v>
      </c>
      <c r="C39" s="1">
        <f t="shared" ca="1" si="12"/>
        <v>0.6</v>
      </c>
      <c r="D39" s="46">
        <f t="shared" ca="1" si="14"/>
        <v>-6.0934979717630373</v>
      </c>
      <c r="E39" s="46">
        <f t="shared" ca="1" si="15"/>
        <v>1.074448099314131</v>
      </c>
      <c r="F39" s="1">
        <f t="shared" ca="1" si="16"/>
        <v>2.8125</v>
      </c>
      <c r="G39">
        <f t="shared" ca="1" si="17"/>
        <v>-6.0934979717630373</v>
      </c>
      <c r="H39">
        <f t="shared" ca="1" si="18"/>
        <v>1.074448099314131</v>
      </c>
      <c r="I39" s="7">
        <f t="shared" ca="1" si="19"/>
        <v>-6.0934979717630373</v>
      </c>
      <c r="J39" s="7">
        <f t="shared" ca="1" si="20"/>
        <v>1.074448099314131</v>
      </c>
      <c r="K39">
        <f t="shared" ca="1" si="21"/>
        <v>7.9255519006858695</v>
      </c>
      <c r="L39" s="15">
        <f t="shared" ca="1" si="22"/>
        <v>5.76184981819609E-4</v>
      </c>
      <c r="M39" s="9">
        <f t="shared" ca="1" si="13"/>
        <v>16.709364472768662</v>
      </c>
      <c r="N39" s="7">
        <f t="shared" ca="1" si="23"/>
        <v>10.025618683661197</v>
      </c>
      <c r="O39" s="7">
        <f t="shared" ca="1" si="24"/>
        <v>10.772006939108012</v>
      </c>
      <c r="P39" s="7">
        <f t="shared" ca="1" si="25"/>
        <v>-61.091087114559116</v>
      </c>
      <c r="Q39" s="1">
        <v>5</v>
      </c>
      <c r="R39" s="7">
        <v>0.625</v>
      </c>
      <c r="S39" s="7">
        <v>0.31</v>
      </c>
      <c r="U39" t="e">
        <f t="shared" ca="1" si="26"/>
        <v>#N/A</v>
      </c>
      <c r="V39" t="e">
        <f t="shared" ca="1" si="27"/>
        <v>#N/A</v>
      </c>
      <c r="X39">
        <f t="shared" ca="1" si="28"/>
        <v>-6.0934979717630373</v>
      </c>
      <c r="Y39">
        <f t="shared" ca="1" si="29"/>
        <v>1.074448099314131</v>
      </c>
      <c r="AJ39">
        <v>0.64577182323790239</v>
      </c>
      <c r="AK39">
        <v>119.31678926670607</v>
      </c>
      <c r="AL39">
        <v>90.211753020284874</v>
      </c>
      <c r="AM39">
        <v>183.56429117954778</v>
      </c>
      <c r="AN39">
        <v>138.7873123388998</v>
      </c>
      <c r="AQ39">
        <v>37</v>
      </c>
      <c r="AR39">
        <f t="shared" si="2"/>
        <v>7.187719590425635</v>
      </c>
      <c r="AS39">
        <f t="shared" si="3"/>
        <v>5.4163352083684346</v>
      </c>
      <c r="AV39">
        <v>210.4561502757326</v>
      </c>
      <c r="AW39">
        <v>133.75470670445563</v>
      </c>
      <c r="AX39">
        <v>-66.877353352227757</v>
      </c>
      <c r="AY39">
        <f t="shared" si="0"/>
        <v>149.5423082508548</v>
      </c>
      <c r="AZ39">
        <v>307.69539005511535</v>
      </c>
      <c r="BA39">
        <v>195.55478230127366</v>
      </c>
      <c r="BB39">
        <v>-97.77739115063676</v>
      </c>
      <c r="BC39">
        <f t="shared" si="1"/>
        <v>218.6368932754103</v>
      </c>
      <c r="BF39">
        <v>341.67733382352463</v>
      </c>
      <c r="BG39">
        <v>2.7226825905044972E-14</v>
      </c>
      <c r="BH39">
        <v>349.66156087853199</v>
      </c>
      <c r="BI39">
        <f t="shared" si="4"/>
        <v>349.66156087853199</v>
      </c>
      <c r="BJ39">
        <v>418.04223135257286</v>
      </c>
      <c r="BK39">
        <v>3.331202256416513E-14</v>
      </c>
      <c r="BL39">
        <v>427.81093346795751</v>
      </c>
      <c r="BM39">
        <f t="shared" si="5"/>
        <v>427.81093346795751</v>
      </c>
    </row>
    <row r="40" spans="1:65" x14ac:dyDescent="0.25">
      <c r="A40">
        <v>4</v>
      </c>
      <c r="B40" s="5">
        <v>7</v>
      </c>
      <c r="C40" s="1">
        <f t="shared" ca="1" si="12"/>
        <v>0.6</v>
      </c>
      <c r="D40" s="46">
        <f t="shared" ca="1" si="14"/>
        <v>-5.3585321859162134</v>
      </c>
      <c r="E40" s="46">
        <f t="shared" ca="1" si="15"/>
        <v>-3.0937500000000009</v>
      </c>
      <c r="F40" s="1">
        <f t="shared" ca="1" si="16"/>
        <v>2.8125</v>
      </c>
      <c r="G40">
        <f t="shared" ca="1" si="17"/>
        <v>-5.3585321859162134</v>
      </c>
      <c r="H40">
        <f t="shared" ca="1" si="18"/>
        <v>-3.0937500000000009</v>
      </c>
      <c r="I40" s="7">
        <f t="shared" ca="1" si="19"/>
        <v>-5.3585321859162134</v>
      </c>
      <c r="J40" s="7">
        <f t="shared" ca="1" si="20"/>
        <v>-3.0937500000000009</v>
      </c>
      <c r="K40">
        <f t="shared" ca="1" si="21"/>
        <v>12.09375</v>
      </c>
      <c r="L40" s="15">
        <f t="shared" ca="1" si="22"/>
        <v>-6.9854531816041551E-4</v>
      </c>
      <c r="M40" s="9">
        <f t="shared" ca="1" si="13"/>
        <v>-20.257814226652048</v>
      </c>
      <c r="N40" s="7">
        <f t="shared" ca="1" si="23"/>
        <v>-12.154688535991228</v>
      </c>
      <c r="O40" s="7">
        <f t="shared" ca="1" si="24"/>
        <v>37.603567658222872</v>
      </c>
      <c r="P40" s="7">
        <f t="shared" ca="1" si="25"/>
        <v>65.131289729895812</v>
      </c>
      <c r="Q40" s="1">
        <v>6</v>
      </c>
      <c r="R40" s="7">
        <v>0.75</v>
      </c>
      <c r="S40" s="7">
        <v>0.44</v>
      </c>
      <c r="U40">
        <f t="shared" ca="1" si="26"/>
        <v>-5.3585321859162134</v>
      </c>
      <c r="V40">
        <f t="shared" ca="1" si="27"/>
        <v>-3.0937500000000009</v>
      </c>
      <c r="X40" t="e">
        <f t="shared" ca="1" si="28"/>
        <v>#N/A</v>
      </c>
      <c r="Y40" t="e">
        <f t="shared" ca="1" si="29"/>
        <v>#N/A</v>
      </c>
      <c r="AJ40">
        <v>0.66322511575784571</v>
      </c>
      <c r="AK40">
        <v>117.75294873085019</v>
      </c>
      <c r="AL40">
        <v>92.274929888915835</v>
      </c>
      <c r="AM40">
        <v>181.15838266284644</v>
      </c>
      <c r="AN40">
        <v>141.96143059833204</v>
      </c>
      <c r="AQ40">
        <v>38</v>
      </c>
      <c r="AR40">
        <f t="shared" si="2"/>
        <v>7.092096782460497</v>
      </c>
      <c r="AS40">
        <f t="shared" si="3"/>
        <v>5.5409532779309245</v>
      </c>
      <c r="AV40">
        <v>227.99416279871031</v>
      </c>
      <c r="AW40">
        <v>132.04782011015894</v>
      </c>
      <c r="AX40">
        <v>-66.023910055079483</v>
      </c>
      <c r="AY40">
        <f t="shared" si="0"/>
        <v>147.63395102348957</v>
      </c>
      <c r="AZ40">
        <v>344.19598620749559</v>
      </c>
      <c r="BA40">
        <v>199.34865485785684</v>
      </c>
      <c r="BB40">
        <v>-99.674327428928436</v>
      </c>
      <c r="BC40">
        <f t="shared" si="1"/>
        <v>222.87857174265579</v>
      </c>
      <c r="BF40">
        <v>370.15044497548502</v>
      </c>
      <c r="BG40">
        <v>1.8086185007935698E-14</v>
      </c>
      <c r="BH40">
        <v>349.17271314124622</v>
      </c>
      <c r="BI40">
        <f t="shared" si="4"/>
        <v>349.17271314124622</v>
      </c>
      <c r="BJ40">
        <v>472.75111954712639</v>
      </c>
      <c r="BK40">
        <v>2.3099429777544471E-14</v>
      </c>
      <c r="BL40">
        <v>445.95864544689238</v>
      </c>
      <c r="BM40">
        <f t="shared" si="5"/>
        <v>445.95864544689238</v>
      </c>
    </row>
    <row r="41" spans="1:65" x14ac:dyDescent="0.25">
      <c r="A41">
        <v>5</v>
      </c>
      <c r="B41" s="5">
        <v>7</v>
      </c>
      <c r="C41" s="1">
        <f t="shared" ca="1" si="12"/>
        <v>0.6</v>
      </c>
      <c r="D41" s="46">
        <f t="shared" ca="1" si="14"/>
        <v>-2.1162496368275741</v>
      </c>
      <c r="E41" s="46">
        <f t="shared" ca="1" si="15"/>
        <v>-5.8143480911128087</v>
      </c>
      <c r="F41" s="1">
        <f t="shared" ca="1" si="16"/>
        <v>2.8125</v>
      </c>
      <c r="G41">
        <f t="shared" ca="1" si="17"/>
        <v>-2.1162496368275741</v>
      </c>
      <c r="H41">
        <f t="shared" ca="1" si="18"/>
        <v>-5.8143480911128087</v>
      </c>
      <c r="I41" s="7">
        <f t="shared" ca="1" si="19"/>
        <v>-2.1162496368275741</v>
      </c>
      <c r="J41" s="7">
        <f t="shared" ca="1" si="20"/>
        <v>-5.8143480911128087</v>
      </c>
      <c r="K41">
        <f t="shared" ca="1" si="21"/>
        <v>14.814348091112809</v>
      </c>
      <c r="L41" s="15">
        <f t="shared" ca="1" si="22"/>
        <v>-1.5305664309237389E-3</v>
      </c>
      <c r="M41" s="9">
        <f t="shared" ca="1" si="13"/>
        <v>-44.386426496788431</v>
      </c>
      <c r="N41" s="7">
        <f t="shared" ca="1" si="23"/>
        <v>-26.631855898073059</v>
      </c>
      <c r="O41" s="7">
        <f t="shared" ca="1" si="24"/>
        <v>154.84688050375249</v>
      </c>
      <c r="P41" s="7">
        <f t="shared" ca="1" si="25"/>
        <v>56.3596553723414</v>
      </c>
      <c r="Q41" s="1">
        <v>7</v>
      </c>
      <c r="R41" s="7">
        <v>0.875</v>
      </c>
      <c r="S41" s="7">
        <v>0.6</v>
      </c>
      <c r="U41">
        <f t="shared" ca="1" si="26"/>
        <v>-2.1162496368275741</v>
      </c>
      <c r="V41">
        <f t="shared" ca="1" si="27"/>
        <v>-5.8143480911128087</v>
      </c>
      <c r="X41" t="e">
        <f t="shared" ca="1" si="28"/>
        <v>#N/A</v>
      </c>
      <c r="Y41" t="e">
        <f t="shared" ca="1" si="29"/>
        <v>#N/A</v>
      </c>
      <c r="AJ41">
        <v>0.68067840827778903</v>
      </c>
      <c r="AK41">
        <v>116.15598810726516</v>
      </c>
      <c r="AL41">
        <v>94.314298811695508</v>
      </c>
      <c r="AM41">
        <v>178.70152016502331</v>
      </c>
      <c r="AN41">
        <v>145.09892124876231</v>
      </c>
      <c r="AQ41">
        <v>39</v>
      </c>
      <c r="AR41">
        <f t="shared" si="2"/>
        <v>6.9943136531127381</v>
      </c>
      <c r="AS41">
        <f t="shared" si="3"/>
        <v>5.6638835194485369</v>
      </c>
      <c r="AV41">
        <v>245.53217532168802</v>
      </c>
      <c r="AW41">
        <v>129.85613894517073</v>
      </c>
      <c r="AX41">
        <v>-64.928069472585406</v>
      </c>
      <c r="AY41">
        <f t="shared" si="0"/>
        <v>145.18357698852981</v>
      </c>
      <c r="AZ41">
        <v>377.74180818721231</v>
      </c>
      <c r="BA41">
        <v>199.77867530026265</v>
      </c>
      <c r="BB41">
        <v>-99.889337650131395</v>
      </c>
      <c r="BC41">
        <f t="shared" si="1"/>
        <v>223.35934921312278</v>
      </c>
      <c r="BF41">
        <v>398.6235561274454</v>
      </c>
      <c r="BG41">
        <v>1.1429163646974861E-14</v>
      </c>
      <c r="BH41">
        <v>347.85485009084221</v>
      </c>
      <c r="BI41">
        <f t="shared" si="4"/>
        <v>347.85485009084221</v>
      </c>
      <c r="BJ41">
        <v>531.57645626113663</v>
      </c>
      <c r="BK41">
        <v>1.5241132181222859E-14</v>
      </c>
      <c r="BL41">
        <v>463.87486555215037</v>
      </c>
      <c r="BM41">
        <f t="shared" si="5"/>
        <v>463.87486555215037</v>
      </c>
    </row>
    <row r="42" spans="1:65" x14ac:dyDescent="0.25">
      <c r="A42">
        <v>6</v>
      </c>
      <c r="B42" s="5">
        <v>7</v>
      </c>
      <c r="C42" s="1">
        <f t="shared" ca="1" si="12"/>
        <v>0.6</v>
      </c>
      <c r="D42" s="46">
        <f t="shared" ca="1" si="14"/>
        <v>2.1162496368275767</v>
      </c>
      <c r="E42" s="46">
        <f t="shared" ca="1" si="15"/>
        <v>-5.8143480911128078</v>
      </c>
      <c r="F42" s="1">
        <f t="shared" ca="1" si="16"/>
        <v>2.8125</v>
      </c>
      <c r="G42">
        <f t="shared" ca="1" si="17"/>
        <v>2.1162496368275767</v>
      </c>
      <c r="H42">
        <f t="shared" ca="1" si="18"/>
        <v>-5.8143480911128078</v>
      </c>
      <c r="I42" s="7">
        <f t="shared" ca="1" si="19"/>
        <v>2.1162496368275767</v>
      </c>
      <c r="J42" s="7">
        <f t="shared" ca="1" si="20"/>
        <v>-5.8143480911128078</v>
      </c>
      <c r="K42">
        <f t="shared" ca="1" si="21"/>
        <v>14.814348091112809</v>
      </c>
      <c r="L42" s="15">
        <f t="shared" ca="1" si="22"/>
        <v>-1.5305664309237389E-3</v>
      </c>
      <c r="M42" s="9">
        <f t="shared" ca="1" si="13"/>
        <v>-44.386426496788431</v>
      </c>
      <c r="N42" s="7">
        <f t="shared" ca="1" si="23"/>
        <v>-26.631855898073059</v>
      </c>
      <c r="O42" s="7">
        <f t="shared" ca="1" si="24"/>
        <v>154.84688050375246</v>
      </c>
      <c r="P42" s="7">
        <f t="shared" ca="1" si="25"/>
        <v>-56.359655372341471</v>
      </c>
      <c r="Q42" s="1">
        <v>8</v>
      </c>
      <c r="R42" s="7">
        <v>1</v>
      </c>
      <c r="S42" s="7">
        <v>0.79</v>
      </c>
      <c r="U42">
        <f t="shared" ca="1" si="26"/>
        <v>2.1162496368275767</v>
      </c>
      <c r="V42">
        <f t="shared" ca="1" si="27"/>
        <v>-5.8143480911128078</v>
      </c>
      <c r="X42" t="e">
        <f t="shared" ca="1" si="28"/>
        <v>#N/A</v>
      </c>
      <c r="Y42" t="e">
        <f t="shared" ca="1" si="29"/>
        <v>#N/A</v>
      </c>
      <c r="AJ42">
        <v>0.69813170079773235</v>
      </c>
      <c r="AK42">
        <v>114.52603472482065</v>
      </c>
      <c r="AL42">
        <v>96.32950718229219</v>
      </c>
      <c r="AM42">
        <v>176.19389957664714</v>
      </c>
      <c r="AN42">
        <v>148.19924181891105</v>
      </c>
      <c r="AQ42">
        <v>40</v>
      </c>
      <c r="AR42">
        <f t="shared" si="2"/>
        <v>6.894399988070802</v>
      </c>
      <c r="AS42">
        <f t="shared" si="3"/>
        <v>5.7850884871788537</v>
      </c>
      <c r="AV42">
        <v>263.07018784466572</v>
      </c>
      <c r="AW42">
        <v>129.77563314385998</v>
      </c>
      <c r="AX42">
        <v>-64.887816571930003</v>
      </c>
      <c r="AY42">
        <f t="shared" si="0"/>
        <v>145.09356876637284</v>
      </c>
      <c r="AZ42">
        <v>404.72336591487033</v>
      </c>
      <c r="BA42">
        <v>199.65482022132304</v>
      </c>
      <c r="BB42">
        <v>-99.827410110661546</v>
      </c>
      <c r="BC42">
        <f t="shared" si="1"/>
        <v>223.22087502518897</v>
      </c>
      <c r="BF42">
        <v>427.09666727940578</v>
      </c>
      <c r="BG42">
        <v>3.270289128962342E-14</v>
      </c>
      <c r="BH42">
        <v>345.53383554941263</v>
      </c>
      <c r="BI42">
        <f t="shared" si="4"/>
        <v>345.53383554941263</v>
      </c>
      <c r="BJ42">
        <v>594.61432798057581</v>
      </c>
      <c r="BK42">
        <v>4.552975758642476E-14</v>
      </c>
      <c r="BL42">
        <v>481.06057752343378</v>
      </c>
      <c r="BM42">
        <f t="shared" si="5"/>
        <v>481.06057752343378</v>
      </c>
    </row>
    <row r="43" spans="1:65" x14ac:dyDescent="0.25">
      <c r="A43">
        <v>7</v>
      </c>
      <c r="B43" s="5">
        <v>7</v>
      </c>
      <c r="C43" s="1">
        <f t="shared" ca="1" si="12"/>
        <v>0.6</v>
      </c>
      <c r="D43" s="46">
        <f t="shared" ca="1" si="14"/>
        <v>5.3585321859162125</v>
      </c>
      <c r="E43" s="46">
        <f t="shared" ca="1" si="15"/>
        <v>-3.0937500000000027</v>
      </c>
      <c r="F43" s="1">
        <f t="shared" ca="1" si="16"/>
        <v>2.8125</v>
      </c>
      <c r="G43">
        <f t="shared" ca="1" si="17"/>
        <v>5.3585321859162125</v>
      </c>
      <c r="H43">
        <f t="shared" ca="1" si="18"/>
        <v>-3.0937500000000027</v>
      </c>
      <c r="I43" s="7">
        <f t="shared" ca="1" si="19"/>
        <v>5.3585321859162125</v>
      </c>
      <c r="J43" s="7">
        <f t="shared" ca="1" si="20"/>
        <v>-3.0937500000000027</v>
      </c>
      <c r="K43">
        <f t="shared" ca="1" si="21"/>
        <v>12.093750000000004</v>
      </c>
      <c r="L43" s="15">
        <f t="shared" ca="1" si="22"/>
        <v>-6.9854531816041659E-4</v>
      </c>
      <c r="M43" s="9">
        <f t="shared" ca="1" si="13"/>
        <v>-20.25781422665208</v>
      </c>
      <c r="N43" s="7">
        <f t="shared" ca="1" si="23"/>
        <v>-12.154688535991248</v>
      </c>
      <c r="O43" s="7">
        <f t="shared" ca="1" si="24"/>
        <v>37.603567658222957</v>
      </c>
      <c r="P43" s="7">
        <f t="shared" ca="1" si="25"/>
        <v>-65.131289729895911</v>
      </c>
      <c r="Q43" s="1">
        <v>9</v>
      </c>
      <c r="R43" s="7">
        <v>1.1279999999999999</v>
      </c>
      <c r="S43" s="7">
        <v>1</v>
      </c>
      <c r="U43">
        <f t="shared" ca="1" si="26"/>
        <v>5.3585321859162125</v>
      </c>
      <c r="V43">
        <f t="shared" ca="1" si="27"/>
        <v>-3.0937500000000027</v>
      </c>
      <c r="X43" t="e">
        <f t="shared" ca="1" si="28"/>
        <v>#N/A</v>
      </c>
      <c r="Y43" t="e">
        <f t="shared" ca="1" si="29"/>
        <v>#N/A</v>
      </c>
      <c r="AJ43">
        <v>0.71558499331767567</v>
      </c>
      <c r="AK43">
        <v>112.86320739788178</v>
      </c>
      <c r="AL43">
        <v>98.320185567810682</v>
      </c>
      <c r="AM43">
        <v>173.63570368904888</v>
      </c>
      <c r="AN43">
        <v>151.26182395047798</v>
      </c>
      <c r="AQ43">
        <v>41</v>
      </c>
      <c r="AR43">
        <f t="shared" si="2"/>
        <v>6.7923862220049482</v>
      </c>
      <c r="AS43">
        <f t="shared" si="3"/>
        <v>5.904531260914565</v>
      </c>
      <c r="AV43">
        <v>280.60820036764346</v>
      </c>
      <c r="AW43">
        <v>129.61055290815739</v>
      </c>
      <c r="AX43">
        <v>-64.805276463046567</v>
      </c>
      <c r="AY43">
        <f t="shared" si="0"/>
        <v>144.90900345599704</v>
      </c>
      <c r="AZ43">
        <v>431.7049236425284</v>
      </c>
      <c r="BA43">
        <v>199.40085062793443</v>
      </c>
      <c r="BB43">
        <v>-99.700425327763952</v>
      </c>
      <c r="BC43">
        <f t="shared" si="1"/>
        <v>222.93692839384161</v>
      </c>
      <c r="BF43">
        <v>455.56977843136616</v>
      </c>
      <c r="BG43">
        <v>2.6384526184833054E-14</v>
      </c>
      <c r="BH43">
        <v>339.70120135035677</v>
      </c>
      <c r="BI43">
        <f t="shared" si="4"/>
        <v>339.70120135035677</v>
      </c>
      <c r="BJ43">
        <v>656.19799605524622</v>
      </c>
      <c r="BK43">
        <v>3.8003998572883785E-14</v>
      </c>
      <c r="BL43">
        <v>489.30209626986158</v>
      </c>
      <c r="BM43">
        <f t="shared" si="5"/>
        <v>489.30209626986158</v>
      </c>
    </row>
    <row r="44" spans="1:65" x14ac:dyDescent="0.25">
      <c r="A44">
        <v>8</v>
      </c>
      <c r="B44" s="5">
        <v>7</v>
      </c>
      <c r="C44" s="1">
        <f t="shared" ca="1" si="12"/>
        <v>0.6</v>
      </c>
      <c r="D44" s="46">
        <f t="shared" ca="1" si="14"/>
        <v>6.0934979717630382</v>
      </c>
      <c r="E44" s="46">
        <f t="shared" ca="1" si="15"/>
        <v>1.0744480993141288</v>
      </c>
      <c r="F44" s="1">
        <f t="shared" ca="1" si="16"/>
        <v>2.8125</v>
      </c>
      <c r="G44">
        <f t="shared" ca="1" si="17"/>
        <v>6.0934979717630382</v>
      </c>
      <c r="H44">
        <f t="shared" ca="1" si="18"/>
        <v>1.0744480993141288</v>
      </c>
      <c r="I44" s="7">
        <f t="shared" ca="1" si="19"/>
        <v>6.0934979717630382</v>
      </c>
      <c r="J44" s="7">
        <f t="shared" ca="1" si="20"/>
        <v>1.0744480993141288</v>
      </c>
      <c r="K44">
        <f t="shared" ca="1" si="21"/>
        <v>7.9255519006858712</v>
      </c>
      <c r="L44" s="15">
        <f t="shared" ca="1" si="22"/>
        <v>5.7618498181960835E-4</v>
      </c>
      <c r="M44" s="9">
        <f t="shared" ca="1" si="13"/>
        <v>16.709364472768641</v>
      </c>
      <c r="N44" s="7">
        <f t="shared" ca="1" si="23"/>
        <v>10.025618683661184</v>
      </c>
      <c r="O44" s="7">
        <f t="shared" ca="1" si="24"/>
        <v>10.772006939107976</v>
      </c>
      <c r="P44" s="7">
        <f t="shared" ca="1" si="25"/>
        <v>61.091087114559045</v>
      </c>
      <c r="Q44" s="1">
        <v>10</v>
      </c>
      <c r="R44" s="7">
        <v>1.27</v>
      </c>
      <c r="S44" s="7">
        <v>1.27</v>
      </c>
      <c r="U44" t="e">
        <f t="shared" ca="1" si="26"/>
        <v>#N/A</v>
      </c>
      <c r="V44" t="e">
        <f t="shared" ca="1" si="27"/>
        <v>#N/A</v>
      </c>
      <c r="X44">
        <f t="shared" ca="1" si="28"/>
        <v>6.0934979717630382</v>
      </c>
      <c r="Y44">
        <f t="shared" ca="1" si="29"/>
        <v>1.0744480993141288</v>
      </c>
      <c r="AJ44">
        <v>0.73303828583761899</v>
      </c>
      <c r="AK44">
        <v>111.16761787327778</v>
      </c>
      <c r="AL44">
        <v>100.28594668427061</v>
      </c>
      <c r="AM44">
        <v>171.02710442042735</v>
      </c>
      <c r="AN44">
        <v>154.28607182195478</v>
      </c>
      <c r="AQ44">
        <v>42</v>
      </c>
      <c r="AR44">
        <f t="shared" si="2"/>
        <v>6.688303429296548</v>
      </c>
      <c r="AS44">
        <f t="shared" si="3"/>
        <v>6.0221754572297241</v>
      </c>
      <c r="AV44">
        <v>298.1462128906212</v>
      </c>
      <c r="AW44">
        <v>129.34725050359788</v>
      </c>
      <c r="AX44">
        <v>-64.673625251798896</v>
      </c>
      <c r="AY44">
        <f t="shared" si="0"/>
        <v>144.61462241436936</v>
      </c>
      <c r="AZ44">
        <v>458.68648137018647</v>
      </c>
      <c r="BA44">
        <v>198.99577000553518</v>
      </c>
      <c r="BB44">
        <v>-99.497885002767532</v>
      </c>
      <c r="BC44">
        <f t="shared" si="1"/>
        <v>222.48403448364516</v>
      </c>
      <c r="BF44">
        <v>484.04288958332654</v>
      </c>
      <c r="BG44">
        <v>-1.6617754883771689E-14</v>
      </c>
      <c r="BH44">
        <v>333.13122228690975</v>
      </c>
      <c r="BI44">
        <f t="shared" si="4"/>
        <v>333.13122228690975</v>
      </c>
      <c r="BJ44">
        <v>721.37499653644079</v>
      </c>
      <c r="BK44">
        <v>-2.4765641908392474E-14</v>
      </c>
      <c r="BL44">
        <v>496.46950610154704</v>
      </c>
      <c r="BM44">
        <f t="shared" si="5"/>
        <v>496.46950610154704</v>
      </c>
    </row>
    <row r="45" spans="1:65" x14ac:dyDescent="0.25">
      <c r="A45">
        <v>9</v>
      </c>
      <c r="B45" s="5">
        <v>7</v>
      </c>
      <c r="C45" s="1">
        <f t="shared" ca="1" si="12"/>
        <v>0.6</v>
      </c>
      <c r="D45" s="46">
        <f t="shared" ca="1" si="14"/>
        <v>3.9772483349354637</v>
      </c>
      <c r="E45" s="46">
        <f t="shared" ca="1" si="15"/>
        <v>4.7398999917986755</v>
      </c>
      <c r="F45" s="1">
        <f t="shared" ca="1" si="16"/>
        <v>2.8125</v>
      </c>
      <c r="G45">
        <f t="shared" ca="1" si="17"/>
        <v>3.9772483349354637</v>
      </c>
      <c r="H45">
        <f t="shared" ca="1" si="18"/>
        <v>4.7398999917986755</v>
      </c>
      <c r="I45" s="7">
        <f t="shared" ca="1" si="19"/>
        <v>3.9772483349354637</v>
      </c>
      <c r="J45" s="7">
        <f t="shared" ca="1" si="20"/>
        <v>4.7398999917986755</v>
      </c>
      <c r="K45">
        <f t="shared" ca="1" si="21"/>
        <v>4.2601000082013245</v>
      </c>
      <c r="L45" s="15">
        <f t="shared" ca="1" si="22"/>
        <v>1.6971639946064573E-3</v>
      </c>
      <c r="M45" s="9">
        <f t="shared" ca="1" si="13"/>
        <v>45.115585537180344</v>
      </c>
      <c r="N45" s="7">
        <f t="shared" ca="1" si="23"/>
        <v>27.069351322308204</v>
      </c>
      <c r="O45" s="7">
        <f t="shared" ca="1" si="24"/>
        <v>128.30601811060413</v>
      </c>
      <c r="P45" s="7">
        <f t="shared" ca="1" si="25"/>
        <v>107.6615324744334</v>
      </c>
      <c r="Q45" s="1">
        <v>11</v>
      </c>
      <c r="R45" s="7">
        <v>1.41</v>
      </c>
      <c r="S45" s="7">
        <v>1.56</v>
      </c>
      <c r="U45" t="e">
        <f t="shared" ca="1" si="26"/>
        <v>#N/A</v>
      </c>
      <c r="V45" t="e">
        <f t="shared" ca="1" si="27"/>
        <v>#N/A</v>
      </c>
      <c r="X45">
        <f t="shared" ca="1" si="28"/>
        <v>3.9772483349354637</v>
      </c>
      <c r="Y45">
        <f t="shared" ca="1" si="29"/>
        <v>4.7398999917986755</v>
      </c>
      <c r="AJ45">
        <v>0.75049157835756231</v>
      </c>
      <c r="AK45">
        <v>109.43937234602561</v>
      </c>
      <c r="AL45">
        <v>102.2263844648931</v>
      </c>
      <c r="AM45">
        <v>168.36826514773171</v>
      </c>
      <c r="AN45">
        <v>157.27136071522014</v>
      </c>
      <c r="AQ45">
        <v>43</v>
      </c>
      <c r="AR45">
        <f t="shared" si="2"/>
        <v>6.5821833145725339</v>
      </c>
      <c r="AS45">
        <f t="shared" si="3"/>
        <v>6.137985240562486</v>
      </c>
      <c r="AV45">
        <v>315.68422541359894</v>
      </c>
      <c r="AW45">
        <v>128.95950362251756</v>
      </c>
      <c r="AX45">
        <v>-64.479751811258737</v>
      </c>
      <c r="AY45">
        <f t="shared" si="0"/>
        <v>144.18110822228979</v>
      </c>
      <c r="AZ45">
        <v>485.66803909784448</v>
      </c>
      <c r="BA45">
        <v>198.39923634233469</v>
      </c>
      <c r="BB45">
        <v>-99.199618171167288</v>
      </c>
      <c r="BC45">
        <f t="shared" si="1"/>
        <v>221.81708957275353</v>
      </c>
      <c r="BF45">
        <v>512.51600073528698</v>
      </c>
      <c r="BG45">
        <v>3.4074842683438606E-14</v>
      </c>
      <c r="BH45">
        <v>325.75082802357502</v>
      </c>
      <c r="BI45">
        <f t="shared" si="4"/>
        <v>325.75082802357502</v>
      </c>
      <c r="BJ45">
        <v>788.48615497736455</v>
      </c>
      <c r="BK45">
        <v>5.2422834897597852E-14</v>
      </c>
      <c r="BL45">
        <v>501.15512003626924</v>
      </c>
      <c r="BM45">
        <f t="shared" si="5"/>
        <v>501.15512003626924</v>
      </c>
    </row>
    <row r="46" spans="1:65" x14ac:dyDescent="0.25">
      <c r="A46">
        <v>10</v>
      </c>
      <c r="B46" s="5">
        <v>7</v>
      </c>
      <c r="C46" s="1">
        <f t="shared" ca="1" si="12"/>
        <v>0</v>
      </c>
      <c r="D46" s="46">
        <f t="shared" si="14"/>
        <v>0</v>
      </c>
      <c r="E46" s="46">
        <f t="shared" si="15"/>
        <v>0</v>
      </c>
      <c r="F46" s="1">
        <f t="shared" ca="1" si="16"/>
        <v>2.8125</v>
      </c>
      <c r="G46" t="e">
        <f t="shared" ca="1" si="17"/>
        <v>#N/A</v>
      </c>
      <c r="H46" t="e">
        <f t="shared" ca="1" si="18"/>
        <v>#N/A</v>
      </c>
      <c r="I46" s="7">
        <f t="shared" si="19"/>
        <v>0</v>
      </c>
      <c r="J46" s="7">
        <f t="shared" si="20"/>
        <v>0</v>
      </c>
      <c r="K46">
        <f t="shared" si="21"/>
        <v>9</v>
      </c>
      <c r="L46" s="15">
        <f t="shared" ca="1" si="22"/>
        <v>0</v>
      </c>
      <c r="M46" s="9">
        <f t="shared" ca="1" si="13"/>
        <v>0</v>
      </c>
      <c r="N46" s="7">
        <f t="shared" ca="1" si="23"/>
        <v>0</v>
      </c>
      <c r="O46" s="7">
        <f t="shared" ca="1" si="24"/>
        <v>0</v>
      </c>
      <c r="P46" s="7">
        <f t="shared" ca="1" si="25"/>
        <v>0</v>
      </c>
      <c r="Q46" s="1">
        <v>14</v>
      </c>
      <c r="R46" s="7">
        <v>1.6930000000000001</v>
      </c>
      <c r="S46" s="7">
        <v>2.25</v>
      </c>
      <c r="U46" t="e">
        <f t="shared" ca="1" si="26"/>
        <v>#N/A</v>
      </c>
      <c r="V46" t="e">
        <f t="shared" ca="1" si="27"/>
        <v>#N/A</v>
      </c>
      <c r="X46" t="e">
        <f t="shared" ca="1" si="28"/>
        <v>#N/A</v>
      </c>
      <c r="Y46" t="e">
        <f t="shared" ca="1" si="29"/>
        <v>#N/A</v>
      </c>
      <c r="AJ46">
        <v>0.76794487087750563</v>
      </c>
      <c r="AK46">
        <v>107.67857343857709</v>
      </c>
      <c r="AL46">
        <v>104.14107384775615</v>
      </c>
      <c r="AM46">
        <v>165.65934375165705</v>
      </c>
      <c r="AN46">
        <v>160.21703668885561</v>
      </c>
      <c r="AQ46">
        <v>44</v>
      </c>
      <c r="AR46">
        <f t="shared" si="2"/>
        <v>6.4740582030478606</v>
      </c>
      <c r="AS46">
        <f t="shared" si="3"/>
        <v>6.2519253341309753</v>
      </c>
      <c r="AV46">
        <v>333.22223793657668</v>
      </c>
      <c r="AW46">
        <v>128.31955074782343</v>
      </c>
      <c r="AX46">
        <v>-64.159775388767557</v>
      </c>
      <c r="AY46">
        <f t="shared" si="0"/>
        <v>143.46561916382731</v>
      </c>
      <c r="AZ46">
        <v>512.64959682550261</v>
      </c>
      <c r="BA46">
        <v>197.41469345818987</v>
      </c>
      <c r="BB46">
        <v>-98.707346751950084</v>
      </c>
      <c r="BC46">
        <f t="shared" si="1"/>
        <v>220.71633717511892</v>
      </c>
      <c r="BF46">
        <v>540.98911188724742</v>
      </c>
      <c r="BG46">
        <v>-4.2416888378510166E-15</v>
      </c>
      <c r="BH46">
        <v>326.18948516329061</v>
      </c>
      <c r="BI46">
        <f t="shared" si="4"/>
        <v>326.18948516329061</v>
      </c>
      <c r="BJ46">
        <v>832.290941364996</v>
      </c>
      <c r="BK46">
        <v>-6.5256751351554096E-15</v>
      </c>
      <c r="BL46">
        <v>501.82997717429322</v>
      </c>
      <c r="BM46">
        <f t="shared" si="5"/>
        <v>501.82997717429322</v>
      </c>
    </row>
    <row r="47" spans="1:65" x14ac:dyDescent="0.25">
      <c r="A47">
        <v>11</v>
      </c>
      <c r="B47" s="5">
        <v>7</v>
      </c>
      <c r="C47" s="1">
        <f t="shared" ca="1" si="12"/>
        <v>0</v>
      </c>
      <c r="D47" s="46">
        <f t="shared" si="14"/>
        <v>0</v>
      </c>
      <c r="E47" s="46">
        <f t="shared" si="15"/>
        <v>0</v>
      </c>
      <c r="F47" s="1">
        <f t="shared" ca="1" si="16"/>
        <v>2.8125</v>
      </c>
      <c r="G47" t="e">
        <f t="shared" ca="1" si="17"/>
        <v>#N/A</v>
      </c>
      <c r="H47" t="e">
        <f t="shared" ca="1" si="18"/>
        <v>#N/A</v>
      </c>
      <c r="I47" s="7">
        <f t="shared" si="19"/>
        <v>0</v>
      </c>
      <c r="J47" s="7">
        <f t="shared" si="20"/>
        <v>0</v>
      </c>
      <c r="K47">
        <f t="shared" si="21"/>
        <v>9</v>
      </c>
      <c r="L47" s="15">
        <f t="shared" ca="1" si="22"/>
        <v>0</v>
      </c>
      <c r="M47" s="9">
        <f t="shared" ca="1" si="13"/>
        <v>0</v>
      </c>
      <c r="N47" s="7">
        <f t="shared" ca="1" si="23"/>
        <v>0</v>
      </c>
      <c r="O47" s="7">
        <f t="shared" ca="1" si="24"/>
        <v>0</v>
      </c>
      <c r="P47" s="7">
        <f t="shared" ca="1" si="25"/>
        <v>0</v>
      </c>
      <c r="Q47" s="1">
        <v>18</v>
      </c>
      <c r="R47" s="7">
        <v>2.2570000000000001</v>
      </c>
      <c r="S47" s="7">
        <v>4</v>
      </c>
      <c r="U47" t="e">
        <f t="shared" ca="1" si="26"/>
        <v>#N/A</v>
      </c>
      <c r="V47" t="e">
        <f t="shared" ca="1" si="27"/>
        <v>#N/A</v>
      </c>
      <c r="X47" t="e">
        <f t="shared" ca="1" si="28"/>
        <v>#N/A</v>
      </c>
      <c r="Y47" t="e">
        <f t="shared" ca="1" si="29"/>
        <v>#N/A</v>
      </c>
      <c r="AJ47">
        <v>0.78539816339744895</v>
      </c>
      <c r="AK47">
        <v>105.8853311489046</v>
      </c>
      <c r="AL47">
        <v>106.02958590773895</v>
      </c>
      <c r="AM47">
        <v>162.90050945985323</v>
      </c>
      <c r="AN47">
        <v>163.12243985805992</v>
      </c>
      <c r="AQ47">
        <v>45</v>
      </c>
      <c r="AR47">
        <f t="shared" si="2"/>
        <v>6.3639610306789285</v>
      </c>
      <c r="AS47">
        <f t="shared" si="3"/>
        <v>6.3639610306789276</v>
      </c>
      <c r="AV47">
        <v>350.76025045955441</v>
      </c>
      <c r="AW47">
        <v>127.5410742157563</v>
      </c>
      <c r="AX47">
        <v>-63.770537121847305</v>
      </c>
      <c r="AY47">
        <f t="shared" si="0"/>
        <v>142.59525594113558</v>
      </c>
      <c r="AZ47">
        <v>539.63115455316063</v>
      </c>
      <c r="BA47">
        <v>196.21703725500967</v>
      </c>
      <c r="BB47">
        <v>-98.108518648995855</v>
      </c>
      <c r="BC47">
        <f t="shared" si="1"/>
        <v>219.37731683251627</v>
      </c>
      <c r="BF47">
        <v>569.46222303920786</v>
      </c>
      <c r="BG47">
        <v>-1.6297538849691733E-15</v>
      </c>
      <c r="BH47">
        <v>326.22190016003515</v>
      </c>
      <c r="BI47">
        <f t="shared" si="4"/>
        <v>326.22190016003515</v>
      </c>
      <c r="BJ47">
        <v>876.09572775262745</v>
      </c>
      <c r="BK47">
        <v>-2.5073136691833434E-15</v>
      </c>
      <c r="BL47">
        <v>501.87984640005408</v>
      </c>
      <c r="BM47">
        <f t="shared" si="5"/>
        <v>501.87984640005408</v>
      </c>
    </row>
    <row r="48" spans="1:65" x14ac:dyDescent="0.25">
      <c r="A48">
        <v>12</v>
      </c>
      <c r="B48" s="5">
        <v>7</v>
      </c>
      <c r="C48" s="1">
        <f t="shared" ca="1" si="12"/>
        <v>0</v>
      </c>
      <c r="D48" s="46">
        <f t="shared" si="14"/>
        <v>0</v>
      </c>
      <c r="E48" s="46">
        <f t="shared" si="15"/>
        <v>0</v>
      </c>
      <c r="F48" s="1">
        <f t="shared" ca="1" si="16"/>
        <v>2.8125</v>
      </c>
      <c r="G48" t="e">
        <f t="shared" ca="1" si="17"/>
        <v>#N/A</v>
      </c>
      <c r="H48" t="e">
        <f t="shared" ca="1" si="18"/>
        <v>#N/A</v>
      </c>
      <c r="I48" s="7">
        <f t="shared" si="19"/>
        <v>0</v>
      </c>
      <c r="J48" s="7">
        <f t="shared" si="20"/>
        <v>0</v>
      </c>
      <c r="K48">
        <f t="shared" si="21"/>
        <v>9</v>
      </c>
      <c r="L48" s="15">
        <f t="shared" ca="1" si="22"/>
        <v>0</v>
      </c>
      <c r="M48" s="9">
        <f t="shared" ca="1" si="13"/>
        <v>0</v>
      </c>
      <c r="N48" s="7">
        <f t="shared" ca="1" si="23"/>
        <v>0</v>
      </c>
      <c r="O48" s="7">
        <f t="shared" ca="1" si="24"/>
        <v>0</v>
      </c>
      <c r="P48" s="7">
        <f t="shared" ca="1" si="25"/>
        <v>0</v>
      </c>
      <c r="U48" t="e">
        <f t="shared" ca="1" si="26"/>
        <v>#N/A</v>
      </c>
      <c r="V48" t="e">
        <f t="shared" ca="1" si="27"/>
        <v>#N/A</v>
      </c>
      <c r="X48" t="e">
        <f t="shared" ca="1" si="28"/>
        <v>#N/A</v>
      </c>
      <c r="Y48" t="e">
        <f t="shared" ca="1" si="29"/>
        <v>#N/A</v>
      </c>
      <c r="AJ48">
        <v>0.80285145591739226</v>
      </c>
      <c r="AK48">
        <v>104.0540551914707</v>
      </c>
      <c r="AL48">
        <v>107.88112664719168</v>
      </c>
      <c r="AM48">
        <v>160.08316183303182</v>
      </c>
      <c r="AN48">
        <v>165.97096407260258</v>
      </c>
      <c r="AQ48">
        <v>46</v>
      </c>
      <c r="AR48">
        <f t="shared" si="2"/>
        <v>6.2519253341309753</v>
      </c>
      <c r="AS48">
        <f t="shared" si="3"/>
        <v>6.4740582030478597</v>
      </c>
      <c r="AV48">
        <v>368.29826298253215</v>
      </c>
      <c r="AW48">
        <v>126.61043494953471</v>
      </c>
      <c r="AX48">
        <v>-63.305217479408057</v>
      </c>
      <c r="AY48">
        <f t="shared" si="0"/>
        <v>141.55476960606276</v>
      </c>
      <c r="AZ48">
        <v>566.61271228081864</v>
      </c>
      <c r="BA48">
        <v>194.7852845377457</v>
      </c>
      <c r="BB48">
        <v>-97.392642276012396</v>
      </c>
      <c r="BC48">
        <f t="shared" si="1"/>
        <v>217.77656862471193</v>
      </c>
      <c r="BF48">
        <v>597.93533419116829</v>
      </c>
      <c r="BG48">
        <v>1.2766092709140177E-14</v>
      </c>
      <c r="BH48">
        <v>325.81337318002204</v>
      </c>
      <c r="BI48">
        <f t="shared" si="4"/>
        <v>325.81337318002204</v>
      </c>
      <c r="BJ48">
        <v>919.90051414025891</v>
      </c>
      <c r="BK48">
        <v>1.9640142629446425E-14</v>
      </c>
      <c r="BL48">
        <v>501.25134335388003</v>
      </c>
      <c r="BM48">
        <f t="shared" si="5"/>
        <v>501.25134335388003</v>
      </c>
    </row>
    <row r="49" spans="1:65" x14ac:dyDescent="0.25">
      <c r="A49">
        <v>13</v>
      </c>
      <c r="B49" s="5">
        <v>7</v>
      </c>
      <c r="C49" s="1">
        <f t="shared" ca="1" si="12"/>
        <v>0</v>
      </c>
      <c r="D49" s="46">
        <f t="shared" si="14"/>
        <v>0</v>
      </c>
      <c r="E49" s="46">
        <f t="shared" si="15"/>
        <v>0</v>
      </c>
      <c r="F49" s="1">
        <f t="shared" ca="1" si="16"/>
        <v>2.8125</v>
      </c>
      <c r="G49" t="e">
        <f t="shared" ca="1" si="17"/>
        <v>#N/A</v>
      </c>
      <c r="H49" t="e">
        <f t="shared" ca="1" si="18"/>
        <v>#N/A</v>
      </c>
      <c r="I49" s="7">
        <f t="shared" si="19"/>
        <v>0</v>
      </c>
      <c r="J49" s="7">
        <f t="shared" si="20"/>
        <v>0</v>
      </c>
      <c r="K49">
        <f t="shared" si="21"/>
        <v>9</v>
      </c>
      <c r="L49" s="15">
        <f t="shared" ca="1" si="22"/>
        <v>0</v>
      </c>
      <c r="M49" s="9">
        <f t="shared" ca="1" si="13"/>
        <v>0</v>
      </c>
      <c r="N49" s="7">
        <f t="shared" ca="1" si="23"/>
        <v>0</v>
      </c>
      <c r="O49" s="7">
        <f t="shared" ca="1" si="24"/>
        <v>0</v>
      </c>
      <c r="P49" s="7">
        <f t="shared" ca="1" si="25"/>
        <v>0</v>
      </c>
      <c r="U49" t="e">
        <f t="shared" ca="1" si="26"/>
        <v>#N/A</v>
      </c>
      <c r="V49" t="e">
        <f t="shared" ca="1" si="27"/>
        <v>#N/A</v>
      </c>
      <c r="X49" t="e">
        <f t="shared" ca="1" si="28"/>
        <v>#N/A</v>
      </c>
      <c r="Y49" t="e">
        <f t="shared" ca="1" si="29"/>
        <v>#N/A</v>
      </c>
      <c r="AJ49">
        <v>0.82030474843733558</v>
      </c>
      <c r="AK49">
        <v>102.17020912588291</v>
      </c>
      <c r="AL49">
        <v>109.66365624834067</v>
      </c>
      <c r="AM49">
        <v>157.18493711674293</v>
      </c>
      <c r="AN49">
        <v>168.7133173051395</v>
      </c>
      <c r="AQ49">
        <v>47</v>
      </c>
      <c r="AR49">
        <f t="shared" si="2"/>
        <v>6.137985240562486</v>
      </c>
      <c r="AS49">
        <f t="shared" si="3"/>
        <v>6.5821833145725339</v>
      </c>
      <c r="AV49">
        <v>385.83627550550989</v>
      </c>
      <c r="AW49">
        <v>125.43953965242289</v>
      </c>
      <c r="AX49">
        <v>-62.719769834411196</v>
      </c>
      <c r="AY49">
        <f t="shared" si="0"/>
        <v>140.245668868216</v>
      </c>
      <c r="AZ49">
        <v>593.59427000847677</v>
      </c>
      <c r="BA49">
        <v>192.98390715757367</v>
      </c>
      <c r="BB49">
        <v>-96.491953591401838</v>
      </c>
      <c r="BC49">
        <f t="shared" si="1"/>
        <v>215.76256748956308</v>
      </c>
      <c r="BF49">
        <v>626.40844534312873</v>
      </c>
      <c r="BG49">
        <v>-1.7819557845057158E-14</v>
      </c>
      <c r="BH49">
        <v>324.93095303147544</v>
      </c>
      <c r="BI49">
        <f t="shared" si="4"/>
        <v>324.93095303147544</v>
      </c>
      <c r="BJ49">
        <v>963.70530052789036</v>
      </c>
      <c r="BK49">
        <v>-2.7414704377011011E-14</v>
      </c>
      <c r="BL49">
        <v>499.89377389457758</v>
      </c>
      <c r="BM49">
        <f t="shared" si="5"/>
        <v>499.89377389457758</v>
      </c>
    </row>
    <row r="50" spans="1:65" x14ac:dyDescent="0.25">
      <c r="A50">
        <v>14</v>
      </c>
      <c r="B50" s="5">
        <v>7</v>
      </c>
      <c r="C50" s="1">
        <f t="shared" ca="1" si="12"/>
        <v>0</v>
      </c>
      <c r="D50" s="46">
        <f t="shared" si="14"/>
        <v>0</v>
      </c>
      <c r="E50" s="46">
        <f t="shared" si="15"/>
        <v>0</v>
      </c>
      <c r="F50" s="1">
        <f t="shared" ca="1" si="16"/>
        <v>2.8125</v>
      </c>
      <c r="G50" t="e">
        <f t="shared" ca="1" si="17"/>
        <v>#N/A</v>
      </c>
      <c r="H50" t="e">
        <f t="shared" ca="1" si="18"/>
        <v>#N/A</v>
      </c>
      <c r="I50" s="7">
        <f t="shared" si="19"/>
        <v>0</v>
      </c>
      <c r="J50" s="7">
        <f t="shared" si="20"/>
        <v>0</v>
      </c>
      <c r="K50">
        <f t="shared" si="21"/>
        <v>9</v>
      </c>
      <c r="L50" s="15">
        <f t="shared" ca="1" si="22"/>
        <v>0</v>
      </c>
      <c r="M50" s="9">
        <f t="shared" ca="1" si="13"/>
        <v>0</v>
      </c>
      <c r="N50" s="7">
        <f t="shared" ca="1" si="23"/>
        <v>0</v>
      </c>
      <c r="O50" s="7">
        <f t="shared" ca="1" si="24"/>
        <v>0</v>
      </c>
      <c r="P50" s="7">
        <f t="shared" ca="1" si="25"/>
        <v>0</v>
      </c>
      <c r="U50" t="e">
        <f t="shared" ca="1" si="26"/>
        <v>#N/A</v>
      </c>
      <c r="V50" t="e">
        <f t="shared" ca="1" si="27"/>
        <v>#N/A</v>
      </c>
      <c r="X50" t="e">
        <f t="shared" ca="1" si="28"/>
        <v>#N/A</v>
      </c>
      <c r="Y50" t="e">
        <f t="shared" ca="1" si="29"/>
        <v>#N/A</v>
      </c>
      <c r="AJ50">
        <v>0.8377580409572789</v>
      </c>
      <c r="AK50">
        <v>100.25637834547494</v>
      </c>
      <c r="AL50">
        <v>111.41371482052897</v>
      </c>
      <c r="AM50">
        <v>154.24058206996145</v>
      </c>
      <c r="AN50">
        <v>171.40571510850609</v>
      </c>
      <c r="AQ50">
        <v>48</v>
      </c>
      <c r="AR50">
        <f t="shared" si="2"/>
        <v>6.0221754572297241</v>
      </c>
      <c r="AS50">
        <f t="shared" si="3"/>
        <v>6.688303429296548</v>
      </c>
      <c r="AV50">
        <v>403.37428802848763</v>
      </c>
      <c r="AW50">
        <v>124.02114468411716</v>
      </c>
      <c r="AX50">
        <v>-62.010572351035407</v>
      </c>
      <c r="AY50">
        <f t="shared" si="0"/>
        <v>138.6598550845259</v>
      </c>
      <c r="AZ50">
        <v>620.57582773613478</v>
      </c>
      <c r="BA50">
        <v>190.80176105248793</v>
      </c>
      <c r="BB50">
        <v>-95.400880540054473</v>
      </c>
      <c r="BC50">
        <f t="shared" si="1"/>
        <v>213.32285397619364</v>
      </c>
      <c r="BF50">
        <v>654.88155649508917</v>
      </c>
      <c r="BG50">
        <v>2.0907914068577312E-14</v>
      </c>
      <c r="BH50">
        <v>323.5433686768352</v>
      </c>
      <c r="BI50">
        <f t="shared" si="4"/>
        <v>323.5433686768352</v>
      </c>
      <c r="BJ50">
        <v>1007.5100869155218</v>
      </c>
      <c r="BK50">
        <v>3.2166021643965093E-14</v>
      </c>
      <c r="BL50">
        <v>497.75902873359257</v>
      </c>
      <c r="BM50">
        <f t="shared" si="5"/>
        <v>497.75902873359257</v>
      </c>
    </row>
    <row r="51" spans="1:65" x14ac:dyDescent="0.25">
      <c r="A51">
        <v>15</v>
      </c>
      <c r="B51" s="5">
        <v>7</v>
      </c>
      <c r="C51" s="1">
        <f t="shared" ca="1" si="12"/>
        <v>0</v>
      </c>
      <c r="D51" s="46">
        <f t="shared" si="14"/>
        <v>0</v>
      </c>
      <c r="E51" s="46">
        <f t="shared" si="15"/>
        <v>0</v>
      </c>
      <c r="F51" s="1">
        <f t="shared" ca="1" si="16"/>
        <v>2.8125</v>
      </c>
      <c r="G51" t="e">
        <f t="shared" ca="1" si="17"/>
        <v>#N/A</v>
      </c>
      <c r="H51" t="e">
        <f t="shared" ca="1" si="18"/>
        <v>#N/A</v>
      </c>
      <c r="I51" s="7">
        <f t="shared" si="19"/>
        <v>0</v>
      </c>
      <c r="J51" s="7">
        <f t="shared" si="20"/>
        <v>0</v>
      </c>
      <c r="K51">
        <f t="shared" si="21"/>
        <v>9</v>
      </c>
      <c r="L51" s="15">
        <f t="shared" ca="1" si="22"/>
        <v>0</v>
      </c>
      <c r="M51" s="9">
        <f t="shared" ca="1" si="13"/>
        <v>0</v>
      </c>
      <c r="N51" s="7">
        <f t="shared" ca="1" si="23"/>
        <v>0</v>
      </c>
      <c r="O51" s="7">
        <f t="shared" ca="1" si="24"/>
        <v>0</v>
      </c>
      <c r="P51" s="7">
        <f t="shared" ca="1" si="25"/>
        <v>0</v>
      </c>
      <c r="U51" t="e">
        <f t="shared" ca="1" si="26"/>
        <v>#N/A</v>
      </c>
      <c r="V51" t="e">
        <f t="shared" ca="1" si="27"/>
        <v>#N/A</v>
      </c>
      <c r="X51" t="e">
        <f t="shared" ca="1" si="28"/>
        <v>#N/A</v>
      </c>
      <c r="Y51" t="e">
        <f t="shared" ca="1" si="29"/>
        <v>#N/A</v>
      </c>
      <c r="AJ51">
        <v>0.85521133347722222</v>
      </c>
      <c r="AK51">
        <v>98.313086609183301</v>
      </c>
      <c r="AL51">
        <v>113.13083832323791</v>
      </c>
      <c r="AM51">
        <v>151.25090247566661</v>
      </c>
      <c r="AN51">
        <v>174.04744357421217</v>
      </c>
      <c r="AQ51">
        <v>49</v>
      </c>
      <c r="AR51">
        <f t="shared" si="2"/>
        <v>5.904531260914565</v>
      </c>
      <c r="AS51">
        <f t="shared" si="3"/>
        <v>6.7923862220049482</v>
      </c>
      <c r="AV51">
        <v>420.91230055146536</v>
      </c>
      <c r="AW51">
        <v>122.41051539018011</v>
      </c>
      <c r="AX51">
        <v>-61.20525769509004</v>
      </c>
      <c r="AY51">
        <f t="shared" si="0"/>
        <v>136.85911678661347</v>
      </c>
      <c r="AZ51">
        <v>647.5573854637928</v>
      </c>
      <c r="BA51">
        <v>188.32386983104632</v>
      </c>
      <c r="BB51">
        <v>-94.161934915523133</v>
      </c>
      <c r="BC51">
        <f t="shared" si="1"/>
        <v>210.55248736402069</v>
      </c>
      <c r="BF51">
        <v>683.35466764704961</v>
      </c>
      <c r="BG51">
        <v>1.5085262980353551E-14</v>
      </c>
      <c r="BH51">
        <v>321.36104910016547</v>
      </c>
      <c r="BI51">
        <f t="shared" si="4"/>
        <v>321.36104910016547</v>
      </c>
      <c r="BJ51">
        <v>1051.3148733031533</v>
      </c>
      <c r="BK51">
        <v>2.3208096892851615E-14</v>
      </c>
      <c r="BL51">
        <v>494.40161400025454</v>
      </c>
      <c r="BM51">
        <f t="shared" si="5"/>
        <v>494.40161400025454</v>
      </c>
    </row>
    <row r="52" spans="1:65" x14ac:dyDescent="0.25">
      <c r="A52">
        <v>16</v>
      </c>
      <c r="B52" s="5">
        <v>7</v>
      </c>
      <c r="C52" s="1">
        <f t="shared" ca="1" si="12"/>
        <v>0</v>
      </c>
      <c r="D52" s="46">
        <f t="shared" si="14"/>
        <v>0</v>
      </c>
      <c r="E52" s="46">
        <f t="shared" si="15"/>
        <v>0</v>
      </c>
      <c r="F52" s="1">
        <f t="shared" ca="1" si="16"/>
        <v>2.8125</v>
      </c>
      <c r="G52" t="e">
        <f t="shared" ca="1" si="17"/>
        <v>#N/A</v>
      </c>
      <c r="H52" t="e">
        <f t="shared" ca="1" si="18"/>
        <v>#N/A</v>
      </c>
      <c r="I52" s="7">
        <f t="shared" si="19"/>
        <v>0</v>
      </c>
      <c r="J52" s="7">
        <f t="shared" si="20"/>
        <v>0</v>
      </c>
      <c r="K52">
        <f t="shared" si="21"/>
        <v>9</v>
      </c>
      <c r="L52" s="15">
        <f t="shared" ca="1" si="22"/>
        <v>0</v>
      </c>
      <c r="M52" s="9">
        <f t="shared" ca="1" si="13"/>
        <v>0</v>
      </c>
      <c r="N52" s="7">
        <f t="shared" ca="1" si="23"/>
        <v>0</v>
      </c>
      <c r="O52" s="7">
        <f t="shared" ca="1" si="24"/>
        <v>0</v>
      </c>
      <c r="P52" s="7">
        <f t="shared" ca="1" si="25"/>
        <v>0</v>
      </c>
      <c r="U52" t="e">
        <f t="shared" ca="1" si="26"/>
        <v>#N/A</v>
      </c>
      <c r="V52" t="e">
        <f t="shared" ca="1" si="27"/>
        <v>#N/A</v>
      </c>
      <c r="X52" t="e">
        <f t="shared" ca="1" si="28"/>
        <v>#N/A</v>
      </c>
      <c r="Y52" t="e">
        <f t="shared" ca="1" si="29"/>
        <v>#N/A</v>
      </c>
      <c r="AJ52">
        <v>0.87266462599716554</v>
      </c>
      <c r="AK52">
        <v>96.340862264189482</v>
      </c>
      <c r="AL52">
        <v>114.81456871697199</v>
      </c>
      <c r="AM52">
        <v>148.21671117567612</v>
      </c>
      <c r="AN52">
        <v>176.63779802611074</v>
      </c>
      <c r="AQ52">
        <v>50</v>
      </c>
      <c r="AR52">
        <f t="shared" si="2"/>
        <v>5.7850884871788546</v>
      </c>
      <c r="AS52">
        <f t="shared" si="3"/>
        <v>6.894399988070802</v>
      </c>
      <c r="AV52">
        <v>438.4503130744431</v>
      </c>
      <c r="AW52">
        <v>120.59519076552382</v>
      </c>
      <c r="AX52">
        <v>-60.297595382761877</v>
      </c>
      <c r="AY52">
        <f t="shared" si="0"/>
        <v>134.82952215563307</v>
      </c>
      <c r="AZ52">
        <v>674.53894319145093</v>
      </c>
      <c r="BA52">
        <v>185.53106271619049</v>
      </c>
      <c r="BB52">
        <v>-92.765531358095188</v>
      </c>
      <c r="BC52">
        <f t="shared" si="1"/>
        <v>207.43003408558934</v>
      </c>
      <c r="BF52">
        <v>711.82777879901005</v>
      </c>
      <c r="BG52">
        <v>1.9078342977196137E-14</v>
      </c>
      <c r="BH52">
        <v>318.80823915999213</v>
      </c>
      <c r="BI52">
        <f t="shared" si="4"/>
        <v>318.80823915999213</v>
      </c>
      <c r="BJ52">
        <v>1095.1196596907846</v>
      </c>
      <c r="BK52">
        <v>2.9351296887994054E-14</v>
      </c>
      <c r="BL52">
        <v>490.47421409229554</v>
      </c>
      <c r="BM52">
        <f t="shared" si="5"/>
        <v>490.47421409229554</v>
      </c>
    </row>
    <row r="53" spans="1:65" x14ac:dyDescent="0.25">
      <c r="A53">
        <v>17</v>
      </c>
      <c r="B53" s="5">
        <v>7</v>
      </c>
      <c r="C53" s="1">
        <f t="shared" ca="1" si="12"/>
        <v>0</v>
      </c>
      <c r="D53" s="46">
        <f t="shared" si="14"/>
        <v>0</v>
      </c>
      <c r="E53" s="46">
        <f t="shared" si="15"/>
        <v>0</v>
      </c>
      <c r="F53" s="1">
        <f t="shared" ca="1" si="16"/>
        <v>2.8125</v>
      </c>
      <c r="G53" t="e">
        <f t="shared" ca="1" si="17"/>
        <v>#N/A</v>
      </c>
      <c r="H53" t="e">
        <f t="shared" ca="1" si="18"/>
        <v>#N/A</v>
      </c>
      <c r="I53" s="7">
        <f t="shared" si="19"/>
        <v>0</v>
      </c>
      <c r="J53" s="7">
        <f t="shared" si="20"/>
        <v>0</v>
      </c>
      <c r="K53">
        <f t="shared" si="21"/>
        <v>9</v>
      </c>
      <c r="L53" s="15">
        <f t="shared" ca="1" si="22"/>
        <v>0</v>
      </c>
      <c r="M53" s="9">
        <f t="shared" ca="1" si="13"/>
        <v>0</v>
      </c>
      <c r="N53" s="7">
        <f t="shared" ca="1" si="23"/>
        <v>0</v>
      </c>
      <c r="O53" s="7">
        <f t="shared" ca="1" si="24"/>
        <v>0</v>
      </c>
      <c r="P53" s="7">
        <f t="shared" ca="1" si="25"/>
        <v>0</v>
      </c>
      <c r="U53" t="e">
        <f t="shared" ca="1" si="26"/>
        <v>#N/A</v>
      </c>
      <c r="V53" t="e">
        <f t="shared" ca="1" si="27"/>
        <v>#N/A</v>
      </c>
      <c r="X53" t="e">
        <f t="shared" ca="1" si="28"/>
        <v>#N/A</v>
      </c>
      <c r="Y53" t="e">
        <f t="shared" ca="1" si="29"/>
        <v>#N/A</v>
      </c>
      <c r="AJ53">
        <v>0.89011791851710886</v>
      </c>
      <c r="AK53">
        <v>94.340238354999371</v>
      </c>
      <c r="AL53">
        <v>116.46445382804691</v>
      </c>
      <c r="AM53">
        <v>145.13882823846058</v>
      </c>
      <c r="AN53">
        <v>179.17608281237986</v>
      </c>
      <c r="AQ53">
        <v>51</v>
      </c>
      <c r="AR53">
        <f t="shared" si="2"/>
        <v>5.6638835194485377</v>
      </c>
      <c r="AS53">
        <f t="shared" si="3"/>
        <v>6.9943136531127381</v>
      </c>
      <c r="AV53">
        <v>455.98832559742084</v>
      </c>
      <c r="AW53">
        <v>118.56324193038431</v>
      </c>
      <c r="AX53">
        <v>-59.281620976126774</v>
      </c>
      <c r="AY53">
        <f t="shared" si="0"/>
        <v>132.55773429943645</v>
      </c>
      <c r="AZ53">
        <v>701.52050091910894</v>
      </c>
      <c r="BA53">
        <v>182.40498758520661</v>
      </c>
      <c r="BB53">
        <v>-91.202493809425803</v>
      </c>
      <c r="BC53">
        <f t="shared" si="1"/>
        <v>203.93497584528686</v>
      </c>
      <c r="BF53">
        <v>740.30088995097049</v>
      </c>
      <c r="BG53">
        <v>3.6535874679553334E-14</v>
      </c>
      <c r="BH53">
        <v>315.66247468098408</v>
      </c>
      <c r="BI53">
        <f t="shared" si="4"/>
        <v>315.66247468098408</v>
      </c>
      <c r="BJ53">
        <v>1138.9244460784162</v>
      </c>
      <c r="BK53">
        <v>5.6209037968543588E-14</v>
      </c>
      <c r="BL53">
        <v>485.63457643228315</v>
      </c>
      <c r="BM53">
        <f t="shared" si="5"/>
        <v>485.63457643228315</v>
      </c>
    </row>
    <row r="54" spans="1:65" x14ac:dyDescent="0.25">
      <c r="A54">
        <v>18</v>
      </c>
      <c r="B54" s="5">
        <v>7</v>
      </c>
      <c r="C54" s="1">
        <f t="shared" ca="1" si="12"/>
        <v>0</v>
      </c>
      <c r="D54" s="46">
        <f t="shared" si="14"/>
        <v>0</v>
      </c>
      <c r="E54" s="46">
        <f t="shared" si="15"/>
        <v>0</v>
      </c>
      <c r="F54" s="1">
        <f t="shared" ca="1" si="16"/>
        <v>2.8125</v>
      </c>
      <c r="G54" t="e">
        <f t="shared" ca="1" si="17"/>
        <v>#N/A</v>
      </c>
      <c r="H54" t="e">
        <f t="shared" ca="1" si="18"/>
        <v>#N/A</v>
      </c>
      <c r="I54" s="7">
        <f t="shared" si="19"/>
        <v>0</v>
      </c>
      <c r="J54" s="7">
        <f t="shared" si="20"/>
        <v>0</v>
      </c>
      <c r="K54">
        <f t="shared" si="21"/>
        <v>9</v>
      </c>
      <c r="L54" s="15">
        <f t="shared" ca="1" si="22"/>
        <v>0</v>
      </c>
      <c r="M54" s="9">
        <f t="shared" ca="1" si="13"/>
        <v>0</v>
      </c>
      <c r="N54" s="7">
        <f t="shared" ca="1" si="23"/>
        <v>0</v>
      </c>
      <c r="O54" s="7">
        <f t="shared" ca="1" si="24"/>
        <v>0</v>
      </c>
      <c r="P54" s="7">
        <f t="shared" ca="1" si="25"/>
        <v>0</v>
      </c>
      <c r="U54" t="e">
        <f t="shared" ca="1" si="26"/>
        <v>#N/A</v>
      </c>
      <c r="V54" t="e">
        <f t="shared" ca="1" si="27"/>
        <v>#N/A</v>
      </c>
      <c r="X54" t="e">
        <f t="shared" ca="1" si="28"/>
        <v>#N/A</v>
      </c>
      <c r="Y54" t="e">
        <f t="shared" ca="1" si="29"/>
        <v>#N/A</v>
      </c>
      <c r="AJ54">
        <v>0.90757121103705218</v>
      </c>
      <c r="AK54">
        <v>92.311752747969862</v>
      </c>
      <c r="AL54">
        <v>118.08004722923707</v>
      </c>
      <c r="AM54">
        <v>142.01808115072285</v>
      </c>
      <c r="AN54">
        <v>181.66161112190318</v>
      </c>
      <c r="AQ54">
        <v>52</v>
      </c>
      <c r="AR54">
        <f t="shared" si="2"/>
        <v>5.5409532779309245</v>
      </c>
      <c r="AS54">
        <f t="shared" si="3"/>
        <v>7.0920967824604979</v>
      </c>
      <c r="AV54">
        <v>473.52633812039858</v>
      </c>
      <c r="AW54">
        <v>116.30329198543718</v>
      </c>
      <c r="AX54">
        <v>-58.151646001964437</v>
      </c>
      <c r="AY54">
        <f t="shared" si="0"/>
        <v>130.03103344735689</v>
      </c>
      <c r="AZ54">
        <v>728.50205864676707</v>
      </c>
      <c r="BA54">
        <v>178.9281415160572</v>
      </c>
      <c r="BB54">
        <v>-89.464070772252981</v>
      </c>
      <c r="BC54">
        <f t="shared" si="1"/>
        <v>200.04774376516443</v>
      </c>
      <c r="BF54">
        <v>768.77400110293092</v>
      </c>
      <c r="BG54">
        <v>1.0241877160970501E-14</v>
      </c>
      <c r="BH54">
        <v>311.89824792577616</v>
      </c>
      <c r="BI54">
        <f t="shared" si="4"/>
        <v>311.89824792577616</v>
      </c>
      <c r="BJ54">
        <v>1182.7292324660475</v>
      </c>
      <c r="BK54">
        <v>1.575673409380077E-14</v>
      </c>
      <c r="BL54">
        <v>479.84345834734791</v>
      </c>
      <c r="BM54">
        <f t="shared" si="5"/>
        <v>479.84345834734791</v>
      </c>
    </row>
    <row r="55" spans="1:65" x14ac:dyDescent="0.25">
      <c r="A55">
        <v>19</v>
      </c>
      <c r="B55" s="5">
        <v>7</v>
      </c>
      <c r="C55" s="1">
        <f t="shared" ca="1" si="12"/>
        <v>0</v>
      </c>
      <c r="D55" s="46">
        <f t="shared" si="14"/>
        <v>0</v>
      </c>
      <c r="E55" s="46">
        <f t="shared" si="15"/>
        <v>0</v>
      </c>
      <c r="F55" s="1">
        <f t="shared" ca="1" si="16"/>
        <v>2.8125</v>
      </c>
      <c r="G55" t="e">
        <f t="shared" ca="1" si="17"/>
        <v>#N/A</v>
      </c>
      <c r="H55" t="e">
        <f t="shared" ca="1" si="18"/>
        <v>#N/A</v>
      </c>
      <c r="I55" s="7">
        <f t="shared" si="19"/>
        <v>0</v>
      </c>
      <c r="J55" s="7">
        <f t="shared" si="20"/>
        <v>0</v>
      </c>
      <c r="K55">
        <f t="shared" si="21"/>
        <v>9</v>
      </c>
      <c r="L55" s="15">
        <f t="shared" ca="1" si="22"/>
        <v>0</v>
      </c>
      <c r="M55" s="9">
        <f t="shared" ca="1" si="13"/>
        <v>0</v>
      </c>
      <c r="N55" s="7">
        <f t="shared" ca="1" si="23"/>
        <v>0</v>
      </c>
      <c r="O55" s="7">
        <f t="shared" ca="1" si="24"/>
        <v>0</v>
      </c>
      <c r="P55" s="7">
        <f t="shared" ca="1" si="25"/>
        <v>0</v>
      </c>
      <c r="U55" t="e">
        <f t="shared" ca="1" si="26"/>
        <v>#N/A</v>
      </c>
      <c r="V55" t="e">
        <f t="shared" ca="1" si="27"/>
        <v>#N/A</v>
      </c>
      <c r="X55" t="e">
        <f t="shared" ca="1" si="28"/>
        <v>#N/A</v>
      </c>
      <c r="Y55" t="e">
        <f t="shared" ca="1" si="29"/>
        <v>#N/A</v>
      </c>
      <c r="AJ55">
        <v>0.9250245035569955</v>
      </c>
      <c r="AK55">
        <v>90.255948270472658</v>
      </c>
      <c r="AL55">
        <v>119.66090813786532</v>
      </c>
      <c r="AM55">
        <v>138.85530503149639</v>
      </c>
      <c r="AN55">
        <v>184.09370482748511</v>
      </c>
      <c r="AQ55">
        <v>53</v>
      </c>
      <c r="AR55">
        <f t="shared" si="2"/>
        <v>5.4163352083684355</v>
      </c>
      <c r="AS55">
        <f t="shared" si="3"/>
        <v>7.187719590425635</v>
      </c>
      <c r="AV55">
        <v>491.06435064337632</v>
      </c>
      <c r="AW55">
        <v>113.80454139108505</v>
      </c>
      <c r="AX55">
        <v>-56.902270705076276</v>
      </c>
      <c r="AY55">
        <f t="shared" si="0"/>
        <v>127.23734535359095</v>
      </c>
      <c r="AZ55">
        <v>755.48361637442508</v>
      </c>
      <c r="BA55">
        <v>175.08390983243854</v>
      </c>
      <c r="BB55">
        <v>-87.541954930886575</v>
      </c>
      <c r="BC55">
        <f t="shared" si="1"/>
        <v>195.74976208244763</v>
      </c>
      <c r="BF55">
        <v>797.24711225489136</v>
      </c>
      <c r="BG55">
        <v>2.7193750352112669E-15</v>
      </c>
      <c r="BH55">
        <v>307.4911049985048</v>
      </c>
      <c r="BI55">
        <f t="shared" si="4"/>
        <v>307.4911049985048</v>
      </c>
      <c r="BJ55">
        <v>1226.5340188536791</v>
      </c>
      <c r="BK55">
        <v>4.1836539003250258E-15</v>
      </c>
      <c r="BL55">
        <v>473.06323845923811</v>
      </c>
      <c r="BM55">
        <f t="shared" si="5"/>
        <v>473.06323845923811</v>
      </c>
    </row>
    <row r="56" spans="1:65" x14ac:dyDescent="0.25">
      <c r="A56">
        <v>20</v>
      </c>
      <c r="B56" s="5">
        <v>7</v>
      </c>
      <c r="C56" s="1">
        <f t="shared" ca="1" si="12"/>
        <v>0</v>
      </c>
      <c r="D56" s="46">
        <f t="shared" si="14"/>
        <v>0</v>
      </c>
      <c r="E56" s="46">
        <f t="shared" si="15"/>
        <v>0</v>
      </c>
      <c r="F56" s="1">
        <f t="shared" ca="1" si="16"/>
        <v>2.8125</v>
      </c>
      <c r="G56" t="e">
        <f t="shared" ca="1" si="17"/>
        <v>#N/A</v>
      </c>
      <c r="H56" t="e">
        <f t="shared" ca="1" si="18"/>
        <v>#N/A</v>
      </c>
      <c r="I56" s="7">
        <f t="shared" si="19"/>
        <v>0</v>
      </c>
      <c r="J56" s="7">
        <f t="shared" si="20"/>
        <v>0</v>
      </c>
      <c r="K56">
        <f t="shared" si="21"/>
        <v>9</v>
      </c>
      <c r="L56" s="15">
        <f t="shared" ca="1" si="22"/>
        <v>0</v>
      </c>
      <c r="M56" s="9">
        <f t="shared" ca="1" si="13"/>
        <v>0</v>
      </c>
      <c r="N56" s="7">
        <f t="shared" ca="1" si="23"/>
        <v>0</v>
      </c>
      <c r="O56" s="7">
        <f t="shared" ca="1" si="24"/>
        <v>0</v>
      </c>
      <c r="P56" s="7">
        <f t="shared" ca="1" si="25"/>
        <v>0</v>
      </c>
      <c r="U56" t="e">
        <f t="shared" ca="1" si="26"/>
        <v>#N/A</v>
      </c>
      <c r="V56" t="e">
        <f t="shared" ca="1" si="27"/>
        <v>#N/A</v>
      </c>
      <c r="X56" t="e">
        <f t="shared" ca="1" si="28"/>
        <v>#N/A</v>
      </c>
      <c r="Y56" t="e">
        <f t="shared" ca="1" si="29"/>
        <v>#N/A</v>
      </c>
      <c r="AJ56">
        <v>0.94247779607693882</v>
      </c>
      <c r="AK56">
        <v>88.173372862993034</v>
      </c>
      <c r="AL56">
        <v>121.20660133186084</v>
      </c>
      <c r="AM56">
        <v>135.65134286614312</v>
      </c>
      <c r="AN56">
        <v>186.47169435670898</v>
      </c>
      <c r="AQ56">
        <v>54</v>
      </c>
      <c r="AR56">
        <f t="shared" si="2"/>
        <v>5.2900672706322585</v>
      </c>
      <c r="AS56">
        <f t="shared" si="3"/>
        <v>7.2811529493745271</v>
      </c>
      <c r="AV56">
        <v>508.60236316635405</v>
      </c>
      <c r="AW56">
        <v>111.03884932149347</v>
      </c>
      <c r="AX56">
        <v>-55.519424660746687</v>
      </c>
      <c r="AY56">
        <f t="shared" si="0"/>
        <v>124.14520761310789</v>
      </c>
      <c r="AZ56">
        <v>782.4651741020831</v>
      </c>
      <c r="BA56">
        <v>170.82899895614381</v>
      </c>
      <c r="BB56">
        <v>-85.414499478071818</v>
      </c>
      <c r="BC56">
        <f t="shared" si="1"/>
        <v>190.99262709708904</v>
      </c>
      <c r="BF56">
        <v>825.7202234068518</v>
      </c>
      <c r="BG56">
        <v>-1.4237365159923464E-14</v>
      </c>
      <c r="BH56">
        <v>302.41749434596721</v>
      </c>
      <c r="BI56">
        <f t="shared" si="4"/>
        <v>302.41749434596721</v>
      </c>
      <c r="BJ56">
        <v>1270.3388052413104</v>
      </c>
      <c r="BK56">
        <v>-2.1903638707574559E-14</v>
      </c>
      <c r="BL56">
        <v>465.25768360918033</v>
      </c>
      <c r="BM56">
        <f t="shared" si="5"/>
        <v>465.25768360918033</v>
      </c>
    </row>
    <row r="57" spans="1:65" x14ac:dyDescent="0.25">
      <c r="A57">
        <v>21</v>
      </c>
      <c r="B57" s="5">
        <v>7</v>
      </c>
      <c r="C57" s="1">
        <f t="shared" ca="1" si="12"/>
        <v>0</v>
      </c>
      <c r="D57" s="46">
        <f t="shared" si="14"/>
        <v>0</v>
      </c>
      <c r="E57" s="46">
        <f t="shared" si="15"/>
        <v>0</v>
      </c>
      <c r="F57" s="1">
        <f t="shared" ca="1" si="16"/>
        <v>2.8125</v>
      </c>
      <c r="G57" t="e">
        <f t="shared" ca="1" si="17"/>
        <v>#N/A</v>
      </c>
      <c r="H57" t="e">
        <f t="shared" ca="1" si="18"/>
        <v>#N/A</v>
      </c>
      <c r="I57" s="7">
        <f t="shared" si="19"/>
        <v>0</v>
      </c>
      <c r="J57" s="7">
        <f t="shared" si="20"/>
        <v>0</v>
      </c>
      <c r="K57">
        <f t="shared" si="21"/>
        <v>9</v>
      </c>
      <c r="L57" s="15">
        <f t="shared" ca="1" si="22"/>
        <v>0</v>
      </c>
      <c r="M57" s="9">
        <f t="shared" ca="1" si="13"/>
        <v>0</v>
      </c>
      <c r="N57" s="7">
        <f t="shared" ca="1" si="23"/>
        <v>0</v>
      </c>
      <c r="O57" s="7">
        <f t="shared" ca="1" si="24"/>
        <v>0</v>
      </c>
      <c r="P57" s="7">
        <f t="shared" ca="1" si="25"/>
        <v>0</v>
      </c>
      <c r="U57" t="e">
        <f t="shared" ca="1" si="26"/>
        <v>#N/A</v>
      </c>
      <c r="V57" t="e">
        <f t="shared" ca="1" si="27"/>
        <v>#N/A</v>
      </c>
      <c r="X57" t="e">
        <f t="shared" ca="1" si="28"/>
        <v>#N/A</v>
      </c>
      <c r="Y57" t="e">
        <f t="shared" ca="1" si="29"/>
        <v>#N/A</v>
      </c>
      <c r="AJ57">
        <v>0.95993108859688214</v>
      </c>
      <c r="AK57">
        <v>86.03196345494834</v>
      </c>
      <c r="AL57">
        <v>122.6885394173645</v>
      </c>
      <c r="AM57">
        <v>132.35686685376666</v>
      </c>
      <c r="AN57">
        <v>188.75159910363769</v>
      </c>
      <c r="AQ57">
        <v>55</v>
      </c>
      <c r="AR57">
        <f t="shared" si="2"/>
        <v>5.1621879271594153</v>
      </c>
      <c r="AS57">
        <f t="shared" si="3"/>
        <v>7.3723683986009263</v>
      </c>
      <c r="AV57">
        <v>526.14037568933179</v>
      </c>
      <c r="AW57">
        <v>108.01749257450601</v>
      </c>
      <c r="AX57">
        <v>-54.008746287253025</v>
      </c>
      <c r="AY57">
        <f t="shared" si="0"/>
        <v>120.76722807783712</v>
      </c>
      <c r="AZ57">
        <v>809.44673182974122</v>
      </c>
      <c r="BA57">
        <v>166.18075780693232</v>
      </c>
      <c r="BB57">
        <v>-83.090378903466188</v>
      </c>
      <c r="BC57">
        <f t="shared" si="1"/>
        <v>185.79573550436479</v>
      </c>
      <c r="BF57">
        <v>854.19333455881224</v>
      </c>
      <c r="BG57">
        <v>9.9117925515040134E-15</v>
      </c>
      <c r="BH57">
        <v>296.49631313506939</v>
      </c>
      <c r="BI57">
        <f t="shared" si="4"/>
        <v>296.49631313506939</v>
      </c>
      <c r="BJ57">
        <v>1314.1435916289417</v>
      </c>
      <c r="BK57">
        <v>1.5248911617698481E-14</v>
      </c>
      <c r="BL57">
        <v>456.14817405395286</v>
      </c>
      <c r="BM57">
        <f t="shared" si="5"/>
        <v>456.14817405395286</v>
      </c>
    </row>
    <row r="58" spans="1:65" x14ac:dyDescent="0.25">
      <c r="A58">
        <v>22</v>
      </c>
      <c r="B58" s="5">
        <v>7</v>
      </c>
      <c r="C58" s="1">
        <f t="shared" ca="1" si="12"/>
        <v>0</v>
      </c>
      <c r="D58" s="46">
        <f t="shared" si="14"/>
        <v>0</v>
      </c>
      <c r="E58" s="46">
        <f t="shared" si="15"/>
        <v>0</v>
      </c>
      <c r="F58" s="1">
        <f t="shared" ca="1" si="16"/>
        <v>2.8125</v>
      </c>
      <c r="G58" t="e">
        <f t="shared" ca="1" si="17"/>
        <v>#N/A</v>
      </c>
      <c r="H58" t="e">
        <f t="shared" ca="1" si="18"/>
        <v>#N/A</v>
      </c>
      <c r="I58" s="7">
        <f t="shared" si="19"/>
        <v>0</v>
      </c>
      <c r="J58" s="7">
        <f t="shared" si="20"/>
        <v>0</v>
      </c>
      <c r="K58">
        <f t="shared" si="21"/>
        <v>9</v>
      </c>
      <c r="L58" s="15">
        <f t="shared" ca="1" si="22"/>
        <v>0</v>
      </c>
      <c r="M58" s="9">
        <f t="shared" ca="1" si="13"/>
        <v>0</v>
      </c>
      <c r="N58" s="7">
        <f t="shared" ca="1" si="23"/>
        <v>0</v>
      </c>
      <c r="O58" s="7">
        <f t="shared" ca="1" si="24"/>
        <v>0</v>
      </c>
      <c r="P58" s="7">
        <f t="shared" ca="1" si="25"/>
        <v>0</v>
      </c>
      <c r="U58" t="e">
        <f t="shared" ca="1" si="26"/>
        <v>#N/A</v>
      </c>
      <c r="V58" t="e">
        <f t="shared" ca="1" si="27"/>
        <v>#N/A</v>
      </c>
      <c r="X58" t="e">
        <f t="shared" ca="1" si="28"/>
        <v>#N/A</v>
      </c>
      <c r="Y58" t="e">
        <f t="shared" ca="1" si="29"/>
        <v>#N/A</v>
      </c>
      <c r="AJ58">
        <v>0.97738438111682546</v>
      </c>
      <c r="AK58">
        <v>83.860748880903344</v>
      </c>
      <c r="AL58">
        <v>124.12660164954535</v>
      </c>
      <c r="AM58">
        <v>129.01653673985129</v>
      </c>
      <c r="AN58">
        <v>190.96400253776207</v>
      </c>
      <c r="AQ58">
        <v>56</v>
      </c>
      <c r="AR58">
        <f t="shared" si="2"/>
        <v>5.0327361312367209</v>
      </c>
      <c r="AS58">
        <f t="shared" si="3"/>
        <v>7.4613381529953759</v>
      </c>
      <c r="AV58">
        <v>543.67838821230953</v>
      </c>
      <c r="AW58">
        <v>104.7265049568379</v>
      </c>
      <c r="AX58">
        <v>-52.363252478418907</v>
      </c>
      <c r="AY58">
        <f t="shared" si="0"/>
        <v>117.08779206472909</v>
      </c>
      <c r="AZ58">
        <v>836.42828955739924</v>
      </c>
      <c r="BA58">
        <v>161.11769993359675</v>
      </c>
      <c r="BB58">
        <v>-80.55884996679832</v>
      </c>
      <c r="BC58">
        <f t="shared" si="1"/>
        <v>180.13506471496783</v>
      </c>
      <c r="BF58">
        <v>882.66644571077268</v>
      </c>
      <c r="BG58">
        <v>3.0513143647808792E-14</v>
      </c>
      <c r="BH58">
        <v>289.59801040306644</v>
      </c>
      <c r="BI58">
        <f t="shared" si="4"/>
        <v>289.59801040306644</v>
      </c>
      <c r="BJ58">
        <v>1357.9483780165733</v>
      </c>
      <c r="BK58">
        <v>4.694329791970583E-14</v>
      </c>
      <c r="BL58">
        <v>445.53540062010222</v>
      </c>
      <c r="BM58">
        <f t="shared" si="5"/>
        <v>445.53540062010222</v>
      </c>
    </row>
    <row r="59" spans="1:65" x14ac:dyDescent="0.25">
      <c r="A59">
        <v>23</v>
      </c>
      <c r="B59" s="5">
        <v>7</v>
      </c>
      <c r="C59" s="1">
        <f t="shared" ca="1" si="12"/>
        <v>0</v>
      </c>
      <c r="D59" s="46">
        <f t="shared" si="14"/>
        <v>0</v>
      </c>
      <c r="E59" s="46">
        <f t="shared" si="15"/>
        <v>0</v>
      </c>
      <c r="F59" s="1">
        <f t="shared" ca="1" si="16"/>
        <v>2.8125</v>
      </c>
      <c r="G59" t="e">
        <f t="shared" ca="1" si="17"/>
        <v>#N/A</v>
      </c>
      <c r="H59" t="e">
        <f t="shared" ca="1" si="18"/>
        <v>#N/A</v>
      </c>
      <c r="I59" s="7">
        <f t="shared" si="19"/>
        <v>0</v>
      </c>
      <c r="J59" s="7">
        <f t="shared" si="20"/>
        <v>0</v>
      </c>
      <c r="K59">
        <f t="shared" si="21"/>
        <v>9</v>
      </c>
      <c r="L59" s="15">
        <f t="shared" ca="1" si="22"/>
        <v>0</v>
      </c>
      <c r="M59" s="9">
        <f t="shared" ca="1" si="13"/>
        <v>0</v>
      </c>
      <c r="N59" s="7">
        <f t="shared" ca="1" si="23"/>
        <v>0</v>
      </c>
      <c r="O59" s="7">
        <f t="shared" ca="1" si="24"/>
        <v>0</v>
      </c>
      <c r="P59" s="7">
        <f t="shared" ca="1" si="25"/>
        <v>0</v>
      </c>
      <c r="U59" t="e">
        <f t="shared" ca="1" si="26"/>
        <v>#N/A</v>
      </c>
      <c r="V59" t="e">
        <f t="shared" ca="1" si="27"/>
        <v>#N/A</v>
      </c>
      <c r="X59" t="e">
        <f t="shared" ca="1" si="28"/>
        <v>#N/A</v>
      </c>
      <c r="Y59" t="e">
        <f t="shared" ca="1" si="29"/>
        <v>#N/A</v>
      </c>
      <c r="AJ59">
        <v>0.99483767363676878</v>
      </c>
      <c r="AK59">
        <v>81.669388410533259</v>
      </c>
      <c r="AL59">
        <v>125.52816774296366</v>
      </c>
      <c r="AM59">
        <v>125.64521293928193</v>
      </c>
      <c r="AN59">
        <v>193.12025806609793</v>
      </c>
      <c r="AQ59">
        <v>57</v>
      </c>
      <c r="AR59">
        <f t="shared" si="2"/>
        <v>4.9017513151352441</v>
      </c>
      <c r="AS59">
        <f t="shared" si="3"/>
        <v>7.5480351115088169</v>
      </c>
      <c r="AV59">
        <v>561.21640073528727</v>
      </c>
      <c r="AW59">
        <v>101.15568051007092</v>
      </c>
      <c r="AX59">
        <v>-50.577840265517629</v>
      </c>
      <c r="AY59">
        <f t="shared" si="0"/>
        <v>113.09548897007235</v>
      </c>
      <c r="AZ59">
        <v>863.40984728505725</v>
      </c>
      <c r="BA59">
        <v>155.62412386164758</v>
      </c>
      <c r="BB59">
        <v>-77.812061946950195</v>
      </c>
      <c r="BC59">
        <f t="shared" si="1"/>
        <v>173.99305995395747</v>
      </c>
      <c r="BF59">
        <v>911.13955686273312</v>
      </c>
      <c r="BG59">
        <v>-1.7315324586966891E-15</v>
      </c>
      <c r="BH59">
        <v>281.95415682516318</v>
      </c>
      <c r="BI59">
        <f t="shared" si="4"/>
        <v>281.95415682516318</v>
      </c>
      <c r="BJ59">
        <v>1401.7531644042047</v>
      </c>
      <c r="BK59">
        <v>-2.6638960903025984E-15</v>
      </c>
      <c r="BL59">
        <v>433.77562588486643</v>
      </c>
      <c r="BM59">
        <f t="shared" si="5"/>
        <v>433.77562588486643</v>
      </c>
    </row>
    <row r="60" spans="1:65" x14ac:dyDescent="0.25">
      <c r="A60">
        <v>24</v>
      </c>
      <c r="B60" s="5">
        <v>7</v>
      </c>
      <c r="C60" s="1">
        <f t="shared" ca="1" si="12"/>
        <v>0</v>
      </c>
      <c r="D60" s="46">
        <f t="shared" si="14"/>
        <v>0</v>
      </c>
      <c r="E60" s="46">
        <f t="shared" si="15"/>
        <v>0</v>
      </c>
      <c r="F60" s="1">
        <f t="shared" ca="1" si="16"/>
        <v>2.8125</v>
      </c>
      <c r="G60" t="e">
        <f t="shared" ca="1" si="17"/>
        <v>#N/A</v>
      </c>
      <c r="H60" t="e">
        <f t="shared" ca="1" si="18"/>
        <v>#N/A</v>
      </c>
      <c r="I60" s="7">
        <f t="shared" si="19"/>
        <v>0</v>
      </c>
      <c r="J60" s="7">
        <f t="shared" si="20"/>
        <v>0</v>
      </c>
      <c r="K60">
        <f t="shared" si="21"/>
        <v>9</v>
      </c>
      <c r="L60" s="15">
        <f t="shared" ca="1" si="22"/>
        <v>0</v>
      </c>
      <c r="M60" s="9">
        <f t="shared" ca="1" si="13"/>
        <v>0</v>
      </c>
      <c r="N60" s="7">
        <f t="shared" ca="1" si="23"/>
        <v>0</v>
      </c>
      <c r="O60" s="7">
        <f t="shared" ca="1" si="24"/>
        <v>0</v>
      </c>
      <c r="P60" s="7">
        <f t="shared" ca="1" si="25"/>
        <v>0</v>
      </c>
      <c r="U60" t="e">
        <f t="shared" ca="1" si="26"/>
        <v>#N/A</v>
      </c>
      <c r="V60" t="e">
        <f t="shared" ca="1" si="27"/>
        <v>#N/A</v>
      </c>
      <c r="X60" t="e">
        <f t="shared" ca="1" si="28"/>
        <v>#N/A</v>
      </c>
      <c r="Y60" t="e">
        <f t="shared" ca="1" si="29"/>
        <v>#N/A</v>
      </c>
      <c r="AJ60">
        <v>1.0122909661567121</v>
      </c>
      <c r="AK60">
        <v>79.458323553570068</v>
      </c>
      <c r="AL60">
        <v>126.8932038528291</v>
      </c>
      <c r="AM60">
        <v>122.2435746978001</v>
      </c>
      <c r="AN60">
        <v>195.22031361973708</v>
      </c>
      <c r="AQ60">
        <v>58</v>
      </c>
      <c r="AR60">
        <f t="shared" si="2"/>
        <v>4.7692733780988439</v>
      </c>
      <c r="AS60">
        <f t="shared" si="3"/>
        <v>7.6324328654078339</v>
      </c>
      <c r="AV60">
        <v>578.754413258265</v>
      </c>
      <c r="AW60">
        <v>97.288170973988727</v>
      </c>
      <c r="AX60">
        <v>-48.644085497635835</v>
      </c>
      <c r="AY60">
        <f t="shared" si="0"/>
        <v>108.77148185698937</v>
      </c>
      <c r="AZ60">
        <v>890.39140501271538</v>
      </c>
      <c r="BA60">
        <v>149.67410919075189</v>
      </c>
      <c r="BB60">
        <v>-74.837054611747433</v>
      </c>
      <c r="BC60">
        <f t="shared" si="1"/>
        <v>167.3407413184452</v>
      </c>
      <c r="BF60">
        <v>939.61266801469355</v>
      </c>
      <c r="BG60">
        <v>-1.1147105481524318E-14</v>
      </c>
      <c r="BH60">
        <v>273.54235812950674</v>
      </c>
      <c r="BI60">
        <f t="shared" si="4"/>
        <v>273.54235812950674</v>
      </c>
      <c r="BJ60">
        <v>1445.5579507918362</v>
      </c>
      <c r="BK60">
        <v>-1.7149393048498951E-14</v>
      </c>
      <c r="BL60">
        <v>420.83439712231802</v>
      </c>
      <c r="BM60">
        <f t="shared" si="5"/>
        <v>420.83439712231802</v>
      </c>
    </row>
    <row r="61" spans="1:65" x14ac:dyDescent="0.25">
      <c r="A61">
        <v>25</v>
      </c>
      <c r="B61" s="5">
        <v>7</v>
      </c>
      <c r="C61" s="1">
        <f t="shared" ca="1" si="12"/>
        <v>0</v>
      </c>
      <c r="D61" s="46">
        <f t="shared" si="14"/>
        <v>0</v>
      </c>
      <c r="E61" s="46">
        <f t="shared" si="15"/>
        <v>0</v>
      </c>
      <c r="F61" s="1">
        <f t="shared" ca="1" si="16"/>
        <v>2.8125</v>
      </c>
      <c r="G61" t="e">
        <f t="shared" ca="1" si="17"/>
        <v>#N/A</v>
      </c>
      <c r="H61" t="e">
        <f t="shared" ca="1" si="18"/>
        <v>#N/A</v>
      </c>
      <c r="I61" s="7">
        <f t="shared" si="19"/>
        <v>0</v>
      </c>
      <c r="J61" s="7">
        <f t="shared" si="20"/>
        <v>0</v>
      </c>
      <c r="K61">
        <f t="shared" si="21"/>
        <v>9</v>
      </c>
      <c r="L61" s="15">
        <f t="shared" ca="1" si="22"/>
        <v>0</v>
      </c>
      <c r="M61" s="9">
        <f t="shared" ca="1" si="13"/>
        <v>0</v>
      </c>
      <c r="N61" s="7">
        <f t="shared" ca="1" si="23"/>
        <v>0</v>
      </c>
      <c r="O61" s="7">
        <f t="shared" ca="1" si="24"/>
        <v>0</v>
      </c>
      <c r="P61" s="7">
        <f t="shared" ca="1" si="25"/>
        <v>0</v>
      </c>
      <c r="U61" t="e">
        <f t="shared" ca="1" si="26"/>
        <v>#N/A</v>
      </c>
      <c r="V61" t="e">
        <f t="shared" ca="1" si="27"/>
        <v>#N/A</v>
      </c>
      <c r="X61" t="e">
        <f t="shared" ca="1" si="28"/>
        <v>#N/A</v>
      </c>
      <c r="Y61" t="e">
        <f t="shared" ca="1" si="29"/>
        <v>#N/A</v>
      </c>
      <c r="AJ61">
        <v>1.0297442586766554</v>
      </c>
      <c r="AK61">
        <v>77.227990734491783</v>
      </c>
      <c r="AL61">
        <v>128.22168272698357</v>
      </c>
      <c r="AM61">
        <v>118.81229343767966</v>
      </c>
      <c r="AN61">
        <v>197.26412727228242</v>
      </c>
      <c r="AQ61">
        <v>59</v>
      </c>
      <c r="AR61">
        <f t="shared" si="2"/>
        <v>4.6353426741904871</v>
      </c>
      <c r="AS61">
        <f t="shared" si="3"/>
        <v>7.7145057063190112</v>
      </c>
      <c r="AV61">
        <v>596.29242578124274</v>
      </c>
      <c r="AW61">
        <v>93.129191330755006</v>
      </c>
      <c r="AX61">
        <v>-46.564595671896065</v>
      </c>
      <c r="AY61">
        <f t="shared" si="0"/>
        <v>104.12160125549133</v>
      </c>
      <c r="AZ61">
        <v>917.3729627403734</v>
      </c>
      <c r="BA61">
        <v>143.27567897039231</v>
      </c>
      <c r="BB61">
        <v>-71.637839495224711</v>
      </c>
      <c r="BC61">
        <f t="shared" si="1"/>
        <v>160.18707885460205</v>
      </c>
      <c r="BF61">
        <v>968.08577916665399</v>
      </c>
      <c r="BG61">
        <v>2.3938457968510026E-14</v>
      </c>
      <c r="BH61">
        <v>264.34024277081789</v>
      </c>
      <c r="BI61">
        <f t="shared" si="4"/>
        <v>264.34024277081789</v>
      </c>
      <c r="BJ61">
        <v>1489.3627371794676</v>
      </c>
      <c r="BK61">
        <v>3.6828396874630808E-14</v>
      </c>
      <c r="BL61">
        <v>406.67729657048903</v>
      </c>
      <c r="BM61">
        <f t="shared" si="5"/>
        <v>406.67729657048903</v>
      </c>
    </row>
    <row r="62" spans="1:65" x14ac:dyDescent="0.25">
      <c r="A62">
        <v>26</v>
      </c>
      <c r="B62" s="5">
        <v>7</v>
      </c>
      <c r="C62" s="1">
        <f t="shared" ca="1" si="12"/>
        <v>0</v>
      </c>
      <c r="D62" s="46">
        <f t="shared" si="14"/>
        <v>0</v>
      </c>
      <c r="E62" s="46">
        <f t="shared" si="15"/>
        <v>0</v>
      </c>
      <c r="F62" s="1">
        <f t="shared" ca="1" si="16"/>
        <v>2.8125</v>
      </c>
      <c r="G62" t="e">
        <f t="shared" ca="1" si="17"/>
        <v>#N/A</v>
      </c>
      <c r="H62" t="e">
        <f t="shared" ca="1" si="18"/>
        <v>#N/A</v>
      </c>
      <c r="I62" s="7">
        <f t="shared" si="19"/>
        <v>0</v>
      </c>
      <c r="J62" s="7">
        <f t="shared" si="20"/>
        <v>0</v>
      </c>
      <c r="K62">
        <f t="shared" si="21"/>
        <v>9</v>
      </c>
      <c r="L62" s="15">
        <f t="shared" ca="1" si="22"/>
        <v>0</v>
      </c>
      <c r="M62" s="9">
        <f t="shared" ca="1" si="13"/>
        <v>0</v>
      </c>
      <c r="N62" s="7">
        <f t="shared" ca="1" si="23"/>
        <v>0</v>
      </c>
      <c r="O62" s="7">
        <f t="shared" ca="1" si="24"/>
        <v>0</v>
      </c>
      <c r="P62" s="7">
        <f t="shared" ca="1" si="25"/>
        <v>0</v>
      </c>
      <c r="U62" t="e">
        <f t="shared" ca="1" si="26"/>
        <v>#N/A</v>
      </c>
      <c r="V62" t="e">
        <f t="shared" ca="1" si="27"/>
        <v>#N/A</v>
      </c>
      <c r="X62" t="e">
        <f t="shared" ca="1" si="28"/>
        <v>#N/A</v>
      </c>
      <c r="Y62" t="e">
        <f t="shared" ca="1" si="29"/>
        <v>#N/A</v>
      </c>
      <c r="AJ62">
        <v>1.0471975511965987</v>
      </c>
      <c r="AK62">
        <v>74.978808291581643</v>
      </c>
      <c r="AL62">
        <v>129.51357029650737</v>
      </c>
      <c r="AM62">
        <v>115.35201275627945</v>
      </c>
      <c r="AN62">
        <v>199.25164661001133</v>
      </c>
      <c r="AQ62">
        <v>60</v>
      </c>
      <c r="AR62">
        <f t="shared" si="2"/>
        <v>4.5000000000000009</v>
      </c>
      <c r="AS62">
        <f t="shared" si="3"/>
        <v>7.7942286340599471</v>
      </c>
      <c r="AV62">
        <v>613.83043830422048</v>
      </c>
      <c r="AW62">
        <v>88.675936424129574</v>
      </c>
      <c r="AX62">
        <v>-44.337968218351001</v>
      </c>
      <c r="AY62">
        <f t="shared" si="0"/>
        <v>99.142710909212951</v>
      </c>
      <c r="AZ62">
        <v>944.35452046803152</v>
      </c>
      <c r="BA62">
        <v>136.42451757558396</v>
      </c>
      <c r="BB62">
        <v>-68.212258797463079</v>
      </c>
      <c r="BC62">
        <f t="shared" si="1"/>
        <v>152.52724755263532</v>
      </c>
      <c r="BF62">
        <v>996.55889031861443</v>
      </c>
      <c r="BG62">
        <v>-8.0425373579395478E-15</v>
      </c>
      <c r="BH62">
        <v>254.32522565325155</v>
      </c>
      <c r="BI62">
        <f t="shared" si="4"/>
        <v>254.32522565325155</v>
      </c>
      <c r="BJ62">
        <v>1533.1675235670991</v>
      </c>
      <c r="BK62">
        <v>-1.2373134396830074E-14</v>
      </c>
      <c r="BL62">
        <v>391.26957792807929</v>
      </c>
      <c r="BM62">
        <f t="shared" si="5"/>
        <v>391.26957792807929</v>
      </c>
    </row>
    <row r="63" spans="1:65" x14ac:dyDescent="0.25">
      <c r="A63">
        <v>27</v>
      </c>
      <c r="B63" s="5">
        <v>0</v>
      </c>
      <c r="C63" s="1">
        <f t="shared" ca="1" si="12"/>
        <v>0</v>
      </c>
      <c r="D63" s="46">
        <f t="shared" si="14"/>
        <v>0</v>
      </c>
      <c r="E63" s="46">
        <f t="shared" si="15"/>
        <v>0</v>
      </c>
      <c r="F63" s="1">
        <f t="shared" ca="1" si="16"/>
        <v>2.375</v>
      </c>
      <c r="G63" t="e">
        <f t="shared" ca="1" si="17"/>
        <v>#N/A</v>
      </c>
      <c r="H63" t="e">
        <f t="shared" ca="1" si="18"/>
        <v>#N/A</v>
      </c>
      <c r="I63" s="7">
        <f t="shared" si="19"/>
        <v>0</v>
      </c>
      <c r="J63" s="7">
        <f t="shared" si="20"/>
        <v>0</v>
      </c>
      <c r="K63">
        <f t="shared" si="21"/>
        <v>0</v>
      </c>
      <c r="L63" s="15">
        <f t="shared" ca="1" si="22"/>
        <v>0</v>
      </c>
      <c r="M63" s="9">
        <f t="shared" ca="1" si="13"/>
        <v>0</v>
      </c>
      <c r="N63" s="7">
        <f t="shared" ca="1" si="23"/>
        <v>0</v>
      </c>
      <c r="O63" s="7">
        <f t="shared" ca="1" si="24"/>
        <v>0</v>
      </c>
      <c r="P63" s="7">
        <f t="shared" ca="1" si="25"/>
        <v>0</v>
      </c>
      <c r="U63" t="e">
        <f t="shared" ca="1" si="26"/>
        <v>#N/A</v>
      </c>
      <c r="V63" t="e">
        <f t="shared" ca="1" si="27"/>
        <v>#N/A</v>
      </c>
      <c r="X63" t="e">
        <f t="shared" ca="1" si="28"/>
        <v>#N/A</v>
      </c>
      <c r="Y63" t="e">
        <f t="shared" ca="1" si="29"/>
        <v>#N/A</v>
      </c>
      <c r="AJ63">
        <v>1.0646508437165421</v>
      </c>
      <c r="AK63">
        <v>72.711177029739389</v>
      </c>
      <c r="AL63">
        <v>130.76882376341396</v>
      </c>
      <c r="AM63">
        <v>111.86334927652213</v>
      </c>
      <c r="AN63">
        <v>201.18280578986761</v>
      </c>
      <c r="AQ63">
        <v>61</v>
      </c>
      <c r="AR63">
        <f t="shared" si="2"/>
        <v>4.3632865822170341</v>
      </c>
      <c r="AS63">
        <f t="shared" si="3"/>
        <v>7.8715773642545619</v>
      </c>
      <c r="AV63">
        <v>631.36845082719822</v>
      </c>
      <c r="AW63">
        <v>83.928953563466834</v>
      </c>
      <c r="AX63">
        <v>-41.964476786957917</v>
      </c>
      <c r="AY63">
        <f t="shared" si="0"/>
        <v>93.835422726503992</v>
      </c>
      <c r="AZ63">
        <v>971.33607819568954</v>
      </c>
      <c r="BA63">
        <v>129.1214670207182</v>
      </c>
      <c r="BB63">
        <v>-64.560733518396788</v>
      </c>
      <c r="BC63">
        <f t="shared" si="1"/>
        <v>144.36218881000613</v>
      </c>
      <c r="BF63">
        <v>1025.0320014705749</v>
      </c>
      <c r="BG63">
        <v>-9.6158431384648336E-16</v>
      </c>
      <c r="BH63">
        <v>243.47424801520378</v>
      </c>
      <c r="BI63">
        <f t="shared" si="4"/>
        <v>243.47424801520378</v>
      </c>
      <c r="BJ63">
        <v>1576.9723099547305</v>
      </c>
      <c r="BK63">
        <v>-1.4793604828407435E-15</v>
      </c>
      <c r="BL63">
        <v>374.57576617723657</v>
      </c>
      <c r="BM63">
        <f t="shared" si="5"/>
        <v>374.57576617723657</v>
      </c>
    </row>
    <row r="64" spans="1:65" x14ac:dyDescent="0.25">
      <c r="A64">
        <v>28</v>
      </c>
      <c r="B64" s="5">
        <v>0</v>
      </c>
      <c r="C64" s="1">
        <f t="shared" ca="1" si="12"/>
        <v>0</v>
      </c>
      <c r="D64" s="46">
        <f t="shared" si="14"/>
        <v>0</v>
      </c>
      <c r="E64" s="46">
        <f t="shared" si="15"/>
        <v>0</v>
      </c>
      <c r="F64" s="1">
        <f t="shared" ca="1" si="16"/>
        <v>2.375</v>
      </c>
      <c r="G64" t="e">
        <f t="shared" ca="1" si="17"/>
        <v>#N/A</v>
      </c>
      <c r="H64" t="e">
        <f t="shared" ca="1" si="18"/>
        <v>#N/A</v>
      </c>
      <c r="I64" s="7">
        <f t="shared" si="19"/>
        <v>0</v>
      </c>
      <c r="J64" s="7">
        <f t="shared" si="20"/>
        <v>0</v>
      </c>
      <c r="K64">
        <f t="shared" si="21"/>
        <v>0</v>
      </c>
      <c r="L64" s="15">
        <f t="shared" ca="1" si="22"/>
        <v>0</v>
      </c>
      <c r="M64" s="9">
        <f t="shared" ca="1" si="13"/>
        <v>0</v>
      </c>
      <c r="N64" s="7">
        <f t="shared" ca="1" si="23"/>
        <v>0</v>
      </c>
      <c r="O64" s="7">
        <f t="shared" ca="1" si="24"/>
        <v>0</v>
      </c>
      <c r="P64" s="7">
        <f t="shared" ca="1" si="25"/>
        <v>0</v>
      </c>
      <c r="U64" t="e">
        <f t="shared" ca="1" si="26"/>
        <v>#N/A</v>
      </c>
      <c r="V64" t="e">
        <f t="shared" ca="1" si="27"/>
        <v>#N/A</v>
      </c>
      <c r="X64" t="e">
        <f t="shared" ca="1" si="28"/>
        <v>#N/A</v>
      </c>
      <c r="Y64" t="e">
        <f t="shared" ca="1" si="29"/>
        <v>#N/A</v>
      </c>
      <c r="AJ64">
        <v>1.0821041362364854</v>
      </c>
      <c r="AK64">
        <v>70.42548140124245</v>
      </c>
      <c r="AL64">
        <v>131.98739026974442</v>
      </c>
      <c r="AM64">
        <v>108.34689446344991</v>
      </c>
      <c r="AN64">
        <v>203.05752349191448</v>
      </c>
      <c r="AQ64">
        <v>62</v>
      </c>
      <c r="AR64">
        <f t="shared" si="2"/>
        <v>4.2252440650730181</v>
      </c>
      <c r="AS64">
        <f t="shared" si="3"/>
        <v>7.946528335730342</v>
      </c>
      <c r="AV64">
        <v>648.90646335017595</v>
      </c>
      <c r="AW64">
        <v>78.894599917991485</v>
      </c>
      <c r="AX64">
        <v>-39.447299961910844</v>
      </c>
      <c r="AY64">
        <f t="shared" si="0"/>
        <v>88.206844238442812</v>
      </c>
      <c r="AZ64">
        <v>998.31763592334755</v>
      </c>
      <c r="BA64">
        <v>121.37630756614074</v>
      </c>
      <c r="BB64">
        <v>-60.688153787555144</v>
      </c>
      <c r="BC64">
        <f t="shared" si="1"/>
        <v>135.70283728991203</v>
      </c>
      <c r="BF64">
        <v>1053.5051126225353</v>
      </c>
      <c r="BG64">
        <v>8.7608416285860776E-15</v>
      </c>
      <c r="BH64">
        <v>231.76348382846149</v>
      </c>
      <c r="BI64">
        <f t="shared" si="4"/>
        <v>231.76348382846149</v>
      </c>
      <c r="BJ64">
        <v>1620.777096342362</v>
      </c>
      <c r="BK64">
        <v>1.3478217890132426E-14</v>
      </c>
      <c r="BL64">
        <v>356.55920588994076</v>
      </c>
      <c r="BM64">
        <f t="shared" si="5"/>
        <v>356.55920588994076</v>
      </c>
    </row>
    <row r="65" spans="1:65" x14ac:dyDescent="0.25">
      <c r="A65">
        <v>29</v>
      </c>
      <c r="B65" s="5">
        <v>0</v>
      </c>
      <c r="C65" s="1">
        <f t="shared" ca="1" si="12"/>
        <v>0</v>
      </c>
      <c r="D65" s="46">
        <f t="shared" si="14"/>
        <v>0</v>
      </c>
      <c r="E65" s="46">
        <f t="shared" si="15"/>
        <v>0</v>
      </c>
      <c r="F65" s="1">
        <f t="shared" ca="1" si="16"/>
        <v>2.375</v>
      </c>
      <c r="G65" t="e">
        <f t="shared" ca="1" si="17"/>
        <v>#N/A</v>
      </c>
      <c r="H65" t="e">
        <f t="shared" ca="1" si="18"/>
        <v>#N/A</v>
      </c>
      <c r="I65" s="7">
        <f t="shared" si="19"/>
        <v>0</v>
      </c>
      <c r="J65" s="7">
        <f t="shared" si="20"/>
        <v>0</v>
      </c>
      <c r="K65">
        <f t="shared" si="21"/>
        <v>0</v>
      </c>
      <c r="L65" s="15">
        <f t="shared" ca="1" si="22"/>
        <v>0</v>
      </c>
      <c r="M65" s="9">
        <f t="shared" ca="1" si="13"/>
        <v>0</v>
      </c>
      <c r="N65" s="7">
        <f t="shared" ca="1" si="23"/>
        <v>0</v>
      </c>
      <c r="O65" s="7">
        <f t="shared" ca="1" si="24"/>
        <v>0</v>
      </c>
      <c r="P65" s="7">
        <f t="shared" ca="1" si="25"/>
        <v>0</v>
      </c>
      <c r="U65" t="e">
        <f t="shared" ca="1" si="26"/>
        <v>#N/A</v>
      </c>
      <c r="V65" t="e">
        <f t="shared" ca="1" si="27"/>
        <v>#N/A</v>
      </c>
      <c r="X65" t="e">
        <f t="shared" ca="1" si="28"/>
        <v>#N/A</v>
      </c>
      <c r="Y65" t="e">
        <f t="shared" ca="1" si="29"/>
        <v>#N/A</v>
      </c>
      <c r="AJ65">
        <v>1.0995574287564287</v>
      </c>
      <c r="AK65">
        <v>68.122090765966178</v>
      </c>
      <c r="AL65">
        <v>133.16920565048767</v>
      </c>
      <c r="AM65">
        <v>104.80321656302489</v>
      </c>
      <c r="AN65">
        <v>204.87570100075024</v>
      </c>
      <c r="AQ65">
        <v>63</v>
      </c>
      <c r="AR65">
        <f t="shared" si="2"/>
        <v>4.0859144976559216</v>
      </c>
      <c r="AS65">
        <f t="shared" si="3"/>
        <v>8.0190587176953105</v>
      </c>
      <c r="AV65">
        <v>666.44447587315369</v>
      </c>
      <c r="AW65">
        <v>73.590852469276925</v>
      </c>
      <c r="AX65">
        <v>-36.795426241455544</v>
      </c>
      <c r="AY65">
        <f t="shared" si="0"/>
        <v>82.27707432477942</v>
      </c>
      <c r="AZ65">
        <v>1025.2991936510057</v>
      </c>
      <c r="BA65">
        <v>113.21669610657987</v>
      </c>
      <c r="BB65">
        <v>-56.608348063777761</v>
      </c>
      <c r="BC65">
        <f t="shared" si="1"/>
        <v>126.58011434581448</v>
      </c>
      <c r="BF65">
        <v>1081.9782237744957</v>
      </c>
      <c r="BG65">
        <v>-5.2613588758120855E-16</v>
      </c>
      <c r="BH65">
        <v>219.16799935144132</v>
      </c>
      <c r="BI65">
        <f t="shared" si="4"/>
        <v>219.16799935144132</v>
      </c>
      <c r="BJ65">
        <v>1664.5818827299934</v>
      </c>
      <c r="BK65">
        <v>-8.094398270480131E-16</v>
      </c>
      <c r="BL65">
        <v>337.18153746375589</v>
      </c>
      <c r="BM65">
        <f t="shared" si="5"/>
        <v>337.18153746375589</v>
      </c>
    </row>
    <row r="66" spans="1:65" x14ac:dyDescent="0.25">
      <c r="A66">
        <v>30</v>
      </c>
      <c r="B66" s="5">
        <v>0</v>
      </c>
      <c r="C66" s="1">
        <f t="shared" ca="1" si="12"/>
        <v>0</v>
      </c>
      <c r="D66" s="46">
        <f t="shared" si="14"/>
        <v>0</v>
      </c>
      <c r="E66" s="46">
        <f t="shared" si="15"/>
        <v>0</v>
      </c>
      <c r="F66" s="1">
        <f t="shared" ca="1" si="16"/>
        <v>2.375</v>
      </c>
      <c r="G66" t="e">
        <f t="shared" ca="1" si="17"/>
        <v>#N/A</v>
      </c>
      <c r="H66" t="e">
        <f t="shared" ca="1" si="18"/>
        <v>#N/A</v>
      </c>
      <c r="I66" s="7">
        <f t="shared" si="19"/>
        <v>0</v>
      </c>
      <c r="J66" s="7">
        <f t="shared" si="20"/>
        <v>0</v>
      </c>
      <c r="K66">
        <f t="shared" si="21"/>
        <v>0</v>
      </c>
      <c r="L66" s="15">
        <f t="shared" ca="1" si="22"/>
        <v>0</v>
      </c>
      <c r="M66" s="9">
        <f t="shared" ca="1" si="13"/>
        <v>0</v>
      </c>
      <c r="N66" s="7">
        <f t="shared" ca="1" si="23"/>
        <v>0</v>
      </c>
      <c r="O66" s="7">
        <f t="shared" ca="1" si="24"/>
        <v>0</v>
      </c>
      <c r="P66" s="7">
        <f t="shared" ca="1" si="25"/>
        <v>0</v>
      </c>
      <c r="U66" t="e">
        <f t="shared" ca="1" si="26"/>
        <v>#N/A</v>
      </c>
      <c r="V66" t="e">
        <f t="shared" ca="1" si="27"/>
        <v>#N/A</v>
      </c>
      <c r="X66" t="e">
        <f t="shared" ca="1" si="28"/>
        <v>#N/A</v>
      </c>
      <c r="Y66" t="e">
        <f t="shared" ca="1" si="29"/>
        <v>#N/A</v>
      </c>
      <c r="AJ66">
        <v>1.117010721276372</v>
      </c>
      <c r="AK66">
        <v>65.80136072531549</v>
      </c>
      <c r="AL66">
        <v>134.31419327371179</v>
      </c>
      <c r="AM66">
        <v>101.23286265433153</v>
      </c>
      <c r="AN66">
        <v>206.63722042109507</v>
      </c>
      <c r="AQ66">
        <v>64</v>
      </c>
      <c r="AR66">
        <f t="shared" si="2"/>
        <v>3.9453403211016971</v>
      </c>
      <c r="AS66">
        <f t="shared" si="3"/>
        <v>8.089146416692504</v>
      </c>
      <c r="AV66">
        <v>683.98248839613143</v>
      </c>
      <c r="AW66">
        <v>68.06763222665812</v>
      </c>
      <c r="AX66">
        <v>-34.033816113329031</v>
      </c>
      <c r="AY66">
        <f t="shared" ref="AY66:AY77" si="30">SQRT(POWER(AW66,2)+POWER(AX66,2))</f>
        <v>76.101926363131454</v>
      </c>
      <c r="AZ66">
        <v>1052.2807513786638</v>
      </c>
      <c r="BA66">
        <v>104.71943419485864</v>
      </c>
      <c r="BB66">
        <v>-52.359717097429275</v>
      </c>
      <c r="BC66">
        <f t="shared" ref="BC66:BC77" si="31">SQRT(POWER(BA66,2)+POWER(BB66,2))</f>
        <v>117.07988671250992</v>
      </c>
      <c r="BF66">
        <v>1110.4513349264562</v>
      </c>
      <c r="BG66">
        <v>1.4522670658077192E-14</v>
      </c>
      <c r="BH66">
        <v>205.66134710588881</v>
      </c>
      <c r="BI66">
        <f t="shared" si="4"/>
        <v>205.66134710588881</v>
      </c>
      <c r="BJ66">
        <v>1708.3866691176249</v>
      </c>
      <c r="BK66">
        <v>2.2342570243195679E-14</v>
      </c>
      <c r="BL66">
        <v>316.40207247059817</v>
      </c>
      <c r="BM66">
        <f t="shared" si="5"/>
        <v>316.40207247059817</v>
      </c>
    </row>
    <row r="67" spans="1:65" x14ac:dyDescent="0.25">
      <c r="A67">
        <v>31</v>
      </c>
      <c r="B67" s="5">
        <v>0</v>
      </c>
      <c r="C67" s="1">
        <f t="shared" ca="1" si="12"/>
        <v>0</v>
      </c>
      <c r="D67" s="46">
        <f t="shared" si="14"/>
        <v>0</v>
      </c>
      <c r="E67" s="46">
        <f t="shared" si="15"/>
        <v>0</v>
      </c>
      <c r="F67" s="1">
        <f t="shared" ca="1" si="16"/>
        <v>2.375</v>
      </c>
      <c r="G67" t="e">
        <f t="shared" ca="1" si="17"/>
        <v>#N/A</v>
      </c>
      <c r="H67" t="e">
        <f t="shared" ca="1" si="18"/>
        <v>#N/A</v>
      </c>
      <c r="I67" s="7">
        <f t="shared" si="19"/>
        <v>0</v>
      </c>
      <c r="J67" s="7">
        <f t="shared" si="20"/>
        <v>0</v>
      </c>
      <c r="K67">
        <f t="shared" si="21"/>
        <v>0</v>
      </c>
      <c r="L67" s="15">
        <f t="shared" ca="1" si="22"/>
        <v>0</v>
      </c>
      <c r="M67" s="9">
        <f t="shared" ca="1" si="13"/>
        <v>0</v>
      </c>
      <c r="N67" s="7">
        <f t="shared" ca="1" si="23"/>
        <v>0</v>
      </c>
      <c r="O67" s="7">
        <f t="shared" ca="1" si="24"/>
        <v>0</v>
      </c>
      <c r="P67" s="7">
        <f t="shared" ca="1" si="25"/>
        <v>0</v>
      </c>
      <c r="U67" t="e">
        <f t="shared" ca="1" si="26"/>
        <v>#N/A</v>
      </c>
      <c r="V67" t="e">
        <f t="shared" ca="1" si="27"/>
        <v>#N/A</v>
      </c>
      <c r="X67" t="e">
        <f t="shared" ca="1" si="28"/>
        <v>#N/A</v>
      </c>
      <c r="Y67" t="e">
        <f t="shared" ca="1" si="29"/>
        <v>#N/A</v>
      </c>
      <c r="AJ67">
        <v>1.1344640137963153</v>
      </c>
      <c r="AK67">
        <v>63.463634524716824</v>
      </c>
      <c r="AL67">
        <v>135.42226297233248</v>
      </c>
      <c r="AM67">
        <v>97.636360807256651</v>
      </c>
      <c r="AN67">
        <v>208.34194303435766</v>
      </c>
      <c r="AQ67">
        <v>65</v>
      </c>
      <c r="AR67">
        <f t="shared" ref="AR67:AR130" si="32">$B$3*COS(RADIANS(AQ67))</f>
        <v>3.8035643556662948</v>
      </c>
      <c r="AS67">
        <f t="shared" ref="AS67:AS130" si="33">$B$3*SIN(RADIANS(AQ67))</f>
        <v>8.1567700833298495</v>
      </c>
      <c r="AV67">
        <v>701.52050091910917</v>
      </c>
      <c r="AW67">
        <v>62.645883404431174</v>
      </c>
      <c r="AX67">
        <v>-31.322941702215587</v>
      </c>
      <c r="AY67">
        <f t="shared" si="30"/>
        <v>70.040226901417029</v>
      </c>
      <c r="AZ67">
        <v>1079.2623091063217</v>
      </c>
      <c r="BA67">
        <v>96.378282160663346</v>
      </c>
      <c r="BB67">
        <v>-48.189141080331673</v>
      </c>
      <c r="BC67">
        <f t="shared" si="31"/>
        <v>107.75419523294927</v>
      </c>
      <c r="BF67">
        <v>1138.9244460784166</v>
      </c>
      <c r="BG67">
        <v>1.2483096847054534E-14</v>
      </c>
      <c r="BH67">
        <v>191.21506736130877</v>
      </c>
      <c r="BI67">
        <f t="shared" ref="BI67:BI77" si="34">SQRT(POWER(BG67,2)+POWER(BH67,2))</f>
        <v>191.21506736130877</v>
      </c>
      <c r="BJ67">
        <v>1752.1914555052563</v>
      </c>
      <c r="BK67">
        <v>1.9204764380083897E-14</v>
      </c>
      <c r="BL67">
        <v>294.17702670970579</v>
      </c>
      <c r="BM67">
        <f t="shared" ref="BM67:BM77" si="35">SQRT(POWER(BK67,2)+POWER(BL67,2))</f>
        <v>294.17702670970579</v>
      </c>
    </row>
    <row r="68" spans="1:65" x14ac:dyDescent="0.25">
      <c r="A68">
        <v>32</v>
      </c>
      <c r="B68" s="5">
        <v>0</v>
      </c>
      <c r="C68" s="1">
        <f t="shared" ca="1" si="12"/>
        <v>0</v>
      </c>
      <c r="D68" s="46">
        <f t="shared" si="14"/>
        <v>0</v>
      </c>
      <c r="E68" s="46">
        <f t="shared" si="15"/>
        <v>0</v>
      </c>
      <c r="F68" s="1">
        <f t="shared" ca="1" si="16"/>
        <v>2.375</v>
      </c>
      <c r="G68" t="e">
        <f t="shared" ca="1" si="17"/>
        <v>#N/A</v>
      </c>
      <c r="H68" t="e">
        <f t="shared" ca="1" si="18"/>
        <v>#N/A</v>
      </c>
      <c r="I68" s="7">
        <f t="shared" si="19"/>
        <v>0</v>
      </c>
      <c r="J68" s="7">
        <f t="shared" si="20"/>
        <v>0</v>
      </c>
      <c r="K68">
        <f t="shared" si="21"/>
        <v>0</v>
      </c>
      <c r="L68" s="15">
        <f t="shared" ca="1" si="22"/>
        <v>0</v>
      </c>
      <c r="M68" s="9">
        <f t="shared" ca="1" si="13"/>
        <v>0</v>
      </c>
      <c r="N68" s="7">
        <f t="shared" ca="1" si="23"/>
        <v>0</v>
      </c>
      <c r="O68" s="7">
        <f t="shared" ca="1" si="24"/>
        <v>0</v>
      </c>
      <c r="P68" s="7">
        <f t="shared" ca="1" si="25"/>
        <v>0</v>
      </c>
      <c r="U68" t="e">
        <f t="shared" ca="1" si="26"/>
        <v>#N/A</v>
      </c>
      <c r="V68" t="e">
        <f t="shared" ca="1" si="27"/>
        <v>#N/A</v>
      </c>
      <c r="X68" t="e">
        <f t="shared" ca="1" si="28"/>
        <v>#N/A</v>
      </c>
      <c r="Y68" t="e">
        <f t="shared" ca="1" si="29"/>
        <v>#N/A</v>
      </c>
      <c r="AJ68">
        <v>1.1519173063162587</v>
      </c>
      <c r="AK68">
        <v>61.109244519030639</v>
      </c>
      <c r="AL68">
        <v>136.49331007117888</v>
      </c>
      <c r="AM68">
        <v>94.014222336970207</v>
      </c>
      <c r="AN68">
        <v>209.98970780181367</v>
      </c>
      <c r="AQ68">
        <v>66</v>
      </c>
      <c r="AR68">
        <f t="shared" si="32"/>
        <v>3.6606297876822018</v>
      </c>
      <c r="AS68">
        <f t="shared" si="33"/>
        <v>8.2219091187834081</v>
      </c>
      <c r="AV68">
        <v>719.05851344208691</v>
      </c>
      <c r="AW68">
        <v>57.039491660385963</v>
      </c>
      <c r="AX68">
        <v>-28.519745830192996</v>
      </c>
      <c r="AY68">
        <f t="shared" si="30"/>
        <v>63.772090377327693</v>
      </c>
      <c r="AZ68">
        <v>1106.2438668339798</v>
      </c>
      <c r="BA68">
        <v>87.753064092901482</v>
      </c>
      <c r="BB68">
        <v>-43.876532046450762</v>
      </c>
      <c r="BC68">
        <f t="shared" si="31"/>
        <v>98.110908272811827</v>
      </c>
      <c r="BF68">
        <v>1167.3975572303771</v>
      </c>
      <c r="BG68">
        <v>1.3843979053271038E-14</v>
      </c>
      <c r="BH68">
        <v>175.73316096532744</v>
      </c>
      <c r="BI68">
        <f t="shared" si="34"/>
        <v>175.73316096532744</v>
      </c>
      <c r="BJ68">
        <v>1795.9962418928876</v>
      </c>
      <c r="BK68">
        <v>2.1298429312724674E-14</v>
      </c>
      <c r="BL68">
        <v>270.35870917742682</v>
      </c>
      <c r="BM68">
        <f t="shared" si="35"/>
        <v>270.35870917742682</v>
      </c>
    </row>
    <row r="69" spans="1:65" x14ac:dyDescent="0.25">
      <c r="A69">
        <v>33</v>
      </c>
      <c r="B69" s="5">
        <v>0</v>
      </c>
      <c r="C69" s="1">
        <f t="shared" ref="C69:C100" ca="1" si="36">IF(A69&lt;=$B$31,OFFSET($Q$36,MATCH(B69,$Q$36:$Q$47,0)-1,2),0)</f>
        <v>0</v>
      </c>
      <c r="D69" s="46">
        <f t="shared" si="14"/>
        <v>0</v>
      </c>
      <c r="E69" s="46">
        <f t="shared" si="15"/>
        <v>0</v>
      </c>
      <c r="F69" s="1">
        <f t="shared" ca="1" si="16"/>
        <v>2.375</v>
      </c>
      <c r="G69" t="e">
        <f t="shared" ca="1" si="17"/>
        <v>#N/A</v>
      </c>
      <c r="H69" t="e">
        <f t="shared" ca="1" si="18"/>
        <v>#N/A</v>
      </c>
      <c r="I69" s="7">
        <f t="shared" si="19"/>
        <v>0</v>
      </c>
      <c r="J69" s="7">
        <f t="shared" si="20"/>
        <v>0</v>
      </c>
      <c r="K69">
        <f t="shared" si="21"/>
        <v>0</v>
      </c>
      <c r="L69" s="15">
        <f t="shared" ca="1" si="22"/>
        <v>0</v>
      </c>
      <c r="M69" s="9">
        <f t="shared" ref="M69:M100" ca="1" si="37">IF(AND(L69&gt;0,K69&lt;=$B$12),MIN((L69*F$35),C$35)-IF($B$2="Whitney",$B$9,B183),MAX(L69*F$35,-1*C$35))</f>
        <v>0</v>
      </c>
      <c r="N69" s="7">
        <f t="shared" ca="1" si="23"/>
        <v>0</v>
      </c>
      <c r="O69" s="7">
        <f t="shared" ca="1" si="24"/>
        <v>0</v>
      </c>
      <c r="P69" s="7">
        <f t="shared" ca="1" si="25"/>
        <v>0</v>
      </c>
      <c r="U69" t="e">
        <f t="shared" ca="1" si="26"/>
        <v>#N/A</v>
      </c>
      <c r="V69" t="e">
        <f t="shared" ca="1" si="27"/>
        <v>#N/A</v>
      </c>
      <c r="X69" t="e">
        <f t="shared" ca="1" si="28"/>
        <v>#N/A</v>
      </c>
      <c r="Y69" t="e">
        <f t="shared" ca="1" si="29"/>
        <v>#N/A</v>
      </c>
      <c r="AJ69">
        <v>1.169370598836202</v>
      </c>
      <c r="AK69">
        <v>58.738513695089637</v>
      </c>
      <c r="AL69">
        <v>137.52721451275065</v>
      </c>
      <c r="AM69">
        <v>90.366944146291743</v>
      </c>
      <c r="AN69">
        <v>211.58033001961638</v>
      </c>
      <c r="AQ69">
        <v>67</v>
      </c>
      <c r="AR69">
        <f t="shared" si="32"/>
        <v>3.5165801564034633</v>
      </c>
      <c r="AS69">
        <f t="shared" si="33"/>
        <v>8.2845436810719626</v>
      </c>
      <c r="AV69">
        <v>736.59652596506464</v>
      </c>
      <c r="AW69">
        <v>51.407662090785358</v>
      </c>
      <c r="AX69">
        <v>-25.703831045392686</v>
      </c>
      <c r="AY69">
        <f t="shared" si="30"/>
        <v>57.475513499667514</v>
      </c>
      <c r="AZ69">
        <v>1133.225424561638</v>
      </c>
      <c r="BA69">
        <v>79.088710908900552</v>
      </c>
      <c r="BB69">
        <v>-39.544355454450283</v>
      </c>
      <c r="BC69">
        <f t="shared" si="31"/>
        <v>88.423866922565409</v>
      </c>
      <c r="BF69">
        <v>1195.8706683823375</v>
      </c>
      <c r="BG69">
        <v>-1.8921707051324128E-14</v>
      </c>
      <c r="BH69">
        <v>159.19136807066516</v>
      </c>
      <c r="BI69">
        <f t="shared" si="34"/>
        <v>159.19136807066516</v>
      </c>
      <c r="BJ69">
        <v>1839.8010282805192</v>
      </c>
      <c r="BK69">
        <v>-2.9110318540498659E-14</v>
      </c>
      <c r="BL69">
        <v>244.90979703179255</v>
      </c>
      <c r="BM69">
        <f t="shared" si="35"/>
        <v>244.90979703179255</v>
      </c>
    </row>
    <row r="70" spans="1:65" x14ac:dyDescent="0.25">
      <c r="A70">
        <v>34</v>
      </c>
      <c r="B70" s="5">
        <v>0</v>
      </c>
      <c r="C70" s="1">
        <f t="shared" ca="1" si="36"/>
        <v>0</v>
      </c>
      <c r="D70" s="46">
        <f t="shared" si="14"/>
        <v>0</v>
      </c>
      <c r="E70" s="46">
        <f t="shared" si="15"/>
        <v>0</v>
      </c>
      <c r="F70" s="1">
        <f t="shared" ca="1" si="16"/>
        <v>2.375</v>
      </c>
      <c r="G70" t="e">
        <f t="shared" ca="1" si="17"/>
        <v>#N/A</v>
      </c>
      <c r="H70" t="e">
        <f t="shared" ca="1" si="18"/>
        <v>#N/A</v>
      </c>
      <c r="I70" s="7">
        <f t="shared" si="19"/>
        <v>0</v>
      </c>
      <c r="J70" s="7">
        <f t="shared" si="20"/>
        <v>0</v>
      </c>
      <c r="K70">
        <f t="shared" si="21"/>
        <v>0</v>
      </c>
      <c r="L70" s="15">
        <f t="shared" ca="1" si="22"/>
        <v>0</v>
      </c>
      <c r="M70" s="9">
        <f t="shared" ca="1" si="37"/>
        <v>0</v>
      </c>
      <c r="N70" s="7">
        <f t="shared" ca="1" si="23"/>
        <v>0</v>
      </c>
      <c r="O70" s="7">
        <f t="shared" ca="1" si="24"/>
        <v>0</v>
      </c>
      <c r="P70" s="7">
        <f t="shared" ca="1" si="25"/>
        <v>0</v>
      </c>
      <c r="U70" t="e">
        <f t="shared" ca="1" si="26"/>
        <v>#N/A</v>
      </c>
      <c r="V70" t="e">
        <f t="shared" ca="1" si="27"/>
        <v>#N/A</v>
      </c>
      <c r="X70" t="e">
        <f t="shared" ca="1" si="28"/>
        <v>#N/A</v>
      </c>
      <c r="Y70" t="e">
        <f t="shared" ca="1" si="29"/>
        <v>#N/A</v>
      </c>
      <c r="AJ70">
        <v>1.1868238913561453</v>
      </c>
      <c r="AK70">
        <v>56.351757245393195</v>
      </c>
      <c r="AL70">
        <v>138.52384008472112</v>
      </c>
      <c r="AM70">
        <v>86.695011146758759</v>
      </c>
      <c r="AN70">
        <v>213.11360013034016</v>
      </c>
      <c r="AQ70">
        <v>68</v>
      </c>
      <c r="AR70">
        <f t="shared" si="32"/>
        <v>3.3714593407432076</v>
      </c>
      <c r="AS70">
        <f t="shared" si="33"/>
        <v>8.3446546911010877</v>
      </c>
      <c r="AV70">
        <v>754.13453848804238</v>
      </c>
      <c r="AW70">
        <v>45.532843357052833</v>
      </c>
      <c r="AX70">
        <v>-22.76642167852641</v>
      </c>
      <c r="AY70">
        <f t="shared" si="30"/>
        <v>50.907266477609923</v>
      </c>
      <c r="AZ70">
        <v>1160.2069822892959</v>
      </c>
      <c r="BA70">
        <v>70.050528241619745</v>
      </c>
      <c r="BB70">
        <v>-35.025264120809858</v>
      </c>
      <c r="BC70">
        <f t="shared" si="31"/>
        <v>78.318871504015263</v>
      </c>
      <c r="BF70">
        <v>1224.3437795342979</v>
      </c>
      <c r="BG70">
        <v>-7.5870020267367199E-15</v>
      </c>
      <c r="BH70">
        <v>141.6002200525711</v>
      </c>
      <c r="BI70">
        <f t="shared" si="34"/>
        <v>141.6002200525711</v>
      </c>
      <c r="BJ70">
        <v>1883.6058146681505</v>
      </c>
      <c r="BK70">
        <v>-1.1672310810364184E-14</v>
      </c>
      <c r="BL70">
        <v>217.84649238857091</v>
      </c>
      <c r="BM70">
        <f t="shared" si="35"/>
        <v>217.84649238857091</v>
      </c>
    </row>
    <row r="71" spans="1:65" x14ac:dyDescent="0.25">
      <c r="A71">
        <v>35</v>
      </c>
      <c r="B71" s="5">
        <v>0</v>
      </c>
      <c r="C71" s="1">
        <f t="shared" ca="1" si="36"/>
        <v>0</v>
      </c>
      <c r="D71" s="46">
        <f t="shared" si="14"/>
        <v>0</v>
      </c>
      <c r="E71" s="46">
        <f t="shared" si="15"/>
        <v>0</v>
      </c>
      <c r="F71" s="1">
        <f t="shared" ca="1" si="16"/>
        <v>2.375</v>
      </c>
      <c r="G71" t="e">
        <f t="shared" ca="1" si="17"/>
        <v>#N/A</v>
      </c>
      <c r="H71" t="e">
        <f t="shared" ca="1" si="18"/>
        <v>#N/A</v>
      </c>
      <c r="I71" s="7">
        <f t="shared" si="19"/>
        <v>0</v>
      </c>
      <c r="J71" s="7">
        <f t="shared" si="20"/>
        <v>0</v>
      </c>
      <c r="K71">
        <f t="shared" si="21"/>
        <v>0</v>
      </c>
      <c r="L71" s="15">
        <f t="shared" ca="1" si="22"/>
        <v>0</v>
      </c>
      <c r="M71" s="9">
        <f t="shared" ca="1" si="37"/>
        <v>0</v>
      </c>
      <c r="N71" s="7">
        <f t="shared" ca="1" si="23"/>
        <v>0</v>
      </c>
      <c r="O71" s="7">
        <f t="shared" ca="1" si="24"/>
        <v>0</v>
      </c>
      <c r="P71" s="7">
        <f t="shared" ca="1" si="25"/>
        <v>0</v>
      </c>
      <c r="U71" t="e">
        <f t="shared" ca="1" si="26"/>
        <v>#N/A</v>
      </c>
      <c r="V71" t="e">
        <f t="shared" ca="1" si="27"/>
        <v>#N/A</v>
      </c>
      <c r="X71" t="e">
        <f t="shared" ca="1" si="28"/>
        <v>#N/A</v>
      </c>
      <c r="Y71" t="e">
        <f t="shared" ca="1" si="29"/>
        <v>#N/A</v>
      </c>
      <c r="AJ71">
        <v>1.2042771838760886</v>
      </c>
      <c r="AK71">
        <v>53.949284186833395</v>
      </c>
      <c r="AL71">
        <v>139.48303375189482</v>
      </c>
      <c r="AM71">
        <v>82.998898748974455</v>
      </c>
      <c r="AN71">
        <v>214.58928269522281</v>
      </c>
      <c r="AQ71">
        <v>69</v>
      </c>
      <c r="AR71">
        <f t="shared" si="32"/>
        <v>3.2253115459077035</v>
      </c>
      <c r="AS71">
        <f t="shared" si="33"/>
        <v>8.402223838474816</v>
      </c>
      <c r="AV71">
        <v>771.67255101102012</v>
      </c>
      <c r="AW71">
        <v>39.618593381944734</v>
      </c>
      <c r="AX71">
        <v>-19.809296690972378</v>
      </c>
      <c r="AY71">
        <f t="shared" si="30"/>
        <v>44.294933987475865</v>
      </c>
      <c r="AZ71">
        <v>1187.188540016954</v>
      </c>
      <c r="BA71">
        <v>60.951682126068818</v>
      </c>
      <c r="BB71">
        <v>-30.475841063034427</v>
      </c>
      <c r="BC71">
        <f t="shared" si="31"/>
        <v>68.1460522884244</v>
      </c>
      <c r="BF71">
        <v>1252.8168906862584</v>
      </c>
      <c r="BG71">
        <v>-6.4224297685542141E-15</v>
      </c>
      <c r="BH71">
        <v>122.91364164729207</v>
      </c>
      <c r="BI71">
        <f t="shared" si="34"/>
        <v>122.91364164729207</v>
      </c>
      <c r="BJ71">
        <v>1927.4106010557821</v>
      </c>
      <c r="BK71">
        <v>-9.8806611823910978E-15</v>
      </c>
      <c r="BL71">
        <v>189.09791022660318</v>
      </c>
      <c r="BM71">
        <f t="shared" si="35"/>
        <v>189.09791022660318</v>
      </c>
    </row>
    <row r="72" spans="1:65" x14ac:dyDescent="0.25">
      <c r="A72">
        <v>36</v>
      </c>
      <c r="B72" s="5">
        <v>0</v>
      </c>
      <c r="C72" s="1">
        <f t="shared" ca="1" si="36"/>
        <v>0</v>
      </c>
      <c r="D72" s="46">
        <f t="shared" si="14"/>
        <v>0</v>
      </c>
      <c r="E72" s="46">
        <f t="shared" si="15"/>
        <v>0</v>
      </c>
      <c r="F72" s="1">
        <f t="shared" ca="1" si="16"/>
        <v>2.375</v>
      </c>
      <c r="G72" t="e">
        <f t="shared" ca="1" si="17"/>
        <v>#N/A</v>
      </c>
      <c r="H72" t="e">
        <f t="shared" ca="1" si="18"/>
        <v>#N/A</v>
      </c>
      <c r="I72" s="7">
        <f t="shared" si="19"/>
        <v>0</v>
      </c>
      <c r="J72" s="7">
        <f t="shared" si="20"/>
        <v>0</v>
      </c>
      <c r="K72">
        <f t="shared" si="21"/>
        <v>0</v>
      </c>
      <c r="L72" s="15">
        <f t="shared" ca="1" si="22"/>
        <v>0</v>
      </c>
      <c r="M72" s="9">
        <f t="shared" ca="1" si="37"/>
        <v>0</v>
      </c>
      <c r="N72" s="7">
        <f t="shared" ca="1" si="23"/>
        <v>0</v>
      </c>
      <c r="O72" s="7">
        <f t="shared" ca="1" si="24"/>
        <v>0</v>
      </c>
      <c r="P72" s="7">
        <f t="shared" ca="1" si="25"/>
        <v>0</v>
      </c>
      <c r="U72" t="e">
        <f t="shared" ca="1" si="26"/>
        <v>#N/A</v>
      </c>
      <c r="V72" t="e">
        <f t="shared" ca="1" si="27"/>
        <v>#N/A</v>
      </c>
      <c r="X72" t="e">
        <f t="shared" ca="1" si="28"/>
        <v>#N/A</v>
      </c>
      <c r="Y72" t="e">
        <f t="shared" ca="1" si="29"/>
        <v>#N/A</v>
      </c>
      <c r="AJ72">
        <v>1.2217304763960319</v>
      </c>
      <c r="AK72">
        <v>51.186988706567313</v>
      </c>
      <c r="AL72">
        <v>140.63509564117297</v>
      </c>
      <c r="AM72">
        <v>78.749213394718936</v>
      </c>
      <c r="AN72">
        <v>216.36168560180457</v>
      </c>
      <c r="AQ72">
        <v>70</v>
      </c>
      <c r="AR72">
        <f t="shared" si="32"/>
        <v>3.0781812899310195</v>
      </c>
      <c r="AS72">
        <f t="shared" si="33"/>
        <v>8.4572335870731745</v>
      </c>
      <c r="AV72">
        <v>789.21056353399786</v>
      </c>
      <c r="AW72">
        <v>33.543891271602362</v>
      </c>
      <c r="AX72">
        <v>-16.771945638638833</v>
      </c>
      <c r="AY72">
        <f t="shared" si="30"/>
        <v>37.503210557851403</v>
      </c>
      <c r="AZ72">
        <v>1214.1700977446121</v>
      </c>
      <c r="BA72">
        <v>51.605986571695944</v>
      </c>
      <c r="BB72">
        <v>-25.802993290213589</v>
      </c>
      <c r="BC72">
        <f t="shared" si="31"/>
        <v>57.697247012079089</v>
      </c>
      <c r="BF72">
        <v>1281.2900018382188</v>
      </c>
      <c r="BG72">
        <v>-4.558552919136644E-15</v>
      </c>
      <c r="BH72">
        <v>103.07699789459411</v>
      </c>
      <c r="BI72">
        <f t="shared" si="34"/>
        <v>103.07699789459411</v>
      </c>
      <c r="BJ72">
        <v>1971.2153874434134</v>
      </c>
      <c r="BK72">
        <v>-7.0131583371332985E-15</v>
      </c>
      <c r="BL72">
        <v>158.57999676091401</v>
      </c>
      <c r="BM72">
        <f t="shared" si="35"/>
        <v>158.57999676091401</v>
      </c>
    </row>
    <row r="73" spans="1:65" x14ac:dyDescent="0.25">
      <c r="A73">
        <v>37</v>
      </c>
      <c r="B73" s="5">
        <v>0</v>
      </c>
      <c r="C73" s="1">
        <f t="shared" ca="1" si="36"/>
        <v>0</v>
      </c>
      <c r="D73" s="46">
        <f t="shared" si="14"/>
        <v>0</v>
      </c>
      <c r="E73" s="46">
        <f t="shared" si="15"/>
        <v>0</v>
      </c>
      <c r="F73" s="1">
        <f t="shared" ca="1" si="16"/>
        <v>2.375</v>
      </c>
      <c r="G73" t="e">
        <f t="shared" ca="1" si="17"/>
        <v>#N/A</v>
      </c>
      <c r="H73" t="e">
        <f t="shared" ca="1" si="18"/>
        <v>#N/A</v>
      </c>
      <c r="I73" s="7">
        <f t="shared" si="19"/>
        <v>0</v>
      </c>
      <c r="J73" s="7">
        <f t="shared" si="20"/>
        <v>0</v>
      </c>
      <c r="K73">
        <f t="shared" si="21"/>
        <v>0</v>
      </c>
      <c r="L73" s="15">
        <f t="shared" ca="1" si="22"/>
        <v>0</v>
      </c>
      <c r="M73" s="9">
        <f t="shared" ca="1" si="37"/>
        <v>0</v>
      </c>
      <c r="N73" s="7">
        <f t="shared" ca="1" si="23"/>
        <v>0</v>
      </c>
      <c r="O73" s="7">
        <f t="shared" ca="1" si="24"/>
        <v>0</v>
      </c>
      <c r="P73" s="7">
        <f t="shared" ca="1" si="25"/>
        <v>0</v>
      </c>
      <c r="U73" t="e">
        <f t="shared" ca="1" si="26"/>
        <v>#N/A</v>
      </c>
      <c r="V73" t="e">
        <f t="shared" ca="1" si="27"/>
        <v>#N/A</v>
      </c>
      <c r="X73" t="e">
        <f t="shared" ca="1" si="28"/>
        <v>#N/A</v>
      </c>
      <c r="Y73" t="e">
        <f t="shared" ca="1" si="29"/>
        <v>#N/A</v>
      </c>
      <c r="AJ73">
        <v>1.2391837689159753</v>
      </c>
      <c r="AK73">
        <v>48.330416495636719</v>
      </c>
      <c r="AL73">
        <v>141.52813434177042</v>
      </c>
      <c r="AM73">
        <v>74.354486916364181</v>
      </c>
      <c r="AN73">
        <v>217.73559129503141</v>
      </c>
      <c r="AQ73">
        <v>71</v>
      </c>
      <c r="AR73">
        <f t="shared" si="32"/>
        <v>2.930113390114411</v>
      </c>
      <c r="AS73">
        <f t="shared" si="33"/>
        <v>8.5096671803938513</v>
      </c>
      <c r="AV73">
        <v>806.74857605697559</v>
      </c>
      <c r="AW73">
        <v>27.193066642600503</v>
      </c>
      <c r="AX73">
        <v>-13.596533321300218</v>
      </c>
      <c r="AY73">
        <f t="shared" si="30"/>
        <v>30.402772764768336</v>
      </c>
      <c r="AZ73">
        <v>1241.15165547227</v>
      </c>
      <c r="BA73">
        <v>41.835487142462313</v>
      </c>
      <c r="BB73">
        <v>-20.917743571231103</v>
      </c>
      <c r="BC73">
        <f t="shared" si="31"/>
        <v>46.773496561182057</v>
      </c>
      <c r="BF73">
        <v>1309.7631129901793</v>
      </c>
      <c r="BG73">
        <v>-5.0781797660756482E-15</v>
      </c>
      <c r="BH73">
        <v>82.028422561869235</v>
      </c>
      <c r="BI73">
        <f t="shared" si="34"/>
        <v>82.028422561869235</v>
      </c>
      <c r="BJ73">
        <v>2015.020173831045</v>
      </c>
      <c r="BK73">
        <v>-7.8125842555009973E-15</v>
      </c>
      <c r="BL73">
        <v>126.19757317210652</v>
      </c>
      <c r="BM73">
        <f t="shared" si="35"/>
        <v>126.19757317210652</v>
      </c>
    </row>
    <row r="74" spans="1:65" x14ac:dyDescent="0.25">
      <c r="A74">
        <v>38</v>
      </c>
      <c r="B74" s="5">
        <v>0</v>
      </c>
      <c r="C74" s="1">
        <f t="shared" ca="1" si="36"/>
        <v>0</v>
      </c>
      <c r="D74" s="46">
        <f t="shared" si="14"/>
        <v>0</v>
      </c>
      <c r="E74" s="46">
        <f t="shared" si="15"/>
        <v>0</v>
      </c>
      <c r="F74" s="1">
        <f t="shared" ca="1" si="16"/>
        <v>2.375</v>
      </c>
      <c r="G74" t="e">
        <f t="shared" ca="1" si="17"/>
        <v>#N/A</v>
      </c>
      <c r="H74" t="e">
        <f t="shared" ca="1" si="18"/>
        <v>#N/A</v>
      </c>
      <c r="I74" s="7">
        <f t="shared" si="19"/>
        <v>0</v>
      </c>
      <c r="J74" s="7">
        <f t="shared" si="20"/>
        <v>0</v>
      </c>
      <c r="K74">
        <f t="shared" si="21"/>
        <v>0</v>
      </c>
      <c r="L74" s="15">
        <f t="shared" ca="1" si="22"/>
        <v>0</v>
      </c>
      <c r="M74" s="9">
        <f t="shared" ca="1" si="37"/>
        <v>0</v>
      </c>
      <c r="N74" s="7">
        <f t="shared" ca="1" si="23"/>
        <v>0</v>
      </c>
      <c r="O74" s="7">
        <f t="shared" ca="1" si="24"/>
        <v>0</v>
      </c>
      <c r="P74" s="7">
        <f t="shared" ca="1" si="25"/>
        <v>0</v>
      </c>
      <c r="U74" t="e">
        <f t="shared" ca="1" si="26"/>
        <v>#N/A</v>
      </c>
      <c r="V74" t="e">
        <f t="shared" ca="1" si="27"/>
        <v>#N/A</v>
      </c>
      <c r="X74" t="e">
        <f t="shared" ca="1" si="28"/>
        <v>#N/A</v>
      </c>
      <c r="Y74" t="e">
        <f t="shared" ca="1" si="29"/>
        <v>#N/A</v>
      </c>
      <c r="AJ74">
        <v>1.2566370614359186</v>
      </c>
      <c r="AK74">
        <v>45.873457554834914</v>
      </c>
      <c r="AL74">
        <v>142.33762927780509</v>
      </c>
      <c r="AM74">
        <v>70.574550084361405</v>
      </c>
      <c r="AN74">
        <v>218.98096811970012</v>
      </c>
      <c r="AQ74">
        <v>72</v>
      </c>
      <c r="AR74">
        <f t="shared" si="32"/>
        <v>2.7811529493745271</v>
      </c>
      <c r="AS74">
        <f t="shared" si="33"/>
        <v>8.559508646656381</v>
      </c>
      <c r="AV74">
        <v>824.28658857995333</v>
      </c>
      <c r="AW74">
        <v>20.741603482001821</v>
      </c>
      <c r="AX74">
        <v>-10.370801742510478</v>
      </c>
      <c r="AY74">
        <f t="shared" si="30"/>
        <v>23.189817674726303</v>
      </c>
      <c r="AZ74">
        <v>1268.1332131999282</v>
      </c>
      <c r="BA74">
        <v>31.910159203079722</v>
      </c>
      <c r="BB74">
        <v>-15.955079603862274</v>
      </c>
      <c r="BC74">
        <f t="shared" si="31"/>
        <v>35.676642576502005</v>
      </c>
      <c r="BF74">
        <v>1338.2362241421397</v>
      </c>
      <c r="BG74">
        <v>1.7602774707666732E-14</v>
      </c>
      <c r="BH74">
        <v>59.600483793064086</v>
      </c>
      <c r="BI74">
        <f t="shared" si="34"/>
        <v>59.600483793064086</v>
      </c>
      <c r="BJ74">
        <v>2058.8249602186766</v>
      </c>
      <c r="BK74">
        <v>2.7081191857948816E-14</v>
      </c>
      <c r="BL74">
        <v>91.693051989329362</v>
      </c>
      <c r="BM74">
        <f t="shared" si="35"/>
        <v>91.693051989329362</v>
      </c>
    </row>
    <row r="75" spans="1:65" x14ac:dyDescent="0.25">
      <c r="A75">
        <v>39</v>
      </c>
      <c r="B75" s="5">
        <v>0</v>
      </c>
      <c r="C75" s="1">
        <f t="shared" ca="1" si="36"/>
        <v>0</v>
      </c>
      <c r="D75" s="46">
        <f t="shared" si="14"/>
        <v>0</v>
      </c>
      <c r="E75" s="46">
        <f t="shared" si="15"/>
        <v>0</v>
      </c>
      <c r="F75" s="1">
        <f t="shared" ca="1" si="16"/>
        <v>2.375</v>
      </c>
      <c r="G75" t="e">
        <f t="shared" ca="1" si="17"/>
        <v>#N/A</v>
      </c>
      <c r="H75" t="e">
        <f t="shared" ca="1" si="18"/>
        <v>#N/A</v>
      </c>
      <c r="I75" s="7">
        <f t="shared" si="19"/>
        <v>0</v>
      </c>
      <c r="J75" s="7">
        <f t="shared" si="20"/>
        <v>0</v>
      </c>
      <c r="K75">
        <f t="shared" si="21"/>
        <v>0</v>
      </c>
      <c r="L75" s="15">
        <f t="shared" ca="1" si="22"/>
        <v>0</v>
      </c>
      <c r="M75" s="9">
        <f t="shared" ca="1" si="37"/>
        <v>0</v>
      </c>
      <c r="N75" s="7">
        <f t="shared" ca="1" si="23"/>
        <v>0</v>
      </c>
      <c r="O75" s="7">
        <f t="shared" ca="1" si="24"/>
        <v>0</v>
      </c>
      <c r="P75" s="7">
        <f t="shared" ca="1" si="25"/>
        <v>0</v>
      </c>
      <c r="U75" t="e">
        <f t="shared" ca="1" si="26"/>
        <v>#N/A</v>
      </c>
      <c r="V75" t="e">
        <f t="shared" ca="1" si="27"/>
        <v>#N/A</v>
      </c>
      <c r="X75" t="e">
        <f t="shared" ca="1" si="28"/>
        <v>#N/A</v>
      </c>
      <c r="Y75" t="e">
        <f t="shared" ca="1" si="29"/>
        <v>#N/A</v>
      </c>
      <c r="AJ75">
        <v>1.2740903539558619</v>
      </c>
      <c r="AK75">
        <v>43.404477470307171</v>
      </c>
      <c r="AL75">
        <v>143.10834726973113</v>
      </c>
      <c r="AM75">
        <v>66.77611918508795</v>
      </c>
      <c r="AN75">
        <v>220.16668810727865</v>
      </c>
      <c r="AQ75">
        <v>73</v>
      </c>
      <c r="AR75">
        <f t="shared" si="32"/>
        <v>2.6313453425046309</v>
      </c>
      <c r="AS75">
        <f t="shared" si="33"/>
        <v>8.6067428036673181</v>
      </c>
      <c r="AV75">
        <v>841.82460110293107</v>
      </c>
      <c r="AW75">
        <v>14.179637376771515</v>
      </c>
      <c r="AX75">
        <v>-7.0898186892938764</v>
      </c>
      <c r="AY75">
        <f t="shared" si="30"/>
        <v>15.853316535785076</v>
      </c>
      <c r="AZ75">
        <v>1295.1147709275863</v>
      </c>
      <c r="BA75">
        <v>21.814826733494638</v>
      </c>
      <c r="BB75">
        <v>-10.907413368144425</v>
      </c>
      <c r="BC75">
        <f t="shared" si="31"/>
        <v>24.389717747361651</v>
      </c>
      <c r="BF75">
        <v>1366.7093352941001</v>
      </c>
      <c r="BG75">
        <v>-9.4496380823044432E-15</v>
      </c>
      <c r="BH75">
        <v>35.79812215918912</v>
      </c>
      <c r="BI75">
        <f t="shared" si="34"/>
        <v>35.79812215918912</v>
      </c>
      <c r="BJ75">
        <v>2102.6297466063079</v>
      </c>
      <c r="BK75">
        <v>-1.4537904742006836E-14</v>
      </c>
      <c r="BL75">
        <v>55.074034091060184</v>
      </c>
      <c r="BM75">
        <f t="shared" si="35"/>
        <v>55.074034091060184</v>
      </c>
    </row>
    <row r="76" spans="1:65" x14ac:dyDescent="0.25">
      <c r="A76">
        <v>40</v>
      </c>
      <c r="B76" s="5">
        <v>0</v>
      </c>
      <c r="C76" s="1">
        <f t="shared" ca="1" si="36"/>
        <v>0</v>
      </c>
      <c r="D76" s="46">
        <f t="shared" si="14"/>
        <v>0</v>
      </c>
      <c r="E76" s="46">
        <f t="shared" si="15"/>
        <v>0</v>
      </c>
      <c r="F76" s="1">
        <f t="shared" ca="1" si="16"/>
        <v>2.375</v>
      </c>
      <c r="G76" t="e">
        <f t="shared" ca="1" si="17"/>
        <v>#N/A</v>
      </c>
      <c r="H76" t="e">
        <f t="shared" ca="1" si="18"/>
        <v>#N/A</v>
      </c>
      <c r="I76" s="7">
        <f t="shared" si="19"/>
        <v>0</v>
      </c>
      <c r="J76" s="7">
        <f t="shared" si="20"/>
        <v>0</v>
      </c>
      <c r="K76">
        <f t="shared" si="21"/>
        <v>0</v>
      </c>
      <c r="L76" s="15">
        <f t="shared" ca="1" si="22"/>
        <v>0</v>
      </c>
      <c r="M76" s="9">
        <f t="shared" ca="1" si="37"/>
        <v>0</v>
      </c>
      <c r="N76" s="7">
        <f t="shared" ca="1" si="23"/>
        <v>0</v>
      </c>
      <c r="O76" s="7">
        <f t="shared" ca="1" si="24"/>
        <v>0</v>
      </c>
      <c r="P76" s="7">
        <f t="shared" ca="1" si="25"/>
        <v>0</v>
      </c>
      <c r="U76" t="e">
        <f t="shared" ca="1" si="26"/>
        <v>#N/A</v>
      </c>
      <c r="V76" t="e">
        <f t="shared" ca="1" si="27"/>
        <v>#N/A</v>
      </c>
      <c r="X76" t="e">
        <f t="shared" ca="1" si="28"/>
        <v>#N/A</v>
      </c>
      <c r="Y76" t="e">
        <f t="shared" ca="1" si="29"/>
        <v>#N/A</v>
      </c>
      <c r="AJ76">
        <v>1.2915436464758052</v>
      </c>
      <c r="AK76">
        <v>40.923811331854075</v>
      </c>
      <c r="AL76">
        <v>143.84020691708028</v>
      </c>
      <c r="AM76">
        <v>62.959709741313958</v>
      </c>
      <c r="AN76">
        <v>221.29262602627736</v>
      </c>
      <c r="AQ76">
        <v>74</v>
      </c>
      <c r="AR76">
        <f t="shared" si="32"/>
        <v>2.4807362023529924</v>
      </c>
      <c r="AS76">
        <f t="shared" si="33"/>
        <v>8.65135526344487</v>
      </c>
      <c r="AV76">
        <v>859.36261362590881</v>
      </c>
      <c r="AW76">
        <v>7.5323120736701297</v>
      </c>
      <c r="AX76">
        <v>-3.7661560368313238</v>
      </c>
      <c r="AY76">
        <f t="shared" si="30"/>
        <v>8.4213809122327348</v>
      </c>
      <c r="AZ76">
        <v>1322.0963286552442</v>
      </c>
      <c r="BA76">
        <v>11.588172421030968</v>
      </c>
      <c r="BB76">
        <v>-5.7940862105097288</v>
      </c>
      <c r="BC76">
        <f t="shared" si="31"/>
        <v>12.955970634204206</v>
      </c>
      <c r="BF76">
        <v>1395.1824464460606</v>
      </c>
      <c r="BG76">
        <v>-3.6185952280735545E-15</v>
      </c>
      <c r="BH76">
        <v>16.323451257858839</v>
      </c>
      <c r="BI76">
        <f t="shared" si="34"/>
        <v>16.323451257858839</v>
      </c>
      <c r="BJ76">
        <v>2146.4345329939392</v>
      </c>
      <c r="BK76">
        <v>-5.5670695816516223E-15</v>
      </c>
      <c r="BL76">
        <v>25.113001935167443</v>
      </c>
      <c r="BM76">
        <f t="shared" si="35"/>
        <v>25.113001935167443</v>
      </c>
    </row>
    <row r="77" spans="1:65" x14ac:dyDescent="0.25">
      <c r="A77">
        <v>41</v>
      </c>
      <c r="B77" s="5">
        <v>0</v>
      </c>
      <c r="C77" s="1">
        <f t="shared" ca="1" si="36"/>
        <v>0</v>
      </c>
      <c r="D77" s="46">
        <f t="shared" si="14"/>
        <v>0</v>
      </c>
      <c r="E77" s="46">
        <f t="shared" si="15"/>
        <v>0</v>
      </c>
      <c r="F77" s="1">
        <f t="shared" ca="1" si="16"/>
        <v>2.375</v>
      </c>
      <c r="G77" t="e">
        <f t="shared" ca="1" si="17"/>
        <v>#N/A</v>
      </c>
      <c r="H77" t="e">
        <f t="shared" ca="1" si="18"/>
        <v>#N/A</v>
      </c>
      <c r="I77" s="7">
        <f t="shared" si="19"/>
        <v>0</v>
      </c>
      <c r="J77" s="7">
        <f t="shared" si="20"/>
        <v>0</v>
      </c>
      <c r="K77">
        <f t="shared" si="21"/>
        <v>0</v>
      </c>
      <c r="L77" s="15">
        <f t="shared" ca="1" si="22"/>
        <v>0</v>
      </c>
      <c r="M77" s="9">
        <f t="shared" ca="1" si="37"/>
        <v>0</v>
      </c>
      <c r="N77" s="7">
        <f t="shared" ca="1" si="23"/>
        <v>0</v>
      </c>
      <c r="O77" s="7">
        <f t="shared" ca="1" si="24"/>
        <v>0</v>
      </c>
      <c r="P77" s="7">
        <f t="shared" ca="1" si="25"/>
        <v>0</v>
      </c>
      <c r="U77" t="e">
        <f t="shared" ca="1" si="26"/>
        <v>#N/A</v>
      </c>
      <c r="V77" t="e">
        <f t="shared" ca="1" si="27"/>
        <v>#N/A</v>
      </c>
      <c r="X77" t="e">
        <f t="shared" ca="1" si="28"/>
        <v>#N/A</v>
      </c>
      <c r="Y77" t="e">
        <f t="shared" ca="1" si="29"/>
        <v>#N/A</v>
      </c>
      <c r="AJ77">
        <v>1.3089969389957485</v>
      </c>
      <c r="AK77">
        <v>38.431788146534146</v>
      </c>
      <c r="AL77">
        <v>144.53310996271517</v>
      </c>
      <c r="AM77">
        <v>59.125827917744836</v>
      </c>
      <c r="AN77">
        <v>222.35863071186949</v>
      </c>
      <c r="AQ77">
        <v>75</v>
      </c>
      <c r="AR77">
        <f t="shared" si="32"/>
        <v>2.3293714059226867</v>
      </c>
      <c r="AS77">
        <f t="shared" si="33"/>
        <v>8.6933324366016151</v>
      </c>
      <c r="AV77">
        <v>876.90062614888654</v>
      </c>
      <c r="AW77">
        <v>6.3400113920058232E-3</v>
      </c>
      <c r="AX77">
        <v>-3.1700056960011895E-3</v>
      </c>
      <c r="AY77">
        <f t="shared" si="30"/>
        <v>7.0883482253232735E-3</v>
      </c>
      <c r="AZ77">
        <v>1349.0778863829023</v>
      </c>
      <c r="BA77">
        <v>9.7538636800089586E-3</v>
      </c>
      <c r="BB77">
        <v>-4.8769318400018295E-3</v>
      </c>
      <c r="BC77">
        <f t="shared" si="31"/>
        <v>1.0905151115881959E-2</v>
      </c>
      <c r="BF77">
        <v>1423.655557598021</v>
      </c>
      <c r="BG77">
        <v>4.6900214283855902E-19</v>
      </c>
      <c r="BH77">
        <v>7.656249999083424E-3</v>
      </c>
      <c r="BI77">
        <f t="shared" si="34"/>
        <v>7.656249999083424E-3</v>
      </c>
      <c r="BJ77">
        <v>2190.2393193815706</v>
      </c>
      <c r="BK77">
        <v>7.2154175821316774E-19</v>
      </c>
      <c r="BL77">
        <v>1.1778846152436037E-2</v>
      </c>
      <c r="BM77">
        <f t="shared" si="35"/>
        <v>1.1778846152436037E-2</v>
      </c>
    </row>
    <row r="78" spans="1:65" x14ac:dyDescent="0.25">
      <c r="A78">
        <v>42</v>
      </c>
      <c r="B78" s="5">
        <v>0</v>
      </c>
      <c r="C78" s="1">
        <f t="shared" ca="1" si="36"/>
        <v>0</v>
      </c>
      <c r="D78" s="46">
        <f t="shared" si="14"/>
        <v>0</v>
      </c>
      <c r="E78" s="46">
        <f t="shared" si="15"/>
        <v>0</v>
      </c>
      <c r="F78" s="1">
        <f t="shared" ca="1" si="16"/>
        <v>2.375</v>
      </c>
      <c r="G78" t="e">
        <f t="shared" ca="1" si="17"/>
        <v>#N/A</v>
      </c>
      <c r="H78" t="e">
        <f t="shared" ca="1" si="18"/>
        <v>#N/A</v>
      </c>
      <c r="I78" s="7">
        <f t="shared" si="19"/>
        <v>0</v>
      </c>
      <c r="J78" s="7">
        <f t="shared" si="20"/>
        <v>0</v>
      </c>
      <c r="K78">
        <f t="shared" si="21"/>
        <v>0</v>
      </c>
      <c r="L78" s="15">
        <f t="shared" ca="1" si="22"/>
        <v>0</v>
      </c>
      <c r="M78" s="9">
        <f t="shared" ca="1" si="37"/>
        <v>0</v>
      </c>
      <c r="N78" s="7">
        <f t="shared" ca="1" si="23"/>
        <v>0</v>
      </c>
      <c r="O78" s="7">
        <f t="shared" ca="1" si="24"/>
        <v>0</v>
      </c>
      <c r="P78" s="7">
        <f t="shared" ca="1" si="25"/>
        <v>0</v>
      </c>
      <c r="U78" t="e">
        <f t="shared" ca="1" si="26"/>
        <v>#N/A</v>
      </c>
      <c r="V78" t="e">
        <f t="shared" ca="1" si="27"/>
        <v>#N/A</v>
      </c>
      <c r="X78" t="e">
        <f t="shared" ca="1" si="28"/>
        <v>#N/A</v>
      </c>
      <c r="Y78" t="e">
        <f t="shared" ca="1" si="29"/>
        <v>#N/A</v>
      </c>
      <c r="AJ78">
        <v>1.3264502315156919</v>
      </c>
      <c r="AK78">
        <v>35.928732508089432</v>
      </c>
      <c r="AL78">
        <v>145.18694076408269</v>
      </c>
      <c r="AM78">
        <v>55.274973089368352</v>
      </c>
      <c r="AN78">
        <v>223.3645242524349</v>
      </c>
      <c r="AQ78">
        <v>76</v>
      </c>
      <c r="AR78">
        <f t="shared" si="32"/>
        <v>2.177297060397009</v>
      </c>
      <c r="AS78">
        <f t="shared" si="33"/>
        <v>8.7326615364839686</v>
      </c>
    </row>
    <row r="79" spans="1:65" x14ac:dyDescent="0.25">
      <c r="A79">
        <v>43</v>
      </c>
      <c r="B79" s="5">
        <v>0</v>
      </c>
      <c r="C79" s="1">
        <f t="shared" ca="1" si="36"/>
        <v>0</v>
      </c>
      <c r="D79" s="46">
        <f t="shared" si="14"/>
        <v>0</v>
      </c>
      <c r="E79" s="46">
        <f t="shared" si="15"/>
        <v>0</v>
      </c>
      <c r="F79" s="1">
        <f t="shared" ca="1" si="16"/>
        <v>2.375</v>
      </c>
      <c r="G79" t="e">
        <f t="shared" ca="1" si="17"/>
        <v>#N/A</v>
      </c>
      <c r="H79" t="e">
        <f t="shared" ca="1" si="18"/>
        <v>#N/A</v>
      </c>
      <c r="I79" s="7">
        <f t="shared" si="19"/>
        <v>0</v>
      </c>
      <c r="J79" s="7">
        <f t="shared" si="20"/>
        <v>0</v>
      </c>
      <c r="K79">
        <f t="shared" si="21"/>
        <v>0</v>
      </c>
      <c r="L79" s="15">
        <f t="shared" ca="1" si="22"/>
        <v>0</v>
      </c>
      <c r="M79" s="9">
        <f t="shared" ca="1" si="37"/>
        <v>0</v>
      </c>
      <c r="N79" s="7">
        <f t="shared" ca="1" si="23"/>
        <v>0</v>
      </c>
      <c r="O79" s="7">
        <f t="shared" ca="1" si="24"/>
        <v>0</v>
      </c>
      <c r="P79" s="7">
        <f t="shared" ca="1" si="25"/>
        <v>0</v>
      </c>
      <c r="U79" t="e">
        <f t="shared" ca="1" si="26"/>
        <v>#N/A</v>
      </c>
      <c r="V79" t="e">
        <f t="shared" ca="1" si="27"/>
        <v>#N/A</v>
      </c>
      <c r="X79" t="e">
        <f t="shared" ca="1" si="28"/>
        <v>#N/A</v>
      </c>
      <c r="Y79" t="e">
        <f t="shared" ca="1" si="29"/>
        <v>#N/A</v>
      </c>
      <c r="AJ79">
        <v>1.3439035240356352</v>
      </c>
      <c r="AK79">
        <v>33.414966299016797</v>
      </c>
      <c r="AL79">
        <v>145.80156587342947</v>
      </c>
      <c r="AM79">
        <v>51.407640460025839</v>
      </c>
      <c r="AN79">
        <v>224.31010134373764</v>
      </c>
      <c r="AQ79">
        <v>77</v>
      </c>
      <c r="AR79">
        <f t="shared" si="32"/>
        <v>2.0245594890947842</v>
      </c>
      <c r="AS79">
        <f t="shared" si="33"/>
        <v>8.7693305830671164</v>
      </c>
    </row>
    <row r="80" spans="1:65" x14ac:dyDescent="0.25">
      <c r="A80">
        <v>44</v>
      </c>
      <c r="B80" s="5">
        <v>0</v>
      </c>
      <c r="C80" s="1">
        <f t="shared" ca="1" si="36"/>
        <v>0</v>
      </c>
      <c r="D80" s="46">
        <f t="shared" si="14"/>
        <v>0</v>
      </c>
      <c r="E80" s="46">
        <f t="shared" si="15"/>
        <v>0</v>
      </c>
      <c r="F80" s="1">
        <f t="shared" ca="1" si="16"/>
        <v>2.375</v>
      </c>
      <c r="G80" t="e">
        <f t="shared" ca="1" si="17"/>
        <v>#N/A</v>
      </c>
      <c r="H80" t="e">
        <f t="shared" ca="1" si="18"/>
        <v>#N/A</v>
      </c>
      <c r="I80" s="7">
        <f t="shared" si="19"/>
        <v>0</v>
      </c>
      <c r="J80" s="7">
        <f t="shared" si="20"/>
        <v>0</v>
      </c>
      <c r="K80">
        <f t="shared" si="21"/>
        <v>0</v>
      </c>
      <c r="L80" s="15">
        <f t="shared" ca="1" si="22"/>
        <v>0</v>
      </c>
      <c r="M80" s="9">
        <f t="shared" ca="1" si="37"/>
        <v>0</v>
      </c>
      <c r="N80" s="7">
        <f t="shared" ca="1" si="23"/>
        <v>0</v>
      </c>
      <c r="O80" s="7">
        <f t="shared" ca="1" si="24"/>
        <v>0</v>
      </c>
      <c r="P80" s="7">
        <f t="shared" ca="1" si="25"/>
        <v>0</v>
      </c>
      <c r="U80" t="e">
        <f t="shared" ca="1" si="26"/>
        <v>#N/A</v>
      </c>
      <c r="V80" t="e">
        <f t="shared" ca="1" si="27"/>
        <v>#N/A</v>
      </c>
      <c r="X80" t="e">
        <f t="shared" ca="1" si="28"/>
        <v>#N/A</v>
      </c>
      <c r="Y80" t="e">
        <f t="shared" ca="1" si="29"/>
        <v>#N/A</v>
      </c>
      <c r="AJ80">
        <v>1.3613568165555785</v>
      </c>
      <c r="AK80">
        <v>30.890810418852354</v>
      </c>
      <c r="AL80">
        <v>146.37683372884209</v>
      </c>
      <c r="AM80">
        <v>47.524323721311312</v>
      </c>
      <c r="AN80">
        <v>225.19512881360319</v>
      </c>
      <c r="AQ80">
        <v>78</v>
      </c>
      <c r="AR80">
        <f t="shared" si="32"/>
        <v>1.871205217359835</v>
      </c>
      <c r="AS80">
        <f t="shared" si="33"/>
        <v>8.8033284066042494</v>
      </c>
    </row>
    <row r="81" spans="1:45" x14ac:dyDescent="0.25">
      <c r="A81">
        <v>45</v>
      </c>
      <c r="B81" s="5">
        <v>0</v>
      </c>
      <c r="C81" s="1">
        <f t="shared" ca="1" si="36"/>
        <v>0</v>
      </c>
      <c r="D81" s="46">
        <f t="shared" si="14"/>
        <v>0</v>
      </c>
      <c r="E81" s="46">
        <f t="shared" si="15"/>
        <v>0</v>
      </c>
      <c r="F81" s="1">
        <f t="shared" ca="1" si="16"/>
        <v>2.375</v>
      </c>
      <c r="G81" t="e">
        <f t="shared" ca="1" si="17"/>
        <v>#N/A</v>
      </c>
      <c r="H81" t="e">
        <f t="shared" ca="1" si="18"/>
        <v>#N/A</v>
      </c>
      <c r="I81" s="7">
        <f t="shared" si="19"/>
        <v>0</v>
      </c>
      <c r="J81" s="7">
        <f t="shared" si="20"/>
        <v>0</v>
      </c>
      <c r="K81">
        <f t="shared" si="21"/>
        <v>0</v>
      </c>
      <c r="L81" s="15">
        <f t="shared" ca="1" si="22"/>
        <v>0</v>
      </c>
      <c r="M81" s="9">
        <f t="shared" ca="1" si="37"/>
        <v>0</v>
      </c>
      <c r="N81" s="7">
        <f t="shared" ca="1" si="23"/>
        <v>0</v>
      </c>
      <c r="O81" s="7">
        <f t="shared" ca="1" si="24"/>
        <v>0</v>
      </c>
      <c r="P81" s="7">
        <f t="shared" ca="1" si="25"/>
        <v>0</v>
      </c>
      <c r="U81" t="e">
        <f t="shared" ca="1" si="26"/>
        <v>#N/A</v>
      </c>
      <c r="V81" t="e">
        <f t="shared" ca="1" si="27"/>
        <v>#N/A</v>
      </c>
      <c r="X81" t="e">
        <f t="shared" ca="1" si="28"/>
        <v>#N/A</v>
      </c>
      <c r="Y81" t="e">
        <f t="shared" ca="1" si="29"/>
        <v>#N/A</v>
      </c>
      <c r="AJ81">
        <v>1.3788101090755218</v>
      </c>
      <c r="AK81">
        <v>28.356586532132678</v>
      </c>
      <c r="AL81">
        <v>146.91257445760928</v>
      </c>
      <c r="AM81">
        <v>43.625517741742577</v>
      </c>
      <c r="AN81">
        <v>226.01934531939889</v>
      </c>
      <c r="AQ81">
        <v>79</v>
      </c>
      <c r="AR81">
        <f t="shared" si="32"/>
        <v>1.7172809583889042</v>
      </c>
      <c r="AS81">
        <f t="shared" si="33"/>
        <v>8.8346446510289756</v>
      </c>
    </row>
    <row r="82" spans="1:45" x14ac:dyDescent="0.25">
      <c r="A82">
        <v>46</v>
      </c>
      <c r="B82" s="5">
        <v>0</v>
      </c>
      <c r="C82" s="1">
        <f t="shared" ca="1" si="36"/>
        <v>0</v>
      </c>
      <c r="D82" s="46">
        <f t="shared" si="14"/>
        <v>0</v>
      </c>
      <c r="E82" s="46">
        <f t="shared" si="15"/>
        <v>0</v>
      </c>
      <c r="F82" s="1">
        <f t="shared" ca="1" si="16"/>
        <v>2.375</v>
      </c>
      <c r="G82" t="e">
        <f t="shared" ca="1" si="17"/>
        <v>#N/A</v>
      </c>
      <c r="H82" t="e">
        <f t="shared" ca="1" si="18"/>
        <v>#N/A</v>
      </c>
      <c r="I82" s="7">
        <f t="shared" si="19"/>
        <v>0</v>
      </c>
      <c r="J82" s="7">
        <f t="shared" si="20"/>
        <v>0</v>
      </c>
      <c r="K82">
        <f t="shared" si="21"/>
        <v>0</v>
      </c>
      <c r="L82" s="15">
        <f t="shared" ca="1" si="22"/>
        <v>0</v>
      </c>
      <c r="M82" s="9">
        <f t="shared" ca="1" si="37"/>
        <v>0</v>
      </c>
      <c r="N82" s="7">
        <f t="shared" ca="1" si="23"/>
        <v>0</v>
      </c>
      <c r="O82" s="7">
        <f t="shared" ca="1" si="24"/>
        <v>0</v>
      </c>
      <c r="P82" s="7">
        <f t="shared" ca="1" si="25"/>
        <v>0</v>
      </c>
      <c r="U82" t="e">
        <f t="shared" ca="1" si="26"/>
        <v>#N/A</v>
      </c>
      <c r="V82" t="e">
        <f t="shared" ca="1" si="27"/>
        <v>#N/A</v>
      </c>
      <c r="X82" t="e">
        <f t="shared" ca="1" si="28"/>
        <v>#N/A</v>
      </c>
      <c r="Y82" t="e">
        <f t="shared" ca="1" si="29"/>
        <v>#N/A</v>
      </c>
      <c r="AJ82">
        <v>1.3962634015954651</v>
      </c>
      <c r="AK82">
        <v>25.81261882941191</v>
      </c>
      <c r="AL82">
        <v>147.40859979302968</v>
      </c>
      <c r="AM82">
        <v>39.711721276018324</v>
      </c>
      <c r="AN82">
        <v>226.78246122004566</v>
      </c>
      <c r="AQ82">
        <v>80</v>
      </c>
      <c r="AR82">
        <f t="shared" si="32"/>
        <v>1.5628335990023738</v>
      </c>
      <c r="AS82">
        <f t="shared" si="33"/>
        <v>8.8632697771098723</v>
      </c>
    </row>
    <row r="83" spans="1:45" x14ac:dyDescent="0.25">
      <c r="A83">
        <v>47</v>
      </c>
      <c r="B83" s="5">
        <v>0</v>
      </c>
      <c r="C83" s="1">
        <f t="shared" ca="1" si="36"/>
        <v>0</v>
      </c>
      <c r="D83" s="46">
        <f t="shared" si="14"/>
        <v>0</v>
      </c>
      <c r="E83" s="46">
        <f t="shared" si="15"/>
        <v>0</v>
      </c>
      <c r="F83" s="1">
        <f t="shared" ca="1" si="16"/>
        <v>2.375</v>
      </c>
      <c r="G83" t="e">
        <f t="shared" ca="1" si="17"/>
        <v>#N/A</v>
      </c>
      <c r="H83" t="e">
        <f t="shared" ca="1" si="18"/>
        <v>#N/A</v>
      </c>
      <c r="I83" s="7">
        <f t="shared" si="19"/>
        <v>0</v>
      </c>
      <c r="J83" s="7">
        <f t="shared" si="20"/>
        <v>0</v>
      </c>
      <c r="K83">
        <f t="shared" si="21"/>
        <v>0</v>
      </c>
      <c r="L83" s="15">
        <f t="shared" ca="1" si="22"/>
        <v>0</v>
      </c>
      <c r="M83" s="9">
        <f t="shared" ca="1" si="37"/>
        <v>0</v>
      </c>
      <c r="N83" s="7">
        <f t="shared" ca="1" si="23"/>
        <v>0</v>
      </c>
      <c r="O83" s="7">
        <f t="shared" ca="1" si="24"/>
        <v>0</v>
      </c>
      <c r="P83" s="7">
        <f t="shared" ca="1" si="25"/>
        <v>0</v>
      </c>
      <c r="U83" t="e">
        <f t="shared" ca="1" si="26"/>
        <v>#N/A</v>
      </c>
      <c r="V83" t="e">
        <f t="shared" ca="1" si="27"/>
        <v>#N/A</v>
      </c>
      <c r="X83" t="e">
        <f t="shared" ca="1" si="28"/>
        <v>#N/A</v>
      </c>
      <c r="Y83" t="e">
        <f t="shared" ca="1" si="29"/>
        <v>#N/A</v>
      </c>
      <c r="AJ83">
        <v>1.4137166941154085</v>
      </c>
      <c r="AK83">
        <v>23.259235794661908</v>
      </c>
      <c r="AL83">
        <v>147.8647031054887</v>
      </c>
      <c r="AM83">
        <v>35.783439684095242</v>
      </c>
      <c r="AN83">
        <v>227.48415862382876</v>
      </c>
      <c r="AQ83">
        <v>81</v>
      </c>
      <c r="AR83">
        <f t="shared" si="32"/>
        <v>1.4079101853620783</v>
      </c>
      <c r="AS83">
        <f t="shared" si="33"/>
        <v>8.8891950653562404</v>
      </c>
    </row>
    <row r="84" spans="1:45" x14ac:dyDescent="0.25">
      <c r="A84">
        <v>48</v>
      </c>
      <c r="B84" s="5">
        <v>0</v>
      </c>
      <c r="C84" s="1">
        <f t="shared" ca="1" si="36"/>
        <v>0</v>
      </c>
      <c r="D84" s="46">
        <f t="shared" si="14"/>
        <v>0</v>
      </c>
      <c r="E84" s="46">
        <f t="shared" si="15"/>
        <v>0</v>
      </c>
      <c r="F84" s="1">
        <f t="shared" ca="1" si="16"/>
        <v>2.375</v>
      </c>
      <c r="G84" t="e">
        <f t="shared" ca="1" si="17"/>
        <v>#N/A</v>
      </c>
      <c r="H84" t="e">
        <f t="shared" ca="1" si="18"/>
        <v>#N/A</v>
      </c>
      <c r="I84" s="7">
        <f t="shared" si="19"/>
        <v>0</v>
      </c>
      <c r="J84" s="7">
        <f t="shared" si="20"/>
        <v>0</v>
      </c>
      <c r="K84">
        <f t="shared" si="21"/>
        <v>0</v>
      </c>
      <c r="L84" s="15">
        <f t="shared" ca="1" si="22"/>
        <v>0</v>
      </c>
      <c r="M84" s="9">
        <f t="shared" ca="1" si="37"/>
        <v>0</v>
      </c>
      <c r="N84" s="7">
        <f t="shared" ca="1" si="23"/>
        <v>0</v>
      </c>
      <c r="O84" s="7">
        <f t="shared" ca="1" si="24"/>
        <v>0</v>
      </c>
      <c r="P84" s="7">
        <f t="shared" ca="1" si="25"/>
        <v>0</v>
      </c>
      <c r="U84" t="e">
        <f t="shared" ca="1" si="26"/>
        <v>#N/A</v>
      </c>
      <c r="V84" t="e">
        <f t="shared" ca="1" si="27"/>
        <v>#N/A</v>
      </c>
      <c r="X84" t="e">
        <f t="shared" ca="1" si="28"/>
        <v>#N/A</v>
      </c>
      <c r="Y84" t="e">
        <f t="shared" ca="1" si="29"/>
        <v>#N/A</v>
      </c>
      <c r="AJ84">
        <v>1.4311699866353518</v>
      </c>
      <c r="AK84">
        <v>20.696771972264255</v>
      </c>
      <c r="AL84">
        <v>148.28065954772242</v>
      </c>
      <c r="AM84">
        <v>31.841187649637313</v>
      </c>
      <c r="AN84">
        <v>228.12409161188063</v>
      </c>
      <c r="AQ84">
        <v>82</v>
      </c>
      <c r="AR84">
        <f t="shared" si="32"/>
        <v>1.2525579086405891</v>
      </c>
      <c r="AS84">
        <f t="shared" si="33"/>
        <v>8.9124126186741339</v>
      </c>
    </row>
    <row r="85" spans="1:45" x14ac:dyDescent="0.25">
      <c r="A85">
        <v>49</v>
      </c>
      <c r="B85" s="5">
        <v>0</v>
      </c>
      <c r="C85" s="1">
        <f t="shared" ca="1" si="36"/>
        <v>0</v>
      </c>
      <c r="D85" s="46">
        <f t="shared" si="14"/>
        <v>0</v>
      </c>
      <c r="E85" s="46">
        <f t="shared" si="15"/>
        <v>0</v>
      </c>
      <c r="F85" s="1">
        <f t="shared" ca="1" si="16"/>
        <v>2.375</v>
      </c>
      <c r="G85" t="e">
        <f t="shared" ca="1" si="17"/>
        <v>#N/A</v>
      </c>
      <c r="H85" t="e">
        <f t="shared" ca="1" si="18"/>
        <v>#N/A</v>
      </c>
      <c r="I85" s="7">
        <f t="shared" si="19"/>
        <v>0</v>
      </c>
      <c r="J85" s="7">
        <f t="shared" si="20"/>
        <v>0</v>
      </c>
      <c r="K85">
        <f t="shared" si="21"/>
        <v>0</v>
      </c>
      <c r="L85" s="15">
        <f t="shared" ca="1" si="22"/>
        <v>0</v>
      </c>
      <c r="M85" s="9">
        <f t="shared" ca="1" si="37"/>
        <v>0</v>
      </c>
      <c r="N85" s="7">
        <f t="shared" ca="1" si="23"/>
        <v>0</v>
      </c>
      <c r="O85" s="7">
        <f t="shared" ca="1" si="24"/>
        <v>0</v>
      </c>
      <c r="P85" s="7">
        <f t="shared" ca="1" si="25"/>
        <v>0</v>
      </c>
      <c r="U85" t="e">
        <f t="shared" ca="1" si="26"/>
        <v>#N/A</v>
      </c>
      <c r="V85" t="e">
        <f t="shared" ca="1" si="27"/>
        <v>#N/A</v>
      </c>
      <c r="X85" t="e">
        <f t="shared" ca="1" si="28"/>
        <v>#N/A</v>
      </c>
      <c r="Y85" t="e">
        <f t="shared" ca="1" si="29"/>
        <v>#N/A</v>
      </c>
      <c r="AJ85">
        <v>1.4486232791552951</v>
      </c>
      <c r="AK85">
        <v>18.125569727015741</v>
      </c>
      <c r="AL85">
        <v>148.65622631537252</v>
      </c>
      <c r="AM85">
        <v>27.885491887716523</v>
      </c>
      <c r="AN85">
        <v>228.70188663903463</v>
      </c>
      <c r="AQ85">
        <v>83</v>
      </c>
      <c r="AR85">
        <f t="shared" si="32"/>
        <v>1.0968240906463274</v>
      </c>
      <c r="AS85">
        <f t="shared" si="33"/>
        <v>8.9329153647718975</v>
      </c>
    </row>
    <row r="86" spans="1:45" x14ac:dyDescent="0.25">
      <c r="A86">
        <v>50</v>
      </c>
      <c r="B86" s="5">
        <v>0</v>
      </c>
      <c r="C86" s="1">
        <f t="shared" ca="1" si="36"/>
        <v>0</v>
      </c>
      <c r="D86" s="46">
        <f t="shared" si="14"/>
        <v>0</v>
      </c>
      <c r="E86" s="46">
        <f t="shared" si="15"/>
        <v>0</v>
      </c>
      <c r="F86" s="1">
        <f t="shared" ca="1" si="16"/>
        <v>2.375</v>
      </c>
      <c r="G86" t="e">
        <f t="shared" ca="1" si="17"/>
        <v>#N/A</v>
      </c>
      <c r="H86" t="e">
        <f t="shared" ca="1" si="18"/>
        <v>#N/A</v>
      </c>
      <c r="I86" s="7">
        <f t="shared" si="19"/>
        <v>0</v>
      </c>
      <c r="J86" s="7">
        <f t="shared" si="20"/>
        <v>0</v>
      </c>
      <c r="K86">
        <f t="shared" si="21"/>
        <v>0</v>
      </c>
      <c r="L86" s="15">
        <f t="shared" ca="1" si="22"/>
        <v>0</v>
      </c>
      <c r="M86" s="9">
        <f t="shared" ca="1" si="37"/>
        <v>0</v>
      </c>
      <c r="N86" s="7">
        <f t="shared" ca="1" si="23"/>
        <v>0</v>
      </c>
      <c r="O86" s="7">
        <f t="shared" ca="1" si="24"/>
        <v>0</v>
      </c>
      <c r="P86" s="7">
        <f t="shared" ca="1" si="25"/>
        <v>0</v>
      </c>
      <c r="U86" t="e">
        <f t="shared" ca="1" si="26"/>
        <v>#N/A</v>
      </c>
      <c r="V86" t="e">
        <f t="shared" ca="1" si="27"/>
        <v>#N/A</v>
      </c>
      <c r="X86" t="e">
        <f t="shared" ca="1" si="28"/>
        <v>#N/A</v>
      </c>
      <c r="Y86" t="e">
        <f t="shared" ca="1" si="29"/>
        <v>#N/A</v>
      </c>
      <c r="AJ86">
        <v>1.4660765716752384</v>
      </c>
      <c r="AK86">
        <v>15.545980896812075</v>
      </c>
      <c r="AL86">
        <v>148.9911437565562</v>
      </c>
      <c r="AM86">
        <v>23.916893687403192</v>
      </c>
      <c r="AN86">
        <v>229.21714424085567</v>
      </c>
      <c r="AQ86">
        <v>84</v>
      </c>
      <c r="AR86">
        <f t="shared" si="32"/>
        <v>0.94075616940888107</v>
      </c>
      <c r="AS86">
        <f t="shared" si="33"/>
        <v>8.9506970583144589</v>
      </c>
    </row>
    <row r="87" spans="1:45" x14ac:dyDescent="0.25">
      <c r="A87">
        <v>51</v>
      </c>
      <c r="B87" s="5">
        <v>0</v>
      </c>
      <c r="C87" s="1">
        <f t="shared" ca="1" si="36"/>
        <v>0</v>
      </c>
      <c r="D87" s="46">
        <f t="shared" si="14"/>
        <v>0</v>
      </c>
      <c r="E87" s="46">
        <f t="shared" si="15"/>
        <v>0</v>
      </c>
      <c r="F87" s="1">
        <f t="shared" ca="1" si="16"/>
        <v>2.375</v>
      </c>
      <c r="G87" t="e">
        <f t="shared" ca="1" si="17"/>
        <v>#N/A</v>
      </c>
      <c r="H87" t="e">
        <f t="shared" ca="1" si="18"/>
        <v>#N/A</v>
      </c>
      <c r="I87" s="7">
        <f t="shared" si="19"/>
        <v>0</v>
      </c>
      <c r="J87" s="7">
        <f t="shared" si="20"/>
        <v>0</v>
      </c>
      <c r="K87">
        <f t="shared" si="21"/>
        <v>0</v>
      </c>
      <c r="L87" s="15">
        <f t="shared" ca="1" si="22"/>
        <v>0</v>
      </c>
      <c r="M87" s="9">
        <f t="shared" ca="1" si="37"/>
        <v>0</v>
      </c>
      <c r="N87" s="7">
        <f t="shared" ca="1" si="23"/>
        <v>0</v>
      </c>
      <c r="O87" s="7">
        <f t="shared" ca="1" si="24"/>
        <v>0</v>
      </c>
      <c r="P87" s="7">
        <f t="shared" ca="1" si="25"/>
        <v>0</v>
      </c>
      <c r="U87" t="e">
        <f t="shared" ca="1" si="26"/>
        <v>#N/A</v>
      </c>
      <c r="V87" t="e">
        <f t="shared" ca="1" si="27"/>
        <v>#N/A</v>
      </c>
      <c r="X87" t="e">
        <f t="shared" ca="1" si="28"/>
        <v>#N/A</v>
      </c>
      <c r="Y87" t="e">
        <f t="shared" ca="1" si="29"/>
        <v>#N/A</v>
      </c>
      <c r="AJ87">
        <v>1.4835298641951817</v>
      </c>
      <c r="AK87">
        <v>12.958365452741971</v>
      </c>
      <c r="AL87">
        <v>149.28515400090174</v>
      </c>
      <c r="AM87">
        <v>19.935946850372261</v>
      </c>
      <c r="AN87">
        <v>229.66946769369497</v>
      </c>
      <c r="AQ87">
        <v>85</v>
      </c>
      <c r="AR87">
        <f t="shared" si="32"/>
        <v>0.78440168472892324</v>
      </c>
      <c r="AS87">
        <f t="shared" si="33"/>
        <v>8.9657522828257097</v>
      </c>
    </row>
    <row r="88" spans="1:45" x14ac:dyDescent="0.25">
      <c r="A88">
        <v>52</v>
      </c>
      <c r="B88" s="5">
        <v>0</v>
      </c>
      <c r="C88" s="1">
        <f t="shared" ca="1" si="36"/>
        <v>0</v>
      </c>
      <c r="D88" s="46">
        <f t="shared" si="14"/>
        <v>0</v>
      </c>
      <c r="E88" s="46">
        <f t="shared" si="15"/>
        <v>0</v>
      </c>
      <c r="F88" s="1">
        <f t="shared" ca="1" si="16"/>
        <v>2.375</v>
      </c>
      <c r="G88" t="e">
        <f t="shared" ca="1" si="17"/>
        <v>#N/A</v>
      </c>
      <c r="H88" t="e">
        <f t="shared" ca="1" si="18"/>
        <v>#N/A</v>
      </c>
      <c r="I88" s="7">
        <f t="shared" si="19"/>
        <v>0</v>
      </c>
      <c r="J88" s="7">
        <f t="shared" si="20"/>
        <v>0</v>
      </c>
      <c r="K88">
        <f t="shared" si="21"/>
        <v>0</v>
      </c>
      <c r="L88" s="15">
        <f t="shared" ca="1" si="22"/>
        <v>0</v>
      </c>
      <c r="M88" s="9">
        <f t="shared" ca="1" si="37"/>
        <v>0</v>
      </c>
      <c r="N88" s="7">
        <f t="shared" ca="1" si="23"/>
        <v>0</v>
      </c>
      <c r="O88" s="7">
        <f t="shared" ca="1" si="24"/>
        <v>0</v>
      </c>
      <c r="P88" s="7">
        <f t="shared" ca="1" si="25"/>
        <v>0</v>
      </c>
      <c r="U88" t="e">
        <f t="shared" ca="1" si="26"/>
        <v>#N/A</v>
      </c>
      <c r="V88" t="e">
        <f t="shared" ca="1" si="27"/>
        <v>#N/A</v>
      </c>
      <c r="X88" t="e">
        <f t="shared" ca="1" si="28"/>
        <v>#N/A</v>
      </c>
      <c r="Y88" t="e">
        <f t="shared" ca="1" si="29"/>
        <v>#N/A</v>
      </c>
      <c r="AJ88">
        <v>1.5009831567151251</v>
      </c>
      <c r="AK88">
        <v>10.365379235582271</v>
      </c>
      <c r="AL88">
        <v>149.52639500021257</v>
      </c>
      <c r="AM88">
        <v>15.946737285511185</v>
      </c>
      <c r="AN88">
        <v>230.04060769263472</v>
      </c>
      <c r="AQ88">
        <v>86</v>
      </c>
      <c r="AR88">
        <f t="shared" si="32"/>
        <v>0.62780826369712706</v>
      </c>
      <c r="AS88">
        <f t="shared" si="33"/>
        <v>8.9780764523384171</v>
      </c>
    </row>
    <row r="89" spans="1:45" x14ac:dyDescent="0.25">
      <c r="A89">
        <v>53</v>
      </c>
      <c r="B89" s="5">
        <v>0</v>
      </c>
      <c r="C89" s="1">
        <f t="shared" ca="1" si="36"/>
        <v>0</v>
      </c>
      <c r="D89" s="46">
        <f t="shared" si="14"/>
        <v>0</v>
      </c>
      <c r="E89" s="46">
        <f t="shared" si="15"/>
        <v>0</v>
      </c>
      <c r="F89" s="1">
        <f t="shared" ca="1" si="16"/>
        <v>2.375</v>
      </c>
      <c r="G89" t="e">
        <f t="shared" ca="1" si="17"/>
        <v>#N/A</v>
      </c>
      <c r="H89" t="e">
        <f t="shared" ca="1" si="18"/>
        <v>#N/A</v>
      </c>
      <c r="I89" s="7">
        <f t="shared" si="19"/>
        <v>0</v>
      </c>
      <c r="J89" s="7">
        <f t="shared" si="20"/>
        <v>0</v>
      </c>
      <c r="K89">
        <f t="shared" si="21"/>
        <v>0</v>
      </c>
      <c r="L89" s="15">
        <f t="shared" ca="1" si="22"/>
        <v>0</v>
      </c>
      <c r="M89" s="9">
        <f t="shared" ca="1" si="37"/>
        <v>0</v>
      </c>
      <c r="N89" s="7">
        <f t="shared" ca="1" si="23"/>
        <v>0</v>
      </c>
      <c r="O89" s="7">
        <f t="shared" ca="1" si="24"/>
        <v>0</v>
      </c>
      <c r="P89" s="7">
        <f t="shared" ca="1" si="25"/>
        <v>0</v>
      </c>
      <c r="U89" t="e">
        <f t="shared" ca="1" si="26"/>
        <v>#N/A</v>
      </c>
      <c r="V89" t="e">
        <f t="shared" ca="1" si="27"/>
        <v>#N/A</v>
      </c>
      <c r="X89" t="e">
        <f t="shared" ca="1" si="28"/>
        <v>#N/A</v>
      </c>
      <c r="Y89" t="e">
        <f t="shared" ca="1" si="29"/>
        <v>#N/A</v>
      </c>
      <c r="AJ89">
        <v>1.5184364492350684</v>
      </c>
      <c r="AK89">
        <v>7.776481483829123</v>
      </c>
      <c r="AL89">
        <v>149.68097898635131</v>
      </c>
      <c r="AM89">
        <v>11.963817667429419</v>
      </c>
      <c r="AN89">
        <v>230.27842920977122</v>
      </c>
      <c r="AQ89">
        <v>87</v>
      </c>
      <c r="AR89">
        <f t="shared" si="32"/>
        <v>0.47102360618649569</v>
      </c>
      <c r="AS89">
        <f t="shared" si="33"/>
        <v>8.9876658127911639</v>
      </c>
    </row>
    <row r="90" spans="1:45" x14ac:dyDescent="0.25">
      <c r="A90">
        <v>54</v>
      </c>
      <c r="B90" s="5">
        <v>0</v>
      </c>
      <c r="C90" s="1">
        <f t="shared" ca="1" si="36"/>
        <v>0</v>
      </c>
      <c r="D90" s="46">
        <f t="shared" si="14"/>
        <v>0</v>
      </c>
      <c r="E90" s="46">
        <f t="shared" si="15"/>
        <v>0</v>
      </c>
      <c r="F90" s="1">
        <f t="shared" ca="1" si="16"/>
        <v>2.375</v>
      </c>
      <c r="G90" t="e">
        <f t="shared" ca="1" si="17"/>
        <v>#N/A</v>
      </c>
      <c r="H90" t="e">
        <f t="shared" ca="1" si="18"/>
        <v>#N/A</v>
      </c>
      <c r="I90" s="7">
        <f t="shared" si="19"/>
        <v>0</v>
      </c>
      <c r="J90" s="7">
        <f t="shared" si="20"/>
        <v>0</v>
      </c>
      <c r="K90">
        <f t="shared" si="21"/>
        <v>0</v>
      </c>
      <c r="L90" s="15">
        <f t="shared" ca="1" si="22"/>
        <v>0</v>
      </c>
      <c r="M90" s="9">
        <f t="shared" ca="1" si="37"/>
        <v>0</v>
      </c>
      <c r="N90" s="7">
        <f t="shared" ca="1" si="23"/>
        <v>0</v>
      </c>
      <c r="O90" s="7">
        <f t="shared" ca="1" si="24"/>
        <v>0</v>
      </c>
      <c r="P90" s="7">
        <f t="shared" ca="1" si="25"/>
        <v>0</v>
      </c>
      <c r="U90" t="e">
        <f t="shared" ca="1" si="26"/>
        <v>#N/A</v>
      </c>
      <c r="V90" t="e">
        <f t="shared" ca="1" si="27"/>
        <v>#N/A</v>
      </c>
      <c r="X90" t="e">
        <f t="shared" ca="1" si="28"/>
        <v>#N/A</v>
      </c>
      <c r="Y90" t="e">
        <f t="shared" ca="1" si="29"/>
        <v>#N/A</v>
      </c>
      <c r="AJ90">
        <v>1.5358897417550117</v>
      </c>
      <c r="AK90">
        <v>5.1854860829992218</v>
      </c>
      <c r="AL90">
        <v>149.79141491802588</v>
      </c>
      <c r="AM90">
        <v>7.9776708969218797</v>
      </c>
      <c r="AN90">
        <v>230.44833064311672</v>
      </c>
      <c r="AQ90">
        <v>88</v>
      </c>
      <c r="AR90">
        <f t="shared" si="32"/>
        <v>0.31409547032250973</v>
      </c>
      <c r="AS90">
        <f t="shared" si="33"/>
        <v>8.994517443171862</v>
      </c>
    </row>
    <row r="91" spans="1:45" x14ac:dyDescent="0.25">
      <c r="A91">
        <v>55</v>
      </c>
      <c r="B91" s="5">
        <v>0</v>
      </c>
      <c r="C91" s="1">
        <f t="shared" ca="1" si="36"/>
        <v>0</v>
      </c>
      <c r="D91" s="46">
        <f t="shared" si="14"/>
        <v>0</v>
      </c>
      <c r="E91" s="46">
        <f t="shared" si="15"/>
        <v>0</v>
      </c>
      <c r="F91" s="1">
        <f t="shared" ca="1" si="16"/>
        <v>2.375</v>
      </c>
      <c r="G91" t="e">
        <f t="shared" ca="1" si="17"/>
        <v>#N/A</v>
      </c>
      <c r="H91" t="e">
        <f t="shared" ca="1" si="18"/>
        <v>#N/A</v>
      </c>
      <c r="I91" s="7">
        <f t="shared" si="19"/>
        <v>0</v>
      </c>
      <c r="J91" s="7">
        <f t="shared" si="20"/>
        <v>0</v>
      </c>
      <c r="K91">
        <f t="shared" si="21"/>
        <v>0</v>
      </c>
      <c r="L91" s="15">
        <f t="shared" ca="1" si="22"/>
        <v>0</v>
      </c>
      <c r="M91" s="9">
        <f t="shared" ca="1" si="37"/>
        <v>0</v>
      </c>
      <c r="N91" s="7">
        <f t="shared" ca="1" si="23"/>
        <v>0</v>
      </c>
      <c r="O91" s="7">
        <f t="shared" ca="1" si="24"/>
        <v>0</v>
      </c>
      <c r="P91" s="7">
        <f t="shared" ca="1" si="25"/>
        <v>0</v>
      </c>
      <c r="U91" t="e">
        <f t="shared" ca="1" si="26"/>
        <v>#N/A</v>
      </c>
      <c r="V91" t="e">
        <f t="shared" ca="1" si="27"/>
        <v>#N/A</v>
      </c>
      <c r="X91" t="e">
        <f t="shared" ca="1" si="28"/>
        <v>#N/A</v>
      </c>
      <c r="Y91" t="e">
        <f t="shared" ca="1" si="29"/>
        <v>#N/A</v>
      </c>
      <c r="AJ91">
        <v>1.553343034274955</v>
      </c>
      <c r="AK91">
        <v>2.5930925352111069</v>
      </c>
      <c r="AL91">
        <v>149.8576839853306</v>
      </c>
      <c r="AM91">
        <v>3.9893731310940104</v>
      </c>
      <c r="AN91">
        <v>230.55028305435476</v>
      </c>
      <c r="AQ91">
        <v>89</v>
      </c>
      <c r="AR91">
        <f t="shared" si="32"/>
        <v>0.15707165793555239</v>
      </c>
      <c r="AS91">
        <f t="shared" si="33"/>
        <v>8.9986292564075221</v>
      </c>
    </row>
    <row r="92" spans="1:45" x14ac:dyDescent="0.25">
      <c r="A92">
        <v>56</v>
      </c>
      <c r="B92" s="5">
        <v>0</v>
      </c>
      <c r="C92" s="1">
        <f t="shared" ca="1" si="36"/>
        <v>0</v>
      </c>
      <c r="D92" s="46">
        <f t="shared" si="14"/>
        <v>0</v>
      </c>
      <c r="E92" s="46">
        <f t="shared" si="15"/>
        <v>0</v>
      </c>
      <c r="F92" s="1">
        <f t="shared" ca="1" si="16"/>
        <v>2.375</v>
      </c>
      <c r="G92" t="e">
        <f t="shared" ca="1" si="17"/>
        <v>#N/A</v>
      </c>
      <c r="H92" t="e">
        <f t="shared" ca="1" si="18"/>
        <v>#N/A</v>
      </c>
      <c r="I92" s="7">
        <f t="shared" si="19"/>
        <v>0</v>
      </c>
      <c r="J92" s="7">
        <f t="shared" si="20"/>
        <v>0</v>
      </c>
      <c r="K92">
        <f t="shared" si="21"/>
        <v>0</v>
      </c>
      <c r="L92" s="15">
        <f t="shared" ca="1" si="22"/>
        <v>0</v>
      </c>
      <c r="M92" s="9">
        <f t="shared" ca="1" si="37"/>
        <v>0</v>
      </c>
      <c r="N92" s="7">
        <f t="shared" ca="1" si="23"/>
        <v>0</v>
      </c>
      <c r="O92" s="7">
        <f t="shared" ca="1" si="24"/>
        <v>0</v>
      </c>
      <c r="P92" s="7">
        <f t="shared" ca="1" si="25"/>
        <v>0</v>
      </c>
      <c r="U92" t="e">
        <f t="shared" ca="1" si="26"/>
        <v>#N/A</v>
      </c>
      <c r="V92" t="e">
        <f t="shared" ca="1" si="27"/>
        <v>#N/A</v>
      </c>
      <c r="X92" t="e">
        <f t="shared" ca="1" si="28"/>
        <v>#N/A</v>
      </c>
      <c r="Y92" t="e">
        <f t="shared" ca="1" si="29"/>
        <v>#N/A</v>
      </c>
      <c r="AJ92">
        <v>1.5707963267948983</v>
      </c>
      <c r="AK92">
        <v>-2.4320313119434707E-13</v>
      </c>
      <c r="AL92">
        <v>149.87977492467692</v>
      </c>
      <c r="AM92">
        <v>-3.7415866337591856E-13</v>
      </c>
      <c r="AN92">
        <v>230.58426911488758</v>
      </c>
      <c r="AQ92">
        <v>90</v>
      </c>
      <c r="AR92">
        <f t="shared" si="32"/>
        <v>5.51316804708879E-16</v>
      </c>
      <c r="AS92">
        <f t="shared" si="33"/>
        <v>9</v>
      </c>
    </row>
    <row r="93" spans="1:45" x14ac:dyDescent="0.25">
      <c r="A93">
        <v>57</v>
      </c>
      <c r="B93" s="5">
        <v>0</v>
      </c>
      <c r="C93" s="1">
        <f t="shared" ca="1" si="36"/>
        <v>0</v>
      </c>
      <c r="D93" s="46">
        <f t="shared" si="14"/>
        <v>0</v>
      </c>
      <c r="E93" s="46">
        <f t="shared" si="15"/>
        <v>0</v>
      </c>
      <c r="F93" s="1">
        <f t="shared" ca="1" si="16"/>
        <v>2.375</v>
      </c>
      <c r="G93" t="e">
        <f t="shared" ca="1" si="17"/>
        <v>#N/A</v>
      </c>
      <c r="H93" t="e">
        <f t="shared" ca="1" si="18"/>
        <v>#N/A</v>
      </c>
      <c r="I93" s="7">
        <f t="shared" si="19"/>
        <v>0</v>
      </c>
      <c r="J93" s="7">
        <f t="shared" si="20"/>
        <v>0</v>
      </c>
      <c r="K93">
        <f t="shared" si="21"/>
        <v>0</v>
      </c>
      <c r="L93" s="15">
        <f t="shared" ca="1" si="22"/>
        <v>0</v>
      </c>
      <c r="M93" s="9">
        <f t="shared" ca="1" si="37"/>
        <v>0</v>
      </c>
      <c r="N93" s="7">
        <f t="shared" ca="1" si="23"/>
        <v>0</v>
      </c>
      <c r="O93" s="7">
        <f t="shared" ca="1" si="24"/>
        <v>0</v>
      </c>
      <c r="P93" s="7">
        <f t="shared" ca="1" si="25"/>
        <v>0</v>
      </c>
      <c r="U93" t="e">
        <f t="shared" ca="1" si="26"/>
        <v>#N/A</v>
      </c>
      <c r="V93" t="e">
        <f t="shared" ca="1" si="27"/>
        <v>#N/A</v>
      </c>
      <c r="X93" t="e">
        <f t="shared" ca="1" si="28"/>
        <v>#N/A</v>
      </c>
      <c r="Y93" t="e">
        <f t="shared" ca="1" si="29"/>
        <v>#N/A</v>
      </c>
      <c r="AJ93">
        <v>1.5882496193148417</v>
      </c>
      <c r="AK93">
        <v>-2.5930925352116012</v>
      </c>
      <c r="AL93">
        <v>149.85768398533057</v>
      </c>
      <c r="AM93">
        <v>-3.9893731310947711</v>
      </c>
      <c r="AN93">
        <v>230.55028305435471</v>
      </c>
      <c r="AQ93">
        <v>91</v>
      </c>
      <c r="AR93">
        <f t="shared" si="32"/>
        <v>-0.15707165793555128</v>
      </c>
      <c r="AS93">
        <f t="shared" si="33"/>
        <v>8.9986292564075221</v>
      </c>
    </row>
    <row r="94" spans="1:45" x14ac:dyDescent="0.25">
      <c r="A94">
        <v>58</v>
      </c>
      <c r="B94" s="5">
        <v>0</v>
      </c>
      <c r="C94" s="1">
        <f t="shared" ca="1" si="36"/>
        <v>0</v>
      </c>
      <c r="D94" s="46">
        <f t="shared" si="14"/>
        <v>0</v>
      </c>
      <c r="E94" s="46">
        <f t="shared" si="15"/>
        <v>0</v>
      </c>
      <c r="F94" s="1">
        <f t="shared" ca="1" si="16"/>
        <v>2.375</v>
      </c>
      <c r="G94" t="e">
        <f t="shared" ca="1" si="17"/>
        <v>#N/A</v>
      </c>
      <c r="H94" t="e">
        <f t="shared" ca="1" si="18"/>
        <v>#N/A</v>
      </c>
      <c r="I94" s="7">
        <f t="shared" si="19"/>
        <v>0</v>
      </c>
      <c r="J94" s="7">
        <f t="shared" si="20"/>
        <v>0</v>
      </c>
      <c r="K94">
        <f t="shared" si="21"/>
        <v>0</v>
      </c>
      <c r="L94" s="15">
        <f t="shared" ca="1" si="22"/>
        <v>0</v>
      </c>
      <c r="M94" s="9">
        <f t="shared" ca="1" si="37"/>
        <v>0</v>
      </c>
      <c r="N94" s="7">
        <f t="shared" ca="1" si="23"/>
        <v>0</v>
      </c>
      <c r="O94" s="7">
        <f t="shared" ca="1" si="24"/>
        <v>0</v>
      </c>
      <c r="P94" s="7">
        <f t="shared" ca="1" si="25"/>
        <v>0</v>
      </c>
      <c r="U94" t="e">
        <f t="shared" ca="1" si="26"/>
        <v>#N/A</v>
      </c>
      <c r="V94" t="e">
        <f t="shared" ca="1" si="27"/>
        <v>#N/A</v>
      </c>
      <c r="X94" t="e">
        <f t="shared" ca="1" si="28"/>
        <v>#N/A</v>
      </c>
      <c r="Y94" t="e">
        <f t="shared" ca="1" si="29"/>
        <v>#N/A</v>
      </c>
      <c r="AJ94">
        <v>1.605702911834785</v>
      </c>
      <c r="AK94">
        <v>-5.1854860829997156</v>
      </c>
      <c r="AL94">
        <v>149.79141491802588</v>
      </c>
      <c r="AM94">
        <v>-7.9776708969226391</v>
      </c>
      <c r="AN94">
        <v>230.44833064311672</v>
      </c>
      <c r="AQ94">
        <v>92</v>
      </c>
      <c r="AR94">
        <f t="shared" si="32"/>
        <v>-0.31409547032250862</v>
      </c>
      <c r="AS94">
        <f t="shared" si="33"/>
        <v>8.994517443171862</v>
      </c>
    </row>
    <row r="95" spans="1:45" x14ac:dyDescent="0.25">
      <c r="A95">
        <v>59</v>
      </c>
      <c r="B95" s="5">
        <v>0</v>
      </c>
      <c r="C95" s="1">
        <f t="shared" ca="1" si="36"/>
        <v>0</v>
      </c>
      <c r="D95" s="46">
        <f t="shared" si="14"/>
        <v>0</v>
      </c>
      <c r="E95" s="46">
        <f t="shared" si="15"/>
        <v>0</v>
      </c>
      <c r="F95" s="1">
        <f t="shared" ca="1" si="16"/>
        <v>2.375</v>
      </c>
      <c r="G95" t="e">
        <f t="shared" ca="1" si="17"/>
        <v>#N/A</v>
      </c>
      <c r="H95" t="e">
        <f t="shared" ca="1" si="18"/>
        <v>#N/A</v>
      </c>
      <c r="I95" s="7">
        <f t="shared" si="19"/>
        <v>0</v>
      </c>
      <c r="J95" s="7">
        <f t="shared" si="20"/>
        <v>0</v>
      </c>
      <c r="K95">
        <f t="shared" si="21"/>
        <v>0</v>
      </c>
      <c r="L95" s="15">
        <f t="shared" ca="1" si="22"/>
        <v>0</v>
      </c>
      <c r="M95" s="9">
        <f t="shared" ca="1" si="37"/>
        <v>0</v>
      </c>
      <c r="N95" s="7">
        <f t="shared" ca="1" si="23"/>
        <v>0</v>
      </c>
      <c r="O95" s="7">
        <f t="shared" ca="1" si="24"/>
        <v>0</v>
      </c>
      <c r="P95" s="7">
        <f t="shared" ca="1" si="25"/>
        <v>0</v>
      </c>
      <c r="U95" t="e">
        <f t="shared" ca="1" si="26"/>
        <v>#N/A</v>
      </c>
      <c r="V95" t="e">
        <f t="shared" ca="1" si="27"/>
        <v>#N/A</v>
      </c>
      <c r="X95" t="e">
        <f t="shared" ca="1" si="28"/>
        <v>#N/A</v>
      </c>
      <c r="Y95" t="e">
        <f t="shared" ca="1" si="29"/>
        <v>#N/A</v>
      </c>
      <c r="AJ95">
        <v>1.6231562043547283</v>
      </c>
      <c r="AK95">
        <v>-7.7764814838296195</v>
      </c>
      <c r="AL95">
        <v>149.68097898635128</v>
      </c>
      <c r="AM95">
        <v>-11.963817667430183</v>
      </c>
      <c r="AN95">
        <v>230.27842920977119</v>
      </c>
      <c r="AQ95">
        <v>93</v>
      </c>
      <c r="AR95">
        <f t="shared" si="32"/>
        <v>-0.47102360618649458</v>
      </c>
      <c r="AS95">
        <f t="shared" si="33"/>
        <v>8.9876658127911639</v>
      </c>
    </row>
    <row r="96" spans="1:45" x14ac:dyDescent="0.25">
      <c r="A96">
        <v>60</v>
      </c>
      <c r="B96" s="5">
        <v>0</v>
      </c>
      <c r="C96" s="1">
        <f t="shared" ca="1" si="36"/>
        <v>0</v>
      </c>
      <c r="D96" s="46">
        <f t="shared" si="14"/>
        <v>0</v>
      </c>
      <c r="E96" s="46">
        <f t="shared" si="15"/>
        <v>0</v>
      </c>
      <c r="F96" s="1">
        <f t="shared" ca="1" si="16"/>
        <v>2.375</v>
      </c>
      <c r="G96" t="e">
        <f t="shared" ca="1" si="17"/>
        <v>#N/A</v>
      </c>
      <c r="H96" t="e">
        <f t="shared" ca="1" si="18"/>
        <v>#N/A</v>
      </c>
      <c r="I96" s="7">
        <f t="shared" si="19"/>
        <v>0</v>
      </c>
      <c r="J96" s="7">
        <f t="shared" si="20"/>
        <v>0</v>
      </c>
      <c r="K96">
        <f t="shared" si="21"/>
        <v>0</v>
      </c>
      <c r="L96" s="15">
        <f t="shared" ca="1" si="22"/>
        <v>0</v>
      </c>
      <c r="M96" s="9">
        <f t="shared" ca="1" si="37"/>
        <v>0</v>
      </c>
      <c r="N96" s="7">
        <f t="shared" ca="1" si="23"/>
        <v>0</v>
      </c>
      <c r="O96" s="7">
        <f t="shared" ca="1" si="24"/>
        <v>0</v>
      </c>
      <c r="P96" s="7">
        <f t="shared" ca="1" si="25"/>
        <v>0</v>
      </c>
      <c r="U96" t="e">
        <f t="shared" ca="1" si="26"/>
        <v>#N/A</v>
      </c>
      <c r="V96" t="e">
        <f t="shared" ca="1" si="27"/>
        <v>#N/A</v>
      </c>
      <c r="X96" t="e">
        <f t="shared" ca="1" si="28"/>
        <v>#N/A</v>
      </c>
      <c r="Y96" t="e">
        <f t="shared" ca="1" si="29"/>
        <v>#N/A</v>
      </c>
      <c r="AJ96">
        <v>1.6406094968746716</v>
      </c>
      <c r="AK96">
        <v>-10.365379235582765</v>
      </c>
      <c r="AL96">
        <v>149.52639500021255</v>
      </c>
      <c r="AM96">
        <v>-15.946737285511945</v>
      </c>
      <c r="AN96">
        <v>230.04060769263467</v>
      </c>
      <c r="AQ96">
        <v>94</v>
      </c>
      <c r="AR96">
        <f t="shared" si="32"/>
        <v>-0.62780826369712794</v>
      </c>
      <c r="AS96">
        <f t="shared" si="33"/>
        <v>8.9780764523384171</v>
      </c>
    </row>
    <row r="97" spans="1:61" x14ac:dyDescent="0.25">
      <c r="A97">
        <v>61</v>
      </c>
      <c r="B97" s="5">
        <v>0</v>
      </c>
      <c r="C97" s="1">
        <f t="shared" ca="1" si="36"/>
        <v>0</v>
      </c>
      <c r="D97" s="46">
        <f t="shared" si="14"/>
        <v>0</v>
      </c>
      <c r="E97" s="46">
        <f t="shared" si="15"/>
        <v>0</v>
      </c>
      <c r="F97" s="1">
        <f t="shared" ca="1" si="16"/>
        <v>2.375</v>
      </c>
      <c r="G97" t="e">
        <f t="shared" ca="1" si="17"/>
        <v>#N/A</v>
      </c>
      <c r="H97" t="e">
        <f t="shared" ca="1" si="18"/>
        <v>#N/A</v>
      </c>
      <c r="I97" s="7">
        <f t="shared" si="19"/>
        <v>0</v>
      </c>
      <c r="J97" s="7">
        <f t="shared" si="20"/>
        <v>0</v>
      </c>
      <c r="K97">
        <f t="shared" si="21"/>
        <v>0</v>
      </c>
      <c r="L97" s="15">
        <f t="shared" ca="1" si="22"/>
        <v>0</v>
      </c>
      <c r="M97" s="9">
        <f t="shared" ca="1" si="37"/>
        <v>0</v>
      </c>
      <c r="N97" s="7">
        <f t="shared" ca="1" si="23"/>
        <v>0</v>
      </c>
      <c r="O97" s="7">
        <f t="shared" ca="1" si="24"/>
        <v>0</v>
      </c>
      <c r="P97" s="7">
        <f t="shared" ca="1" si="25"/>
        <v>0</v>
      </c>
      <c r="U97" t="e">
        <f t="shared" ca="1" si="26"/>
        <v>#N/A</v>
      </c>
      <c r="V97" t="e">
        <f t="shared" ca="1" si="27"/>
        <v>#N/A</v>
      </c>
      <c r="X97" t="e">
        <f t="shared" ca="1" si="28"/>
        <v>#N/A</v>
      </c>
      <c r="Y97" t="e">
        <f t="shared" ca="1" si="29"/>
        <v>#N/A</v>
      </c>
      <c r="AJ97">
        <v>1.6580627893946149</v>
      </c>
      <c r="AK97">
        <v>-12.958365452742468</v>
      </c>
      <c r="AL97">
        <v>149.28515400090171</v>
      </c>
      <c r="AM97">
        <v>-19.935946850373028</v>
      </c>
      <c r="AN97">
        <v>229.66946769369494</v>
      </c>
      <c r="AQ97">
        <v>95</v>
      </c>
      <c r="AR97">
        <f t="shared" si="32"/>
        <v>-0.78440168472892413</v>
      </c>
      <c r="AS97">
        <f t="shared" si="33"/>
        <v>8.9657522828257097</v>
      </c>
    </row>
    <row r="98" spans="1:61" x14ac:dyDescent="0.25">
      <c r="A98">
        <v>62</v>
      </c>
      <c r="B98" s="5">
        <v>0</v>
      </c>
      <c r="C98" s="1">
        <f t="shared" ca="1" si="36"/>
        <v>0</v>
      </c>
      <c r="D98" s="46">
        <f t="shared" si="14"/>
        <v>0</v>
      </c>
      <c r="E98" s="46">
        <f t="shared" si="15"/>
        <v>0</v>
      </c>
      <c r="F98" s="1">
        <f t="shared" ca="1" si="16"/>
        <v>2.375</v>
      </c>
      <c r="G98" t="e">
        <f t="shared" ca="1" si="17"/>
        <v>#N/A</v>
      </c>
      <c r="H98" t="e">
        <f t="shared" ca="1" si="18"/>
        <v>#N/A</v>
      </c>
      <c r="I98" s="7">
        <f t="shared" si="19"/>
        <v>0</v>
      </c>
      <c r="J98" s="7">
        <f t="shared" si="20"/>
        <v>0</v>
      </c>
      <c r="K98">
        <f t="shared" si="21"/>
        <v>0</v>
      </c>
      <c r="L98" s="15">
        <f t="shared" ca="1" si="22"/>
        <v>0</v>
      </c>
      <c r="M98" s="9">
        <f t="shared" ca="1" si="37"/>
        <v>0</v>
      </c>
      <c r="N98" s="7">
        <f t="shared" ca="1" si="23"/>
        <v>0</v>
      </c>
      <c r="O98" s="7">
        <f t="shared" ca="1" si="24"/>
        <v>0</v>
      </c>
      <c r="P98" s="7">
        <f t="shared" ca="1" si="25"/>
        <v>0</v>
      </c>
      <c r="U98" t="e">
        <f t="shared" ca="1" si="26"/>
        <v>#N/A</v>
      </c>
      <c r="V98" t="e">
        <f t="shared" ca="1" si="27"/>
        <v>#N/A</v>
      </c>
      <c r="X98" t="e">
        <f t="shared" ca="1" si="28"/>
        <v>#N/A</v>
      </c>
      <c r="Y98" t="e">
        <f t="shared" ca="1" si="29"/>
        <v>#N/A</v>
      </c>
      <c r="AJ98">
        <v>1.6755160819145583</v>
      </c>
      <c r="AK98">
        <v>-15.545980896812575</v>
      </c>
      <c r="AL98">
        <v>148.99114375655617</v>
      </c>
      <c r="AM98">
        <v>-23.916893687403959</v>
      </c>
      <c r="AN98">
        <v>229.21714424085565</v>
      </c>
      <c r="AQ98">
        <v>96</v>
      </c>
      <c r="AR98">
        <f t="shared" si="32"/>
        <v>-0.94075616940888196</v>
      </c>
      <c r="AS98">
        <f t="shared" si="33"/>
        <v>8.9506970583144589</v>
      </c>
    </row>
    <row r="99" spans="1:61" x14ac:dyDescent="0.25">
      <c r="A99">
        <v>63</v>
      </c>
      <c r="B99" s="5">
        <v>0</v>
      </c>
      <c r="C99" s="1">
        <f t="shared" ca="1" si="36"/>
        <v>0</v>
      </c>
      <c r="D99" s="46">
        <f t="shared" si="14"/>
        <v>0</v>
      </c>
      <c r="E99" s="46">
        <f t="shared" si="15"/>
        <v>0</v>
      </c>
      <c r="F99" s="1">
        <f t="shared" ca="1" si="16"/>
        <v>2.375</v>
      </c>
      <c r="G99" t="e">
        <f t="shared" ca="1" si="17"/>
        <v>#N/A</v>
      </c>
      <c r="H99" t="e">
        <f t="shared" ca="1" si="18"/>
        <v>#N/A</v>
      </c>
      <c r="I99" s="7">
        <f t="shared" si="19"/>
        <v>0</v>
      </c>
      <c r="J99" s="7">
        <f t="shared" si="20"/>
        <v>0</v>
      </c>
      <c r="K99">
        <f t="shared" si="21"/>
        <v>0</v>
      </c>
      <c r="L99" s="15">
        <f t="shared" ca="1" si="22"/>
        <v>0</v>
      </c>
      <c r="M99" s="9">
        <f t="shared" ca="1" si="37"/>
        <v>0</v>
      </c>
      <c r="N99" s="7">
        <f t="shared" ca="1" si="23"/>
        <v>0</v>
      </c>
      <c r="O99" s="7">
        <f t="shared" ca="1" si="24"/>
        <v>0</v>
      </c>
      <c r="P99" s="7">
        <f t="shared" ca="1" si="25"/>
        <v>0</v>
      </c>
      <c r="U99" t="e">
        <f t="shared" ca="1" si="26"/>
        <v>#N/A</v>
      </c>
      <c r="V99" t="e">
        <f t="shared" ca="1" si="27"/>
        <v>#N/A</v>
      </c>
      <c r="X99" t="e">
        <f t="shared" ca="1" si="28"/>
        <v>#N/A</v>
      </c>
      <c r="Y99" t="e">
        <f t="shared" ca="1" si="29"/>
        <v>#N/A</v>
      </c>
      <c r="AJ99">
        <v>1.6929693744345016</v>
      </c>
      <c r="AK99">
        <v>-18.125569727016231</v>
      </c>
      <c r="AL99">
        <v>148.65622631537249</v>
      </c>
      <c r="AM99">
        <v>-27.885491887717276</v>
      </c>
      <c r="AN99">
        <v>228.7018866390346</v>
      </c>
      <c r="AQ99">
        <v>97</v>
      </c>
      <c r="AR99">
        <f t="shared" si="32"/>
        <v>-1.0968240906463262</v>
      </c>
      <c r="AS99">
        <f t="shared" si="33"/>
        <v>8.9329153647718993</v>
      </c>
    </row>
    <row r="100" spans="1:61" x14ac:dyDescent="0.25">
      <c r="A100">
        <v>64</v>
      </c>
      <c r="B100" s="5">
        <v>0</v>
      </c>
      <c r="C100" s="1">
        <f t="shared" ca="1" si="36"/>
        <v>0</v>
      </c>
      <c r="D100" s="46">
        <f t="shared" si="14"/>
        <v>0</v>
      </c>
      <c r="E100" s="46">
        <f t="shared" si="15"/>
        <v>0</v>
      </c>
      <c r="F100" s="1">
        <f t="shared" ca="1" si="16"/>
        <v>2.375</v>
      </c>
      <c r="G100" t="e">
        <f t="shared" ca="1" si="17"/>
        <v>#N/A</v>
      </c>
      <c r="H100" t="e">
        <f t="shared" ca="1" si="18"/>
        <v>#N/A</v>
      </c>
      <c r="I100" s="7">
        <f t="shared" si="19"/>
        <v>0</v>
      </c>
      <c r="J100" s="7">
        <f t="shared" si="20"/>
        <v>0</v>
      </c>
      <c r="K100">
        <f t="shared" si="21"/>
        <v>0</v>
      </c>
      <c r="L100" s="15">
        <f t="shared" ca="1" si="22"/>
        <v>0</v>
      </c>
      <c r="M100" s="9">
        <f t="shared" ca="1" si="37"/>
        <v>0</v>
      </c>
      <c r="N100" s="7">
        <f t="shared" ca="1" si="23"/>
        <v>0</v>
      </c>
      <c r="O100" s="7">
        <f t="shared" ca="1" si="24"/>
        <v>0</v>
      </c>
      <c r="P100" s="7">
        <f t="shared" ca="1" si="25"/>
        <v>0</v>
      </c>
      <c r="U100" t="e">
        <f t="shared" ca="1" si="26"/>
        <v>#N/A</v>
      </c>
      <c r="V100" t="e">
        <f t="shared" ca="1" si="27"/>
        <v>#N/A</v>
      </c>
      <c r="X100" t="e">
        <f t="shared" ca="1" si="28"/>
        <v>#N/A</v>
      </c>
      <c r="Y100" t="e">
        <f t="shared" ca="1" si="29"/>
        <v>#N/A</v>
      </c>
      <c r="AJ100">
        <v>1.7104226669544449</v>
      </c>
      <c r="AK100">
        <v>-20.696771972264745</v>
      </c>
      <c r="AL100">
        <v>148.28065954772237</v>
      </c>
      <c r="AM100">
        <v>-31.841187649638069</v>
      </c>
      <c r="AN100">
        <v>228.12409161188054</v>
      </c>
      <c r="AQ100">
        <v>98</v>
      </c>
      <c r="AR100">
        <f t="shared" si="32"/>
        <v>-1.2525579086405882</v>
      </c>
      <c r="AS100">
        <f t="shared" si="33"/>
        <v>8.9124126186741339</v>
      </c>
    </row>
    <row r="101" spans="1:61" x14ac:dyDescent="0.25">
      <c r="A101">
        <v>65</v>
      </c>
      <c r="B101" s="5">
        <v>0</v>
      </c>
      <c r="C101" s="1">
        <f t="shared" ref="C101:C108" ca="1" si="38">IF(A101&lt;=$B$31,OFFSET($Q$36,MATCH(B101,$Q$36:$Q$47,0)-1,2),0)</f>
        <v>0</v>
      </c>
      <c r="D101" s="46">
        <f t="shared" si="14"/>
        <v>0</v>
      </c>
      <c r="E101" s="46">
        <f t="shared" si="15"/>
        <v>0</v>
      </c>
      <c r="F101" s="1">
        <f t="shared" ca="1" si="16"/>
        <v>2.375</v>
      </c>
      <c r="G101" t="e">
        <f t="shared" ca="1" si="17"/>
        <v>#N/A</v>
      </c>
      <c r="H101" t="e">
        <f t="shared" ca="1" si="18"/>
        <v>#N/A</v>
      </c>
      <c r="I101" s="7">
        <f t="shared" si="19"/>
        <v>0</v>
      </c>
      <c r="J101" s="7">
        <f t="shared" si="20"/>
        <v>0</v>
      </c>
      <c r="K101">
        <f t="shared" si="21"/>
        <v>0</v>
      </c>
      <c r="L101" s="15">
        <f t="shared" ca="1" si="22"/>
        <v>0</v>
      </c>
      <c r="M101" s="9">
        <f t="shared" ref="M101:M108" ca="1" si="39">IF(AND(L101&gt;0,K101&lt;=$B$12),MIN((L101*F$35),C$35)-IF($B$2="Whitney",$B$9,B215),MAX(L101*F$35,-1*C$35))</f>
        <v>0</v>
      </c>
      <c r="N101" s="7">
        <f t="shared" ca="1" si="23"/>
        <v>0</v>
      </c>
      <c r="O101" s="7">
        <f t="shared" ca="1" si="24"/>
        <v>0</v>
      </c>
      <c r="P101" s="7">
        <f t="shared" ca="1" si="25"/>
        <v>0</v>
      </c>
      <c r="U101" t="e">
        <f t="shared" ca="1" si="26"/>
        <v>#N/A</v>
      </c>
      <c r="V101" t="e">
        <f t="shared" ca="1" si="27"/>
        <v>#N/A</v>
      </c>
      <c r="X101" t="e">
        <f t="shared" ca="1" si="28"/>
        <v>#N/A</v>
      </c>
      <c r="Y101" t="e">
        <f t="shared" ca="1" si="29"/>
        <v>#N/A</v>
      </c>
      <c r="AJ101">
        <v>1.7278759594743882</v>
      </c>
      <c r="AK101">
        <v>-23.259235794662395</v>
      </c>
      <c r="AL101">
        <v>147.86470310548862</v>
      </c>
      <c r="AM101">
        <v>-35.783439684095988</v>
      </c>
      <c r="AN101">
        <v>227.48415862382862</v>
      </c>
      <c r="AQ101">
        <v>99</v>
      </c>
      <c r="AR101">
        <f t="shared" si="32"/>
        <v>-1.4079101853620772</v>
      </c>
      <c r="AS101">
        <f t="shared" si="33"/>
        <v>8.8891950653562404</v>
      </c>
    </row>
    <row r="102" spans="1:61" x14ac:dyDescent="0.25">
      <c r="A102">
        <v>66</v>
      </c>
      <c r="B102" s="5">
        <v>0</v>
      </c>
      <c r="C102" s="1">
        <f t="shared" ca="1" si="38"/>
        <v>0</v>
      </c>
      <c r="D102" s="46">
        <f t="shared" ref="D102:D108" si="40">IF($E$32*(A102-1)&gt;=360,0,(($B$3-F102)*COS(RADIANS(($E$32*(A102-1))+$E$30))))</f>
        <v>0</v>
      </c>
      <c r="E102" s="46">
        <f t="shared" ref="E102:E108" si="41">IF($E$32*(A102-1)&gt;=360,0,($B$3-F102)*SIN(RADIANS(($E$32*(A102-1))+$E$30)))</f>
        <v>0</v>
      </c>
      <c r="F102" s="1">
        <f t="shared" ref="F102:F108" ca="1" si="42">$E$31+(OFFSET($Q$36,MATCH(B102,$Q$36:$Q$47,0)-1,1)/2)</f>
        <v>2.375</v>
      </c>
      <c r="G102" t="e">
        <f t="shared" ref="G102:G108" ca="1" si="43">IF(C102=0,NA(),D102)</f>
        <v>#N/A</v>
      </c>
      <c r="H102" t="e">
        <f t="shared" ref="H102:H108" ca="1" si="44">IF(C102=0,NA(),E102)</f>
        <v>#N/A</v>
      </c>
      <c r="I102" s="7">
        <f t="shared" ref="I102:I108" si="45">D102*COS($B$10)+E102*SIN($B$10)</f>
        <v>0</v>
      </c>
      <c r="J102" s="7">
        <f t="shared" ref="J102:J108" si="46">-1*D102*SIN($B$10)+E102*COS($B$10)</f>
        <v>0</v>
      </c>
      <c r="K102">
        <f t="shared" ref="K102:K108" si="47">IF(B102=0,0,$B$3-J102)</f>
        <v>0</v>
      </c>
      <c r="L102" s="15">
        <f t="shared" ref="L102:L108" ca="1" si="48">IF($B$11&lt;=0,-1,IF(C102=0,0,(($B$11-K102)/$B$11)*$B$13)*IF($B$11&lt;0,-1,1))</f>
        <v>0</v>
      </c>
      <c r="M102" s="9">
        <f t="shared" ca="1" si="39"/>
        <v>0</v>
      </c>
      <c r="N102" s="7">
        <f t="shared" ref="N102:N108" ca="1" si="49">M102*C102</f>
        <v>0</v>
      </c>
      <c r="O102" s="7">
        <f t="shared" ref="O102:O108" ca="1" si="50">N102*J102</f>
        <v>0</v>
      </c>
      <c r="P102" s="7">
        <f t="shared" ref="P102:P108" ca="1" si="51">N102*I102</f>
        <v>0</v>
      </c>
      <c r="U102" t="e">
        <f t="shared" ref="U102:U108" ca="1" si="52">IF(AND(N102&lt;0,C102&gt;0),D102,NA())</f>
        <v>#N/A</v>
      </c>
      <c r="V102" t="e">
        <f t="shared" ref="V102:V108" ca="1" si="53">IF(AND(N102&lt;0,C102&gt;0),E102,NA())</f>
        <v>#N/A</v>
      </c>
      <c r="X102" t="e">
        <f t="shared" ref="X102:X108" ca="1" si="54">IF(AND(N102&gt;=0,C102&gt;0),D102,NA())</f>
        <v>#N/A</v>
      </c>
      <c r="Y102" t="e">
        <f t="shared" ref="Y102:Y108" ca="1" si="55">IF(AND(N102&gt;=0,C102&gt;0),E102,NA())</f>
        <v>#N/A</v>
      </c>
      <c r="AJ102">
        <v>1.7453292519943315</v>
      </c>
      <c r="AK102">
        <v>-25.812618829412404</v>
      </c>
      <c r="AL102">
        <v>147.40859979302962</v>
      </c>
      <c r="AM102">
        <v>-39.711721276019084</v>
      </c>
      <c r="AN102">
        <v>226.78246122004558</v>
      </c>
      <c r="AQ102">
        <v>100</v>
      </c>
      <c r="AR102">
        <f t="shared" si="32"/>
        <v>-1.5628335990023727</v>
      </c>
      <c r="AS102">
        <f t="shared" si="33"/>
        <v>8.8632697771098723</v>
      </c>
    </row>
    <row r="103" spans="1:61" x14ac:dyDescent="0.25">
      <c r="A103">
        <v>67</v>
      </c>
      <c r="B103" s="5">
        <v>0</v>
      </c>
      <c r="C103" s="1">
        <f t="shared" ca="1" si="38"/>
        <v>0</v>
      </c>
      <c r="D103" s="46">
        <f t="shared" si="40"/>
        <v>0</v>
      </c>
      <c r="E103" s="46">
        <f t="shared" si="41"/>
        <v>0</v>
      </c>
      <c r="F103" s="1">
        <f t="shared" ca="1" si="42"/>
        <v>2.375</v>
      </c>
      <c r="G103" t="e">
        <f t="shared" ca="1" si="43"/>
        <v>#N/A</v>
      </c>
      <c r="H103" t="e">
        <f t="shared" ca="1" si="44"/>
        <v>#N/A</v>
      </c>
      <c r="I103" s="7">
        <f t="shared" si="45"/>
        <v>0</v>
      </c>
      <c r="J103" s="7">
        <f t="shared" si="46"/>
        <v>0</v>
      </c>
      <c r="K103">
        <f t="shared" si="47"/>
        <v>0</v>
      </c>
      <c r="L103" s="15">
        <f t="shared" ca="1" si="48"/>
        <v>0</v>
      </c>
      <c r="M103" s="9">
        <f t="shared" ca="1" si="39"/>
        <v>0</v>
      </c>
      <c r="N103" s="7">
        <f t="shared" ca="1" si="49"/>
        <v>0</v>
      </c>
      <c r="O103" s="7">
        <f t="shared" ca="1" si="50"/>
        <v>0</v>
      </c>
      <c r="P103" s="7">
        <f t="shared" ca="1" si="51"/>
        <v>0</v>
      </c>
      <c r="U103" t="e">
        <f t="shared" ca="1" si="52"/>
        <v>#N/A</v>
      </c>
      <c r="V103" t="e">
        <f t="shared" ca="1" si="53"/>
        <v>#N/A</v>
      </c>
      <c r="X103" t="e">
        <f t="shared" ca="1" si="54"/>
        <v>#N/A</v>
      </c>
      <c r="Y103" t="e">
        <f t="shared" ca="1" si="55"/>
        <v>#N/A</v>
      </c>
      <c r="AJ103">
        <v>1.7627825445142749</v>
      </c>
      <c r="AK103">
        <v>-28.356586532133161</v>
      </c>
      <c r="AL103">
        <v>146.9125744576092</v>
      </c>
      <c r="AM103">
        <v>-43.625517741743323</v>
      </c>
      <c r="AN103">
        <v>226.01934531939875</v>
      </c>
      <c r="AQ103">
        <v>101</v>
      </c>
      <c r="AR103">
        <f t="shared" si="32"/>
        <v>-1.7172809583889033</v>
      </c>
      <c r="AS103">
        <f t="shared" si="33"/>
        <v>8.8346446510289756</v>
      </c>
    </row>
    <row r="104" spans="1:61" x14ac:dyDescent="0.25">
      <c r="A104">
        <v>68</v>
      </c>
      <c r="B104" s="5">
        <v>0</v>
      </c>
      <c r="C104" s="1">
        <f t="shared" ca="1" si="38"/>
        <v>0</v>
      </c>
      <c r="D104" s="46">
        <f t="shared" si="40"/>
        <v>0</v>
      </c>
      <c r="E104" s="46">
        <f t="shared" si="41"/>
        <v>0</v>
      </c>
      <c r="F104" s="1">
        <f t="shared" ca="1" si="42"/>
        <v>2.375</v>
      </c>
      <c r="G104" t="e">
        <f t="shared" ca="1" si="43"/>
        <v>#N/A</v>
      </c>
      <c r="H104" t="e">
        <f t="shared" ca="1" si="44"/>
        <v>#N/A</v>
      </c>
      <c r="I104" s="7">
        <f t="shared" si="45"/>
        <v>0</v>
      </c>
      <c r="J104" s="7">
        <f t="shared" si="46"/>
        <v>0</v>
      </c>
      <c r="K104">
        <f t="shared" si="47"/>
        <v>0</v>
      </c>
      <c r="L104" s="15">
        <f t="shared" ca="1" si="48"/>
        <v>0</v>
      </c>
      <c r="M104" s="9">
        <f t="shared" ca="1" si="39"/>
        <v>0</v>
      </c>
      <c r="N104" s="7">
        <f t="shared" ca="1" si="49"/>
        <v>0</v>
      </c>
      <c r="O104" s="7">
        <f t="shared" ca="1" si="50"/>
        <v>0</v>
      </c>
      <c r="P104" s="7">
        <f t="shared" ca="1" si="51"/>
        <v>0</v>
      </c>
      <c r="U104" t="e">
        <f t="shared" ca="1" si="52"/>
        <v>#N/A</v>
      </c>
      <c r="V104" t="e">
        <f t="shared" ca="1" si="53"/>
        <v>#N/A</v>
      </c>
      <c r="X104" t="e">
        <f t="shared" ca="1" si="54"/>
        <v>#N/A</v>
      </c>
      <c r="Y104" t="e">
        <f t="shared" ca="1" si="55"/>
        <v>#N/A</v>
      </c>
      <c r="AJ104">
        <v>1.7802358370342182</v>
      </c>
      <c r="AK104">
        <v>-30.890810418852844</v>
      </c>
      <c r="AL104">
        <v>146.376833728842</v>
      </c>
      <c r="AM104">
        <v>-47.524323721312065</v>
      </c>
      <c r="AN104">
        <v>225.19512881360308</v>
      </c>
      <c r="AQ104">
        <v>102</v>
      </c>
      <c r="AR104">
        <f t="shared" si="32"/>
        <v>-1.8712052173598341</v>
      </c>
      <c r="AS104">
        <f t="shared" si="33"/>
        <v>8.8033284066042512</v>
      </c>
      <c r="AV104">
        <v>701.52850091910886</v>
      </c>
      <c r="AW104">
        <v>62.643331397995766</v>
      </c>
      <c r="AX104">
        <v>-31.321665698997883</v>
      </c>
      <c r="AY104">
        <f t="shared" ref="AY104:AY105" si="56">SQRT(POWER(AW104,2)+POWER(AX104,2))</f>
        <v>70.03737367148274</v>
      </c>
      <c r="BF104">
        <v>1138.9324460784158</v>
      </c>
      <c r="BG104">
        <v>1.5561858466902144E-14</v>
      </c>
      <c r="BH104">
        <v>191.21087355477931</v>
      </c>
      <c r="BI104">
        <f t="shared" ref="BI104:BI105" si="57">SQRT(POWER(BG104,2)+POWER(BH104,2))</f>
        <v>191.21087355477931</v>
      </c>
    </row>
    <row r="105" spans="1:61" x14ac:dyDescent="0.25">
      <c r="A105">
        <v>69</v>
      </c>
      <c r="B105" s="5">
        <v>0</v>
      </c>
      <c r="C105" s="1">
        <f t="shared" ca="1" si="38"/>
        <v>0</v>
      </c>
      <c r="D105" s="46">
        <f t="shared" si="40"/>
        <v>0</v>
      </c>
      <c r="E105" s="46">
        <f t="shared" si="41"/>
        <v>0</v>
      </c>
      <c r="F105" s="1">
        <f t="shared" ca="1" si="42"/>
        <v>2.375</v>
      </c>
      <c r="G105" t="e">
        <f t="shared" ca="1" si="43"/>
        <v>#N/A</v>
      </c>
      <c r="H105" t="e">
        <f t="shared" ca="1" si="44"/>
        <v>#N/A</v>
      </c>
      <c r="I105" s="7">
        <f t="shared" si="45"/>
        <v>0</v>
      </c>
      <c r="J105" s="7">
        <f t="shared" si="46"/>
        <v>0</v>
      </c>
      <c r="K105">
        <f t="shared" si="47"/>
        <v>0</v>
      </c>
      <c r="L105" s="15">
        <f t="shared" ca="1" si="48"/>
        <v>0</v>
      </c>
      <c r="M105" s="9">
        <f t="shared" ca="1" si="39"/>
        <v>0</v>
      </c>
      <c r="N105" s="7">
        <f t="shared" ca="1" si="49"/>
        <v>0</v>
      </c>
      <c r="O105" s="7">
        <f t="shared" ca="1" si="50"/>
        <v>0</v>
      </c>
      <c r="P105" s="7">
        <f t="shared" ca="1" si="51"/>
        <v>0</v>
      </c>
      <c r="U105" t="e">
        <f t="shared" ca="1" si="52"/>
        <v>#N/A</v>
      </c>
      <c r="V105" t="e">
        <f t="shared" ca="1" si="53"/>
        <v>#N/A</v>
      </c>
      <c r="X105" t="e">
        <f t="shared" ca="1" si="54"/>
        <v>#N/A</v>
      </c>
      <c r="Y105" t="e">
        <f t="shared" ca="1" si="55"/>
        <v>#N/A</v>
      </c>
      <c r="AJ105">
        <v>1.7976891295541615</v>
      </c>
      <c r="AK105">
        <v>-33.41496629901728</v>
      </c>
      <c r="AL105">
        <v>145.80156587342935</v>
      </c>
      <c r="AM105">
        <v>-51.407640460026585</v>
      </c>
      <c r="AN105">
        <v>224.31010134373747</v>
      </c>
      <c r="AQ105">
        <v>103</v>
      </c>
      <c r="AR105">
        <f t="shared" si="32"/>
        <v>-2.0245594890947851</v>
      </c>
      <c r="AS105">
        <f t="shared" si="33"/>
        <v>8.7693305830671164</v>
      </c>
      <c r="AV105">
        <f>AV104</f>
        <v>701.52850091910886</v>
      </c>
      <c r="AW105">
        <v>0</v>
      </c>
      <c r="AX105">
        <v>0</v>
      </c>
      <c r="AY105">
        <f t="shared" si="56"/>
        <v>0</v>
      </c>
      <c r="BF105">
        <f>BF104</f>
        <v>1138.9324460784158</v>
      </c>
      <c r="BG105">
        <v>0</v>
      </c>
      <c r="BH105">
        <v>0</v>
      </c>
      <c r="BI105">
        <f t="shared" si="57"/>
        <v>0</v>
      </c>
    </row>
    <row r="106" spans="1:61" x14ac:dyDescent="0.25">
      <c r="A106">
        <v>70</v>
      </c>
      <c r="B106" s="5">
        <v>0</v>
      </c>
      <c r="C106" s="1">
        <f t="shared" ca="1" si="38"/>
        <v>0</v>
      </c>
      <c r="D106" s="46">
        <f t="shared" si="40"/>
        <v>0</v>
      </c>
      <c r="E106" s="46">
        <f t="shared" si="41"/>
        <v>0</v>
      </c>
      <c r="F106" s="1">
        <f t="shared" ca="1" si="42"/>
        <v>2.375</v>
      </c>
      <c r="G106" t="e">
        <f t="shared" ca="1" si="43"/>
        <v>#N/A</v>
      </c>
      <c r="H106" t="e">
        <f t="shared" ca="1" si="44"/>
        <v>#N/A</v>
      </c>
      <c r="I106" s="7">
        <f t="shared" si="45"/>
        <v>0</v>
      </c>
      <c r="J106" s="7">
        <f t="shared" si="46"/>
        <v>0</v>
      </c>
      <c r="K106">
        <f t="shared" si="47"/>
        <v>0</v>
      </c>
      <c r="L106" s="15">
        <f t="shared" ca="1" si="48"/>
        <v>0</v>
      </c>
      <c r="M106" s="9">
        <f t="shared" ca="1" si="39"/>
        <v>0</v>
      </c>
      <c r="N106" s="7">
        <f t="shared" ca="1" si="49"/>
        <v>0</v>
      </c>
      <c r="O106" s="7">
        <f t="shared" ca="1" si="50"/>
        <v>0</v>
      </c>
      <c r="P106" s="7">
        <f t="shared" ca="1" si="51"/>
        <v>0</v>
      </c>
      <c r="U106" t="e">
        <f t="shared" ca="1" si="52"/>
        <v>#N/A</v>
      </c>
      <c r="V106" t="e">
        <f t="shared" ca="1" si="53"/>
        <v>#N/A</v>
      </c>
      <c r="X106" t="e">
        <f t="shared" ca="1" si="54"/>
        <v>#N/A</v>
      </c>
      <c r="Y106" t="e">
        <f t="shared" ca="1" si="55"/>
        <v>#N/A</v>
      </c>
      <c r="AJ106">
        <v>1.8151424220741048</v>
      </c>
      <c r="AK106">
        <v>-35.928732508089915</v>
      </c>
      <c r="AL106">
        <v>145.18694076408261</v>
      </c>
      <c r="AM106">
        <v>-55.274973089369098</v>
      </c>
      <c r="AN106">
        <v>223.36452425243476</v>
      </c>
      <c r="AQ106">
        <v>104</v>
      </c>
      <c r="AR106">
        <f t="shared" si="32"/>
        <v>-2.1772970603970099</v>
      </c>
      <c r="AS106">
        <f t="shared" si="33"/>
        <v>8.7326615364839686</v>
      </c>
    </row>
    <row r="107" spans="1:61" x14ac:dyDescent="0.25">
      <c r="A107">
        <v>71</v>
      </c>
      <c r="B107" s="5">
        <v>0</v>
      </c>
      <c r="C107" s="1">
        <f t="shared" ca="1" si="38"/>
        <v>0</v>
      </c>
      <c r="D107" s="46">
        <f t="shared" si="40"/>
        <v>0</v>
      </c>
      <c r="E107" s="46">
        <f t="shared" si="41"/>
        <v>0</v>
      </c>
      <c r="F107" s="1">
        <f t="shared" ca="1" si="42"/>
        <v>2.375</v>
      </c>
      <c r="G107" t="e">
        <f t="shared" ca="1" si="43"/>
        <v>#N/A</v>
      </c>
      <c r="H107" t="e">
        <f t="shared" ca="1" si="44"/>
        <v>#N/A</v>
      </c>
      <c r="I107" s="7">
        <f t="shared" si="45"/>
        <v>0</v>
      </c>
      <c r="J107" s="7">
        <f t="shared" si="46"/>
        <v>0</v>
      </c>
      <c r="K107">
        <f t="shared" si="47"/>
        <v>0</v>
      </c>
      <c r="L107" s="15">
        <f t="shared" ca="1" si="48"/>
        <v>0</v>
      </c>
      <c r="M107" s="9">
        <f t="shared" ca="1" si="39"/>
        <v>0</v>
      </c>
      <c r="N107" s="7">
        <f t="shared" ca="1" si="49"/>
        <v>0</v>
      </c>
      <c r="O107" s="7">
        <f t="shared" ca="1" si="50"/>
        <v>0</v>
      </c>
      <c r="P107" s="7">
        <f t="shared" ca="1" si="51"/>
        <v>0</v>
      </c>
      <c r="U107" t="e">
        <f t="shared" ca="1" si="52"/>
        <v>#N/A</v>
      </c>
      <c r="V107" t="e">
        <f t="shared" ca="1" si="53"/>
        <v>#N/A</v>
      </c>
      <c r="X107" t="e">
        <f t="shared" ca="1" si="54"/>
        <v>#N/A</v>
      </c>
      <c r="Y107" t="e">
        <f t="shared" ca="1" si="55"/>
        <v>#N/A</v>
      </c>
      <c r="AJ107">
        <v>1.8325957145940481</v>
      </c>
      <c r="AK107">
        <v>-38.431788146534622</v>
      </c>
      <c r="AL107">
        <v>144.53310996271506</v>
      </c>
      <c r="AM107">
        <v>-59.125827917745568</v>
      </c>
      <c r="AN107">
        <v>222.35863071186932</v>
      </c>
      <c r="AQ107">
        <v>105</v>
      </c>
      <c r="AR107">
        <f t="shared" si="32"/>
        <v>-2.3293714059226875</v>
      </c>
      <c r="AS107">
        <f t="shared" si="33"/>
        <v>8.6933324366016151</v>
      </c>
    </row>
    <row r="108" spans="1:61" ht="15.75" thickBot="1" x14ac:dyDescent="0.3">
      <c r="A108">
        <v>72</v>
      </c>
      <c r="B108" s="5">
        <v>0</v>
      </c>
      <c r="C108" s="12">
        <f t="shared" ca="1" si="38"/>
        <v>0</v>
      </c>
      <c r="D108" s="46">
        <f t="shared" si="40"/>
        <v>0</v>
      </c>
      <c r="E108" s="46">
        <f t="shared" si="41"/>
        <v>0</v>
      </c>
      <c r="F108" s="1">
        <f t="shared" ca="1" si="42"/>
        <v>2.375</v>
      </c>
      <c r="G108" t="e">
        <f t="shared" ca="1" si="43"/>
        <v>#N/A</v>
      </c>
      <c r="H108" t="e">
        <f t="shared" ca="1" si="44"/>
        <v>#N/A</v>
      </c>
      <c r="I108" s="7">
        <f t="shared" si="45"/>
        <v>0</v>
      </c>
      <c r="J108" s="7">
        <f t="shared" si="46"/>
        <v>0</v>
      </c>
      <c r="K108">
        <f t="shared" si="47"/>
        <v>0</v>
      </c>
      <c r="L108" s="15">
        <f t="shared" ca="1" si="48"/>
        <v>0</v>
      </c>
      <c r="M108" s="9">
        <f t="shared" ca="1" si="39"/>
        <v>0</v>
      </c>
      <c r="N108" s="7">
        <f t="shared" ca="1" si="49"/>
        <v>0</v>
      </c>
      <c r="O108" s="7">
        <f t="shared" ca="1" si="50"/>
        <v>0</v>
      </c>
      <c r="P108" s="7">
        <f t="shared" ca="1" si="51"/>
        <v>0</v>
      </c>
      <c r="U108" t="e">
        <f t="shared" ca="1" si="52"/>
        <v>#N/A</v>
      </c>
      <c r="V108" t="e">
        <f t="shared" ca="1" si="53"/>
        <v>#N/A</v>
      </c>
      <c r="X108" t="e">
        <f t="shared" ca="1" si="54"/>
        <v>#N/A</v>
      </c>
      <c r="Y108" t="e">
        <f t="shared" ca="1" si="55"/>
        <v>#N/A</v>
      </c>
      <c r="AJ108">
        <v>1.8500490071139915</v>
      </c>
      <c r="AK108">
        <v>-40.923811331854559</v>
      </c>
      <c r="AL108">
        <v>143.84020691708014</v>
      </c>
      <c r="AM108">
        <v>-62.959709741314704</v>
      </c>
      <c r="AN108">
        <v>221.29262602627713</v>
      </c>
      <c r="AQ108">
        <v>106</v>
      </c>
      <c r="AR108">
        <f t="shared" si="32"/>
        <v>-2.4807362023529915</v>
      </c>
      <c r="AS108">
        <f t="shared" si="33"/>
        <v>8.65135526344487</v>
      </c>
    </row>
    <row r="109" spans="1:61" ht="15.75" thickTop="1" x14ac:dyDescent="0.25">
      <c r="C109" s="13">
        <f ca="1">SUM(C37:C108)</f>
        <v>5.3999999999999995</v>
      </c>
      <c r="L109" s="15">
        <f ca="1">MIN(L37:L108)</f>
        <v>-1.5305664309237389E-3</v>
      </c>
      <c r="M109" s="9"/>
      <c r="N109" s="7">
        <f ca="1">SUM(N37:N108)</f>
        <v>30.066851143810197</v>
      </c>
      <c r="O109" s="7">
        <f t="shared" ref="O109:P109" ca="1" si="58">SUM(O37:O108)</f>
        <v>870.02882142337501</v>
      </c>
      <c r="P109" s="7">
        <f t="shared" ca="1" si="58"/>
        <v>-2.2737367544323206E-13</v>
      </c>
      <c r="AJ109">
        <v>1.8675022996339348</v>
      </c>
      <c r="AK109">
        <v>-43.404477470307647</v>
      </c>
      <c r="AL109">
        <v>143.10834726973098</v>
      </c>
      <c r="AM109">
        <v>-66.776119185088689</v>
      </c>
      <c r="AN109">
        <v>220.16668810727842</v>
      </c>
      <c r="AQ109">
        <v>107</v>
      </c>
      <c r="AR109">
        <f t="shared" si="32"/>
        <v>-2.63134534250463</v>
      </c>
      <c r="AS109">
        <f t="shared" si="33"/>
        <v>8.6067428036673199</v>
      </c>
    </row>
    <row r="110" spans="1:61" x14ac:dyDescent="0.25">
      <c r="M110" s="9"/>
      <c r="AJ110">
        <v>1.8849555921538781</v>
      </c>
      <c r="AK110">
        <v>-45.873457554835376</v>
      </c>
      <c r="AL110">
        <v>142.33762927780495</v>
      </c>
      <c r="AM110">
        <v>-70.574550084362116</v>
      </c>
      <c r="AN110">
        <v>218.98096811969992</v>
      </c>
      <c r="AQ110">
        <v>108</v>
      </c>
      <c r="AR110">
        <f t="shared" si="32"/>
        <v>-2.7811529493745262</v>
      </c>
      <c r="AS110">
        <f t="shared" si="33"/>
        <v>8.5595086466563828</v>
      </c>
    </row>
    <row r="111" spans="1:61" x14ac:dyDescent="0.25">
      <c r="M111" s="9"/>
      <c r="AJ111">
        <v>1.9024088846738214</v>
      </c>
      <c r="AK111">
        <v>-48.330416495637202</v>
      </c>
      <c r="AL111">
        <v>141.52813434177028</v>
      </c>
      <c r="AM111">
        <v>-74.35448691636492</v>
      </c>
      <c r="AN111">
        <v>217.73559129503118</v>
      </c>
      <c r="AQ111">
        <v>109</v>
      </c>
      <c r="AR111">
        <f t="shared" si="32"/>
        <v>-2.9301133901144096</v>
      </c>
      <c r="AS111">
        <f t="shared" si="33"/>
        <v>8.5096671803938513</v>
      </c>
    </row>
    <row r="112" spans="1:61" x14ac:dyDescent="0.25">
      <c r="A112" t="s">
        <v>21</v>
      </c>
      <c r="B112" s="10">
        <f ca="1">H31+N109</f>
        <v>482.90244865365725</v>
      </c>
      <c r="M112" s="9"/>
      <c r="AJ112">
        <v>1.9198621771937647</v>
      </c>
      <c r="AK112">
        <v>-51.18698870656781</v>
      </c>
      <c r="AL112">
        <v>140.63509564117288</v>
      </c>
      <c r="AM112">
        <v>-78.749213394719703</v>
      </c>
      <c r="AN112">
        <v>216.36168560180442</v>
      </c>
      <c r="AQ112">
        <v>110</v>
      </c>
      <c r="AR112">
        <f t="shared" si="32"/>
        <v>-3.0781812899310186</v>
      </c>
      <c r="AS112">
        <f t="shared" si="33"/>
        <v>8.4572335870731763</v>
      </c>
    </row>
    <row r="113" spans="1:45" x14ac:dyDescent="0.25">
      <c r="A113" t="s">
        <v>56</v>
      </c>
      <c r="B113" s="10">
        <f ca="1">I31+O109</f>
        <v>2884.9476090414423</v>
      </c>
      <c r="M113" s="9"/>
      <c r="AJ113">
        <v>1.937315469713708</v>
      </c>
      <c r="AK113">
        <v>-53.949284186833879</v>
      </c>
      <c r="AL113">
        <v>139.48303375189465</v>
      </c>
      <c r="AM113">
        <v>-82.998898748975193</v>
      </c>
      <c r="AN113">
        <v>214.58928269522252</v>
      </c>
      <c r="AQ113">
        <v>111</v>
      </c>
      <c r="AR113">
        <f t="shared" si="32"/>
        <v>-3.2253115459077026</v>
      </c>
      <c r="AS113">
        <f t="shared" si="33"/>
        <v>8.402223838474816</v>
      </c>
    </row>
    <row r="114" spans="1:45" x14ac:dyDescent="0.25">
      <c r="A114" t="s">
        <v>57</v>
      </c>
      <c r="B114" s="10">
        <f ca="1">J31+P109</f>
        <v>-2.8470281687731358E-13</v>
      </c>
      <c r="M114" s="9"/>
      <c r="AJ114">
        <v>1.9547687622336514</v>
      </c>
      <c r="AK114">
        <v>-56.351757245393664</v>
      </c>
      <c r="AL114">
        <v>138.52384008472094</v>
      </c>
      <c r="AM114">
        <v>-86.695011146759484</v>
      </c>
      <c r="AN114">
        <v>213.1136001303399</v>
      </c>
      <c r="AQ114">
        <v>112</v>
      </c>
      <c r="AR114">
        <f t="shared" si="32"/>
        <v>-3.3714593407432085</v>
      </c>
      <c r="AS114">
        <f t="shared" si="33"/>
        <v>8.3446546911010877</v>
      </c>
    </row>
    <row r="115" spans="1:45" x14ac:dyDescent="0.25">
      <c r="M115" s="9"/>
      <c r="AJ115">
        <v>1.9722220547535947</v>
      </c>
      <c r="AK115">
        <v>-58.738513695090084</v>
      </c>
      <c r="AL115">
        <v>137.52721451275045</v>
      </c>
      <c r="AM115">
        <v>-90.36694414629244</v>
      </c>
      <c r="AN115">
        <v>211.58033001961607</v>
      </c>
      <c r="AQ115">
        <v>113</v>
      </c>
      <c r="AR115">
        <f t="shared" si="32"/>
        <v>-3.5165801564034638</v>
      </c>
      <c r="AS115">
        <f t="shared" si="33"/>
        <v>8.2845436810719626</v>
      </c>
    </row>
    <row r="116" spans="1:45" x14ac:dyDescent="0.25">
      <c r="A116" s="2" t="s">
        <v>58</v>
      </c>
      <c r="B116">
        <f ca="1">((B113*COS(-1*B10))+(B114*SIN(-1*B10)))</f>
        <v>2884.9476090414423</v>
      </c>
      <c r="C116" t="s">
        <v>59</v>
      </c>
      <c r="M116" s="9"/>
      <c r="AJ116">
        <v>1.989675347273538</v>
      </c>
      <c r="AK116">
        <v>-61.109244519031115</v>
      </c>
      <c r="AL116">
        <v>136.49331007117871</v>
      </c>
      <c r="AM116">
        <v>-94.014222336970946</v>
      </c>
      <c r="AN116">
        <v>209.98970780181341</v>
      </c>
      <c r="AQ116">
        <v>114</v>
      </c>
      <c r="AR116">
        <f t="shared" si="32"/>
        <v>-3.6606297876822023</v>
      </c>
      <c r="AS116">
        <f t="shared" si="33"/>
        <v>8.2219091187834081</v>
      </c>
    </row>
    <row r="117" spans="1:45" x14ac:dyDescent="0.25">
      <c r="A117" s="2" t="s">
        <v>60</v>
      </c>
      <c r="B117">
        <f ca="1">(-1*(B113)*SIN(-1*B10))+((B114)*COS(-1*B10))</f>
        <v>-2.8470281687731358E-13</v>
      </c>
      <c r="C117" t="s">
        <v>59</v>
      </c>
      <c r="M117" s="9"/>
      <c r="AJ117">
        <v>2.0071286397934811</v>
      </c>
      <c r="AK117">
        <v>-63.46363452471725</v>
      </c>
      <c r="AL117">
        <v>135.42226297233231</v>
      </c>
      <c r="AM117">
        <v>-97.636360807257304</v>
      </c>
      <c r="AN117">
        <v>208.3419430343574</v>
      </c>
      <c r="AQ117">
        <v>115</v>
      </c>
      <c r="AR117">
        <f t="shared" si="32"/>
        <v>-3.8035643556662939</v>
      </c>
      <c r="AS117">
        <f t="shared" si="33"/>
        <v>8.1567700833298495</v>
      </c>
    </row>
    <row r="118" spans="1:45" x14ac:dyDescent="0.25">
      <c r="M118" s="9"/>
      <c r="AJ118">
        <v>2.0245819323134242</v>
      </c>
      <c r="AK118">
        <v>-65.801360725315874</v>
      </c>
      <c r="AL118">
        <v>134.31419327371162</v>
      </c>
      <c r="AM118">
        <v>-101.23286265433211</v>
      </c>
      <c r="AN118">
        <v>206.63722042109481</v>
      </c>
      <c r="AQ118">
        <v>116</v>
      </c>
      <c r="AR118">
        <f t="shared" si="32"/>
        <v>-3.9453403211016975</v>
      </c>
      <c r="AS118">
        <f t="shared" si="33"/>
        <v>8.0891464166925022</v>
      </c>
    </row>
    <row r="119" spans="1:45" x14ac:dyDescent="0.25">
      <c r="M119" s="9"/>
      <c r="AJ119">
        <v>2.0420352248333673</v>
      </c>
      <c r="AK119">
        <v>-68.122090765966547</v>
      </c>
      <c r="AL119">
        <v>133.16920565048753</v>
      </c>
      <c r="AM119">
        <v>-104.80321656302546</v>
      </c>
      <c r="AN119">
        <v>204.87570100075004</v>
      </c>
      <c r="AQ119">
        <v>117</v>
      </c>
      <c r="AR119">
        <f t="shared" si="32"/>
        <v>-4.0859144976559199</v>
      </c>
      <c r="AS119">
        <f t="shared" si="33"/>
        <v>8.0190587176953105</v>
      </c>
    </row>
    <row r="120" spans="1:45" x14ac:dyDescent="0.25">
      <c r="A120" t="s">
        <v>109</v>
      </c>
      <c r="M120" s="9"/>
      <c r="AJ120">
        <v>2.0594885173533104</v>
      </c>
      <c r="AK120">
        <v>-70.425481401242763</v>
      </c>
      <c r="AL120">
        <v>131.98739026974425</v>
      </c>
      <c r="AM120">
        <v>-108.3468944634504</v>
      </c>
      <c r="AN120">
        <v>203.05752349191422</v>
      </c>
      <c r="AQ120">
        <v>118</v>
      </c>
      <c r="AR120">
        <f t="shared" si="32"/>
        <v>-4.2252440650730181</v>
      </c>
      <c r="AS120">
        <f t="shared" si="33"/>
        <v>7.946528335730342</v>
      </c>
    </row>
    <row r="121" spans="1:45" ht="18" x14ac:dyDescent="0.35">
      <c r="A121" t="s">
        <v>87</v>
      </c>
      <c r="B121" t="s">
        <v>88</v>
      </c>
      <c r="M121" s="9"/>
      <c r="AJ121">
        <v>2.0769418098732535</v>
      </c>
      <c r="AK121">
        <v>-72.711177029739702</v>
      </c>
      <c r="AL121">
        <v>130.76882376341382</v>
      </c>
      <c r="AM121">
        <v>-111.86334927652261</v>
      </c>
      <c r="AN121">
        <v>201.18280578986742</v>
      </c>
      <c r="AQ121">
        <v>119</v>
      </c>
      <c r="AR121">
        <f t="shared" si="32"/>
        <v>-4.3632865822170332</v>
      </c>
      <c r="AS121">
        <f t="shared" si="33"/>
        <v>7.8715773642545628</v>
      </c>
    </row>
    <row r="122" spans="1:45" ht="18" x14ac:dyDescent="0.35">
      <c r="A122" t="s">
        <v>89</v>
      </c>
      <c r="B122" t="s">
        <v>90</v>
      </c>
      <c r="M122" s="9"/>
      <c r="AJ122">
        <v>2.0943951023931966</v>
      </c>
      <c r="AK122">
        <v>-74.978808291581913</v>
      </c>
      <c r="AL122">
        <v>129.51357029650717</v>
      </c>
      <c r="AM122">
        <v>-115.35201275627986</v>
      </c>
      <c r="AN122">
        <v>199.25164661001102</v>
      </c>
      <c r="AQ122">
        <v>120</v>
      </c>
      <c r="AR122">
        <f t="shared" si="32"/>
        <v>-4.4999999999999982</v>
      </c>
      <c r="AS122">
        <f t="shared" si="33"/>
        <v>7.794228634059948</v>
      </c>
    </row>
    <row r="123" spans="1:45" ht="18" x14ac:dyDescent="0.35">
      <c r="A123" t="s">
        <v>91</v>
      </c>
      <c r="M123" s="9"/>
      <c r="AJ123">
        <v>2.1118483949131397</v>
      </c>
      <c r="AK123">
        <v>-77.227990734492025</v>
      </c>
      <c r="AL123">
        <v>128.22168272698346</v>
      </c>
      <c r="AM123">
        <v>-118.81229343768004</v>
      </c>
      <c r="AN123">
        <v>197.26412727228225</v>
      </c>
      <c r="AQ123">
        <v>121</v>
      </c>
      <c r="AR123">
        <f t="shared" si="32"/>
        <v>-4.635342674190488</v>
      </c>
      <c r="AS123">
        <f t="shared" si="33"/>
        <v>7.7145057063190112</v>
      </c>
    </row>
    <row r="124" spans="1:45" ht="18.75" x14ac:dyDescent="0.35">
      <c r="A124" t="s">
        <v>92</v>
      </c>
      <c r="B124" t="s">
        <v>93</v>
      </c>
      <c r="M124" s="9"/>
      <c r="AJ124">
        <v>2.1293016874330828</v>
      </c>
      <c r="AK124">
        <v>-79.458323553570295</v>
      </c>
      <c r="AL124">
        <v>126.893203852829</v>
      </c>
      <c r="AM124">
        <v>-122.24357469780045</v>
      </c>
      <c r="AN124">
        <v>195.22031361973691</v>
      </c>
      <c r="AQ124">
        <v>122</v>
      </c>
      <c r="AR124">
        <f t="shared" si="32"/>
        <v>-4.769273378098843</v>
      </c>
      <c r="AS124">
        <f t="shared" si="33"/>
        <v>7.6324328654078348</v>
      </c>
    </row>
    <row r="125" spans="1:45" x14ac:dyDescent="0.25">
      <c r="M125" s="9"/>
      <c r="AJ125">
        <v>2.1467549799530259</v>
      </c>
      <c r="AK125">
        <v>-81.669388410533443</v>
      </c>
      <c r="AL125">
        <v>125.52816774296359</v>
      </c>
      <c r="AM125">
        <v>-125.64521293928222</v>
      </c>
      <c r="AN125">
        <v>193.12025806609782</v>
      </c>
      <c r="AQ125">
        <v>123</v>
      </c>
      <c r="AR125">
        <f t="shared" si="32"/>
        <v>-4.9017513151352441</v>
      </c>
      <c r="AS125">
        <f t="shared" si="33"/>
        <v>7.5480351115088151</v>
      </c>
    </row>
    <row r="126" spans="1:45" x14ac:dyDescent="0.25">
      <c r="A126" t="s">
        <v>94</v>
      </c>
      <c r="B126" s="4">
        <f>B5*1000</f>
        <v>5000</v>
      </c>
      <c r="C126" t="s">
        <v>95</v>
      </c>
      <c r="M126" s="9"/>
      <c r="AJ126">
        <v>2.164208272472969</v>
      </c>
      <c r="AK126">
        <v>-83.860748880903486</v>
      </c>
      <c r="AL126">
        <v>124.12660164954522</v>
      </c>
      <c r="AM126">
        <v>-129.01653673985152</v>
      </c>
      <c r="AN126">
        <v>190.96400253776187</v>
      </c>
      <c r="AQ126">
        <v>124</v>
      </c>
      <c r="AR126">
        <f t="shared" si="32"/>
        <v>-5.03273613123672</v>
      </c>
      <c r="AS126">
        <f t="shared" si="33"/>
        <v>7.4613381529953759</v>
      </c>
    </row>
    <row r="127" spans="1:45" x14ac:dyDescent="0.25">
      <c r="A127" t="s">
        <v>3</v>
      </c>
      <c r="B127" s="4">
        <f>B7*1000</f>
        <v>4074280.688047891</v>
      </c>
      <c r="C127" t="s">
        <v>95</v>
      </c>
      <c r="M127" s="9"/>
      <c r="AJ127">
        <v>2.1816615649929121</v>
      </c>
      <c r="AK127">
        <v>-86.031963454948439</v>
      </c>
      <c r="AL127">
        <v>122.68853941736447</v>
      </c>
      <c r="AM127">
        <v>-132.35686685376683</v>
      </c>
      <c r="AN127">
        <v>188.75159910363763</v>
      </c>
      <c r="AQ127">
        <v>125</v>
      </c>
      <c r="AR127">
        <f t="shared" si="32"/>
        <v>-5.1621879271594153</v>
      </c>
      <c r="AS127">
        <f t="shared" si="33"/>
        <v>7.3723683986009254</v>
      </c>
    </row>
    <row r="128" spans="1:45" ht="18" x14ac:dyDescent="0.35">
      <c r="A128" t="s">
        <v>87</v>
      </c>
      <c r="B128" s="1">
        <f>(2*0.85*B126)/B127</f>
        <v>2.0862578331765852E-3</v>
      </c>
      <c r="C128" t="s">
        <v>96</v>
      </c>
      <c r="M128" s="9"/>
      <c r="AJ128">
        <v>2.1991148575128552</v>
      </c>
      <c r="AK128">
        <v>-88.173372862993133</v>
      </c>
      <c r="AL128">
        <v>121.20660133186077</v>
      </c>
      <c r="AM128">
        <v>-135.65134286614327</v>
      </c>
      <c r="AN128">
        <v>186.47169435670887</v>
      </c>
      <c r="AQ128">
        <v>126</v>
      </c>
      <c r="AR128">
        <f t="shared" si="32"/>
        <v>-5.2900672706322576</v>
      </c>
      <c r="AS128">
        <f t="shared" si="33"/>
        <v>7.2811529493745271</v>
      </c>
    </row>
    <row r="129" spans="1:45" ht="18" x14ac:dyDescent="0.35">
      <c r="A129" t="s">
        <v>97</v>
      </c>
      <c r="B129" s="1">
        <v>3.0000000000000001E-3</v>
      </c>
      <c r="C129" t="s">
        <v>96</v>
      </c>
      <c r="M129" s="9"/>
      <c r="AJ129">
        <v>2.2165681500327983</v>
      </c>
      <c r="AK129">
        <v>-90.255948270472715</v>
      </c>
      <c r="AL129">
        <v>119.66090813786528</v>
      </c>
      <c r="AM129">
        <v>-138.85530503149647</v>
      </c>
      <c r="AN129">
        <v>184.09370482748503</v>
      </c>
      <c r="AQ129">
        <v>127</v>
      </c>
      <c r="AR129">
        <f t="shared" si="32"/>
        <v>-5.4163352083684355</v>
      </c>
      <c r="AS129">
        <f t="shared" si="33"/>
        <v>7.1877195904256341</v>
      </c>
    </row>
    <row r="130" spans="1:45" ht="18" x14ac:dyDescent="0.35">
      <c r="A130" t="s">
        <v>98</v>
      </c>
      <c r="B130" s="1">
        <f>B129/B128</f>
        <v>1.4379814193110203</v>
      </c>
      <c r="C130" t="s">
        <v>99</v>
      </c>
      <c r="M130" s="9"/>
      <c r="AJ130">
        <v>2.2340214425527414</v>
      </c>
      <c r="AK130">
        <v>-92.311752747969891</v>
      </c>
      <c r="AL130">
        <v>118.08004722923701</v>
      </c>
      <c r="AM130">
        <v>-142.01808115072291</v>
      </c>
      <c r="AN130">
        <v>181.66161112190309</v>
      </c>
      <c r="AQ130">
        <v>128</v>
      </c>
      <c r="AR130">
        <f t="shared" si="32"/>
        <v>-5.5409532779309245</v>
      </c>
      <c r="AS130">
        <f t="shared" si="33"/>
        <v>7.0920967824604979</v>
      </c>
    </row>
    <row r="131" spans="1:45" ht="18" x14ac:dyDescent="0.35">
      <c r="A131" t="s">
        <v>100</v>
      </c>
      <c r="B131" s="7">
        <f>B3</f>
        <v>9</v>
      </c>
      <c r="C131" t="s">
        <v>0</v>
      </c>
      <c r="M131" s="9"/>
      <c r="AJ131">
        <v>2.2514747350726845</v>
      </c>
      <c r="AK131">
        <v>-94.3402383549994</v>
      </c>
      <c r="AL131">
        <v>116.46445382804696</v>
      </c>
      <c r="AM131">
        <v>-145.1388282384606</v>
      </c>
      <c r="AN131">
        <v>179.17608281237992</v>
      </c>
      <c r="AQ131">
        <v>129</v>
      </c>
      <c r="AR131">
        <f t="shared" ref="AR131:AR194" si="59">$B$3*COS(RADIANS(AQ131))</f>
        <v>-5.663883519448536</v>
      </c>
      <c r="AS131">
        <f t="shared" ref="AS131:AS194" si="60">$B$3*SIN(RADIANS(AQ131))</f>
        <v>6.994313653112739</v>
      </c>
    </row>
    <row r="132" spans="1:45" x14ac:dyDescent="0.25">
      <c r="B132" s="1"/>
      <c r="M132" s="9"/>
      <c r="AJ132">
        <v>2.2689280275926276</v>
      </c>
      <c r="AK132">
        <v>-96.340862264189496</v>
      </c>
      <c r="AL132">
        <v>114.81456871697199</v>
      </c>
      <c r="AM132">
        <v>-148.21671117567615</v>
      </c>
      <c r="AN132">
        <v>176.63779802611074</v>
      </c>
      <c r="AQ132">
        <v>130</v>
      </c>
      <c r="AR132">
        <f t="shared" si="59"/>
        <v>-5.7850884871788546</v>
      </c>
      <c r="AS132">
        <f t="shared" si="60"/>
        <v>6.894399988070802</v>
      </c>
    </row>
    <row r="133" spans="1:45" x14ac:dyDescent="0.25">
      <c r="A133" t="s">
        <v>101</v>
      </c>
      <c r="B133" s="9">
        <f>B11</f>
        <v>9.8095999586252436</v>
      </c>
      <c r="C133" t="s">
        <v>0</v>
      </c>
      <c r="D133" t="s">
        <v>102</v>
      </c>
      <c r="J133" s="1" t="s">
        <v>113</v>
      </c>
      <c r="K133" t="s">
        <v>114</v>
      </c>
      <c r="M133" s="9"/>
      <c r="AJ133">
        <v>2.2863813201125707</v>
      </c>
      <c r="AK133">
        <v>-98.313086609183273</v>
      </c>
      <c r="AL133">
        <v>113.13083832323797</v>
      </c>
      <c r="AM133">
        <v>-151.25090247566658</v>
      </c>
      <c r="AN133">
        <v>174.04744357421225</v>
      </c>
      <c r="AQ133">
        <v>131</v>
      </c>
      <c r="AR133">
        <f t="shared" si="59"/>
        <v>-5.9045312609145642</v>
      </c>
      <c r="AS133">
        <f t="shared" si="60"/>
        <v>6.7923862220049491</v>
      </c>
    </row>
    <row r="134" spans="1:45" ht="18" x14ac:dyDescent="0.35">
      <c r="A134" t="s">
        <v>103</v>
      </c>
      <c r="B134" s="1">
        <f>(((B128/B129)*B133)-B133)*-1</f>
        <v>2.9878150406217037</v>
      </c>
      <c r="C134" t="s">
        <v>0</v>
      </c>
      <c r="D134" t="s">
        <v>104</v>
      </c>
      <c r="M134" s="9"/>
      <c r="AJ134">
        <v>2.3038346126325138</v>
      </c>
      <c r="AK134">
        <v>-100.25637834547489</v>
      </c>
      <c r="AL134">
        <v>111.41371482052904</v>
      </c>
      <c r="AM134">
        <v>-154.24058206996136</v>
      </c>
      <c r="AN134">
        <v>171.4057151085062</v>
      </c>
      <c r="AQ134">
        <v>132</v>
      </c>
      <c r="AR134">
        <f t="shared" si="59"/>
        <v>-6.0221754572297241</v>
      </c>
      <c r="AS134">
        <f t="shared" si="60"/>
        <v>6.688303429296548</v>
      </c>
    </row>
    <row r="135" spans="1:45" x14ac:dyDescent="0.25">
      <c r="A135" t="s">
        <v>105</v>
      </c>
      <c r="B135" s="1">
        <f>B131-B134</f>
        <v>6.0121849593782963</v>
      </c>
      <c r="C135" t="s">
        <v>0</v>
      </c>
      <c r="D135" t="s">
        <v>106</v>
      </c>
      <c r="J135">
        <f>IF(B11&lt;=0,0,IF(B135&lt;(-1*$B$3),0,SQRT(POWER($B$3,2)-POWER(B135,2))))</f>
        <v>6.697285421290136</v>
      </c>
      <c r="K135">
        <f>-1*J135</f>
        <v>-6.697285421290136</v>
      </c>
      <c r="M135" s="9"/>
      <c r="AJ135">
        <v>2.3212879051524569</v>
      </c>
      <c r="AK135">
        <v>-102.17020912588283</v>
      </c>
      <c r="AL135">
        <v>109.66365624834079</v>
      </c>
      <c r="AM135">
        <v>-157.18493711674282</v>
      </c>
      <c r="AN135">
        <v>168.71331730513967</v>
      </c>
      <c r="AQ135">
        <v>133</v>
      </c>
      <c r="AR135">
        <f t="shared" si="59"/>
        <v>-6.1379852405624851</v>
      </c>
      <c r="AS135">
        <f t="shared" si="60"/>
        <v>6.5821833145725348</v>
      </c>
    </row>
    <row r="136" spans="1:45" x14ac:dyDescent="0.25">
      <c r="A136" t="s">
        <v>107</v>
      </c>
      <c r="B136" s="1">
        <f>B131-B133</f>
        <v>-0.80959995862524359</v>
      </c>
      <c r="C136" t="s">
        <v>0</v>
      </c>
      <c r="D136" t="s">
        <v>108</v>
      </c>
      <c r="J136">
        <f>IF(B11&lt;=0,0,IF(B136&lt;(-1*$B$3),0,SQRT(POWER($B$3,2)-POWER(B136,2))))</f>
        <v>8.9635120297232831</v>
      </c>
      <c r="K136">
        <f>-1*J136</f>
        <v>-8.9635120297232831</v>
      </c>
      <c r="M136" s="9"/>
      <c r="AJ136">
        <v>2.3387411976724</v>
      </c>
      <c r="AK136">
        <v>-104.05405519147058</v>
      </c>
      <c r="AL136">
        <v>107.88112664719181</v>
      </c>
      <c r="AM136">
        <v>-160.08316183303165</v>
      </c>
      <c r="AN136">
        <v>165.97096407260278</v>
      </c>
      <c r="AQ136">
        <v>134</v>
      </c>
      <c r="AR136">
        <f t="shared" si="59"/>
        <v>-6.2519253341309762</v>
      </c>
      <c r="AS136">
        <f t="shared" si="60"/>
        <v>6.4740582030478597</v>
      </c>
    </row>
    <row r="137" spans="1:45" x14ac:dyDescent="0.25">
      <c r="B137" s="9"/>
      <c r="M137" s="9"/>
      <c r="AJ137">
        <v>2.3561944901923431</v>
      </c>
      <c r="AK137">
        <v>-105.88533114890448</v>
      </c>
      <c r="AL137">
        <v>106.02958590773908</v>
      </c>
      <c r="AM137">
        <v>-162.90050945985305</v>
      </c>
      <c r="AN137">
        <v>163.12243985806012</v>
      </c>
      <c r="AQ137">
        <v>135</v>
      </c>
      <c r="AR137">
        <f t="shared" si="59"/>
        <v>-6.3639610306789276</v>
      </c>
      <c r="AS137">
        <f t="shared" si="60"/>
        <v>6.3639610306789285</v>
      </c>
    </row>
    <row r="138" spans="1:45" x14ac:dyDescent="0.25">
      <c r="M138" s="9"/>
      <c r="AJ138">
        <v>2.3736477827122862</v>
      </c>
      <c r="AK138">
        <v>-107.67857343857693</v>
      </c>
      <c r="AL138">
        <v>104.14107384775632</v>
      </c>
      <c r="AM138">
        <v>-165.65934375165682</v>
      </c>
      <c r="AN138">
        <v>160.21703668885587</v>
      </c>
      <c r="AQ138">
        <v>136</v>
      </c>
      <c r="AR138">
        <f t="shared" si="59"/>
        <v>-6.4740582030478606</v>
      </c>
      <c r="AS138">
        <f t="shared" si="60"/>
        <v>6.2519253341309744</v>
      </c>
    </row>
    <row r="139" spans="1:45" ht="15.75" thickBot="1" x14ac:dyDescent="0.3">
      <c r="A139" t="s">
        <v>110</v>
      </c>
      <c r="E139" t="s">
        <v>125</v>
      </c>
      <c r="J139" s="1"/>
      <c r="K139" s="1"/>
      <c r="L139" s="1" t="s">
        <v>116</v>
      </c>
      <c r="M139" s="9"/>
      <c r="N139" s="1"/>
      <c r="O139" s="1" t="s">
        <v>117</v>
      </c>
      <c r="P139" s="1"/>
      <c r="Q139" s="1"/>
      <c r="R139" s="1" t="s">
        <v>118</v>
      </c>
      <c r="S139" s="1"/>
      <c r="AJ139">
        <v>2.3911010752322293</v>
      </c>
      <c r="AK139">
        <v>-109.43937234602546</v>
      </c>
      <c r="AL139">
        <v>102.22638446489329</v>
      </c>
      <c r="AM139">
        <v>-168.36826514773148</v>
      </c>
      <c r="AN139">
        <v>157.27136071522042</v>
      </c>
      <c r="AQ139">
        <v>137</v>
      </c>
      <c r="AR139">
        <f t="shared" si="59"/>
        <v>-6.5821833145725339</v>
      </c>
      <c r="AS139">
        <f t="shared" si="60"/>
        <v>6.1379852405624877</v>
      </c>
    </row>
    <row r="140" spans="1:45" x14ac:dyDescent="0.25">
      <c r="A140" t="s">
        <v>111</v>
      </c>
      <c r="B140">
        <f>ATAN2(J136,B136)</f>
        <v>-9.0077314943272674E-2</v>
      </c>
      <c r="C140" t="s">
        <v>17</v>
      </c>
      <c r="D140">
        <f>B140/(2*PI())</f>
        <v>-1.4336249933667297E-2</v>
      </c>
      <c r="E140" s="1" t="s">
        <v>121</v>
      </c>
      <c r="F140" s="1">
        <f>((-2*B129*0.85*B126*B136)/(B133*B128))-((POWER(B129,2)*0.85*B126*POWER(B136,2))/(POWER(B133,2)*POWER(B128,2)))</f>
        <v>948.90858950460915</v>
      </c>
      <c r="G140" s="1"/>
      <c r="I140" t="s">
        <v>126</v>
      </c>
      <c r="J140" s="1">
        <f>((-1*F142*POWER(B3,4)*SIN(8*PI()*D140))/32)+((F140*POWER(B3,2)*SIN(4*PI()*D140))/4)-((F141*POWER(B3,3)*POWER(COS(2*PI()*D140),3))/3)+((PI()*F142*POWER(B3,4)*D140)/4)+(PI()*F140*POWER(B3,2)*D140)</f>
        <v>-270373.82099084102</v>
      </c>
      <c r="K140" s="1">
        <f>((-1*F142*POWER(B3,4)*SIN(8*PI()*D145))/32)+((F140*POWER(B3,2)*SIN(4*PI()*D145))/4)-((F141*POWER(B3,3)*POWER(COS(2*PI()*D145),3))/3)+((PI()*F142*POWER(B3,4)*D145)/4)+(PI()*F140*POWER(B3,2)*D145)</f>
        <v>-113530.25154944243</v>
      </c>
      <c r="L140" s="19">
        <f>K140-J140</f>
        <v>156843.56944139861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489401.69877463725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1010307.8355040106</v>
      </c>
      <c r="O140" s="42">
        <f>N140-M140</f>
        <v>520906.13672937331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-15862.131891662415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624938.34751216834</v>
      </c>
      <c r="R140" s="19">
        <f>Q140-P140</f>
        <v>640800.47940383072</v>
      </c>
      <c r="S140" s="1"/>
      <c r="AJ140">
        <v>2.4085543677521724</v>
      </c>
      <c r="AK140">
        <v>-111.16761787327758</v>
      </c>
      <c r="AL140">
        <v>100.28594668427081</v>
      </c>
      <c r="AM140">
        <v>-171.02710442042704</v>
      </c>
      <c r="AN140">
        <v>154.28607182195509</v>
      </c>
      <c r="AQ140">
        <v>138</v>
      </c>
      <c r="AR140">
        <f t="shared" si="59"/>
        <v>-6.6883034292965462</v>
      </c>
      <c r="AS140">
        <f t="shared" si="60"/>
        <v>6.022175457229725</v>
      </c>
    </row>
    <row r="141" spans="1:45" x14ac:dyDescent="0.25">
      <c r="A141" t="s">
        <v>112</v>
      </c>
      <c r="B141">
        <f>IF(B140&lt;0,(2*PI())+ATAN2(K136,B136),ATAN2(K136,B136))</f>
        <v>3.2316699685330659</v>
      </c>
      <c r="C141" t="s">
        <v>17</v>
      </c>
      <c r="D141">
        <f>B141/(2*PI())</f>
        <v>0.51433624993366733</v>
      </c>
      <c r="E141" s="1" t="s">
        <v>122</v>
      </c>
      <c r="F141" s="1">
        <f>((2*POWER(B129,2)*0.85*B126*B136)/(POWER(B133,2)*POWER(B128,2)))+((2*B129*0.85*B126)/(B133*B128))</f>
        <v>1098.1336844423192</v>
      </c>
      <c r="G141" s="1" t="s">
        <v>14</v>
      </c>
      <c r="I141" t="s">
        <v>127</v>
      </c>
      <c r="J141" s="1">
        <f>((-1*F142*POWER(B3,4)*SIN(8*PI()*D146))/32)+((F140*POWER(B3,2)*SIN(4*PI()*D146))/4)-((F141*POWER(B3,3)*POWER(COS(2*PI()*D146),3))/3)+((PI()*F142*POWER(B3,4)*D146)/4)+(PI()*F140*POWER(B3,2)*D146)</f>
        <v>-1036.3136290103575</v>
      </c>
      <c r="K141" s="1">
        <f>((-1*F142*POWER(B3,4)*SIN(8*PI()*D141))/32)+((F140*POWER(B3,2)*SIN(4*PI()*D141))/4)-((F141*POWER(B3,3)*POWER(COS(2*PI()*D141),3))/3)+((PI()*F142*POWER(B3,4)*D141)/4)+(PI()*F140*POWER(B3,2)*D141)</f>
        <v>155807.2558123882</v>
      </c>
      <c r="L141" s="41">
        <f>K141-J141</f>
        <v>156843.56944139855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1819032.1474623079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2339938.2841916815</v>
      </c>
      <c r="O141" s="43">
        <f>N141-M141</f>
        <v>520906.1367293736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624938.34751216834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-15862.131891662419</v>
      </c>
      <c r="R141" s="41">
        <f>Q141-P141</f>
        <v>-640800.47940383072</v>
      </c>
      <c r="S141" s="1"/>
      <c r="AJ141">
        <v>2.4260076602721155</v>
      </c>
      <c r="AK141">
        <v>-112.86320739788155</v>
      </c>
      <c r="AL141">
        <v>98.320185567810952</v>
      </c>
      <c r="AM141">
        <v>-173.63570368904854</v>
      </c>
      <c r="AN141">
        <v>151.26182395047837</v>
      </c>
      <c r="AQ141">
        <v>139</v>
      </c>
      <c r="AR141">
        <f t="shared" si="59"/>
        <v>-6.7923862220049482</v>
      </c>
      <c r="AS141">
        <f t="shared" si="60"/>
        <v>5.904531260914565</v>
      </c>
    </row>
    <row r="142" spans="1:45" x14ac:dyDescent="0.25">
      <c r="E142" s="1" t="s">
        <v>123</v>
      </c>
      <c r="F142" s="1">
        <f>(-1*POWER(B129,2)*0.85*B126)/(POWER(B133,2)*POWER(B128,2))</f>
        <v>-91.325673766020813</v>
      </c>
      <c r="G142" s="9" t="s">
        <v>124</v>
      </c>
      <c r="J142" s="1"/>
      <c r="K142" s="1"/>
      <c r="L142" s="41">
        <f>L140+L141</f>
        <v>313687.13888279715</v>
      </c>
      <c r="M142" s="9"/>
      <c r="N142" s="1"/>
      <c r="O142" s="43">
        <f>O140+O141</f>
        <v>1041812.273458747</v>
      </c>
      <c r="P142" s="1"/>
      <c r="Q142" s="1"/>
      <c r="R142" s="41">
        <f>R140+R141</f>
        <v>0</v>
      </c>
      <c r="S142" s="1"/>
      <c r="AJ142">
        <v>2.4434609527920585</v>
      </c>
      <c r="AK142">
        <v>-114.52603472482045</v>
      </c>
      <c r="AL142">
        <v>96.32950718229246</v>
      </c>
      <c r="AM142">
        <v>-176.19389957664683</v>
      </c>
      <c r="AN142">
        <v>148.19924181891147</v>
      </c>
      <c r="AQ142">
        <v>140</v>
      </c>
      <c r="AR142">
        <f t="shared" si="59"/>
        <v>-6.8943999880708011</v>
      </c>
      <c r="AS142">
        <f t="shared" si="60"/>
        <v>5.7850884871788555</v>
      </c>
    </row>
    <row r="143" spans="1:45" x14ac:dyDescent="0.25">
      <c r="F143" s="1">
        <f>F140+(F141*B136)+(F142*(POWER(B136,2)))</f>
        <v>1.1368683772161603E-13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>
        <v>2.4609142453120016</v>
      </c>
      <c r="AK143">
        <v>-116.1559881072649</v>
      </c>
      <c r="AL143">
        <v>94.314298811695807</v>
      </c>
      <c r="AM143">
        <v>-178.70152016502291</v>
      </c>
      <c r="AN143">
        <v>145.09892124876276</v>
      </c>
      <c r="AQ143">
        <v>141</v>
      </c>
      <c r="AR143">
        <f t="shared" si="59"/>
        <v>-6.9943136531127381</v>
      </c>
      <c r="AS143">
        <f t="shared" si="60"/>
        <v>5.6638835194485369</v>
      </c>
    </row>
    <row r="144" spans="1:45" x14ac:dyDescent="0.25">
      <c r="A144" t="s">
        <v>115</v>
      </c>
      <c r="B144" s="1"/>
      <c r="C144" s="1"/>
      <c r="E144" s="1"/>
      <c r="F144" s="1">
        <f>F140+(F141*B135)+(F142*POWER(B135,2))</f>
        <v>4250.0000000000018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>
        <v>2.4783675378319447</v>
      </c>
      <c r="AK144">
        <v>-117.75294873084995</v>
      </c>
      <c r="AL144">
        <v>92.274929888916162</v>
      </c>
      <c r="AM144">
        <v>-181.15838266284607</v>
      </c>
      <c r="AN144">
        <v>141.96143059833256</v>
      </c>
      <c r="AQ144">
        <v>142</v>
      </c>
      <c r="AR144">
        <f t="shared" si="59"/>
        <v>-7.092096782460497</v>
      </c>
      <c r="AS144">
        <f t="shared" si="60"/>
        <v>5.5409532779309254</v>
      </c>
    </row>
    <row r="145" spans="1:45" x14ac:dyDescent="0.25">
      <c r="A145" t="s">
        <v>111</v>
      </c>
      <c r="B145">
        <f>ATAN2(J135,B135)</f>
        <v>0.73154556166868512</v>
      </c>
      <c r="C145" t="s">
        <v>17</v>
      </c>
      <c r="D145">
        <f>B145/(2*PI())</f>
        <v>0.1164290922365082</v>
      </c>
      <c r="E145" s="1"/>
      <c r="F145" s="1"/>
      <c r="G145" s="1"/>
      <c r="J145" s="1">
        <f>(0.2125*B126*POWER(B3,2)*SIN(4*PI()*D145))+(0.85*PI()*B126*POWER(B3,2)*D145)</f>
        <v>211481.08199412862</v>
      </c>
      <c r="K145" s="1">
        <f>(0.2125*B126*POWER(B3,2)*SIN(4*PI()*D146))+(0.85*PI()*B126*POWER(B3,2)*D146)</f>
        <v>329265.55350501457</v>
      </c>
      <c r="L145" s="41">
        <f>K145-J145</f>
        <v>117784.47151088595</v>
      </c>
      <c r="M145" s="9">
        <f>(-1*17*B126*POWER(B3,3)*POWER(COS(2*PI()*D145),3))/60</f>
        <v>-425563.23235611111</v>
      </c>
      <c r="N145" s="1">
        <f>(-1*17*B126*POWER(B3,3)*POWER(COS(2*PI()*D146),3))/60</f>
        <v>425563.23235611111</v>
      </c>
      <c r="O145" s="43">
        <f>N145-M145</f>
        <v>851126.46471222222</v>
      </c>
      <c r="P145" s="1">
        <f>((17*B126*POWER(B3,3)*SIN(2*PI()*D145))/20)-((17*B126*POWER(B3,3)*POWER(SIN(2*PI()*D145),3))/60)</f>
        <v>1761826.5848506566</v>
      </c>
      <c r="Q145" s="1">
        <f>((17*B126*POWER(B3,3)*SIN(2*PI()*D146))/20)-((17*B126*POWER(B3,3)*POWER(SIN(2*PI()*D146),3))/60)</f>
        <v>1761826.5848506566</v>
      </c>
      <c r="R145" s="41">
        <f>Q145-P145</f>
        <v>0</v>
      </c>
      <c r="S145" s="1"/>
      <c r="AJ145">
        <v>2.4958208303518878</v>
      </c>
      <c r="AK145">
        <v>-119.31678926670577</v>
      </c>
      <c r="AL145">
        <v>90.211753020285244</v>
      </c>
      <c r="AM145">
        <v>-183.56429117954733</v>
      </c>
      <c r="AN145">
        <v>138.78731233890036</v>
      </c>
      <c r="AQ145">
        <v>143</v>
      </c>
      <c r="AR145">
        <f t="shared" si="59"/>
        <v>-7.1877195904256368</v>
      </c>
      <c r="AS145">
        <f t="shared" si="60"/>
        <v>5.4163352083684337</v>
      </c>
    </row>
    <row r="146" spans="1:45" x14ac:dyDescent="0.25">
      <c r="A146" t="s">
        <v>112</v>
      </c>
      <c r="B146">
        <f>IF(B145&lt;0,(2*PI())+ATAN2(K135,B135),ATAN2(K135,B135))</f>
        <v>2.4100470919211081</v>
      </c>
      <c r="C146" t="s">
        <v>17</v>
      </c>
      <c r="D146">
        <f>B146/(2*PI())</f>
        <v>0.38357090776349184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>
        <v>2.5132741228718309</v>
      </c>
      <c r="AK146">
        <v>-120.84737249757579</v>
      </c>
      <c r="AL146">
        <v>88.125105097828225</v>
      </c>
      <c r="AM146">
        <v>-185.91903461165506</v>
      </c>
      <c r="AN146">
        <v>135.57708476588957</v>
      </c>
      <c r="AQ146">
        <v>144</v>
      </c>
      <c r="AR146">
        <f t="shared" si="59"/>
        <v>-7.2811529493745262</v>
      </c>
      <c r="AS146">
        <f t="shared" si="60"/>
        <v>5.2900672706322593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431.47161039368308</v>
      </c>
      <c r="M147" s="40" t="s">
        <v>22</v>
      </c>
      <c r="N147" s="1"/>
      <c r="O147" s="45">
        <f>(O142+O145)/1000</f>
        <v>1892.9387381709694</v>
      </c>
      <c r="P147" s="35" t="s">
        <v>59</v>
      </c>
      <c r="Q147" s="1"/>
      <c r="R147" s="44">
        <f>(R145+R142)/1000</f>
        <v>0</v>
      </c>
      <c r="S147" s="35" t="s">
        <v>59</v>
      </c>
      <c r="V147" s="10"/>
      <c r="Y147" s="10"/>
      <c r="AB147" s="10"/>
      <c r="AJ147">
        <v>2.530727415391774</v>
      </c>
      <c r="AK147">
        <v>-122.34455002227352</v>
      </c>
      <c r="AL147">
        <v>86.015308494952322</v>
      </c>
      <c r="AM147">
        <v>-188.22238464965156</v>
      </c>
      <c r="AN147">
        <v>132.33124383838819</v>
      </c>
      <c r="AQ147">
        <v>145</v>
      </c>
      <c r="AR147">
        <f t="shared" si="59"/>
        <v>-7.3723683986009272</v>
      </c>
      <c r="AS147">
        <f t="shared" si="60"/>
        <v>5.1621879271594135</v>
      </c>
    </row>
    <row r="148" spans="1:45" x14ac:dyDescent="0.25">
      <c r="C148" s="38"/>
      <c r="E148" s="39"/>
      <c r="F148" s="1"/>
      <c r="G148" s="1"/>
      <c r="M148" s="9"/>
      <c r="AJ148">
        <v>2.5481807079117171</v>
      </c>
      <c r="AK148">
        <v>-123.80816104306334</v>
      </c>
      <c r="AL148">
        <v>83.882672340648313</v>
      </c>
      <c r="AM148">
        <v>-190.47409391240512</v>
      </c>
      <c r="AN148">
        <v>129.05026513945893</v>
      </c>
      <c r="AQ148">
        <v>146</v>
      </c>
      <c r="AR148">
        <f t="shared" si="59"/>
        <v>-7.4613381529953742</v>
      </c>
      <c r="AS148">
        <f t="shared" si="60"/>
        <v>5.0327361312367218</v>
      </c>
    </row>
    <row r="149" spans="1:45" x14ac:dyDescent="0.25">
      <c r="C149" s="38"/>
      <c r="E149" s="39"/>
      <c r="F149" s="1"/>
      <c r="G149" s="1"/>
      <c r="J149" t="s">
        <v>131</v>
      </c>
      <c r="L149" s="10">
        <f ca="1">N109</f>
        <v>30.066851143810197</v>
      </c>
      <c r="O149" s="10">
        <f ca="1">O109</f>
        <v>870.02882142337501</v>
      </c>
      <c r="R149" s="10">
        <f ca="1">P109</f>
        <v>-2.2737367544323206E-13</v>
      </c>
      <c r="V149" s="10"/>
      <c r="Y149" s="10"/>
      <c r="AB149" s="10"/>
      <c r="AJ149">
        <v>2.5656340004316602</v>
      </c>
      <c r="AK149">
        <v>-125.23803124031311</v>
      </c>
      <c r="AL149">
        <v>81.727493867086878</v>
      </c>
      <c r="AM149">
        <v>-192.67389421586631</v>
      </c>
      <c r="AN149">
        <v>125.73460594936442</v>
      </c>
      <c r="AQ149">
        <v>147</v>
      </c>
      <c r="AR149">
        <f t="shared" si="59"/>
        <v>-7.5480351115088151</v>
      </c>
      <c r="AS149">
        <f t="shared" si="60"/>
        <v>4.9017513151352459</v>
      </c>
    </row>
    <row r="150" spans="1:45" x14ac:dyDescent="0.25">
      <c r="A150" t="s">
        <v>129</v>
      </c>
      <c r="B150" t="s">
        <v>130</v>
      </c>
      <c r="AJ150">
        <v>2.5830872929516033</v>
      </c>
      <c r="AK150">
        <v>-126.63397173846447</v>
      </c>
      <c r="AL150">
        <v>79.550059825262892</v>
      </c>
      <c r="AM150">
        <v>-194.82149498225303</v>
      </c>
      <c r="AN150">
        <v>122.38470742348137</v>
      </c>
      <c r="AQ150">
        <v>148</v>
      </c>
      <c r="AR150">
        <f t="shared" si="59"/>
        <v>-7.6324328654078339</v>
      </c>
      <c r="AS150">
        <f t="shared" si="60"/>
        <v>4.7692733780988439</v>
      </c>
    </row>
    <row r="151" spans="1:45" x14ac:dyDescent="0.25">
      <c r="A151" s="15">
        <f ca="1">L37</f>
        <v>2.1398731818231594E-3</v>
      </c>
      <c r="B151">
        <f ca="1">IF(AND(A151&gt;0,A151&lt;$B$128),(0.85*$B$126)*((2*(A151/$B$128))-POWER(A151/$B$128,2)),IF(A151&gt;0,0.85*$B$126,0))/1000</f>
        <v>4.25</v>
      </c>
      <c r="J151" t="s">
        <v>132</v>
      </c>
      <c r="L151" s="10">
        <f ca="1">L147+L149</f>
        <v>461.53846153749328</v>
      </c>
      <c r="O151" s="36">
        <f ca="1">O147+O149</f>
        <v>2762.9675595943445</v>
      </c>
      <c r="R151" s="10">
        <f ca="1">R147+R149</f>
        <v>-2.2737367544323206E-13</v>
      </c>
      <c r="V151" s="10"/>
      <c r="Y151" s="36"/>
      <c r="AB151" s="10"/>
      <c r="AJ151">
        <v>2.6005405854715464</v>
      </c>
      <c r="AK151">
        <v>-127.99577816705009</v>
      </c>
      <c r="AL151">
        <v>77.350647963124658</v>
      </c>
      <c r="AM151">
        <v>-196.91658179546167</v>
      </c>
      <c r="AN151">
        <v>119.00099686634562</v>
      </c>
      <c r="AQ151">
        <v>149</v>
      </c>
      <c r="AR151">
        <f t="shared" si="59"/>
        <v>-7.7145057063190103</v>
      </c>
      <c r="AS151">
        <f t="shared" si="60"/>
        <v>4.6353426741904897</v>
      </c>
    </row>
    <row r="152" spans="1:45" x14ac:dyDescent="0.25">
      <c r="A152" s="15">
        <f t="shared" ref="A152:A215" ca="1" si="61">L38</f>
        <v>1.6971639946064578E-3</v>
      </c>
      <c r="B152">
        <f t="shared" ref="B152:B215" ca="1" si="62">IF(AND(A152&gt;0,A152&lt;$B$128),(0.85*$B$126)*((2*(A152/$B$128))-POWER(A152/$B$128,2)),IF(A152&gt;0,0.85*$B$126,0))/1000</f>
        <v>4.1021703064069195</v>
      </c>
      <c r="M152" s="9"/>
      <c r="W152" s="9"/>
      <c r="AJ152">
        <v>2.6179938779914895</v>
      </c>
      <c r="AK152">
        <v>-129.61000522388701</v>
      </c>
      <c r="AL152">
        <v>74.830371405680779</v>
      </c>
      <c r="AM152">
        <v>-199.40000803674926</v>
      </c>
      <c r="AN152">
        <v>115.12364831643197</v>
      </c>
      <c r="AQ152">
        <v>150</v>
      </c>
      <c r="AR152">
        <f t="shared" si="59"/>
        <v>-7.794228634059948</v>
      </c>
      <c r="AS152">
        <f t="shared" si="60"/>
        <v>4.4999999999999991</v>
      </c>
    </row>
    <row r="153" spans="1:45" x14ac:dyDescent="0.25">
      <c r="A153" s="15">
        <f t="shared" ca="1" si="61"/>
        <v>5.76184981819609E-4</v>
      </c>
      <c r="B153">
        <f t="shared" ca="1" si="62"/>
        <v>2.0233663457926143</v>
      </c>
      <c r="J153" t="s">
        <v>133</v>
      </c>
      <c r="L153" s="10">
        <f ca="1">L151</f>
        <v>461.53846153749328</v>
      </c>
      <c r="M153" s="9"/>
      <c r="O153">
        <f ca="1">((O151*COS(-1*B10))+(R151*SIN(-1*B10)))</f>
        <v>2762.9675595943445</v>
      </c>
      <c r="R153">
        <f ca="1">(-1*(O151)*SIN(-1*B10))+((R151)*COS(-1*B10))</f>
        <v>-2.2737367544323206E-13</v>
      </c>
      <c r="V153" s="10"/>
      <c r="W153" s="9"/>
      <c r="AJ153">
        <v>2.6354471705114326</v>
      </c>
      <c r="AK153">
        <v>-130.98551521877741</v>
      </c>
      <c r="AL153">
        <v>72.172271488261941</v>
      </c>
      <c r="AM153">
        <v>-201.51617725965755</v>
      </c>
      <c r="AN153">
        <v>111.03426382809529</v>
      </c>
      <c r="AQ153">
        <v>151</v>
      </c>
      <c r="AR153">
        <f t="shared" si="59"/>
        <v>-7.8715773642545619</v>
      </c>
      <c r="AS153">
        <f t="shared" si="60"/>
        <v>4.3632865822170341</v>
      </c>
    </row>
    <row r="154" spans="1:45" x14ac:dyDescent="0.25">
      <c r="A154" s="15">
        <f t="shared" ca="1" si="61"/>
        <v>-6.9854531816041551E-4</v>
      </c>
      <c r="B154">
        <f t="shared" ca="1" si="62"/>
        <v>0</v>
      </c>
      <c r="E154" s="38"/>
      <c r="M154" s="9"/>
      <c r="AJ154">
        <v>2.6529004630313757</v>
      </c>
      <c r="AK154">
        <v>-132.20935855048111</v>
      </c>
      <c r="AL154">
        <v>69.893206595000677</v>
      </c>
      <c r="AM154">
        <v>-203.39901315458633</v>
      </c>
      <c r="AN154">
        <v>107.52801014615488</v>
      </c>
      <c r="AQ154">
        <v>152</v>
      </c>
      <c r="AR154">
        <f t="shared" si="59"/>
        <v>-7.9465283357303429</v>
      </c>
      <c r="AS154">
        <f t="shared" si="60"/>
        <v>4.2252440650730163</v>
      </c>
    </row>
    <row r="155" spans="1:45" x14ac:dyDescent="0.25">
      <c r="A155" s="15">
        <f t="shared" ca="1" si="61"/>
        <v>-1.5305664309237389E-3</v>
      </c>
      <c r="B155">
        <f t="shared" ca="1" si="62"/>
        <v>0</v>
      </c>
      <c r="E155" s="38"/>
      <c r="M155" s="9"/>
      <c r="AJ155">
        <v>2.6703537555513188</v>
      </c>
      <c r="AK155">
        <v>-133.39710149669006</v>
      </c>
      <c r="AL155">
        <v>67.59556964051815</v>
      </c>
      <c r="AM155">
        <v>-205.22630999490778</v>
      </c>
      <c r="AN155">
        <v>103.99318406233562</v>
      </c>
      <c r="AQ155">
        <v>153</v>
      </c>
      <c r="AR155">
        <f t="shared" si="59"/>
        <v>-8.0190587176953105</v>
      </c>
      <c r="AS155">
        <f t="shared" si="60"/>
        <v>4.0859144976559216</v>
      </c>
    </row>
    <row r="156" spans="1:45" x14ac:dyDescent="0.25">
      <c r="A156" s="15">
        <f t="shared" ca="1" si="61"/>
        <v>-1.5305664309237389E-3</v>
      </c>
      <c r="B156">
        <f t="shared" ca="1" si="62"/>
        <v>0</v>
      </c>
      <c r="E156" s="38"/>
      <c r="M156" s="9"/>
      <c r="AJ156">
        <v>2.6878070480712619</v>
      </c>
      <c r="AK156">
        <v>-134.54860570585873</v>
      </c>
      <c r="AL156">
        <v>65.279676488804853</v>
      </c>
      <c r="AM156">
        <v>-206.99785493209035</v>
      </c>
      <c r="AN156">
        <v>100.43027152123823</v>
      </c>
      <c r="AQ156">
        <v>154</v>
      </c>
      <c r="AR156">
        <f t="shared" si="59"/>
        <v>-8.089146416692504</v>
      </c>
      <c r="AS156">
        <f t="shared" si="60"/>
        <v>3.9453403211016957</v>
      </c>
    </row>
    <row r="157" spans="1:45" x14ac:dyDescent="0.25">
      <c r="A157" s="15">
        <f t="shared" ca="1" si="61"/>
        <v>-6.9854531816041659E-4</v>
      </c>
      <c r="B157">
        <f t="shared" ca="1" si="62"/>
        <v>0</v>
      </c>
      <c r="E157" s="38"/>
      <c r="M157" s="9"/>
      <c r="AJ157">
        <v>2.705260340591205</v>
      </c>
      <c r="AK157">
        <v>-135.6637172821203</v>
      </c>
      <c r="AL157">
        <v>62.945834086390022</v>
      </c>
      <c r="AM157">
        <v>-208.71341120326198</v>
      </c>
      <c r="AN157">
        <v>96.839744748292333</v>
      </c>
      <c r="AQ157">
        <v>155</v>
      </c>
      <c r="AR157">
        <f t="shared" si="59"/>
        <v>-8.1567700833298495</v>
      </c>
      <c r="AS157">
        <f t="shared" si="60"/>
        <v>3.8035643556662952</v>
      </c>
    </row>
    <row r="158" spans="1:45" x14ac:dyDescent="0.25">
      <c r="A158" s="15">
        <f t="shared" ca="1" si="61"/>
        <v>5.7618498181960835E-4</v>
      </c>
      <c r="B158">
        <f t="shared" ca="1" si="62"/>
        <v>2.0233663457926125</v>
      </c>
      <c r="E158" s="38"/>
      <c r="M158" s="9"/>
      <c r="AJ158">
        <v>2.7227136331111481</v>
      </c>
      <c r="AK158">
        <v>-136.74226597468007</v>
      </c>
      <c r="AL158">
        <v>60.594342014588754</v>
      </c>
      <c r="AM158">
        <v>-210.37271688412318</v>
      </c>
      <c r="AN158">
        <v>93.222064637828851</v>
      </c>
      <c r="AQ158">
        <v>156</v>
      </c>
      <c r="AR158">
        <f t="shared" si="59"/>
        <v>-8.2219091187834064</v>
      </c>
      <c r="AS158">
        <f t="shared" si="60"/>
        <v>3.660629787682204</v>
      </c>
    </row>
    <row r="159" spans="1:45" x14ac:dyDescent="0.25">
      <c r="A159" s="15">
        <f t="shared" ca="1" si="61"/>
        <v>1.6971639946064573E-3</v>
      </c>
      <c r="B159">
        <f t="shared" ca="1" si="62"/>
        <v>4.1021703064069186</v>
      </c>
      <c r="E159" s="1"/>
      <c r="M159" s="9"/>
      <c r="AJ159">
        <v>2.7401669256310912</v>
      </c>
      <c r="AK159">
        <v>-137.78406446884691</v>
      </c>
      <c r="AL159">
        <v>58.225494092820348</v>
      </c>
      <c r="AM159">
        <v>-211.97548379822601</v>
      </c>
      <c r="AN159">
        <v>89.57768321972361</v>
      </c>
      <c r="AQ159">
        <v>157</v>
      </c>
      <c r="AR159">
        <f t="shared" si="59"/>
        <v>-8.2845436810719626</v>
      </c>
      <c r="AS159">
        <f t="shared" si="60"/>
        <v>3.5165801564034638</v>
      </c>
    </row>
    <row r="160" spans="1:45" x14ac:dyDescent="0.25">
      <c r="A160" s="15">
        <f t="shared" ca="1" si="61"/>
        <v>0</v>
      </c>
      <c r="B160">
        <f t="shared" ca="1" si="62"/>
        <v>0</v>
      </c>
      <c r="M160" s="9"/>
      <c r="AJ160">
        <v>2.7576202181510343</v>
      </c>
      <c r="AK160">
        <v>-138.78890778165382</v>
      </c>
      <c r="AL160">
        <v>55.839580026985864</v>
      </c>
      <c r="AM160">
        <v>-213.52139658715973</v>
      </c>
      <c r="AN160">
        <v>85.907046195362867</v>
      </c>
      <c r="AQ160">
        <v>158</v>
      </c>
      <c r="AR160">
        <f t="shared" si="59"/>
        <v>-8.3446546911010859</v>
      </c>
      <c r="AS160">
        <f t="shared" si="60"/>
        <v>3.3714593407432103</v>
      </c>
    </row>
    <row r="161" spans="1:45" x14ac:dyDescent="0.25">
      <c r="A161" s="15">
        <f t="shared" ca="1" si="61"/>
        <v>0</v>
      </c>
      <c r="B161">
        <f t="shared" ca="1" si="62"/>
        <v>0</v>
      </c>
      <c r="M161" s="9"/>
      <c r="N161" s="1"/>
      <c r="O161" s="1"/>
      <c r="S161" s="1"/>
      <c r="T161" s="1"/>
      <c r="U161" s="1"/>
      <c r="AB161" s="1"/>
      <c r="AC161" s="1"/>
      <c r="AD161" s="1"/>
      <c r="AE161" s="1"/>
      <c r="AF161" s="1"/>
      <c r="AG161" s="1"/>
      <c r="AJ161">
        <v>2.7750735106709774</v>
      </c>
      <c r="AK161">
        <v>-139.75657276467703</v>
      </c>
      <c r="AL161">
        <v>53.436887096728</v>
      </c>
      <c r="AM161">
        <v>-215.01011194565697</v>
      </c>
      <c r="AN161">
        <v>82.210595533427693</v>
      </c>
      <c r="AQ161">
        <v>159</v>
      </c>
      <c r="AR161">
        <f t="shared" si="59"/>
        <v>-8.402223838474816</v>
      </c>
      <c r="AS161">
        <f t="shared" si="60"/>
        <v>3.2253115459077017</v>
      </c>
    </row>
    <row r="162" spans="1:45" x14ac:dyDescent="0.25">
      <c r="A162" s="15">
        <f t="shared" ca="1" si="61"/>
        <v>0</v>
      </c>
      <c r="B162">
        <f t="shared" ca="1" si="62"/>
        <v>0</v>
      </c>
      <c r="M162" s="7"/>
      <c r="N162" s="7"/>
      <c r="O162" s="7"/>
      <c r="Q162" s="7"/>
      <c r="R162" s="7"/>
      <c r="S162" s="7"/>
      <c r="T162" s="7"/>
      <c r="U162" s="7"/>
      <c r="Y162" s="10"/>
      <c r="Z162" s="10"/>
      <c r="AA162" s="10"/>
      <c r="AB162" s="7"/>
      <c r="AC162" s="7"/>
      <c r="AD162" s="7"/>
      <c r="AE162" s="10"/>
      <c r="AF162" s="10"/>
      <c r="AG162" s="10"/>
      <c r="AJ162">
        <v>2.7925268031909205</v>
      </c>
      <c r="AK162">
        <v>-140.68681771631054</v>
      </c>
      <c r="AL162">
        <v>51.017701875248363</v>
      </c>
      <c r="AM162">
        <v>-216.44125802509313</v>
      </c>
      <c r="AN162">
        <v>78.488772115766707</v>
      </c>
      <c r="AQ162">
        <v>160</v>
      </c>
      <c r="AR162">
        <f t="shared" si="59"/>
        <v>-8.4572335870731745</v>
      </c>
      <c r="AS162">
        <f t="shared" si="60"/>
        <v>3.0781812899310199</v>
      </c>
    </row>
    <row r="163" spans="1:45" x14ac:dyDescent="0.25">
      <c r="A163" s="15">
        <f t="shared" ca="1" si="61"/>
        <v>0</v>
      </c>
      <c r="B163">
        <f t="shared" ca="1" si="62"/>
        <v>0</v>
      </c>
      <c r="M163" s="7"/>
      <c r="N163" s="7"/>
      <c r="O163" s="7"/>
      <c r="Q163" s="7"/>
      <c r="R163" s="7"/>
      <c r="S163" s="7"/>
      <c r="T163" s="7"/>
      <c r="U163" s="7"/>
      <c r="Y163" s="10"/>
      <c r="Z163" s="10"/>
      <c r="AA163" s="10"/>
      <c r="AB163" s="7"/>
      <c r="AC163" s="7"/>
      <c r="AD163" s="7"/>
      <c r="AE163" s="10"/>
      <c r="AF163" s="10"/>
      <c r="AG163" s="10"/>
      <c r="AJ163">
        <v>2.8099800957108636</v>
      </c>
      <c r="AK163">
        <v>-141.57938210546467</v>
      </c>
      <c r="AL163">
        <v>48.582311975253099</v>
      </c>
      <c r="AM163">
        <v>-217.81443400840718</v>
      </c>
      <c r="AN163">
        <v>74.742018423466305</v>
      </c>
      <c r="AQ163">
        <v>161</v>
      </c>
      <c r="AR163">
        <f t="shared" si="59"/>
        <v>-8.5096671803938513</v>
      </c>
      <c r="AS163">
        <f t="shared" si="60"/>
        <v>2.9301133901144092</v>
      </c>
    </row>
    <row r="164" spans="1:45" x14ac:dyDescent="0.25">
      <c r="A164" s="15">
        <f t="shared" ca="1" si="61"/>
        <v>0</v>
      </c>
      <c r="B164">
        <f t="shared" ca="1" si="62"/>
        <v>0</v>
      </c>
      <c r="M164" s="7"/>
      <c r="N164" s="7"/>
      <c r="O164" s="7"/>
      <c r="Q164" s="7"/>
      <c r="R164" s="7"/>
      <c r="S164" s="7"/>
      <c r="T164" s="7"/>
      <c r="U164" s="7"/>
      <c r="Y164" s="10"/>
      <c r="Z164" s="10"/>
      <c r="AA164" s="10"/>
      <c r="AB164" s="7"/>
      <c r="AC164" s="7"/>
      <c r="AD164" s="7"/>
      <c r="AE164" s="10"/>
      <c r="AF164" s="10"/>
      <c r="AG164" s="10"/>
      <c r="AJ164">
        <v>2.8274333882308067</v>
      </c>
      <c r="AK164">
        <v>-142.43398640778867</v>
      </c>
      <c r="AL164">
        <v>46.131007814325343</v>
      </c>
      <c r="AM164">
        <v>-219.12920985813639</v>
      </c>
      <c r="AN164">
        <v>70.970781252808223</v>
      </c>
      <c r="AQ164">
        <v>162</v>
      </c>
      <c r="AR164">
        <f t="shared" si="59"/>
        <v>-8.559508646656381</v>
      </c>
      <c r="AS164">
        <f t="shared" si="60"/>
        <v>2.7811529493745275</v>
      </c>
    </row>
    <row r="165" spans="1:45" x14ac:dyDescent="0.25">
      <c r="A165" s="15">
        <f t="shared" ca="1" si="61"/>
        <v>0</v>
      </c>
      <c r="B165">
        <f t="shared" ca="1" si="62"/>
        <v>0</v>
      </c>
      <c r="M165" s="7"/>
      <c r="N165" s="7"/>
      <c r="O165" s="7"/>
      <c r="Q165" s="7"/>
      <c r="R165" s="7"/>
      <c r="S165" s="7"/>
      <c r="T165" s="7"/>
      <c r="U165" s="7"/>
      <c r="Y165" s="10"/>
      <c r="Z165" s="10"/>
      <c r="AA165" s="10"/>
      <c r="AB165" s="7"/>
      <c r="AC165" s="7"/>
      <c r="AD165" s="7"/>
      <c r="AE165" s="10"/>
      <c r="AF165" s="10"/>
      <c r="AG165" s="10"/>
      <c r="AJ165">
        <v>2.8448866807507498</v>
      </c>
      <c r="AK165">
        <v>-143.25033205664477</v>
      </c>
      <c r="AL165">
        <v>43.664084393436951</v>
      </c>
      <c r="AM165">
        <v>-220.38512624099195</v>
      </c>
      <c r="AN165">
        <v>67.175514451441458</v>
      </c>
      <c r="AQ165">
        <v>163</v>
      </c>
      <c r="AR165">
        <f t="shared" si="59"/>
        <v>-8.6067428036673199</v>
      </c>
      <c r="AS165">
        <f t="shared" si="60"/>
        <v>2.6313453425046296</v>
      </c>
    </row>
    <row r="166" spans="1:45" x14ac:dyDescent="0.25">
      <c r="A166" s="15">
        <f t="shared" ca="1" si="61"/>
        <v>0</v>
      </c>
      <c r="B166">
        <f t="shared" ca="1" si="62"/>
        <v>0</v>
      </c>
      <c r="M166" s="7"/>
      <c r="N166" s="7"/>
      <c r="O166" s="7"/>
      <c r="Q166" s="7"/>
      <c r="R166" s="7"/>
      <c r="S166" s="7"/>
      <c r="T166" s="7"/>
      <c r="U166" s="7"/>
      <c r="Y166" s="10"/>
      <c r="Z166" s="10"/>
      <c r="AA166" s="10"/>
      <c r="AB166" s="7"/>
      <c r="AC166" s="7"/>
      <c r="AD166" s="7"/>
      <c r="AE166" s="10"/>
      <c r="AF166" s="10"/>
      <c r="AG166" s="10"/>
      <c r="AJ166">
        <v>2.8623399732706929</v>
      </c>
      <c r="AK166">
        <v>-144.02810224883629</v>
      </c>
      <c r="AL166">
        <v>41.181843117199143</v>
      </c>
      <c r="AM166">
        <v>-221.58169576744044</v>
      </c>
      <c r="AN166">
        <v>63.356681718767909</v>
      </c>
      <c r="AQ166">
        <v>164</v>
      </c>
      <c r="AR166">
        <f t="shared" si="59"/>
        <v>-8.65135526344487</v>
      </c>
      <c r="AS166">
        <f t="shared" si="60"/>
        <v>2.4807362023529929</v>
      </c>
    </row>
    <row r="167" spans="1:45" x14ac:dyDescent="0.25">
      <c r="A167" s="15">
        <f t="shared" ca="1" si="61"/>
        <v>0</v>
      </c>
      <c r="B167">
        <f t="shared" ca="1" si="62"/>
        <v>0</v>
      </c>
      <c r="M167" s="7"/>
      <c r="N167" s="7"/>
      <c r="O167" s="7"/>
      <c r="Q167" s="7"/>
      <c r="R167" s="7"/>
      <c r="S167" s="7"/>
      <c r="T167" s="7"/>
      <c r="U167" s="7"/>
      <c r="Y167" s="10"/>
      <c r="Z167" s="10"/>
      <c r="AA167" s="10"/>
      <c r="AB167" s="7"/>
      <c r="AC167" s="7"/>
      <c r="AD167" s="7"/>
      <c r="AE167" s="10"/>
      <c r="AF167" s="10"/>
      <c r="AG167" s="10"/>
      <c r="AJ167">
        <v>2.879793265790636</v>
      </c>
      <c r="AK167">
        <v>-144.7669805232984</v>
      </c>
      <c r="AL167">
        <v>38.684593709210844</v>
      </c>
      <c r="AM167">
        <v>-222.71843157430521</v>
      </c>
      <c r="AN167">
        <v>59.514759552632064</v>
      </c>
      <c r="AQ167">
        <v>165</v>
      </c>
      <c r="AR167">
        <f t="shared" si="59"/>
        <v>-8.6933324366016134</v>
      </c>
      <c r="AS167">
        <f t="shared" si="60"/>
        <v>2.3293714059226893</v>
      </c>
    </row>
    <row r="168" spans="1:45" x14ac:dyDescent="0.25">
      <c r="A168" s="15">
        <f t="shared" ca="1" si="61"/>
        <v>0</v>
      </c>
      <c r="B168">
        <f t="shared" ca="1" si="62"/>
        <v>0</v>
      </c>
      <c r="M168" s="7"/>
      <c r="N168" s="7"/>
      <c r="O168" s="7"/>
      <c r="Q168" s="7"/>
      <c r="R168" s="7"/>
      <c r="S168" s="7"/>
      <c r="T168" s="7"/>
      <c r="U168" s="7"/>
      <c r="Y168" s="10"/>
      <c r="Z168" s="10"/>
      <c r="AA168" s="10"/>
      <c r="AB168" s="7"/>
      <c r="AC168" s="7"/>
      <c r="AD168" s="7"/>
      <c r="AE168" s="10"/>
      <c r="AF168" s="10"/>
      <c r="AG168" s="10"/>
      <c r="AJ168">
        <v>2.8972465583105791</v>
      </c>
      <c r="AK168">
        <v>-145.45482386108941</v>
      </c>
      <c r="AL168">
        <v>36.172891839007079</v>
      </c>
      <c r="AM168">
        <v>-223.7766520939837</v>
      </c>
      <c r="AN168">
        <v>55.650602829241656</v>
      </c>
      <c r="AQ168">
        <v>166</v>
      </c>
      <c r="AR168">
        <f t="shared" si="59"/>
        <v>-8.7326615364839686</v>
      </c>
      <c r="AS168">
        <f t="shared" si="60"/>
        <v>2.1772970603970094</v>
      </c>
    </row>
    <row r="169" spans="1:45" x14ac:dyDescent="0.25">
      <c r="A169" s="15">
        <f t="shared" ca="1" si="61"/>
        <v>0</v>
      </c>
      <c r="B169">
        <f t="shared" ca="1" si="62"/>
        <v>0</v>
      </c>
      <c r="M169" s="7"/>
      <c r="N169" s="7"/>
      <c r="O169" s="7"/>
      <c r="Q169" s="7"/>
      <c r="R169" s="7"/>
      <c r="S169" s="7"/>
      <c r="T169" s="7"/>
      <c r="U169" s="7"/>
      <c r="Y169" s="10"/>
      <c r="Z169" s="10"/>
      <c r="AA169" s="10"/>
      <c r="AB169" s="7"/>
      <c r="AC169" s="7"/>
      <c r="AD169" s="7"/>
      <c r="AE169" s="10"/>
      <c r="AF169" s="10"/>
      <c r="AG169" s="10"/>
      <c r="AJ169">
        <v>2.9146998508305222</v>
      </c>
      <c r="AK169">
        <v>-146.05661674588825</v>
      </c>
      <c r="AL169">
        <v>33.650168488814209</v>
      </c>
      <c r="AM169">
        <v>-224.70248730136652</v>
      </c>
      <c r="AN169">
        <v>51.769489982791093</v>
      </c>
      <c r="AQ169">
        <v>167</v>
      </c>
      <c r="AR169">
        <f t="shared" si="59"/>
        <v>-8.7693305830671164</v>
      </c>
      <c r="AS169">
        <f t="shared" si="60"/>
        <v>2.0245594890947869</v>
      </c>
    </row>
    <row r="170" spans="1:45" x14ac:dyDescent="0.25">
      <c r="A170" s="15">
        <f t="shared" ca="1" si="61"/>
        <v>0</v>
      </c>
      <c r="B170">
        <f t="shared" ca="1" si="62"/>
        <v>0</v>
      </c>
      <c r="M170" s="7"/>
      <c r="N170" s="7"/>
      <c r="O170" s="7"/>
      <c r="Q170" s="7"/>
      <c r="R170" s="7"/>
      <c r="S170" s="7"/>
      <c r="T170" s="7"/>
      <c r="U170" s="7"/>
      <c r="Y170" s="10"/>
      <c r="Z170" s="10"/>
      <c r="AA170" s="10"/>
      <c r="AB170" s="7"/>
      <c r="AC170" s="7"/>
      <c r="AD170" s="7"/>
      <c r="AE170" s="10"/>
      <c r="AF170" s="10"/>
      <c r="AG170" s="10"/>
      <c r="AJ170">
        <v>2.9321531433504653</v>
      </c>
      <c r="AK170">
        <v>-146.61529653731012</v>
      </c>
      <c r="AL170">
        <v>31.117713128342245</v>
      </c>
      <c r="AM170">
        <v>-225.56199467278478</v>
      </c>
      <c r="AN170">
        <v>47.873404812834224</v>
      </c>
      <c r="AQ170">
        <v>168</v>
      </c>
      <c r="AR170">
        <f t="shared" si="59"/>
        <v>-8.8033284066042512</v>
      </c>
      <c r="AS170">
        <f t="shared" si="60"/>
        <v>1.8712052173598339</v>
      </c>
    </row>
    <row r="171" spans="1:45" x14ac:dyDescent="0.25">
      <c r="A171" s="15">
        <f t="shared" ca="1" si="61"/>
        <v>0</v>
      </c>
      <c r="B171">
        <f t="shared" ca="1" si="62"/>
        <v>0</v>
      </c>
      <c r="M171" s="7"/>
      <c r="N171" s="7"/>
      <c r="O171" s="7"/>
      <c r="Q171" s="7"/>
      <c r="R171" s="7"/>
      <c r="S171" s="7"/>
      <c r="T171" s="7"/>
      <c r="U171" s="7"/>
      <c r="Y171" s="10"/>
      <c r="Z171" s="10"/>
      <c r="AA171" s="10"/>
      <c r="AB171" s="7"/>
      <c r="AC171" s="7"/>
      <c r="AD171" s="7"/>
      <c r="AE171" s="10"/>
      <c r="AF171" s="10"/>
      <c r="AG171" s="10"/>
      <c r="AJ171">
        <v>2.9496064358704084</v>
      </c>
      <c r="AK171">
        <v>-147.1307232439456</v>
      </c>
      <c r="AL171">
        <v>28.576211366394855</v>
      </c>
      <c r="AM171">
        <v>-226.35495883683936</v>
      </c>
      <c r="AN171">
        <v>43.963402102145928</v>
      </c>
      <c r="AQ171">
        <v>169</v>
      </c>
      <c r="AR171">
        <f t="shared" si="59"/>
        <v>-8.8346446510289756</v>
      </c>
      <c r="AS171">
        <f t="shared" si="60"/>
        <v>1.7172809583889048</v>
      </c>
    </row>
    <row r="172" spans="1:45" x14ac:dyDescent="0.25">
      <c r="A172" s="15">
        <f t="shared" ca="1" si="61"/>
        <v>0</v>
      </c>
      <c r="B172">
        <f t="shared" ca="1" si="62"/>
        <v>0</v>
      </c>
      <c r="M172" s="7"/>
      <c r="N172" s="7"/>
      <c r="O172" s="7"/>
      <c r="Q172" s="7"/>
      <c r="R172" s="7"/>
      <c r="S172" s="7"/>
      <c r="T172" s="7"/>
      <c r="U172" s="7"/>
      <c r="Y172" s="10"/>
      <c r="Z172" s="10"/>
      <c r="AA172" s="10"/>
      <c r="AB172" s="7"/>
      <c r="AC172" s="7"/>
      <c r="AD172" s="7"/>
      <c r="AE172" s="10"/>
      <c r="AF172" s="10"/>
      <c r="AG172" s="10"/>
      <c r="AJ172">
        <v>2.9670597283903515</v>
      </c>
      <c r="AK172">
        <v>-147.60276436554634</v>
      </c>
      <c r="AL172">
        <v>26.026349784801116</v>
      </c>
      <c r="AM172">
        <v>-227.08117594699436</v>
      </c>
      <c r="AN172">
        <v>40.040538130463254</v>
      </c>
      <c r="AQ172">
        <v>170</v>
      </c>
      <c r="AR172">
        <f t="shared" si="59"/>
        <v>-8.8632697771098723</v>
      </c>
      <c r="AS172">
        <f t="shared" si="60"/>
        <v>1.5628335990023725</v>
      </c>
    </row>
    <row r="173" spans="1:45" x14ac:dyDescent="0.25">
      <c r="A173" s="15">
        <f t="shared" ca="1" si="61"/>
        <v>0</v>
      </c>
      <c r="B173">
        <f t="shared" ca="1" si="62"/>
        <v>0</v>
      </c>
      <c r="M173" s="7"/>
      <c r="N173" s="7"/>
      <c r="O173" s="7"/>
      <c r="Q173" s="7"/>
      <c r="R173" s="7"/>
      <c r="S173" s="7"/>
      <c r="T173" s="7"/>
      <c r="U173" s="7"/>
      <c r="Y173" s="10"/>
      <c r="Z173" s="10"/>
      <c r="AA173" s="10"/>
      <c r="AB173" s="7"/>
      <c r="AC173" s="7"/>
      <c r="AD173" s="7"/>
      <c r="AE173" s="10"/>
      <c r="AF173" s="10"/>
      <c r="AG173" s="10"/>
      <c r="AJ173">
        <v>2.9845130209102946</v>
      </c>
      <c r="AK173">
        <v>-148.03129483046797</v>
      </c>
      <c r="AL173">
        <v>23.468816100486482</v>
      </c>
      <c r="AM173">
        <v>-227.74045358533533</v>
      </c>
      <c r="AN173">
        <v>36.105870923825357</v>
      </c>
      <c r="AQ173">
        <v>171</v>
      </c>
      <c r="AR173">
        <f t="shared" si="59"/>
        <v>-8.8891950653562386</v>
      </c>
      <c r="AS173">
        <f t="shared" si="60"/>
        <v>1.4079101853620788</v>
      </c>
    </row>
    <row r="174" spans="1:45" x14ac:dyDescent="0.25">
      <c r="A174" s="15">
        <f t="shared" ca="1" si="61"/>
        <v>0</v>
      </c>
      <c r="B174">
        <f t="shared" ca="1" si="62"/>
        <v>0</v>
      </c>
      <c r="M174" s="7"/>
      <c r="N174" s="7"/>
      <c r="O174" s="7"/>
      <c r="Q174" s="7"/>
      <c r="R174" s="7"/>
      <c r="S174" s="7"/>
      <c r="T174" s="7"/>
      <c r="U174" s="7"/>
      <c r="Y174" s="10"/>
      <c r="Z174" s="10"/>
      <c r="AA174" s="10"/>
      <c r="AB174" s="7"/>
      <c r="AC174" s="7"/>
      <c r="AD174" s="7"/>
      <c r="AE174" s="10"/>
      <c r="AF174" s="10"/>
      <c r="AG174" s="10"/>
      <c r="AJ174">
        <v>3.0019663134302377</v>
      </c>
      <c r="AK174">
        <v>-148.41619695457032</v>
      </c>
      <c r="AL174">
        <v>20.90429933299281</v>
      </c>
      <c r="AM174">
        <v>-228.33261069933894</v>
      </c>
      <c r="AN174">
        <v>32.16046051229663</v>
      </c>
      <c r="AQ174">
        <v>172</v>
      </c>
      <c r="AR174">
        <f t="shared" si="59"/>
        <v>-8.9124126186741339</v>
      </c>
      <c r="AS174">
        <f t="shared" si="60"/>
        <v>1.252557908640588</v>
      </c>
    </row>
    <row r="175" spans="1:45" x14ac:dyDescent="0.25">
      <c r="A175" s="15">
        <f t="shared" ca="1" si="61"/>
        <v>0</v>
      </c>
      <c r="B175">
        <f t="shared" ca="1" si="62"/>
        <v>0</v>
      </c>
      <c r="M175" s="7"/>
      <c r="N175" s="7"/>
      <c r="O175" s="7"/>
      <c r="Q175" s="7"/>
      <c r="R175" s="7"/>
      <c r="S175" s="7"/>
      <c r="T175" s="7"/>
      <c r="U175" s="7"/>
      <c r="Y175" s="10"/>
      <c r="Z175" s="10"/>
      <c r="AA175" s="10"/>
      <c r="AB175" s="7"/>
      <c r="AC175" s="7"/>
      <c r="AD175" s="7"/>
      <c r="AE175" s="10"/>
      <c r="AF175" s="10"/>
      <c r="AG175" s="10"/>
      <c r="AJ175">
        <v>3.0194196059501808</v>
      </c>
      <c r="AK175">
        <v>-148.75736042254354</v>
      </c>
      <c r="AL175">
        <v>18.33348997595234</v>
      </c>
      <c r="AM175">
        <v>-228.85747757314391</v>
      </c>
      <c r="AN175">
        <v>28.205369193772828</v>
      </c>
      <c r="AQ175">
        <v>173</v>
      </c>
      <c r="AR175">
        <f t="shared" si="59"/>
        <v>-8.9329153647718975</v>
      </c>
      <c r="AS175">
        <f t="shared" si="60"/>
        <v>1.096824090646328</v>
      </c>
    </row>
    <row r="176" spans="1:45" x14ac:dyDescent="0.25">
      <c r="A176" s="15">
        <f t="shared" ca="1" si="61"/>
        <v>0</v>
      </c>
      <c r="B176">
        <f t="shared" ca="1" si="62"/>
        <v>0</v>
      </c>
      <c r="M176" s="7"/>
      <c r="N176" s="7"/>
      <c r="O176" s="7"/>
      <c r="Q176" s="7"/>
      <c r="R176" s="7"/>
      <c r="S176" s="7"/>
      <c r="T176" s="7"/>
      <c r="U176" s="7"/>
      <c r="Y176" s="10"/>
      <c r="Z176" s="10"/>
      <c r="AA176" s="10"/>
      <c r="AB176" s="7"/>
      <c r="AC176" s="7"/>
      <c r="AD176" s="7"/>
      <c r="AE176" s="10"/>
      <c r="AF176" s="10"/>
      <c r="AG176" s="10"/>
      <c r="AJ176">
        <v>3.0368728984701239</v>
      </c>
      <c r="AK176">
        <v>-149.05468229126058</v>
      </c>
      <c r="AL176">
        <v>15.757080170780526</v>
      </c>
      <c r="AM176">
        <v>-229.31489583270857</v>
      </c>
      <c r="AN176">
        <v>24.241661801200809</v>
      </c>
      <c r="AQ176">
        <v>174</v>
      </c>
      <c r="AR176">
        <f t="shared" si="59"/>
        <v>-8.9506970583144589</v>
      </c>
      <c r="AS176">
        <f t="shared" si="60"/>
        <v>0.94075616940888362</v>
      </c>
    </row>
    <row r="177" spans="1:45" x14ac:dyDescent="0.25">
      <c r="A177" s="15">
        <f t="shared" ca="1" si="61"/>
        <v>0</v>
      </c>
      <c r="B177">
        <f t="shared" ca="1" si="62"/>
        <v>0</v>
      </c>
      <c r="M177" s="7"/>
      <c r="N177" s="7"/>
      <c r="O177" s="7"/>
      <c r="Q177" s="7"/>
      <c r="R177" s="7"/>
      <c r="S177" s="7"/>
      <c r="T177" s="7"/>
      <c r="U177" s="7"/>
      <c r="Y177" s="10"/>
      <c r="Z177" s="10"/>
      <c r="AA177" s="10"/>
      <c r="AB177" s="7"/>
      <c r="AC177" s="7"/>
      <c r="AD177" s="7"/>
      <c r="AE177" s="10"/>
      <c r="AF177" s="10"/>
      <c r="AG177" s="10"/>
      <c r="AJ177">
        <v>3.054326190990067</v>
      </c>
      <c r="AK177">
        <v>-149.26737361612018</v>
      </c>
      <c r="AL177">
        <v>13.16159618075903</v>
      </c>
      <c r="AM177">
        <v>-229.64211325556951</v>
      </c>
      <c r="AN177">
        <v>20.248609508860046</v>
      </c>
      <c r="AQ177">
        <v>175</v>
      </c>
      <c r="AR177">
        <f t="shared" si="59"/>
        <v>-8.9657522828257097</v>
      </c>
      <c r="AS177">
        <f t="shared" si="60"/>
        <v>0.78440168472892369</v>
      </c>
    </row>
    <row r="178" spans="1:45" x14ac:dyDescent="0.25">
      <c r="A178" s="15">
        <f t="shared" ca="1" si="61"/>
        <v>0</v>
      </c>
      <c r="B178">
        <f t="shared" ca="1" si="62"/>
        <v>0</v>
      </c>
      <c r="M178" s="7"/>
      <c r="N178" s="7"/>
      <c r="O178" s="7"/>
      <c r="Q178" s="7"/>
      <c r="R178" s="7"/>
      <c r="S178" s="7"/>
      <c r="T178" s="7"/>
      <c r="U178" s="7"/>
      <c r="Y178" s="10"/>
      <c r="Z178" s="10"/>
      <c r="AA178" s="10"/>
      <c r="AB178" s="7"/>
      <c r="AC178" s="7"/>
      <c r="AD178" s="7"/>
      <c r="AE178" s="10"/>
      <c r="AF178" s="10"/>
      <c r="AG178" s="10"/>
      <c r="AJ178">
        <v>3.0717794835100101</v>
      </c>
      <c r="AK178">
        <v>-149.42716475438922</v>
      </c>
      <c r="AL178">
        <v>10.56223808647867</v>
      </c>
      <c r="AM178">
        <v>-229.88794577598341</v>
      </c>
      <c r="AN178">
        <v>16.249597056121029</v>
      </c>
      <c r="AQ178">
        <v>176</v>
      </c>
      <c r="AR178">
        <f t="shared" si="59"/>
        <v>-8.9780764523384171</v>
      </c>
      <c r="AS178">
        <f t="shared" si="60"/>
        <v>0.62780826369712972</v>
      </c>
    </row>
    <row r="179" spans="1:45" x14ac:dyDescent="0.25">
      <c r="A179" s="15">
        <f t="shared" ca="1" si="61"/>
        <v>0</v>
      </c>
      <c r="B179">
        <f t="shared" ca="1" si="62"/>
        <v>0</v>
      </c>
      <c r="M179" s="7"/>
      <c r="N179" s="7"/>
      <c r="O179" s="7"/>
      <c r="Q179" s="7"/>
      <c r="R179" s="7"/>
      <c r="S179" s="7"/>
      <c r="T179" s="7"/>
      <c r="U179" s="7"/>
      <c r="Y179" s="10"/>
      <c r="Z179" s="10"/>
      <c r="AA179" s="10"/>
      <c r="AB179" s="7"/>
      <c r="AC179" s="7"/>
      <c r="AD179" s="7"/>
      <c r="AE179" s="10"/>
      <c r="AF179" s="10"/>
      <c r="AG179" s="10"/>
      <c r="AJ179">
        <v>3.0892327760299532</v>
      </c>
      <c r="AK179">
        <v>-149.54527636118746</v>
      </c>
      <c r="AL179">
        <v>7.9636812035800348</v>
      </c>
      <c r="AM179">
        <v>-230.06965594028838</v>
      </c>
      <c r="AN179">
        <v>12.251817236276976</v>
      </c>
      <c r="AQ179">
        <v>177</v>
      </c>
      <c r="AR179">
        <f t="shared" si="59"/>
        <v>-8.9876658127911639</v>
      </c>
      <c r="AS179">
        <f t="shared" si="60"/>
        <v>0.47102360618649425</v>
      </c>
    </row>
    <row r="180" spans="1:45" x14ac:dyDescent="0.25">
      <c r="A180" s="15">
        <f t="shared" ca="1" si="61"/>
        <v>0</v>
      </c>
      <c r="B180">
        <f t="shared" ca="1" si="62"/>
        <v>0</v>
      </c>
      <c r="M180" s="7"/>
      <c r="N180" s="7"/>
      <c r="O180" s="7"/>
      <c r="Q180" s="7"/>
      <c r="R180" s="7"/>
      <c r="S180" s="7"/>
      <c r="T180" s="7"/>
      <c r="U180" s="7"/>
      <c r="Y180" s="10"/>
      <c r="Z180" s="10"/>
      <c r="AA180" s="10"/>
      <c r="AB180" s="7"/>
      <c r="AC180" s="7"/>
      <c r="AD180" s="7"/>
      <c r="AE180" s="10"/>
      <c r="AF180" s="10"/>
      <c r="AG180" s="10"/>
      <c r="AJ180">
        <v>3.1066860685498963</v>
      </c>
      <c r="AK180">
        <v>-149.6218998809324</v>
      </c>
      <c r="AL180">
        <v>5.3663248131022252</v>
      </c>
      <c r="AM180">
        <v>-230.18753827835752</v>
      </c>
      <c r="AN180">
        <v>8.2558843278495768</v>
      </c>
      <c r="AQ180">
        <v>178</v>
      </c>
      <c r="AR180">
        <f t="shared" si="59"/>
        <v>-8.994517443171862</v>
      </c>
      <c r="AS180">
        <f t="shared" si="60"/>
        <v>0.31409547032251028</v>
      </c>
    </row>
    <row r="181" spans="1:45" x14ac:dyDescent="0.25">
      <c r="A181" s="15">
        <f t="shared" ca="1" si="61"/>
        <v>0</v>
      </c>
      <c r="B181">
        <f t="shared" ca="1" si="62"/>
        <v>0</v>
      </c>
      <c r="M181" s="7"/>
      <c r="N181" s="7"/>
      <c r="O181" s="7"/>
      <c r="Q181" s="7"/>
      <c r="R181" s="7"/>
      <c r="S181" s="7"/>
      <c r="T181" s="7"/>
      <c r="U181" s="7"/>
      <c r="Y181" s="10"/>
      <c r="Z181" s="10"/>
      <c r="AA181" s="10"/>
      <c r="AB181" s="7"/>
      <c r="AC181" s="7"/>
      <c r="AD181" s="7"/>
      <c r="AE181" s="10"/>
      <c r="AF181" s="10"/>
      <c r="AG181" s="10"/>
      <c r="AJ181">
        <v>3.1241393610698394</v>
      </c>
      <c r="AK181">
        <v>-149.65722992480207</v>
      </c>
      <c r="AL181">
        <v>2.7705604958090535</v>
      </c>
      <c r="AM181">
        <v>-230.24189219200318</v>
      </c>
      <c r="AN181">
        <v>4.2624007627831588</v>
      </c>
      <c r="AQ181">
        <v>179</v>
      </c>
      <c r="AR181">
        <f t="shared" si="59"/>
        <v>-8.9986292564075221</v>
      </c>
      <c r="AS181">
        <f t="shared" si="60"/>
        <v>0.15707165793555095</v>
      </c>
    </row>
    <row r="182" spans="1:45" x14ac:dyDescent="0.25">
      <c r="A182" s="15">
        <f t="shared" ca="1" si="61"/>
        <v>0</v>
      </c>
      <c r="B182">
        <f t="shared" ca="1" si="62"/>
        <v>0</v>
      </c>
      <c r="M182" s="7"/>
      <c r="N182" s="7"/>
      <c r="O182" s="7"/>
      <c r="Q182" s="7"/>
      <c r="R182" s="7"/>
      <c r="S182" s="7"/>
      <c r="T182" s="7"/>
      <c r="U182" s="7"/>
      <c r="Y182" s="10"/>
      <c r="Z182" s="10"/>
      <c r="AA182" s="10"/>
      <c r="AB182" s="7"/>
      <c r="AC182" s="7"/>
      <c r="AD182" s="7"/>
      <c r="AE182" s="10"/>
      <c r="AF182" s="10"/>
      <c r="AG182" s="10"/>
      <c r="AJ182">
        <v>3.1415926535897825</v>
      </c>
      <c r="AK182">
        <v>-149.65144615738791</v>
      </c>
      <c r="AL182">
        <v>0.17676757774107194</v>
      </c>
      <c r="AM182">
        <v>-230.23299408828908</v>
      </c>
      <c r="AN182">
        <v>0.27195011960164911</v>
      </c>
      <c r="AQ182">
        <v>180</v>
      </c>
      <c r="AR182">
        <f t="shared" si="59"/>
        <v>-9</v>
      </c>
      <c r="AS182">
        <f t="shared" si="60"/>
        <v>1.102633609417758E-15</v>
      </c>
    </row>
    <row r="183" spans="1:45" x14ac:dyDescent="0.25">
      <c r="A183" s="15">
        <f t="shared" ca="1" si="61"/>
        <v>0</v>
      </c>
      <c r="B183">
        <f t="shared" ca="1" si="62"/>
        <v>0</v>
      </c>
      <c r="M183" s="7"/>
      <c r="N183" s="7"/>
      <c r="O183" s="7"/>
      <c r="Q183" s="7"/>
      <c r="R183" s="7"/>
      <c r="S183" s="7"/>
      <c r="T183" s="7"/>
      <c r="U183" s="7"/>
      <c r="Y183" s="10"/>
      <c r="Z183" s="10"/>
      <c r="AA183" s="10"/>
      <c r="AB183" s="7"/>
      <c r="AC183" s="7"/>
      <c r="AD183" s="7"/>
      <c r="AE183" s="10"/>
      <c r="AF183" s="10"/>
      <c r="AG183" s="10"/>
      <c r="AJ183">
        <v>3.1590459461097256</v>
      </c>
      <c r="AK183">
        <v>-149.60471191699639</v>
      </c>
      <c r="AL183">
        <v>-2.4146854348833346</v>
      </c>
      <c r="AM183">
        <v>-230.16109525691752</v>
      </c>
      <c r="AN183">
        <v>-3.7149006690512838</v>
      </c>
      <c r="AQ183">
        <v>181</v>
      </c>
      <c r="AR183">
        <f t="shared" si="59"/>
        <v>-8.9986292564075221</v>
      </c>
      <c r="AS183">
        <f t="shared" si="60"/>
        <v>-0.15707165793555272</v>
      </c>
    </row>
    <row r="184" spans="1:45" x14ac:dyDescent="0.25">
      <c r="A184" s="15">
        <f t="shared" ca="1" si="61"/>
        <v>0</v>
      </c>
      <c r="B184">
        <f t="shared" ca="1" si="62"/>
        <v>0</v>
      </c>
      <c r="M184" s="7"/>
      <c r="N184" s="7"/>
      <c r="O184" s="7"/>
      <c r="Q184" s="7"/>
      <c r="R184" s="7"/>
      <c r="S184" s="7"/>
      <c r="T184" s="7"/>
      <c r="U184" s="7"/>
      <c r="Y184" s="10"/>
      <c r="Z184" s="10"/>
      <c r="AA184" s="10"/>
      <c r="AB184" s="7"/>
      <c r="AC184" s="7"/>
      <c r="AD184" s="7"/>
      <c r="AE184" s="10"/>
      <c r="AF184" s="10"/>
      <c r="AG184" s="10"/>
      <c r="AJ184">
        <v>3.1764992386296687</v>
      </c>
      <c r="AK184">
        <v>-149.51717365343097</v>
      </c>
      <c r="AL184">
        <v>-5.0034391676459586</v>
      </c>
      <c r="AM184">
        <v>-230.02642100527842</v>
      </c>
      <c r="AN184">
        <v>-7.6975987194553204</v>
      </c>
      <c r="AQ184">
        <v>182</v>
      </c>
      <c r="AR184">
        <f t="shared" si="59"/>
        <v>-8.994517443171862</v>
      </c>
      <c r="AS184">
        <f t="shared" si="60"/>
        <v>-0.31409547032250812</v>
      </c>
    </row>
    <row r="185" spans="1:45" x14ac:dyDescent="0.25">
      <c r="A185" s="15">
        <f t="shared" ca="1" si="61"/>
        <v>0</v>
      </c>
      <c r="B185">
        <f t="shared" ca="1" si="62"/>
        <v>0</v>
      </c>
      <c r="M185" s="7"/>
      <c r="N185" s="7"/>
      <c r="O185" s="7"/>
      <c r="Q185" s="7"/>
      <c r="R185" s="7"/>
      <c r="S185" s="7"/>
      <c r="T185" s="7"/>
      <c r="U185" s="7"/>
      <c r="Y185" s="10"/>
      <c r="Z185" s="10"/>
      <c r="AA185" s="10"/>
      <c r="AB185" s="7"/>
      <c r="AC185" s="7"/>
      <c r="AD185" s="7"/>
      <c r="AE185" s="10"/>
      <c r="AF185" s="10"/>
      <c r="AG185" s="10"/>
      <c r="AJ185">
        <v>3.1939525311496118</v>
      </c>
      <c r="AK185">
        <v>-149.38896047809973</v>
      </c>
      <c r="AL185">
        <v>-7.589141663005984</v>
      </c>
      <c r="AM185">
        <v>-229.82916996630726</v>
      </c>
      <c r="AN185">
        <v>-11.675602558470745</v>
      </c>
      <c r="AQ185">
        <v>183</v>
      </c>
      <c r="AR185">
        <f t="shared" si="59"/>
        <v>-8.9876658127911639</v>
      </c>
      <c r="AS185">
        <f t="shared" si="60"/>
        <v>-0.47102360618649203</v>
      </c>
    </row>
    <row r="186" spans="1:45" x14ac:dyDescent="0.25">
      <c r="A186" s="15">
        <f t="shared" ca="1" si="61"/>
        <v>0</v>
      </c>
      <c r="B186">
        <f t="shared" ca="1" si="62"/>
        <v>0</v>
      </c>
      <c r="M186" s="7"/>
      <c r="N186" s="7"/>
      <c r="O186" s="7"/>
      <c r="Q186" s="7"/>
      <c r="R186" s="7"/>
      <c r="S186" s="7"/>
      <c r="T186" s="7"/>
      <c r="U186" s="7"/>
      <c r="Y186" s="10"/>
      <c r="Z186" s="10"/>
      <c r="AA186" s="10"/>
      <c r="AB186" s="7"/>
      <c r="AC186" s="7"/>
      <c r="AD186" s="7"/>
      <c r="AE186" s="10"/>
      <c r="AF186" s="10"/>
      <c r="AG186" s="10"/>
      <c r="AJ186">
        <v>3.2114058236695548</v>
      </c>
      <c r="AK186">
        <v>-149.22018382650529</v>
      </c>
      <c r="AL186">
        <v>-10.171446645147196</v>
      </c>
      <c r="AM186">
        <v>-229.5695135792389</v>
      </c>
      <c r="AN186">
        <v>-15.648379454072607</v>
      </c>
      <c r="AQ186">
        <v>184</v>
      </c>
      <c r="AR186">
        <f t="shared" si="59"/>
        <v>-8.9780764523384171</v>
      </c>
      <c r="AS186">
        <f t="shared" si="60"/>
        <v>-0.6278082636971275</v>
      </c>
    </row>
    <row r="187" spans="1:45" x14ac:dyDescent="0.25">
      <c r="A187" s="15">
        <f t="shared" ca="1" si="61"/>
        <v>0</v>
      </c>
      <c r="B187">
        <f t="shared" ca="1" si="62"/>
        <v>0</v>
      </c>
      <c r="M187" s="7"/>
      <c r="N187" s="7"/>
      <c r="O187" s="7"/>
      <c r="Q187" s="7"/>
      <c r="R187" s="7"/>
      <c r="S187" s="7"/>
      <c r="T187" s="7"/>
      <c r="U187" s="7"/>
      <c r="Y187" s="10"/>
      <c r="Z187" s="10"/>
      <c r="AA187" s="10"/>
      <c r="AB187" s="7"/>
      <c r="AC187" s="7"/>
      <c r="AD187" s="7"/>
      <c r="AE187" s="10"/>
      <c r="AF187" s="10"/>
      <c r="AG187" s="10"/>
      <c r="AJ187">
        <v>3.2288591161894979</v>
      </c>
      <c r="AK187">
        <v>-149.01093723437526</v>
      </c>
      <c r="AL187">
        <v>-12.750011771268419</v>
      </c>
      <c r="AM187">
        <v>-229.24759574519271</v>
      </c>
      <c r="AN187">
        <v>-19.615402725028336</v>
      </c>
      <c r="AQ187">
        <v>185</v>
      </c>
      <c r="AR187">
        <f t="shared" si="59"/>
        <v>-8.9657522828257097</v>
      </c>
      <c r="AS187">
        <f t="shared" si="60"/>
        <v>-0.78440168472892147</v>
      </c>
    </row>
    <row r="188" spans="1:45" x14ac:dyDescent="0.25">
      <c r="A188" s="15">
        <f t="shared" ca="1" si="61"/>
        <v>0</v>
      </c>
      <c r="B188">
        <f t="shared" ca="1" si="62"/>
        <v>0</v>
      </c>
      <c r="M188" s="7"/>
      <c r="N188" s="7"/>
      <c r="O188" s="7"/>
      <c r="Q188" s="7"/>
      <c r="R188" s="7"/>
      <c r="S188" s="7"/>
      <c r="T188" s="7"/>
      <c r="U188" s="7"/>
      <c r="Y188" s="10"/>
      <c r="Z188" s="10"/>
      <c r="AA188" s="10"/>
      <c r="AB188" s="7"/>
      <c r="AC188" s="7"/>
      <c r="AD188" s="7"/>
      <c r="AE188" s="10"/>
      <c r="AF188" s="10"/>
      <c r="AG188" s="10"/>
      <c r="AJ188">
        <v>3.246312408709441</v>
      </c>
      <c r="AK188">
        <v>-148.76129622778279</v>
      </c>
      <c r="AL188">
        <v>-15.324496876032009</v>
      </c>
      <c r="AM188">
        <v>-228.86353265812735</v>
      </c>
      <c r="AN188">
        <v>-23.576149040049245</v>
      </c>
      <c r="AQ188">
        <v>186</v>
      </c>
      <c r="AR188">
        <f t="shared" si="59"/>
        <v>-8.9506970583144589</v>
      </c>
      <c r="AS188">
        <f t="shared" si="60"/>
        <v>-0.94075616940888152</v>
      </c>
    </row>
    <row r="189" spans="1:45" x14ac:dyDescent="0.25">
      <c r="A189" s="15">
        <f t="shared" ca="1" si="61"/>
        <v>0</v>
      </c>
      <c r="B189">
        <f t="shared" ca="1" si="62"/>
        <v>0</v>
      </c>
      <c r="M189" s="7"/>
      <c r="N189" s="7"/>
      <c r="O189" s="7"/>
      <c r="Q189" s="7"/>
      <c r="R189" s="7"/>
      <c r="S189" s="7"/>
      <c r="T189" s="7"/>
      <c r="U189" s="7"/>
      <c r="Y189" s="10"/>
      <c r="Z189" s="10"/>
      <c r="AA189" s="10"/>
      <c r="AB189" s="7"/>
      <c r="AC189" s="7"/>
      <c r="AD189" s="7"/>
      <c r="AE189" s="10"/>
      <c r="AF189" s="10"/>
      <c r="AG189" s="10"/>
      <c r="AJ189">
        <v>3.2637657012293841</v>
      </c>
      <c r="AK189">
        <v>-148.47131832729906</v>
      </c>
      <c r="AL189">
        <v>-17.894562215885589</v>
      </c>
      <c r="AM189">
        <v>-228.41741281122933</v>
      </c>
      <c r="AN189">
        <v>-27.530095716747059</v>
      </c>
      <c r="AQ189">
        <v>187</v>
      </c>
      <c r="AR189">
        <f t="shared" si="59"/>
        <v>-8.9329153647718993</v>
      </c>
      <c r="AS189">
        <f t="shared" si="60"/>
        <v>-1.0968240906463258</v>
      </c>
    </row>
    <row r="190" spans="1:45" x14ac:dyDescent="0.25">
      <c r="A190" s="15">
        <f t="shared" ca="1" si="61"/>
        <v>0</v>
      </c>
      <c r="B190">
        <f t="shared" ca="1" si="62"/>
        <v>0</v>
      </c>
      <c r="M190" s="7"/>
      <c r="N190" s="7"/>
      <c r="O190" s="7"/>
      <c r="Q190" s="7"/>
      <c r="R190" s="7"/>
      <c r="S190" s="7"/>
      <c r="T190" s="7"/>
      <c r="U190" s="7"/>
      <c r="Y190" s="10"/>
      <c r="Z190" s="10"/>
      <c r="AA190" s="10"/>
      <c r="AB190" s="7"/>
      <c r="AC190" s="7"/>
      <c r="AD190" s="7"/>
      <c r="AE190" s="10"/>
      <c r="AF190" s="10"/>
      <c r="AG190" s="10"/>
      <c r="AJ190">
        <v>3.2812189937493272</v>
      </c>
      <c r="AK190">
        <v>-148.14104316583854</v>
      </c>
      <c r="AL190">
        <v>-20.459866719954281</v>
      </c>
      <c r="AM190">
        <v>-227.90929717821314</v>
      </c>
      <c r="AN190">
        <v>-31.476718030698894</v>
      </c>
      <c r="AQ190">
        <v>188</v>
      </c>
      <c r="AR190">
        <f t="shared" si="59"/>
        <v>-8.9124126186741321</v>
      </c>
      <c r="AS190">
        <f t="shared" si="60"/>
        <v>-1.2525579086405898</v>
      </c>
    </row>
    <row r="191" spans="1:45" x14ac:dyDescent="0.25">
      <c r="A191" s="15">
        <f t="shared" ca="1" si="61"/>
        <v>0</v>
      </c>
      <c r="B191">
        <f t="shared" ca="1" si="62"/>
        <v>0</v>
      </c>
      <c r="M191" s="7"/>
      <c r="N191" s="7"/>
      <c r="O191" s="7"/>
      <c r="Q191" s="7"/>
      <c r="R191" s="7"/>
      <c r="S191" s="7"/>
      <c r="T191" s="7"/>
      <c r="U191" s="7"/>
      <c r="Y191" s="10"/>
      <c r="Z191" s="10"/>
      <c r="AA191" s="10"/>
      <c r="AB191" s="7"/>
      <c r="AC191" s="7"/>
      <c r="AD191" s="7"/>
      <c r="AE191" s="10"/>
      <c r="AF191" s="10"/>
      <c r="AG191" s="10"/>
      <c r="AJ191">
        <v>3.2986722862692703</v>
      </c>
      <c r="AK191">
        <v>-147.77049271948016</v>
      </c>
      <c r="AL191">
        <v>-23.020066254161566</v>
      </c>
      <c r="AM191">
        <v>-227.33921956843102</v>
      </c>
      <c r="AN191">
        <v>-35.415486544863946</v>
      </c>
      <c r="AQ191">
        <v>189</v>
      </c>
      <c r="AR191">
        <f t="shared" si="59"/>
        <v>-8.8891950653562404</v>
      </c>
      <c r="AS191">
        <f t="shared" si="60"/>
        <v>-1.4079101853620766</v>
      </c>
    </row>
    <row r="192" spans="1:45" x14ac:dyDescent="0.25">
      <c r="A192" s="15">
        <f t="shared" ca="1" si="61"/>
        <v>0</v>
      </c>
      <c r="B192">
        <f t="shared" ca="1" si="62"/>
        <v>0</v>
      </c>
      <c r="M192" s="7"/>
      <c r="N192" s="7"/>
      <c r="O192" s="7"/>
      <c r="Q192" s="7"/>
      <c r="R192" s="7"/>
      <c r="S192" s="7"/>
      <c r="T192" s="7"/>
      <c r="U192" s="7"/>
      <c r="Y192" s="10"/>
      <c r="Z192" s="10"/>
      <c r="AA192" s="10"/>
      <c r="AB192" s="7"/>
      <c r="AC192" s="7"/>
      <c r="AD192" s="7"/>
      <c r="AE192" s="10"/>
      <c r="AF192" s="10"/>
      <c r="AG192" s="10"/>
      <c r="AJ192">
        <v>3.3161255787892134</v>
      </c>
      <c r="AK192">
        <v>-147.38705984219399</v>
      </c>
      <c r="AL192">
        <v>-25.988315257470013</v>
      </c>
      <c r="AM192">
        <v>-226.74932283414461</v>
      </c>
      <c r="AN192">
        <v>-39.982023473030786</v>
      </c>
      <c r="AQ192">
        <v>190</v>
      </c>
      <c r="AR192">
        <f t="shared" si="59"/>
        <v>-8.8632697771098723</v>
      </c>
      <c r="AS192">
        <f t="shared" si="60"/>
        <v>-1.5628335990023743</v>
      </c>
    </row>
    <row r="193" spans="1:45" x14ac:dyDescent="0.25">
      <c r="A193" s="15">
        <f t="shared" ca="1" si="61"/>
        <v>0</v>
      </c>
      <c r="B193">
        <f t="shared" ca="1" si="62"/>
        <v>0</v>
      </c>
      <c r="M193" s="7"/>
      <c r="N193" s="7"/>
      <c r="O193" s="7"/>
      <c r="Q193" s="7"/>
      <c r="R193" s="7"/>
      <c r="S193" s="7"/>
      <c r="T193" s="7"/>
      <c r="U193" s="7"/>
      <c r="Y193" s="10"/>
      <c r="Z193" s="10"/>
      <c r="AA193" s="10"/>
      <c r="AB193" s="7"/>
      <c r="AC193" s="7"/>
      <c r="AD193" s="7"/>
      <c r="AE193" s="10"/>
      <c r="AF193" s="10"/>
      <c r="AG193" s="10"/>
      <c r="AJ193">
        <v>3.3335788713091565</v>
      </c>
      <c r="AK193">
        <v>-146.73216793800879</v>
      </c>
      <c r="AL193">
        <v>-28.90869871017928</v>
      </c>
      <c r="AM193">
        <v>-225.74179682770583</v>
      </c>
      <c r="AN193">
        <v>-44.474921092583507</v>
      </c>
      <c r="AQ193">
        <v>191</v>
      </c>
      <c r="AR193">
        <f t="shared" si="59"/>
        <v>-8.8346446510289756</v>
      </c>
      <c r="AS193">
        <f t="shared" si="60"/>
        <v>-1.7172809583889026</v>
      </c>
    </row>
    <row r="194" spans="1:45" x14ac:dyDescent="0.25">
      <c r="A194" s="15">
        <f t="shared" ca="1" si="61"/>
        <v>0</v>
      </c>
      <c r="B194">
        <f t="shared" ca="1" si="62"/>
        <v>0</v>
      </c>
      <c r="M194" s="7"/>
      <c r="N194" s="7"/>
      <c r="O194" s="7"/>
      <c r="Q194" s="7"/>
      <c r="R194" s="7"/>
      <c r="S194" s="7"/>
      <c r="T194" s="7"/>
      <c r="U194" s="7"/>
      <c r="Y194" s="10"/>
      <c r="Z194" s="10"/>
      <c r="AA194" s="10"/>
      <c r="AB194" s="7"/>
      <c r="AC194" s="7"/>
      <c r="AD194" s="7"/>
      <c r="AE194" s="10"/>
      <c r="AF194" s="10"/>
      <c r="AG194" s="10"/>
      <c r="AJ194">
        <v>3.3510321638290996</v>
      </c>
      <c r="AK194">
        <v>-146.20473164644878</v>
      </c>
      <c r="AL194">
        <v>-31.441235036986249</v>
      </c>
      <c r="AM194">
        <v>-224.93035637915196</v>
      </c>
      <c r="AN194">
        <v>-48.371130826132692</v>
      </c>
      <c r="AQ194">
        <v>192</v>
      </c>
      <c r="AR194">
        <f t="shared" si="59"/>
        <v>-8.8033284066042494</v>
      </c>
      <c r="AS194">
        <f t="shared" si="60"/>
        <v>-1.8712052173598357</v>
      </c>
    </row>
    <row r="195" spans="1:45" x14ac:dyDescent="0.25">
      <c r="A195" s="15">
        <f t="shared" ca="1" si="61"/>
        <v>0</v>
      </c>
      <c r="B195">
        <f t="shared" ca="1" si="62"/>
        <v>0</v>
      </c>
      <c r="M195" s="7"/>
      <c r="N195" s="7"/>
      <c r="O195" s="7"/>
      <c r="Q195" s="7"/>
      <c r="R195" s="7"/>
      <c r="S195" s="7"/>
      <c r="T195" s="7"/>
      <c r="U195" s="7"/>
      <c r="Y195" s="10"/>
      <c r="Z195" s="10"/>
      <c r="AA195" s="10"/>
      <c r="AB195" s="7"/>
      <c r="AC195" s="7"/>
      <c r="AD195" s="7"/>
      <c r="AE195" s="10"/>
      <c r="AF195" s="10"/>
      <c r="AG195" s="10"/>
      <c r="AJ195">
        <v>3.3684854563490427</v>
      </c>
      <c r="AK195">
        <v>-145.63770296434666</v>
      </c>
      <c r="AL195">
        <v>-33.964793507588126</v>
      </c>
      <c r="AM195">
        <v>-224.05800456053331</v>
      </c>
      <c r="AN195">
        <v>-52.253528473212498</v>
      </c>
      <c r="AQ195">
        <v>193</v>
      </c>
      <c r="AR195">
        <f t="shared" ref="AR195:AR258" si="63">$B$3*COS(RADIANS(AQ195))</f>
        <v>-8.7693305830671164</v>
      </c>
      <c r="AS195">
        <f t="shared" ref="AS195:AS258" si="64">$B$3*SIN(RADIANS(AQ195))</f>
        <v>-2.0245594890947847</v>
      </c>
    </row>
    <row r="196" spans="1:45" x14ac:dyDescent="0.25">
      <c r="A196" s="15">
        <f t="shared" ca="1" si="61"/>
        <v>0</v>
      </c>
      <c r="B196">
        <f t="shared" ca="1" si="62"/>
        <v>0</v>
      </c>
      <c r="M196" s="7"/>
      <c r="N196" s="7"/>
      <c r="O196" s="7"/>
      <c r="Q196" s="7"/>
      <c r="R196" s="7"/>
      <c r="S196" s="7"/>
      <c r="T196" s="7"/>
      <c r="U196" s="7"/>
      <c r="Y196" s="10"/>
      <c r="Z196" s="10"/>
      <c r="AA196" s="10"/>
      <c r="AB196" s="7"/>
      <c r="AC196" s="7"/>
      <c r="AD196" s="7"/>
      <c r="AE196" s="10"/>
      <c r="AF196" s="10"/>
      <c r="AG196" s="10"/>
      <c r="AJ196">
        <v>3.3859387488689858</v>
      </c>
      <c r="AK196">
        <v>-145.03117894172925</v>
      </c>
      <c r="AL196">
        <v>-36.479043225470903</v>
      </c>
      <c r="AM196">
        <v>-223.12489067958344</v>
      </c>
      <c r="AN196">
        <v>-56.121604962262928</v>
      </c>
      <c r="AQ196">
        <v>194</v>
      </c>
      <c r="AR196">
        <f t="shared" si="63"/>
        <v>-8.7326615364839686</v>
      </c>
      <c r="AS196">
        <f t="shared" si="64"/>
        <v>-2.1772970603970077</v>
      </c>
    </row>
    <row r="197" spans="1:45" x14ac:dyDescent="0.25">
      <c r="A197" s="15">
        <f t="shared" ca="1" si="61"/>
        <v>0</v>
      </c>
      <c r="B197">
        <f t="shared" ca="1" si="62"/>
        <v>0</v>
      </c>
      <c r="M197" s="7"/>
      <c r="N197" s="7"/>
      <c r="O197" s="7"/>
      <c r="Q197" s="7"/>
      <c r="R197" s="7"/>
      <c r="S197" s="7"/>
      <c r="T197" s="7"/>
      <c r="U197" s="7"/>
      <c r="Y197" s="10"/>
      <c r="Z197" s="10"/>
      <c r="AA197" s="10"/>
      <c r="AB197" s="7"/>
      <c r="AC197" s="7"/>
      <c r="AD197" s="7"/>
      <c r="AE197" s="10"/>
      <c r="AF197" s="10"/>
      <c r="AG197" s="10"/>
      <c r="AJ197">
        <v>3.4033920413889289</v>
      </c>
      <c r="AK197">
        <v>-144.38523898894874</v>
      </c>
      <c r="AL197">
        <v>-38.983650133595205</v>
      </c>
      <c r="AM197">
        <v>-222.13113690607497</v>
      </c>
      <c r="AN197">
        <v>-59.974846359377239</v>
      </c>
      <c r="AQ197">
        <v>195</v>
      </c>
      <c r="AR197">
        <f t="shared" si="63"/>
        <v>-8.6933324366016151</v>
      </c>
      <c r="AS197">
        <f t="shared" si="64"/>
        <v>-2.3293714059226871</v>
      </c>
    </row>
    <row r="198" spans="1:45" x14ac:dyDescent="0.25">
      <c r="A198" s="15">
        <f t="shared" ca="1" si="61"/>
        <v>0</v>
      </c>
      <c r="B198">
        <f t="shared" ca="1" si="62"/>
        <v>0</v>
      </c>
      <c r="M198" s="7"/>
      <c r="N198" s="7"/>
      <c r="O198" s="7"/>
      <c r="Q198" s="7"/>
      <c r="R198" s="7"/>
      <c r="S198" s="7"/>
      <c r="T198" s="7"/>
      <c r="U198" s="7"/>
      <c r="Y198" s="10"/>
      <c r="Z198" s="10"/>
      <c r="AA198" s="10"/>
      <c r="AB198" s="7"/>
      <c r="AC198" s="7"/>
      <c r="AD198" s="7"/>
      <c r="AE198" s="10"/>
      <c r="AF198" s="10"/>
      <c r="AG198" s="10"/>
      <c r="AJ198">
        <v>3.420845333908872</v>
      </c>
      <c r="AK198">
        <v>-143.6999452534875</v>
      </c>
      <c r="AL198">
        <v>-41.478275304257956</v>
      </c>
      <c r="AM198">
        <v>-221.07683885151923</v>
      </c>
      <c r="AN198">
        <v>-63.81273123731993</v>
      </c>
      <c r="AQ198">
        <v>196</v>
      </c>
      <c r="AR198">
        <f t="shared" si="63"/>
        <v>-8.65135526344487</v>
      </c>
      <c r="AS198">
        <f t="shared" si="64"/>
        <v>-2.4807362023529911</v>
      </c>
    </row>
    <row r="199" spans="1:45" x14ac:dyDescent="0.25">
      <c r="A199" s="15">
        <f t="shared" ca="1" si="61"/>
        <v>0</v>
      </c>
      <c r="B199">
        <f t="shared" ca="1" si="62"/>
        <v>0</v>
      </c>
      <c r="M199" s="7"/>
      <c r="N199" s="7"/>
      <c r="O199" s="7"/>
      <c r="Q199" s="7"/>
      <c r="R199" s="7"/>
      <c r="S199" s="7"/>
      <c r="T199" s="7"/>
      <c r="U199" s="7"/>
      <c r="Y199" s="10"/>
      <c r="Z199" s="10"/>
      <c r="AA199" s="10"/>
      <c r="AB199" s="7"/>
      <c r="AC199" s="7"/>
      <c r="AD199" s="7"/>
      <c r="AE199" s="10"/>
      <c r="AF199" s="10"/>
      <c r="AG199" s="10"/>
      <c r="AJ199">
        <v>3.4382986264288151</v>
      </c>
      <c r="AK199">
        <v>-142.97534310744922</v>
      </c>
      <c r="AL199">
        <v>-43.962573255163115</v>
      </c>
      <c r="AM199">
        <v>-219.96206631915263</v>
      </c>
      <c r="AN199">
        <v>-67.634728084866325</v>
      </c>
      <c r="AQ199">
        <v>197</v>
      </c>
      <c r="AR199">
        <f t="shared" si="63"/>
        <v>-8.6067428036673181</v>
      </c>
      <c r="AS199">
        <f t="shared" si="64"/>
        <v>-2.6313453425046309</v>
      </c>
    </row>
    <row r="200" spans="1:45" x14ac:dyDescent="0.25">
      <c r="A200" s="15">
        <f t="shared" ca="1" si="61"/>
        <v>0</v>
      </c>
      <c r="B200">
        <f t="shared" ca="1" si="62"/>
        <v>0</v>
      </c>
      <c r="M200" s="7"/>
      <c r="N200" s="7"/>
      <c r="O200" s="7"/>
      <c r="Q200" s="7"/>
      <c r="R200" s="7"/>
      <c r="S200" s="7"/>
      <c r="T200" s="7"/>
      <c r="U200" s="7"/>
      <c r="Y200" s="10"/>
      <c r="Z200" s="10"/>
      <c r="AA200" s="10"/>
      <c r="AB200" s="7"/>
      <c r="AC200" s="7"/>
      <c r="AD200" s="7"/>
      <c r="AE200" s="10"/>
      <c r="AF200" s="10"/>
      <c r="AG200" s="10"/>
      <c r="AJ200">
        <v>3.4557519189487582</v>
      </c>
      <c r="AK200">
        <v>-142.21146174413497</v>
      </c>
      <c r="AL200">
        <v>-46.436190298203677</v>
      </c>
      <c r="AM200">
        <v>-218.7868642217461</v>
      </c>
      <c r="AN200">
        <v>-71.440292766467195</v>
      </c>
      <c r="AQ200">
        <v>198</v>
      </c>
      <c r="AR200">
        <f t="shared" si="63"/>
        <v>-8.5595086466563828</v>
      </c>
      <c r="AS200">
        <f t="shared" si="64"/>
        <v>-2.7811529493745257</v>
      </c>
    </row>
    <row r="201" spans="1:45" x14ac:dyDescent="0.25">
      <c r="A201" s="15">
        <f t="shared" ca="1" si="61"/>
        <v>0</v>
      </c>
      <c r="B201">
        <f t="shared" ca="1" si="62"/>
        <v>0</v>
      </c>
      <c r="M201" s="7"/>
      <c r="N201" s="7"/>
      <c r="O201" s="7"/>
      <c r="Q201" s="7"/>
      <c r="R201" s="7"/>
      <c r="S201" s="7"/>
      <c r="T201" s="7"/>
      <c r="U201" s="7"/>
      <c r="Y201" s="10"/>
      <c r="Z201" s="10"/>
      <c r="AA201" s="10"/>
      <c r="AB201" s="7"/>
      <c r="AC201" s="7"/>
      <c r="AD201" s="7"/>
      <c r="AE201" s="10"/>
      <c r="AF201" s="10"/>
      <c r="AG201" s="10"/>
      <c r="AJ201">
        <v>3.4732052114687013</v>
      </c>
      <c r="AK201">
        <v>-141.40831488172955</v>
      </c>
      <c r="AL201">
        <v>-48.898762927363819</v>
      </c>
      <c r="AM201">
        <v>-217.55125366419929</v>
      </c>
      <c r="AN201">
        <v>-75.228866042098176</v>
      </c>
      <c r="AQ201">
        <v>199</v>
      </c>
      <c r="AR201">
        <f t="shared" si="63"/>
        <v>-8.5096671803938513</v>
      </c>
      <c r="AS201">
        <f t="shared" si="64"/>
        <v>-2.930113390114411</v>
      </c>
    </row>
    <row r="202" spans="1:45" x14ac:dyDescent="0.25">
      <c r="A202" s="15">
        <f t="shared" ca="1" si="61"/>
        <v>0</v>
      </c>
      <c r="B202">
        <f t="shared" ca="1" si="62"/>
        <v>0</v>
      </c>
      <c r="M202" s="7"/>
      <c r="N202" s="7"/>
      <c r="O202" s="7"/>
      <c r="Q202" s="7"/>
      <c r="R202" s="7"/>
      <c r="S202" s="7"/>
      <c r="T202" s="7"/>
      <c r="U202" s="7"/>
      <c r="Y202" s="10"/>
      <c r="Z202" s="10"/>
      <c r="AA202" s="10"/>
      <c r="AB202" s="7"/>
      <c r="AC202" s="7"/>
      <c r="AD202" s="7"/>
      <c r="AE202" s="10"/>
      <c r="AF202" s="10"/>
      <c r="AG202" s="10"/>
      <c r="AJ202">
        <v>3.4906585039886444</v>
      </c>
      <c r="AK202">
        <v>-140.56590157176402</v>
      </c>
      <c r="AL202">
        <v>-51.349916252037339</v>
      </c>
      <c r="AM202">
        <v>-216.25523318732925</v>
      </c>
      <c r="AN202">
        <v>-78.999871156980518</v>
      </c>
      <c r="AQ202">
        <v>200</v>
      </c>
      <c r="AR202">
        <f t="shared" si="63"/>
        <v>-8.4572335870731763</v>
      </c>
      <c r="AS202">
        <f t="shared" si="64"/>
        <v>-3.0781812899310177</v>
      </c>
    </row>
    <row r="203" spans="1:45" x14ac:dyDescent="0.25">
      <c r="A203" s="15">
        <f t="shared" ca="1" si="61"/>
        <v>0</v>
      </c>
      <c r="B203">
        <f t="shared" ca="1" si="62"/>
        <v>0</v>
      </c>
      <c r="M203" s="7"/>
      <c r="N203" s="7"/>
      <c r="O203" s="7"/>
      <c r="Q203" s="7"/>
      <c r="R203" s="7"/>
      <c r="S203" s="7"/>
      <c r="T203" s="7"/>
      <c r="U203" s="7"/>
      <c r="Y203" s="10"/>
      <c r="Z203" s="10"/>
      <c r="AA203" s="10"/>
      <c r="AB203" s="7"/>
      <c r="AC203" s="7"/>
      <c r="AD203" s="7"/>
      <c r="AE203" s="10"/>
      <c r="AF203" s="10"/>
      <c r="AG203" s="10"/>
      <c r="AJ203">
        <v>3.5081117965085875</v>
      </c>
      <c r="AK203">
        <v>-139.68420710972882</v>
      </c>
      <c r="AL203">
        <v>-53.789262481952541</v>
      </c>
      <c r="AM203">
        <v>-214.89878016881354</v>
      </c>
      <c r="AN203">
        <v>-82.752711510696216</v>
      </c>
      <c r="AQ203">
        <v>201</v>
      </c>
      <c r="AR203">
        <f t="shared" si="63"/>
        <v>-8.402223838474816</v>
      </c>
      <c r="AS203">
        <f t="shared" si="64"/>
        <v>-3.225311545907704</v>
      </c>
    </row>
    <row r="204" spans="1:45" x14ac:dyDescent="0.25">
      <c r="A204" s="15">
        <f t="shared" ca="1" si="61"/>
        <v>0</v>
      </c>
      <c r="B204">
        <f t="shared" ca="1" si="62"/>
        <v>0</v>
      </c>
      <c r="M204" s="7"/>
      <c r="N204" s="7"/>
      <c r="O204" s="7"/>
      <c r="Q204" s="7"/>
      <c r="R204" s="7"/>
      <c r="S204" s="7"/>
      <c r="T204" s="7"/>
      <c r="U204" s="7"/>
      <c r="Y204" s="10"/>
      <c r="Z204" s="10"/>
      <c r="AA204" s="10"/>
      <c r="AB204" s="7"/>
      <c r="AC204" s="7"/>
      <c r="AD204" s="7"/>
      <c r="AE204" s="10"/>
      <c r="AF204" s="10"/>
      <c r="AG204" s="10"/>
      <c r="AJ204">
        <v>3.5255650890285306</v>
      </c>
      <c r="AK204">
        <v>-138.7632040443722</v>
      </c>
      <c r="AL204">
        <v>-56.216399469544321</v>
      </c>
      <c r="AM204">
        <v>-213.48185237595723</v>
      </c>
      <c r="AN204">
        <v>-86.486768414683567</v>
      </c>
      <c r="AQ204">
        <v>202</v>
      </c>
      <c r="AR204">
        <f t="shared" si="63"/>
        <v>-8.3446546911010877</v>
      </c>
      <c r="AS204">
        <f t="shared" si="64"/>
        <v>-3.3714593407432081</v>
      </c>
    </row>
    <row r="205" spans="1:45" x14ac:dyDescent="0.25">
      <c r="A205" s="15">
        <f t="shared" ca="1" si="61"/>
        <v>0</v>
      </c>
      <c r="B205">
        <f t="shared" ca="1" si="62"/>
        <v>0</v>
      </c>
      <c r="M205" s="7"/>
      <c r="N205" s="7"/>
      <c r="O205" s="7"/>
      <c r="Q205" s="7"/>
      <c r="R205" s="7"/>
      <c r="S205" s="7"/>
      <c r="T205" s="7"/>
      <c r="U205" s="7"/>
      <c r="Y205" s="10"/>
      <c r="Z205" s="10"/>
      <c r="AA205" s="10"/>
      <c r="AB205" s="7"/>
      <c r="AC205" s="7"/>
      <c r="AD205" s="7"/>
      <c r="AE205" s="10"/>
      <c r="AF205" s="10"/>
      <c r="AG205" s="10"/>
      <c r="AJ205">
        <v>3.5430183815484737</v>
      </c>
      <c r="AK205">
        <v>-137.8028532833502</v>
      </c>
      <c r="AL205">
        <v>-58.630909316022148</v>
      </c>
      <c r="AM205">
        <v>-212.00438966669262</v>
      </c>
      <c r="AN205">
        <v>-90.201398947726375</v>
      </c>
      <c r="AQ205">
        <v>203</v>
      </c>
      <c r="AR205">
        <f t="shared" si="63"/>
        <v>-8.2845436810719626</v>
      </c>
      <c r="AS205">
        <f t="shared" si="64"/>
        <v>-3.516580156403462</v>
      </c>
    </row>
    <row r="206" spans="1:45" x14ac:dyDescent="0.25">
      <c r="A206" s="15">
        <f t="shared" ca="1" si="61"/>
        <v>0</v>
      </c>
      <c r="B206">
        <f t="shared" ca="1" si="62"/>
        <v>0</v>
      </c>
      <c r="M206" s="7"/>
      <c r="N206" s="7"/>
      <c r="O206" s="7"/>
      <c r="Q206" s="7"/>
      <c r="R206" s="7"/>
      <c r="S206" s="7"/>
      <c r="T206" s="7"/>
      <c r="U206" s="7"/>
      <c r="Y206" s="10"/>
      <c r="Z206" s="10"/>
      <c r="AA206" s="10"/>
      <c r="AB206" s="7"/>
      <c r="AC206" s="7"/>
      <c r="AD206" s="7"/>
      <c r="AE206" s="10"/>
      <c r="AF206" s="10"/>
      <c r="AG206" s="10"/>
      <c r="AJ206">
        <v>3.5604716740684168</v>
      </c>
      <c r="AK206">
        <v>-136.80310588048394</v>
      </c>
      <c r="AL206">
        <v>-61.032357494888913</v>
      </c>
      <c r="AM206">
        <v>-210.46631673920606</v>
      </c>
      <c r="AN206">
        <v>-93.895934607521397</v>
      </c>
      <c r="AQ206">
        <v>204</v>
      </c>
      <c r="AR206">
        <f t="shared" si="63"/>
        <v>-8.2219091187834081</v>
      </c>
      <c r="AS206">
        <f t="shared" si="64"/>
        <v>-3.6606297876822018</v>
      </c>
    </row>
    <row r="207" spans="1:45" x14ac:dyDescent="0.25">
      <c r="A207" s="15">
        <f t="shared" ca="1" si="61"/>
        <v>0</v>
      </c>
      <c r="B207">
        <f t="shared" ca="1" si="62"/>
        <v>0</v>
      </c>
      <c r="M207" s="7"/>
      <c r="N207" s="7"/>
      <c r="O207" s="7"/>
      <c r="Q207" s="7"/>
      <c r="R207" s="7"/>
      <c r="S207" s="7"/>
      <c r="T207" s="7"/>
      <c r="U207" s="7"/>
      <c r="Y207" s="10"/>
      <c r="Z207" s="10"/>
      <c r="AA207" s="10"/>
      <c r="AB207" s="7"/>
      <c r="AC207" s="7"/>
      <c r="AD207" s="7"/>
      <c r="AE207" s="10"/>
      <c r="AF207" s="10"/>
      <c r="AG207" s="10"/>
      <c r="AJ207">
        <v>3.5779249665883599</v>
      </c>
      <c r="AK207">
        <v>-135.76391849902507</v>
      </c>
      <c r="AL207">
        <v>-63.420303326851354</v>
      </c>
      <c r="AM207">
        <v>-208.86756692157701</v>
      </c>
      <c r="AN207">
        <v>-97.569697425925156</v>
      </c>
      <c r="AQ207">
        <v>205</v>
      </c>
      <c r="AR207">
        <f t="shared" si="63"/>
        <v>-8.1567700833298495</v>
      </c>
      <c r="AS207">
        <f t="shared" si="64"/>
        <v>-3.8035643556662935</v>
      </c>
    </row>
    <row r="208" spans="1:45" x14ac:dyDescent="0.25">
      <c r="A208" s="15">
        <f t="shared" ca="1" si="61"/>
        <v>0</v>
      </c>
      <c r="B208">
        <f t="shared" ca="1" si="62"/>
        <v>0</v>
      </c>
      <c r="M208" s="7"/>
      <c r="N208" s="7"/>
      <c r="O208" s="7"/>
      <c r="Q208" s="7"/>
      <c r="R208" s="7"/>
      <c r="S208" s="7"/>
      <c r="T208" s="7"/>
      <c r="U208" s="7"/>
      <c r="Y208" s="10"/>
      <c r="Z208" s="10"/>
      <c r="AA208" s="10"/>
      <c r="AB208" s="7"/>
      <c r="AC208" s="7"/>
      <c r="AD208" s="7"/>
      <c r="AE208" s="10"/>
      <c r="AF208" s="10"/>
      <c r="AG208" s="10"/>
      <c r="AJ208">
        <v>3.595378259108303</v>
      </c>
      <c r="AK208">
        <v>-134.67634622428287</v>
      </c>
      <c r="AL208">
        <v>-65.786515762229996</v>
      </c>
      <c r="AM208">
        <v>-207.19437880658901</v>
      </c>
      <c r="AN208">
        <v>-101.21002424958461</v>
      </c>
      <c r="AQ208">
        <v>206</v>
      </c>
      <c r="AR208">
        <f t="shared" si="63"/>
        <v>-8.0891464166925022</v>
      </c>
      <c r="AS208">
        <f t="shared" si="64"/>
        <v>-3.9453403211016971</v>
      </c>
    </row>
    <row r="209" spans="1:45" x14ac:dyDescent="0.25">
      <c r="A209" s="15">
        <f t="shared" ca="1" si="61"/>
        <v>0</v>
      </c>
      <c r="B209">
        <f t="shared" ca="1" si="62"/>
        <v>0</v>
      </c>
      <c r="M209" s="7"/>
      <c r="N209" s="7"/>
      <c r="O209" s="7"/>
      <c r="Q209" s="7"/>
      <c r="R209" s="7"/>
      <c r="S209" s="7"/>
      <c r="T209" s="7"/>
      <c r="U209" s="7"/>
      <c r="Y209" s="10"/>
      <c r="Z209" s="10"/>
      <c r="AA209" s="10"/>
      <c r="AB209" s="7"/>
      <c r="AC209" s="7"/>
      <c r="AD209" s="7"/>
      <c r="AE209" s="10"/>
      <c r="AF209" s="10"/>
      <c r="AG209" s="10"/>
      <c r="AJ209">
        <v>3.6128315516282461</v>
      </c>
      <c r="AK209">
        <v>-133.51577100742071</v>
      </c>
      <c r="AL209">
        <v>-68.105858976117986</v>
      </c>
      <c r="AM209">
        <v>-205.40887847295494</v>
      </c>
      <c r="AN209">
        <v>-104.77824457864305</v>
      </c>
      <c r="AQ209">
        <v>207</v>
      </c>
      <c r="AR209">
        <f t="shared" si="63"/>
        <v>-8.0190587176953105</v>
      </c>
      <c r="AS209">
        <f t="shared" si="64"/>
        <v>-4.0859144976559199</v>
      </c>
    </row>
    <row r="210" spans="1:45" x14ac:dyDescent="0.25">
      <c r="A210" s="15">
        <f t="shared" ca="1" si="61"/>
        <v>0</v>
      </c>
      <c r="B210">
        <f t="shared" ca="1" si="62"/>
        <v>0</v>
      </c>
      <c r="M210" s="7"/>
      <c r="N210" s="7"/>
      <c r="O210" s="7"/>
      <c r="Q210" s="7"/>
      <c r="R210" s="7"/>
      <c r="S210" s="7"/>
      <c r="T210" s="7"/>
      <c r="U210" s="7"/>
      <c r="Y210" s="10"/>
      <c r="Z210" s="10"/>
      <c r="AA210" s="10"/>
      <c r="AB210" s="7"/>
      <c r="AC210" s="7"/>
      <c r="AD210" s="7"/>
      <c r="AE210" s="10"/>
      <c r="AF210" s="10"/>
      <c r="AG210" s="10"/>
      <c r="AJ210">
        <v>3.6302848441481892</v>
      </c>
      <c r="AK210">
        <v>-132.31591362932664</v>
      </c>
      <c r="AL210">
        <v>-70.404944780162609</v>
      </c>
      <c r="AM210">
        <v>-203.56294404511792</v>
      </c>
      <c r="AN210">
        <v>-108.31529966178863</v>
      </c>
      <c r="AQ210">
        <v>208</v>
      </c>
      <c r="AR210">
        <f t="shared" si="63"/>
        <v>-7.946528335730342</v>
      </c>
      <c r="AS210">
        <f t="shared" si="64"/>
        <v>-4.2252440650730181</v>
      </c>
    </row>
    <row r="211" spans="1:45" x14ac:dyDescent="0.25">
      <c r="A211" s="15">
        <f t="shared" ca="1" si="61"/>
        <v>0</v>
      </c>
      <c r="B211">
        <f t="shared" ca="1" si="62"/>
        <v>0</v>
      </c>
      <c r="M211" s="7"/>
      <c r="N211" s="7"/>
      <c r="O211" s="7"/>
      <c r="Q211" s="7"/>
      <c r="R211" s="7"/>
      <c r="S211" s="7"/>
      <c r="T211" s="7"/>
      <c r="U211" s="7"/>
      <c r="Y211" s="10"/>
      <c r="Z211" s="10"/>
      <c r="AA211" s="10"/>
      <c r="AB211" s="7"/>
      <c r="AC211" s="7"/>
      <c r="AD211" s="7"/>
      <c r="AE211" s="10"/>
      <c r="AF211" s="10"/>
      <c r="AG211" s="10"/>
      <c r="AJ211">
        <v>3.6477381366681323</v>
      </c>
      <c r="AK211">
        <v>-131.0771075512036</v>
      </c>
      <c r="AL211">
        <v>-72.683157982806321</v>
      </c>
      <c r="AM211">
        <v>-201.65708854031323</v>
      </c>
      <c r="AN211">
        <v>-111.82024305047126</v>
      </c>
      <c r="AQ211">
        <v>209</v>
      </c>
      <c r="AR211">
        <f t="shared" si="63"/>
        <v>-7.8715773642545628</v>
      </c>
      <c r="AS211">
        <f t="shared" si="64"/>
        <v>-4.3632865822170324</v>
      </c>
    </row>
    <row r="212" spans="1:45" x14ac:dyDescent="0.25">
      <c r="A212" s="15">
        <f t="shared" ca="1" si="61"/>
        <v>0</v>
      </c>
      <c r="B212">
        <f t="shared" ca="1" si="62"/>
        <v>0</v>
      </c>
      <c r="M212" s="7"/>
      <c r="N212" s="7"/>
      <c r="O212" s="7"/>
      <c r="Q212" s="7"/>
      <c r="R212" s="7"/>
      <c r="S212" s="7"/>
      <c r="T212" s="7"/>
      <c r="U212" s="7"/>
      <c r="Y212" s="10"/>
      <c r="Z212" s="10"/>
      <c r="AA212" s="10"/>
      <c r="AB212" s="7"/>
      <c r="AC212" s="7"/>
      <c r="AD212" s="7"/>
      <c r="AE212" s="10"/>
      <c r="AF212" s="10"/>
      <c r="AG212" s="10"/>
      <c r="AJ212">
        <v>3.6651914291880754</v>
      </c>
      <c r="AK212">
        <v>-129.79969259826532</v>
      </c>
      <c r="AL212">
        <v>-74.939887462336316</v>
      </c>
      <c r="AM212">
        <v>-199.69183476656204</v>
      </c>
      <c r="AN212">
        <v>-115.29213455744048</v>
      </c>
      <c r="AQ212">
        <v>210</v>
      </c>
      <c r="AR212">
        <f t="shared" si="63"/>
        <v>-7.7942286340599471</v>
      </c>
      <c r="AS212">
        <f t="shared" si="64"/>
        <v>-4.5000000000000009</v>
      </c>
    </row>
    <row r="213" spans="1:45" x14ac:dyDescent="0.25">
      <c r="A213" s="15">
        <f t="shared" ca="1" si="61"/>
        <v>0</v>
      </c>
      <c r="B213">
        <f t="shared" ca="1" si="62"/>
        <v>0</v>
      </c>
      <c r="M213" s="7"/>
      <c r="N213" s="7"/>
      <c r="O213" s="7"/>
      <c r="Q213" s="7"/>
      <c r="R213" s="7"/>
      <c r="S213" s="7"/>
      <c r="T213" s="7"/>
      <c r="U213" s="7"/>
      <c r="Y213" s="10"/>
      <c r="Z213" s="10"/>
      <c r="AA213" s="10"/>
      <c r="AB213" s="7"/>
      <c r="AC213" s="7"/>
      <c r="AD213" s="7"/>
      <c r="AE213" s="10"/>
      <c r="AF213" s="10"/>
      <c r="AG213" s="10"/>
      <c r="AJ213">
        <v>3.6826447217080185</v>
      </c>
      <c r="AK213">
        <v>-128.48401501599233</v>
      </c>
      <c r="AL213">
        <v>-77.174526002519968</v>
      </c>
      <c r="AM213">
        <v>-197.66771540921897</v>
      </c>
      <c r="AN213">
        <v>-118.73004000387687</v>
      </c>
      <c r="AQ213">
        <v>211</v>
      </c>
      <c r="AR213">
        <f t="shared" si="63"/>
        <v>-7.7145057063190112</v>
      </c>
      <c r="AS213">
        <f t="shared" si="64"/>
        <v>-4.6353426741904871</v>
      </c>
    </row>
    <row r="214" spans="1:45" x14ac:dyDescent="0.25">
      <c r="A214" s="15">
        <f t="shared" ca="1" si="61"/>
        <v>0</v>
      </c>
      <c r="B214">
        <f t="shared" ca="1" si="62"/>
        <v>0</v>
      </c>
      <c r="M214" s="7"/>
      <c r="N214" s="7"/>
      <c r="O214" s="7"/>
      <c r="Q214" s="7"/>
      <c r="R214" s="7"/>
      <c r="S214" s="7"/>
      <c r="T214" s="7"/>
      <c r="U214" s="7"/>
      <c r="Y214" s="10"/>
      <c r="Z214" s="10"/>
      <c r="AA214" s="10"/>
      <c r="AB214" s="7"/>
      <c r="AC214" s="7"/>
      <c r="AD214" s="7"/>
      <c r="AE214" s="10"/>
      <c r="AF214" s="10"/>
      <c r="AG214" s="10"/>
      <c r="AJ214">
        <v>3.7000980142279616</v>
      </c>
      <c r="AK214">
        <v>-127.13042754632745</v>
      </c>
      <c r="AL214">
        <v>-79.386470137859035</v>
      </c>
      <c r="AM214">
        <v>-195.58527314819608</v>
      </c>
      <c r="AN214">
        <v>-122.13303098132158</v>
      </c>
      <c r="AQ214">
        <v>212</v>
      </c>
      <c r="AR214">
        <f t="shared" si="63"/>
        <v>-7.6324328654078348</v>
      </c>
      <c r="AS214">
        <f t="shared" si="64"/>
        <v>-4.769273378098843</v>
      </c>
    </row>
    <row r="215" spans="1:45" x14ac:dyDescent="0.25">
      <c r="A215" s="15">
        <f t="shared" ca="1" si="61"/>
        <v>0</v>
      </c>
      <c r="B215">
        <f t="shared" ca="1" si="62"/>
        <v>0</v>
      </c>
      <c r="M215" s="7"/>
      <c r="N215" s="7"/>
      <c r="O215" s="7"/>
      <c r="Q215" s="7"/>
      <c r="R215" s="7"/>
      <c r="S215" s="7"/>
      <c r="T215" s="7"/>
      <c r="U215" s="7"/>
      <c r="Y215" s="10"/>
      <c r="Z215" s="10"/>
      <c r="AA215" s="10"/>
      <c r="AB215" s="7"/>
      <c r="AC215" s="7"/>
      <c r="AD215" s="7"/>
      <c r="AE215" s="10"/>
      <c r="AF215" s="10"/>
      <c r="AG215" s="10"/>
      <c r="AJ215">
        <v>3.7175513067479047</v>
      </c>
      <c r="AK215">
        <v>-125.73928952359167</v>
      </c>
      <c r="AL215">
        <v>-81.575120010229014</v>
      </c>
      <c r="AM215">
        <v>-193.44506080552563</v>
      </c>
      <c r="AN215">
        <v>-125.50018463112156</v>
      </c>
      <c r="AQ215">
        <v>213</v>
      </c>
      <c r="AR215">
        <f t="shared" si="63"/>
        <v>-7.5480351115088169</v>
      </c>
      <c r="AS215">
        <f t="shared" si="64"/>
        <v>-4.9017513151352441</v>
      </c>
    </row>
    <row r="216" spans="1:45" x14ac:dyDescent="0.25">
      <c r="A216" s="15">
        <f t="shared" ref="A216:A222" ca="1" si="65">L102</f>
        <v>0</v>
      </c>
      <c r="B216">
        <f t="shared" ref="B216:B222" ca="1" si="66">IF(AND(A216&gt;0,A216&lt;$B$128),(0.85*$B$126)*((2*(A216/$B$128))-POWER(A216/$B$128,2)),IF(A216&gt;0,0.85*$B$126,0))/1000</f>
        <v>0</v>
      </c>
      <c r="M216" s="7"/>
      <c r="N216" s="7"/>
      <c r="O216" s="7"/>
      <c r="Q216" s="7"/>
      <c r="R216" s="7"/>
      <c r="S216" s="7"/>
      <c r="T216" s="7"/>
      <c r="U216" s="7"/>
      <c r="Y216" s="10"/>
      <c r="Z216" s="10"/>
      <c r="AA216" s="10"/>
      <c r="AB216" s="7"/>
      <c r="AC216" s="7"/>
      <c r="AD216" s="7"/>
      <c r="AE216" s="10"/>
      <c r="AF216" s="10"/>
      <c r="AG216" s="10"/>
      <c r="AJ216">
        <v>3.7350045992678478</v>
      </c>
      <c r="AK216">
        <v>-124.31096698870077</v>
      </c>
      <c r="AL216">
        <v>-83.739879237978315</v>
      </c>
      <c r="AM216">
        <v>-191.24764152107809</v>
      </c>
      <c r="AN216">
        <v>-128.83058344304357</v>
      </c>
      <c r="AQ216">
        <v>214</v>
      </c>
      <c r="AR216">
        <f t="shared" si="63"/>
        <v>-7.4613381529953768</v>
      </c>
      <c r="AS216">
        <f t="shared" si="64"/>
        <v>-5.03273613123672</v>
      </c>
    </row>
    <row r="217" spans="1:45" x14ac:dyDescent="0.25">
      <c r="A217" s="15">
        <f t="shared" ca="1" si="65"/>
        <v>0</v>
      </c>
      <c r="B217">
        <f t="shared" ca="1" si="66"/>
        <v>0</v>
      </c>
      <c r="M217" s="7"/>
      <c r="N217" s="7"/>
      <c r="O217" s="7"/>
      <c r="Q217" s="7"/>
      <c r="R217" s="7"/>
      <c r="S217" s="7"/>
      <c r="T217" s="7"/>
      <c r="U217" s="7"/>
      <c r="Y217" s="10"/>
      <c r="Z217" s="10"/>
      <c r="AA217" s="10"/>
      <c r="AB217" s="7"/>
      <c r="AC217" s="7"/>
      <c r="AD217" s="7"/>
      <c r="AE217" s="10"/>
      <c r="AF217" s="10"/>
      <c r="AG217" s="10"/>
      <c r="AJ217">
        <v>3.7524578917877909</v>
      </c>
      <c r="AK217">
        <v>-122.80555304628348</v>
      </c>
      <c r="AL217">
        <v>-85.864850674046124</v>
      </c>
      <c r="AM217">
        <v>-188.93162007120534</v>
      </c>
      <c r="AN217">
        <v>-132.09977026776326</v>
      </c>
      <c r="AQ217">
        <v>215</v>
      </c>
      <c r="AR217">
        <f t="shared" si="63"/>
        <v>-7.3723683986009263</v>
      </c>
      <c r="AS217">
        <f t="shared" si="64"/>
        <v>-5.1621879271594153</v>
      </c>
    </row>
    <row r="218" spans="1:45" x14ac:dyDescent="0.25">
      <c r="A218" s="15">
        <f t="shared" ca="1" si="65"/>
        <v>0</v>
      </c>
      <c r="B218">
        <f t="shared" ca="1" si="66"/>
        <v>0</v>
      </c>
      <c r="M218" s="7"/>
      <c r="N218" s="7"/>
      <c r="O218" s="7"/>
      <c r="Q218" s="7"/>
      <c r="R218" s="7"/>
      <c r="S218" s="7"/>
      <c r="T218" s="7"/>
      <c r="U218" s="7"/>
      <c r="Y218" s="10"/>
      <c r="Z218" s="10"/>
      <c r="AA218" s="10"/>
      <c r="AB218" s="7"/>
      <c r="AC218" s="7"/>
      <c r="AD218" s="7"/>
      <c r="AE218" s="10"/>
      <c r="AF218" s="10"/>
      <c r="AG218" s="10"/>
      <c r="AJ218">
        <v>3.769911184307734</v>
      </c>
      <c r="AK218">
        <v>-121.25712498367234</v>
      </c>
      <c r="AL218">
        <v>-87.958786261662965</v>
      </c>
      <c r="AM218">
        <v>-186.54942305180359</v>
      </c>
      <c r="AN218">
        <v>-135.32120963332764</v>
      </c>
      <c r="AQ218">
        <v>216</v>
      </c>
      <c r="AR218">
        <f t="shared" si="63"/>
        <v>-7.2811529493745279</v>
      </c>
      <c r="AS218">
        <f t="shared" si="64"/>
        <v>-5.2900672706322576</v>
      </c>
    </row>
    <row r="219" spans="1:45" x14ac:dyDescent="0.25">
      <c r="A219" s="15">
        <f t="shared" ca="1" si="65"/>
        <v>0</v>
      </c>
      <c r="B219">
        <f t="shared" ca="1" si="66"/>
        <v>0</v>
      </c>
      <c r="M219" s="7"/>
      <c r="N219" s="7"/>
      <c r="O219" s="7"/>
      <c r="Q219" s="7"/>
      <c r="R219" s="7"/>
      <c r="S219" s="7"/>
      <c r="T219" s="7"/>
      <c r="U219" s="7"/>
      <c r="Y219" s="10"/>
      <c r="Z219" s="10"/>
      <c r="AA219" s="10"/>
      <c r="AB219" s="7"/>
      <c r="AC219" s="7"/>
      <c r="AD219" s="7"/>
      <c r="AE219" s="10"/>
      <c r="AF219" s="10"/>
      <c r="AG219" s="10"/>
      <c r="AJ219">
        <v>3.7873644768276771</v>
      </c>
      <c r="AK219">
        <v>-119.67728355633507</v>
      </c>
      <c r="AL219">
        <v>-90.025316999346131</v>
      </c>
      <c r="AM219">
        <v>-184.11889777897701</v>
      </c>
      <c r="AN219">
        <v>-138.50048769130174</v>
      </c>
      <c r="AQ219">
        <v>217</v>
      </c>
      <c r="AR219">
        <f t="shared" si="63"/>
        <v>-7.187719590425635</v>
      </c>
      <c r="AS219">
        <f t="shared" si="64"/>
        <v>-5.4163352083684355</v>
      </c>
    </row>
    <row r="220" spans="1:45" x14ac:dyDescent="0.25">
      <c r="A220" s="15">
        <f t="shared" ca="1" si="65"/>
        <v>0</v>
      </c>
      <c r="B220">
        <f t="shared" ca="1" si="66"/>
        <v>0</v>
      </c>
      <c r="M220" s="7"/>
      <c r="N220" s="7"/>
      <c r="O220" s="7"/>
      <c r="Q220" s="7"/>
      <c r="R220" s="7"/>
      <c r="S220" s="7"/>
      <c r="T220" s="7"/>
      <c r="U220" s="7"/>
      <c r="Y220" s="10"/>
      <c r="Z220" s="10"/>
      <c r="AA220" s="10"/>
      <c r="AB220" s="7"/>
      <c r="AC220" s="7"/>
      <c r="AD220" s="7"/>
      <c r="AE220" s="10"/>
      <c r="AF220" s="10"/>
      <c r="AG220" s="10"/>
      <c r="AJ220">
        <v>3.8048177693476202</v>
      </c>
      <c r="AK220">
        <v>-118.06643207210864</v>
      </c>
      <c r="AL220">
        <v>-92.064260078173874</v>
      </c>
      <c r="AM220">
        <v>-181.64066472632098</v>
      </c>
      <c r="AN220">
        <v>-141.63732319719057</v>
      </c>
      <c r="AQ220">
        <v>218</v>
      </c>
      <c r="AR220">
        <f t="shared" si="63"/>
        <v>-7.0920967824604979</v>
      </c>
      <c r="AS220">
        <f t="shared" si="64"/>
        <v>-5.5409532779309236</v>
      </c>
    </row>
    <row r="221" spans="1:45" x14ac:dyDescent="0.25">
      <c r="A221" s="15">
        <f t="shared" ca="1" si="65"/>
        <v>0</v>
      </c>
      <c r="B221">
        <f t="shared" ca="1" si="66"/>
        <v>0</v>
      </c>
      <c r="M221" s="7"/>
      <c r="N221" s="7"/>
      <c r="O221" s="7"/>
      <c r="Q221" s="7"/>
      <c r="R221" s="7"/>
      <c r="S221" s="7"/>
      <c r="T221" s="7"/>
      <c r="U221" s="7"/>
      <c r="Y221" s="10"/>
      <c r="Z221" s="10"/>
      <c r="AA221" s="10"/>
      <c r="AB221" s="7"/>
      <c r="AC221" s="7"/>
      <c r="AD221" s="7"/>
      <c r="AE221" s="10"/>
      <c r="AF221" s="10"/>
      <c r="AG221" s="10"/>
      <c r="AJ221">
        <v>3.8222710618675633</v>
      </c>
      <c r="AK221">
        <v>-116.42497131506765</v>
      </c>
      <c r="AL221">
        <v>-94.075440623531932</v>
      </c>
      <c r="AM221">
        <v>-179.11534048471947</v>
      </c>
      <c r="AN221">
        <v>-144.73144711312605</v>
      </c>
      <c r="AQ221">
        <v>219</v>
      </c>
      <c r="AR221">
        <f t="shared" si="63"/>
        <v>-6.9943136531127372</v>
      </c>
      <c r="AS221">
        <f t="shared" si="64"/>
        <v>-5.6638835194485386</v>
      </c>
    </row>
    <row r="222" spans="1:45" x14ac:dyDescent="0.25">
      <c r="A222" s="15">
        <f t="shared" ca="1" si="65"/>
        <v>0</v>
      </c>
      <c r="B222">
        <f t="shared" ca="1" si="66"/>
        <v>0</v>
      </c>
      <c r="M222" s="7"/>
      <c r="N222" s="7"/>
      <c r="O222" s="7"/>
      <c r="Q222" s="7"/>
      <c r="R222" s="7"/>
      <c r="S222" s="7"/>
      <c r="T222" s="7"/>
      <c r="U222" s="7"/>
      <c r="Y222" s="10"/>
      <c r="Z222" s="10"/>
      <c r="AA222" s="10"/>
      <c r="AB222" s="7"/>
      <c r="AC222" s="7"/>
      <c r="AD222" s="7"/>
      <c r="AE222" s="10"/>
      <c r="AF222" s="10"/>
      <c r="AG222" s="10"/>
      <c r="AJ222">
        <v>3.8397243543875064</v>
      </c>
      <c r="AK222">
        <v>-114.75328274235294</v>
      </c>
      <c r="AL222">
        <v>-96.058683540988184</v>
      </c>
      <c r="AM222">
        <v>-176.54351191131221</v>
      </c>
      <c r="AN222">
        <v>-147.78259006305873</v>
      </c>
      <c r="AQ222">
        <v>220</v>
      </c>
      <c r="AR222">
        <f t="shared" si="63"/>
        <v>-6.894399988070802</v>
      </c>
      <c r="AS222">
        <f t="shared" si="64"/>
        <v>-5.7850884871788537</v>
      </c>
    </row>
    <row r="223" spans="1:45" x14ac:dyDescent="0.25">
      <c r="A223" s="15"/>
      <c r="M223" s="7"/>
      <c r="N223" s="7"/>
      <c r="O223" s="7"/>
      <c r="Q223" s="7"/>
      <c r="R223" s="7"/>
      <c r="S223" s="7"/>
      <c r="T223" s="7"/>
      <c r="U223" s="7"/>
      <c r="Y223" s="10"/>
      <c r="Z223" s="10"/>
      <c r="AA223" s="10"/>
      <c r="AB223" s="7"/>
      <c r="AC223" s="7"/>
      <c r="AD223" s="7"/>
      <c r="AE223" s="10"/>
      <c r="AF223" s="10"/>
      <c r="AG223" s="10"/>
      <c r="AJ223">
        <v>3.8571776469074495</v>
      </c>
      <c r="AK223">
        <v>-113.05172834959787</v>
      </c>
      <c r="AL223">
        <v>-98.013811530241284</v>
      </c>
      <c r="AM223">
        <v>-173.92573592245824</v>
      </c>
      <c r="AN223">
        <v>-150.79047927729428</v>
      </c>
      <c r="AQ223">
        <v>221</v>
      </c>
      <c r="AR223">
        <f t="shared" si="63"/>
        <v>-6.7923862220049491</v>
      </c>
      <c r="AS223">
        <f t="shared" si="64"/>
        <v>-5.9045312609145633</v>
      </c>
    </row>
    <row r="224" spans="1:45" x14ac:dyDescent="0.25">
      <c r="A224" s="15"/>
      <c r="M224" s="7"/>
      <c r="N224" s="7"/>
      <c r="O224" s="7"/>
      <c r="Q224" s="7"/>
      <c r="R224" s="7"/>
      <c r="S224" s="7"/>
      <c r="T224" s="7"/>
      <c r="U224" s="7"/>
      <c r="Y224" s="10"/>
      <c r="Z224" s="10"/>
      <c r="AA224" s="10"/>
      <c r="AB224" s="7"/>
      <c r="AC224" s="7"/>
      <c r="AD224" s="7"/>
      <c r="AE224" s="10"/>
      <c r="AF224" s="10"/>
      <c r="AG224" s="10"/>
      <c r="AJ224">
        <v>3.8746309394273926</v>
      </c>
      <c r="AK224">
        <v>-111.32065132528369</v>
      </c>
      <c r="AL224">
        <v>-99.940643430634239</v>
      </c>
      <c r="AM224">
        <v>-171.26254050043644</v>
      </c>
      <c r="AN224">
        <v>-153.7548360471296</v>
      </c>
      <c r="AQ224">
        <v>222</v>
      </c>
      <c r="AR224">
        <f t="shared" si="63"/>
        <v>-6.688303429296548</v>
      </c>
      <c r="AS224">
        <f t="shared" si="64"/>
        <v>-6.0221754572297241</v>
      </c>
    </row>
    <row r="225" spans="13:45" x14ac:dyDescent="0.25">
      <c r="M225" s="7"/>
      <c r="N225" s="7"/>
      <c r="O225" s="7"/>
      <c r="Q225" s="7"/>
      <c r="R225" s="7"/>
      <c r="S225" s="7"/>
      <c r="T225" s="7"/>
      <c r="U225" s="7"/>
      <c r="Y225" s="10"/>
      <c r="Z225" s="10"/>
      <c r="AA225" s="10"/>
      <c r="AB225" s="7"/>
      <c r="AC225" s="7"/>
      <c r="AD225" s="7"/>
      <c r="AE225" s="10"/>
      <c r="AF225" s="10"/>
      <c r="AG225" s="10"/>
      <c r="AJ225">
        <v>3.8920842319473357</v>
      </c>
      <c r="AK225">
        <v>-109.56037680843359</v>
      </c>
      <c r="AL225">
        <v>-101.83899261826221</v>
      </c>
      <c r="AM225">
        <v>-168.5544258591286</v>
      </c>
      <c r="AN225">
        <v>-156.67537325886494</v>
      </c>
      <c r="AQ225">
        <v>223</v>
      </c>
      <c r="AR225">
        <f t="shared" si="63"/>
        <v>-6.5821833145725348</v>
      </c>
      <c r="AS225">
        <f t="shared" si="64"/>
        <v>-6.1379852405624851</v>
      </c>
    </row>
    <row r="226" spans="13:45" x14ac:dyDescent="0.25">
      <c r="M226" s="7"/>
      <c r="N226" s="7"/>
      <c r="O226" s="7"/>
      <c r="Q226" s="7"/>
      <c r="R226" s="7"/>
      <c r="S226" s="7"/>
      <c r="T226" s="7"/>
      <c r="U226" s="7"/>
      <c r="Y226" s="10"/>
      <c r="Z226" s="10"/>
      <c r="AA226" s="10"/>
      <c r="AB226" s="7"/>
      <c r="AC226" s="7"/>
      <c r="AD226" s="7"/>
      <c r="AE226" s="10"/>
      <c r="AF226" s="10"/>
      <c r="AG226" s="10"/>
      <c r="AJ226">
        <v>3.9095375244672788</v>
      </c>
      <c r="AK226">
        <v>-107.77121274539928</v>
      </c>
      <c r="AL226">
        <v>-103.70866545982069</v>
      </c>
      <c r="AM226">
        <v>-165.80186576215274</v>
      </c>
      <c r="AN226">
        <v>-159.55179301510876</v>
      </c>
      <c r="AQ226">
        <v>224</v>
      </c>
      <c r="AR226">
        <f t="shared" si="63"/>
        <v>-6.4740582030478597</v>
      </c>
      <c r="AS226">
        <f t="shared" si="64"/>
        <v>-6.2519253341309762</v>
      </c>
    </row>
    <row r="227" spans="13:45" x14ac:dyDescent="0.25">
      <c r="M227" s="7"/>
      <c r="N227" s="7"/>
      <c r="O227" s="7"/>
      <c r="Q227" s="7"/>
      <c r="R227" s="7"/>
      <c r="S227" s="7"/>
      <c r="T227" s="7"/>
      <c r="U227" s="7"/>
      <c r="Y227" s="10"/>
      <c r="Z227" s="10"/>
      <c r="AA227" s="10"/>
      <c r="AB227" s="7"/>
      <c r="AC227" s="7"/>
      <c r="AD227" s="7"/>
      <c r="AE227" s="10"/>
      <c r="AF227" s="10"/>
      <c r="AG227" s="10"/>
      <c r="AJ227">
        <v>3.9269908169872219</v>
      </c>
      <c r="AK227">
        <v>-105.95345084241595</v>
      </c>
      <c r="AL227">
        <v>-105.5494598291159</v>
      </c>
      <c r="AM227">
        <v>-163.00530898833222</v>
      </c>
      <c r="AN227">
        <v>-162.383784352486</v>
      </c>
      <c r="AQ227">
        <v>225</v>
      </c>
      <c r="AR227">
        <f t="shared" si="63"/>
        <v>-6.3639610306789294</v>
      </c>
      <c r="AS227">
        <f t="shared" si="64"/>
        <v>-6.3639610306789276</v>
      </c>
    </row>
    <row r="228" spans="13:45" x14ac:dyDescent="0.25">
      <c r="M228" s="7"/>
      <c r="N228" s="7"/>
      <c r="O228" s="7"/>
      <c r="Q228" s="7"/>
      <c r="R228" s="7"/>
      <c r="S228" s="7"/>
      <c r="T228" s="7"/>
      <c r="U228" s="7"/>
      <c r="Y228" s="10"/>
      <c r="Z228" s="10"/>
      <c r="AA228" s="10"/>
      <c r="AB228" s="7"/>
      <c r="AC228" s="7"/>
      <c r="AD228" s="7"/>
      <c r="AE228" s="10"/>
      <c r="AF228" s="10"/>
      <c r="AG228" s="10"/>
      <c r="AJ228">
        <v>3.944444109507165</v>
      </c>
      <c r="AK228">
        <v>-104.10736760987659</v>
      </c>
      <c r="AL228">
        <v>-107.36116369160534</v>
      </c>
      <c r="AM228">
        <v>-160.16518093827167</v>
      </c>
      <c r="AN228">
        <v>-165.17102106400822</v>
      </c>
      <c r="AQ228">
        <v>226</v>
      </c>
      <c r="AR228">
        <f t="shared" si="63"/>
        <v>-6.2519253341309753</v>
      </c>
      <c r="AS228">
        <f t="shared" si="64"/>
        <v>-6.4740582030478606</v>
      </c>
    </row>
    <row r="229" spans="13:45" x14ac:dyDescent="0.25">
      <c r="M229" s="7"/>
      <c r="N229" s="7"/>
      <c r="O229" s="7"/>
      <c r="Q229" s="7"/>
      <c r="R229" s="7"/>
      <c r="S229" s="7"/>
      <c r="T229" s="7"/>
      <c r="U229" s="7"/>
      <c r="Y229" s="10"/>
      <c r="Z229" s="10"/>
      <c r="AA229" s="10"/>
      <c r="AB229" s="7"/>
      <c r="AC229" s="7"/>
      <c r="AD229" s="7"/>
      <c r="AE229" s="10"/>
      <c r="AF229" s="10"/>
      <c r="AG229" s="10"/>
      <c r="AJ229">
        <v>3.9618974020271081</v>
      </c>
      <c r="AK229">
        <v>-102.23322549404102</v>
      </c>
      <c r="AL229">
        <v>-109.14355376213901</v>
      </c>
      <c r="AM229">
        <v>-157.28188537544773</v>
      </c>
      <c r="AN229">
        <v>-167.91315963406001</v>
      </c>
      <c r="AQ229">
        <v>227</v>
      </c>
      <c r="AR229">
        <f t="shared" si="63"/>
        <v>-6.1379852405624877</v>
      </c>
      <c r="AS229">
        <f t="shared" si="64"/>
        <v>-6.5821833145725339</v>
      </c>
    </row>
    <row r="230" spans="13:45" x14ac:dyDescent="0.25">
      <c r="M230" s="7"/>
      <c r="N230" s="7"/>
      <c r="O230" s="7"/>
      <c r="Q230" s="7"/>
      <c r="R230" s="7"/>
      <c r="S230" s="7"/>
      <c r="T230" s="7"/>
      <c r="U230" s="7"/>
      <c r="Y230" s="10"/>
      <c r="Z230" s="10"/>
      <c r="AA230" s="10"/>
      <c r="AB230" s="7"/>
      <c r="AC230" s="7"/>
      <c r="AD230" s="7"/>
      <c r="AE230" s="10"/>
      <c r="AF230" s="10"/>
      <c r="AG230" s="10"/>
      <c r="AJ230">
        <v>3.9793506945470511</v>
      </c>
      <c r="AK230">
        <v>-100.33127409161555</v>
      </c>
      <c r="AL230">
        <v>-110.89639424081489</v>
      </c>
      <c r="AM230">
        <v>-154.35580629479315</v>
      </c>
      <c r="AN230">
        <v>-170.60983729356136</v>
      </c>
      <c r="AQ230">
        <v>228</v>
      </c>
      <c r="AR230">
        <f t="shared" si="63"/>
        <v>-6.0221754572297232</v>
      </c>
      <c r="AS230">
        <f t="shared" si="64"/>
        <v>-6.6883034292965489</v>
      </c>
    </row>
    <row r="231" spans="13:45" x14ac:dyDescent="0.25">
      <c r="M231" s="7"/>
      <c r="N231" s="7"/>
      <c r="O231" s="7"/>
      <c r="Q231" s="7"/>
      <c r="R231" s="7"/>
      <c r="S231" s="7"/>
      <c r="T231" s="7"/>
      <c r="U231" s="7"/>
      <c r="Y231" s="10"/>
      <c r="Z231" s="10"/>
      <c r="AA231" s="10"/>
      <c r="AB231" s="7"/>
      <c r="AC231" s="7"/>
      <c r="AD231" s="7"/>
      <c r="AE231" s="10"/>
      <c r="AF231" s="10"/>
      <c r="AG231" s="10"/>
      <c r="AJ231">
        <v>3.9968039870669942</v>
      </c>
      <c r="AK231">
        <v>-98.401751442373779</v>
      </c>
      <c r="AL231">
        <v>-112.61943563158721</v>
      </c>
      <c r="AM231">
        <v>-151.38730991134426</v>
      </c>
      <c r="AN231">
        <v>-173.26067020244184</v>
      </c>
      <c r="AQ231">
        <v>229</v>
      </c>
      <c r="AR231">
        <f t="shared" si="63"/>
        <v>-5.904531260914565</v>
      </c>
      <c r="AS231">
        <f t="shared" si="64"/>
        <v>-6.7923862220049482</v>
      </c>
    </row>
    <row r="232" spans="13:45" x14ac:dyDescent="0.25">
      <c r="M232" s="7"/>
      <c r="N232" s="7"/>
      <c r="O232" s="7"/>
      <c r="Q232" s="7"/>
      <c r="R232" s="7"/>
      <c r="S232" s="7"/>
      <c r="T232" s="7"/>
      <c r="U232" s="7"/>
      <c r="Y232" s="10"/>
      <c r="Z232" s="10"/>
      <c r="AA232" s="10"/>
      <c r="AB232" s="7"/>
      <c r="AC232" s="7"/>
      <c r="AD232" s="7"/>
      <c r="AE232" s="10"/>
      <c r="AF232" s="10"/>
      <c r="AG232" s="10"/>
      <c r="AJ232">
        <v>4.0142572795869373</v>
      </c>
      <c r="AK232">
        <v>-96.200071135628505</v>
      </c>
      <c r="AL232">
        <v>-114.64678038369907</v>
      </c>
      <c r="AM232">
        <v>-148.00010943942846</v>
      </c>
      <c r="AN232">
        <v>-176.37966212876779</v>
      </c>
      <c r="AQ232">
        <v>230</v>
      </c>
      <c r="AR232">
        <f t="shared" si="63"/>
        <v>-5.7850884871788555</v>
      </c>
      <c r="AS232">
        <f t="shared" si="64"/>
        <v>-6.8943999880708011</v>
      </c>
    </row>
    <row r="233" spans="13:45" x14ac:dyDescent="0.25">
      <c r="M233" s="7"/>
      <c r="N233" s="7"/>
      <c r="O233" s="7"/>
      <c r="Q233" s="7"/>
      <c r="R233" s="7"/>
      <c r="S233" s="7"/>
      <c r="T233" s="7"/>
      <c r="U233" s="7"/>
      <c r="Y233" s="10"/>
      <c r="Z233" s="10"/>
      <c r="AA233" s="10"/>
      <c r="AB233" s="7"/>
      <c r="AC233" s="7"/>
      <c r="AD233" s="7"/>
      <c r="AE233" s="10"/>
      <c r="AF233" s="10"/>
      <c r="AG233" s="10"/>
      <c r="AJ233">
        <v>4.0317105721068804</v>
      </c>
      <c r="AK233">
        <v>-93.821208532648768</v>
      </c>
      <c r="AL233">
        <v>-116.46296749772939</v>
      </c>
      <c r="AM233">
        <v>-144.34032081945963</v>
      </c>
      <c r="AN233">
        <v>-179.1737961503529</v>
      </c>
      <c r="AQ233">
        <v>231</v>
      </c>
      <c r="AR233">
        <f t="shared" si="63"/>
        <v>-5.6638835194485404</v>
      </c>
      <c r="AS233">
        <f t="shared" si="64"/>
        <v>-6.9943136531127355</v>
      </c>
    </row>
    <row r="234" spans="13:45" x14ac:dyDescent="0.25">
      <c r="M234" s="7"/>
      <c r="N234" s="7"/>
      <c r="O234" s="7"/>
      <c r="Q234" s="7"/>
      <c r="R234" s="7"/>
      <c r="S234" s="7"/>
      <c r="T234" s="7"/>
      <c r="U234" s="7"/>
      <c r="Y234" s="10"/>
      <c r="Z234" s="10"/>
      <c r="AA234" s="10"/>
      <c r="AB234" s="7"/>
      <c r="AC234" s="7"/>
      <c r="AD234" s="7"/>
      <c r="AE234" s="10"/>
      <c r="AF234" s="10"/>
      <c r="AG234" s="10"/>
      <c r="AJ234">
        <v>4.0491638646268235</v>
      </c>
      <c r="AK234">
        <v>-91.789285920447369</v>
      </c>
      <c r="AL234">
        <v>-118.06397336476307</v>
      </c>
      <c r="AM234">
        <v>-141.21428603145748</v>
      </c>
      <c r="AN234">
        <v>-181.6368820996355</v>
      </c>
      <c r="AQ234">
        <v>232</v>
      </c>
      <c r="AR234">
        <f t="shared" si="63"/>
        <v>-5.5409532779309227</v>
      </c>
      <c r="AS234">
        <f t="shared" si="64"/>
        <v>-7.0920967824604988</v>
      </c>
    </row>
    <row r="235" spans="13:45" x14ac:dyDescent="0.25">
      <c r="M235" s="7"/>
      <c r="N235" s="7"/>
      <c r="O235" s="7"/>
      <c r="Q235" s="7"/>
      <c r="R235" s="7"/>
      <c r="S235" s="7"/>
      <c r="T235" s="7"/>
      <c r="U235" s="7"/>
      <c r="Y235" s="10"/>
      <c r="Z235" s="10"/>
      <c r="AA235" s="10"/>
      <c r="AB235" s="7"/>
      <c r="AC235" s="7"/>
      <c r="AD235" s="7"/>
      <c r="AE235" s="10"/>
      <c r="AF235" s="10"/>
      <c r="AG235" s="10"/>
      <c r="AJ235">
        <v>4.0666171571467666</v>
      </c>
      <c r="AK235">
        <v>-89.732804632211554</v>
      </c>
      <c r="AL235">
        <v>-119.63265229686129</v>
      </c>
      <c r="AM235">
        <v>-138.05046866494084</v>
      </c>
      <c r="AN235">
        <v>-184.05023430286352</v>
      </c>
      <c r="AQ235">
        <v>233</v>
      </c>
      <c r="AR235">
        <f t="shared" si="63"/>
        <v>-5.4163352083684346</v>
      </c>
      <c r="AS235">
        <f t="shared" si="64"/>
        <v>-7.187719590425635</v>
      </c>
    </row>
    <row r="236" spans="13:45" x14ac:dyDescent="0.25">
      <c r="M236" s="7"/>
      <c r="N236" s="7"/>
      <c r="O236" s="7"/>
      <c r="Q236" s="7"/>
      <c r="R236" s="7"/>
      <c r="S236" s="7"/>
      <c r="T236" s="7"/>
      <c r="U236" s="7"/>
      <c r="Y236" s="10"/>
      <c r="Z236" s="10"/>
      <c r="AA236" s="10"/>
      <c r="AB236" s="7"/>
      <c r="AC236" s="7"/>
      <c r="AD236" s="7"/>
      <c r="AE236" s="10"/>
      <c r="AF236" s="10"/>
      <c r="AG236" s="10"/>
      <c r="AJ236">
        <v>4.0840704496667097</v>
      </c>
      <c r="AK236">
        <v>-87.652051708754399</v>
      </c>
      <c r="AL236">
        <v>-121.16881319514316</v>
      </c>
      <c r="AM236">
        <v>-134.8493103211606</v>
      </c>
      <c r="AN236">
        <v>-186.41355876175871</v>
      </c>
      <c r="AQ236">
        <v>234</v>
      </c>
      <c r="AR236">
        <f t="shared" si="63"/>
        <v>-5.2900672706322593</v>
      </c>
      <c r="AS236">
        <f t="shared" si="64"/>
        <v>-7.2811529493745262</v>
      </c>
    </row>
    <row r="237" spans="13:45" x14ac:dyDescent="0.25">
      <c r="M237" s="7"/>
      <c r="N237" s="7"/>
      <c r="O237" s="7"/>
      <c r="Q237" s="7"/>
      <c r="R237" s="7"/>
      <c r="S237" s="7"/>
      <c r="T237" s="7"/>
      <c r="U237" s="7"/>
      <c r="Y237" s="10"/>
      <c r="Z237" s="10"/>
      <c r="AA237" s="10"/>
      <c r="AB237" s="7"/>
      <c r="AC237" s="7"/>
      <c r="AD237" s="7"/>
      <c r="AE237" s="10"/>
      <c r="AF237" s="10"/>
      <c r="AG237" s="10"/>
      <c r="AJ237">
        <v>4.1015237421866528</v>
      </c>
      <c r="AK237">
        <v>-85.547302709660741</v>
      </c>
      <c r="AL237">
        <v>-122.6722512010604</v>
      </c>
      <c r="AM237">
        <v>-131.6112349379396</v>
      </c>
      <c r="AN237">
        <v>-188.7265403093237</v>
      </c>
      <c r="AQ237">
        <v>235</v>
      </c>
      <c r="AR237">
        <f t="shared" si="63"/>
        <v>-5.1621879271594171</v>
      </c>
      <c r="AS237">
        <f t="shared" si="64"/>
        <v>-7.3723683986009245</v>
      </c>
    </row>
    <row r="238" spans="13:45" x14ac:dyDescent="0.25">
      <c r="M238" s="7"/>
      <c r="N238" s="7"/>
      <c r="O238" s="7"/>
      <c r="Q238" s="7"/>
      <c r="R238" s="7"/>
      <c r="S238" s="7"/>
      <c r="T238" s="7"/>
      <c r="U238" s="7"/>
      <c r="Y238" s="10"/>
      <c r="Z238" s="10"/>
      <c r="AA238" s="10"/>
      <c r="AB238" s="7"/>
      <c r="AC238" s="7"/>
      <c r="AD238" s="7"/>
      <c r="AE238" s="10"/>
      <c r="AF238" s="10"/>
      <c r="AG238" s="10"/>
      <c r="AJ238">
        <v>4.1189770347065959</v>
      </c>
      <c r="AK238">
        <v>-83.418823101192245</v>
      </c>
      <c r="AL238">
        <v>-124.14274662856106</v>
      </c>
      <c r="AM238">
        <v>-128.33665092491114</v>
      </c>
      <c r="AN238">
        <v>-190.98884096701701</v>
      </c>
      <c r="AQ238">
        <v>236</v>
      </c>
      <c r="AR238">
        <f t="shared" si="63"/>
        <v>-5.0327361312367191</v>
      </c>
      <c r="AS238">
        <f t="shared" si="64"/>
        <v>-7.4613381529953768</v>
      </c>
    </row>
    <row r="239" spans="13:45" x14ac:dyDescent="0.25">
      <c r="M239" s="7"/>
      <c r="N239" s="7"/>
      <c r="O239" s="7"/>
      <c r="Q239" s="7"/>
      <c r="R239" s="7"/>
      <c r="S239" s="7"/>
      <c r="T239" s="7"/>
      <c r="U239" s="7"/>
      <c r="Y239" s="10"/>
      <c r="Z239" s="10"/>
      <c r="AA239" s="10"/>
      <c r="AB239" s="7"/>
      <c r="AC239" s="7"/>
      <c r="AD239" s="7"/>
      <c r="AE239" s="10"/>
      <c r="AF239" s="10"/>
      <c r="AG239" s="10"/>
      <c r="AJ239">
        <v>4.136430327226539</v>
      </c>
      <c r="AK239">
        <v>-81.266869712136071</v>
      </c>
      <c r="AL239">
        <v>-125.58006398747816</v>
      </c>
      <c r="AM239">
        <v>-125.02595340328625</v>
      </c>
      <c r="AN239">
        <v>-193.20009844227408</v>
      </c>
      <c r="AQ239">
        <v>237</v>
      </c>
      <c r="AR239">
        <f t="shared" si="63"/>
        <v>-4.9017513151352432</v>
      </c>
      <c r="AS239">
        <f t="shared" si="64"/>
        <v>-7.5480351115088169</v>
      </c>
    </row>
    <row r="240" spans="13:45" x14ac:dyDescent="0.25">
      <c r="M240" s="7"/>
      <c r="N240" s="7"/>
      <c r="O240" s="7"/>
      <c r="Q240" s="7"/>
      <c r="R240" s="7"/>
      <c r="S240" s="7"/>
      <c r="T240" s="7"/>
      <c r="U240" s="7"/>
      <c r="Y240" s="10"/>
      <c r="Z240" s="10"/>
      <c r="AA240" s="10"/>
      <c r="AB240" s="7"/>
      <c r="AC240" s="7"/>
      <c r="AD240" s="7"/>
      <c r="AE240" s="10"/>
      <c r="AF240" s="10"/>
      <c r="AG240" s="10"/>
      <c r="AJ240">
        <v>4.1538836197464821</v>
      </c>
      <c r="AK240">
        <v>-79.091692252191123</v>
      </c>
      <c r="AL240">
        <v>-126.98395110209492</v>
      </c>
      <c r="AM240">
        <v>-121.67952654183249</v>
      </c>
      <c r="AN240">
        <v>-195.35992477245372</v>
      </c>
      <c r="AQ240">
        <v>238</v>
      </c>
      <c r="AR240">
        <f t="shared" si="63"/>
        <v>-4.7692733780988448</v>
      </c>
      <c r="AS240">
        <f t="shared" si="64"/>
        <v>-7.6324328654078339</v>
      </c>
    </row>
    <row r="241" spans="13:45" x14ac:dyDescent="0.25">
      <c r="M241" s="7"/>
      <c r="N241" s="7"/>
      <c r="O241" s="7"/>
      <c r="Q241" s="7"/>
      <c r="R241" s="7"/>
      <c r="S241" s="7"/>
      <c r="T241" s="7"/>
      <c r="U241" s="7"/>
      <c r="Y241" s="10"/>
      <c r="Z241" s="10"/>
      <c r="AA241" s="10"/>
      <c r="AB241" s="7"/>
      <c r="AC241" s="7"/>
      <c r="AD241" s="7"/>
      <c r="AE241" s="10"/>
      <c r="AF241" s="10"/>
      <c r="AG241" s="10"/>
      <c r="AJ241">
        <v>4.1713369122664252</v>
      </c>
      <c r="AK241">
        <v>-76.893534887259648</v>
      </c>
      <c r="AL241">
        <v>-128.35413832852714</v>
      </c>
      <c r="AM241">
        <v>-118.29774598039945</v>
      </c>
      <c r="AN241">
        <v>-197.46790512081097</v>
      </c>
      <c r="AQ241">
        <v>239</v>
      </c>
      <c r="AR241">
        <f t="shared" si="63"/>
        <v>-4.6353426741904906</v>
      </c>
      <c r="AS241">
        <f t="shared" si="64"/>
        <v>-7.7145057063190094</v>
      </c>
    </row>
    <row r="242" spans="13:45" x14ac:dyDescent="0.25">
      <c r="M242" s="7"/>
      <c r="N242" s="7"/>
      <c r="O242" s="7"/>
      <c r="Q242" s="7"/>
      <c r="R242" s="7"/>
      <c r="S242" s="7"/>
      <c r="T242" s="7"/>
      <c r="U242" s="7"/>
      <c r="Y242" s="10"/>
      <c r="Z242" s="10"/>
      <c r="AA242" s="10"/>
      <c r="AB242" s="7"/>
      <c r="AC242" s="7"/>
      <c r="AD242" s="7"/>
      <c r="AE242" s="10"/>
      <c r="AF242" s="10"/>
      <c r="AG242" s="10"/>
      <c r="AJ242">
        <v>4.1887902047863683</v>
      </c>
      <c r="AK242">
        <v>-74.672637865809037</v>
      </c>
      <c r="AL242">
        <v>-129.69033787424505</v>
      </c>
      <c r="AM242">
        <v>-114.8809813320139</v>
      </c>
      <c r="AN242">
        <v>-199.52359672960776</v>
      </c>
      <c r="AQ242">
        <v>240</v>
      </c>
      <c r="AR242">
        <f t="shared" si="63"/>
        <v>-4.5000000000000036</v>
      </c>
      <c r="AS242">
        <f t="shared" si="64"/>
        <v>-7.7942286340599454</v>
      </c>
    </row>
    <row r="243" spans="13:45" x14ac:dyDescent="0.25">
      <c r="M243" s="7"/>
      <c r="N243" s="7"/>
      <c r="O243" s="7"/>
      <c r="Q243" s="7"/>
      <c r="R243" s="7"/>
      <c r="S243" s="7"/>
      <c r="T243" s="7"/>
      <c r="U243" s="7"/>
      <c r="Y243" s="10"/>
      <c r="Z243" s="10"/>
      <c r="AA243" s="10"/>
      <c r="AB243" s="7"/>
      <c r="AC243" s="7"/>
      <c r="AD243" s="7"/>
      <c r="AE243" s="10"/>
      <c r="AF243" s="10"/>
      <c r="AG243" s="10"/>
      <c r="AJ243">
        <v>4.2062434973063114</v>
      </c>
      <c r="AK243">
        <v>-72.429239190313112</v>
      </c>
      <c r="AL243">
        <v>-130.99224322278937</v>
      </c>
      <c r="AM243">
        <v>-111.42959875432786</v>
      </c>
      <c r="AN243">
        <v>-201.52652803506055</v>
      </c>
      <c r="AQ243">
        <v>241</v>
      </c>
      <c r="AR243">
        <f t="shared" si="63"/>
        <v>-4.3632865822170315</v>
      </c>
      <c r="AS243">
        <f t="shared" si="64"/>
        <v>-7.8715773642545637</v>
      </c>
    </row>
    <row r="244" spans="13:45" x14ac:dyDescent="0.25">
      <c r="M244" s="7"/>
      <c r="N244" s="7"/>
      <c r="O244" s="7"/>
      <c r="Q244" s="7"/>
      <c r="R244" s="7"/>
      <c r="S244" s="7"/>
      <c r="T244" s="7"/>
      <c r="U244" s="7"/>
      <c r="Y244" s="10"/>
      <c r="Z244" s="10"/>
      <c r="AA244" s="10"/>
      <c r="AB244" s="7"/>
      <c r="AC244" s="7"/>
      <c r="AD244" s="7"/>
      <c r="AE244" s="10"/>
      <c r="AF244" s="10"/>
      <c r="AG244" s="10"/>
      <c r="AJ244">
        <v>4.2236967898262545</v>
      </c>
      <c r="AK244">
        <v>-70.163576327365263</v>
      </c>
      <c r="AL244">
        <v>-132.25952866592803</v>
      </c>
      <c r="AM244">
        <v>-107.94396358056194</v>
      </c>
      <c r="AN244">
        <v>-203.47619794758157</v>
      </c>
      <c r="AQ244">
        <v>242</v>
      </c>
      <c r="AR244">
        <f t="shared" si="63"/>
        <v>-4.2252440650730172</v>
      </c>
      <c r="AS244">
        <f t="shared" si="64"/>
        <v>-7.9465283357303429</v>
      </c>
    </row>
    <row r="245" spans="13:45" x14ac:dyDescent="0.25">
      <c r="M245" s="7"/>
      <c r="N245" s="7"/>
      <c r="O245" s="7"/>
      <c r="Q245" s="7"/>
      <c r="R245" s="7"/>
      <c r="S245" s="7"/>
      <c r="T245" s="7"/>
      <c r="U245" s="7"/>
      <c r="Y245" s="10"/>
      <c r="Z245" s="10"/>
      <c r="AA245" s="10"/>
      <c r="AB245" s="7"/>
      <c r="AC245" s="7"/>
      <c r="AD245" s="7"/>
      <c r="AE245" s="10"/>
      <c r="AF245" s="10"/>
      <c r="AG245" s="10"/>
      <c r="AJ245">
        <v>4.2411500823461976</v>
      </c>
      <c r="AK245">
        <v>-67.875887950657201</v>
      </c>
      <c r="AL245">
        <v>-133.49184894654056</v>
      </c>
      <c r="AM245">
        <v>-104.42444300101107</v>
      </c>
      <c r="AN245">
        <v>-205.37207530237009</v>
      </c>
      <c r="AQ245">
        <v>243</v>
      </c>
      <c r="AR245">
        <f t="shared" si="63"/>
        <v>-4.0859144976559225</v>
      </c>
      <c r="AS245">
        <f t="shared" si="64"/>
        <v>-8.0190587176953105</v>
      </c>
    </row>
    <row r="246" spans="13:45" x14ac:dyDescent="0.25">
      <c r="M246" s="7"/>
      <c r="N246" s="7"/>
      <c r="O246" s="7"/>
      <c r="Q246" s="7"/>
      <c r="R246" s="7"/>
      <c r="S246" s="7"/>
      <c r="T246" s="7"/>
      <c r="U246" s="7"/>
      <c r="Y246" s="10"/>
      <c r="Z246" s="10"/>
      <c r="AA246" s="10"/>
      <c r="AB246" s="7"/>
      <c r="AC246" s="7"/>
      <c r="AD246" s="7"/>
      <c r="AE246" s="10"/>
      <c r="AF246" s="10"/>
      <c r="AG246" s="10"/>
      <c r="AJ246">
        <v>4.2586033748661407</v>
      </c>
      <c r="AK246">
        <v>-65.566415873488992</v>
      </c>
      <c r="AL246">
        <v>-134.68883973602087</v>
      </c>
      <c r="AM246">
        <v>-100.87140903613691</v>
      </c>
      <c r="AN246">
        <v>-207.21359959387826</v>
      </c>
      <c r="AQ246">
        <v>244</v>
      </c>
      <c r="AR246">
        <f t="shared" si="63"/>
        <v>-3.9453403211016997</v>
      </c>
      <c r="AS246">
        <f t="shared" si="64"/>
        <v>-8.0891464166925005</v>
      </c>
    </row>
    <row r="247" spans="13:45" x14ac:dyDescent="0.25">
      <c r="M247" s="7"/>
      <c r="N247" s="7"/>
      <c r="O247" s="7"/>
      <c r="Q247" s="7"/>
      <c r="R247" s="7"/>
      <c r="S247" s="7"/>
      <c r="T247" s="7"/>
      <c r="U247" s="7"/>
      <c r="Y247" s="10"/>
      <c r="Z247" s="10"/>
      <c r="AA247" s="10"/>
      <c r="AB247" s="7"/>
      <c r="AC247" s="7"/>
      <c r="AD247" s="7"/>
      <c r="AE247" s="10"/>
      <c r="AF247" s="10"/>
      <c r="AG247" s="10"/>
      <c r="AJ247">
        <v>4.2760566673860838</v>
      </c>
      <c r="AK247">
        <v>-63.235410161175025</v>
      </c>
      <c r="AL247">
        <v>-135.85013559812046</v>
      </c>
      <c r="AM247">
        <v>-97.285246401807726</v>
      </c>
      <c r="AN247">
        <v>-209.000208612493</v>
      </c>
      <c r="AQ247">
        <v>245</v>
      </c>
      <c r="AR247">
        <f t="shared" si="63"/>
        <v>-3.8035643556662926</v>
      </c>
      <c r="AS247">
        <f t="shared" si="64"/>
        <v>-8.1567700833298495</v>
      </c>
    </row>
    <row r="248" spans="13:45" x14ac:dyDescent="0.25">
      <c r="M248" s="7"/>
      <c r="N248" s="7"/>
      <c r="O248" s="7"/>
      <c r="Q248" s="7"/>
      <c r="R248" s="7"/>
      <c r="S248" s="7"/>
      <c r="T248" s="7"/>
      <c r="U248" s="7"/>
      <c r="Y248" s="10"/>
      <c r="Z248" s="10"/>
      <c r="AA248" s="10"/>
      <c r="AB248" s="7"/>
      <c r="AC248" s="7"/>
      <c r="AD248" s="7"/>
      <c r="AE248" s="10"/>
      <c r="AF248" s="10"/>
      <c r="AG248" s="10"/>
      <c r="AJ248">
        <v>4.2935099599060269</v>
      </c>
      <c r="AK248">
        <v>-60.881309428270875</v>
      </c>
      <c r="AL248">
        <v>-136.96368150263845</v>
      </c>
      <c r="AM248">
        <v>-93.663552966570577</v>
      </c>
      <c r="AN248">
        <v>-210.71335615790531</v>
      </c>
      <c r="AQ248">
        <v>246</v>
      </c>
      <c r="AR248">
        <f t="shared" si="63"/>
        <v>-3.6606297876822009</v>
      </c>
      <c r="AS248">
        <f t="shared" si="64"/>
        <v>-8.2219091187834081</v>
      </c>
    </row>
    <row r="249" spans="13:45" x14ac:dyDescent="0.25">
      <c r="M249" s="7"/>
      <c r="N249" s="7"/>
      <c r="O249" s="7"/>
      <c r="Q249" s="7"/>
      <c r="R249" s="7"/>
      <c r="S249" s="7"/>
      <c r="T249" s="7"/>
      <c r="U249" s="7"/>
      <c r="Y249" s="10"/>
      <c r="Z249" s="10"/>
      <c r="AA249" s="10"/>
      <c r="AB249" s="7"/>
      <c r="AC249" s="7"/>
      <c r="AD249" s="7"/>
      <c r="AE249" s="10"/>
      <c r="AF249" s="10"/>
      <c r="AG249" s="10"/>
      <c r="AJ249">
        <v>4.31096325242597</v>
      </c>
      <c r="AK249">
        <v>-58.501412152074273</v>
      </c>
      <c r="AL249">
        <v>-137.99439811381478</v>
      </c>
      <c r="AM249">
        <v>-90.002172541652726</v>
      </c>
      <c r="AN249">
        <v>-212.29907402125352</v>
      </c>
      <c r="AQ249">
        <v>247</v>
      </c>
      <c r="AR249">
        <f t="shared" si="63"/>
        <v>-3.5165801564034647</v>
      </c>
      <c r="AS249">
        <f t="shared" si="64"/>
        <v>-8.2845436810719626</v>
      </c>
    </row>
    <row r="250" spans="13:45" x14ac:dyDescent="0.25">
      <c r="M250" s="7"/>
      <c r="N250" s="7"/>
      <c r="O250" s="7"/>
      <c r="Q250" s="7"/>
      <c r="R250" s="7"/>
      <c r="S250" s="7"/>
      <c r="T250" s="7"/>
      <c r="U250" s="7"/>
      <c r="Y250" s="10"/>
      <c r="Z250" s="10"/>
      <c r="AA250" s="10"/>
      <c r="AB250" s="7"/>
      <c r="AC250" s="7"/>
      <c r="AD250" s="7"/>
      <c r="AE250" s="10"/>
      <c r="AF250" s="10"/>
      <c r="AG250" s="10"/>
      <c r="AJ250">
        <v>4.3284165449459131</v>
      </c>
      <c r="AK250">
        <v>-56.104444206603915</v>
      </c>
      <c r="AL250">
        <v>-138.98434656222716</v>
      </c>
      <c r="AM250">
        <v>-86.314529548621408</v>
      </c>
      <c r="AN250">
        <v>-213.82207163419562</v>
      </c>
      <c r="AQ250">
        <v>248</v>
      </c>
      <c r="AR250">
        <f t="shared" si="63"/>
        <v>-3.3714593407432107</v>
      </c>
      <c r="AS250">
        <f t="shared" si="64"/>
        <v>-8.3446546911010859</v>
      </c>
    </row>
    <row r="251" spans="13:45" x14ac:dyDescent="0.25">
      <c r="M251" s="7"/>
      <c r="N251" s="7"/>
      <c r="O251" s="7"/>
      <c r="Q251" s="7"/>
      <c r="R251" s="7"/>
      <c r="S251" s="7"/>
      <c r="T251" s="7"/>
      <c r="U251" s="7"/>
      <c r="Y251" s="10"/>
      <c r="Z251" s="10"/>
      <c r="AA251" s="10"/>
      <c r="AB251" s="7"/>
      <c r="AC251" s="7"/>
      <c r="AD251" s="7"/>
      <c r="AE251" s="10"/>
      <c r="AF251" s="10"/>
      <c r="AG251" s="10"/>
      <c r="AJ251">
        <v>4.3458698374658562</v>
      </c>
      <c r="AK251">
        <v>-53.691056475472067</v>
      </c>
      <c r="AL251">
        <v>-139.93326992853073</v>
      </c>
      <c r="AM251">
        <v>-82.601625346880098</v>
      </c>
      <c r="AN251">
        <v>-215.28195373620113</v>
      </c>
      <c r="AQ251">
        <v>249</v>
      </c>
      <c r="AR251">
        <f t="shared" si="63"/>
        <v>-3.2253115459077062</v>
      </c>
      <c r="AS251">
        <f t="shared" si="64"/>
        <v>-8.4022238384748142</v>
      </c>
    </row>
    <row r="252" spans="13:45" x14ac:dyDescent="0.25">
      <c r="M252" s="7"/>
      <c r="N252" s="7"/>
      <c r="O252" s="7"/>
      <c r="Q252" s="7"/>
      <c r="R252" s="7"/>
      <c r="S252" s="7"/>
      <c r="T252" s="7"/>
      <c r="U252" s="7"/>
      <c r="Y252" s="10"/>
      <c r="Z252" s="10"/>
      <c r="AA252" s="10"/>
      <c r="AB252" s="7"/>
      <c r="AC252" s="7"/>
      <c r="AD252" s="7"/>
      <c r="AE252" s="10"/>
      <c r="AF252" s="10"/>
      <c r="AG252" s="10"/>
      <c r="AJ252">
        <v>4.3633231299857993</v>
      </c>
      <c r="AK252">
        <v>-51.26190210136042</v>
      </c>
      <c r="AL252">
        <v>-140.84091850177052</v>
      </c>
      <c r="AM252">
        <v>-78.864464771323725</v>
      </c>
      <c r="AN252">
        <v>-216.67833615657003</v>
      </c>
      <c r="AQ252">
        <v>250</v>
      </c>
      <c r="AR252">
        <f t="shared" si="63"/>
        <v>-3.0781812899310168</v>
      </c>
      <c r="AS252">
        <f t="shared" si="64"/>
        <v>-8.4572335870731763</v>
      </c>
    </row>
    <row r="253" spans="13:45" x14ac:dyDescent="0.25">
      <c r="M253" s="7"/>
      <c r="N253" s="7"/>
      <c r="O253" s="7"/>
      <c r="Q253" s="7"/>
      <c r="R253" s="7"/>
      <c r="S253" s="7"/>
      <c r="T253" s="7"/>
      <c r="U253" s="7"/>
      <c r="Y253" s="10"/>
      <c r="Z253" s="10"/>
      <c r="AA253" s="10"/>
      <c r="AB253" s="7"/>
      <c r="AC253" s="7"/>
      <c r="AD253" s="7"/>
      <c r="AE253" s="10"/>
      <c r="AF253" s="10"/>
      <c r="AG253" s="10"/>
      <c r="AJ253">
        <v>4.3807764225057424</v>
      </c>
      <c r="AK253">
        <v>-48.817636634765904</v>
      </c>
      <c r="AL253">
        <v>-141.70704968963022</v>
      </c>
      <c r="AM253">
        <v>-75.104056361178309</v>
      </c>
      <c r="AN253">
        <v>-218.01084567635419</v>
      </c>
      <c r="AQ253">
        <v>251</v>
      </c>
      <c r="AR253">
        <f t="shared" si="63"/>
        <v>-2.9301133901144096</v>
      </c>
      <c r="AS253">
        <f t="shared" si="64"/>
        <v>-8.5096671803938513</v>
      </c>
    </row>
    <row r="254" spans="13:45" x14ac:dyDescent="0.25">
      <c r="M254" s="7"/>
      <c r="N254" s="7"/>
      <c r="O254" s="7"/>
      <c r="Q254" s="7"/>
      <c r="R254" s="7"/>
      <c r="S254" s="7"/>
      <c r="T254" s="7"/>
      <c r="U254" s="7"/>
      <c r="Y254" s="10"/>
      <c r="Z254" s="10"/>
      <c r="AA254" s="10"/>
      <c r="AB254" s="7"/>
      <c r="AC254" s="7"/>
      <c r="AD254" s="7"/>
      <c r="AE254" s="10"/>
      <c r="AF254" s="10"/>
      <c r="AG254" s="10"/>
      <c r="AJ254">
        <v>4.3982297150256855</v>
      </c>
      <c r="AK254">
        <v>-46.358918191838889</v>
      </c>
      <c r="AL254">
        <v>-142.53142794886881</v>
      </c>
      <c r="AM254">
        <v>-71.321412602829056</v>
      </c>
      <c r="AN254">
        <v>-219.27911992133662</v>
      </c>
      <c r="AQ254">
        <v>252</v>
      </c>
      <c r="AR254">
        <f t="shared" si="63"/>
        <v>-2.7811529493745279</v>
      </c>
      <c r="AS254">
        <f t="shared" si="64"/>
        <v>-8.559508646656381</v>
      </c>
    </row>
    <row r="255" spans="13:45" x14ac:dyDescent="0.25">
      <c r="M255" s="7"/>
      <c r="N255" s="7"/>
      <c r="O255" s="7"/>
      <c r="Q255" s="7"/>
      <c r="R255" s="7"/>
      <c r="S255" s="7"/>
      <c r="T255" s="7"/>
      <c r="U255" s="7"/>
      <c r="Y255" s="10"/>
      <c r="Z255" s="10"/>
      <c r="AA255" s="10"/>
      <c r="AB255" s="7"/>
      <c r="AC255" s="7"/>
      <c r="AD255" s="7"/>
      <c r="AE255" s="10"/>
      <c r="AF255" s="10"/>
      <c r="AG255" s="10"/>
      <c r="AJ255">
        <v>4.4156830075456286</v>
      </c>
      <c r="AK255">
        <v>-43.886407620009166</v>
      </c>
      <c r="AL255">
        <v>-143.31382473715254</v>
      </c>
      <c r="AM255">
        <v>-67.517550184629485</v>
      </c>
      <c r="AN255">
        <v>-220.48280728792699</v>
      </c>
      <c r="AQ255">
        <v>253</v>
      </c>
      <c r="AR255">
        <f t="shared" si="63"/>
        <v>-2.631345342504634</v>
      </c>
      <c r="AS255">
        <f t="shared" si="64"/>
        <v>-8.6067428036673181</v>
      </c>
    </row>
    <row r="256" spans="13:45" x14ac:dyDescent="0.25">
      <c r="M256" s="7"/>
      <c r="N256" s="7"/>
      <c r="O256" s="7"/>
      <c r="Q256" s="7"/>
      <c r="R256" s="7"/>
      <c r="S256" s="7"/>
      <c r="T256" s="7"/>
      <c r="U256" s="7"/>
      <c r="Y256" s="10"/>
      <c r="Z256" s="10"/>
      <c r="AA256" s="10"/>
      <c r="AB256" s="7"/>
      <c r="AC256" s="7"/>
      <c r="AD256" s="7"/>
      <c r="AE256" s="10"/>
      <c r="AF256" s="10"/>
      <c r="AG256" s="10"/>
      <c r="AJ256">
        <v>4.4331363000655717</v>
      </c>
      <c r="AK256">
        <v>-41.400768669622543</v>
      </c>
      <c r="AL256">
        <v>-144.05401848619653</v>
      </c>
      <c r="AM256">
        <v>-63.693490260957759</v>
      </c>
      <c r="AN256">
        <v>-221.62156690184079</v>
      </c>
      <c r="AQ256">
        <v>254</v>
      </c>
      <c r="AR256">
        <f t="shared" si="63"/>
        <v>-2.4807362023529897</v>
      </c>
      <c r="AS256">
        <f t="shared" si="64"/>
        <v>-8.6513552634448718</v>
      </c>
    </row>
    <row r="257" spans="13:45" x14ac:dyDescent="0.25">
      <c r="M257" s="7"/>
      <c r="N257" s="7"/>
      <c r="O257" s="7"/>
      <c r="Q257" s="7"/>
      <c r="R257" s="7"/>
      <c r="S257" s="7"/>
      <c r="T257" s="7"/>
      <c r="U257" s="7"/>
      <c r="Y257" s="10"/>
      <c r="Z257" s="10"/>
      <c r="AA257" s="10"/>
      <c r="AB257" s="7"/>
      <c r="AC257" s="7"/>
      <c r="AD257" s="7"/>
      <c r="AE257" s="10"/>
      <c r="AF257" s="10"/>
      <c r="AG257" s="10"/>
      <c r="AJ257">
        <v>4.4505895925855148</v>
      </c>
      <c r="AK257">
        <v>-38.881649374397767</v>
      </c>
      <c r="AL257">
        <v>-144.71417961694766</v>
      </c>
      <c r="AM257">
        <v>-59.817922114458099</v>
      </c>
      <c r="AN257">
        <v>-222.63719941068871</v>
      </c>
      <c r="AQ257">
        <v>255</v>
      </c>
      <c r="AR257">
        <f t="shared" si="63"/>
        <v>-2.3293714059226858</v>
      </c>
      <c r="AS257">
        <f t="shared" si="64"/>
        <v>-8.6933324366016151</v>
      </c>
    </row>
    <row r="258" spans="13:45" x14ac:dyDescent="0.25">
      <c r="M258" s="7"/>
      <c r="N258" s="7"/>
      <c r="O258" s="7"/>
      <c r="Q258" s="7"/>
      <c r="R258" s="7"/>
      <c r="S258" s="7"/>
      <c r="T258" s="7"/>
      <c r="U258" s="7"/>
      <c r="Y258" s="10"/>
      <c r="Z258" s="10"/>
      <c r="AA258" s="10"/>
      <c r="AB258" s="7"/>
      <c r="AC258" s="7"/>
      <c r="AD258" s="7"/>
      <c r="AE258" s="10"/>
      <c r="AF258" s="10"/>
      <c r="AG258" s="10"/>
      <c r="AJ258">
        <v>4.4680428851054579</v>
      </c>
      <c r="AK258">
        <v>-36.349528810263187</v>
      </c>
      <c r="AL258">
        <v>-145.32291696495327</v>
      </c>
      <c r="AM258">
        <v>-55.922352015789521</v>
      </c>
      <c r="AN258">
        <v>-223.57371840762039</v>
      </c>
      <c r="AQ258">
        <v>256</v>
      </c>
      <c r="AR258">
        <f t="shared" si="63"/>
        <v>-2.1772970603970099</v>
      </c>
      <c r="AS258">
        <f t="shared" si="64"/>
        <v>-8.7326615364839686</v>
      </c>
    </row>
    <row r="259" spans="13:45" x14ac:dyDescent="0.25">
      <c r="M259" s="7"/>
      <c r="N259" s="7"/>
      <c r="O259" s="7"/>
      <c r="Q259" s="7"/>
      <c r="R259" s="7"/>
      <c r="S259" s="7"/>
      <c r="T259" s="7"/>
      <c r="U259" s="7"/>
      <c r="Y259" s="10"/>
      <c r="Z259" s="10"/>
      <c r="AA259" s="10"/>
      <c r="AB259" s="7"/>
      <c r="AC259" s="7"/>
      <c r="AD259" s="7"/>
      <c r="AE259" s="10"/>
      <c r="AF259" s="10"/>
      <c r="AG259" s="10"/>
      <c r="AJ259">
        <v>4.485496177625401</v>
      </c>
      <c r="AK259">
        <v>-33.810959710623209</v>
      </c>
      <c r="AL259">
        <v>-145.89046885832812</v>
      </c>
      <c r="AM259">
        <v>-52.016861093266471</v>
      </c>
      <c r="AN259">
        <v>-224.44687516665863</v>
      </c>
      <c r="AQ259">
        <v>257</v>
      </c>
      <c r="AR259">
        <f t="shared" ref="AR259:AR322" si="67">$B$3*COS(RADIANS(AQ259))</f>
        <v>-2.0245594890947873</v>
      </c>
      <c r="AS259">
        <f t="shared" ref="AS259:AS322" si="68">$B$3*SIN(RADIANS(AQ259))</f>
        <v>-8.7693305830671164</v>
      </c>
    </row>
    <row r="260" spans="13:45" x14ac:dyDescent="0.25">
      <c r="M260" s="7"/>
      <c r="N260" s="7"/>
      <c r="O260" s="7"/>
      <c r="Q260" s="7"/>
      <c r="R260" s="7"/>
      <c r="S260" s="7"/>
      <c r="T260" s="7"/>
      <c r="U260" s="7"/>
      <c r="Y260" s="10"/>
      <c r="Z260" s="10"/>
      <c r="AA260" s="10"/>
      <c r="AB260" s="7"/>
      <c r="AC260" s="7"/>
      <c r="AD260" s="7"/>
      <c r="AE260" s="10"/>
      <c r="AF260" s="10"/>
      <c r="AG260" s="10"/>
      <c r="AJ260">
        <v>4.5029494701453441</v>
      </c>
      <c r="AK260">
        <v>-31.266368534514999</v>
      </c>
      <c r="AL260">
        <v>-146.41695449859407</v>
      </c>
      <c r="AM260">
        <v>-48.10210543771538</v>
      </c>
      <c r="AN260">
        <v>-225.2568530747601</v>
      </c>
      <c r="AQ260">
        <v>258</v>
      </c>
      <c r="AR260">
        <f t="shared" si="67"/>
        <v>-1.8712052173598381</v>
      </c>
      <c r="AS260">
        <f t="shared" si="68"/>
        <v>-8.8033284066042494</v>
      </c>
    </row>
    <row r="261" spans="13:45" x14ac:dyDescent="0.25">
      <c r="M261" s="7"/>
      <c r="N261" s="7"/>
      <c r="O261" s="7"/>
      <c r="Q261" s="7"/>
      <c r="R261" s="7"/>
      <c r="S261" s="7"/>
      <c r="T261" s="7"/>
      <c r="U261" s="7"/>
      <c r="Y261" s="10"/>
      <c r="Z261" s="10"/>
      <c r="AA261" s="10"/>
      <c r="AB261" s="7"/>
      <c r="AC261" s="7"/>
      <c r="AD261" s="7"/>
      <c r="AE261" s="10"/>
      <c r="AF261" s="10"/>
      <c r="AG261" s="10"/>
      <c r="AJ261">
        <v>4.5204027626652872</v>
      </c>
      <c r="AK261">
        <v>-28.71617470758709</v>
      </c>
      <c r="AL261">
        <v>-146.90249754306203</v>
      </c>
      <c r="AM261">
        <v>-44.178730319364753</v>
      </c>
      <c r="AN261">
        <v>-226.00384237394158</v>
      </c>
      <c r="AQ261">
        <v>259</v>
      </c>
      <c r="AR261">
        <f t="shared" si="67"/>
        <v>-1.7172809583889015</v>
      </c>
      <c r="AS261">
        <f t="shared" si="68"/>
        <v>-8.8346446510289756</v>
      </c>
    </row>
    <row r="262" spans="13:45" x14ac:dyDescent="0.25">
      <c r="M262" s="9"/>
      <c r="AE262" s="10"/>
      <c r="AF262" s="10"/>
      <c r="AG262" s="10"/>
      <c r="AJ262">
        <v>4.5378560551852303</v>
      </c>
      <c r="AK262">
        <v>-26.160782991494095</v>
      </c>
      <c r="AL262">
        <v>-147.34720905753892</v>
      </c>
      <c r="AM262">
        <v>-40.247358448452452</v>
      </c>
      <c r="AN262">
        <v>-226.68801393467524</v>
      </c>
      <c r="AQ262">
        <v>260</v>
      </c>
      <c r="AR262">
        <f t="shared" si="67"/>
        <v>-1.562833599002373</v>
      </c>
      <c r="AS262">
        <f t="shared" si="68"/>
        <v>-8.8632697771098723</v>
      </c>
    </row>
    <row r="263" spans="13:45" x14ac:dyDescent="0.25">
      <c r="M263" s="9"/>
      <c r="AE263" s="10"/>
      <c r="AF263" s="10"/>
      <c r="AG263" s="10"/>
      <c r="AJ263">
        <v>4.5553093477051734</v>
      </c>
      <c r="AK263">
        <v>-23.6005846574161</v>
      </c>
      <c r="AL263">
        <v>-147.75118590842195</v>
      </c>
      <c r="AM263">
        <v>-36.30859178064015</v>
      </c>
      <c r="AN263">
        <v>-227.30951678218759</v>
      </c>
      <c r="AQ263">
        <v>261</v>
      </c>
      <c r="AR263">
        <f t="shared" si="67"/>
        <v>-1.4079101853620792</v>
      </c>
      <c r="AS263">
        <f t="shared" si="68"/>
        <v>-8.8891950653562386</v>
      </c>
    </row>
    <row r="264" spans="13:45" x14ac:dyDescent="0.25">
      <c r="M264" s="9"/>
      <c r="AJ264">
        <v>4.5727626402251165</v>
      </c>
      <c r="AK264">
        <v>-21.035959050807907</v>
      </c>
      <c r="AL264">
        <v>-148.11450991590021</v>
      </c>
      <c r="AM264">
        <v>-32.363013924319858</v>
      </c>
      <c r="AN264">
        <v>-227.86847679369262</v>
      </c>
      <c r="AQ264">
        <v>262</v>
      </c>
      <c r="AR264">
        <f t="shared" si="67"/>
        <v>-1.2525579086405925</v>
      </c>
      <c r="AS264">
        <f t="shared" si="68"/>
        <v>-8.9124126186741321</v>
      </c>
    </row>
    <row r="265" spans="13:45" x14ac:dyDescent="0.25">
      <c r="M265" s="9"/>
      <c r="AJ265">
        <v>4.5902159327450596</v>
      </c>
      <c r="AK265">
        <v>-18.467275202145199</v>
      </c>
      <c r="AL265">
        <v>-148.43724711310387</v>
      </c>
      <c r="AM265">
        <v>-28.411192618684922</v>
      </c>
      <c r="AN265">
        <v>-228.36499555862133</v>
      </c>
      <c r="AQ265">
        <v>263</v>
      </c>
      <c r="AR265">
        <f t="shared" si="67"/>
        <v>-1.0968240906463245</v>
      </c>
      <c r="AS265">
        <f t="shared" si="68"/>
        <v>-8.9329153647718993</v>
      </c>
    </row>
    <row r="266" spans="13:45" x14ac:dyDescent="0.25">
      <c r="M266" s="9"/>
      <c r="AJ266">
        <v>4.6076692252650027</v>
      </c>
      <c r="AK266">
        <v>-15.894893477108376</v>
      </c>
      <c r="AL266">
        <v>-148.71944711241534</v>
      </c>
      <c r="AM266">
        <v>-24.453682272474424</v>
      </c>
      <c r="AN266">
        <v>-228.79914940371589</v>
      </c>
      <c r="AQ266">
        <v>264</v>
      </c>
      <c r="AR266">
        <f t="shared" si="67"/>
        <v>-0.94075616940888018</v>
      </c>
      <c r="AS266">
        <f t="shared" si="68"/>
        <v>-8.9506970583144607</v>
      </c>
    </row>
    <row r="267" spans="13:45" x14ac:dyDescent="0.25">
      <c r="M267" s="9"/>
      <c r="AJ267">
        <v>4.6251225177849458</v>
      </c>
      <c r="AK267">
        <v>-13.319167259850897</v>
      </c>
      <c r="AL267">
        <v>-148.96114258134071</v>
      </c>
      <c r="AM267">
        <v>-20.491026553616763</v>
      </c>
      <c r="AN267">
        <v>-229.17098858667799</v>
      </c>
      <c r="AQ267">
        <v>265</v>
      </c>
      <c r="AR267">
        <f t="shared" si="67"/>
        <v>-0.78440168472892424</v>
      </c>
      <c r="AS267">
        <f t="shared" si="68"/>
        <v>-8.9657522828257097</v>
      </c>
    </row>
    <row r="268" spans="13:45" x14ac:dyDescent="0.25">
      <c r="M268" s="9"/>
      <c r="AJ268">
        <v>4.6425758103048889</v>
      </c>
      <c r="AK268">
        <v>-10.74044466279955</v>
      </c>
      <c r="AL268">
        <v>-149.16234882945159</v>
      </c>
      <c r="AM268">
        <v>-16.523761019691616</v>
      </c>
      <c r="AN268">
        <v>-229.48053666069475</v>
      </c>
      <c r="AQ268">
        <v>266</v>
      </c>
      <c r="AR268">
        <f t="shared" si="67"/>
        <v>-0.62780826369713028</v>
      </c>
      <c r="AS268">
        <f t="shared" si="68"/>
        <v>-8.9780764523384171</v>
      </c>
    </row>
    <row r="269" spans="13:45" x14ac:dyDescent="0.25">
      <c r="M269" s="9"/>
      <c r="AJ269">
        <v>4.660029102824832</v>
      </c>
      <c r="AK269">
        <v>-8.1590702563811082</v>
      </c>
      <c r="AL269">
        <v>-149.32306350760348</v>
      </c>
      <c r="AM269">
        <v>-12.552415779047859</v>
      </c>
      <c r="AN269">
        <v>-229.72779001169766</v>
      </c>
      <c r="AQ269">
        <v>267</v>
      </c>
      <c r="AR269">
        <f t="shared" si="67"/>
        <v>-0.47102360618649874</v>
      </c>
      <c r="AS269">
        <f t="shared" si="68"/>
        <v>-8.9876658127911639</v>
      </c>
    </row>
    <row r="270" spans="13:45" x14ac:dyDescent="0.25">
      <c r="M270" s="9"/>
      <c r="AJ270">
        <v>4.6774823953447751</v>
      </c>
      <c r="AK270">
        <v>-5.5753868120208523</v>
      </c>
      <c r="AL270">
        <v>-149.4432664202622</v>
      </c>
      <c r="AM270">
        <v>-8.5775181723397722</v>
      </c>
      <c r="AN270">
        <v>-229.91271756963414</v>
      </c>
      <c r="AQ270">
        <v>268</v>
      </c>
      <c r="AR270">
        <f t="shared" si="67"/>
        <v>-0.31409547032250684</v>
      </c>
      <c r="AS270">
        <f t="shared" si="68"/>
        <v>-8.994517443171862</v>
      </c>
    </row>
    <row r="271" spans="13:45" x14ac:dyDescent="0.25">
      <c r="M271" s="9"/>
      <c r="AJ271">
        <v>4.6949356878647182</v>
      </c>
      <c r="AK271">
        <v>-2.9897370517314878</v>
      </c>
      <c r="AL271">
        <v>-149.52291945138521</v>
      </c>
      <c r="AM271">
        <v>-4.5995954642022889</v>
      </c>
      <c r="AN271">
        <v>-230.03526069443876</v>
      </c>
      <c r="AQ271">
        <v>269</v>
      </c>
      <c r="AR271">
        <f t="shared" si="67"/>
        <v>-0.15707165793555147</v>
      </c>
      <c r="AS271">
        <f t="shared" si="68"/>
        <v>-8.9986292564075221</v>
      </c>
    </row>
    <row r="272" spans="13:45" x14ac:dyDescent="0.25">
      <c r="M272" s="9"/>
      <c r="AJ272">
        <v>4.7123889803846613</v>
      </c>
      <c r="AK272">
        <v>-4.2272348153668043E-12</v>
      </c>
      <c r="AL272">
        <v>-149.66074281136025</v>
      </c>
      <c r="AM272">
        <v>-6.5034381774873912E-12</v>
      </c>
      <c r="AN272">
        <v>-230.24729663286192</v>
      </c>
      <c r="AQ272">
        <v>270</v>
      </c>
      <c r="AR272">
        <f t="shared" si="67"/>
        <v>-1.653950414126637E-15</v>
      </c>
      <c r="AS272">
        <f t="shared" si="68"/>
        <v>-9</v>
      </c>
    </row>
    <row r="273" spans="13:45" x14ac:dyDescent="0.25">
      <c r="M273" s="9"/>
      <c r="AJ273">
        <v>4.7298422729046044</v>
      </c>
      <c r="AK273">
        <v>2.9897370517229969</v>
      </c>
      <c r="AL273">
        <v>-149.52291945138543</v>
      </c>
      <c r="AM273">
        <v>4.5995954641892256</v>
      </c>
      <c r="AN273">
        <v>-230.03526069443913</v>
      </c>
      <c r="AQ273">
        <v>271</v>
      </c>
      <c r="AR273">
        <f t="shared" si="67"/>
        <v>0.15707165793554817</v>
      </c>
      <c r="AS273">
        <f t="shared" si="68"/>
        <v>-8.9986292564075221</v>
      </c>
    </row>
    <row r="274" spans="13:45" x14ac:dyDescent="0.25">
      <c r="M274" s="9"/>
      <c r="AJ274">
        <v>4.7472955654245474</v>
      </c>
      <c r="AK274">
        <v>5.5753868120123666</v>
      </c>
      <c r="AL274">
        <v>-149.44326642026252</v>
      </c>
      <c r="AM274">
        <v>8.5775181723267178</v>
      </c>
      <c r="AN274">
        <v>-229.91271756963462</v>
      </c>
      <c r="AQ274">
        <v>272</v>
      </c>
      <c r="AR274">
        <f t="shared" si="67"/>
        <v>0.31409547032251151</v>
      </c>
      <c r="AS274">
        <f t="shared" si="68"/>
        <v>-8.994517443171862</v>
      </c>
    </row>
    <row r="275" spans="13:45" x14ac:dyDescent="0.25">
      <c r="M275" s="9"/>
      <c r="AJ275">
        <v>4.7647488579444905</v>
      </c>
      <c r="AK275">
        <v>8.1590702563726332</v>
      </c>
      <c r="AL275">
        <v>-149.32306350760399</v>
      </c>
      <c r="AM275">
        <v>12.552415779034821</v>
      </c>
      <c r="AN275">
        <v>-229.72779001169843</v>
      </c>
      <c r="AQ275">
        <v>273</v>
      </c>
      <c r="AR275">
        <f t="shared" si="67"/>
        <v>0.47102360618649552</v>
      </c>
      <c r="AS275">
        <f t="shared" si="68"/>
        <v>-8.9876658127911639</v>
      </c>
    </row>
    <row r="276" spans="13:45" x14ac:dyDescent="0.25">
      <c r="M276" s="9"/>
      <c r="AJ276">
        <v>4.7822021504644336</v>
      </c>
      <c r="AK276">
        <v>10.740444662791075</v>
      </c>
      <c r="AL276">
        <v>-149.16234882945221</v>
      </c>
      <c r="AM276">
        <v>16.523761019678577</v>
      </c>
      <c r="AN276">
        <v>-229.48053666069569</v>
      </c>
      <c r="AQ276">
        <v>274</v>
      </c>
      <c r="AR276">
        <f t="shared" si="67"/>
        <v>0.62780826369712694</v>
      </c>
      <c r="AS276">
        <f t="shared" si="68"/>
        <v>-8.9780764523384189</v>
      </c>
    </row>
    <row r="277" spans="13:45" x14ac:dyDescent="0.25">
      <c r="M277" s="9"/>
      <c r="AJ277">
        <v>4.7996554429843767</v>
      </c>
      <c r="AK277">
        <v>13.319167259842438</v>
      </c>
      <c r="AL277">
        <v>-148.96114258134148</v>
      </c>
      <c r="AM277">
        <v>20.491026553603749</v>
      </c>
      <c r="AN277">
        <v>-229.17098858667919</v>
      </c>
      <c r="AQ277">
        <v>275</v>
      </c>
      <c r="AR277">
        <f t="shared" si="67"/>
        <v>0.78440168472892102</v>
      </c>
      <c r="AS277">
        <f t="shared" si="68"/>
        <v>-8.9657522828257097</v>
      </c>
    </row>
    <row r="278" spans="13:45" x14ac:dyDescent="0.25">
      <c r="M278" s="9"/>
      <c r="AJ278">
        <v>4.8171087355043198</v>
      </c>
      <c r="AK278">
        <v>15.894893477099934</v>
      </c>
      <c r="AL278">
        <v>-148.71944711241616</v>
      </c>
      <c r="AM278">
        <v>24.453682272461435</v>
      </c>
      <c r="AN278">
        <v>-228.79914940371717</v>
      </c>
      <c r="AQ278">
        <v>276</v>
      </c>
      <c r="AR278">
        <f t="shared" si="67"/>
        <v>0.94075616940887685</v>
      </c>
      <c r="AS278">
        <f t="shared" si="68"/>
        <v>-8.9506970583144607</v>
      </c>
    </row>
    <row r="279" spans="13:45" x14ac:dyDescent="0.25">
      <c r="M279" s="9"/>
      <c r="AJ279">
        <v>4.8345620280242629</v>
      </c>
      <c r="AK279">
        <v>18.467275202136754</v>
      </c>
      <c r="AL279">
        <v>-148.43724711310483</v>
      </c>
      <c r="AM279">
        <v>28.411192618671929</v>
      </c>
      <c r="AN279">
        <v>-228.36499555862281</v>
      </c>
      <c r="AQ279">
        <v>277</v>
      </c>
      <c r="AR279">
        <f t="shared" si="67"/>
        <v>1.0968240906463291</v>
      </c>
      <c r="AS279">
        <f t="shared" si="68"/>
        <v>-8.9329153647718975</v>
      </c>
    </row>
    <row r="280" spans="13:45" x14ac:dyDescent="0.25">
      <c r="M280" s="9"/>
      <c r="AJ280">
        <v>4.852015320544206</v>
      </c>
      <c r="AK280">
        <v>21.035959050799484</v>
      </c>
      <c r="AL280">
        <v>-148.11450991590129</v>
      </c>
      <c r="AM280">
        <v>32.363013924306898</v>
      </c>
      <c r="AN280">
        <v>-227.8684767936943</v>
      </c>
      <c r="AQ280">
        <v>278</v>
      </c>
      <c r="AR280">
        <f t="shared" si="67"/>
        <v>1.2525579086405891</v>
      </c>
      <c r="AS280">
        <f t="shared" si="68"/>
        <v>-8.9124126186741339</v>
      </c>
    </row>
    <row r="281" spans="13:45" x14ac:dyDescent="0.25">
      <c r="M281" s="9"/>
      <c r="AJ281">
        <v>4.8694686130641491</v>
      </c>
      <c r="AK281">
        <v>23.60058465740768</v>
      </c>
      <c r="AL281">
        <v>-147.75118590842317</v>
      </c>
      <c r="AM281">
        <v>36.308591780627196</v>
      </c>
      <c r="AN281">
        <v>-227.30951678218949</v>
      </c>
      <c r="AQ281">
        <v>279</v>
      </c>
      <c r="AR281">
        <f t="shared" si="67"/>
        <v>1.4079101853620761</v>
      </c>
      <c r="AS281">
        <f t="shared" si="68"/>
        <v>-8.8891950653562404</v>
      </c>
    </row>
    <row r="282" spans="13:45" x14ac:dyDescent="0.25">
      <c r="M282" s="9"/>
      <c r="AJ282">
        <v>4.8869219055840922</v>
      </c>
      <c r="AK282">
        <v>26.160782991485693</v>
      </c>
      <c r="AL282">
        <v>-147.34720905754034</v>
      </c>
      <c r="AM282">
        <v>40.247358448439527</v>
      </c>
      <c r="AN282">
        <v>-226.68801393467743</v>
      </c>
      <c r="AQ282">
        <v>280</v>
      </c>
      <c r="AR282">
        <f t="shared" si="67"/>
        <v>1.5628335990023698</v>
      </c>
      <c r="AS282">
        <f t="shared" si="68"/>
        <v>-8.8632697771098741</v>
      </c>
    </row>
    <row r="283" spans="13:45" x14ac:dyDescent="0.25">
      <c r="M283" s="9"/>
      <c r="AJ283">
        <v>4.9043751981040353</v>
      </c>
      <c r="AK283">
        <v>28.71617470757873</v>
      </c>
      <c r="AL283">
        <v>-146.90249754306362</v>
      </c>
      <c r="AM283">
        <v>44.178730319351892</v>
      </c>
      <c r="AN283">
        <v>-226.00384237394402</v>
      </c>
      <c r="AQ283">
        <v>281</v>
      </c>
      <c r="AR283">
        <f t="shared" si="67"/>
        <v>1.7172809583889059</v>
      </c>
      <c r="AS283">
        <f t="shared" si="68"/>
        <v>-8.8346446510289756</v>
      </c>
    </row>
    <row r="284" spans="13:45" x14ac:dyDescent="0.25">
      <c r="M284" s="9"/>
      <c r="AJ284">
        <v>4.9218284906239784</v>
      </c>
      <c r="AK284">
        <v>31.266368534506633</v>
      </c>
      <c r="AL284">
        <v>-146.41695449859577</v>
      </c>
      <c r="AM284">
        <v>48.102105437702512</v>
      </c>
      <c r="AN284">
        <v>-225.25685307476272</v>
      </c>
      <c r="AQ284">
        <v>282</v>
      </c>
      <c r="AR284">
        <f t="shared" si="67"/>
        <v>1.8712052173598348</v>
      </c>
      <c r="AS284">
        <f t="shared" si="68"/>
        <v>-8.8033284066042494</v>
      </c>
    </row>
    <row r="285" spans="13:45" x14ac:dyDescent="0.25">
      <c r="M285" s="9"/>
      <c r="AJ285">
        <v>4.9392817831439215</v>
      </c>
      <c r="AK285">
        <v>33.810959710614874</v>
      </c>
      <c r="AL285">
        <v>-145.89046885832997</v>
      </c>
      <c r="AM285">
        <v>52.016861093253652</v>
      </c>
      <c r="AN285">
        <v>-224.44687516666147</v>
      </c>
      <c r="AQ285">
        <v>283</v>
      </c>
      <c r="AR285">
        <f t="shared" si="67"/>
        <v>2.0245594890947842</v>
      </c>
      <c r="AS285">
        <f t="shared" si="68"/>
        <v>-8.7693305830671164</v>
      </c>
    </row>
    <row r="286" spans="13:45" x14ac:dyDescent="0.25">
      <c r="M286" s="9"/>
      <c r="AJ286">
        <v>4.9567350756638646</v>
      </c>
      <c r="AK286">
        <v>36.34952881025486</v>
      </c>
      <c r="AL286">
        <v>-145.32291696495517</v>
      </c>
      <c r="AM286">
        <v>55.922352015776703</v>
      </c>
      <c r="AN286">
        <v>-223.57371840762332</v>
      </c>
      <c r="AQ286">
        <v>284</v>
      </c>
      <c r="AR286">
        <f t="shared" si="67"/>
        <v>2.1772970603970072</v>
      </c>
      <c r="AS286">
        <f t="shared" si="68"/>
        <v>-8.7326615364839686</v>
      </c>
    </row>
    <row r="287" spans="13:45" x14ac:dyDescent="0.25">
      <c r="M287" s="9"/>
      <c r="AJ287">
        <v>4.9741883681838077</v>
      </c>
      <c r="AK287">
        <v>38.881649374389475</v>
      </c>
      <c r="AL287">
        <v>-144.71417961694974</v>
      </c>
      <c r="AM287">
        <v>59.817922114445345</v>
      </c>
      <c r="AN287">
        <v>-222.63719941069189</v>
      </c>
      <c r="AQ287">
        <v>285</v>
      </c>
      <c r="AR287">
        <f t="shared" si="67"/>
        <v>2.3293714059226827</v>
      </c>
      <c r="AS287">
        <f t="shared" si="68"/>
        <v>-8.6933324366016151</v>
      </c>
    </row>
    <row r="288" spans="13:45" x14ac:dyDescent="0.25">
      <c r="M288" s="9"/>
      <c r="AJ288">
        <v>4.9916416607037508</v>
      </c>
      <c r="AK288">
        <v>41.400768669614365</v>
      </c>
      <c r="AL288">
        <v>-144.05401848619886</v>
      </c>
      <c r="AM288">
        <v>63.693490260945175</v>
      </c>
      <c r="AN288">
        <v>-221.62156690184437</v>
      </c>
      <c r="AQ288">
        <v>286</v>
      </c>
      <c r="AR288">
        <f t="shared" si="67"/>
        <v>2.4807362023529946</v>
      </c>
      <c r="AS288">
        <f t="shared" si="68"/>
        <v>-8.6513552634448683</v>
      </c>
    </row>
    <row r="289" spans="13:45" x14ac:dyDescent="0.25">
      <c r="M289" s="9"/>
      <c r="AJ289">
        <v>5.0090949532236939</v>
      </c>
      <c r="AK289">
        <v>43.886407620001023</v>
      </c>
      <c r="AL289">
        <v>-143.31382473715507</v>
      </c>
      <c r="AM289">
        <v>67.517550184616951</v>
      </c>
      <c r="AN289">
        <v>-220.48280728793088</v>
      </c>
      <c r="AQ289">
        <v>287</v>
      </c>
      <c r="AR289">
        <f t="shared" si="67"/>
        <v>2.6313453425046305</v>
      </c>
      <c r="AS289">
        <f t="shared" si="68"/>
        <v>-8.6067428036673181</v>
      </c>
    </row>
    <row r="290" spans="13:45" x14ac:dyDescent="0.25">
      <c r="M290" s="9"/>
      <c r="AJ290">
        <v>5.026548245743637</v>
      </c>
      <c r="AK290">
        <v>46.35891819183076</v>
      </c>
      <c r="AL290">
        <v>-142.53142794887142</v>
      </c>
      <c r="AM290">
        <v>71.321412602816551</v>
      </c>
      <c r="AN290">
        <v>-219.27911992134065</v>
      </c>
      <c r="AQ290">
        <v>288</v>
      </c>
      <c r="AR290">
        <f t="shared" si="67"/>
        <v>2.7811529493745253</v>
      </c>
      <c r="AS290">
        <f t="shared" si="68"/>
        <v>-8.5595086466563828</v>
      </c>
    </row>
    <row r="291" spans="13:45" x14ac:dyDescent="0.25">
      <c r="M291" s="9"/>
      <c r="AJ291">
        <v>5.0440015382635801</v>
      </c>
      <c r="AK291">
        <v>48.817636634757854</v>
      </c>
      <c r="AL291">
        <v>-141.70704968963307</v>
      </c>
      <c r="AM291">
        <v>75.104056361165931</v>
      </c>
      <c r="AN291">
        <v>-218.01084567635857</v>
      </c>
      <c r="AQ291">
        <v>289</v>
      </c>
      <c r="AR291">
        <f t="shared" si="67"/>
        <v>2.930113390114407</v>
      </c>
      <c r="AS291">
        <f t="shared" si="68"/>
        <v>-8.5096671803938531</v>
      </c>
    </row>
    <row r="292" spans="13:45" x14ac:dyDescent="0.25">
      <c r="M292" s="9"/>
      <c r="AJ292">
        <v>5.0614548307835232</v>
      </c>
      <c r="AK292">
        <v>51.261902101352426</v>
      </c>
      <c r="AL292">
        <v>-140.84091850177339</v>
      </c>
      <c r="AM292">
        <v>78.864464771311418</v>
      </c>
      <c r="AN292">
        <v>-216.67833615657443</v>
      </c>
      <c r="AQ292">
        <v>290</v>
      </c>
      <c r="AR292">
        <f t="shared" si="67"/>
        <v>3.0781812899310208</v>
      </c>
      <c r="AS292">
        <f t="shared" si="68"/>
        <v>-8.4572335870731745</v>
      </c>
    </row>
    <row r="293" spans="13:45" x14ac:dyDescent="0.25">
      <c r="M293" s="9"/>
      <c r="AJ293">
        <v>5.0789081233034663</v>
      </c>
      <c r="AK293">
        <v>53.691056475464123</v>
      </c>
      <c r="AL293">
        <v>-139.9332699285338</v>
      </c>
      <c r="AM293">
        <v>82.601625346867877</v>
      </c>
      <c r="AN293">
        <v>-215.28195373620585</v>
      </c>
      <c r="AQ293">
        <v>291</v>
      </c>
      <c r="AR293">
        <f t="shared" si="67"/>
        <v>3.2253115459077035</v>
      </c>
      <c r="AS293">
        <f t="shared" si="68"/>
        <v>-8.402223838474816</v>
      </c>
    </row>
    <row r="294" spans="13:45" x14ac:dyDescent="0.25">
      <c r="M294" s="9"/>
      <c r="AJ294">
        <v>5.0963614158234094</v>
      </c>
      <c r="AK294">
        <v>56.104444206596035</v>
      </c>
      <c r="AL294">
        <v>-138.98434656223034</v>
      </c>
      <c r="AM294">
        <v>86.314529548609286</v>
      </c>
      <c r="AN294">
        <v>-213.82207163420051</v>
      </c>
      <c r="AQ294">
        <v>292</v>
      </c>
      <c r="AR294">
        <f t="shared" si="67"/>
        <v>3.3714593407432076</v>
      </c>
      <c r="AS294">
        <f t="shared" si="68"/>
        <v>-8.3446546911010877</v>
      </c>
    </row>
    <row r="295" spans="13:45" x14ac:dyDescent="0.25">
      <c r="M295" s="9"/>
      <c r="AJ295">
        <v>5.1138147083433525</v>
      </c>
      <c r="AK295">
        <v>58.501412152066429</v>
      </c>
      <c r="AL295">
        <v>-137.99439811381811</v>
      </c>
      <c r="AM295">
        <v>90.002172541640661</v>
      </c>
      <c r="AN295">
        <v>-212.29907402125863</v>
      </c>
      <c r="AQ295">
        <v>293</v>
      </c>
      <c r="AR295">
        <f t="shared" si="67"/>
        <v>3.5165801564034616</v>
      </c>
      <c r="AS295">
        <f t="shared" si="68"/>
        <v>-8.2845436810719644</v>
      </c>
    </row>
    <row r="296" spans="13:45" x14ac:dyDescent="0.25">
      <c r="M296" s="9"/>
      <c r="AJ296">
        <v>5.1312680008632956</v>
      </c>
      <c r="AK296">
        <v>60.88130942826308</v>
      </c>
      <c r="AL296">
        <v>-136.96368150264186</v>
      </c>
      <c r="AM296">
        <v>93.663552966558584</v>
      </c>
      <c r="AN296">
        <v>-210.71335615791054</v>
      </c>
      <c r="AQ296">
        <v>294</v>
      </c>
      <c r="AR296">
        <f t="shared" si="67"/>
        <v>3.6606297876821978</v>
      </c>
      <c r="AS296">
        <f t="shared" si="68"/>
        <v>-8.2219091187834099</v>
      </c>
    </row>
    <row r="297" spans="13:45" x14ac:dyDescent="0.25">
      <c r="M297" s="9"/>
      <c r="AJ297">
        <v>5.1487212933832387</v>
      </c>
      <c r="AK297">
        <v>63.235410161167323</v>
      </c>
      <c r="AL297">
        <v>-135.85013559812421</v>
      </c>
      <c r="AM297">
        <v>97.285246401795874</v>
      </c>
      <c r="AN297">
        <v>-209.00020861249877</v>
      </c>
      <c r="AQ297">
        <v>295</v>
      </c>
      <c r="AR297">
        <f t="shared" si="67"/>
        <v>3.8035643556662966</v>
      </c>
      <c r="AS297">
        <f t="shared" si="68"/>
        <v>-8.1567700833298495</v>
      </c>
    </row>
    <row r="298" spans="13:45" x14ac:dyDescent="0.25">
      <c r="M298" s="9"/>
      <c r="AJ298">
        <v>5.1661745859031818</v>
      </c>
      <c r="AK298">
        <v>65.56641587348139</v>
      </c>
      <c r="AL298">
        <v>-134.68883973602476</v>
      </c>
      <c r="AM298">
        <v>100.87140903612521</v>
      </c>
      <c r="AN298">
        <v>-207.21359959388425</v>
      </c>
      <c r="AQ298">
        <v>296</v>
      </c>
      <c r="AR298">
        <f t="shared" si="67"/>
        <v>3.9453403211016966</v>
      </c>
      <c r="AS298">
        <f t="shared" si="68"/>
        <v>-8.089146416692504</v>
      </c>
    </row>
    <row r="299" spans="13:45" x14ac:dyDescent="0.25">
      <c r="M299" s="9"/>
      <c r="AJ299">
        <v>5.1836278784231249</v>
      </c>
      <c r="AK299">
        <v>67.875887950649627</v>
      </c>
      <c r="AL299">
        <v>-133.49184894654451</v>
      </c>
      <c r="AM299">
        <v>104.42444300099942</v>
      </c>
      <c r="AN299">
        <v>-205.37207530237615</v>
      </c>
      <c r="AQ299">
        <v>297</v>
      </c>
      <c r="AR299">
        <f t="shared" si="67"/>
        <v>4.0859144976559199</v>
      </c>
      <c r="AS299">
        <f t="shared" si="68"/>
        <v>-8.0190587176953105</v>
      </c>
    </row>
    <row r="300" spans="13:45" x14ac:dyDescent="0.25">
      <c r="M300" s="9"/>
      <c r="AJ300">
        <v>5.201081170943068</v>
      </c>
      <c r="AK300">
        <v>70.163576327357774</v>
      </c>
      <c r="AL300">
        <v>-132.25952866593215</v>
      </c>
      <c r="AM300">
        <v>107.94396358055042</v>
      </c>
      <c r="AN300">
        <v>-203.47619794758791</v>
      </c>
      <c r="AQ300">
        <v>298</v>
      </c>
      <c r="AR300">
        <f t="shared" si="67"/>
        <v>4.2252440650730136</v>
      </c>
      <c r="AS300">
        <f t="shared" si="68"/>
        <v>-7.9465283357303438</v>
      </c>
    </row>
    <row r="301" spans="13:45" x14ac:dyDescent="0.25">
      <c r="M301" s="9"/>
      <c r="AJ301">
        <v>5.2185344634630111</v>
      </c>
      <c r="AK301">
        <v>72.429239190305708</v>
      </c>
      <c r="AL301">
        <v>-130.99224322279358</v>
      </c>
      <c r="AM301">
        <v>111.42959875431647</v>
      </c>
      <c r="AN301">
        <v>-201.52652803506703</v>
      </c>
      <c r="AQ301">
        <v>299</v>
      </c>
      <c r="AR301">
        <f t="shared" si="67"/>
        <v>4.3632865822170359</v>
      </c>
      <c r="AS301">
        <f t="shared" si="68"/>
        <v>-7.871577364254561</v>
      </c>
    </row>
    <row r="302" spans="13:45" x14ac:dyDescent="0.25">
      <c r="M302" s="9"/>
      <c r="AJ302">
        <v>5.2359877559829542</v>
      </c>
      <c r="AK302">
        <v>74.67263786580169</v>
      </c>
      <c r="AL302">
        <v>-129.69033787424942</v>
      </c>
      <c r="AM302">
        <v>114.88098133200259</v>
      </c>
      <c r="AN302">
        <v>-199.5235967296145</v>
      </c>
      <c r="AQ302">
        <v>300</v>
      </c>
      <c r="AR302">
        <f t="shared" si="67"/>
        <v>4.5000000000000009</v>
      </c>
      <c r="AS302">
        <f t="shared" si="68"/>
        <v>-7.7942286340599471</v>
      </c>
    </row>
    <row r="303" spans="13:45" x14ac:dyDescent="0.25">
      <c r="M303" s="9"/>
      <c r="AJ303">
        <v>5.2534410485028973</v>
      </c>
      <c r="AK303">
        <v>76.893534887252429</v>
      </c>
      <c r="AL303">
        <v>-128.3541383285316</v>
      </c>
      <c r="AM303">
        <v>118.29774598038834</v>
      </c>
      <c r="AN303">
        <v>-197.46790512081785</v>
      </c>
      <c r="AQ303">
        <v>301</v>
      </c>
      <c r="AR303">
        <f t="shared" si="67"/>
        <v>4.6353426741904871</v>
      </c>
      <c r="AS303">
        <f t="shared" si="68"/>
        <v>-7.7145057063190112</v>
      </c>
    </row>
    <row r="304" spans="13:45" x14ac:dyDescent="0.25">
      <c r="M304" s="9"/>
      <c r="AJ304">
        <v>5.2708943410228404</v>
      </c>
      <c r="AK304">
        <v>79.091692252183975</v>
      </c>
      <c r="AL304">
        <v>-126.98395110209951</v>
      </c>
      <c r="AM304">
        <v>121.6795265418215</v>
      </c>
      <c r="AN304">
        <v>-195.35992477246077</v>
      </c>
      <c r="AQ304">
        <v>302</v>
      </c>
      <c r="AR304">
        <f t="shared" si="67"/>
        <v>4.7692733780988421</v>
      </c>
      <c r="AS304">
        <f t="shared" si="68"/>
        <v>-7.6324328654078357</v>
      </c>
    </row>
    <row r="305" spans="13:45" x14ac:dyDescent="0.25">
      <c r="M305" s="9"/>
      <c r="AJ305">
        <v>5.2883476335427835</v>
      </c>
      <c r="AK305">
        <v>81.26686971212898</v>
      </c>
      <c r="AL305">
        <v>-125.58006398748282</v>
      </c>
      <c r="AM305">
        <v>125.02595340327535</v>
      </c>
      <c r="AN305">
        <v>-193.20009844228125</v>
      </c>
      <c r="AQ305">
        <v>303</v>
      </c>
      <c r="AR305">
        <f t="shared" si="67"/>
        <v>4.9017513151352397</v>
      </c>
      <c r="AS305">
        <f t="shared" si="68"/>
        <v>-7.5480351115088187</v>
      </c>
    </row>
    <row r="306" spans="13:45" x14ac:dyDescent="0.25">
      <c r="M306" s="9"/>
      <c r="AJ306">
        <v>5.3058009260627266</v>
      </c>
      <c r="AK306">
        <v>83.418823101185225</v>
      </c>
      <c r="AL306">
        <v>-124.14274662856586</v>
      </c>
      <c r="AM306">
        <v>128.33665092490034</v>
      </c>
      <c r="AN306">
        <v>-190.9888409670244</v>
      </c>
      <c r="AQ306">
        <v>304</v>
      </c>
      <c r="AR306">
        <f t="shared" si="67"/>
        <v>5.0327361312367227</v>
      </c>
      <c r="AS306">
        <f t="shared" si="68"/>
        <v>-7.4613381529953742</v>
      </c>
    </row>
    <row r="307" spans="13:45" x14ac:dyDescent="0.25">
      <c r="M307" s="9"/>
      <c r="AJ307">
        <v>5.3232542185826697</v>
      </c>
      <c r="AK307">
        <v>85.547302709653835</v>
      </c>
      <c r="AL307">
        <v>-122.67225120106531</v>
      </c>
      <c r="AM307">
        <v>131.61123493792897</v>
      </c>
      <c r="AN307">
        <v>-188.72654030933123</v>
      </c>
      <c r="AQ307">
        <v>305</v>
      </c>
      <c r="AR307">
        <f t="shared" si="67"/>
        <v>5.1621879271594144</v>
      </c>
      <c r="AS307">
        <f t="shared" si="68"/>
        <v>-7.3723683986009263</v>
      </c>
    </row>
    <row r="308" spans="13:45" x14ac:dyDescent="0.25">
      <c r="M308" s="9"/>
      <c r="AJ308">
        <v>5.3407075111026128</v>
      </c>
      <c r="AK308">
        <v>87.652051708747535</v>
      </c>
      <c r="AL308">
        <v>-121.16881319514815</v>
      </c>
      <c r="AM308">
        <v>134.84931032115006</v>
      </c>
      <c r="AN308">
        <v>-186.41355876176638</v>
      </c>
      <c r="AQ308">
        <v>306</v>
      </c>
      <c r="AR308">
        <f t="shared" si="67"/>
        <v>5.2900672706322567</v>
      </c>
      <c r="AS308">
        <f t="shared" si="68"/>
        <v>-7.2811529493745279</v>
      </c>
    </row>
    <row r="309" spans="13:45" x14ac:dyDescent="0.25">
      <c r="M309" s="9"/>
      <c r="AJ309">
        <v>5.3581608036225559</v>
      </c>
      <c r="AK309">
        <v>89.73280463220479</v>
      </c>
      <c r="AL309">
        <v>-119.63265229686642</v>
      </c>
      <c r="AM309">
        <v>138.05046866493043</v>
      </c>
      <c r="AN309">
        <v>-184.05023430287142</v>
      </c>
      <c r="AQ309">
        <v>307</v>
      </c>
      <c r="AR309">
        <f t="shared" si="67"/>
        <v>5.4163352083684311</v>
      </c>
      <c r="AS309">
        <f t="shared" si="68"/>
        <v>-7.1877195904256377</v>
      </c>
    </row>
    <row r="310" spans="13:45" x14ac:dyDescent="0.25">
      <c r="M310" s="9"/>
      <c r="AJ310">
        <v>5.375614096142499</v>
      </c>
      <c r="AK310">
        <v>91.789285920440662</v>
      </c>
      <c r="AL310">
        <v>-118.06397336476827</v>
      </c>
      <c r="AM310">
        <v>141.21428603144716</v>
      </c>
      <c r="AN310">
        <v>-181.63688209964349</v>
      </c>
      <c r="AQ310">
        <v>308</v>
      </c>
      <c r="AR310">
        <f t="shared" si="67"/>
        <v>5.5409532779309263</v>
      </c>
      <c r="AS310">
        <f t="shared" si="68"/>
        <v>-7.0920967824604961</v>
      </c>
    </row>
    <row r="311" spans="13:45" x14ac:dyDescent="0.25">
      <c r="M311" s="9"/>
      <c r="AJ311">
        <v>5.3930673886624421</v>
      </c>
      <c r="AK311">
        <v>93.821208532642117</v>
      </c>
      <c r="AL311">
        <v>-116.46296749773471</v>
      </c>
      <c r="AM311">
        <v>144.3403208194494</v>
      </c>
      <c r="AN311">
        <v>-179.17379615036108</v>
      </c>
      <c r="AQ311">
        <v>309</v>
      </c>
      <c r="AR311">
        <f t="shared" si="67"/>
        <v>5.6638835194485377</v>
      </c>
      <c r="AS311">
        <f t="shared" si="68"/>
        <v>-6.9943136531127372</v>
      </c>
    </row>
    <row r="312" spans="13:45" x14ac:dyDescent="0.25">
      <c r="M312" s="9"/>
      <c r="AJ312">
        <v>5.4105206811823852</v>
      </c>
      <c r="AK312">
        <v>96.200071135622053</v>
      </c>
      <c r="AL312">
        <v>-114.64678038370454</v>
      </c>
      <c r="AM312">
        <v>148.00010943941854</v>
      </c>
      <c r="AN312">
        <v>-176.3796621287762</v>
      </c>
      <c r="AQ312">
        <v>310</v>
      </c>
      <c r="AR312">
        <f t="shared" si="67"/>
        <v>5.7850884871788537</v>
      </c>
      <c r="AS312">
        <f t="shared" si="68"/>
        <v>-6.8943999880708029</v>
      </c>
    </row>
    <row r="313" spans="13:45" x14ac:dyDescent="0.25">
      <c r="M313" s="9"/>
      <c r="AJ313">
        <v>5.4279739737023283</v>
      </c>
      <c r="AK313">
        <v>98.401751442367456</v>
      </c>
      <c r="AL313">
        <v>-112.61943563159285</v>
      </c>
      <c r="AM313">
        <v>151.38730991133454</v>
      </c>
      <c r="AN313">
        <v>-173.26067020245054</v>
      </c>
      <c r="AQ313">
        <v>311</v>
      </c>
      <c r="AR313">
        <f t="shared" si="67"/>
        <v>5.9045312609145633</v>
      </c>
      <c r="AS313">
        <f t="shared" si="68"/>
        <v>-6.79238622200495</v>
      </c>
    </row>
    <row r="314" spans="13:45" x14ac:dyDescent="0.25">
      <c r="M314" s="9"/>
      <c r="AJ314">
        <v>5.4454272662222714</v>
      </c>
      <c r="AK314">
        <v>100.33127409160926</v>
      </c>
      <c r="AL314">
        <v>-110.89639424082056</v>
      </c>
      <c r="AM314">
        <v>154.35580629478346</v>
      </c>
      <c r="AN314">
        <v>-170.60983729357008</v>
      </c>
      <c r="AQ314">
        <v>312</v>
      </c>
      <c r="AR314">
        <f t="shared" si="67"/>
        <v>6.0221754572297197</v>
      </c>
      <c r="AS314">
        <f t="shared" si="68"/>
        <v>-6.6883034292965515</v>
      </c>
    </row>
    <row r="315" spans="13:45" x14ac:dyDescent="0.25">
      <c r="M315" s="9"/>
      <c r="AJ315">
        <v>5.4628805587422145</v>
      </c>
      <c r="AK315">
        <v>102.23322549403484</v>
      </c>
      <c r="AL315">
        <v>-109.1435537621448</v>
      </c>
      <c r="AM315">
        <v>157.28188537543821</v>
      </c>
      <c r="AN315">
        <v>-167.91315963406893</v>
      </c>
      <c r="AQ315">
        <v>313</v>
      </c>
      <c r="AR315">
        <f t="shared" si="67"/>
        <v>6.1379852405624877</v>
      </c>
      <c r="AS315">
        <f t="shared" si="68"/>
        <v>-6.582183314572533</v>
      </c>
    </row>
    <row r="316" spans="13:45" x14ac:dyDescent="0.25">
      <c r="M316" s="9"/>
      <c r="AJ316">
        <v>5.4803338512621576</v>
      </c>
      <c r="AK316">
        <v>104.10736760987049</v>
      </c>
      <c r="AL316">
        <v>-107.36116369161127</v>
      </c>
      <c r="AM316">
        <v>160.1651809382623</v>
      </c>
      <c r="AN316">
        <v>-165.17102106401734</v>
      </c>
      <c r="AQ316">
        <v>314</v>
      </c>
      <c r="AR316">
        <f t="shared" si="67"/>
        <v>6.2519253341309753</v>
      </c>
      <c r="AS316">
        <f t="shared" si="68"/>
        <v>-6.4740582030478606</v>
      </c>
    </row>
    <row r="317" spans="13:45" x14ac:dyDescent="0.25">
      <c r="M317" s="9"/>
      <c r="AJ317">
        <v>5.4977871437821006</v>
      </c>
      <c r="AK317">
        <v>105.95345084240996</v>
      </c>
      <c r="AL317">
        <v>-105.54945982912191</v>
      </c>
      <c r="AM317">
        <v>163.00530898832301</v>
      </c>
      <c r="AN317">
        <v>-162.38378435249524</v>
      </c>
      <c r="AQ317">
        <v>315</v>
      </c>
      <c r="AR317">
        <f t="shared" si="67"/>
        <v>6.3639610306789258</v>
      </c>
      <c r="AS317">
        <f t="shared" si="68"/>
        <v>-6.3639610306789294</v>
      </c>
    </row>
    <row r="318" spans="13:45" x14ac:dyDescent="0.25">
      <c r="M318" s="9"/>
      <c r="AJ318">
        <v>5.5152404363020437</v>
      </c>
      <c r="AK318">
        <v>107.77121274539341</v>
      </c>
      <c r="AL318">
        <v>-103.70866545982679</v>
      </c>
      <c r="AM318">
        <v>165.80186576214371</v>
      </c>
      <c r="AN318">
        <v>-159.55179301511814</v>
      </c>
      <c r="AQ318">
        <v>316</v>
      </c>
      <c r="AR318">
        <f t="shared" si="67"/>
        <v>6.474058203047858</v>
      </c>
      <c r="AS318">
        <f t="shared" si="68"/>
        <v>-6.251925334130978</v>
      </c>
    </row>
    <row r="319" spans="13:45" x14ac:dyDescent="0.25">
      <c r="M319" s="9"/>
      <c r="AJ319">
        <v>5.5326937288219868</v>
      </c>
      <c r="AK319">
        <v>109.56037680842779</v>
      </c>
      <c r="AL319">
        <v>-101.83899261826842</v>
      </c>
      <c r="AM319">
        <v>168.55442585911968</v>
      </c>
      <c r="AN319">
        <v>-156.67537325887449</v>
      </c>
      <c r="AQ319">
        <v>317</v>
      </c>
      <c r="AR319">
        <f t="shared" si="67"/>
        <v>6.5821833145725357</v>
      </c>
      <c r="AS319">
        <f t="shared" si="68"/>
        <v>-6.1379852405624842</v>
      </c>
    </row>
    <row r="320" spans="13:45" x14ac:dyDescent="0.25">
      <c r="M320" s="9"/>
      <c r="AJ320">
        <v>5.5501470213419299</v>
      </c>
      <c r="AK320">
        <v>111.32065132527795</v>
      </c>
      <c r="AL320">
        <v>-99.94064343064052</v>
      </c>
      <c r="AM320">
        <v>171.2625405004276</v>
      </c>
      <c r="AN320">
        <v>-153.75483604713926</v>
      </c>
      <c r="AQ320">
        <v>318</v>
      </c>
      <c r="AR320">
        <f t="shared" si="67"/>
        <v>6.688303429296548</v>
      </c>
      <c r="AS320">
        <f t="shared" si="68"/>
        <v>-6.0221754572297232</v>
      </c>
    </row>
    <row r="321" spans="13:45" x14ac:dyDescent="0.25">
      <c r="M321" s="9"/>
      <c r="AJ321">
        <v>5.567600313861873</v>
      </c>
      <c r="AK321">
        <v>113.05172834959222</v>
      </c>
      <c r="AL321">
        <v>-98.013811530247622</v>
      </c>
      <c r="AM321">
        <v>173.92573592244958</v>
      </c>
      <c r="AN321">
        <v>-150.79047927730403</v>
      </c>
      <c r="AQ321">
        <v>319</v>
      </c>
      <c r="AR321">
        <f t="shared" si="67"/>
        <v>6.7923862220049473</v>
      </c>
      <c r="AS321">
        <f t="shared" si="68"/>
        <v>-5.9045312609145668</v>
      </c>
    </row>
    <row r="322" spans="13:45" x14ac:dyDescent="0.25">
      <c r="M322" s="9"/>
      <c r="AJ322">
        <v>5.5850536063818161</v>
      </c>
      <c r="AK322">
        <v>114.75328274234745</v>
      </c>
      <c r="AL322">
        <v>-96.058683540994622</v>
      </c>
      <c r="AM322">
        <v>176.54351191130377</v>
      </c>
      <c r="AN322">
        <v>-147.78259006306865</v>
      </c>
      <c r="AQ322">
        <v>320</v>
      </c>
      <c r="AR322">
        <f t="shared" si="67"/>
        <v>6.8943999880708002</v>
      </c>
      <c r="AS322">
        <f t="shared" si="68"/>
        <v>-5.7850884871788564</v>
      </c>
    </row>
    <row r="323" spans="13:45" x14ac:dyDescent="0.25">
      <c r="M323" s="9"/>
      <c r="AJ323">
        <v>5.6025068989017592</v>
      </c>
      <c r="AK323">
        <v>116.42497131506225</v>
      </c>
      <c r="AL323">
        <v>-94.075440623538512</v>
      </c>
      <c r="AM323">
        <v>179.11534048471114</v>
      </c>
      <c r="AN323">
        <v>-144.73144711313617</v>
      </c>
      <c r="AQ323">
        <v>321</v>
      </c>
      <c r="AR323">
        <f t="shared" ref="AR323:AR362" si="69">$B$3*COS(RADIANS(AQ323))</f>
        <v>6.9943136531127355</v>
      </c>
      <c r="AS323">
        <f t="shared" ref="AS323:AS362" si="70">$B$3*SIN(RADIANS(AQ323))</f>
        <v>-5.6638835194485404</v>
      </c>
    </row>
    <row r="324" spans="13:45" x14ac:dyDescent="0.25">
      <c r="M324" s="9"/>
      <c r="AJ324">
        <v>5.6199601914217023</v>
      </c>
      <c r="AK324">
        <v>118.06643207210328</v>
      </c>
      <c r="AL324">
        <v>-92.064260078180524</v>
      </c>
      <c r="AM324">
        <v>181.64066472631274</v>
      </c>
      <c r="AN324">
        <v>-141.6373231972008</v>
      </c>
      <c r="AQ324">
        <v>322</v>
      </c>
      <c r="AR324">
        <f t="shared" si="69"/>
        <v>7.0920967824604979</v>
      </c>
      <c r="AS324">
        <f t="shared" si="70"/>
        <v>-5.5409532779309236</v>
      </c>
    </row>
    <row r="325" spans="13:45" x14ac:dyDescent="0.25">
      <c r="M325" s="9"/>
      <c r="AJ325">
        <v>5.6374134839416454</v>
      </c>
      <c r="AK325">
        <v>119.67728355632985</v>
      </c>
      <c r="AL325">
        <v>-90.025316999352881</v>
      </c>
      <c r="AM325">
        <v>184.118897778969</v>
      </c>
      <c r="AN325">
        <v>-138.50048769131212</v>
      </c>
      <c r="AQ325">
        <v>323</v>
      </c>
      <c r="AR325">
        <f t="shared" si="69"/>
        <v>7.187719590425635</v>
      </c>
      <c r="AS325">
        <f t="shared" si="70"/>
        <v>-5.4163352083684346</v>
      </c>
    </row>
    <row r="326" spans="13:45" x14ac:dyDescent="0.25">
      <c r="M326" s="9"/>
      <c r="AJ326">
        <v>5.6548667764615885</v>
      </c>
      <c r="AK326">
        <v>121.25712498366724</v>
      </c>
      <c r="AL326">
        <v>-87.9587862616698</v>
      </c>
      <c r="AM326">
        <v>186.54942305179574</v>
      </c>
      <c r="AN326">
        <v>-135.32120963333816</v>
      </c>
      <c r="AQ326">
        <v>324</v>
      </c>
      <c r="AR326">
        <f t="shared" si="69"/>
        <v>7.2811529493745262</v>
      </c>
      <c r="AS326">
        <f t="shared" si="70"/>
        <v>-5.2900672706322602</v>
      </c>
    </row>
    <row r="327" spans="13:45" x14ac:dyDescent="0.25">
      <c r="M327" s="9"/>
      <c r="AJ327">
        <v>5.6723200689815316</v>
      </c>
      <c r="AK327">
        <v>122.8055530462785</v>
      </c>
      <c r="AL327">
        <v>-85.864850674053073</v>
      </c>
      <c r="AM327">
        <v>188.9316200711977</v>
      </c>
      <c r="AN327">
        <v>-132.09977026777395</v>
      </c>
      <c r="AQ327">
        <v>325</v>
      </c>
      <c r="AR327">
        <f t="shared" si="69"/>
        <v>7.3723683986009245</v>
      </c>
      <c r="AS327">
        <f t="shared" si="70"/>
        <v>-5.1621879271594189</v>
      </c>
    </row>
    <row r="328" spans="13:45" x14ac:dyDescent="0.25">
      <c r="M328" s="9"/>
      <c r="AJ328">
        <v>5.6897733615014747</v>
      </c>
      <c r="AK328">
        <v>124.31096698869604</v>
      </c>
      <c r="AL328">
        <v>-83.739879237985363</v>
      </c>
      <c r="AM328">
        <v>191.24764152107082</v>
      </c>
      <c r="AN328">
        <v>-128.83058344305439</v>
      </c>
      <c r="AQ328">
        <v>326</v>
      </c>
      <c r="AR328">
        <f t="shared" si="69"/>
        <v>7.4613381529953768</v>
      </c>
      <c r="AS328">
        <f t="shared" si="70"/>
        <v>-5.0327361312367191</v>
      </c>
    </row>
    <row r="329" spans="13:45" x14ac:dyDescent="0.25">
      <c r="M329" s="9"/>
      <c r="AJ329">
        <v>5.7072266540214178</v>
      </c>
      <c r="AK329">
        <v>125.73928952358705</v>
      </c>
      <c r="AL329">
        <v>-81.575120010236148</v>
      </c>
      <c r="AM329">
        <v>193.44506080551852</v>
      </c>
      <c r="AN329">
        <v>-125.50018463113253</v>
      </c>
      <c r="AQ329">
        <v>327</v>
      </c>
      <c r="AR329">
        <f t="shared" si="69"/>
        <v>7.5480351115088169</v>
      </c>
      <c r="AS329">
        <f t="shared" si="70"/>
        <v>-4.9017513151352432</v>
      </c>
    </row>
    <row r="330" spans="13:45" x14ac:dyDescent="0.25">
      <c r="M330" s="9"/>
      <c r="AJ330">
        <v>5.7246799465413609</v>
      </c>
      <c r="AK330">
        <v>127.13042754632288</v>
      </c>
      <c r="AL330">
        <v>-79.386470137866212</v>
      </c>
      <c r="AM330">
        <v>195.58527314818903</v>
      </c>
      <c r="AN330">
        <v>-122.13303098133262</v>
      </c>
      <c r="AQ330">
        <v>328</v>
      </c>
      <c r="AR330">
        <f t="shared" si="69"/>
        <v>7.6324328654078339</v>
      </c>
      <c r="AS330">
        <f t="shared" si="70"/>
        <v>-4.7692733780988448</v>
      </c>
    </row>
    <row r="331" spans="13:45" x14ac:dyDescent="0.25">
      <c r="M331" s="9"/>
      <c r="AJ331">
        <v>5.742133239061304</v>
      </c>
      <c r="AK331">
        <v>128.48401501598801</v>
      </c>
      <c r="AL331">
        <v>-77.174526002527259</v>
      </c>
      <c r="AM331">
        <v>197.66771540921232</v>
      </c>
      <c r="AN331">
        <v>-118.73004000388809</v>
      </c>
      <c r="AQ331">
        <v>329</v>
      </c>
      <c r="AR331">
        <f t="shared" si="69"/>
        <v>7.7145057063190094</v>
      </c>
      <c r="AS331">
        <f t="shared" si="70"/>
        <v>-4.6353426741904906</v>
      </c>
    </row>
    <row r="332" spans="13:45" x14ac:dyDescent="0.25">
      <c r="M332" s="9"/>
      <c r="AJ332">
        <v>5.7595865315812471</v>
      </c>
      <c r="AK332">
        <v>129.79969259826112</v>
      </c>
      <c r="AL332">
        <v>-74.939887462343677</v>
      </c>
      <c r="AM332">
        <v>199.69183476655556</v>
      </c>
      <c r="AN332">
        <v>-115.2921345574518</v>
      </c>
      <c r="AQ332">
        <v>330</v>
      </c>
      <c r="AR332">
        <f t="shared" si="69"/>
        <v>7.7942286340599454</v>
      </c>
      <c r="AS332">
        <f t="shared" si="70"/>
        <v>-4.5000000000000036</v>
      </c>
    </row>
    <row r="333" spans="13:45" x14ac:dyDescent="0.25">
      <c r="M333" s="9"/>
      <c r="AJ333">
        <v>5.7770398241011902</v>
      </c>
      <c r="AK333">
        <v>131.07710755119948</v>
      </c>
      <c r="AL333">
        <v>-72.683157982813768</v>
      </c>
      <c r="AM333">
        <v>201.65708854030689</v>
      </c>
      <c r="AN333">
        <v>-111.82024305048272</v>
      </c>
      <c r="AQ333">
        <v>331</v>
      </c>
      <c r="AR333">
        <f t="shared" si="69"/>
        <v>7.8715773642545628</v>
      </c>
      <c r="AS333">
        <f t="shared" si="70"/>
        <v>-4.3632865822170324</v>
      </c>
    </row>
    <row r="334" spans="13:45" x14ac:dyDescent="0.25">
      <c r="M334" s="9"/>
      <c r="AJ334">
        <v>5.7944931166211333</v>
      </c>
      <c r="AK334">
        <v>132.31591362932269</v>
      </c>
      <c r="AL334">
        <v>-70.404944780170126</v>
      </c>
      <c r="AM334">
        <v>203.56294404511183</v>
      </c>
      <c r="AN334">
        <v>-108.3152996618002</v>
      </c>
      <c r="AQ334">
        <v>332</v>
      </c>
      <c r="AR334">
        <f t="shared" si="69"/>
        <v>7.946528335730342</v>
      </c>
      <c r="AS334">
        <f t="shared" si="70"/>
        <v>-4.2252440650730172</v>
      </c>
    </row>
    <row r="335" spans="13:45" x14ac:dyDescent="0.25">
      <c r="M335" s="9"/>
      <c r="AJ335">
        <v>5.8119464091410764</v>
      </c>
      <c r="AK335">
        <v>133.51577100741684</v>
      </c>
      <c r="AL335">
        <v>-68.105858976125546</v>
      </c>
      <c r="AM335">
        <v>205.408878472949</v>
      </c>
      <c r="AN335">
        <v>-104.77824457865468</v>
      </c>
      <c r="AQ335">
        <v>333</v>
      </c>
      <c r="AR335">
        <f t="shared" si="69"/>
        <v>8.0190587176953105</v>
      </c>
      <c r="AS335">
        <f t="shared" si="70"/>
        <v>-4.0859144976559225</v>
      </c>
    </row>
    <row r="336" spans="13:45" x14ac:dyDescent="0.25">
      <c r="M336" s="9"/>
      <c r="AJ336">
        <v>5.8293997016610195</v>
      </c>
      <c r="AK336">
        <v>134.67634622427914</v>
      </c>
      <c r="AL336">
        <v>-65.786515762237642</v>
      </c>
      <c r="AM336">
        <v>207.1943788065833</v>
      </c>
      <c r="AN336">
        <v>-101.21002424959637</v>
      </c>
      <c r="AQ336">
        <v>334</v>
      </c>
      <c r="AR336">
        <f t="shared" si="69"/>
        <v>8.0891464166925005</v>
      </c>
      <c r="AS336">
        <f t="shared" si="70"/>
        <v>-3.9453403211017002</v>
      </c>
    </row>
    <row r="337" spans="13:45" x14ac:dyDescent="0.25">
      <c r="M337" s="9"/>
      <c r="AJ337">
        <v>5.8468529941809626</v>
      </c>
      <c r="AK337">
        <v>135.7639184990216</v>
      </c>
      <c r="AL337">
        <v>-63.420303326859148</v>
      </c>
      <c r="AM337">
        <v>208.86756692157169</v>
      </c>
      <c r="AN337">
        <v>-97.56969742593715</v>
      </c>
      <c r="AQ337">
        <v>335</v>
      </c>
      <c r="AR337">
        <f t="shared" si="69"/>
        <v>8.1567700833298495</v>
      </c>
      <c r="AS337">
        <f t="shared" si="70"/>
        <v>-3.803564355666293</v>
      </c>
    </row>
    <row r="338" spans="13:45" x14ac:dyDescent="0.25">
      <c r="M338" s="9"/>
      <c r="AJ338">
        <v>5.8643062867009057</v>
      </c>
      <c r="AK338">
        <v>136.80310588048067</v>
      </c>
      <c r="AL338">
        <v>-61.032357494896779</v>
      </c>
      <c r="AM338">
        <v>210.46631673920103</v>
      </c>
      <c r="AN338">
        <v>-93.895934607533505</v>
      </c>
      <c r="AQ338">
        <v>336</v>
      </c>
      <c r="AR338">
        <f t="shared" si="69"/>
        <v>8.2219091187834081</v>
      </c>
      <c r="AS338">
        <f t="shared" si="70"/>
        <v>-3.6606297876822014</v>
      </c>
    </row>
    <row r="339" spans="13:45" x14ac:dyDescent="0.25">
      <c r="M339" s="9"/>
      <c r="AJ339">
        <v>5.8817595792208488</v>
      </c>
      <c r="AK339">
        <v>137.80285328334705</v>
      </c>
      <c r="AL339">
        <v>-58.630909316030063</v>
      </c>
      <c r="AM339">
        <v>212.00438966668776</v>
      </c>
      <c r="AN339">
        <v>-90.201398947738554</v>
      </c>
      <c r="AQ339">
        <v>337</v>
      </c>
      <c r="AR339">
        <f t="shared" si="69"/>
        <v>8.2845436810719626</v>
      </c>
      <c r="AS339">
        <f t="shared" si="70"/>
        <v>-3.5165801564034651</v>
      </c>
    </row>
    <row r="340" spans="13:45" x14ac:dyDescent="0.25">
      <c r="M340" s="9"/>
      <c r="AJ340">
        <v>5.8992128717407919</v>
      </c>
      <c r="AK340">
        <v>138.7632040443691</v>
      </c>
      <c r="AL340">
        <v>-56.216399469552208</v>
      </c>
      <c r="AM340">
        <v>213.48185237595246</v>
      </c>
      <c r="AN340">
        <v>-86.486768414695703</v>
      </c>
      <c r="AQ340">
        <v>338</v>
      </c>
      <c r="AR340">
        <f t="shared" si="69"/>
        <v>8.3446546911010859</v>
      </c>
      <c r="AS340">
        <f t="shared" si="70"/>
        <v>-3.3714593407432112</v>
      </c>
    </row>
    <row r="341" spans="13:45" x14ac:dyDescent="0.25">
      <c r="M341" s="9"/>
      <c r="AJ341">
        <v>5.916666164260735</v>
      </c>
      <c r="AK341">
        <v>139.68420710972586</v>
      </c>
      <c r="AL341">
        <v>-53.789262481960506</v>
      </c>
      <c r="AM341">
        <v>214.898780168809</v>
      </c>
      <c r="AN341">
        <v>-82.752711510708465</v>
      </c>
      <c r="AQ341">
        <v>339</v>
      </c>
      <c r="AR341">
        <f t="shared" si="69"/>
        <v>8.4022238384748142</v>
      </c>
      <c r="AS341">
        <f t="shared" si="70"/>
        <v>-3.2253115459077071</v>
      </c>
    </row>
    <row r="342" spans="13:45" x14ac:dyDescent="0.25">
      <c r="M342" s="9"/>
      <c r="AJ342">
        <v>5.9341194567806781</v>
      </c>
      <c r="AK342">
        <v>140.56590157176126</v>
      </c>
      <c r="AL342">
        <v>-51.349916252045354</v>
      </c>
      <c r="AM342">
        <v>216.25523318732502</v>
      </c>
      <c r="AN342">
        <v>-78.999871156992853</v>
      </c>
      <c r="AQ342">
        <v>340</v>
      </c>
      <c r="AR342">
        <f t="shared" si="69"/>
        <v>8.4572335870731763</v>
      </c>
      <c r="AS342">
        <f t="shared" si="70"/>
        <v>-3.0781812899310173</v>
      </c>
    </row>
    <row r="343" spans="13:45" x14ac:dyDescent="0.25">
      <c r="M343" s="9"/>
      <c r="AJ343">
        <v>5.9515727493006212</v>
      </c>
      <c r="AK343">
        <v>141.40831488172691</v>
      </c>
      <c r="AL343">
        <v>-48.898762927371877</v>
      </c>
      <c r="AM343">
        <v>217.55125366419523</v>
      </c>
      <c r="AN343">
        <v>-75.228866042110582</v>
      </c>
      <c r="AQ343">
        <v>341</v>
      </c>
      <c r="AR343">
        <f t="shared" si="69"/>
        <v>8.5096671803938513</v>
      </c>
      <c r="AS343">
        <f t="shared" si="70"/>
        <v>-2.9301133901144105</v>
      </c>
    </row>
    <row r="344" spans="13:45" x14ac:dyDescent="0.25">
      <c r="M344" s="9"/>
      <c r="AJ344">
        <v>5.9690260418205643</v>
      </c>
      <c r="AK344">
        <v>142.21146174413244</v>
      </c>
      <c r="AL344">
        <v>-46.436190298211763</v>
      </c>
      <c r="AM344">
        <v>218.78686422174221</v>
      </c>
      <c r="AN344">
        <v>-71.440292766479629</v>
      </c>
      <c r="AQ344">
        <v>342</v>
      </c>
      <c r="AR344">
        <f t="shared" si="69"/>
        <v>8.559508646656381</v>
      </c>
      <c r="AS344">
        <f t="shared" si="70"/>
        <v>-2.7811529493745284</v>
      </c>
    </row>
    <row r="345" spans="13:45" x14ac:dyDescent="0.25">
      <c r="M345" s="9"/>
      <c r="AJ345">
        <v>5.9864793343405074</v>
      </c>
      <c r="AK345">
        <v>142.97534310744678</v>
      </c>
      <c r="AL345">
        <v>-43.962573255171222</v>
      </c>
      <c r="AM345">
        <v>219.96206631914887</v>
      </c>
      <c r="AN345">
        <v>-67.634728084878802</v>
      </c>
      <c r="AQ345">
        <v>343</v>
      </c>
      <c r="AR345">
        <f t="shared" si="69"/>
        <v>8.6067428036673181</v>
      </c>
      <c r="AS345">
        <f t="shared" si="70"/>
        <v>-2.6313453425046345</v>
      </c>
    </row>
    <row r="346" spans="13:45" x14ac:dyDescent="0.25">
      <c r="M346" s="9"/>
      <c r="AJ346">
        <v>6.0039326268604505</v>
      </c>
      <c r="AK346">
        <v>143.69994525348514</v>
      </c>
      <c r="AL346">
        <v>-41.478275304266106</v>
      </c>
      <c r="AM346">
        <v>221.07683885151559</v>
      </c>
      <c r="AN346">
        <v>-63.812731237332471</v>
      </c>
      <c r="AQ346">
        <v>344</v>
      </c>
      <c r="AR346">
        <f t="shared" si="69"/>
        <v>8.65135526344487</v>
      </c>
      <c r="AS346">
        <f t="shared" si="70"/>
        <v>-2.4807362023529906</v>
      </c>
    </row>
    <row r="347" spans="13:45" x14ac:dyDescent="0.25">
      <c r="M347" s="9"/>
      <c r="AJ347">
        <v>6.0213859193803936</v>
      </c>
      <c r="AK347">
        <v>144.38523898894653</v>
      </c>
      <c r="AL347">
        <v>-38.98365013360339</v>
      </c>
      <c r="AM347">
        <v>222.13113690607156</v>
      </c>
      <c r="AN347">
        <v>-59.974846359389829</v>
      </c>
      <c r="AQ347">
        <v>345</v>
      </c>
      <c r="AR347">
        <f t="shared" si="69"/>
        <v>8.6933324366016151</v>
      </c>
      <c r="AS347">
        <f t="shared" si="70"/>
        <v>-2.3293714059226862</v>
      </c>
    </row>
    <row r="348" spans="13:45" x14ac:dyDescent="0.25">
      <c r="M348" s="9"/>
      <c r="AJ348">
        <v>6.0388392119003367</v>
      </c>
      <c r="AK348">
        <v>145.03117894172721</v>
      </c>
      <c r="AL348">
        <v>-36.479043225479117</v>
      </c>
      <c r="AM348">
        <v>223.12489067958032</v>
      </c>
      <c r="AN348">
        <v>-56.121604962275562</v>
      </c>
      <c r="AQ348">
        <v>346</v>
      </c>
      <c r="AR348">
        <f t="shared" si="69"/>
        <v>8.7326615364839686</v>
      </c>
      <c r="AS348">
        <f t="shared" si="70"/>
        <v>-2.1772970603970108</v>
      </c>
    </row>
    <row r="349" spans="13:45" x14ac:dyDescent="0.25">
      <c r="M349" s="9"/>
      <c r="AJ349">
        <v>6.0562925044202798</v>
      </c>
      <c r="AK349">
        <v>145.63770296434473</v>
      </c>
      <c r="AL349">
        <v>-33.964793507596362</v>
      </c>
      <c r="AM349">
        <v>224.05800456053035</v>
      </c>
      <c r="AN349">
        <v>-52.253528473225167</v>
      </c>
      <c r="AQ349">
        <v>347</v>
      </c>
      <c r="AR349">
        <f t="shared" si="69"/>
        <v>8.7693305830671164</v>
      </c>
      <c r="AS349">
        <f t="shared" si="70"/>
        <v>-2.0245594890947882</v>
      </c>
    </row>
    <row r="350" spans="13:45" x14ac:dyDescent="0.25">
      <c r="M350" s="9"/>
      <c r="AJ350">
        <v>6.0737457969402229</v>
      </c>
      <c r="AK350">
        <v>146.20473164644704</v>
      </c>
      <c r="AL350">
        <v>-31.441235036994538</v>
      </c>
      <c r="AM350">
        <v>224.93035637914929</v>
      </c>
      <c r="AN350">
        <v>-48.371130826145439</v>
      </c>
      <c r="AQ350">
        <v>348</v>
      </c>
      <c r="AR350">
        <f t="shared" si="69"/>
        <v>8.8033284066042494</v>
      </c>
      <c r="AS350">
        <f t="shared" si="70"/>
        <v>-1.8712052173598388</v>
      </c>
    </row>
    <row r="351" spans="13:45" x14ac:dyDescent="0.25">
      <c r="M351" s="9"/>
      <c r="AJ351">
        <v>6.091199089460166</v>
      </c>
      <c r="AK351">
        <v>146.73216793800714</v>
      </c>
      <c r="AL351">
        <v>-28.908698710187576</v>
      </c>
      <c r="AM351">
        <v>225.74179682770327</v>
      </c>
      <c r="AN351">
        <v>-44.474921092596269</v>
      </c>
      <c r="AQ351">
        <v>349</v>
      </c>
      <c r="AR351">
        <f t="shared" si="69"/>
        <v>8.8346446510289756</v>
      </c>
      <c r="AS351">
        <f t="shared" si="70"/>
        <v>-1.7172809583889019</v>
      </c>
    </row>
    <row r="352" spans="13:45" x14ac:dyDescent="0.25">
      <c r="M352" s="9"/>
      <c r="AJ352">
        <v>6.1086523819801091</v>
      </c>
      <c r="AK352">
        <v>147.38705984219254</v>
      </c>
      <c r="AL352">
        <v>-25.988315257478298</v>
      </c>
      <c r="AM352">
        <v>226.74932283414236</v>
      </c>
      <c r="AN352">
        <v>-39.982023473043533</v>
      </c>
      <c r="AQ352">
        <v>350</v>
      </c>
      <c r="AR352">
        <f t="shared" si="69"/>
        <v>8.8632697771098723</v>
      </c>
      <c r="AS352">
        <f t="shared" si="70"/>
        <v>-1.5628335990023734</v>
      </c>
    </row>
    <row r="353" spans="13:45" x14ac:dyDescent="0.25">
      <c r="M353" s="9"/>
      <c r="AJ353">
        <v>6.1261056745000522</v>
      </c>
      <c r="AK353">
        <v>147.77049271947894</v>
      </c>
      <c r="AL353">
        <v>-23.02006625416994</v>
      </c>
      <c r="AM353">
        <v>227.33921956842912</v>
      </c>
      <c r="AN353">
        <v>-35.415486544876828</v>
      </c>
      <c r="AQ353">
        <v>351</v>
      </c>
      <c r="AR353">
        <f t="shared" si="69"/>
        <v>8.8891950653562386</v>
      </c>
      <c r="AS353">
        <f t="shared" si="70"/>
        <v>-1.4079101853620801</v>
      </c>
    </row>
    <row r="354" spans="13:45" x14ac:dyDescent="0.25">
      <c r="M354" s="9"/>
      <c r="AJ354">
        <v>6.1435589670199953</v>
      </c>
      <c r="AK354">
        <v>148.14104316583737</v>
      </c>
      <c r="AL354">
        <v>-20.459866719962669</v>
      </c>
      <c r="AM354">
        <v>227.90929717821135</v>
      </c>
      <c r="AN354">
        <v>-31.476718030711798</v>
      </c>
      <c r="AQ354">
        <v>352</v>
      </c>
      <c r="AR354">
        <f t="shared" si="69"/>
        <v>8.9124126186741321</v>
      </c>
      <c r="AS354">
        <f t="shared" si="70"/>
        <v>-1.2525579086405929</v>
      </c>
    </row>
    <row r="355" spans="13:45" x14ac:dyDescent="0.25">
      <c r="M355" s="9"/>
      <c r="AJ355">
        <v>6.1610122595399384</v>
      </c>
      <c r="AK355">
        <v>148.47131832729801</v>
      </c>
      <c r="AL355">
        <v>-17.894562215893991</v>
      </c>
      <c r="AM355">
        <v>228.41741281122771</v>
      </c>
      <c r="AN355">
        <v>-27.530095716759984</v>
      </c>
      <c r="AQ355">
        <v>353</v>
      </c>
      <c r="AR355">
        <f t="shared" si="69"/>
        <v>8.9329153647718993</v>
      </c>
      <c r="AS355">
        <f t="shared" si="70"/>
        <v>-1.0968240906463251</v>
      </c>
    </row>
    <row r="356" spans="13:45" x14ac:dyDescent="0.25">
      <c r="M356" s="9"/>
      <c r="AJ356">
        <v>6.1784655520598815</v>
      </c>
      <c r="AK356">
        <v>148.76129622778191</v>
      </c>
      <c r="AL356">
        <v>-15.324496876040428</v>
      </c>
      <c r="AM356">
        <v>228.86353265812602</v>
      </c>
      <c r="AN356">
        <v>-23.576149040062194</v>
      </c>
      <c r="AQ356">
        <v>354</v>
      </c>
      <c r="AR356">
        <f t="shared" si="69"/>
        <v>8.9506970583144589</v>
      </c>
      <c r="AS356">
        <f t="shared" si="70"/>
        <v>-0.94075616940888074</v>
      </c>
    </row>
    <row r="357" spans="13:45" x14ac:dyDescent="0.25">
      <c r="M357" s="9"/>
      <c r="AJ357">
        <v>6.1959188445798246</v>
      </c>
      <c r="AK357">
        <v>149.01093723437452</v>
      </c>
      <c r="AL357">
        <v>-12.750011771276856</v>
      </c>
      <c r="AM357">
        <v>229.24759574519157</v>
      </c>
      <c r="AN357">
        <v>-19.615402725041317</v>
      </c>
      <c r="AQ357">
        <v>355</v>
      </c>
      <c r="AR357">
        <f t="shared" si="69"/>
        <v>8.9657522828257097</v>
      </c>
      <c r="AS357">
        <f t="shared" si="70"/>
        <v>-0.78440168472892491</v>
      </c>
    </row>
    <row r="358" spans="13:45" x14ac:dyDescent="0.25">
      <c r="M358" s="9"/>
      <c r="AJ358">
        <v>6.2133721370997677</v>
      </c>
      <c r="AK358">
        <v>149.22018382650472</v>
      </c>
      <c r="AL358">
        <v>-10.171446645155644</v>
      </c>
      <c r="AM358">
        <v>229.56951357923802</v>
      </c>
      <c r="AN358">
        <v>-15.648379454085605</v>
      </c>
      <c r="AQ358">
        <v>356</v>
      </c>
      <c r="AR358">
        <f t="shared" si="69"/>
        <v>8.9780764523384171</v>
      </c>
      <c r="AS358">
        <f t="shared" si="70"/>
        <v>-0.62780826369713072</v>
      </c>
    </row>
    <row r="359" spans="13:45" x14ac:dyDescent="0.25">
      <c r="M359" s="9"/>
      <c r="AJ359">
        <v>6.2308254296197108</v>
      </c>
      <c r="AK359">
        <v>149.38896047809925</v>
      </c>
      <c r="AL359">
        <v>-7.5891416630144439</v>
      </c>
      <c r="AM359">
        <v>229.82916996630652</v>
      </c>
      <c r="AN359">
        <v>-11.67560255848376</v>
      </c>
      <c r="AQ359">
        <v>357</v>
      </c>
      <c r="AR359">
        <f t="shared" si="69"/>
        <v>8.9876658127911639</v>
      </c>
      <c r="AS359">
        <f t="shared" si="70"/>
        <v>-0.4710236061864993</v>
      </c>
    </row>
    <row r="360" spans="13:45" x14ac:dyDescent="0.25">
      <c r="M360" s="9"/>
      <c r="AJ360">
        <v>6.2482787221396539</v>
      </c>
      <c r="AK360">
        <v>149.5171736534306</v>
      </c>
      <c r="AL360">
        <v>-5.0034391676544248</v>
      </c>
      <c r="AM360">
        <v>230.02642100527785</v>
      </c>
      <c r="AN360">
        <v>-7.6975987194683455</v>
      </c>
      <c r="AQ360">
        <v>358</v>
      </c>
      <c r="AR360">
        <f t="shared" si="69"/>
        <v>8.994517443171862</v>
      </c>
      <c r="AS360">
        <f t="shared" si="70"/>
        <v>-0.3140954703225074</v>
      </c>
    </row>
    <row r="361" spans="13:45" x14ac:dyDescent="0.25">
      <c r="M361" s="9"/>
      <c r="AJ361">
        <v>6.2657320146595969</v>
      </c>
      <c r="AK361">
        <v>149.60471191699619</v>
      </c>
      <c r="AL361">
        <v>-2.4146854348918141</v>
      </c>
      <c r="AM361">
        <v>230.16109525691721</v>
      </c>
      <c r="AN361">
        <v>-3.7149006690643294</v>
      </c>
      <c r="AQ361">
        <v>359</v>
      </c>
      <c r="AR361">
        <f t="shared" si="69"/>
        <v>8.9986292564075221</v>
      </c>
      <c r="AS361">
        <f t="shared" si="70"/>
        <v>-0.15707165793555206</v>
      </c>
    </row>
    <row r="362" spans="13:45" x14ac:dyDescent="0.25">
      <c r="M362" s="9"/>
      <c r="AJ362">
        <v>6.28318530717954</v>
      </c>
      <c r="AK362">
        <v>149.65144615738782</v>
      </c>
      <c r="AL362">
        <v>0.17676757773259416</v>
      </c>
      <c r="AM362">
        <v>230.23299408828896</v>
      </c>
      <c r="AN362">
        <v>0.27195011958860638</v>
      </c>
      <c r="AQ362">
        <v>360</v>
      </c>
      <c r="AR362">
        <f t="shared" si="69"/>
        <v>9</v>
      </c>
      <c r="AS362">
        <f t="shared" si="70"/>
        <v>-2.205267218835516E-15</v>
      </c>
    </row>
  </sheetData>
  <dataValidations disablePrompts="1"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rent_na">
                <anchor moveWithCells="1" sizeWithCells="1">
                  <from>
                    <xdr:col>4</xdr:col>
                    <xdr:colOff>228600</xdr:colOff>
                    <xdr:row>3</xdr:row>
                    <xdr:rowOff>28575</xdr:rowOff>
                  </from>
                  <to>
                    <xdr:col>6</xdr:col>
                    <xdr:colOff>390525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circle_section</vt:lpstr>
      <vt:lpstr>Mx_vs_My</vt:lpstr>
      <vt:lpstr>P_M_Curve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2020-12-02T19:29:16Z</dcterms:modified>
</cp:coreProperties>
</file>