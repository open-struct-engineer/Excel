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41192" documentId="114_{1C343C16-8EA1-436B-9AC3-457546D8BE82}" xr6:coauthVersionLast="45" xr6:coauthVersionMax="45" xr10:uidLastSave="{59DF70AB-E886-4524-9414-98A1E33057B4}"/>
  <bookViews>
    <workbookView xWindow="960" yWindow="315" windowWidth="25170" windowHeight="16815" xr2:uid="{95B8903A-7944-4A5B-B8CD-C02474F51CAC}"/>
  </bookViews>
  <sheets>
    <sheet name="circle_section" sheetId="1" r:id="rId1"/>
    <sheet name="P_M_Curve" sheetId="2" r:id="rId2"/>
    <sheet name="P_M_Curve (Whitney vs PCA)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F105" i="1" l="1"/>
  <c r="BI104" i="1"/>
  <c r="BC3" i="1" l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BC2" i="1"/>
  <c r="AY2" i="1"/>
  <c r="AY104" i="1"/>
  <c r="AV105" i="1"/>
  <c r="BI105" i="1" l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M2" i="1"/>
  <c r="BI2" i="1"/>
  <c r="B7" i="1"/>
  <c r="AY105" i="1" l="1"/>
  <c r="L11" i="1" l="1"/>
  <c r="B133" i="1" l="1"/>
  <c r="B131" i="1"/>
  <c r="B126" i="1"/>
  <c r="B136" i="1" l="1"/>
  <c r="J136" i="1" l="1"/>
  <c r="K136" i="1" s="1"/>
  <c r="B140" i="1" l="1"/>
  <c r="D140" i="1" s="1"/>
  <c r="Z34" i="1"/>
  <c r="B141" i="1" l="1"/>
  <c r="D141" i="1" s="1"/>
  <c r="C38" i="1"/>
  <c r="C39" i="1"/>
  <c r="C40" i="1"/>
  <c r="C41" i="1"/>
  <c r="C42" i="1"/>
  <c r="C43" i="1"/>
  <c r="C44" i="1"/>
  <c r="C45" i="1"/>
  <c r="C46" i="1"/>
  <c r="C47" i="1"/>
  <c r="L47" i="1" s="1"/>
  <c r="C48" i="1"/>
  <c r="L48" i="1" s="1"/>
  <c r="C49" i="1"/>
  <c r="L49" i="1" s="1"/>
  <c r="C50" i="1"/>
  <c r="L50" i="1" s="1"/>
  <c r="C51" i="1"/>
  <c r="L51" i="1" s="1"/>
  <c r="C52" i="1"/>
  <c r="L52" i="1" s="1"/>
  <c r="C53" i="1"/>
  <c r="L53" i="1" s="1"/>
  <c r="C54" i="1"/>
  <c r="L54" i="1" s="1"/>
  <c r="C55" i="1"/>
  <c r="L55" i="1" s="1"/>
  <c r="C56" i="1"/>
  <c r="L56" i="1" s="1"/>
  <c r="C57" i="1"/>
  <c r="L57" i="1" s="1"/>
  <c r="C58" i="1"/>
  <c r="L58" i="1" s="1"/>
  <c r="C59" i="1"/>
  <c r="L59" i="1" s="1"/>
  <c r="C60" i="1"/>
  <c r="L60" i="1" s="1"/>
  <c r="C61" i="1"/>
  <c r="L61" i="1" s="1"/>
  <c r="C62" i="1"/>
  <c r="L62" i="1" s="1"/>
  <c r="C63" i="1"/>
  <c r="L63" i="1" s="1"/>
  <c r="C64" i="1"/>
  <c r="L64" i="1" s="1"/>
  <c r="C65" i="1"/>
  <c r="L65" i="1" s="1"/>
  <c r="C66" i="1"/>
  <c r="L66" i="1" s="1"/>
  <c r="C67" i="1"/>
  <c r="L67" i="1" s="1"/>
  <c r="C68" i="1"/>
  <c r="L68" i="1" s="1"/>
  <c r="C69" i="1"/>
  <c r="L69" i="1" s="1"/>
  <c r="C70" i="1"/>
  <c r="L70" i="1" s="1"/>
  <c r="C71" i="1"/>
  <c r="L71" i="1" s="1"/>
  <c r="C72" i="1"/>
  <c r="L72" i="1" s="1"/>
  <c r="C73" i="1"/>
  <c r="L73" i="1" s="1"/>
  <c r="C74" i="1"/>
  <c r="L74" i="1" s="1"/>
  <c r="C75" i="1"/>
  <c r="L75" i="1" s="1"/>
  <c r="C76" i="1"/>
  <c r="L76" i="1" s="1"/>
  <c r="C77" i="1"/>
  <c r="L77" i="1" s="1"/>
  <c r="C78" i="1"/>
  <c r="L78" i="1" s="1"/>
  <c r="C79" i="1"/>
  <c r="L79" i="1" s="1"/>
  <c r="C80" i="1"/>
  <c r="L80" i="1" s="1"/>
  <c r="C81" i="1"/>
  <c r="L81" i="1" s="1"/>
  <c r="C82" i="1"/>
  <c r="L82" i="1" s="1"/>
  <c r="C83" i="1"/>
  <c r="L83" i="1" s="1"/>
  <c r="C84" i="1"/>
  <c r="L84" i="1" s="1"/>
  <c r="C85" i="1"/>
  <c r="L85" i="1" s="1"/>
  <c r="C86" i="1"/>
  <c r="L86" i="1" s="1"/>
  <c r="C87" i="1"/>
  <c r="L87" i="1" s="1"/>
  <c r="C88" i="1"/>
  <c r="L88" i="1" s="1"/>
  <c r="C89" i="1"/>
  <c r="L89" i="1" s="1"/>
  <c r="C90" i="1"/>
  <c r="L90" i="1" s="1"/>
  <c r="C91" i="1"/>
  <c r="L91" i="1" s="1"/>
  <c r="C92" i="1"/>
  <c r="L92" i="1" s="1"/>
  <c r="C93" i="1"/>
  <c r="L93" i="1" s="1"/>
  <c r="C94" i="1"/>
  <c r="L94" i="1" s="1"/>
  <c r="C95" i="1"/>
  <c r="L95" i="1" s="1"/>
  <c r="C96" i="1"/>
  <c r="L96" i="1" s="1"/>
  <c r="C97" i="1"/>
  <c r="L97" i="1" s="1"/>
  <c r="C98" i="1"/>
  <c r="L98" i="1" s="1"/>
  <c r="C99" i="1"/>
  <c r="L99" i="1" s="1"/>
  <c r="C100" i="1"/>
  <c r="L100" i="1" s="1"/>
  <c r="C101" i="1"/>
  <c r="L101" i="1" s="1"/>
  <c r="C102" i="1"/>
  <c r="L102" i="1" s="1"/>
  <c r="C103" i="1"/>
  <c r="L103" i="1" s="1"/>
  <c r="C104" i="1"/>
  <c r="L104" i="1" s="1"/>
  <c r="C105" i="1"/>
  <c r="L105" i="1" s="1"/>
  <c r="C106" i="1"/>
  <c r="L106" i="1" s="1"/>
  <c r="C107" i="1"/>
  <c r="L107" i="1" s="1"/>
  <c r="C108" i="1"/>
  <c r="L108" i="1" s="1"/>
  <c r="C37" i="1"/>
  <c r="E32" i="1"/>
  <c r="D37" i="1" s="1"/>
  <c r="AA37" i="1"/>
  <c r="Z37" i="1"/>
  <c r="E37" i="1" l="1"/>
  <c r="E38" i="1" l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F10" i="1"/>
  <c r="F15" i="1" l="1"/>
  <c r="F14" i="1"/>
  <c r="G15" i="1"/>
  <c r="G14" i="1"/>
  <c r="E34" i="1"/>
  <c r="E33" i="1"/>
  <c r="J13" i="1"/>
  <c r="J12" i="1"/>
  <c r="L10" i="1"/>
  <c r="L9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I38" i="1"/>
  <c r="J38" i="1"/>
  <c r="K38" i="1" s="1"/>
  <c r="L38" i="1" s="1"/>
  <c r="I39" i="1"/>
  <c r="J39" i="1"/>
  <c r="K39" i="1" s="1"/>
  <c r="L39" i="1" s="1"/>
  <c r="I40" i="1"/>
  <c r="J40" i="1"/>
  <c r="K40" i="1" s="1"/>
  <c r="L40" i="1" s="1"/>
  <c r="I41" i="1"/>
  <c r="J41" i="1"/>
  <c r="K41" i="1" s="1"/>
  <c r="L41" i="1" s="1"/>
  <c r="I42" i="1"/>
  <c r="J42" i="1"/>
  <c r="K42" i="1" s="1"/>
  <c r="L42" i="1" s="1"/>
  <c r="I43" i="1"/>
  <c r="J43" i="1"/>
  <c r="K43" i="1" s="1"/>
  <c r="L43" i="1" s="1"/>
  <c r="I44" i="1"/>
  <c r="J44" i="1"/>
  <c r="K44" i="1" s="1"/>
  <c r="L44" i="1" s="1"/>
  <c r="I45" i="1"/>
  <c r="J45" i="1"/>
  <c r="K45" i="1" s="1"/>
  <c r="L45" i="1" s="1"/>
  <c r="I46" i="1"/>
  <c r="J46" i="1"/>
  <c r="K46" i="1" s="1"/>
  <c r="L46" i="1" s="1"/>
  <c r="I47" i="1"/>
  <c r="J47" i="1"/>
  <c r="K47" i="1" s="1"/>
  <c r="I48" i="1"/>
  <c r="J48" i="1"/>
  <c r="K48" i="1" s="1"/>
  <c r="I49" i="1"/>
  <c r="J49" i="1"/>
  <c r="K49" i="1" s="1"/>
  <c r="I50" i="1"/>
  <c r="J50" i="1"/>
  <c r="K50" i="1" s="1"/>
  <c r="I51" i="1"/>
  <c r="J51" i="1"/>
  <c r="K51" i="1" s="1"/>
  <c r="I52" i="1"/>
  <c r="J52" i="1"/>
  <c r="K52" i="1" s="1"/>
  <c r="I53" i="1"/>
  <c r="J53" i="1"/>
  <c r="K53" i="1" s="1"/>
  <c r="I54" i="1"/>
  <c r="J54" i="1"/>
  <c r="K54" i="1" s="1"/>
  <c r="I55" i="1"/>
  <c r="J55" i="1"/>
  <c r="K55" i="1" s="1"/>
  <c r="I56" i="1"/>
  <c r="J56" i="1"/>
  <c r="K56" i="1" s="1"/>
  <c r="I57" i="1"/>
  <c r="J57" i="1"/>
  <c r="K57" i="1" s="1"/>
  <c r="I58" i="1"/>
  <c r="J58" i="1"/>
  <c r="K58" i="1" s="1"/>
  <c r="I59" i="1"/>
  <c r="J59" i="1"/>
  <c r="K59" i="1" s="1"/>
  <c r="I60" i="1"/>
  <c r="J60" i="1"/>
  <c r="K60" i="1" s="1"/>
  <c r="I61" i="1"/>
  <c r="J61" i="1"/>
  <c r="K61" i="1" s="1"/>
  <c r="I62" i="1"/>
  <c r="J62" i="1"/>
  <c r="K62" i="1" s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J37" i="1"/>
  <c r="K37" i="1" s="1"/>
  <c r="L37" i="1" s="1"/>
  <c r="I37" i="1"/>
  <c r="G38" i="1"/>
  <c r="G39" i="1"/>
  <c r="G40" i="1"/>
  <c r="H41" i="1"/>
  <c r="G42" i="1"/>
  <c r="G43" i="1"/>
  <c r="G44" i="1"/>
  <c r="H45" i="1"/>
  <c r="G46" i="1"/>
  <c r="G47" i="1"/>
  <c r="G48" i="1"/>
  <c r="H49" i="1"/>
  <c r="G50" i="1"/>
  <c r="G51" i="1"/>
  <c r="G52" i="1"/>
  <c r="H53" i="1"/>
  <c r="G54" i="1"/>
  <c r="G55" i="1"/>
  <c r="G56" i="1"/>
  <c r="H57" i="1"/>
  <c r="G58" i="1"/>
  <c r="G59" i="1"/>
  <c r="G60" i="1"/>
  <c r="H61" i="1"/>
  <c r="G62" i="1"/>
  <c r="G63" i="1"/>
  <c r="G64" i="1"/>
  <c r="H65" i="1"/>
  <c r="G66" i="1"/>
  <c r="G67" i="1"/>
  <c r="G68" i="1"/>
  <c r="H69" i="1"/>
  <c r="G70" i="1"/>
  <c r="G71" i="1"/>
  <c r="G72" i="1"/>
  <c r="H73" i="1"/>
  <c r="G74" i="1"/>
  <c r="G75" i="1"/>
  <c r="G76" i="1"/>
  <c r="H77" i="1"/>
  <c r="G78" i="1"/>
  <c r="G79" i="1"/>
  <c r="G80" i="1"/>
  <c r="H81" i="1"/>
  <c r="G82" i="1"/>
  <c r="G83" i="1"/>
  <c r="G84" i="1"/>
  <c r="H85" i="1"/>
  <c r="G86" i="1"/>
  <c r="G87" i="1"/>
  <c r="G88" i="1"/>
  <c r="H89" i="1"/>
  <c r="G90" i="1"/>
  <c r="G91" i="1"/>
  <c r="G92" i="1"/>
  <c r="H93" i="1"/>
  <c r="G94" i="1"/>
  <c r="G95" i="1"/>
  <c r="G96" i="1"/>
  <c r="H97" i="1"/>
  <c r="G98" i="1"/>
  <c r="G99" i="1"/>
  <c r="G100" i="1"/>
  <c r="H101" i="1"/>
  <c r="G102" i="1"/>
  <c r="G103" i="1"/>
  <c r="G104" i="1"/>
  <c r="H105" i="1"/>
  <c r="G106" i="1"/>
  <c r="G107" i="1"/>
  <c r="G108" i="1"/>
  <c r="H37" i="1"/>
  <c r="H18" i="1" l="1"/>
  <c r="C19" i="1"/>
  <c r="G17" i="1"/>
  <c r="H17" i="1"/>
  <c r="G18" i="1"/>
  <c r="L13" i="1"/>
  <c r="G101" i="1"/>
  <c r="G69" i="1"/>
  <c r="G97" i="1"/>
  <c r="G65" i="1"/>
  <c r="G93" i="1"/>
  <c r="G61" i="1"/>
  <c r="G89" i="1"/>
  <c r="G57" i="1"/>
  <c r="G85" i="1"/>
  <c r="G53" i="1"/>
  <c r="G81" i="1"/>
  <c r="G49" i="1"/>
  <c r="G77" i="1"/>
  <c r="G45" i="1"/>
  <c r="G105" i="1"/>
  <c r="G73" i="1"/>
  <c r="G41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C109" i="1"/>
  <c r="J16" i="1" s="1"/>
  <c r="G37" i="1"/>
  <c r="L16" i="1" l="1"/>
  <c r="K16" i="1"/>
  <c r="A165" i="1"/>
  <c r="A176" i="1"/>
  <c r="A169" i="1"/>
  <c r="A162" i="1"/>
  <c r="A157" i="1"/>
  <c r="A221" i="1"/>
  <c r="A214" i="1"/>
  <c r="A199" i="1"/>
  <c r="A164" i="1"/>
  <c r="A212" i="1"/>
  <c r="A177" i="1"/>
  <c r="A220" i="1"/>
  <c r="A192" i="1"/>
  <c r="A185" i="1"/>
  <c r="A178" i="1"/>
  <c r="A173" i="1"/>
  <c r="A166" i="1"/>
  <c r="A155" i="1"/>
  <c r="A159" i="1"/>
  <c r="A207" i="1"/>
  <c r="A195" i="1"/>
  <c r="A200" i="1"/>
  <c r="A193" i="1"/>
  <c r="A186" i="1"/>
  <c r="A181" i="1"/>
  <c r="A174" i="1"/>
  <c r="A175" i="1"/>
  <c r="A180" i="1"/>
  <c r="A167" i="1"/>
  <c r="A215" i="1"/>
  <c r="A170" i="1"/>
  <c r="A222" i="1"/>
  <c r="A208" i="1"/>
  <c r="A201" i="1"/>
  <c r="A194" i="1"/>
  <c r="A189" i="1"/>
  <c r="A182" i="1"/>
  <c r="A196" i="1"/>
  <c r="A203" i="1"/>
  <c r="A188" i="1"/>
  <c r="A158" i="1"/>
  <c r="A172" i="1"/>
  <c r="A152" i="1"/>
  <c r="A216" i="1"/>
  <c r="A209" i="1"/>
  <c r="A202" i="1"/>
  <c r="A197" i="1"/>
  <c r="A190" i="1"/>
  <c r="A219" i="1"/>
  <c r="A163" i="1"/>
  <c r="A211" i="1"/>
  <c r="A184" i="1"/>
  <c r="A187" i="1"/>
  <c r="A160" i="1"/>
  <c r="A153" i="1"/>
  <c r="A217" i="1"/>
  <c r="A210" i="1"/>
  <c r="A205" i="1"/>
  <c r="A198" i="1"/>
  <c r="A156" i="1"/>
  <c r="A183" i="1"/>
  <c r="A171" i="1"/>
  <c r="A168" i="1"/>
  <c r="A161" i="1"/>
  <c r="A154" i="1"/>
  <c r="A218" i="1"/>
  <c r="A213" i="1"/>
  <c r="A206" i="1"/>
  <c r="A179" i="1"/>
  <c r="A204" i="1"/>
  <c r="A191" i="1"/>
  <c r="A151" i="1"/>
  <c r="J17" i="1"/>
  <c r="K17" i="1" s="1"/>
  <c r="B32" i="1"/>
  <c r="L109" i="1"/>
  <c r="J2" i="1" s="1"/>
  <c r="AR3" i="1" l="1"/>
  <c r="AS3" i="1"/>
  <c r="AR4" i="1"/>
  <c r="AS4" i="1"/>
  <c r="AR5" i="1"/>
  <c r="AS5" i="1"/>
  <c r="AR6" i="1"/>
  <c r="AS6" i="1"/>
  <c r="AR7" i="1"/>
  <c r="AS7" i="1"/>
  <c r="AR8" i="1"/>
  <c r="AS8" i="1"/>
  <c r="AR9" i="1"/>
  <c r="AS9" i="1"/>
  <c r="AR10" i="1"/>
  <c r="AS10" i="1"/>
  <c r="AR11" i="1"/>
  <c r="AS11" i="1"/>
  <c r="AR12" i="1"/>
  <c r="AS12" i="1"/>
  <c r="AR13" i="1"/>
  <c r="AS13" i="1"/>
  <c r="AR14" i="1"/>
  <c r="AS14" i="1"/>
  <c r="AR15" i="1"/>
  <c r="AS15" i="1"/>
  <c r="AR16" i="1"/>
  <c r="AS16" i="1"/>
  <c r="AR17" i="1"/>
  <c r="AS17" i="1"/>
  <c r="AR18" i="1"/>
  <c r="AS18" i="1"/>
  <c r="AR19" i="1"/>
  <c r="AS19" i="1"/>
  <c r="AR20" i="1"/>
  <c r="AS20" i="1"/>
  <c r="AR21" i="1"/>
  <c r="AS21" i="1"/>
  <c r="AR22" i="1"/>
  <c r="AS22" i="1"/>
  <c r="AR23" i="1"/>
  <c r="AS23" i="1"/>
  <c r="AR24" i="1"/>
  <c r="AS24" i="1"/>
  <c r="AR25" i="1"/>
  <c r="AS25" i="1"/>
  <c r="AR26" i="1"/>
  <c r="AS26" i="1"/>
  <c r="AR27" i="1"/>
  <c r="AS27" i="1"/>
  <c r="AR28" i="1"/>
  <c r="AS28" i="1"/>
  <c r="AR29" i="1"/>
  <c r="AS29" i="1"/>
  <c r="AR30" i="1"/>
  <c r="AS30" i="1"/>
  <c r="AR31" i="1"/>
  <c r="AS31" i="1"/>
  <c r="AR32" i="1"/>
  <c r="AS32" i="1"/>
  <c r="AR33" i="1"/>
  <c r="AS33" i="1"/>
  <c r="AR34" i="1"/>
  <c r="AS34" i="1"/>
  <c r="AR35" i="1"/>
  <c r="AS35" i="1"/>
  <c r="AR36" i="1"/>
  <c r="AS36" i="1"/>
  <c r="AR37" i="1"/>
  <c r="AS37" i="1"/>
  <c r="AR38" i="1"/>
  <c r="AS38" i="1"/>
  <c r="AR39" i="1"/>
  <c r="AS39" i="1"/>
  <c r="AR40" i="1"/>
  <c r="AS40" i="1"/>
  <c r="AR41" i="1"/>
  <c r="AS41" i="1"/>
  <c r="AR42" i="1"/>
  <c r="AS42" i="1"/>
  <c r="AR43" i="1"/>
  <c r="AS43" i="1"/>
  <c r="AR44" i="1"/>
  <c r="AS44" i="1"/>
  <c r="AR45" i="1"/>
  <c r="AS45" i="1"/>
  <c r="AR46" i="1"/>
  <c r="AS46" i="1"/>
  <c r="AR47" i="1"/>
  <c r="AS47" i="1"/>
  <c r="AR48" i="1"/>
  <c r="AS48" i="1"/>
  <c r="AR49" i="1"/>
  <c r="AS49" i="1"/>
  <c r="AR50" i="1"/>
  <c r="AS50" i="1"/>
  <c r="AR51" i="1"/>
  <c r="AS51" i="1"/>
  <c r="AR52" i="1"/>
  <c r="AS52" i="1"/>
  <c r="AR53" i="1"/>
  <c r="AS53" i="1"/>
  <c r="AR54" i="1"/>
  <c r="AS54" i="1"/>
  <c r="AR55" i="1"/>
  <c r="AS55" i="1"/>
  <c r="AR56" i="1"/>
  <c r="AS56" i="1"/>
  <c r="AR57" i="1"/>
  <c r="AS57" i="1"/>
  <c r="AR58" i="1"/>
  <c r="AS58" i="1"/>
  <c r="AR59" i="1"/>
  <c r="AS59" i="1"/>
  <c r="AR60" i="1"/>
  <c r="AS60" i="1"/>
  <c r="AR61" i="1"/>
  <c r="AS61" i="1"/>
  <c r="AR62" i="1"/>
  <c r="AS62" i="1"/>
  <c r="AR63" i="1"/>
  <c r="AS63" i="1"/>
  <c r="AR64" i="1"/>
  <c r="AS64" i="1"/>
  <c r="AR65" i="1"/>
  <c r="AS65" i="1"/>
  <c r="AR66" i="1"/>
  <c r="AS66" i="1"/>
  <c r="AR67" i="1"/>
  <c r="AS67" i="1"/>
  <c r="AR68" i="1"/>
  <c r="AS68" i="1"/>
  <c r="AR69" i="1"/>
  <c r="AS69" i="1"/>
  <c r="AR70" i="1"/>
  <c r="AS70" i="1"/>
  <c r="AR71" i="1"/>
  <c r="AS71" i="1"/>
  <c r="AR72" i="1"/>
  <c r="AS72" i="1"/>
  <c r="AR73" i="1"/>
  <c r="AS73" i="1"/>
  <c r="AR74" i="1"/>
  <c r="AS74" i="1"/>
  <c r="AR75" i="1"/>
  <c r="AS75" i="1"/>
  <c r="AR76" i="1"/>
  <c r="AS76" i="1"/>
  <c r="AR77" i="1"/>
  <c r="AS77" i="1"/>
  <c r="AR78" i="1"/>
  <c r="AS78" i="1"/>
  <c r="AR79" i="1"/>
  <c r="AS79" i="1"/>
  <c r="AR80" i="1"/>
  <c r="AS80" i="1"/>
  <c r="AR81" i="1"/>
  <c r="AS81" i="1"/>
  <c r="AR82" i="1"/>
  <c r="AS82" i="1"/>
  <c r="AR83" i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AR93" i="1"/>
  <c r="AS93" i="1"/>
  <c r="AR94" i="1"/>
  <c r="AS94" i="1"/>
  <c r="AR95" i="1"/>
  <c r="AS95" i="1"/>
  <c r="AR96" i="1"/>
  <c r="AS96" i="1"/>
  <c r="AR97" i="1"/>
  <c r="AS97" i="1"/>
  <c r="AR98" i="1"/>
  <c r="AS98" i="1"/>
  <c r="AR99" i="1"/>
  <c r="AS99" i="1"/>
  <c r="AR100" i="1"/>
  <c r="AS100" i="1"/>
  <c r="AR101" i="1"/>
  <c r="AS101" i="1"/>
  <c r="AR102" i="1"/>
  <c r="AS102" i="1"/>
  <c r="AR103" i="1"/>
  <c r="AS103" i="1"/>
  <c r="AR104" i="1"/>
  <c r="AS104" i="1"/>
  <c r="AR105" i="1"/>
  <c r="AS105" i="1"/>
  <c r="AR106" i="1"/>
  <c r="AS106" i="1"/>
  <c r="AR107" i="1"/>
  <c r="AS107" i="1"/>
  <c r="AR108" i="1"/>
  <c r="AS108" i="1"/>
  <c r="AR109" i="1"/>
  <c r="AS109" i="1"/>
  <c r="AR110" i="1"/>
  <c r="AS110" i="1"/>
  <c r="AR111" i="1"/>
  <c r="AS111" i="1"/>
  <c r="AR112" i="1"/>
  <c r="AS112" i="1"/>
  <c r="AR113" i="1"/>
  <c r="AS113" i="1"/>
  <c r="AR114" i="1"/>
  <c r="AS114" i="1"/>
  <c r="AR115" i="1"/>
  <c r="AS115" i="1"/>
  <c r="AR116" i="1"/>
  <c r="AS116" i="1"/>
  <c r="AR117" i="1"/>
  <c r="AS117" i="1"/>
  <c r="AR118" i="1"/>
  <c r="AS118" i="1"/>
  <c r="AR119" i="1"/>
  <c r="AS119" i="1"/>
  <c r="AR120" i="1"/>
  <c r="AS120" i="1"/>
  <c r="AR121" i="1"/>
  <c r="AS121" i="1"/>
  <c r="AR122" i="1"/>
  <c r="AS122" i="1"/>
  <c r="AR123" i="1"/>
  <c r="AS123" i="1"/>
  <c r="AR124" i="1"/>
  <c r="AS124" i="1"/>
  <c r="AR125" i="1"/>
  <c r="AS125" i="1"/>
  <c r="AR126" i="1"/>
  <c r="AS126" i="1"/>
  <c r="AR127" i="1"/>
  <c r="AS127" i="1"/>
  <c r="AR128" i="1"/>
  <c r="AS128" i="1"/>
  <c r="AR129" i="1"/>
  <c r="AS129" i="1"/>
  <c r="AR130" i="1"/>
  <c r="AS130" i="1"/>
  <c r="AR131" i="1"/>
  <c r="AS131" i="1"/>
  <c r="AR132" i="1"/>
  <c r="AS132" i="1"/>
  <c r="AR133" i="1"/>
  <c r="AS133" i="1"/>
  <c r="AR134" i="1"/>
  <c r="AS134" i="1"/>
  <c r="AR135" i="1"/>
  <c r="AS135" i="1"/>
  <c r="AR136" i="1"/>
  <c r="AS136" i="1"/>
  <c r="AR137" i="1"/>
  <c r="AS137" i="1"/>
  <c r="AR138" i="1"/>
  <c r="AS138" i="1"/>
  <c r="AR139" i="1"/>
  <c r="AS139" i="1"/>
  <c r="AR140" i="1"/>
  <c r="AS140" i="1"/>
  <c r="AR141" i="1"/>
  <c r="AS141" i="1"/>
  <c r="AR142" i="1"/>
  <c r="AS142" i="1"/>
  <c r="AR143" i="1"/>
  <c r="AS143" i="1"/>
  <c r="AR144" i="1"/>
  <c r="AS144" i="1"/>
  <c r="AR145" i="1"/>
  <c r="AS145" i="1"/>
  <c r="AR146" i="1"/>
  <c r="AS146" i="1"/>
  <c r="AR147" i="1"/>
  <c r="AS147" i="1"/>
  <c r="AR148" i="1"/>
  <c r="AS148" i="1"/>
  <c r="AR149" i="1"/>
  <c r="AS149" i="1"/>
  <c r="AR150" i="1"/>
  <c r="AS150" i="1"/>
  <c r="AR151" i="1"/>
  <c r="AS151" i="1"/>
  <c r="AR152" i="1"/>
  <c r="AS152" i="1"/>
  <c r="AR153" i="1"/>
  <c r="AS153" i="1"/>
  <c r="AR154" i="1"/>
  <c r="AS154" i="1"/>
  <c r="AR155" i="1"/>
  <c r="AS155" i="1"/>
  <c r="AR156" i="1"/>
  <c r="AS156" i="1"/>
  <c r="AR157" i="1"/>
  <c r="AS157" i="1"/>
  <c r="AR158" i="1"/>
  <c r="AS158" i="1"/>
  <c r="AR159" i="1"/>
  <c r="AS159" i="1"/>
  <c r="AR160" i="1"/>
  <c r="AS160" i="1"/>
  <c r="AR161" i="1"/>
  <c r="AS161" i="1"/>
  <c r="AR162" i="1"/>
  <c r="AS162" i="1"/>
  <c r="AR163" i="1"/>
  <c r="AS163" i="1"/>
  <c r="AR164" i="1"/>
  <c r="AS164" i="1"/>
  <c r="AR165" i="1"/>
  <c r="AS165" i="1"/>
  <c r="AR166" i="1"/>
  <c r="AS166" i="1"/>
  <c r="AR167" i="1"/>
  <c r="AS167" i="1"/>
  <c r="AR168" i="1"/>
  <c r="AS168" i="1"/>
  <c r="AR169" i="1"/>
  <c r="AS169" i="1"/>
  <c r="AR170" i="1"/>
  <c r="AS170" i="1"/>
  <c r="AR171" i="1"/>
  <c r="AS171" i="1"/>
  <c r="AR172" i="1"/>
  <c r="AS172" i="1"/>
  <c r="AR173" i="1"/>
  <c r="AS173" i="1"/>
  <c r="AR174" i="1"/>
  <c r="AS174" i="1"/>
  <c r="AR175" i="1"/>
  <c r="AS175" i="1"/>
  <c r="AR176" i="1"/>
  <c r="AS176" i="1"/>
  <c r="AR177" i="1"/>
  <c r="AS177" i="1"/>
  <c r="AR178" i="1"/>
  <c r="AS178" i="1"/>
  <c r="AR179" i="1"/>
  <c r="AS179" i="1"/>
  <c r="AR180" i="1"/>
  <c r="AS180" i="1"/>
  <c r="AR181" i="1"/>
  <c r="AS181" i="1"/>
  <c r="AR182" i="1"/>
  <c r="AS182" i="1"/>
  <c r="AR183" i="1"/>
  <c r="AS183" i="1"/>
  <c r="AR184" i="1"/>
  <c r="AS184" i="1"/>
  <c r="AR185" i="1"/>
  <c r="AS185" i="1"/>
  <c r="AR186" i="1"/>
  <c r="AS186" i="1"/>
  <c r="AR187" i="1"/>
  <c r="AS187" i="1"/>
  <c r="AR188" i="1"/>
  <c r="AS188" i="1"/>
  <c r="AR189" i="1"/>
  <c r="AS189" i="1"/>
  <c r="AR190" i="1"/>
  <c r="AS190" i="1"/>
  <c r="AR191" i="1"/>
  <c r="AS191" i="1"/>
  <c r="AR192" i="1"/>
  <c r="AS192" i="1"/>
  <c r="AR193" i="1"/>
  <c r="AS193" i="1"/>
  <c r="AR194" i="1"/>
  <c r="AS194" i="1"/>
  <c r="AR195" i="1"/>
  <c r="AS195" i="1"/>
  <c r="AR196" i="1"/>
  <c r="AS196" i="1"/>
  <c r="AR197" i="1"/>
  <c r="AS197" i="1"/>
  <c r="AR198" i="1"/>
  <c r="AS198" i="1"/>
  <c r="AR199" i="1"/>
  <c r="AS199" i="1"/>
  <c r="AR200" i="1"/>
  <c r="AS200" i="1"/>
  <c r="AR201" i="1"/>
  <c r="AS201" i="1"/>
  <c r="AR202" i="1"/>
  <c r="AS202" i="1"/>
  <c r="AR203" i="1"/>
  <c r="AS203" i="1"/>
  <c r="AR204" i="1"/>
  <c r="AS204" i="1"/>
  <c r="AR205" i="1"/>
  <c r="AS205" i="1"/>
  <c r="AR206" i="1"/>
  <c r="AS206" i="1"/>
  <c r="AR207" i="1"/>
  <c r="AS207" i="1"/>
  <c r="AR208" i="1"/>
  <c r="AS208" i="1"/>
  <c r="AR209" i="1"/>
  <c r="AS209" i="1"/>
  <c r="AR210" i="1"/>
  <c r="AS210" i="1"/>
  <c r="AR211" i="1"/>
  <c r="AS211" i="1"/>
  <c r="AR212" i="1"/>
  <c r="AS212" i="1"/>
  <c r="AR213" i="1"/>
  <c r="AS213" i="1"/>
  <c r="AR214" i="1"/>
  <c r="AS214" i="1"/>
  <c r="AR215" i="1"/>
  <c r="AS215" i="1"/>
  <c r="AR216" i="1"/>
  <c r="AS216" i="1"/>
  <c r="AR217" i="1"/>
  <c r="AS217" i="1"/>
  <c r="AR218" i="1"/>
  <c r="AS218" i="1"/>
  <c r="AR219" i="1"/>
  <c r="AS219" i="1"/>
  <c r="AR220" i="1"/>
  <c r="AS220" i="1"/>
  <c r="AR221" i="1"/>
  <c r="AS221" i="1"/>
  <c r="AR222" i="1"/>
  <c r="AS222" i="1"/>
  <c r="AR223" i="1"/>
  <c r="AS223" i="1"/>
  <c r="AR224" i="1"/>
  <c r="AS224" i="1"/>
  <c r="AR225" i="1"/>
  <c r="AS225" i="1"/>
  <c r="AR226" i="1"/>
  <c r="AS226" i="1"/>
  <c r="AR227" i="1"/>
  <c r="AS227" i="1"/>
  <c r="AR228" i="1"/>
  <c r="AS228" i="1"/>
  <c r="AR229" i="1"/>
  <c r="AS229" i="1"/>
  <c r="AR230" i="1"/>
  <c r="AS230" i="1"/>
  <c r="AR231" i="1"/>
  <c r="AS231" i="1"/>
  <c r="AR232" i="1"/>
  <c r="AS232" i="1"/>
  <c r="AR233" i="1"/>
  <c r="AS233" i="1"/>
  <c r="AR234" i="1"/>
  <c r="AS234" i="1"/>
  <c r="AR235" i="1"/>
  <c r="AS235" i="1"/>
  <c r="AR236" i="1"/>
  <c r="AS236" i="1"/>
  <c r="AR237" i="1"/>
  <c r="AS237" i="1"/>
  <c r="AR238" i="1"/>
  <c r="AS238" i="1"/>
  <c r="AR239" i="1"/>
  <c r="AS239" i="1"/>
  <c r="AR240" i="1"/>
  <c r="AS240" i="1"/>
  <c r="AR241" i="1"/>
  <c r="AS241" i="1"/>
  <c r="AR242" i="1"/>
  <c r="AS242" i="1"/>
  <c r="AR243" i="1"/>
  <c r="AS243" i="1"/>
  <c r="AR244" i="1"/>
  <c r="AS244" i="1"/>
  <c r="AR245" i="1"/>
  <c r="AS245" i="1"/>
  <c r="AR246" i="1"/>
  <c r="AS246" i="1"/>
  <c r="AR247" i="1"/>
  <c r="AS247" i="1"/>
  <c r="AR248" i="1"/>
  <c r="AS248" i="1"/>
  <c r="AR249" i="1"/>
  <c r="AS249" i="1"/>
  <c r="AR250" i="1"/>
  <c r="AS250" i="1"/>
  <c r="AR251" i="1"/>
  <c r="AS251" i="1"/>
  <c r="AR252" i="1"/>
  <c r="AS252" i="1"/>
  <c r="AR253" i="1"/>
  <c r="AS253" i="1"/>
  <c r="AR254" i="1"/>
  <c r="AS254" i="1"/>
  <c r="AR255" i="1"/>
  <c r="AS255" i="1"/>
  <c r="AR256" i="1"/>
  <c r="AS256" i="1"/>
  <c r="AR257" i="1"/>
  <c r="AS257" i="1"/>
  <c r="AR258" i="1"/>
  <c r="AS258" i="1"/>
  <c r="AR259" i="1"/>
  <c r="AS259" i="1"/>
  <c r="AR260" i="1"/>
  <c r="AS260" i="1"/>
  <c r="AR261" i="1"/>
  <c r="AS261" i="1"/>
  <c r="AR262" i="1"/>
  <c r="AS262" i="1"/>
  <c r="AR263" i="1"/>
  <c r="AS263" i="1"/>
  <c r="AR264" i="1"/>
  <c r="AS264" i="1"/>
  <c r="AR265" i="1"/>
  <c r="AS265" i="1"/>
  <c r="AR266" i="1"/>
  <c r="AS266" i="1"/>
  <c r="AR267" i="1"/>
  <c r="AS267" i="1"/>
  <c r="AR268" i="1"/>
  <c r="AS268" i="1"/>
  <c r="AR269" i="1"/>
  <c r="AS269" i="1"/>
  <c r="AR270" i="1"/>
  <c r="AS270" i="1"/>
  <c r="AR271" i="1"/>
  <c r="AS271" i="1"/>
  <c r="AR272" i="1"/>
  <c r="AS272" i="1"/>
  <c r="AR273" i="1"/>
  <c r="AS273" i="1"/>
  <c r="AR274" i="1"/>
  <c r="AS274" i="1"/>
  <c r="AR275" i="1"/>
  <c r="AS275" i="1"/>
  <c r="AR276" i="1"/>
  <c r="AS276" i="1"/>
  <c r="AR277" i="1"/>
  <c r="AS277" i="1"/>
  <c r="AR278" i="1"/>
  <c r="AS278" i="1"/>
  <c r="AR279" i="1"/>
  <c r="AS279" i="1"/>
  <c r="AR280" i="1"/>
  <c r="AS280" i="1"/>
  <c r="AR281" i="1"/>
  <c r="AS281" i="1"/>
  <c r="AR282" i="1"/>
  <c r="AS282" i="1"/>
  <c r="AR283" i="1"/>
  <c r="AS283" i="1"/>
  <c r="AR284" i="1"/>
  <c r="AS284" i="1"/>
  <c r="AR285" i="1"/>
  <c r="AS285" i="1"/>
  <c r="AR286" i="1"/>
  <c r="AS286" i="1"/>
  <c r="AR287" i="1"/>
  <c r="AS287" i="1"/>
  <c r="AR288" i="1"/>
  <c r="AS288" i="1"/>
  <c r="AR289" i="1"/>
  <c r="AS289" i="1"/>
  <c r="AR290" i="1"/>
  <c r="AS290" i="1"/>
  <c r="AR291" i="1"/>
  <c r="AS291" i="1"/>
  <c r="AR292" i="1"/>
  <c r="AS292" i="1"/>
  <c r="AR293" i="1"/>
  <c r="AS293" i="1"/>
  <c r="AR294" i="1"/>
  <c r="AS294" i="1"/>
  <c r="AR295" i="1"/>
  <c r="AS295" i="1"/>
  <c r="AR296" i="1"/>
  <c r="AS296" i="1"/>
  <c r="AR297" i="1"/>
  <c r="AS297" i="1"/>
  <c r="AR298" i="1"/>
  <c r="AS298" i="1"/>
  <c r="AR299" i="1"/>
  <c r="AS299" i="1"/>
  <c r="AR300" i="1"/>
  <c r="AS300" i="1"/>
  <c r="AR301" i="1"/>
  <c r="AS301" i="1"/>
  <c r="AR302" i="1"/>
  <c r="AS302" i="1"/>
  <c r="AR303" i="1"/>
  <c r="AS303" i="1"/>
  <c r="AR304" i="1"/>
  <c r="AS304" i="1"/>
  <c r="AR305" i="1"/>
  <c r="AS305" i="1"/>
  <c r="AR306" i="1"/>
  <c r="AS306" i="1"/>
  <c r="AR307" i="1"/>
  <c r="AS307" i="1"/>
  <c r="AR308" i="1"/>
  <c r="AS308" i="1"/>
  <c r="AR309" i="1"/>
  <c r="AS309" i="1"/>
  <c r="AR310" i="1"/>
  <c r="AS310" i="1"/>
  <c r="AR311" i="1"/>
  <c r="AS311" i="1"/>
  <c r="AR312" i="1"/>
  <c r="AS312" i="1"/>
  <c r="AR313" i="1"/>
  <c r="AS313" i="1"/>
  <c r="AR314" i="1"/>
  <c r="AS314" i="1"/>
  <c r="AR315" i="1"/>
  <c r="AS315" i="1"/>
  <c r="AR316" i="1"/>
  <c r="AS316" i="1"/>
  <c r="AR317" i="1"/>
  <c r="AS317" i="1"/>
  <c r="AR318" i="1"/>
  <c r="AS318" i="1"/>
  <c r="AR319" i="1"/>
  <c r="AS319" i="1"/>
  <c r="AR320" i="1"/>
  <c r="AS320" i="1"/>
  <c r="AR321" i="1"/>
  <c r="AS321" i="1"/>
  <c r="AR322" i="1"/>
  <c r="AS322" i="1"/>
  <c r="AR323" i="1"/>
  <c r="AS323" i="1"/>
  <c r="AR324" i="1"/>
  <c r="AS324" i="1"/>
  <c r="AR325" i="1"/>
  <c r="AS325" i="1"/>
  <c r="AR326" i="1"/>
  <c r="AS326" i="1"/>
  <c r="AR327" i="1"/>
  <c r="AS327" i="1"/>
  <c r="AR328" i="1"/>
  <c r="AS328" i="1"/>
  <c r="AR329" i="1"/>
  <c r="AS329" i="1"/>
  <c r="AR330" i="1"/>
  <c r="AS330" i="1"/>
  <c r="AR331" i="1"/>
  <c r="AS331" i="1"/>
  <c r="AR332" i="1"/>
  <c r="AS332" i="1"/>
  <c r="AR333" i="1"/>
  <c r="AS333" i="1"/>
  <c r="AR334" i="1"/>
  <c r="AS334" i="1"/>
  <c r="AR335" i="1"/>
  <c r="AS335" i="1"/>
  <c r="AR336" i="1"/>
  <c r="AS336" i="1"/>
  <c r="AR337" i="1"/>
  <c r="AS337" i="1"/>
  <c r="AR338" i="1"/>
  <c r="AS338" i="1"/>
  <c r="AR339" i="1"/>
  <c r="AS339" i="1"/>
  <c r="AR340" i="1"/>
  <c r="AS340" i="1"/>
  <c r="AR341" i="1"/>
  <c r="AS341" i="1"/>
  <c r="AR342" i="1"/>
  <c r="AS342" i="1"/>
  <c r="AR343" i="1"/>
  <c r="AS343" i="1"/>
  <c r="AR344" i="1"/>
  <c r="AS344" i="1"/>
  <c r="AR345" i="1"/>
  <c r="AS345" i="1"/>
  <c r="AR346" i="1"/>
  <c r="AS346" i="1"/>
  <c r="AR347" i="1"/>
  <c r="AS347" i="1"/>
  <c r="AR348" i="1"/>
  <c r="AS348" i="1"/>
  <c r="AR349" i="1"/>
  <c r="AS349" i="1"/>
  <c r="AR350" i="1"/>
  <c r="AS350" i="1"/>
  <c r="AR351" i="1"/>
  <c r="AS351" i="1"/>
  <c r="AR352" i="1"/>
  <c r="AS352" i="1"/>
  <c r="AR353" i="1"/>
  <c r="AS353" i="1"/>
  <c r="AR354" i="1"/>
  <c r="AS354" i="1"/>
  <c r="AR355" i="1"/>
  <c r="AS355" i="1"/>
  <c r="AR356" i="1"/>
  <c r="AS356" i="1"/>
  <c r="AR357" i="1"/>
  <c r="AS357" i="1"/>
  <c r="AR358" i="1"/>
  <c r="AS358" i="1"/>
  <c r="AR359" i="1"/>
  <c r="AS359" i="1"/>
  <c r="AR360" i="1"/>
  <c r="AS360" i="1"/>
  <c r="AR361" i="1"/>
  <c r="AS361" i="1"/>
  <c r="AR362" i="1"/>
  <c r="AS362" i="1"/>
  <c r="AS2" i="1"/>
  <c r="AR2" i="1"/>
  <c r="B12" i="1"/>
  <c r="B9" i="1"/>
  <c r="B127" i="1"/>
  <c r="B128" i="1" s="1"/>
  <c r="B8" i="1"/>
  <c r="B173" i="1" l="1"/>
  <c r="F142" i="1"/>
  <c r="F140" i="1"/>
  <c r="F141" i="1"/>
  <c r="M62" i="1"/>
  <c r="N62" i="1" s="1"/>
  <c r="M98" i="1"/>
  <c r="N98" i="1" s="1"/>
  <c r="M73" i="1"/>
  <c r="N73" i="1" s="1"/>
  <c r="M61" i="1"/>
  <c r="N61" i="1" s="1"/>
  <c r="M75" i="1"/>
  <c r="N75" i="1" s="1"/>
  <c r="M88" i="1"/>
  <c r="N88" i="1" s="1"/>
  <c r="M103" i="1"/>
  <c r="N103" i="1" s="1"/>
  <c r="M47" i="1"/>
  <c r="N47" i="1" s="1"/>
  <c r="M55" i="1"/>
  <c r="N55" i="1" s="1"/>
  <c r="M70" i="1"/>
  <c r="N70" i="1" s="1"/>
  <c r="M58" i="1"/>
  <c r="N58" i="1" s="1"/>
  <c r="M93" i="1"/>
  <c r="N93" i="1" s="1"/>
  <c r="M66" i="1"/>
  <c r="N66" i="1" s="1"/>
  <c r="M68" i="1"/>
  <c r="N68" i="1" s="1"/>
  <c r="M83" i="1"/>
  <c r="N83" i="1" s="1"/>
  <c r="M96" i="1"/>
  <c r="N96" i="1" s="1"/>
  <c r="M48" i="1"/>
  <c r="N48" i="1" s="1"/>
  <c r="M63" i="1"/>
  <c r="N63" i="1" s="1"/>
  <c r="M78" i="1"/>
  <c r="N78" i="1" s="1"/>
  <c r="M81" i="1"/>
  <c r="N81" i="1" s="1"/>
  <c r="M53" i="1"/>
  <c r="N53" i="1" s="1"/>
  <c r="M82" i="1"/>
  <c r="N82" i="1" s="1"/>
  <c r="M76" i="1"/>
  <c r="N76" i="1" s="1"/>
  <c r="M91" i="1"/>
  <c r="N91" i="1" s="1"/>
  <c r="M104" i="1"/>
  <c r="N104" i="1" s="1"/>
  <c r="M56" i="1"/>
  <c r="N56" i="1" s="1"/>
  <c r="M71" i="1"/>
  <c r="N71" i="1" s="1"/>
  <c r="M86" i="1"/>
  <c r="N86" i="1" s="1"/>
  <c r="M101" i="1"/>
  <c r="N101" i="1" s="1"/>
  <c r="M89" i="1"/>
  <c r="N89" i="1" s="1"/>
  <c r="M105" i="1"/>
  <c r="N105" i="1" s="1"/>
  <c r="M84" i="1"/>
  <c r="N84" i="1" s="1"/>
  <c r="M99" i="1"/>
  <c r="N99" i="1" s="1"/>
  <c r="M107" i="1"/>
  <c r="N107" i="1" s="1"/>
  <c r="M51" i="1"/>
  <c r="N51" i="1" s="1"/>
  <c r="M64" i="1"/>
  <c r="N64" i="1" s="1"/>
  <c r="M79" i="1"/>
  <c r="N79" i="1" s="1"/>
  <c r="M74" i="1"/>
  <c r="N74" i="1" s="1"/>
  <c r="M49" i="1"/>
  <c r="N49" i="1" s="1"/>
  <c r="M92" i="1"/>
  <c r="N92" i="1" s="1"/>
  <c r="M100" i="1"/>
  <c r="N100" i="1" s="1"/>
  <c r="M59" i="1"/>
  <c r="N59" i="1" s="1"/>
  <c r="M72" i="1"/>
  <c r="N72" i="1" s="1"/>
  <c r="M94" i="1"/>
  <c r="N94" i="1" s="1"/>
  <c r="M97" i="1"/>
  <c r="N97" i="1" s="1"/>
  <c r="M69" i="1"/>
  <c r="N69" i="1" s="1"/>
  <c r="M65" i="1"/>
  <c r="N65" i="1" s="1"/>
  <c r="M85" i="1"/>
  <c r="N85" i="1" s="1"/>
  <c r="M108" i="1"/>
  <c r="N108" i="1" s="1"/>
  <c r="M52" i="1"/>
  <c r="N52" i="1" s="1"/>
  <c r="M67" i="1"/>
  <c r="N67" i="1" s="1"/>
  <c r="M87" i="1"/>
  <c r="N87" i="1" s="1"/>
  <c r="M102" i="1"/>
  <c r="N102" i="1" s="1"/>
  <c r="M57" i="1"/>
  <c r="N57" i="1" s="1"/>
  <c r="M90" i="1"/>
  <c r="N90" i="1" s="1"/>
  <c r="M50" i="1"/>
  <c r="N50" i="1" s="1"/>
  <c r="M106" i="1"/>
  <c r="N106" i="1" s="1"/>
  <c r="M60" i="1"/>
  <c r="N60" i="1" s="1"/>
  <c r="M80" i="1"/>
  <c r="N80" i="1" s="1"/>
  <c r="M95" i="1"/>
  <c r="N95" i="1" s="1"/>
  <c r="M54" i="1"/>
  <c r="N54" i="1" s="1"/>
  <c r="M77" i="1"/>
  <c r="N77" i="1" s="1"/>
  <c r="B152" i="1"/>
  <c r="M38" i="1" s="1"/>
  <c r="N38" i="1" s="1"/>
  <c r="B220" i="1"/>
  <c r="B165" i="1"/>
  <c r="B154" i="1"/>
  <c r="M40" i="1" s="1"/>
  <c r="N40" i="1" s="1"/>
  <c r="B172" i="1"/>
  <c r="B194" i="1"/>
  <c r="B162" i="1"/>
  <c r="B206" i="1"/>
  <c r="B182" i="1"/>
  <c r="B221" i="1"/>
  <c r="B134" i="1"/>
  <c r="B135" i="1" s="1"/>
  <c r="B130" i="1"/>
  <c r="B166" i="1"/>
  <c r="B153" i="1"/>
  <c r="M39" i="1" s="1"/>
  <c r="N39" i="1" s="1"/>
  <c r="B205" i="1"/>
  <c r="B211" i="1"/>
  <c r="B207" i="1"/>
  <c r="B193" i="1"/>
  <c r="B187" i="1"/>
  <c r="B200" i="1"/>
  <c r="B222" i="1"/>
  <c r="B170" i="1"/>
  <c r="B186" i="1"/>
  <c r="B181" i="1"/>
  <c r="B176" i="1"/>
  <c r="B218" i="1"/>
  <c r="B198" i="1"/>
  <c r="B180" i="1"/>
  <c r="B191" i="1"/>
  <c r="B183" i="1"/>
  <c r="B215" i="1"/>
  <c r="B188" i="1"/>
  <c r="B208" i="1"/>
  <c r="B212" i="1"/>
  <c r="B169" i="1"/>
  <c r="B213" i="1"/>
  <c r="B189" i="1"/>
  <c r="B157" i="1"/>
  <c r="M43" i="1" s="1"/>
  <c r="N43" i="1" s="1"/>
  <c r="B179" i="1"/>
  <c r="B196" i="1"/>
  <c r="B190" i="1"/>
  <c r="B163" i="1"/>
  <c r="B209" i="1"/>
  <c r="B158" i="1"/>
  <c r="M44" i="1" s="1"/>
  <c r="B155" i="1"/>
  <c r="M41" i="1" s="1"/>
  <c r="N41" i="1" s="1"/>
  <c r="B177" i="1"/>
  <c r="B204" i="1"/>
  <c r="B216" i="1"/>
  <c r="B192" i="1"/>
  <c r="B160" i="1"/>
  <c r="M46" i="1" s="1"/>
  <c r="N46" i="1" s="1"/>
  <c r="B171" i="1"/>
  <c r="B217" i="1"/>
  <c r="B202" i="1"/>
  <c r="B219" i="1"/>
  <c r="B174" i="1"/>
  <c r="B159" i="1"/>
  <c r="M45" i="1" s="1"/>
  <c r="N45" i="1" s="1"/>
  <c r="B214" i="1"/>
  <c r="B184" i="1"/>
  <c r="B195" i="1"/>
  <c r="B178" i="1"/>
  <c r="B197" i="1"/>
  <c r="B161" i="1"/>
  <c r="B164" i="1"/>
  <c r="B185" i="1"/>
  <c r="B210" i="1"/>
  <c r="B201" i="1"/>
  <c r="B175" i="1"/>
  <c r="B203" i="1"/>
  <c r="B156" i="1"/>
  <c r="M42" i="1" s="1"/>
  <c r="N42" i="1" s="1"/>
  <c r="B167" i="1"/>
  <c r="B168" i="1"/>
  <c r="B199" i="1"/>
  <c r="B151" i="1"/>
  <c r="M37" i="1" s="1"/>
  <c r="N37" i="1" s="1"/>
  <c r="Y37" i="1" s="1"/>
  <c r="F11" i="1"/>
  <c r="F144" i="1" l="1"/>
  <c r="F143" i="1"/>
  <c r="J135" i="1"/>
  <c r="K135" i="1" s="1"/>
  <c r="F12" i="1"/>
  <c r="F13" i="1"/>
  <c r="Q141" i="1"/>
  <c r="P140" i="1"/>
  <c r="N44" i="1"/>
  <c r="P44" i="1" s="1"/>
  <c r="J140" i="1"/>
  <c r="K141" i="1"/>
  <c r="M140" i="1"/>
  <c r="N141" i="1"/>
  <c r="P64" i="1"/>
  <c r="U64" i="1"/>
  <c r="V64" i="1"/>
  <c r="X64" i="1"/>
  <c r="Y64" i="1"/>
  <c r="P96" i="1"/>
  <c r="U96" i="1"/>
  <c r="V96" i="1"/>
  <c r="X96" i="1"/>
  <c r="Y96" i="1"/>
  <c r="P90" i="1"/>
  <c r="U90" i="1"/>
  <c r="V90" i="1"/>
  <c r="X90" i="1"/>
  <c r="Y90" i="1"/>
  <c r="P56" i="1"/>
  <c r="U56" i="1"/>
  <c r="V56" i="1"/>
  <c r="X56" i="1"/>
  <c r="Y56" i="1"/>
  <c r="P61" i="1"/>
  <c r="U61" i="1"/>
  <c r="V61" i="1"/>
  <c r="Y61" i="1"/>
  <c r="X61" i="1"/>
  <c r="P95" i="1"/>
  <c r="X95" i="1"/>
  <c r="U95" i="1"/>
  <c r="V95" i="1"/>
  <c r="Y95" i="1"/>
  <c r="P42" i="1"/>
  <c r="U42" i="1"/>
  <c r="V42" i="1"/>
  <c r="X42" i="1"/>
  <c r="Y42" i="1"/>
  <c r="P55" i="1"/>
  <c r="U55" i="1"/>
  <c r="V55" i="1"/>
  <c r="X55" i="1"/>
  <c r="Y55" i="1"/>
  <c r="P106" i="1"/>
  <c r="U106" i="1"/>
  <c r="V106" i="1"/>
  <c r="X106" i="1"/>
  <c r="Y106" i="1"/>
  <c r="P39" i="1"/>
  <c r="U39" i="1"/>
  <c r="V39" i="1"/>
  <c r="X39" i="1"/>
  <c r="Y39" i="1"/>
  <c r="P65" i="1"/>
  <c r="U65" i="1"/>
  <c r="V65" i="1"/>
  <c r="Y65" i="1"/>
  <c r="X65" i="1"/>
  <c r="P74" i="1"/>
  <c r="U74" i="1"/>
  <c r="V74" i="1"/>
  <c r="X74" i="1"/>
  <c r="Y74" i="1"/>
  <c r="P60" i="1"/>
  <c r="U60" i="1"/>
  <c r="V60" i="1"/>
  <c r="X60" i="1"/>
  <c r="Y60" i="1"/>
  <c r="P102" i="1"/>
  <c r="U102" i="1"/>
  <c r="V102" i="1"/>
  <c r="X102" i="1"/>
  <c r="Y102" i="1"/>
  <c r="P84" i="1"/>
  <c r="U84" i="1"/>
  <c r="V84" i="1"/>
  <c r="X84" i="1"/>
  <c r="Y84" i="1"/>
  <c r="P62" i="1"/>
  <c r="U62" i="1"/>
  <c r="V62" i="1"/>
  <c r="X62" i="1"/>
  <c r="Y62" i="1"/>
  <c r="P77" i="1"/>
  <c r="U77" i="1"/>
  <c r="V77" i="1"/>
  <c r="X77" i="1"/>
  <c r="Y77" i="1"/>
  <c r="P79" i="1"/>
  <c r="X79" i="1"/>
  <c r="U79" i="1"/>
  <c r="V79" i="1"/>
  <c r="Y79" i="1"/>
  <c r="P53" i="1"/>
  <c r="U53" i="1"/>
  <c r="V53" i="1"/>
  <c r="Y53" i="1"/>
  <c r="X53" i="1"/>
  <c r="P83" i="1"/>
  <c r="X83" i="1"/>
  <c r="U83" i="1"/>
  <c r="V83" i="1"/>
  <c r="Y83" i="1"/>
  <c r="P57" i="1"/>
  <c r="U57" i="1"/>
  <c r="V57" i="1"/>
  <c r="Y57" i="1"/>
  <c r="X57" i="1"/>
  <c r="P63" i="1"/>
  <c r="U63" i="1"/>
  <c r="V63" i="1"/>
  <c r="X63" i="1"/>
  <c r="Y63" i="1"/>
  <c r="P45" i="1"/>
  <c r="X45" i="1"/>
  <c r="U45" i="1"/>
  <c r="V45" i="1"/>
  <c r="Y45" i="1"/>
  <c r="P54" i="1"/>
  <c r="U54" i="1"/>
  <c r="V54" i="1"/>
  <c r="X54" i="1"/>
  <c r="Y54" i="1"/>
  <c r="P97" i="1"/>
  <c r="X97" i="1"/>
  <c r="U97" i="1"/>
  <c r="V97" i="1"/>
  <c r="Y97" i="1"/>
  <c r="P40" i="1"/>
  <c r="U40" i="1"/>
  <c r="V40" i="1"/>
  <c r="X40" i="1"/>
  <c r="Y40" i="1"/>
  <c r="P105" i="1"/>
  <c r="X105" i="1"/>
  <c r="U105" i="1"/>
  <c r="V105" i="1"/>
  <c r="Y105" i="1"/>
  <c r="P104" i="1"/>
  <c r="U104" i="1"/>
  <c r="V104" i="1"/>
  <c r="X104" i="1"/>
  <c r="Y104" i="1"/>
  <c r="P108" i="1"/>
  <c r="U108" i="1"/>
  <c r="V108" i="1"/>
  <c r="X108" i="1"/>
  <c r="Y108" i="1"/>
  <c r="P68" i="1"/>
  <c r="U68" i="1"/>
  <c r="V68" i="1"/>
  <c r="X68" i="1"/>
  <c r="Y68" i="1"/>
  <c r="P103" i="1"/>
  <c r="X103" i="1"/>
  <c r="U103" i="1"/>
  <c r="V103" i="1"/>
  <c r="Y103" i="1"/>
  <c r="P46" i="1"/>
  <c r="U46" i="1"/>
  <c r="V46" i="1"/>
  <c r="X46" i="1"/>
  <c r="Y46" i="1"/>
  <c r="P43" i="1"/>
  <c r="U43" i="1"/>
  <c r="V43" i="1"/>
  <c r="Y43" i="1"/>
  <c r="X43" i="1"/>
  <c r="P58" i="1"/>
  <c r="U58" i="1"/>
  <c r="V58" i="1"/>
  <c r="X58" i="1"/>
  <c r="Y58" i="1"/>
  <c r="P67" i="1"/>
  <c r="U67" i="1"/>
  <c r="V67" i="1"/>
  <c r="Y67" i="1"/>
  <c r="X67" i="1"/>
  <c r="P38" i="1"/>
  <c r="U38" i="1"/>
  <c r="V38" i="1"/>
  <c r="X38" i="1"/>
  <c r="Y38" i="1"/>
  <c r="P91" i="1"/>
  <c r="U91" i="1"/>
  <c r="V91" i="1"/>
  <c r="Y91" i="1"/>
  <c r="X91" i="1"/>
  <c r="P107" i="1"/>
  <c r="U107" i="1"/>
  <c r="X107" i="1"/>
  <c r="V107" i="1"/>
  <c r="Y107" i="1"/>
  <c r="P98" i="1"/>
  <c r="U98" i="1"/>
  <c r="V98" i="1"/>
  <c r="X98" i="1"/>
  <c r="Y98" i="1"/>
  <c r="P50" i="1"/>
  <c r="U50" i="1"/>
  <c r="V50" i="1"/>
  <c r="X50" i="1"/>
  <c r="Y50" i="1"/>
  <c r="P71" i="1"/>
  <c r="X71" i="1"/>
  <c r="U71" i="1"/>
  <c r="V71" i="1"/>
  <c r="Y71" i="1"/>
  <c r="P66" i="1"/>
  <c r="U66" i="1"/>
  <c r="V66" i="1"/>
  <c r="X66" i="1"/>
  <c r="Y66" i="1"/>
  <c r="P88" i="1"/>
  <c r="U88" i="1"/>
  <c r="V88" i="1"/>
  <c r="X88" i="1"/>
  <c r="Y88" i="1"/>
  <c r="P92" i="1"/>
  <c r="U92" i="1"/>
  <c r="V92" i="1"/>
  <c r="X92" i="1"/>
  <c r="Y92" i="1"/>
  <c r="P70" i="1"/>
  <c r="U70" i="1"/>
  <c r="V70" i="1"/>
  <c r="X70" i="1"/>
  <c r="Y70" i="1"/>
  <c r="P41" i="1"/>
  <c r="U41" i="1"/>
  <c r="X41" i="1"/>
  <c r="V41" i="1"/>
  <c r="Y41" i="1"/>
  <c r="P85" i="1"/>
  <c r="U85" i="1"/>
  <c r="V85" i="1"/>
  <c r="Y85" i="1"/>
  <c r="X85" i="1"/>
  <c r="P49" i="1"/>
  <c r="X49" i="1"/>
  <c r="U49" i="1"/>
  <c r="V49" i="1"/>
  <c r="Y49" i="1"/>
  <c r="P82" i="1"/>
  <c r="U82" i="1"/>
  <c r="V82" i="1"/>
  <c r="X82" i="1"/>
  <c r="Y82" i="1"/>
  <c r="P94" i="1"/>
  <c r="U94" i="1"/>
  <c r="V94" i="1"/>
  <c r="X94" i="1"/>
  <c r="Y94" i="1"/>
  <c r="P59" i="1"/>
  <c r="U59" i="1"/>
  <c r="V59" i="1"/>
  <c r="X59" i="1"/>
  <c r="Y59" i="1"/>
  <c r="P89" i="1"/>
  <c r="X89" i="1"/>
  <c r="U89" i="1"/>
  <c r="V89" i="1"/>
  <c r="Y89" i="1"/>
  <c r="P51" i="1"/>
  <c r="X51" i="1"/>
  <c r="U51" i="1"/>
  <c r="V51" i="1"/>
  <c r="Y51" i="1"/>
  <c r="P81" i="1"/>
  <c r="U81" i="1"/>
  <c r="X81" i="1"/>
  <c r="V81" i="1"/>
  <c r="Y81" i="1"/>
  <c r="P101" i="1"/>
  <c r="U101" i="1"/>
  <c r="V101" i="1"/>
  <c r="X101" i="1"/>
  <c r="Y101" i="1"/>
  <c r="P69" i="1"/>
  <c r="U69" i="1"/>
  <c r="V69" i="1"/>
  <c r="X69" i="1"/>
  <c r="Y69" i="1"/>
  <c r="P48" i="1"/>
  <c r="U48" i="1"/>
  <c r="V48" i="1"/>
  <c r="X48" i="1"/>
  <c r="Y48" i="1"/>
  <c r="P73" i="1"/>
  <c r="U73" i="1"/>
  <c r="V73" i="1"/>
  <c r="Y73" i="1"/>
  <c r="X73" i="1"/>
  <c r="P72" i="1"/>
  <c r="U72" i="1"/>
  <c r="V72" i="1"/>
  <c r="X72" i="1"/>
  <c r="Y72" i="1"/>
  <c r="P75" i="1"/>
  <c r="X75" i="1"/>
  <c r="U75" i="1"/>
  <c r="V75" i="1"/>
  <c r="Y75" i="1"/>
  <c r="P93" i="1"/>
  <c r="U93" i="1"/>
  <c r="V93" i="1"/>
  <c r="X93" i="1"/>
  <c r="Y93" i="1"/>
  <c r="P76" i="1"/>
  <c r="U76" i="1"/>
  <c r="V76" i="1"/>
  <c r="X76" i="1"/>
  <c r="Y76" i="1"/>
  <c r="P86" i="1"/>
  <c r="U86" i="1"/>
  <c r="V86" i="1"/>
  <c r="X86" i="1"/>
  <c r="Y86" i="1"/>
  <c r="P47" i="1"/>
  <c r="X47" i="1"/>
  <c r="U47" i="1"/>
  <c r="V47" i="1"/>
  <c r="Y47" i="1"/>
  <c r="P100" i="1"/>
  <c r="U100" i="1"/>
  <c r="V100" i="1"/>
  <c r="X100" i="1"/>
  <c r="Y100" i="1"/>
  <c r="P78" i="1"/>
  <c r="U78" i="1"/>
  <c r="V78" i="1"/>
  <c r="X78" i="1"/>
  <c r="Y78" i="1"/>
  <c r="P80" i="1"/>
  <c r="U80" i="1"/>
  <c r="V80" i="1"/>
  <c r="X80" i="1"/>
  <c r="Y80" i="1"/>
  <c r="P99" i="1"/>
  <c r="U99" i="1"/>
  <c r="V99" i="1"/>
  <c r="Y99" i="1"/>
  <c r="X99" i="1"/>
  <c r="P87" i="1"/>
  <c r="U87" i="1"/>
  <c r="V87" i="1"/>
  <c r="X87" i="1"/>
  <c r="Y87" i="1"/>
  <c r="P52" i="1"/>
  <c r="U52" i="1"/>
  <c r="V52" i="1"/>
  <c r="X52" i="1"/>
  <c r="Y52" i="1"/>
  <c r="V37" i="1"/>
  <c r="X37" i="1"/>
  <c r="U37" i="1"/>
  <c r="P37" i="1"/>
  <c r="O64" i="1"/>
  <c r="O96" i="1"/>
  <c r="O90" i="1"/>
  <c r="O56" i="1"/>
  <c r="O61" i="1"/>
  <c r="O95" i="1"/>
  <c r="O42" i="1"/>
  <c r="O55" i="1"/>
  <c r="O106" i="1"/>
  <c r="O105" i="1"/>
  <c r="O39" i="1"/>
  <c r="O74" i="1"/>
  <c r="O60" i="1"/>
  <c r="O102" i="1"/>
  <c r="O84" i="1"/>
  <c r="O62" i="1"/>
  <c r="O107" i="1"/>
  <c r="O104" i="1"/>
  <c r="O59" i="1"/>
  <c r="O53" i="1"/>
  <c r="O83" i="1"/>
  <c r="O57" i="1"/>
  <c r="O63" i="1"/>
  <c r="O45" i="1"/>
  <c r="O54" i="1"/>
  <c r="O97" i="1"/>
  <c r="O40" i="1"/>
  <c r="O82" i="1"/>
  <c r="O98" i="1"/>
  <c r="O108" i="1"/>
  <c r="O68" i="1"/>
  <c r="O103" i="1"/>
  <c r="O46" i="1"/>
  <c r="O43" i="1"/>
  <c r="O58" i="1"/>
  <c r="O67" i="1"/>
  <c r="O38" i="1"/>
  <c r="O91" i="1"/>
  <c r="O37" i="1"/>
  <c r="O77" i="1"/>
  <c r="O79" i="1"/>
  <c r="O50" i="1"/>
  <c r="O71" i="1"/>
  <c r="O66" i="1"/>
  <c r="O88" i="1"/>
  <c r="O92" i="1"/>
  <c r="O70" i="1"/>
  <c r="O41" i="1"/>
  <c r="O85" i="1"/>
  <c r="O49" i="1"/>
  <c r="O94" i="1"/>
  <c r="O76" i="1"/>
  <c r="O89" i="1"/>
  <c r="O51" i="1"/>
  <c r="O81" i="1"/>
  <c r="O101" i="1"/>
  <c r="O69" i="1"/>
  <c r="O48" i="1"/>
  <c r="O73" i="1"/>
  <c r="O72" i="1"/>
  <c r="O75" i="1"/>
  <c r="O93" i="1"/>
  <c r="O65" i="1"/>
  <c r="O86" i="1"/>
  <c r="O47" i="1"/>
  <c r="O100" i="1"/>
  <c r="O78" i="1"/>
  <c r="O80" i="1"/>
  <c r="O99" i="1"/>
  <c r="O87" i="1"/>
  <c r="O52" i="1"/>
  <c r="G12" i="1"/>
  <c r="E26" i="1" s="1"/>
  <c r="C27" i="1" s="1"/>
  <c r="G13" i="1"/>
  <c r="E27" i="1" s="1"/>
  <c r="C28" i="1" s="1"/>
  <c r="B145" i="1" l="1"/>
  <c r="B146" i="1" s="1"/>
  <c r="D146" i="1" s="1"/>
  <c r="P141" i="1" s="1"/>
  <c r="B16" i="1"/>
  <c r="B17" i="1" s="1"/>
  <c r="Y44" i="1"/>
  <c r="V44" i="1"/>
  <c r="O44" i="1"/>
  <c r="O109" i="1" s="1"/>
  <c r="O149" i="1" s="1"/>
  <c r="X44" i="1"/>
  <c r="N109" i="1"/>
  <c r="L149" i="1" s="1"/>
  <c r="U44" i="1"/>
  <c r="E18" i="1"/>
  <c r="E17" i="1"/>
  <c r="F18" i="1"/>
  <c r="F17" i="1"/>
  <c r="D26" i="1"/>
  <c r="B27" i="1" s="1"/>
  <c r="P109" i="1"/>
  <c r="R149" i="1" s="1"/>
  <c r="D27" i="1"/>
  <c r="B28" i="1" s="1"/>
  <c r="G28" i="1" s="1"/>
  <c r="D145" i="1" l="1"/>
  <c r="Q140" i="1" s="1"/>
  <c r="R140" i="1" s="1"/>
  <c r="L19" i="1"/>
  <c r="M141" i="1"/>
  <c r="O141" i="1" s="1"/>
  <c r="N145" i="1"/>
  <c r="K145" i="1"/>
  <c r="Q145" i="1"/>
  <c r="R141" i="1"/>
  <c r="J141" i="1"/>
  <c r="L141" i="1" s="1"/>
  <c r="M19" i="1"/>
  <c r="N19" i="1"/>
  <c r="G26" i="1"/>
  <c r="F26" i="1"/>
  <c r="L24" i="1"/>
  <c r="L25" i="1" s="1"/>
  <c r="F27" i="1"/>
  <c r="F28" i="1"/>
  <c r="G27" i="1"/>
  <c r="J145" i="1" l="1"/>
  <c r="L145" i="1" s="1"/>
  <c r="N140" i="1"/>
  <c r="O140" i="1" s="1"/>
  <c r="O142" i="1" s="1"/>
  <c r="P145" i="1"/>
  <c r="R145" i="1" s="1"/>
  <c r="K140" i="1"/>
  <c r="L140" i="1" s="1"/>
  <c r="L142" i="1" s="1"/>
  <c r="M145" i="1"/>
  <c r="O145" i="1" s="1"/>
  <c r="H28" i="1"/>
  <c r="R142" i="1"/>
  <c r="M20" i="1"/>
  <c r="M21" i="1" s="1"/>
  <c r="M22" i="1" s="1"/>
  <c r="N20" i="1"/>
  <c r="N21" i="1" s="1"/>
  <c r="N22" i="1" s="1"/>
  <c r="L20" i="1"/>
  <c r="L21" i="1" s="1"/>
  <c r="L22" i="1" s="1"/>
  <c r="J24" i="1"/>
  <c r="I26" i="1"/>
  <c r="H26" i="1"/>
  <c r="J26" i="1"/>
  <c r="I24" i="1"/>
  <c r="H24" i="1"/>
  <c r="J27" i="1"/>
  <c r="I27" i="1"/>
  <c r="I28" i="1"/>
  <c r="J28" i="1"/>
  <c r="H27" i="1"/>
  <c r="L147" i="1" l="1"/>
  <c r="L151" i="1" s="1"/>
  <c r="L153" i="1" s="1"/>
  <c r="O147" i="1"/>
  <c r="O151" i="1" s="1"/>
  <c r="R147" i="1"/>
  <c r="R151" i="1" s="1"/>
  <c r="H29" i="1"/>
  <c r="H31" i="1" s="1"/>
  <c r="B112" i="1" s="1"/>
  <c r="J29" i="1"/>
  <c r="J31" i="1" s="1"/>
  <c r="B114" i="1" s="1"/>
  <c r="I29" i="1"/>
  <c r="I31" i="1" s="1"/>
  <c r="J3" i="1" l="1"/>
  <c r="R153" i="1"/>
  <c r="O153" i="1"/>
  <c r="L31" i="1"/>
  <c r="B113" i="1"/>
  <c r="B117" i="1" s="1"/>
  <c r="L30" i="1"/>
  <c r="J5" i="1" l="1"/>
  <c r="B116" i="1"/>
  <c r="J4" i="1" s="1"/>
  <c r="L4" i="1" l="1"/>
  <c r="L3" i="1" l="1"/>
  <c r="Z38" i="1"/>
  <c r="AA38" i="1" l="1"/>
  <c r="L5" i="1"/>
  <c r="J7" i="1"/>
  <c r="J6" i="1"/>
  <c r="L6" i="1" s="1"/>
</calcChain>
</file>

<file path=xl/sharedStrings.xml><?xml version="1.0" encoding="utf-8"?>
<sst xmlns="http://schemas.openxmlformats.org/spreadsheetml/2006/main" count="213" uniqueCount="148">
  <si>
    <t>in</t>
  </si>
  <si>
    <t>f'c</t>
  </si>
  <si>
    <t>ksi</t>
  </si>
  <si>
    <t>Ec</t>
  </si>
  <si>
    <t>Beta1</t>
  </si>
  <si>
    <t>Ec Calc:</t>
  </si>
  <si>
    <t>0.85*F'c</t>
  </si>
  <si>
    <t>NA Angle:</t>
  </si>
  <si>
    <t>radians</t>
  </si>
  <si>
    <t>NA Depth:</t>
  </si>
  <si>
    <t>Beta1*NA=</t>
  </si>
  <si>
    <t>eu</t>
  </si>
  <si>
    <t xml:space="preserve">Radius : </t>
  </si>
  <si>
    <t>x</t>
  </si>
  <si>
    <t>y</t>
  </si>
  <si>
    <t>theta,1</t>
  </si>
  <si>
    <t>theta,2</t>
  </si>
  <si>
    <t>rad</t>
  </si>
  <si>
    <t>y_na</t>
  </si>
  <si>
    <t>x_r</t>
  </si>
  <si>
    <t>x_l</t>
  </si>
  <si>
    <t>P</t>
  </si>
  <si>
    <t>kips</t>
  </si>
  <si>
    <t>Circle Sector</t>
  </si>
  <si>
    <t>Triangle</t>
  </si>
  <si>
    <t>Segment1</t>
  </si>
  <si>
    <t>Segment3</t>
  </si>
  <si>
    <t>Segment2</t>
  </si>
  <si>
    <t>xi</t>
  </si>
  <si>
    <t>yi</t>
  </si>
  <si>
    <t>xj</t>
  </si>
  <si>
    <t>yj</t>
  </si>
  <si>
    <t>σi' (ksi)</t>
  </si>
  <si>
    <t>σj' (ksi)</t>
  </si>
  <si>
    <t>P (kips)</t>
  </si>
  <si>
    <t>Mx (kip-in)</t>
  </si>
  <si>
    <t>My (kip-in)</t>
  </si>
  <si>
    <t>Rebar:</t>
  </si>
  <si>
    <t>Bar #:</t>
  </si>
  <si>
    <t>Bar</t>
  </si>
  <si>
    <t>Dia</t>
  </si>
  <si>
    <t>As</t>
  </si>
  <si>
    <t>As (in2)</t>
  </si>
  <si>
    <t>x_plot</t>
  </si>
  <si>
    <t>y_plot</t>
  </si>
  <si>
    <t>degrees</t>
  </si>
  <si>
    <t>x'</t>
  </si>
  <si>
    <t>y'</t>
  </si>
  <si>
    <t>Depth</t>
  </si>
  <si>
    <t xml:space="preserve">Strain </t>
  </si>
  <si>
    <t>Stress</t>
  </si>
  <si>
    <t>Ps</t>
  </si>
  <si>
    <t>Mx,s</t>
  </si>
  <si>
    <t>My,s</t>
  </si>
  <si>
    <t>fy</t>
  </si>
  <si>
    <t>E</t>
  </si>
  <si>
    <t>Mx</t>
  </si>
  <si>
    <t>My</t>
  </si>
  <si>
    <t xml:space="preserve">Mnx = </t>
  </si>
  <si>
    <t>kip-in</t>
  </si>
  <si>
    <t xml:space="preserve">Mny = </t>
  </si>
  <si>
    <t>phi</t>
  </si>
  <si>
    <t>Error</t>
  </si>
  <si>
    <t xml:space="preserve">P = </t>
  </si>
  <si>
    <t xml:space="preserve">Mx = </t>
  </si>
  <si>
    <t>kip-ft</t>
  </si>
  <si>
    <t>My =</t>
  </si>
  <si>
    <t>tan-1(My/Mx) =</t>
  </si>
  <si>
    <t>|M|</t>
  </si>
  <si>
    <t>User:</t>
  </si>
  <si>
    <t>Tolerance:</t>
  </si>
  <si>
    <t>Max Iterations:</t>
  </si>
  <si>
    <t>**Because it is a circle don't need to rotate the section only the result for the concrete</t>
  </si>
  <si>
    <t>Total:</t>
  </si>
  <si>
    <t>cover to bar center:</t>
  </si>
  <si>
    <t>Max P</t>
  </si>
  <si>
    <t>Min P</t>
  </si>
  <si>
    <t>y_whitney</t>
  </si>
  <si>
    <t>Pn (kips)</t>
  </si>
  <si>
    <t># of Points:</t>
  </si>
  <si>
    <t>Mxn</t>
  </si>
  <si>
    <t>Myn</t>
  </si>
  <si>
    <t>Alpha</t>
  </si>
  <si>
    <t>Mx_My Run Time:</t>
  </si>
  <si>
    <t>seconds</t>
  </si>
  <si>
    <t># Bars:</t>
  </si>
  <si>
    <t>% As:</t>
  </si>
  <si>
    <t>Screen Update: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</si>
  <si>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</si>
  <si>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</si>
  <si>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</si>
  <si>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</si>
  <si>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</si>
  <si>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</si>
  <si>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</si>
  <si>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</si>
  <si>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</si>
  <si>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</si>
  <si>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</si>
  <si>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</si>
  <si>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</si>
  <si>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</si>
  <si>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</si>
  <si>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</si>
  <si>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</si>
  <si>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</si>
  <si>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</si>
  <si>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</si>
  <si>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</si>
  <si>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</si>
  <si>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PCA Parabolic Strain-Strain Curve Formulas</t>
  </si>
  <si>
    <t>Parabolic Bounds</t>
  </si>
  <si>
    <t>theta1</t>
  </si>
  <si>
    <t>theta2</t>
  </si>
  <si>
    <t>x+</t>
  </si>
  <si>
    <t>x-</t>
  </si>
  <si>
    <t>Rectangular Bounds</t>
  </si>
  <si>
    <t>P (lbs)</t>
  </si>
  <si>
    <t>Mx (in-lbs)</t>
  </si>
  <si>
    <t>My (in-lbs)</t>
  </si>
  <si>
    <t>Tension Bars</t>
  </si>
  <si>
    <t>Compression bars</t>
  </si>
  <si>
    <t xml:space="preserve">c3 = </t>
  </si>
  <si>
    <t xml:space="preserve">c2 = </t>
  </si>
  <si>
    <t xml:space="preserve">c1 = </t>
  </si>
  <si>
    <t>y^2</t>
  </si>
  <si>
    <t>Stress Function:</t>
  </si>
  <si>
    <t>Right Side</t>
  </si>
  <si>
    <t>Left Side</t>
  </si>
  <si>
    <t>Stress Block:</t>
  </si>
  <si>
    <t>Bar Strain</t>
  </si>
  <si>
    <t>Conc Stress (ksi)</t>
  </si>
  <si>
    <t>From Steel</t>
  </si>
  <si>
    <t>Total</t>
  </si>
  <si>
    <t>about Original Axis</t>
  </si>
  <si>
    <t>Mx,n</t>
  </si>
  <si>
    <t>My,n</t>
  </si>
  <si>
    <t>M</t>
  </si>
  <si>
    <t>Mn</t>
  </si>
  <si>
    <t>Pn</t>
  </si>
  <si>
    <t>d for all compression:</t>
  </si>
  <si>
    <t>Density:</t>
  </si>
  <si>
    <t>pcf</t>
  </si>
  <si>
    <t>Tie Type:</t>
  </si>
  <si>
    <t>Other</t>
  </si>
  <si>
    <t>PCA_Parabolic</t>
  </si>
  <si>
    <t>Density</t>
  </si>
  <si>
    <t>PvM Run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</si>
</sst>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0"/>
    <numFmt numFmtId="167" formatCode="0.000E+00"/>
    <numFmt numFmtId="168" formatCode="0.0000%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/>
    <xf numFmtId="0" fontId="0" fillId="0" borderId="2" xfId="0" applyBorder="1" applyAlignment="1">
      <alignment horizontal="right"/>
    </xf>
    <xf numFmtId="165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/>
    <xf numFmtId="167" fontId="0" fillId="0" borderId="8" xfId="0" applyNumberFormat="1" applyBorder="1" applyAlignment="1">
      <alignment horizontal="center"/>
    </xf>
    <xf numFmtId="167" fontId="0" fillId="4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167" fontId="0" fillId="0" borderId="10" xfId="0" applyNumberFormat="1" applyBorder="1" applyAlignment="1">
      <alignment horizontal="center"/>
    </xf>
    <xf numFmtId="0" fontId="0" fillId="0" borderId="11" xfId="0" applyBorder="1"/>
    <xf numFmtId="167" fontId="0" fillId="0" borderId="12" xfId="0" applyNumberFormat="1" applyBorder="1" applyAlignment="1">
      <alignment horizontal="center"/>
    </xf>
    <xf numFmtId="0" fontId="2" fillId="0" borderId="0" xfId="0" applyFont="1"/>
    <xf numFmtId="0" fontId="0" fillId="0" borderId="3" xfId="0" applyBorder="1"/>
    <xf numFmtId="165" fontId="0" fillId="2" borderId="0" xfId="0" applyNumberFormat="1" applyFill="1" applyAlignment="1">
      <alignment horizontal="center"/>
    </xf>
    <xf numFmtId="0" fontId="0" fillId="0" borderId="13" xfId="0" applyBorder="1" applyAlignment="1">
      <alignment horizontal="right"/>
    </xf>
    <xf numFmtId="165" fontId="0" fillId="0" borderId="14" xfId="0" applyNumberFormat="1" applyBorder="1" applyAlignment="1">
      <alignment horizontal="center"/>
    </xf>
    <xf numFmtId="0" fontId="0" fillId="0" borderId="15" xfId="0" applyBorder="1"/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8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circle_section!$AR$2:$AR$362</c:f>
              <c:numCache>
                <c:formatCode>General</c:formatCode>
                <c:ptCount val="361"/>
                <c:pt idx="0">
                  <c:v>12</c:v>
                </c:pt>
                <c:pt idx="1">
                  <c:v>11.998172341876696</c:v>
                </c:pt>
                <c:pt idx="2">
                  <c:v>11.992689924229149</c:v>
                </c:pt>
                <c:pt idx="3">
                  <c:v>11.983554417054886</c:v>
                </c:pt>
                <c:pt idx="4">
                  <c:v>11.970768603117889</c:v>
                </c:pt>
                <c:pt idx="5">
                  <c:v>11.954336377100947</c:v>
                </c:pt>
                <c:pt idx="6">
                  <c:v>11.934262744419279</c:v>
                </c:pt>
                <c:pt idx="7">
                  <c:v>11.910553819695863</c:v>
                </c:pt>
                <c:pt idx="8">
                  <c:v>11.883216824898845</c:v>
                </c:pt>
                <c:pt idx="9">
                  <c:v>11.852260087141653</c:v>
                </c:pt>
                <c:pt idx="10">
                  <c:v>11.817693036146496</c:v>
                </c:pt>
                <c:pt idx="11">
                  <c:v>11.779526201371969</c:v>
                </c:pt>
                <c:pt idx="12">
                  <c:v>11.737771208805668</c:v>
                </c:pt>
                <c:pt idx="13">
                  <c:v>11.692440777422823</c:v>
                </c:pt>
                <c:pt idx="14">
                  <c:v>11.643548715311958</c:v>
                </c:pt>
                <c:pt idx="15">
                  <c:v>11.59110991546882</c:v>
                </c:pt>
                <c:pt idx="16">
                  <c:v>11.535140351259827</c:v>
                </c:pt>
                <c:pt idx="17">
                  <c:v>11.475657071556425</c:v>
                </c:pt>
                <c:pt idx="18">
                  <c:v>11.412678195541842</c:v>
                </c:pt>
                <c:pt idx="19">
                  <c:v>11.346222907191802</c:v>
                </c:pt>
                <c:pt idx="20">
                  <c:v>11.276311449430901</c:v>
                </c:pt>
                <c:pt idx="21">
                  <c:v>11.202965117966421</c:v>
                </c:pt>
                <c:pt idx="22">
                  <c:v>11.126206254801449</c:v>
                </c:pt>
                <c:pt idx="23">
                  <c:v>11.046058241429284</c:v>
                </c:pt>
                <c:pt idx="24">
                  <c:v>10.962545491711211</c:v>
                </c:pt>
                <c:pt idx="25">
                  <c:v>10.875693444439799</c:v>
                </c:pt>
                <c:pt idx="26">
                  <c:v>10.785528555590005</c:v>
                </c:pt>
                <c:pt idx="27">
                  <c:v>10.692078290260415</c:v>
                </c:pt>
                <c:pt idx="28">
                  <c:v>10.595371114307124</c:v>
                </c:pt>
                <c:pt idx="29">
                  <c:v>10.495436485672748</c:v>
                </c:pt>
                <c:pt idx="30">
                  <c:v>10.392304845413264</c:v>
                </c:pt>
                <c:pt idx="31">
                  <c:v>10.286007608425347</c:v>
                </c:pt>
                <c:pt idx="32">
                  <c:v>10.176577153877112</c:v>
                </c:pt>
                <c:pt idx="33">
                  <c:v>10.064046815345089</c:v>
                </c:pt>
                <c:pt idx="34">
                  <c:v>9.9484508706604995</c:v>
                </c:pt>
                <c:pt idx="35">
                  <c:v>9.8298245314679011</c:v>
                </c:pt>
                <c:pt idx="36">
                  <c:v>9.7082039324993694</c:v>
                </c:pt>
                <c:pt idx="37">
                  <c:v>9.583626120567514</c:v>
                </c:pt>
                <c:pt idx="38">
                  <c:v>9.4561290432806633</c:v>
                </c:pt>
                <c:pt idx="39">
                  <c:v>9.3257515374836508</c:v>
                </c:pt>
                <c:pt idx="40">
                  <c:v>9.1925333174277366</c:v>
                </c:pt>
                <c:pt idx="41">
                  <c:v>9.0565149626732637</c:v>
                </c:pt>
                <c:pt idx="42">
                  <c:v>8.9177379057287318</c:v>
                </c:pt>
                <c:pt idx="43">
                  <c:v>8.7762444194300464</c:v>
                </c:pt>
                <c:pt idx="44">
                  <c:v>8.6320776040638147</c:v>
                </c:pt>
                <c:pt idx="45">
                  <c:v>8.4852813742385713</c:v>
                </c:pt>
                <c:pt idx="46">
                  <c:v>8.335900445507967</c:v>
                </c:pt>
                <c:pt idx="47">
                  <c:v>8.1839803207499813</c:v>
                </c:pt>
                <c:pt idx="48">
                  <c:v>8.0295672763062989</c:v>
                </c:pt>
                <c:pt idx="49">
                  <c:v>7.8727083478860873</c:v>
                </c:pt>
                <c:pt idx="50">
                  <c:v>7.7134513162384728</c:v>
                </c:pt>
                <c:pt idx="51">
                  <c:v>7.55184469259805</c:v>
                </c:pt>
                <c:pt idx="52">
                  <c:v>7.3879377039078999</c:v>
                </c:pt>
                <c:pt idx="53">
                  <c:v>7.2217802778245801</c:v>
                </c:pt>
                <c:pt idx="54">
                  <c:v>7.0534230275096776</c:v>
                </c:pt>
                <c:pt idx="55">
                  <c:v>6.8829172362125544</c:v>
                </c:pt>
                <c:pt idx="56">
                  <c:v>6.7103148416489615</c:v>
                </c:pt>
                <c:pt idx="57">
                  <c:v>6.5356684201803255</c:v>
                </c:pt>
                <c:pt idx="58">
                  <c:v>6.3590311707984588</c:v>
                </c:pt>
                <c:pt idx="59">
                  <c:v>6.1804568989206494</c:v>
                </c:pt>
                <c:pt idx="60">
                  <c:v>6.0000000000000018</c:v>
                </c:pt>
                <c:pt idx="61">
                  <c:v>5.8177154429560449</c:v>
                </c:pt>
                <c:pt idx="62">
                  <c:v>5.6336587534306908</c:v>
                </c:pt>
                <c:pt idx="63">
                  <c:v>5.4478859968745619</c:v>
                </c:pt>
                <c:pt idx="64">
                  <c:v>5.2604537614689297</c:v>
                </c:pt>
                <c:pt idx="65">
                  <c:v>5.0714191408883931</c:v>
                </c:pt>
                <c:pt idx="66">
                  <c:v>4.8808397169096027</c:v>
                </c:pt>
                <c:pt idx="67">
                  <c:v>4.688773541871285</c:v>
                </c:pt>
                <c:pt idx="68">
                  <c:v>4.4952791209909435</c:v>
                </c:pt>
                <c:pt idx="69">
                  <c:v>4.3004153945436041</c:v>
                </c:pt>
                <c:pt idx="70">
                  <c:v>4.1042417199080257</c:v>
                </c:pt>
                <c:pt idx="71">
                  <c:v>3.9068178534858813</c:v>
                </c:pt>
                <c:pt idx="72">
                  <c:v>3.7082039324993694</c:v>
                </c:pt>
                <c:pt idx="73">
                  <c:v>3.5084604566728412</c:v>
                </c:pt>
                <c:pt idx="74">
                  <c:v>3.3076482698039902</c:v>
                </c:pt>
                <c:pt idx="75">
                  <c:v>3.1058285412302489</c:v>
                </c:pt>
                <c:pt idx="76">
                  <c:v>2.903062747196012</c:v>
                </c:pt>
                <c:pt idx="77">
                  <c:v>2.6994126521263793</c:v>
                </c:pt>
                <c:pt idx="78">
                  <c:v>2.4949402898131137</c:v>
                </c:pt>
                <c:pt idx="79">
                  <c:v>2.2897079445185389</c:v>
                </c:pt>
                <c:pt idx="80">
                  <c:v>2.083778132003165</c:v>
                </c:pt>
                <c:pt idx="81">
                  <c:v>1.877213580482771</c:v>
                </c:pt>
                <c:pt idx="82">
                  <c:v>1.6700772115207856</c:v>
                </c:pt>
                <c:pt idx="83">
                  <c:v>1.4624321208617699</c:v>
                </c:pt>
                <c:pt idx="84">
                  <c:v>1.2543415592118414</c:v>
                </c:pt>
                <c:pt idx="85">
                  <c:v>1.0458689129718977</c:v>
                </c:pt>
                <c:pt idx="86">
                  <c:v>0.83707768492950274</c:v>
                </c:pt>
                <c:pt idx="87">
                  <c:v>0.62803147491532763</c:v>
                </c:pt>
                <c:pt idx="88">
                  <c:v>0.41879396043001293</c:v>
                </c:pt>
                <c:pt idx="89">
                  <c:v>0.20942887724740317</c:v>
                </c:pt>
                <c:pt idx="90">
                  <c:v>7.3508907294517201E-16</c:v>
                </c:pt>
                <c:pt idx="91">
                  <c:v>-0.20942887724740172</c:v>
                </c:pt>
                <c:pt idx="92">
                  <c:v>-0.41879396043001149</c:v>
                </c:pt>
                <c:pt idx="93">
                  <c:v>-0.62803147491532607</c:v>
                </c:pt>
                <c:pt idx="94">
                  <c:v>-0.83707768492950396</c:v>
                </c:pt>
                <c:pt idx="95">
                  <c:v>-1.0458689129718988</c:v>
                </c:pt>
                <c:pt idx="96">
                  <c:v>-1.2543415592118428</c:v>
                </c:pt>
                <c:pt idx="97">
                  <c:v>-1.4624321208617683</c:v>
                </c:pt>
                <c:pt idx="98">
                  <c:v>-1.6700772115207843</c:v>
                </c:pt>
                <c:pt idx="99">
                  <c:v>-1.8772135804827697</c:v>
                </c:pt>
                <c:pt idx="100">
                  <c:v>-2.0837781320031636</c:v>
                </c:pt>
                <c:pt idx="101">
                  <c:v>-2.2897079445185375</c:v>
                </c:pt>
                <c:pt idx="102">
                  <c:v>-2.4949402898131119</c:v>
                </c:pt>
                <c:pt idx="103">
                  <c:v>-2.6994126521263802</c:v>
                </c:pt>
                <c:pt idx="104">
                  <c:v>-2.9030627471960133</c:v>
                </c:pt>
                <c:pt idx="105">
                  <c:v>-3.1058285412302502</c:v>
                </c:pt>
                <c:pt idx="106">
                  <c:v>-3.3076482698039884</c:v>
                </c:pt>
                <c:pt idx="107">
                  <c:v>-3.5084604566728399</c:v>
                </c:pt>
                <c:pt idx="108">
                  <c:v>-3.7082039324993681</c:v>
                </c:pt>
                <c:pt idx="109">
                  <c:v>-3.9068178534858795</c:v>
                </c:pt>
                <c:pt idx="110">
                  <c:v>-4.1042417199080248</c:v>
                </c:pt>
                <c:pt idx="111">
                  <c:v>-4.3004153945436032</c:v>
                </c:pt>
                <c:pt idx="112">
                  <c:v>-4.4952791209909453</c:v>
                </c:pt>
                <c:pt idx="113">
                  <c:v>-4.688773541871285</c:v>
                </c:pt>
                <c:pt idx="114">
                  <c:v>-4.8808397169096036</c:v>
                </c:pt>
                <c:pt idx="115">
                  <c:v>-5.0714191408883922</c:v>
                </c:pt>
                <c:pt idx="116">
                  <c:v>-5.2604537614689306</c:v>
                </c:pt>
                <c:pt idx="117">
                  <c:v>-5.4478859968745601</c:v>
                </c:pt>
                <c:pt idx="118">
                  <c:v>-5.6336587534306908</c:v>
                </c:pt>
                <c:pt idx="119">
                  <c:v>-5.817715442956044</c:v>
                </c:pt>
                <c:pt idx="120">
                  <c:v>-5.9999999999999973</c:v>
                </c:pt>
                <c:pt idx="121">
                  <c:v>-6.1804568989206512</c:v>
                </c:pt>
                <c:pt idx="122">
                  <c:v>-6.3590311707984579</c:v>
                </c:pt>
                <c:pt idx="123">
                  <c:v>-6.5356684201803255</c:v>
                </c:pt>
                <c:pt idx="124">
                  <c:v>-6.7103148416489606</c:v>
                </c:pt>
                <c:pt idx="125">
                  <c:v>-6.8829172362125544</c:v>
                </c:pt>
                <c:pt idx="126">
                  <c:v>-7.0534230275096768</c:v>
                </c:pt>
                <c:pt idx="127">
                  <c:v>-7.2217802778245801</c:v>
                </c:pt>
                <c:pt idx="128">
                  <c:v>-7.3879377039078999</c:v>
                </c:pt>
                <c:pt idx="129">
                  <c:v>-7.5518446925980474</c:v>
                </c:pt>
                <c:pt idx="130">
                  <c:v>-7.7134513162384728</c:v>
                </c:pt>
                <c:pt idx="131">
                  <c:v>-7.8727083478860855</c:v>
                </c:pt>
                <c:pt idx="132">
                  <c:v>-8.0295672763062989</c:v>
                </c:pt>
                <c:pt idx="133">
                  <c:v>-8.1839803207499813</c:v>
                </c:pt>
                <c:pt idx="134">
                  <c:v>-8.3359004455079688</c:v>
                </c:pt>
                <c:pt idx="135">
                  <c:v>-8.4852813742385695</c:v>
                </c:pt>
                <c:pt idx="136">
                  <c:v>-8.6320776040638147</c:v>
                </c:pt>
                <c:pt idx="137">
                  <c:v>-8.7762444194300464</c:v>
                </c:pt>
                <c:pt idx="138">
                  <c:v>-8.9177379057287283</c:v>
                </c:pt>
                <c:pt idx="139">
                  <c:v>-9.0565149626732637</c:v>
                </c:pt>
                <c:pt idx="140">
                  <c:v>-9.1925333174277348</c:v>
                </c:pt>
                <c:pt idx="141">
                  <c:v>-9.3257515374836508</c:v>
                </c:pt>
                <c:pt idx="142">
                  <c:v>-9.4561290432806633</c:v>
                </c:pt>
                <c:pt idx="143">
                  <c:v>-9.5836261205675157</c:v>
                </c:pt>
                <c:pt idx="144">
                  <c:v>-9.7082039324993676</c:v>
                </c:pt>
                <c:pt idx="145">
                  <c:v>-9.8298245314679029</c:v>
                </c:pt>
                <c:pt idx="146">
                  <c:v>-9.9484508706604995</c:v>
                </c:pt>
                <c:pt idx="147">
                  <c:v>-10.064046815345087</c:v>
                </c:pt>
                <c:pt idx="148">
                  <c:v>-10.176577153877112</c:v>
                </c:pt>
                <c:pt idx="149">
                  <c:v>-10.286007608425347</c:v>
                </c:pt>
                <c:pt idx="150">
                  <c:v>-10.392304845413264</c:v>
                </c:pt>
                <c:pt idx="151">
                  <c:v>-10.495436485672748</c:v>
                </c:pt>
                <c:pt idx="152">
                  <c:v>-10.595371114307124</c:v>
                </c:pt>
                <c:pt idx="153">
                  <c:v>-10.692078290260413</c:v>
                </c:pt>
                <c:pt idx="154">
                  <c:v>-10.785528555590005</c:v>
                </c:pt>
                <c:pt idx="155">
                  <c:v>-10.875693444439799</c:v>
                </c:pt>
                <c:pt idx="156">
                  <c:v>-10.962545491711209</c:v>
                </c:pt>
                <c:pt idx="157">
                  <c:v>-11.046058241429284</c:v>
                </c:pt>
                <c:pt idx="158">
                  <c:v>-11.126206254801447</c:v>
                </c:pt>
                <c:pt idx="159">
                  <c:v>-11.202965117966421</c:v>
                </c:pt>
                <c:pt idx="160">
                  <c:v>-11.276311449430899</c:v>
                </c:pt>
                <c:pt idx="161">
                  <c:v>-11.346222907191802</c:v>
                </c:pt>
                <c:pt idx="162">
                  <c:v>-11.412678195541842</c:v>
                </c:pt>
                <c:pt idx="163">
                  <c:v>-11.475657071556427</c:v>
                </c:pt>
                <c:pt idx="164">
                  <c:v>-11.535140351259827</c:v>
                </c:pt>
                <c:pt idx="165">
                  <c:v>-11.591109915468818</c:v>
                </c:pt>
                <c:pt idx="166">
                  <c:v>-11.643548715311958</c:v>
                </c:pt>
                <c:pt idx="167">
                  <c:v>-11.692440777422821</c:v>
                </c:pt>
                <c:pt idx="168">
                  <c:v>-11.737771208805668</c:v>
                </c:pt>
                <c:pt idx="169">
                  <c:v>-11.779526201371969</c:v>
                </c:pt>
                <c:pt idx="170">
                  <c:v>-11.817693036146496</c:v>
                </c:pt>
                <c:pt idx="171">
                  <c:v>-11.852260087141651</c:v>
                </c:pt>
                <c:pt idx="172">
                  <c:v>-11.883216824898845</c:v>
                </c:pt>
                <c:pt idx="173">
                  <c:v>-11.910553819695863</c:v>
                </c:pt>
                <c:pt idx="174">
                  <c:v>-11.934262744419279</c:v>
                </c:pt>
                <c:pt idx="175">
                  <c:v>-11.954336377100947</c:v>
                </c:pt>
                <c:pt idx="176">
                  <c:v>-11.970768603117889</c:v>
                </c:pt>
                <c:pt idx="177">
                  <c:v>-11.983554417054886</c:v>
                </c:pt>
                <c:pt idx="178">
                  <c:v>-11.992689924229149</c:v>
                </c:pt>
                <c:pt idx="179">
                  <c:v>-11.998172341876696</c:v>
                </c:pt>
                <c:pt idx="180">
                  <c:v>-12</c:v>
                </c:pt>
                <c:pt idx="181">
                  <c:v>-11.998172341876696</c:v>
                </c:pt>
                <c:pt idx="182">
                  <c:v>-11.992689924229149</c:v>
                </c:pt>
                <c:pt idx="183">
                  <c:v>-11.983554417054886</c:v>
                </c:pt>
                <c:pt idx="184">
                  <c:v>-11.970768603117889</c:v>
                </c:pt>
                <c:pt idx="185">
                  <c:v>-11.954336377100947</c:v>
                </c:pt>
                <c:pt idx="186">
                  <c:v>-11.934262744419279</c:v>
                </c:pt>
                <c:pt idx="187">
                  <c:v>-11.910553819695865</c:v>
                </c:pt>
                <c:pt idx="188">
                  <c:v>-11.883216824898843</c:v>
                </c:pt>
                <c:pt idx="189">
                  <c:v>-11.852260087141653</c:v>
                </c:pt>
                <c:pt idx="190">
                  <c:v>-11.817693036146496</c:v>
                </c:pt>
                <c:pt idx="191">
                  <c:v>-11.779526201371969</c:v>
                </c:pt>
                <c:pt idx="192">
                  <c:v>-11.737771208805666</c:v>
                </c:pt>
                <c:pt idx="193">
                  <c:v>-11.692440777422823</c:v>
                </c:pt>
                <c:pt idx="194">
                  <c:v>-11.643548715311958</c:v>
                </c:pt>
                <c:pt idx="195">
                  <c:v>-11.59110991546882</c:v>
                </c:pt>
                <c:pt idx="196">
                  <c:v>-11.535140351259827</c:v>
                </c:pt>
                <c:pt idx="197">
                  <c:v>-11.475657071556425</c:v>
                </c:pt>
                <c:pt idx="198">
                  <c:v>-11.412678195541844</c:v>
                </c:pt>
                <c:pt idx="199">
                  <c:v>-11.346222907191802</c:v>
                </c:pt>
                <c:pt idx="200">
                  <c:v>-11.276311449430901</c:v>
                </c:pt>
                <c:pt idx="201">
                  <c:v>-11.202965117966421</c:v>
                </c:pt>
                <c:pt idx="202">
                  <c:v>-11.126206254801449</c:v>
                </c:pt>
                <c:pt idx="203">
                  <c:v>-11.046058241429284</c:v>
                </c:pt>
                <c:pt idx="204">
                  <c:v>-10.962545491711211</c:v>
                </c:pt>
                <c:pt idx="205">
                  <c:v>-10.875693444439801</c:v>
                </c:pt>
                <c:pt idx="206">
                  <c:v>-10.785528555590004</c:v>
                </c:pt>
                <c:pt idx="207">
                  <c:v>-10.692078290260415</c:v>
                </c:pt>
                <c:pt idx="208">
                  <c:v>-10.595371114307122</c:v>
                </c:pt>
                <c:pt idx="209">
                  <c:v>-10.49543648567275</c:v>
                </c:pt>
                <c:pt idx="210">
                  <c:v>-10.392304845413264</c:v>
                </c:pt>
                <c:pt idx="211">
                  <c:v>-10.286007608425347</c:v>
                </c:pt>
                <c:pt idx="212">
                  <c:v>-10.176577153877112</c:v>
                </c:pt>
                <c:pt idx="213">
                  <c:v>-10.064046815345089</c:v>
                </c:pt>
                <c:pt idx="214">
                  <c:v>-9.9484508706605013</c:v>
                </c:pt>
                <c:pt idx="215">
                  <c:v>-9.8298245314679011</c:v>
                </c:pt>
                <c:pt idx="216">
                  <c:v>-9.7082039324993712</c:v>
                </c:pt>
                <c:pt idx="217">
                  <c:v>-9.583626120567514</c:v>
                </c:pt>
                <c:pt idx="218">
                  <c:v>-9.4561290432806651</c:v>
                </c:pt>
                <c:pt idx="219">
                  <c:v>-9.325751537483649</c:v>
                </c:pt>
                <c:pt idx="220">
                  <c:v>-9.1925333174277366</c:v>
                </c:pt>
                <c:pt idx="221">
                  <c:v>-9.0565149626732655</c:v>
                </c:pt>
                <c:pt idx="222">
                  <c:v>-8.9177379057287318</c:v>
                </c:pt>
                <c:pt idx="223">
                  <c:v>-8.7762444194300464</c:v>
                </c:pt>
                <c:pt idx="224">
                  <c:v>-8.632077604063813</c:v>
                </c:pt>
                <c:pt idx="225">
                  <c:v>-8.4852813742385713</c:v>
                </c:pt>
                <c:pt idx="226">
                  <c:v>-8.335900445507967</c:v>
                </c:pt>
                <c:pt idx="227">
                  <c:v>-8.1839803207499831</c:v>
                </c:pt>
                <c:pt idx="228">
                  <c:v>-8.0295672763062971</c:v>
                </c:pt>
                <c:pt idx="229">
                  <c:v>-7.8727083478860873</c:v>
                </c:pt>
                <c:pt idx="230">
                  <c:v>-7.7134513162384737</c:v>
                </c:pt>
                <c:pt idx="231">
                  <c:v>-7.5518446925980545</c:v>
                </c:pt>
                <c:pt idx="232">
                  <c:v>-7.3879377039078964</c:v>
                </c:pt>
                <c:pt idx="233">
                  <c:v>-7.2217802778245792</c:v>
                </c:pt>
                <c:pt idx="234">
                  <c:v>-7.0534230275096785</c:v>
                </c:pt>
                <c:pt idx="235">
                  <c:v>-6.8829172362125561</c:v>
                </c:pt>
                <c:pt idx="236">
                  <c:v>-6.7103148416489589</c:v>
                </c:pt>
                <c:pt idx="237">
                  <c:v>-6.5356684201803237</c:v>
                </c:pt>
                <c:pt idx="238">
                  <c:v>-6.3590311707984597</c:v>
                </c:pt>
                <c:pt idx="239">
                  <c:v>-6.1804568989206539</c:v>
                </c:pt>
                <c:pt idx="240">
                  <c:v>-6.0000000000000053</c:v>
                </c:pt>
                <c:pt idx="241">
                  <c:v>-5.8177154429560423</c:v>
                </c:pt>
                <c:pt idx="242">
                  <c:v>-5.633658753430689</c:v>
                </c:pt>
                <c:pt idx="243">
                  <c:v>-5.4478859968745628</c:v>
                </c:pt>
                <c:pt idx="244">
                  <c:v>-5.2604537614689324</c:v>
                </c:pt>
                <c:pt idx="245">
                  <c:v>-5.0714191408883895</c:v>
                </c:pt>
                <c:pt idx="246">
                  <c:v>-4.8808397169096009</c:v>
                </c:pt>
                <c:pt idx="247">
                  <c:v>-4.6887735418712859</c:v>
                </c:pt>
                <c:pt idx="248">
                  <c:v>-4.4952791209909471</c:v>
                </c:pt>
                <c:pt idx="249">
                  <c:v>-4.3004153945436085</c:v>
                </c:pt>
                <c:pt idx="250">
                  <c:v>-4.104241719908023</c:v>
                </c:pt>
                <c:pt idx="251">
                  <c:v>-3.9068178534858795</c:v>
                </c:pt>
                <c:pt idx="252">
                  <c:v>-3.7082039324993707</c:v>
                </c:pt>
                <c:pt idx="253">
                  <c:v>-3.5084604566728452</c:v>
                </c:pt>
                <c:pt idx="254">
                  <c:v>-3.3076482698039866</c:v>
                </c:pt>
                <c:pt idx="255">
                  <c:v>-3.1058285412302475</c:v>
                </c:pt>
                <c:pt idx="256">
                  <c:v>-2.9030627471960133</c:v>
                </c:pt>
                <c:pt idx="257">
                  <c:v>-2.6994126521263828</c:v>
                </c:pt>
                <c:pt idx="258">
                  <c:v>-2.4949402898131172</c:v>
                </c:pt>
                <c:pt idx="259">
                  <c:v>-2.2897079445185353</c:v>
                </c:pt>
                <c:pt idx="260">
                  <c:v>-2.0837781320031641</c:v>
                </c:pt>
                <c:pt idx="261">
                  <c:v>-1.8772135804827723</c:v>
                </c:pt>
                <c:pt idx="262">
                  <c:v>-1.6700772115207898</c:v>
                </c:pt>
                <c:pt idx="263">
                  <c:v>-1.4624321208617661</c:v>
                </c:pt>
                <c:pt idx="264">
                  <c:v>-1.2543415592118403</c:v>
                </c:pt>
                <c:pt idx="265">
                  <c:v>-1.045868912971899</c:v>
                </c:pt>
                <c:pt idx="266">
                  <c:v>-0.83707768492950696</c:v>
                </c:pt>
                <c:pt idx="267">
                  <c:v>-0.62803147491533173</c:v>
                </c:pt>
                <c:pt idx="268">
                  <c:v>-0.41879396043000916</c:v>
                </c:pt>
                <c:pt idx="269">
                  <c:v>-0.20942887724740197</c:v>
                </c:pt>
                <c:pt idx="270">
                  <c:v>-2.205267218835516E-15</c:v>
                </c:pt>
                <c:pt idx="271">
                  <c:v>0.20942887724739756</c:v>
                </c:pt>
                <c:pt idx="272">
                  <c:v>0.41879396043001538</c:v>
                </c:pt>
                <c:pt idx="273">
                  <c:v>0.62803147491532729</c:v>
                </c:pt>
                <c:pt idx="274">
                  <c:v>0.83707768492950263</c:v>
                </c:pt>
                <c:pt idx="275">
                  <c:v>1.0458689129718945</c:v>
                </c:pt>
                <c:pt idx="276">
                  <c:v>1.2543415592118359</c:v>
                </c:pt>
                <c:pt idx="277">
                  <c:v>1.4624321208617723</c:v>
                </c:pt>
                <c:pt idx="278">
                  <c:v>1.6700772115207856</c:v>
                </c:pt>
                <c:pt idx="279">
                  <c:v>1.8772135804827681</c:v>
                </c:pt>
                <c:pt idx="280">
                  <c:v>2.0837781320031596</c:v>
                </c:pt>
                <c:pt idx="281">
                  <c:v>2.2897079445185415</c:v>
                </c:pt>
                <c:pt idx="282">
                  <c:v>2.4949402898131132</c:v>
                </c:pt>
                <c:pt idx="283">
                  <c:v>2.6994126521263793</c:v>
                </c:pt>
                <c:pt idx="284">
                  <c:v>2.9030627471960093</c:v>
                </c:pt>
                <c:pt idx="285">
                  <c:v>3.1058285412302435</c:v>
                </c:pt>
                <c:pt idx="286">
                  <c:v>3.3076482698039928</c:v>
                </c:pt>
                <c:pt idx="287">
                  <c:v>3.5084604566728403</c:v>
                </c:pt>
                <c:pt idx="288">
                  <c:v>3.7082039324993668</c:v>
                </c:pt>
                <c:pt idx="289">
                  <c:v>3.906817853485876</c:v>
                </c:pt>
                <c:pt idx="290">
                  <c:v>4.1042417199080283</c:v>
                </c:pt>
                <c:pt idx="291">
                  <c:v>4.3004153945436041</c:v>
                </c:pt>
                <c:pt idx="292">
                  <c:v>4.4952791209909435</c:v>
                </c:pt>
                <c:pt idx="293">
                  <c:v>4.6887735418712815</c:v>
                </c:pt>
                <c:pt idx="294">
                  <c:v>4.8808397169095974</c:v>
                </c:pt>
                <c:pt idx="295">
                  <c:v>5.0714191408883948</c:v>
                </c:pt>
                <c:pt idx="296">
                  <c:v>5.2604537614689288</c:v>
                </c:pt>
                <c:pt idx="297">
                  <c:v>5.4478859968745592</c:v>
                </c:pt>
                <c:pt idx="298">
                  <c:v>5.6336587534306855</c:v>
                </c:pt>
                <c:pt idx="299">
                  <c:v>5.8177154429560476</c:v>
                </c:pt>
                <c:pt idx="300">
                  <c:v>6.0000000000000018</c:v>
                </c:pt>
                <c:pt idx="301">
                  <c:v>6.1804568989206494</c:v>
                </c:pt>
                <c:pt idx="302">
                  <c:v>6.3590311707984561</c:v>
                </c:pt>
                <c:pt idx="303">
                  <c:v>6.5356684201803201</c:v>
                </c:pt>
                <c:pt idx="304">
                  <c:v>6.7103148416489642</c:v>
                </c:pt>
                <c:pt idx="305">
                  <c:v>6.8829172362125526</c:v>
                </c:pt>
                <c:pt idx="306">
                  <c:v>7.053423027509675</c:v>
                </c:pt>
                <c:pt idx="307">
                  <c:v>7.2217802778245748</c:v>
                </c:pt>
                <c:pt idx="308">
                  <c:v>7.3879377039079017</c:v>
                </c:pt>
                <c:pt idx="309">
                  <c:v>7.55184469259805</c:v>
                </c:pt>
                <c:pt idx="310">
                  <c:v>7.713451316238471</c:v>
                </c:pt>
                <c:pt idx="311">
                  <c:v>7.8727083478860846</c:v>
                </c:pt>
                <c:pt idx="312">
                  <c:v>8.0295672763062935</c:v>
                </c:pt>
                <c:pt idx="313">
                  <c:v>8.1839803207499831</c:v>
                </c:pt>
                <c:pt idx="314">
                  <c:v>8.335900445507967</c:v>
                </c:pt>
                <c:pt idx="315">
                  <c:v>8.4852813742385678</c:v>
                </c:pt>
                <c:pt idx="316">
                  <c:v>8.6320776040638094</c:v>
                </c:pt>
                <c:pt idx="317">
                  <c:v>8.7762444194300482</c:v>
                </c:pt>
                <c:pt idx="318">
                  <c:v>8.9177379057287318</c:v>
                </c:pt>
                <c:pt idx="319">
                  <c:v>9.0565149626732619</c:v>
                </c:pt>
                <c:pt idx="320">
                  <c:v>9.1925333174277331</c:v>
                </c:pt>
                <c:pt idx="321">
                  <c:v>9.3257515374836473</c:v>
                </c:pt>
                <c:pt idx="322">
                  <c:v>9.4561290432806651</c:v>
                </c:pt>
                <c:pt idx="323">
                  <c:v>9.583626120567514</c:v>
                </c:pt>
                <c:pt idx="324">
                  <c:v>9.7082039324993676</c:v>
                </c:pt>
                <c:pt idx="325">
                  <c:v>9.8298245314678994</c:v>
                </c:pt>
                <c:pt idx="326">
                  <c:v>9.9484508706605013</c:v>
                </c:pt>
                <c:pt idx="327">
                  <c:v>10.064046815345089</c:v>
                </c:pt>
                <c:pt idx="328">
                  <c:v>10.176577153877112</c:v>
                </c:pt>
                <c:pt idx="329">
                  <c:v>10.286007608425345</c:v>
                </c:pt>
                <c:pt idx="330">
                  <c:v>10.39230484541326</c:v>
                </c:pt>
                <c:pt idx="331">
                  <c:v>10.49543648567275</c:v>
                </c:pt>
                <c:pt idx="332">
                  <c:v>10.595371114307122</c:v>
                </c:pt>
                <c:pt idx="333">
                  <c:v>10.692078290260413</c:v>
                </c:pt>
                <c:pt idx="334">
                  <c:v>10.785528555590002</c:v>
                </c:pt>
                <c:pt idx="335">
                  <c:v>10.875693444439801</c:v>
                </c:pt>
                <c:pt idx="336">
                  <c:v>10.962545491711211</c:v>
                </c:pt>
                <c:pt idx="337">
                  <c:v>11.046058241429282</c:v>
                </c:pt>
                <c:pt idx="338">
                  <c:v>11.126206254801447</c:v>
                </c:pt>
                <c:pt idx="339">
                  <c:v>11.202965117966418</c:v>
                </c:pt>
                <c:pt idx="340">
                  <c:v>11.276311449430901</c:v>
                </c:pt>
                <c:pt idx="341">
                  <c:v>11.346222907191802</c:v>
                </c:pt>
                <c:pt idx="342">
                  <c:v>11.412678195541842</c:v>
                </c:pt>
                <c:pt idx="343">
                  <c:v>11.475657071556423</c:v>
                </c:pt>
                <c:pt idx="344">
                  <c:v>11.535140351259827</c:v>
                </c:pt>
                <c:pt idx="345">
                  <c:v>11.59110991546882</c:v>
                </c:pt>
                <c:pt idx="346">
                  <c:v>11.643548715311958</c:v>
                </c:pt>
                <c:pt idx="347">
                  <c:v>11.692440777422821</c:v>
                </c:pt>
                <c:pt idx="348">
                  <c:v>11.737771208805666</c:v>
                </c:pt>
                <c:pt idx="349">
                  <c:v>11.779526201371969</c:v>
                </c:pt>
                <c:pt idx="350">
                  <c:v>11.817693036146496</c:v>
                </c:pt>
                <c:pt idx="351">
                  <c:v>11.852260087141651</c:v>
                </c:pt>
                <c:pt idx="352">
                  <c:v>11.883216824898843</c:v>
                </c:pt>
                <c:pt idx="353">
                  <c:v>11.910553819695865</c:v>
                </c:pt>
                <c:pt idx="354">
                  <c:v>11.934262744419279</c:v>
                </c:pt>
                <c:pt idx="355">
                  <c:v>11.954336377100947</c:v>
                </c:pt>
                <c:pt idx="356">
                  <c:v>11.970768603117889</c:v>
                </c:pt>
                <c:pt idx="357">
                  <c:v>11.983554417054886</c:v>
                </c:pt>
                <c:pt idx="358">
                  <c:v>11.992689924229149</c:v>
                </c:pt>
                <c:pt idx="359">
                  <c:v>11.998172341876696</c:v>
                </c:pt>
                <c:pt idx="360">
                  <c:v>12</c:v>
                </c:pt>
              </c:numCache>
            </c:numRef>
          </c:xVal>
          <c:yVal>
            <c:numRef>
              <c:f>circle_section!$AS$2:$AS$362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0.20942887724740214</c:v>
                </c:pt>
                <c:pt idx="2">
                  <c:v>0.4187939604300116</c:v>
                </c:pt>
                <c:pt idx="3">
                  <c:v>0.62803147491532596</c:v>
                </c:pt>
                <c:pt idx="4">
                  <c:v>0.83707768492950363</c:v>
                </c:pt>
                <c:pt idx="5">
                  <c:v>1.0458689129718981</c:v>
                </c:pt>
                <c:pt idx="6">
                  <c:v>1.2543415592118417</c:v>
                </c:pt>
                <c:pt idx="7">
                  <c:v>1.4624321208617697</c:v>
                </c:pt>
                <c:pt idx="8">
                  <c:v>1.6700772115207854</c:v>
                </c:pt>
                <c:pt idx="9">
                  <c:v>1.8772135804827705</c:v>
                </c:pt>
                <c:pt idx="10">
                  <c:v>2.0837781320031641</c:v>
                </c:pt>
                <c:pt idx="11">
                  <c:v>2.2897079445185375</c:v>
                </c:pt>
                <c:pt idx="12">
                  <c:v>2.4949402898131119</c:v>
                </c:pt>
                <c:pt idx="13">
                  <c:v>2.6994126521263802</c:v>
                </c:pt>
                <c:pt idx="14">
                  <c:v>2.9030627471960129</c:v>
                </c:pt>
                <c:pt idx="15">
                  <c:v>3.1058285412302489</c:v>
                </c:pt>
                <c:pt idx="16">
                  <c:v>3.3076482698039902</c:v>
                </c:pt>
                <c:pt idx="17">
                  <c:v>3.5084604566728412</c:v>
                </c:pt>
                <c:pt idx="18">
                  <c:v>3.7082039324993685</c:v>
                </c:pt>
                <c:pt idx="19">
                  <c:v>3.9068178534858804</c:v>
                </c:pt>
                <c:pt idx="20">
                  <c:v>4.1042417199080248</c:v>
                </c:pt>
                <c:pt idx="21">
                  <c:v>4.3004153945436032</c:v>
                </c:pt>
                <c:pt idx="22">
                  <c:v>4.4952791209909444</c:v>
                </c:pt>
                <c:pt idx="23">
                  <c:v>4.688773541871285</c:v>
                </c:pt>
                <c:pt idx="24">
                  <c:v>4.8808397169096027</c:v>
                </c:pt>
                <c:pt idx="25">
                  <c:v>5.0714191408883931</c:v>
                </c:pt>
                <c:pt idx="26">
                  <c:v>5.2604537614689288</c:v>
                </c:pt>
                <c:pt idx="27">
                  <c:v>5.447885996874561</c:v>
                </c:pt>
                <c:pt idx="28">
                  <c:v>5.6336587534306899</c:v>
                </c:pt>
                <c:pt idx="29">
                  <c:v>5.8177154429560449</c:v>
                </c:pt>
                <c:pt idx="30">
                  <c:v>5.9999999999999991</c:v>
                </c:pt>
                <c:pt idx="31">
                  <c:v>6.1804568989206494</c:v>
                </c:pt>
                <c:pt idx="32">
                  <c:v>6.3590311707984588</c:v>
                </c:pt>
                <c:pt idx="33">
                  <c:v>6.5356684201803255</c:v>
                </c:pt>
                <c:pt idx="34">
                  <c:v>6.7103148416489624</c:v>
                </c:pt>
                <c:pt idx="35">
                  <c:v>6.8829172362125526</c:v>
                </c:pt>
                <c:pt idx="36">
                  <c:v>7.0534230275096776</c:v>
                </c:pt>
                <c:pt idx="37">
                  <c:v>7.2217802778245792</c:v>
                </c:pt>
                <c:pt idx="38">
                  <c:v>7.3879377039078999</c:v>
                </c:pt>
                <c:pt idx="39">
                  <c:v>7.5518446925980491</c:v>
                </c:pt>
                <c:pt idx="40">
                  <c:v>7.713451316238471</c:v>
                </c:pt>
                <c:pt idx="41">
                  <c:v>7.8727083478860873</c:v>
                </c:pt>
                <c:pt idx="42">
                  <c:v>8.0295672763062989</c:v>
                </c:pt>
                <c:pt idx="43">
                  <c:v>8.1839803207499813</c:v>
                </c:pt>
                <c:pt idx="44">
                  <c:v>8.335900445507967</c:v>
                </c:pt>
                <c:pt idx="45">
                  <c:v>8.4852813742385695</c:v>
                </c:pt>
                <c:pt idx="46">
                  <c:v>8.632077604063813</c:v>
                </c:pt>
                <c:pt idx="47">
                  <c:v>8.7762444194300464</c:v>
                </c:pt>
                <c:pt idx="48">
                  <c:v>8.9177379057287318</c:v>
                </c:pt>
                <c:pt idx="49">
                  <c:v>9.0565149626732637</c:v>
                </c:pt>
                <c:pt idx="50">
                  <c:v>9.1925333174277366</c:v>
                </c:pt>
                <c:pt idx="51">
                  <c:v>9.3257515374836508</c:v>
                </c:pt>
                <c:pt idx="52">
                  <c:v>9.4561290432806651</c:v>
                </c:pt>
                <c:pt idx="53">
                  <c:v>9.583626120567514</c:v>
                </c:pt>
                <c:pt idx="54">
                  <c:v>9.7082039324993694</c:v>
                </c:pt>
                <c:pt idx="55">
                  <c:v>9.8298245314679011</c:v>
                </c:pt>
                <c:pt idx="56">
                  <c:v>9.9484508706605013</c:v>
                </c:pt>
                <c:pt idx="57">
                  <c:v>10.064046815345089</c:v>
                </c:pt>
                <c:pt idx="58">
                  <c:v>10.176577153877112</c:v>
                </c:pt>
                <c:pt idx="59">
                  <c:v>10.286007608425347</c:v>
                </c:pt>
                <c:pt idx="60">
                  <c:v>10.392304845413264</c:v>
                </c:pt>
                <c:pt idx="61">
                  <c:v>10.495436485672748</c:v>
                </c:pt>
                <c:pt idx="62">
                  <c:v>10.595371114307122</c:v>
                </c:pt>
                <c:pt idx="63">
                  <c:v>10.692078290260413</c:v>
                </c:pt>
                <c:pt idx="64">
                  <c:v>10.785528555590005</c:v>
                </c:pt>
                <c:pt idx="65">
                  <c:v>10.875693444439799</c:v>
                </c:pt>
                <c:pt idx="66">
                  <c:v>10.962545491711211</c:v>
                </c:pt>
                <c:pt idx="67">
                  <c:v>11.046058241429284</c:v>
                </c:pt>
                <c:pt idx="68">
                  <c:v>11.126206254801449</c:v>
                </c:pt>
                <c:pt idx="69">
                  <c:v>11.202965117966421</c:v>
                </c:pt>
                <c:pt idx="70">
                  <c:v>11.276311449430899</c:v>
                </c:pt>
                <c:pt idx="71">
                  <c:v>11.346222907191802</c:v>
                </c:pt>
                <c:pt idx="72">
                  <c:v>11.412678195541842</c:v>
                </c:pt>
                <c:pt idx="73">
                  <c:v>11.475657071556425</c:v>
                </c:pt>
                <c:pt idx="74">
                  <c:v>11.535140351259827</c:v>
                </c:pt>
                <c:pt idx="75">
                  <c:v>11.59110991546882</c:v>
                </c:pt>
                <c:pt idx="76">
                  <c:v>11.643548715311958</c:v>
                </c:pt>
                <c:pt idx="77">
                  <c:v>11.692440777422823</c:v>
                </c:pt>
                <c:pt idx="78">
                  <c:v>11.737771208805666</c:v>
                </c:pt>
                <c:pt idx="79">
                  <c:v>11.779526201371969</c:v>
                </c:pt>
                <c:pt idx="80">
                  <c:v>11.817693036146496</c:v>
                </c:pt>
                <c:pt idx="81">
                  <c:v>11.852260087141653</c:v>
                </c:pt>
                <c:pt idx="82">
                  <c:v>11.883216824898845</c:v>
                </c:pt>
                <c:pt idx="83">
                  <c:v>11.910553819695863</c:v>
                </c:pt>
                <c:pt idx="84">
                  <c:v>11.934262744419279</c:v>
                </c:pt>
                <c:pt idx="85">
                  <c:v>11.954336377100947</c:v>
                </c:pt>
                <c:pt idx="86">
                  <c:v>11.970768603117889</c:v>
                </c:pt>
                <c:pt idx="87">
                  <c:v>11.983554417054886</c:v>
                </c:pt>
                <c:pt idx="88">
                  <c:v>11.992689924229149</c:v>
                </c:pt>
                <c:pt idx="89">
                  <c:v>11.998172341876696</c:v>
                </c:pt>
                <c:pt idx="90">
                  <c:v>12</c:v>
                </c:pt>
                <c:pt idx="91">
                  <c:v>11.998172341876696</c:v>
                </c:pt>
                <c:pt idx="92">
                  <c:v>11.992689924229149</c:v>
                </c:pt>
                <c:pt idx="93">
                  <c:v>11.983554417054886</c:v>
                </c:pt>
                <c:pt idx="94">
                  <c:v>11.970768603117889</c:v>
                </c:pt>
                <c:pt idx="95">
                  <c:v>11.954336377100947</c:v>
                </c:pt>
                <c:pt idx="96">
                  <c:v>11.934262744419279</c:v>
                </c:pt>
                <c:pt idx="97">
                  <c:v>11.910553819695865</c:v>
                </c:pt>
                <c:pt idx="98">
                  <c:v>11.883216824898845</c:v>
                </c:pt>
                <c:pt idx="99">
                  <c:v>11.852260087141653</c:v>
                </c:pt>
                <c:pt idx="100">
                  <c:v>11.817693036146496</c:v>
                </c:pt>
                <c:pt idx="101">
                  <c:v>11.779526201371969</c:v>
                </c:pt>
                <c:pt idx="102">
                  <c:v>11.737771208805668</c:v>
                </c:pt>
                <c:pt idx="103">
                  <c:v>11.692440777422823</c:v>
                </c:pt>
                <c:pt idx="104">
                  <c:v>11.643548715311958</c:v>
                </c:pt>
                <c:pt idx="105">
                  <c:v>11.59110991546882</c:v>
                </c:pt>
                <c:pt idx="106">
                  <c:v>11.535140351259827</c:v>
                </c:pt>
                <c:pt idx="107">
                  <c:v>11.475657071556427</c:v>
                </c:pt>
                <c:pt idx="108">
                  <c:v>11.412678195541844</c:v>
                </c:pt>
                <c:pt idx="109">
                  <c:v>11.346222907191802</c:v>
                </c:pt>
                <c:pt idx="110">
                  <c:v>11.276311449430901</c:v>
                </c:pt>
                <c:pt idx="111">
                  <c:v>11.202965117966421</c:v>
                </c:pt>
                <c:pt idx="112">
                  <c:v>11.126206254801449</c:v>
                </c:pt>
                <c:pt idx="113">
                  <c:v>11.046058241429282</c:v>
                </c:pt>
                <c:pt idx="114">
                  <c:v>10.962545491711211</c:v>
                </c:pt>
                <c:pt idx="115">
                  <c:v>10.875693444439801</c:v>
                </c:pt>
                <c:pt idx="116">
                  <c:v>10.785528555590004</c:v>
                </c:pt>
                <c:pt idx="117">
                  <c:v>10.692078290260415</c:v>
                </c:pt>
                <c:pt idx="118">
                  <c:v>10.595371114307122</c:v>
                </c:pt>
                <c:pt idx="119">
                  <c:v>10.49543648567275</c:v>
                </c:pt>
                <c:pt idx="120">
                  <c:v>10.392304845413264</c:v>
                </c:pt>
                <c:pt idx="121">
                  <c:v>10.286007608425347</c:v>
                </c:pt>
                <c:pt idx="122">
                  <c:v>10.176577153877112</c:v>
                </c:pt>
                <c:pt idx="123">
                  <c:v>10.064046815345087</c:v>
                </c:pt>
                <c:pt idx="124">
                  <c:v>9.9484508706605013</c:v>
                </c:pt>
                <c:pt idx="125">
                  <c:v>9.8298245314678994</c:v>
                </c:pt>
                <c:pt idx="126">
                  <c:v>9.7082039324993694</c:v>
                </c:pt>
                <c:pt idx="127">
                  <c:v>9.5836261205675122</c:v>
                </c:pt>
                <c:pt idx="128">
                  <c:v>9.4561290432806651</c:v>
                </c:pt>
                <c:pt idx="129">
                  <c:v>9.3257515374836526</c:v>
                </c:pt>
                <c:pt idx="130">
                  <c:v>9.1925333174277366</c:v>
                </c:pt>
                <c:pt idx="131">
                  <c:v>9.0565149626732655</c:v>
                </c:pt>
                <c:pt idx="132">
                  <c:v>8.9177379057287318</c:v>
                </c:pt>
                <c:pt idx="133">
                  <c:v>8.7762444194300464</c:v>
                </c:pt>
                <c:pt idx="134">
                  <c:v>8.632077604063813</c:v>
                </c:pt>
                <c:pt idx="135">
                  <c:v>8.4852813742385713</c:v>
                </c:pt>
                <c:pt idx="136">
                  <c:v>8.3359004455079653</c:v>
                </c:pt>
                <c:pt idx="137">
                  <c:v>8.1839803207499831</c:v>
                </c:pt>
                <c:pt idx="138">
                  <c:v>8.0295672763063006</c:v>
                </c:pt>
                <c:pt idx="139">
                  <c:v>7.8727083478860873</c:v>
                </c:pt>
                <c:pt idx="140">
                  <c:v>7.7134513162384737</c:v>
                </c:pt>
                <c:pt idx="141">
                  <c:v>7.5518446925980491</c:v>
                </c:pt>
                <c:pt idx="142">
                  <c:v>7.3879377039079008</c:v>
                </c:pt>
                <c:pt idx="143">
                  <c:v>7.2217802778245783</c:v>
                </c:pt>
                <c:pt idx="144">
                  <c:v>7.0534230275096785</c:v>
                </c:pt>
                <c:pt idx="145">
                  <c:v>6.8829172362125508</c:v>
                </c:pt>
                <c:pt idx="146">
                  <c:v>6.7103148416489624</c:v>
                </c:pt>
                <c:pt idx="147">
                  <c:v>6.5356684201803272</c:v>
                </c:pt>
                <c:pt idx="148">
                  <c:v>6.3590311707984588</c:v>
                </c:pt>
                <c:pt idx="149">
                  <c:v>6.180456898920653</c:v>
                </c:pt>
                <c:pt idx="150">
                  <c:v>5.9999999999999991</c:v>
                </c:pt>
                <c:pt idx="151">
                  <c:v>5.8177154429560458</c:v>
                </c:pt>
                <c:pt idx="152">
                  <c:v>5.6336587534306881</c:v>
                </c:pt>
                <c:pt idx="153">
                  <c:v>5.4478859968745628</c:v>
                </c:pt>
                <c:pt idx="154">
                  <c:v>5.2604537614689271</c:v>
                </c:pt>
                <c:pt idx="155">
                  <c:v>5.071419140888394</c:v>
                </c:pt>
                <c:pt idx="156">
                  <c:v>4.8808397169096054</c:v>
                </c:pt>
                <c:pt idx="157">
                  <c:v>4.688773541871285</c:v>
                </c:pt>
                <c:pt idx="158">
                  <c:v>4.4952791209909471</c:v>
                </c:pt>
                <c:pt idx="159">
                  <c:v>4.3004153945436023</c:v>
                </c:pt>
                <c:pt idx="160">
                  <c:v>4.1042417199080266</c:v>
                </c:pt>
                <c:pt idx="161">
                  <c:v>3.9068178534858791</c:v>
                </c:pt>
                <c:pt idx="162">
                  <c:v>3.7082039324993703</c:v>
                </c:pt>
                <c:pt idx="163">
                  <c:v>3.5084604566728395</c:v>
                </c:pt>
                <c:pt idx="164">
                  <c:v>3.3076482698039906</c:v>
                </c:pt>
                <c:pt idx="165">
                  <c:v>3.1058285412302524</c:v>
                </c:pt>
                <c:pt idx="166">
                  <c:v>2.9030627471960129</c:v>
                </c:pt>
                <c:pt idx="167">
                  <c:v>2.6994126521263824</c:v>
                </c:pt>
                <c:pt idx="168">
                  <c:v>2.4949402898131119</c:v>
                </c:pt>
                <c:pt idx="169">
                  <c:v>2.2897079445185398</c:v>
                </c:pt>
                <c:pt idx="170">
                  <c:v>2.0837781320031632</c:v>
                </c:pt>
                <c:pt idx="171">
                  <c:v>1.8772135804827719</c:v>
                </c:pt>
                <c:pt idx="172">
                  <c:v>1.670077211520784</c:v>
                </c:pt>
                <c:pt idx="173">
                  <c:v>1.4624321208617705</c:v>
                </c:pt>
                <c:pt idx="174">
                  <c:v>1.2543415592118448</c:v>
                </c:pt>
                <c:pt idx="175">
                  <c:v>1.0458689129718983</c:v>
                </c:pt>
                <c:pt idx="176">
                  <c:v>0.83707768492950629</c:v>
                </c:pt>
                <c:pt idx="177">
                  <c:v>0.62803147491532574</c:v>
                </c:pt>
                <c:pt idx="178">
                  <c:v>0.41879396043001371</c:v>
                </c:pt>
                <c:pt idx="179">
                  <c:v>0.20942887724740128</c:v>
                </c:pt>
                <c:pt idx="180">
                  <c:v>1.470178145890344E-15</c:v>
                </c:pt>
                <c:pt idx="181">
                  <c:v>-0.20942887724740364</c:v>
                </c:pt>
                <c:pt idx="182">
                  <c:v>-0.41879396043001083</c:v>
                </c:pt>
                <c:pt idx="183">
                  <c:v>-0.62803147491532263</c:v>
                </c:pt>
                <c:pt idx="184">
                  <c:v>-0.8370776849295033</c:v>
                </c:pt>
                <c:pt idx="185">
                  <c:v>-1.0458689129718954</c:v>
                </c:pt>
                <c:pt idx="186">
                  <c:v>-1.2543415592118419</c:v>
                </c:pt>
                <c:pt idx="187">
                  <c:v>-1.4624321208617677</c:v>
                </c:pt>
                <c:pt idx="188">
                  <c:v>-1.6700772115207863</c:v>
                </c:pt>
                <c:pt idx="189">
                  <c:v>-1.8772135804827688</c:v>
                </c:pt>
                <c:pt idx="190">
                  <c:v>-2.0837781320031654</c:v>
                </c:pt>
                <c:pt idx="191">
                  <c:v>-2.2897079445185367</c:v>
                </c:pt>
                <c:pt idx="192">
                  <c:v>-2.4949402898131141</c:v>
                </c:pt>
                <c:pt idx="193">
                  <c:v>-2.6994126521263797</c:v>
                </c:pt>
                <c:pt idx="194">
                  <c:v>-2.9030627471960102</c:v>
                </c:pt>
                <c:pt idx="195">
                  <c:v>-3.1058285412302498</c:v>
                </c:pt>
                <c:pt idx="196">
                  <c:v>-3.307648269803988</c:v>
                </c:pt>
                <c:pt idx="197">
                  <c:v>-3.5084604566728412</c:v>
                </c:pt>
                <c:pt idx="198">
                  <c:v>-3.7082039324993676</c:v>
                </c:pt>
                <c:pt idx="199">
                  <c:v>-3.9068178534858813</c:v>
                </c:pt>
                <c:pt idx="200">
                  <c:v>-4.1042417199080239</c:v>
                </c:pt>
                <c:pt idx="201">
                  <c:v>-4.300415394543605</c:v>
                </c:pt>
                <c:pt idx="202">
                  <c:v>-4.4952791209909444</c:v>
                </c:pt>
                <c:pt idx="203">
                  <c:v>-4.6887735418712824</c:v>
                </c:pt>
                <c:pt idx="204">
                  <c:v>-4.8808397169096027</c:v>
                </c:pt>
                <c:pt idx="205">
                  <c:v>-5.0714191408883913</c:v>
                </c:pt>
                <c:pt idx="206">
                  <c:v>-5.2604537614689297</c:v>
                </c:pt>
                <c:pt idx="207">
                  <c:v>-5.4478859968745601</c:v>
                </c:pt>
                <c:pt idx="208">
                  <c:v>-5.6336587534306908</c:v>
                </c:pt>
                <c:pt idx="209">
                  <c:v>-5.8177154429560431</c:v>
                </c:pt>
                <c:pt idx="210">
                  <c:v>-6.0000000000000018</c:v>
                </c:pt>
                <c:pt idx="211">
                  <c:v>-6.1804568989206494</c:v>
                </c:pt>
                <c:pt idx="212">
                  <c:v>-6.3590311707984579</c:v>
                </c:pt>
                <c:pt idx="213">
                  <c:v>-6.5356684201803255</c:v>
                </c:pt>
                <c:pt idx="214">
                  <c:v>-6.7103148416489606</c:v>
                </c:pt>
                <c:pt idx="215">
                  <c:v>-6.8829172362125544</c:v>
                </c:pt>
                <c:pt idx="216">
                  <c:v>-7.0534230275096768</c:v>
                </c:pt>
                <c:pt idx="217">
                  <c:v>-7.2217802778245801</c:v>
                </c:pt>
                <c:pt idx="218">
                  <c:v>-7.3879377039078982</c:v>
                </c:pt>
                <c:pt idx="219">
                  <c:v>-7.5518446925980509</c:v>
                </c:pt>
                <c:pt idx="220">
                  <c:v>-7.713451316238471</c:v>
                </c:pt>
                <c:pt idx="221">
                  <c:v>-7.8727083478860846</c:v>
                </c:pt>
                <c:pt idx="222">
                  <c:v>-8.0295672763062989</c:v>
                </c:pt>
                <c:pt idx="223">
                  <c:v>-8.1839803207499813</c:v>
                </c:pt>
                <c:pt idx="224">
                  <c:v>-8.3359004455079688</c:v>
                </c:pt>
                <c:pt idx="225">
                  <c:v>-8.4852813742385695</c:v>
                </c:pt>
                <c:pt idx="226">
                  <c:v>-8.6320776040638147</c:v>
                </c:pt>
                <c:pt idx="227">
                  <c:v>-8.7762444194300464</c:v>
                </c:pt>
                <c:pt idx="228">
                  <c:v>-8.9177379057287318</c:v>
                </c:pt>
                <c:pt idx="229">
                  <c:v>-9.0565149626732637</c:v>
                </c:pt>
                <c:pt idx="230">
                  <c:v>-9.1925333174277348</c:v>
                </c:pt>
                <c:pt idx="231">
                  <c:v>-9.3257515374836473</c:v>
                </c:pt>
                <c:pt idx="232">
                  <c:v>-9.4561290432806651</c:v>
                </c:pt>
                <c:pt idx="233">
                  <c:v>-9.583626120567514</c:v>
                </c:pt>
                <c:pt idx="234">
                  <c:v>-9.7082039324993676</c:v>
                </c:pt>
                <c:pt idx="235">
                  <c:v>-9.8298245314678994</c:v>
                </c:pt>
                <c:pt idx="236">
                  <c:v>-9.9484508706605013</c:v>
                </c:pt>
                <c:pt idx="237">
                  <c:v>-10.064046815345089</c:v>
                </c:pt>
                <c:pt idx="238">
                  <c:v>-10.176577153877112</c:v>
                </c:pt>
                <c:pt idx="239">
                  <c:v>-10.286007608425345</c:v>
                </c:pt>
                <c:pt idx="240">
                  <c:v>-10.39230484541326</c:v>
                </c:pt>
                <c:pt idx="241">
                  <c:v>-10.495436485672752</c:v>
                </c:pt>
                <c:pt idx="242">
                  <c:v>-10.595371114307124</c:v>
                </c:pt>
                <c:pt idx="243">
                  <c:v>-10.692078290260413</c:v>
                </c:pt>
                <c:pt idx="244">
                  <c:v>-10.785528555590002</c:v>
                </c:pt>
                <c:pt idx="245">
                  <c:v>-10.875693444439801</c:v>
                </c:pt>
                <c:pt idx="246">
                  <c:v>-10.962545491711211</c:v>
                </c:pt>
                <c:pt idx="247">
                  <c:v>-11.046058241429282</c:v>
                </c:pt>
                <c:pt idx="248">
                  <c:v>-11.126206254801447</c:v>
                </c:pt>
                <c:pt idx="249">
                  <c:v>-11.20296511796642</c:v>
                </c:pt>
                <c:pt idx="250">
                  <c:v>-11.276311449430901</c:v>
                </c:pt>
                <c:pt idx="251">
                  <c:v>-11.346222907191802</c:v>
                </c:pt>
                <c:pt idx="252">
                  <c:v>-11.412678195541842</c:v>
                </c:pt>
                <c:pt idx="253">
                  <c:v>-11.475657071556423</c:v>
                </c:pt>
                <c:pt idx="254">
                  <c:v>-11.535140351259829</c:v>
                </c:pt>
                <c:pt idx="255">
                  <c:v>-11.59110991546882</c:v>
                </c:pt>
                <c:pt idx="256">
                  <c:v>-11.643548715311958</c:v>
                </c:pt>
                <c:pt idx="257">
                  <c:v>-11.692440777422821</c:v>
                </c:pt>
                <c:pt idx="258">
                  <c:v>-11.737771208805666</c:v>
                </c:pt>
                <c:pt idx="259">
                  <c:v>-11.779526201371969</c:v>
                </c:pt>
                <c:pt idx="260">
                  <c:v>-11.817693036146496</c:v>
                </c:pt>
                <c:pt idx="261">
                  <c:v>-11.852260087141651</c:v>
                </c:pt>
                <c:pt idx="262">
                  <c:v>-11.883216824898843</c:v>
                </c:pt>
                <c:pt idx="263">
                  <c:v>-11.910553819695865</c:v>
                </c:pt>
                <c:pt idx="264">
                  <c:v>-11.93426274441928</c:v>
                </c:pt>
                <c:pt idx="265">
                  <c:v>-11.954336377100947</c:v>
                </c:pt>
                <c:pt idx="266">
                  <c:v>-11.970768603117889</c:v>
                </c:pt>
                <c:pt idx="267">
                  <c:v>-11.983554417054886</c:v>
                </c:pt>
                <c:pt idx="268">
                  <c:v>-11.992689924229149</c:v>
                </c:pt>
                <c:pt idx="269">
                  <c:v>-11.998172341876696</c:v>
                </c:pt>
                <c:pt idx="270">
                  <c:v>-12</c:v>
                </c:pt>
                <c:pt idx="271">
                  <c:v>-11.998172341876696</c:v>
                </c:pt>
                <c:pt idx="272">
                  <c:v>-11.992689924229149</c:v>
                </c:pt>
                <c:pt idx="273">
                  <c:v>-11.983554417054886</c:v>
                </c:pt>
                <c:pt idx="274">
                  <c:v>-11.970768603117891</c:v>
                </c:pt>
                <c:pt idx="275">
                  <c:v>-11.954336377100947</c:v>
                </c:pt>
                <c:pt idx="276">
                  <c:v>-11.93426274441928</c:v>
                </c:pt>
                <c:pt idx="277">
                  <c:v>-11.910553819695863</c:v>
                </c:pt>
                <c:pt idx="278">
                  <c:v>-11.883216824898845</c:v>
                </c:pt>
                <c:pt idx="279">
                  <c:v>-11.852260087141653</c:v>
                </c:pt>
                <c:pt idx="280">
                  <c:v>-11.817693036146498</c:v>
                </c:pt>
                <c:pt idx="281">
                  <c:v>-11.779526201371967</c:v>
                </c:pt>
                <c:pt idx="282">
                  <c:v>-11.737771208805666</c:v>
                </c:pt>
                <c:pt idx="283">
                  <c:v>-11.692440777422823</c:v>
                </c:pt>
                <c:pt idx="284">
                  <c:v>-11.643548715311958</c:v>
                </c:pt>
                <c:pt idx="285">
                  <c:v>-11.59110991546882</c:v>
                </c:pt>
                <c:pt idx="286">
                  <c:v>-11.535140351259825</c:v>
                </c:pt>
                <c:pt idx="287">
                  <c:v>-11.475657071556425</c:v>
                </c:pt>
                <c:pt idx="288">
                  <c:v>-11.412678195541844</c:v>
                </c:pt>
                <c:pt idx="289">
                  <c:v>-11.346222907191803</c:v>
                </c:pt>
                <c:pt idx="290">
                  <c:v>-11.276311449430899</c:v>
                </c:pt>
                <c:pt idx="291">
                  <c:v>-11.202965117966421</c:v>
                </c:pt>
                <c:pt idx="292">
                  <c:v>-11.126206254801449</c:v>
                </c:pt>
                <c:pt idx="293">
                  <c:v>-11.046058241429286</c:v>
                </c:pt>
                <c:pt idx="294">
                  <c:v>-10.962545491711213</c:v>
                </c:pt>
                <c:pt idx="295">
                  <c:v>-10.875693444439799</c:v>
                </c:pt>
                <c:pt idx="296">
                  <c:v>-10.785528555590005</c:v>
                </c:pt>
                <c:pt idx="297">
                  <c:v>-10.692078290260415</c:v>
                </c:pt>
                <c:pt idx="298">
                  <c:v>-10.595371114307126</c:v>
                </c:pt>
                <c:pt idx="299">
                  <c:v>-10.495436485672748</c:v>
                </c:pt>
                <c:pt idx="300">
                  <c:v>-10.392304845413264</c:v>
                </c:pt>
                <c:pt idx="301">
                  <c:v>-10.286007608425347</c:v>
                </c:pt>
                <c:pt idx="302">
                  <c:v>-10.176577153877114</c:v>
                </c:pt>
                <c:pt idx="303">
                  <c:v>-10.06404681534509</c:v>
                </c:pt>
                <c:pt idx="304">
                  <c:v>-9.9484508706604995</c:v>
                </c:pt>
                <c:pt idx="305">
                  <c:v>-9.8298245314679011</c:v>
                </c:pt>
                <c:pt idx="306">
                  <c:v>-9.7082039324993712</c:v>
                </c:pt>
                <c:pt idx="307">
                  <c:v>-9.5836261205675157</c:v>
                </c:pt>
                <c:pt idx="308">
                  <c:v>-9.4561290432806615</c:v>
                </c:pt>
                <c:pt idx="309">
                  <c:v>-9.325751537483649</c:v>
                </c:pt>
                <c:pt idx="310">
                  <c:v>-9.1925333174277384</c:v>
                </c:pt>
                <c:pt idx="311">
                  <c:v>-9.0565149626732673</c:v>
                </c:pt>
                <c:pt idx="312">
                  <c:v>-8.9177379057287354</c:v>
                </c:pt>
                <c:pt idx="313">
                  <c:v>-8.7762444194300446</c:v>
                </c:pt>
                <c:pt idx="314">
                  <c:v>-8.6320776040638147</c:v>
                </c:pt>
                <c:pt idx="315">
                  <c:v>-8.4852813742385713</c:v>
                </c:pt>
                <c:pt idx="316">
                  <c:v>-8.3359004455079706</c:v>
                </c:pt>
                <c:pt idx="317">
                  <c:v>-8.1839803207499795</c:v>
                </c:pt>
                <c:pt idx="318">
                  <c:v>-8.0295672763062971</c:v>
                </c:pt>
                <c:pt idx="319">
                  <c:v>-7.8727083478860891</c:v>
                </c:pt>
                <c:pt idx="320">
                  <c:v>-7.7134513162384746</c:v>
                </c:pt>
                <c:pt idx="321">
                  <c:v>-7.5518446925980545</c:v>
                </c:pt>
                <c:pt idx="322">
                  <c:v>-7.3879377039078982</c:v>
                </c:pt>
                <c:pt idx="323">
                  <c:v>-7.2217802778245792</c:v>
                </c:pt>
                <c:pt idx="324">
                  <c:v>-7.0534230275096803</c:v>
                </c:pt>
                <c:pt idx="325">
                  <c:v>-6.8829172362125579</c:v>
                </c:pt>
                <c:pt idx="326">
                  <c:v>-6.7103148416489589</c:v>
                </c:pt>
                <c:pt idx="327">
                  <c:v>-6.5356684201803237</c:v>
                </c:pt>
                <c:pt idx="328">
                  <c:v>-6.3590311707984597</c:v>
                </c:pt>
                <c:pt idx="329">
                  <c:v>-6.1804568989206539</c:v>
                </c:pt>
                <c:pt idx="330">
                  <c:v>-6.0000000000000053</c:v>
                </c:pt>
                <c:pt idx="331">
                  <c:v>-5.8177154429560431</c:v>
                </c:pt>
                <c:pt idx="332">
                  <c:v>-5.6336587534306899</c:v>
                </c:pt>
                <c:pt idx="333">
                  <c:v>-5.4478859968745637</c:v>
                </c:pt>
                <c:pt idx="334">
                  <c:v>-5.2604537614689333</c:v>
                </c:pt>
                <c:pt idx="335">
                  <c:v>-5.0714191408883904</c:v>
                </c:pt>
                <c:pt idx="336">
                  <c:v>-4.8808397169096018</c:v>
                </c:pt>
                <c:pt idx="337">
                  <c:v>-4.6887735418712868</c:v>
                </c:pt>
                <c:pt idx="338">
                  <c:v>-4.495279120990948</c:v>
                </c:pt>
                <c:pt idx="339">
                  <c:v>-4.3004153945436094</c:v>
                </c:pt>
                <c:pt idx="340">
                  <c:v>-4.104241719908023</c:v>
                </c:pt>
                <c:pt idx="341">
                  <c:v>-3.9068178534858804</c:v>
                </c:pt>
                <c:pt idx="342">
                  <c:v>-3.7082039324993712</c:v>
                </c:pt>
                <c:pt idx="343">
                  <c:v>-3.5084604566728457</c:v>
                </c:pt>
                <c:pt idx="344">
                  <c:v>-3.3076482698039875</c:v>
                </c:pt>
                <c:pt idx="345">
                  <c:v>-3.105828541230248</c:v>
                </c:pt>
                <c:pt idx="346">
                  <c:v>-2.9030627471960146</c:v>
                </c:pt>
                <c:pt idx="347">
                  <c:v>-2.6994126521263841</c:v>
                </c:pt>
                <c:pt idx="348">
                  <c:v>-2.4949402898131186</c:v>
                </c:pt>
                <c:pt idx="349">
                  <c:v>-2.2897079445185362</c:v>
                </c:pt>
                <c:pt idx="350">
                  <c:v>-2.0837781320031645</c:v>
                </c:pt>
                <c:pt idx="351">
                  <c:v>-1.8772135804827734</c:v>
                </c:pt>
                <c:pt idx="352">
                  <c:v>-1.6700772115207907</c:v>
                </c:pt>
                <c:pt idx="353">
                  <c:v>-1.4624321208617668</c:v>
                </c:pt>
                <c:pt idx="354">
                  <c:v>-1.254341559211841</c:v>
                </c:pt>
                <c:pt idx="355">
                  <c:v>-1.0458689129718999</c:v>
                </c:pt>
                <c:pt idx="356">
                  <c:v>-0.83707768492950763</c:v>
                </c:pt>
                <c:pt idx="357">
                  <c:v>-0.6280314749153324</c:v>
                </c:pt>
                <c:pt idx="358">
                  <c:v>-0.41879396043000988</c:v>
                </c:pt>
                <c:pt idx="359">
                  <c:v>-0.20942887724740272</c:v>
                </c:pt>
                <c:pt idx="360">
                  <c:v>-2.940356291780688E-15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1-4203-BCCA-358C81AE37B3}"/>
            </c:ext>
          </c:extLst>
        </c:ser>
        <c:ser>
          <c:idx val="2"/>
          <c:order val="1"/>
          <c:tx>
            <c:v>Reinf (Tension)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circle_section!$U$37:$U$108</c:f>
              <c:numCache>
                <c:formatCode>General</c:formatCode>
                <c:ptCount val="72"/>
                <c:pt idx="0">
                  <c:v>9.1875</c:v>
                </c:pt>
                <c:pt idx="1">
                  <c:v>6.4965435521514054</c:v>
                </c:pt>
                <c:pt idx="2">
                  <c:v>5.6280257147364732E-16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-1.688407714420942E-15</c:v>
                </c:pt>
                <c:pt idx="7">
                  <c:v>6.4965435521514037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circle_section!$V$37:$V$108</c:f>
              <c:numCache>
                <c:formatCode>General</c:formatCode>
                <c:ptCount val="72"/>
                <c:pt idx="0">
                  <c:v>0</c:v>
                </c:pt>
                <c:pt idx="1">
                  <c:v>6.4965435521514046</c:v>
                </c:pt>
                <c:pt idx="2">
                  <c:v>9.1875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-9.1875</c:v>
                </c:pt>
                <c:pt idx="7">
                  <c:v>-6.4965435521514072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D-42DB-B172-075C6029C6FF}"/>
            </c:ext>
          </c:extLst>
        </c:ser>
        <c:ser>
          <c:idx val="3"/>
          <c:order val="2"/>
          <c:tx>
            <c:v>Neutral_Axis</c:v>
          </c:tx>
          <c:spPr>
            <a:ln w="158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circle_section!$G$17:$G$18</c:f>
              <c:numCache>
                <c:formatCode>0.000</c:formatCode>
                <c:ptCount val="2"/>
                <c:pt idx="0">
                  <c:v>-6.0550038686364926</c:v>
                </c:pt>
                <c:pt idx="1">
                  <c:v>-6.0550038686364944</c:v>
                </c:pt>
              </c:numCache>
            </c:numRef>
          </c:xVal>
          <c:yVal>
            <c:numRef>
              <c:f>circle_section!$H$17:$H$18</c:f>
              <c:numCache>
                <c:formatCode>0.000</c:formatCode>
                <c:ptCount val="2"/>
                <c:pt idx="0">
                  <c:v>10.360353669194749</c:v>
                </c:pt>
                <c:pt idx="1">
                  <c:v>-10.360353669194749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2-48BA-8673-AC8CF1FA9779}"/>
            </c:ext>
          </c:extLst>
        </c:ser>
        <c:ser>
          <c:idx val="1"/>
          <c:order val="3"/>
          <c:tx>
            <c:v>Whitney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circle_section!$E$17:$E$18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circle_section!$F$17:$F$18</c:f>
              <c:numCache>
                <c:formatCode>0.000</c:formatCode>
                <c:ptCount val="2"/>
                <c:pt idx="0">
                  <c:v>9.5668395596950404</c:v>
                </c:pt>
                <c:pt idx="1">
                  <c:v>-9.5668395596950404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D-42DB-B172-075C6029C6FF}"/>
            </c:ext>
          </c:extLst>
        </c:ser>
        <c:ser>
          <c:idx val="4"/>
          <c:order val="4"/>
          <c:tx>
            <c:v>Reinf (Compression)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circle_section!$X$37:$X$108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-6.4965435521514046</c:v>
                </c:pt>
                <c:pt idx="4">
                  <c:v>-9.1875</c:v>
                </c:pt>
                <c:pt idx="5">
                  <c:v>-6.4965435521514072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circle_section!$Y$37:$Y$108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6.4965435521514054</c:v>
                </c:pt>
                <c:pt idx="4">
                  <c:v>1.1256051429472946E-15</c:v>
                </c:pt>
                <c:pt idx="5">
                  <c:v>-6.4965435521514046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E-4A70-A219-56B43519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7279"/>
        <c:axId val="2018860815"/>
      </c:scatterChart>
      <c:valAx>
        <c:axId val="2102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60815"/>
        <c:crosses val="autoZero"/>
        <c:crossBetween val="midCat"/>
      </c:valAx>
      <c:valAx>
        <c:axId val="201886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100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257.76911217243531</c:v>
                </c:pt>
                <c:pt idx="1">
                  <c:v>253.26704638661028</c:v>
                </c:pt>
                <c:pt idx="2">
                  <c:v>240.00100585857464</c:v>
                </c:pt>
                <c:pt idx="3">
                  <c:v>224.51855011374468</c:v>
                </c:pt>
                <c:pt idx="4">
                  <c:v>198.95114953340303</c:v>
                </c:pt>
                <c:pt idx="5">
                  <c:v>164.05564102191747</c:v>
                </c:pt>
                <c:pt idx="6">
                  <c:v>124.94153145835021</c:v>
                </c:pt>
                <c:pt idx="7">
                  <c:v>88.82238281314315</c:v>
                </c:pt>
                <c:pt idx="8">
                  <c:v>49.789216935426253</c:v>
                </c:pt>
                <c:pt idx="9">
                  <c:v>2.2185156096902196E-14</c:v>
                </c:pt>
                <c:pt idx="10">
                  <c:v>-49.789216935425941</c:v>
                </c:pt>
                <c:pt idx="11">
                  <c:v>-88.822382813142596</c:v>
                </c:pt>
                <c:pt idx="12">
                  <c:v>-124.94153145834989</c:v>
                </c:pt>
                <c:pt idx="13">
                  <c:v>-164.05564102191715</c:v>
                </c:pt>
                <c:pt idx="14">
                  <c:v>-198.9511495334028</c:v>
                </c:pt>
                <c:pt idx="15">
                  <c:v>-224.51855011374442</c:v>
                </c:pt>
                <c:pt idx="16">
                  <c:v>-240.00100586146897</c:v>
                </c:pt>
                <c:pt idx="17">
                  <c:v>-253.26704638660794</c:v>
                </c:pt>
                <c:pt idx="18">
                  <c:v>-257.76911217243531</c:v>
                </c:pt>
                <c:pt idx="19">
                  <c:v>-253.26704638660885</c:v>
                </c:pt>
                <c:pt idx="20">
                  <c:v>-240.00100586146877</c:v>
                </c:pt>
                <c:pt idx="21">
                  <c:v>-224.51855011374593</c:v>
                </c:pt>
                <c:pt idx="22">
                  <c:v>-198.95114953340283</c:v>
                </c:pt>
                <c:pt idx="23">
                  <c:v>-164.0556410219171</c:v>
                </c:pt>
                <c:pt idx="24">
                  <c:v>-124.94153145835126</c:v>
                </c:pt>
                <c:pt idx="25">
                  <c:v>-88.822382813143619</c:v>
                </c:pt>
                <c:pt idx="26">
                  <c:v>-49.789216935426666</c:v>
                </c:pt>
                <c:pt idx="27">
                  <c:v>-8.0295071220042727E-13</c:v>
                </c:pt>
                <c:pt idx="28">
                  <c:v>49.789216935425095</c:v>
                </c:pt>
                <c:pt idx="29">
                  <c:v>88.82238281410099</c:v>
                </c:pt>
                <c:pt idx="30">
                  <c:v>124.94153145834925</c:v>
                </c:pt>
                <c:pt idx="31">
                  <c:v>164.05564102191622</c:v>
                </c:pt>
                <c:pt idx="32">
                  <c:v>198.95114953340382</c:v>
                </c:pt>
                <c:pt idx="33">
                  <c:v>224.51855011374494</c:v>
                </c:pt>
                <c:pt idx="34">
                  <c:v>240.00100585857408</c:v>
                </c:pt>
                <c:pt idx="35">
                  <c:v>253.26704638660743</c:v>
                </c:pt>
                <c:pt idx="36">
                  <c:v>257.76911217243531</c:v>
                </c:pt>
                <c:pt idx="37">
                  <c:v>257.76911217243531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1.0658141036401503E-14</c:v>
                </c:pt>
                <c:pt idx="1">
                  <c:v>49.789216935426616</c:v>
                </c:pt>
                <c:pt idx="2">
                  <c:v>88.822382813142596</c:v>
                </c:pt>
                <c:pt idx="3">
                  <c:v>124.94153145834994</c:v>
                </c:pt>
                <c:pt idx="4">
                  <c:v>164.05564102191724</c:v>
                </c:pt>
                <c:pt idx="5">
                  <c:v>198.95114953340288</c:v>
                </c:pt>
                <c:pt idx="6">
                  <c:v>224.51855011374451</c:v>
                </c:pt>
                <c:pt idx="7">
                  <c:v>240.00100585857444</c:v>
                </c:pt>
                <c:pt idx="8">
                  <c:v>253.26704638660777</c:v>
                </c:pt>
                <c:pt idx="9">
                  <c:v>257.76911217243531</c:v>
                </c:pt>
                <c:pt idx="10">
                  <c:v>253.26704638660783</c:v>
                </c:pt>
                <c:pt idx="11">
                  <c:v>240.0010058585747</c:v>
                </c:pt>
                <c:pt idx="12">
                  <c:v>224.51855011374468</c:v>
                </c:pt>
                <c:pt idx="13">
                  <c:v>198.95114953340314</c:v>
                </c:pt>
                <c:pt idx="14">
                  <c:v>164.05564102191755</c:v>
                </c:pt>
                <c:pt idx="15">
                  <c:v>124.9415314583504</c:v>
                </c:pt>
                <c:pt idx="16">
                  <c:v>88.822382814102141</c:v>
                </c:pt>
                <c:pt idx="17">
                  <c:v>49.789216935426509</c:v>
                </c:pt>
                <c:pt idx="18">
                  <c:v>4.1070275946729444E-13</c:v>
                </c:pt>
                <c:pt idx="19">
                  <c:v>-49.789216935425848</c:v>
                </c:pt>
                <c:pt idx="20">
                  <c:v>-88.82238281410109</c:v>
                </c:pt>
                <c:pt idx="21">
                  <c:v>-124.94153145834994</c:v>
                </c:pt>
                <c:pt idx="22">
                  <c:v>-164.05564102191659</c:v>
                </c:pt>
                <c:pt idx="23">
                  <c:v>-198.951149533402</c:v>
                </c:pt>
                <c:pt idx="24">
                  <c:v>-224.51855011374514</c:v>
                </c:pt>
                <c:pt idx="25">
                  <c:v>-240.00100585857425</c:v>
                </c:pt>
                <c:pt idx="26">
                  <c:v>-253.26704638660718</c:v>
                </c:pt>
                <c:pt idx="27">
                  <c:v>-257.76911217243531</c:v>
                </c:pt>
                <c:pt idx="28">
                  <c:v>-253.26704638660803</c:v>
                </c:pt>
                <c:pt idx="29">
                  <c:v>-240.00100586146948</c:v>
                </c:pt>
                <c:pt idx="30">
                  <c:v>-224.51855011374505</c:v>
                </c:pt>
                <c:pt idx="31">
                  <c:v>-198.95114953340308</c:v>
                </c:pt>
                <c:pt idx="32">
                  <c:v>-164.05564102191934</c:v>
                </c:pt>
                <c:pt idx="33">
                  <c:v>-124.94153145835109</c:v>
                </c:pt>
                <c:pt idx="34">
                  <c:v>-88.822382813144003</c:v>
                </c:pt>
                <c:pt idx="35">
                  <c:v>-49.78921693542744</c:v>
                </c:pt>
                <c:pt idx="36">
                  <c:v>-1.3187305661629101E-12</c:v>
                </c:pt>
                <c:pt idx="37">
                  <c:v>-5.676620127840427E-14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1-401E-A1FC-BD9DD26A4E8D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286.41012463603926</c:v>
                </c:pt>
                <c:pt idx="1">
                  <c:v>281.40782931845587</c:v>
                </c:pt>
                <c:pt idx="2">
                  <c:v>266.66778428730515</c:v>
                </c:pt>
                <c:pt idx="3">
                  <c:v>249.46505568193854</c:v>
                </c:pt>
                <c:pt idx="4">
                  <c:v>221.05683281489223</c:v>
                </c:pt>
                <c:pt idx="5">
                  <c:v>182.28404557990828</c:v>
                </c:pt>
                <c:pt idx="6">
                  <c:v>138.82392384261135</c:v>
                </c:pt>
                <c:pt idx="7">
                  <c:v>98.691536459047938</c:v>
                </c:pt>
                <c:pt idx="8">
                  <c:v>55.321352150473615</c:v>
                </c:pt>
                <c:pt idx="9">
                  <c:v>2.4650173441002438E-14</c:v>
                </c:pt>
                <c:pt idx="10">
                  <c:v>-55.321352150473267</c:v>
                </c:pt>
                <c:pt idx="11">
                  <c:v>-98.691536459047327</c:v>
                </c:pt>
                <c:pt idx="12">
                  <c:v>-138.82392384261098</c:v>
                </c:pt>
                <c:pt idx="13">
                  <c:v>-182.28404557990794</c:v>
                </c:pt>
                <c:pt idx="14">
                  <c:v>-221.056832814892</c:v>
                </c:pt>
                <c:pt idx="15">
                  <c:v>-249.46505568193825</c:v>
                </c:pt>
                <c:pt idx="16">
                  <c:v>-266.66778429052107</c:v>
                </c:pt>
                <c:pt idx="17">
                  <c:v>-281.40782931845325</c:v>
                </c:pt>
                <c:pt idx="18">
                  <c:v>-286.41012463603926</c:v>
                </c:pt>
                <c:pt idx="19">
                  <c:v>-281.40782931845428</c:v>
                </c:pt>
                <c:pt idx="20">
                  <c:v>-266.66778429052084</c:v>
                </c:pt>
                <c:pt idx="21">
                  <c:v>-249.46505568193993</c:v>
                </c:pt>
                <c:pt idx="22">
                  <c:v>-221.05683281489203</c:v>
                </c:pt>
                <c:pt idx="23">
                  <c:v>-182.28404557990788</c:v>
                </c:pt>
                <c:pt idx="24">
                  <c:v>-138.82392384261252</c:v>
                </c:pt>
                <c:pt idx="25">
                  <c:v>-98.691536459048464</c:v>
                </c:pt>
                <c:pt idx="26">
                  <c:v>-55.32135215047407</c:v>
                </c:pt>
                <c:pt idx="27">
                  <c:v>-8.9216745800047469E-13</c:v>
                </c:pt>
                <c:pt idx="28">
                  <c:v>55.321352150472329</c:v>
                </c:pt>
                <c:pt idx="29">
                  <c:v>98.691536460112204</c:v>
                </c:pt>
                <c:pt idx="30">
                  <c:v>138.82392384261027</c:v>
                </c:pt>
                <c:pt idx="31">
                  <c:v>182.28404557990692</c:v>
                </c:pt>
                <c:pt idx="32">
                  <c:v>221.05683281489314</c:v>
                </c:pt>
                <c:pt idx="33">
                  <c:v>249.46505568193882</c:v>
                </c:pt>
                <c:pt idx="34">
                  <c:v>266.66778428730453</c:v>
                </c:pt>
                <c:pt idx="35">
                  <c:v>281.40782931845268</c:v>
                </c:pt>
                <c:pt idx="36">
                  <c:v>286.41012463603926</c:v>
                </c:pt>
                <c:pt idx="37">
                  <c:v>286.41012463603926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1.1842378929335002E-14</c:v>
                </c:pt>
                <c:pt idx="1">
                  <c:v>55.321352150474013</c:v>
                </c:pt>
                <c:pt idx="2">
                  <c:v>98.691536459047327</c:v>
                </c:pt>
                <c:pt idx="3">
                  <c:v>138.82392384261104</c:v>
                </c:pt>
                <c:pt idx="4">
                  <c:v>182.28404557990805</c:v>
                </c:pt>
                <c:pt idx="5">
                  <c:v>221.05683281489209</c:v>
                </c:pt>
                <c:pt idx="6">
                  <c:v>249.46505568193834</c:v>
                </c:pt>
                <c:pt idx="7">
                  <c:v>266.66778428730493</c:v>
                </c:pt>
                <c:pt idx="8">
                  <c:v>281.40782931845308</c:v>
                </c:pt>
                <c:pt idx="9">
                  <c:v>286.41012463603926</c:v>
                </c:pt>
                <c:pt idx="10">
                  <c:v>281.40782931845314</c:v>
                </c:pt>
                <c:pt idx="11">
                  <c:v>266.66778428730521</c:v>
                </c:pt>
                <c:pt idx="12">
                  <c:v>249.46505568193854</c:v>
                </c:pt>
                <c:pt idx="13">
                  <c:v>221.05683281489237</c:v>
                </c:pt>
                <c:pt idx="14">
                  <c:v>182.28404557990839</c:v>
                </c:pt>
                <c:pt idx="15">
                  <c:v>138.82392384261155</c:v>
                </c:pt>
                <c:pt idx="16">
                  <c:v>98.691536460113483</c:v>
                </c:pt>
                <c:pt idx="17">
                  <c:v>55.321352150473899</c:v>
                </c:pt>
                <c:pt idx="18">
                  <c:v>4.5633639940810491E-13</c:v>
                </c:pt>
                <c:pt idx="19">
                  <c:v>-55.32135215047316</c:v>
                </c:pt>
                <c:pt idx="20">
                  <c:v>-98.691536460112317</c:v>
                </c:pt>
                <c:pt idx="21">
                  <c:v>-138.82392384261104</c:v>
                </c:pt>
                <c:pt idx="22">
                  <c:v>-182.28404557990731</c:v>
                </c:pt>
                <c:pt idx="23">
                  <c:v>-221.0568328148911</c:v>
                </c:pt>
                <c:pt idx="24">
                  <c:v>-249.46505568193902</c:v>
                </c:pt>
                <c:pt idx="25">
                  <c:v>-266.6677842873047</c:v>
                </c:pt>
                <c:pt idx="26">
                  <c:v>-281.4078293184524</c:v>
                </c:pt>
                <c:pt idx="27">
                  <c:v>-286.41012463603926</c:v>
                </c:pt>
                <c:pt idx="28">
                  <c:v>-281.40782931845337</c:v>
                </c:pt>
                <c:pt idx="29">
                  <c:v>-266.66778429052164</c:v>
                </c:pt>
                <c:pt idx="30">
                  <c:v>-249.46505568193894</c:v>
                </c:pt>
                <c:pt idx="31">
                  <c:v>-221.05683281489232</c:v>
                </c:pt>
                <c:pt idx="32">
                  <c:v>-182.28404557991038</c:v>
                </c:pt>
                <c:pt idx="33">
                  <c:v>-138.82392384261232</c:v>
                </c:pt>
                <c:pt idx="34">
                  <c:v>-98.691536459048891</c:v>
                </c:pt>
                <c:pt idx="35">
                  <c:v>-55.321352150474929</c:v>
                </c:pt>
                <c:pt idx="36">
                  <c:v>-1.4652561846254557E-12</c:v>
                </c:pt>
                <c:pt idx="37">
                  <c:v>-6.3073556976004744E-14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31-401E-A1FC-BD9DD26A4E8D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31-401E-A1FC-BD9DD26A4E8D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2.2185156096902196E-14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257.76911217243531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31-401E-A1FC-BD9DD26A4E8D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2.2185156096902196E-14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</c:v>
                </c:pt>
                <c:pt idx="2">
                  <c:v>257.76911217243531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31-401E-A1FC-BD9DD26A4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9.9972056262766004E-3</c:v>
                </c:pt>
                <c:pt idx="1">
                  <c:v>10.072602111290921</c:v>
                </c:pt>
                <c:pt idx="2">
                  <c:v>19.775792345548606</c:v>
                </c:pt>
                <c:pt idx="3">
                  <c:v>29.204753010396757</c:v>
                </c:pt>
                <c:pt idx="4">
                  <c:v>38.039998255143146</c:v>
                </c:pt>
                <c:pt idx="5">
                  <c:v>46.499018574954846</c:v>
                </c:pt>
                <c:pt idx="6">
                  <c:v>54.962097446390295</c:v>
                </c:pt>
                <c:pt idx="7">
                  <c:v>63.415426899278451</c:v>
                </c:pt>
                <c:pt idx="8">
                  <c:v>71.84409707823616</c:v>
                </c:pt>
                <c:pt idx="9">
                  <c:v>80.23302641018735</c:v>
                </c:pt>
                <c:pt idx="10">
                  <c:v>88.567781427980009</c:v>
                </c:pt>
                <c:pt idx="11">
                  <c:v>96.835176709783326</c:v>
                </c:pt>
                <c:pt idx="12">
                  <c:v>105.02362382785827</c:v>
                </c:pt>
                <c:pt idx="13">
                  <c:v>113.12325852525458</c:v>
                </c:pt>
                <c:pt idx="14">
                  <c:v>120.17201114328273</c:v>
                </c:pt>
                <c:pt idx="15">
                  <c:v>127.09065894202939</c:v>
                </c:pt>
                <c:pt idx="16">
                  <c:v>133.89358019656686</c:v>
                </c:pt>
                <c:pt idx="17">
                  <c:v>140.79885348652067</c:v>
                </c:pt>
                <c:pt idx="18">
                  <c:v>147.69763870972264</c:v>
                </c:pt>
                <c:pt idx="19">
                  <c:v>154.5858183512824</c:v>
                </c:pt>
                <c:pt idx="20">
                  <c:v>161.45915747041943</c:v>
                </c:pt>
                <c:pt idx="21">
                  <c:v>168.31334270491203</c:v>
                </c:pt>
                <c:pt idx="22">
                  <c:v>175.14402117369195</c:v>
                </c:pt>
                <c:pt idx="23">
                  <c:v>181.94683822481406</c:v>
                </c:pt>
                <c:pt idx="24">
                  <c:v>188.71747294005579</c:v>
                </c:pt>
                <c:pt idx="25">
                  <c:v>195.45167071178926</c:v>
                </c:pt>
                <c:pt idx="26">
                  <c:v>213.72530889726897</c:v>
                </c:pt>
                <c:pt idx="27">
                  <c:v>231.61241219394441</c:v>
                </c:pt>
                <c:pt idx="28">
                  <c:v>249.04147696965197</c:v>
                </c:pt>
                <c:pt idx="29">
                  <c:v>265.9514810263762</c:v>
                </c:pt>
                <c:pt idx="30">
                  <c:v>282.29182798492451</c:v>
                </c:pt>
                <c:pt idx="31">
                  <c:v>298.01921630629101</c:v>
                </c:pt>
                <c:pt idx="32">
                  <c:v>310.95548639356809</c:v>
                </c:pt>
                <c:pt idx="33">
                  <c:v>322.24587609945144</c:v>
                </c:pt>
                <c:pt idx="34">
                  <c:v>333.3058507339959</c:v>
                </c:pt>
                <c:pt idx="35">
                  <c:v>335.39264380589447</c:v>
                </c:pt>
                <c:pt idx="36">
                  <c:v>335.99757877039218</c:v>
                </c:pt>
                <c:pt idx="37">
                  <c:v>335.55634515547268</c:v>
                </c:pt>
                <c:pt idx="38">
                  <c:v>334.08397506194564</c:v>
                </c:pt>
                <c:pt idx="39">
                  <c:v>331.63628429339798</c:v>
                </c:pt>
                <c:pt idx="40">
                  <c:v>326.29894157588097</c:v>
                </c:pt>
                <c:pt idx="41">
                  <c:v>319.4640080887134</c:v>
                </c:pt>
                <c:pt idx="42">
                  <c:v>311.63582453970992</c:v>
                </c:pt>
                <c:pt idx="43">
                  <c:v>310.54553980774148</c:v>
                </c:pt>
                <c:pt idx="44">
                  <c:v>310.30108619052652</c:v>
                </c:pt>
                <c:pt idx="45">
                  <c:v>309.61754752348901</c:v>
                </c:pt>
                <c:pt idx="46">
                  <c:v>308.4602799101458</c:v>
                </c:pt>
                <c:pt idx="47">
                  <c:v>306.79669169989427</c:v>
                </c:pt>
                <c:pt idx="48">
                  <c:v>304.44495809023181</c:v>
                </c:pt>
                <c:pt idx="49">
                  <c:v>301.62779826742604</c:v>
                </c:pt>
                <c:pt idx="50">
                  <c:v>298.21206279827646</c:v>
                </c:pt>
                <c:pt idx="51">
                  <c:v>294.17305916932378</c:v>
                </c:pt>
                <c:pt idx="52">
                  <c:v>289.48776348155525</c:v>
                </c:pt>
                <c:pt idx="53">
                  <c:v>284.13475397432097</c:v>
                </c:pt>
                <c:pt idx="54">
                  <c:v>277.77408420899064</c:v>
                </c:pt>
                <c:pt idx="55">
                  <c:v>270.57212303927037</c:v>
                </c:pt>
                <c:pt idx="56">
                  <c:v>262.6343968459974</c:v>
                </c:pt>
                <c:pt idx="57">
                  <c:v>253.94539202001508</c:v>
                </c:pt>
                <c:pt idx="58">
                  <c:v>244.49181862371188</c:v>
                </c:pt>
                <c:pt idx="59">
                  <c:v>234.26324138484637</c:v>
                </c:pt>
                <c:pt idx="60">
                  <c:v>223.25323401809433</c:v>
                </c:pt>
                <c:pt idx="61">
                  <c:v>211.46153994568797</c:v>
                </c:pt>
                <c:pt idx="62">
                  <c:v>198.89838086225649</c:v>
                </c:pt>
                <c:pt idx="63">
                  <c:v>185.69414730352443</c:v>
                </c:pt>
                <c:pt idx="64">
                  <c:v>171.6996458768989</c:v>
                </c:pt>
                <c:pt idx="65">
                  <c:v>157.32855078583358</c:v>
                </c:pt>
                <c:pt idx="66">
                  <c:v>142.8421049284147</c:v>
                </c:pt>
                <c:pt idx="67">
                  <c:v>128.23392599917693</c:v>
                </c:pt>
                <c:pt idx="68">
                  <c:v>113.70956861990321</c:v>
                </c:pt>
                <c:pt idx="69">
                  <c:v>98.825883315099276</c:v>
                </c:pt>
                <c:pt idx="70">
                  <c:v>83.757365105793653</c:v>
                </c:pt>
                <c:pt idx="71">
                  <c:v>68.471591187730411</c:v>
                </c:pt>
                <c:pt idx="72">
                  <c:v>52.927329354587954</c:v>
                </c:pt>
                <c:pt idx="73">
                  <c:v>37.075880948893243</c:v>
                </c:pt>
                <c:pt idx="74">
                  <c:v>19.396058755473277</c:v>
                </c:pt>
                <c:pt idx="75">
                  <c:v>9.5307575497547668E-3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-259.19</c:v>
                </c:pt>
                <c:pt idx="1">
                  <c:v>-248.82239999999999</c:v>
                </c:pt>
                <c:pt idx="2">
                  <c:v>-238.45479999999998</c:v>
                </c:pt>
                <c:pt idx="3">
                  <c:v>-228.08719999999997</c:v>
                </c:pt>
                <c:pt idx="4">
                  <c:v>-217.71959999999996</c:v>
                </c:pt>
                <c:pt idx="5">
                  <c:v>-207.35199999999995</c:v>
                </c:pt>
                <c:pt idx="6">
                  <c:v>-196.98439999999994</c:v>
                </c:pt>
                <c:pt idx="7">
                  <c:v>-186.61679999999993</c:v>
                </c:pt>
                <c:pt idx="8">
                  <c:v>-176.24919999999992</c:v>
                </c:pt>
                <c:pt idx="9">
                  <c:v>-165.88159999999991</c:v>
                </c:pt>
                <c:pt idx="10">
                  <c:v>-155.5139999999999</c:v>
                </c:pt>
                <c:pt idx="11">
                  <c:v>-145.14639999999989</c:v>
                </c:pt>
                <c:pt idx="12">
                  <c:v>-134.77879999999988</c:v>
                </c:pt>
                <c:pt idx="13">
                  <c:v>-124.41119999999988</c:v>
                </c:pt>
                <c:pt idx="14">
                  <c:v>-114.04359999999988</c:v>
                </c:pt>
                <c:pt idx="15">
                  <c:v>-103.67599999999989</c:v>
                </c:pt>
                <c:pt idx="16">
                  <c:v>-93.308399999999892</c:v>
                </c:pt>
                <c:pt idx="17">
                  <c:v>-82.940799999999896</c:v>
                </c:pt>
                <c:pt idx="18">
                  <c:v>-72.5731999999999</c:v>
                </c:pt>
                <c:pt idx="19">
                  <c:v>-62.205599999999905</c:v>
                </c:pt>
                <c:pt idx="20">
                  <c:v>-51.837999999999909</c:v>
                </c:pt>
                <c:pt idx="21">
                  <c:v>-41.470399999999913</c:v>
                </c:pt>
                <c:pt idx="22">
                  <c:v>-31.102799999999913</c:v>
                </c:pt>
                <c:pt idx="23">
                  <c:v>-20.735199999999914</c:v>
                </c:pt>
                <c:pt idx="24">
                  <c:v>-10.367599999999914</c:v>
                </c:pt>
                <c:pt idx="25">
                  <c:v>0</c:v>
                </c:pt>
                <c:pt idx="26">
                  <c:v>28.473111151960392</c:v>
                </c:pt>
                <c:pt idx="27">
                  <c:v>56.946222303920784</c:v>
                </c:pt>
                <c:pt idx="28">
                  <c:v>85.419333455881173</c:v>
                </c:pt>
                <c:pt idx="29">
                  <c:v>113.89244460784157</c:v>
                </c:pt>
                <c:pt idx="30">
                  <c:v>142.36555575980196</c:v>
                </c:pt>
                <c:pt idx="31">
                  <c:v>170.83866691176235</c:v>
                </c:pt>
                <c:pt idx="32">
                  <c:v>199.31177806372273</c:v>
                </c:pt>
                <c:pt idx="33">
                  <c:v>227.78488921568311</c:v>
                </c:pt>
                <c:pt idx="34">
                  <c:v>256.25800036764349</c:v>
                </c:pt>
                <c:pt idx="35">
                  <c:v>284.73111151960387</c:v>
                </c:pt>
                <c:pt idx="36">
                  <c:v>313.20422267156425</c:v>
                </c:pt>
                <c:pt idx="37">
                  <c:v>341.67733382352463</c:v>
                </c:pt>
                <c:pt idx="38">
                  <c:v>370.15044497548502</c:v>
                </c:pt>
                <c:pt idx="39">
                  <c:v>398.6235561274454</c:v>
                </c:pt>
                <c:pt idx="40">
                  <c:v>427.09666727940578</c:v>
                </c:pt>
                <c:pt idx="41">
                  <c:v>455.56977843136616</c:v>
                </c:pt>
                <c:pt idx="42">
                  <c:v>484.04288958332654</c:v>
                </c:pt>
                <c:pt idx="43">
                  <c:v>512.51600073528698</c:v>
                </c:pt>
                <c:pt idx="44">
                  <c:v>540.98911188724742</c:v>
                </c:pt>
                <c:pt idx="45">
                  <c:v>569.46222303920786</c:v>
                </c:pt>
                <c:pt idx="46">
                  <c:v>597.93533419116829</c:v>
                </c:pt>
                <c:pt idx="47">
                  <c:v>626.40844534312873</c:v>
                </c:pt>
                <c:pt idx="48">
                  <c:v>654.88155649508917</c:v>
                </c:pt>
                <c:pt idx="49">
                  <c:v>683.35466764704961</c:v>
                </c:pt>
                <c:pt idx="50">
                  <c:v>711.82777879901005</c:v>
                </c:pt>
                <c:pt idx="51">
                  <c:v>740.30088995097049</c:v>
                </c:pt>
                <c:pt idx="52">
                  <c:v>768.77400110293092</c:v>
                </c:pt>
                <c:pt idx="53">
                  <c:v>797.24711225489136</c:v>
                </c:pt>
                <c:pt idx="54">
                  <c:v>825.7202234068518</c:v>
                </c:pt>
                <c:pt idx="55">
                  <c:v>854.19333455881224</c:v>
                </c:pt>
                <c:pt idx="56">
                  <c:v>882.66644571077268</c:v>
                </c:pt>
                <c:pt idx="57">
                  <c:v>911.13955686273312</c:v>
                </c:pt>
                <c:pt idx="58">
                  <c:v>939.61266801469355</c:v>
                </c:pt>
                <c:pt idx="59">
                  <c:v>968.08577916665399</c:v>
                </c:pt>
                <c:pt idx="60">
                  <c:v>996.55889031861443</c:v>
                </c:pt>
                <c:pt idx="61">
                  <c:v>1025.0320014705749</c:v>
                </c:pt>
                <c:pt idx="62">
                  <c:v>1053.5051126225353</c:v>
                </c:pt>
                <c:pt idx="63">
                  <c:v>1081.9782237744957</c:v>
                </c:pt>
                <c:pt idx="64">
                  <c:v>1110.4513349264562</c:v>
                </c:pt>
                <c:pt idx="65">
                  <c:v>1138.9244460784166</c:v>
                </c:pt>
                <c:pt idx="66">
                  <c:v>1167.3975572303771</c:v>
                </c:pt>
                <c:pt idx="67">
                  <c:v>1195.8706683823375</c:v>
                </c:pt>
                <c:pt idx="68">
                  <c:v>1224.3437795342979</c:v>
                </c:pt>
                <c:pt idx="69">
                  <c:v>1252.8168906862584</c:v>
                </c:pt>
                <c:pt idx="70">
                  <c:v>1281.2900018382188</c:v>
                </c:pt>
                <c:pt idx="71">
                  <c:v>1309.7631129901793</c:v>
                </c:pt>
                <c:pt idx="72">
                  <c:v>1338.2362241421397</c:v>
                </c:pt>
                <c:pt idx="73">
                  <c:v>1366.7093352941001</c:v>
                </c:pt>
                <c:pt idx="74">
                  <c:v>1395.1824464460606</c:v>
                </c:pt>
                <c:pt idx="75">
                  <c:v>1423.655557598021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0-4EB6-B91F-05D92218C15F}"/>
            </c:ext>
          </c:extLst>
        </c:ser>
        <c:ser>
          <c:idx val="1"/>
          <c:order val="1"/>
          <c:tx>
            <c:v>P_M_Nominal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1.1108006251418445E-2</c:v>
                </c:pt>
                <c:pt idx="1">
                  <c:v>11.19178012365658</c:v>
                </c:pt>
                <c:pt idx="2">
                  <c:v>21.973102606165117</c:v>
                </c:pt>
                <c:pt idx="3">
                  <c:v>32.449725567107507</c:v>
                </c:pt>
                <c:pt idx="4">
                  <c:v>42.266664727936828</c:v>
                </c:pt>
                <c:pt idx="5">
                  <c:v>51.665576194394269</c:v>
                </c:pt>
                <c:pt idx="6">
                  <c:v>61.068997162655883</c:v>
                </c:pt>
                <c:pt idx="7">
                  <c:v>70.461585443642718</c:v>
                </c:pt>
                <c:pt idx="8">
                  <c:v>79.826774531373516</c:v>
                </c:pt>
                <c:pt idx="9">
                  <c:v>89.147807122430393</c:v>
                </c:pt>
                <c:pt idx="10">
                  <c:v>98.408646031088892</c:v>
                </c:pt>
                <c:pt idx="11">
                  <c:v>107.59464078864814</c:v>
                </c:pt>
                <c:pt idx="12">
                  <c:v>116.69291536428696</c:v>
                </c:pt>
                <c:pt idx="13">
                  <c:v>125.69250947250509</c:v>
                </c:pt>
                <c:pt idx="14">
                  <c:v>133.52445682586969</c:v>
                </c:pt>
                <c:pt idx="15">
                  <c:v>141.21184326892154</c:v>
                </c:pt>
                <c:pt idx="16">
                  <c:v>148.77064466285205</c:v>
                </c:pt>
                <c:pt idx="17">
                  <c:v>156.44317054057851</c:v>
                </c:pt>
                <c:pt idx="18">
                  <c:v>164.10848745524737</c:v>
                </c:pt>
                <c:pt idx="19">
                  <c:v>171.76202039031378</c:v>
                </c:pt>
                <c:pt idx="20">
                  <c:v>179.39906385602157</c:v>
                </c:pt>
                <c:pt idx="21">
                  <c:v>187.01482522768003</c:v>
                </c:pt>
                <c:pt idx="22">
                  <c:v>194.60446797076884</c:v>
                </c:pt>
                <c:pt idx="23">
                  <c:v>202.16315358312673</c:v>
                </c:pt>
                <c:pt idx="24">
                  <c:v>209.68608104450641</c:v>
                </c:pt>
                <c:pt idx="25">
                  <c:v>217.16852301309916</c:v>
                </c:pt>
                <c:pt idx="26">
                  <c:v>237.47256544140996</c:v>
                </c:pt>
                <c:pt idx="27">
                  <c:v>257.34712465993823</c:v>
                </c:pt>
                <c:pt idx="28">
                  <c:v>276.71275218850218</c:v>
                </c:pt>
                <c:pt idx="29">
                  <c:v>295.50164558486244</c:v>
                </c:pt>
                <c:pt idx="30">
                  <c:v>313.65758664991614</c:v>
                </c:pt>
                <c:pt idx="31">
                  <c:v>331.13246256254558</c:v>
                </c:pt>
                <c:pt idx="32">
                  <c:v>345.50609599285343</c:v>
                </c:pt>
                <c:pt idx="33">
                  <c:v>358.05097344383495</c:v>
                </c:pt>
                <c:pt idx="34">
                  <c:v>370.33983414888434</c:v>
                </c:pt>
                <c:pt idx="35">
                  <c:v>386.78128525023067</c:v>
                </c:pt>
                <c:pt idx="36">
                  <c:v>404.23411567810217</c:v>
                </c:pt>
                <c:pt idx="37">
                  <c:v>421.82931826964466</c:v>
                </c:pt>
                <c:pt idx="38">
                  <c:v>439.23221708161924</c:v>
                </c:pt>
                <c:pt idx="39">
                  <c:v>456.04159983544895</c:v>
                </c:pt>
                <c:pt idx="40">
                  <c:v>466.0198415968718</c:v>
                </c:pt>
                <c:pt idx="41">
                  <c:v>472.61092081075367</c:v>
                </c:pt>
                <c:pt idx="42">
                  <c:v>477.48109531535664</c:v>
                </c:pt>
                <c:pt idx="43">
                  <c:v>477.76236893498685</c:v>
                </c:pt>
                <c:pt idx="44">
                  <c:v>477.38628644696388</c:v>
                </c:pt>
                <c:pt idx="45">
                  <c:v>476.33468849767536</c:v>
                </c:pt>
                <c:pt idx="46">
                  <c:v>474.55427678483966</c:v>
                </c:pt>
                <c:pt idx="47">
                  <c:v>471.99491030752961</c:v>
                </c:pt>
                <c:pt idx="48">
                  <c:v>468.37685860035663</c:v>
                </c:pt>
                <c:pt idx="49">
                  <c:v>464.04276656527082</c:v>
                </c:pt>
                <c:pt idx="50">
                  <c:v>458.78778892042533</c:v>
                </c:pt>
                <c:pt idx="51">
                  <c:v>452.57393718357503</c:v>
                </c:pt>
                <c:pt idx="52">
                  <c:v>445.36578997162343</c:v>
                </c:pt>
                <c:pt idx="53">
                  <c:v>437.13039072972458</c:v>
                </c:pt>
                <c:pt idx="54">
                  <c:v>427.34474493690868</c:v>
                </c:pt>
                <c:pt idx="55">
                  <c:v>416.26480467580058</c:v>
                </c:pt>
                <c:pt idx="56">
                  <c:v>404.05291822461135</c:v>
                </c:pt>
                <c:pt idx="57">
                  <c:v>390.68521849233088</c:v>
                </c:pt>
                <c:pt idx="58">
                  <c:v>376.14125942109519</c:v>
                </c:pt>
                <c:pt idx="59">
                  <c:v>360.40498674591748</c:v>
                </c:pt>
                <c:pt idx="60">
                  <c:v>343.46651387399129</c:v>
                </c:pt>
                <c:pt idx="61">
                  <c:v>325.32544607028916</c:v>
                </c:pt>
                <c:pt idx="62">
                  <c:v>305.99750901885614</c:v>
                </c:pt>
                <c:pt idx="63">
                  <c:v>285.68330354388371</c:v>
                </c:pt>
                <c:pt idx="64">
                  <c:v>264.15330134907521</c:v>
                </c:pt>
                <c:pt idx="65">
                  <c:v>242.04392428589782</c:v>
                </c:pt>
                <c:pt idx="66">
                  <c:v>219.75708450525337</c:v>
                </c:pt>
                <c:pt idx="67">
                  <c:v>197.28296307565682</c:v>
                </c:pt>
                <c:pt idx="68">
                  <c:v>174.93779787677417</c:v>
                </c:pt>
                <c:pt idx="69">
                  <c:v>152.03982048476811</c:v>
                </c:pt>
                <c:pt idx="70">
                  <c:v>128.85748477814408</c:v>
                </c:pt>
                <c:pt idx="71">
                  <c:v>105.34090951958524</c:v>
                </c:pt>
                <c:pt idx="72">
                  <c:v>81.426660545519923</c:v>
                </c:pt>
                <c:pt idx="73">
                  <c:v>57.039816844451138</c:v>
                </c:pt>
                <c:pt idx="74">
                  <c:v>29.840090393035808</c:v>
                </c:pt>
                <c:pt idx="75">
                  <c:v>1.4662703922699642E-2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-276.46933333333334</c:v>
                </c:pt>
                <c:pt idx="2">
                  <c:v>-264.94977777777774</c:v>
                </c:pt>
                <c:pt idx="3">
                  <c:v>-253.43022222222217</c:v>
                </c:pt>
                <c:pt idx="4">
                  <c:v>-241.9106666666666</c:v>
                </c:pt>
                <c:pt idx="5">
                  <c:v>-230.39111111111106</c:v>
                </c:pt>
                <c:pt idx="6">
                  <c:v>-218.87155555555549</c:v>
                </c:pt>
                <c:pt idx="7">
                  <c:v>-207.35199999999992</c:v>
                </c:pt>
                <c:pt idx="8">
                  <c:v>-195.83244444444435</c:v>
                </c:pt>
                <c:pt idx="9">
                  <c:v>-184.31288888888878</c:v>
                </c:pt>
                <c:pt idx="10">
                  <c:v>-172.79333333333321</c:v>
                </c:pt>
                <c:pt idx="11">
                  <c:v>-161.27377777777764</c:v>
                </c:pt>
                <c:pt idx="12">
                  <c:v>-149.75422222222207</c:v>
                </c:pt>
                <c:pt idx="13">
                  <c:v>-138.23466666666653</c:v>
                </c:pt>
                <c:pt idx="14">
                  <c:v>-126.71511111111099</c:v>
                </c:pt>
                <c:pt idx="15">
                  <c:v>-115.19555555555543</c:v>
                </c:pt>
                <c:pt idx="16">
                  <c:v>-103.67599999999987</c:v>
                </c:pt>
                <c:pt idx="17">
                  <c:v>-92.156444444444332</c:v>
                </c:pt>
                <c:pt idx="18">
                  <c:v>-80.636888888888777</c:v>
                </c:pt>
                <c:pt idx="19">
                  <c:v>-69.117333333333221</c:v>
                </c:pt>
                <c:pt idx="20">
                  <c:v>-57.597777777777672</c:v>
                </c:pt>
                <c:pt idx="21">
                  <c:v>-46.078222222222124</c:v>
                </c:pt>
                <c:pt idx="22">
                  <c:v>-34.558666666666568</c:v>
                </c:pt>
                <c:pt idx="23">
                  <c:v>-23.039111111111016</c:v>
                </c:pt>
                <c:pt idx="24">
                  <c:v>-11.51955555555546</c:v>
                </c:pt>
                <c:pt idx="25">
                  <c:v>0</c:v>
                </c:pt>
                <c:pt idx="26">
                  <c:v>31.636790168844879</c:v>
                </c:pt>
                <c:pt idx="27">
                  <c:v>63.273580337689758</c:v>
                </c:pt>
                <c:pt idx="28">
                  <c:v>94.910370506534633</c:v>
                </c:pt>
                <c:pt idx="29">
                  <c:v>126.54716067537952</c:v>
                </c:pt>
                <c:pt idx="30">
                  <c:v>158.1839508442244</c:v>
                </c:pt>
                <c:pt idx="31">
                  <c:v>189.82074101306927</c:v>
                </c:pt>
                <c:pt idx="32">
                  <c:v>221.45753118191413</c:v>
                </c:pt>
                <c:pt idx="33">
                  <c:v>253.094321350759</c:v>
                </c:pt>
                <c:pt idx="34">
                  <c:v>284.73111151960387</c:v>
                </c:pt>
                <c:pt idx="35">
                  <c:v>328.35742613369638</c:v>
                </c:pt>
                <c:pt idx="36">
                  <c:v>376.81173906555472</c:v>
                </c:pt>
                <c:pt idx="37">
                  <c:v>429.52403933291123</c:v>
                </c:pt>
                <c:pt idx="38">
                  <c:v>486.65010217920315</c:v>
                </c:pt>
                <c:pt idx="39">
                  <c:v>548.15752340183553</c:v>
                </c:pt>
                <c:pt idx="40">
                  <c:v>609.97905868418127</c:v>
                </c:pt>
                <c:pt idx="41">
                  <c:v>673.96403671930818</c:v>
                </c:pt>
                <c:pt idx="42">
                  <c:v>741.63915345492171</c:v>
                </c:pt>
                <c:pt idx="43">
                  <c:v>788.48615497736455</c:v>
                </c:pt>
                <c:pt idx="44">
                  <c:v>832.290941364996</c:v>
                </c:pt>
                <c:pt idx="45">
                  <c:v>876.09572775262745</c:v>
                </c:pt>
                <c:pt idx="46">
                  <c:v>919.90051414025891</c:v>
                </c:pt>
                <c:pt idx="47">
                  <c:v>963.70530052789036</c:v>
                </c:pt>
                <c:pt idx="48">
                  <c:v>1007.5100869155218</c:v>
                </c:pt>
                <c:pt idx="49">
                  <c:v>1051.3148733031533</c:v>
                </c:pt>
                <c:pt idx="50">
                  <c:v>1095.1196596907846</c:v>
                </c:pt>
                <c:pt idx="51">
                  <c:v>1138.9244460784162</c:v>
                </c:pt>
                <c:pt idx="52">
                  <c:v>1182.7292324660475</c:v>
                </c:pt>
                <c:pt idx="53">
                  <c:v>1226.5340188536791</c:v>
                </c:pt>
                <c:pt idx="54">
                  <c:v>1270.3388052413104</c:v>
                </c:pt>
                <c:pt idx="55">
                  <c:v>1314.1435916289417</c:v>
                </c:pt>
                <c:pt idx="56">
                  <c:v>1357.9483780165733</c:v>
                </c:pt>
                <c:pt idx="57">
                  <c:v>1401.7531644042047</c:v>
                </c:pt>
                <c:pt idx="58">
                  <c:v>1445.5579507918362</c:v>
                </c:pt>
                <c:pt idx="59">
                  <c:v>1489.3627371794676</c:v>
                </c:pt>
                <c:pt idx="60">
                  <c:v>1533.1675235670991</c:v>
                </c:pt>
                <c:pt idx="61">
                  <c:v>1576.9723099547305</c:v>
                </c:pt>
                <c:pt idx="62">
                  <c:v>1620.777096342362</c:v>
                </c:pt>
                <c:pt idx="63">
                  <c:v>1664.5818827299934</c:v>
                </c:pt>
                <c:pt idx="64">
                  <c:v>1708.3866691176249</c:v>
                </c:pt>
                <c:pt idx="65">
                  <c:v>1752.1914555052563</c:v>
                </c:pt>
                <c:pt idx="66">
                  <c:v>1795.9962418928876</c:v>
                </c:pt>
                <c:pt idx="67">
                  <c:v>1839.8010282805192</c:v>
                </c:pt>
                <c:pt idx="68">
                  <c:v>1883.6058146681505</c:v>
                </c:pt>
                <c:pt idx="69">
                  <c:v>1927.4106010557821</c:v>
                </c:pt>
                <c:pt idx="70">
                  <c:v>1971.2153874434134</c:v>
                </c:pt>
                <c:pt idx="71">
                  <c:v>2015.020173831045</c:v>
                </c:pt>
                <c:pt idx="72">
                  <c:v>2058.8249602186766</c:v>
                </c:pt>
                <c:pt idx="73">
                  <c:v>2102.6297466063079</c:v>
                </c:pt>
                <c:pt idx="74">
                  <c:v>2146.4345329939392</c:v>
                </c:pt>
                <c:pt idx="75">
                  <c:v>2190.2393193815706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0-4EB6-B91F-05D92218C15F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0-4EB6-B91F-05D92218C15F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257.76911217243531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99.999999994182346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70-4EB6-B91F-05D92218C15F}"/>
            </c:ext>
          </c:extLst>
        </c:ser>
        <c:ser>
          <c:idx val="4"/>
          <c:order val="4"/>
          <c:tx>
            <c:v>min_e_line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157.3244963835173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1138.9324460784158</c:v>
                </c:pt>
                <c:pt idx="1">
                  <c:v>1138.9324460784158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8-4F59-AE7D-D042CB776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(Chart only Accurate if</a:t>
            </a:r>
            <a:r>
              <a:rPr lang="en-US" baseline="0"/>
              <a:t> the Compare Macro has been run)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 (PCA)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9.9972056262766004E-3</c:v>
                </c:pt>
                <c:pt idx="1">
                  <c:v>10.072602111290921</c:v>
                </c:pt>
                <c:pt idx="2">
                  <c:v>19.775792345548606</c:v>
                </c:pt>
                <c:pt idx="3">
                  <c:v>29.204753010396757</c:v>
                </c:pt>
                <c:pt idx="4">
                  <c:v>38.039998255143146</c:v>
                </c:pt>
                <c:pt idx="5">
                  <c:v>46.499018574954846</c:v>
                </c:pt>
                <c:pt idx="6">
                  <c:v>54.962097446390295</c:v>
                </c:pt>
                <c:pt idx="7">
                  <c:v>63.415426899278451</c:v>
                </c:pt>
                <c:pt idx="8">
                  <c:v>71.84409707823616</c:v>
                </c:pt>
                <c:pt idx="9">
                  <c:v>80.23302641018735</c:v>
                </c:pt>
                <c:pt idx="10">
                  <c:v>88.567781427980009</c:v>
                </c:pt>
                <c:pt idx="11">
                  <c:v>96.835176709783326</c:v>
                </c:pt>
                <c:pt idx="12">
                  <c:v>105.02362382785827</c:v>
                </c:pt>
                <c:pt idx="13">
                  <c:v>113.12325852525458</c:v>
                </c:pt>
                <c:pt idx="14">
                  <c:v>120.17201114328273</c:v>
                </c:pt>
                <c:pt idx="15">
                  <c:v>127.09065894202939</c:v>
                </c:pt>
                <c:pt idx="16">
                  <c:v>133.89358019656686</c:v>
                </c:pt>
                <c:pt idx="17">
                  <c:v>140.79885348652067</c:v>
                </c:pt>
                <c:pt idx="18">
                  <c:v>147.69763870972264</c:v>
                </c:pt>
                <c:pt idx="19">
                  <c:v>154.5858183512824</c:v>
                </c:pt>
                <c:pt idx="20">
                  <c:v>161.45915747041943</c:v>
                </c:pt>
                <c:pt idx="21">
                  <c:v>168.31334270491203</c:v>
                </c:pt>
                <c:pt idx="22">
                  <c:v>175.14402117369195</c:v>
                </c:pt>
                <c:pt idx="23">
                  <c:v>181.94683822481406</c:v>
                </c:pt>
                <c:pt idx="24">
                  <c:v>188.71747294005579</c:v>
                </c:pt>
                <c:pt idx="25">
                  <c:v>195.45167071178926</c:v>
                </c:pt>
                <c:pt idx="26">
                  <c:v>213.72530889726897</c:v>
                </c:pt>
                <c:pt idx="27">
                  <c:v>231.61241219394441</c:v>
                </c:pt>
                <c:pt idx="28">
                  <c:v>249.04147696965197</c:v>
                </c:pt>
                <c:pt idx="29">
                  <c:v>265.9514810263762</c:v>
                </c:pt>
                <c:pt idx="30">
                  <c:v>282.29182798492451</c:v>
                </c:pt>
                <c:pt idx="31">
                  <c:v>298.01921630629101</c:v>
                </c:pt>
                <c:pt idx="32">
                  <c:v>310.95548639356809</c:v>
                </c:pt>
                <c:pt idx="33">
                  <c:v>322.24587609945144</c:v>
                </c:pt>
                <c:pt idx="34">
                  <c:v>333.3058507339959</c:v>
                </c:pt>
                <c:pt idx="35">
                  <c:v>335.39264380589447</c:v>
                </c:pt>
                <c:pt idx="36">
                  <c:v>335.99757877039218</c:v>
                </c:pt>
                <c:pt idx="37">
                  <c:v>335.55634515547268</c:v>
                </c:pt>
                <c:pt idx="38">
                  <c:v>334.08397506194564</c:v>
                </c:pt>
                <c:pt idx="39">
                  <c:v>331.63628429339798</c:v>
                </c:pt>
                <c:pt idx="40">
                  <c:v>326.29894157588097</c:v>
                </c:pt>
                <c:pt idx="41">
                  <c:v>319.4640080887134</c:v>
                </c:pt>
                <c:pt idx="42">
                  <c:v>311.63582453970992</c:v>
                </c:pt>
                <c:pt idx="43">
                  <c:v>310.54553980774148</c:v>
                </c:pt>
                <c:pt idx="44">
                  <c:v>310.30108619052652</c:v>
                </c:pt>
                <c:pt idx="45">
                  <c:v>309.61754752348901</c:v>
                </c:pt>
                <c:pt idx="46">
                  <c:v>308.4602799101458</c:v>
                </c:pt>
                <c:pt idx="47">
                  <c:v>306.79669169989427</c:v>
                </c:pt>
                <c:pt idx="48">
                  <c:v>304.44495809023181</c:v>
                </c:pt>
                <c:pt idx="49">
                  <c:v>301.62779826742604</c:v>
                </c:pt>
                <c:pt idx="50">
                  <c:v>298.21206279827646</c:v>
                </c:pt>
                <c:pt idx="51">
                  <c:v>294.17305916932378</c:v>
                </c:pt>
                <c:pt idx="52">
                  <c:v>289.48776348155525</c:v>
                </c:pt>
                <c:pt idx="53">
                  <c:v>284.13475397432097</c:v>
                </c:pt>
                <c:pt idx="54">
                  <c:v>277.77408420899064</c:v>
                </c:pt>
                <c:pt idx="55">
                  <c:v>270.57212303927037</c:v>
                </c:pt>
                <c:pt idx="56">
                  <c:v>262.6343968459974</c:v>
                </c:pt>
                <c:pt idx="57">
                  <c:v>253.94539202001508</c:v>
                </c:pt>
                <c:pt idx="58">
                  <c:v>244.49181862371188</c:v>
                </c:pt>
                <c:pt idx="59">
                  <c:v>234.26324138484637</c:v>
                </c:pt>
                <c:pt idx="60">
                  <c:v>223.25323401809433</c:v>
                </c:pt>
                <c:pt idx="61">
                  <c:v>211.46153994568797</c:v>
                </c:pt>
                <c:pt idx="62">
                  <c:v>198.89838086225649</c:v>
                </c:pt>
                <c:pt idx="63">
                  <c:v>185.69414730352443</c:v>
                </c:pt>
                <c:pt idx="64">
                  <c:v>171.6996458768989</c:v>
                </c:pt>
                <c:pt idx="65">
                  <c:v>157.32855078583358</c:v>
                </c:pt>
                <c:pt idx="66">
                  <c:v>142.8421049284147</c:v>
                </c:pt>
                <c:pt idx="67">
                  <c:v>128.23392599917693</c:v>
                </c:pt>
                <c:pt idx="68">
                  <c:v>113.70956861990321</c:v>
                </c:pt>
                <c:pt idx="69">
                  <c:v>98.825883315099276</c:v>
                </c:pt>
                <c:pt idx="70">
                  <c:v>83.757365105793653</c:v>
                </c:pt>
                <c:pt idx="71">
                  <c:v>68.471591187730411</c:v>
                </c:pt>
                <c:pt idx="72">
                  <c:v>52.927329354587954</c:v>
                </c:pt>
                <c:pt idx="73">
                  <c:v>37.075880948893243</c:v>
                </c:pt>
                <c:pt idx="74">
                  <c:v>19.396058755473277</c:v>
                </c:pt>
                <c:pt idx="75">
                  <c:v>9.5307575497547668E-3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-259.19</c:v>
                </c:pt>
                <c:pt idx="1">
                  <c:v>-248.82239999999999</c:v>
                </c:pt>
                <c:pt idx="2">
                  <c:v>-238.45479999999998</c:v>
                </c:pt>
                <c:pt idx="3">
                  <c:v>-228.08719999999997</c:v>
                </c:pt>
                <c:pt idx="4">
                  <c:v>-217.71959999999996</c:v>
                </c:pt>
                <c:pt idx="5">
                  <c:v>-207.35199999999995</c:v>
                </c:pt>
                <c:pt idx="6">
                  <c:v>-196.98439999999994</c:v>
                </c:pt>
                <c:pt idx="7">
                  <c:v>-186.61679999999993</c:v>
                </c:pt>
                <c:pt idx="8">
                  <c:v>-176.24919999999992</c:v>
                </c:pt>
                <c:pt idx="9">
                  <c:v>-165.88159999999991</c:v>
                </c:pt>
                <c:pt idx="10">
                  <c:v>-155.5139999999999</c:v>
                </c:pt>
                <c:pt idx="11">
                  <c:v>-145.14639999999989</c:v>
                </c:pt>
                <c:pt idx="12">
                  <c:v>-134.77879999999988</c:v>
                </c:pt>
                <c:pt idx="13">
                  <c:v>-124.41119999999988</c:v>
                </c:pt>
                <c:pt idx="14">
                  <c:v>-114.04359999999988</c:v>
                </c:pt>
                <c:pt idx="15">
                  <c:v>-103.67599999999989</c:v>
                </c:pt>
                <c:pt idx="16">
                  <c:v>-93.308399999999892</c:v>
                </c:pt>
                <c:pt idx="17">
                  <c:v>-82.940799999999896</c:v>
                </c:pt>
                <c:pt idx="18">
                  <c:v>-72.5731999999999</c:v>
                </c:pt>
                <c:pt idx="19">
                  <c:v>-62.205599999999905</c:v>
                </c:pt>
                <c:pt idx="20">
                  <c:v>-51.837999999999909</c:v>
                </c:pt>
                <c:pt idx="21">
                  <c:v>-41.470399999999913</c:v>
                </c:pt>
                <c:pt idx="22">
                  <c:v>-31.102799999999913</c:v>
                </c:pt>
                <c:pt idx="23">
                  <c:v>-20.735199999999914</c:v>
                </c:pt>
                <c:pt idx="24">
                  <c:v>-10.367599999999914</c:v>
                </c:pt>
                <c:pt idx="25">
                  <c:v>0</c:v>
                </c:pt>
                <c:pt idx="26">
                  <c:v>28.473111151960392</c:v>
                </c:pt>
                <c:pt idx="27">
                  <c:v>56.946222303920784</c:v>
                </c:pt>
                <c:pt idx="28">
                  <c:v>85.419333455881173</c:v>
                </c:pt>
                <c:pt idx="29">
                  <c:v>113.89244460784157</c:v>
                </c:pt>
                <c:pt idx="30">
                  <c:v>142.36555575980196</c:v>
                </c:pt>
                <c:pt idx="31">
                  <c:v>170.83866691176235</c:v>
                </c:pt>
                <c:pt idx="32">
                  <c:v>199.31177806372273</c:v>
                </c:pt>
                <c:pt idx="33">
                  <c:v>227.78488921568311</c:v>
                </c:pt>
                <c:pt idx="34">
                  <c:v>256.25800036764349</c:v>
                </c:pt>
                <c:pt idx="35">
                  <c:v>284.73111151960387</c:v>
                </c:pt>
                <c:pt idx="36">
                  <c:v>313.20422267156425</c:v>
                </c:pt>
                <c:pt idx="37">
                  <c:v>341.67733382352463</c:v>
                </c:pt>
                <c:pt idx="38">
                  <c:v>370.15044497548502</c:v>
                </c:pt>
                <c:pt idx="39">
                  <c:v>398.6235561274454</c:v>
                </c:pt>
                <c:pt idx="40">
                  <c:v>427.09666727940578</c:v>
                </c:pt>
                <c:pt idx="41">
                  <c:v>455.56977843136616</c:v>
                </c:pt>
                <c:pt idx="42">
                  <c:v>484.04288958332654</c:v>
                </c:pt>
                <c:pt idx="43">
                  <c:v>512.51600073528698</c:v>
                </c:pt>
                <c:pt idx="44">
                  <c:v>540.98911188724742</c:v>
                </c:pt>
                <c:pt idx="45">
                  <c:v>569.46222303920786</c:v>
                </c:pt>
                <c:pt idx="46">
                  <c:v>597.93533419116829</c:v>
                </c:pt>
                <c:pt idx="47">
                  <c:v>626.40844534312873</c:v>
                </c:pt>
                <c:pt idx="48">
                  <c:v>654.88155649508917</c:v>
                </c:pt>
                <c:pt idx="49">
                  <c:v>683.35466764704961</c:v>
                </c:pt>
                <c:pt idx="50">
                  <c:v>711.82777879901005</c:v>
                </c:pt>
                <c:pt idx="51">
                  <c:v>740.30088995097049</c:v>
                </c:pt>
                <c:pt idx="52">
                  <c:v>768.77400110293092</c:v>
                </c:pt>
                <c:pt idx="53">
                  <c:v>797.24711225489136</c:v>
                </c:pt>
                <c:pt idx="54">
                  <c:v>825.7202234068518</c:v>
                </c:pt>
                <c:pt idx="55">
                  <c:v>854.19333455881224</c:v>
                </c:pt>
                <c:pt idx="56">
                  <c:v>882.66644571077268</c:v>
                </c:pt>
                <c:pt idx="57">
                  <c:v>911.13955686273312</c:v>
                </c:pt>
                <c:pt idx="58">
                  <c:v>939.61266801469355</c:v>
                </c:pt>
                <c:pt idx="59">
                  <c:v>968.08577916665399</c:v>
                </c:pt>
                <c:pt idx="60">
                  <c:v>996.55889031861443</c:v>
                </c:pt>
                <c:pt idx="61">
                  <c:v>1025.0320014705749</c:v>
                </c:pt>
                <c:pt idx="62">
                  <c:v>1053.5051126225353</c:v>
                </c:pt>
                <c:pt idx="63">
                  <c:v>1081.9782237744957</c:v>
                </c:pt>
                <c:pt idx="64">
                  <c:v>1110.4513349264562</c:v>
                </c:pt>
                <c:pt idx="65">
                  <c:v>1138.9244460784166</c:v>
                </c:pt>
                <c:pt idx="66">
                  <c:v>1167.3975572303771</c:v>
                </c:pt>
                <c:pt idx="67">
                  <c:v>1195.8706683823375</c:v>
                </c:pt>
                <c:pt idx="68">
                  <c:v>1224.3437795342979</c:v>
                </c:pt>
                <c:pt idx="69">
                  <c:v>1252.8168906862584</c:v>
                </c:pt>
                <c:pt idx="70">
                  <c:v>1281.2900018382188</c:v>
                </c:pt>
                <c:pt idx="71">
                  <c:v>1309.7631129901793</c:v>
                </c:pt>
                <c:pt idx="72">
                  <c:v>1338.2362241421397</c:v>
                </c:pt>
                <c:pt idx="73">
                  <c:v>1366.7093352941001</c:v>
                </c:pt>
                <c:pt idx="74">
                  <c:v>1395.1824464460606</c:v>
                </c:pt>
                <c:pt idx="75">
                  <c:v>1423.655557598021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40-444F-AC6A-F5609F267C14}"/>
            </c:ext>
          </c:extLst>
        </c:ser>
        <c:ser>
          <c:idx val="1"/>
          <c:order val="1"/>
          <c:tx>
            <c:v>P_M_Nominal (PCA)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1.1108006251418445E-2</c:v>
                </c:pt>
                <c:pt idx="1">
                  <c:v>11.19178012365658</c:v>
                </c:pt>
                <c:pt idx="2">
                  <c:v>21.973102606165117</c:v>
                </c:pt>
                <c:pt idx="3">
                  <c:v>32.449725567107507</c:v>
                </c:pt>
                <c:pt idx="4">
                  <c:v>42.266664727936828</c:v>
                </c:pt>
                <c:pt idx="5">
                  <c:v>51.665576194394269</c:v>
                </c:pt>
                <c:pt idx="6">
                  <c:v>61.068997162655883</c:v>
                </c:pt>
                <c:pt idx="7">
                  <c:v>70.461585443642718</c:v>
                </c:pt>
                <c:pt idx="8">
                  <c:v>79.826774531373516</c:v>
                </c:pt>
                <c:pt idx="9">
                  <c:v>89.147807122430393</c:v>
                </c:pt>
                <c:pt idx="10">
                  <c:v>98.408646031088892</c:v>
                </c:pt>
                <c:pt idx="11">
                  <c:v>107.59464078864814</c:v>
                </c:pt>
                <c:pt idx="12">
                  <c:v>116.69291536428696</c:v>
                </c:pt>
                <c:pt idx="13">
                  <c:v>125.69250947250509</c:v>
                </c:pt>
                <c:pt idx="14">
                  <c:v>133.52445682586969</c:v>
                </c:pt>
                <c:pt idx="15">
                  <c:v>141.21184326892154</c:v>
                </c:pt>
                <c:pt idx="16">
                  <c:v>148.77064466285205</c:v>
                </c:pt>
                <c:pt idx="17">
                  <c:v>156.44317054057851</c:v>
                </c:pt>
                <c:pt idx="18">
                  <c:v>164.10848745524737</c:v>
                </c:pt>
                <c:pt idx="19">
                  <c:v>171.76202039031378</c:v>
                </c:pt>
                <c:pt idx="20">
                  <c:v>179.39906385602157</c:v>
                </c:pt>
                <c:pt idx="21">
                  <c:v>187.01482522768003</c:v>
                </c:pt>
                <c:pt idx="22">
                  <c:v>194.60446797076884</c:v>
                </c:pt>
                <c:pt idx="23">
                  <c:v>202.16315358312673</c:v>
                </c:pt>
                <c:pt idx="24">
                  <c:v>209.68608104450641</c:v>
                </c:pt>
                <c:pt idx="25">
                  <c:v>217.16852301309916</c:v>
                </c:pt>
                <c:pt idx="26">
                  <c:v>237.47256544140996</c:v>
                </c:pt>
                <c:pt idx="27">
                  <c:v>257.34712465993823</c:v>
                </c:pt>
                <c:pt idx="28">
                  <c:v>276.71275218850218</c:v>
                </c:pt>
                <c:pt idx="29">
                  <c:v>295.50164558486244</c:v>
                </c:pt>
                <c:pt idx="30">
                  <c:v>313.65758664991614</c:v>
                </c:pt>
                <c:pt idx="31">
                  <c:v>331.13246256254558</c:v>
                </c:pt>
                <c:pt idx="32">
                  <c:v>345.50609599285343</c:v>
                </c:pt>
                <c:pt idx="33">
                  <c:v>358.05097344383495</c:v>
                </c:pt>
                <c:pt idx="34">
                  <c:v>370.33983414888434</c:v>
                </c:pt>
                <c:pt idx="35">
                  <c:v>386.78128525023067</c:v>
                </c:pt>
                <c:pt idx="36">
                  <c:v>404.23411567810217</c:v>
                </c:pt>
                <c:pt idx="37">
                  <c:v>421.82931826964466</c:v>
                </c:pt>
                <c:pt idx="38">
                  <c:v>439.23221708161924</c:v>
                </c:pt>
                <c:pt idx="39">
                  <c:v>456.04159983544895</c:v>
                </c:pt>
                <c:pt idx="40">
                  <c:v>466.0198415968718</c:v>
                </c:pt>
                <c:pt idx="41">
                  <c:v>472.61092081075367</c:v>
                </c:pt>
                <c:pt idx="42">
                  <c:v>477.48109531535664</c:v>
                </c:pt>
                <c:pt idx="43">
                  <c:v>477.76236893498685</c:v>
                </c:pt>
                <c:pt idx="44">
                  <c:v>477.38628644696388</c:v>
                </c:pt>
                <c:pt idx="45">
                  <c:v>476.33468849767536</c:v>
                </c:pt>
                <c:pt idx="46">
                  <c:v>474.55427678483966</c:v>
                </c:pt>
                <c:pt idx="47">
                  <c:v>471.99491030752961</c:v>
                </c:pt>
                <c:pt idx="48">
                  <c:v>468.37685860035663</c:v>
                </c:pt>
                <c:pt idx="49">
                  <c:v>464.04276656527082</c:v>
                </c:pt>
                <c:pt idx="50">
                  <c:v>458.78778892042533</c:v>
                </c:pt>
                <c:pt idx="51">
                  <c:v>452.57393718357503</c:v>
                </c:pt>
                <c:pt idx="52">
                  <c:v>445.36578997162343</c:v>
                </c:pt>
                <c:pt idx="53">
                  <c:v>437.13039072972458</c:v>
                </c:pt>
                <c:pt idx="54">
                  <c:v>427.34474493690868</c:v>
                </c:pt>
                <c:pt idx="55">
                  <c:v>416.26480467580058</c:v>
                </c:pt>
                <c:pt idx="56">
                  <c:v>404.05291822461135</c:v>
                </c:pt>
                <c:pt idx="57">
                  <c:v>390.68521849233088</c:v>
                </c:pt>
                <c:pt idx="58">
                  <c:v>376.14125942109519</c:v>
                </c:pt>
                <c:pt idx="59">
                  <c:v>360.40498674591748</c:v>
                </c:pt>
                <c:pt idx="60">
                  <c:v>343.46651387399129</c:v>
                </c:pt>
                <c:pt idx="61">
                  <c:v>325.32544607028916</c:v>
                </c:pt>
                <c:pt idx="62">
                  <c:v>305.99750901885614</c:v>
                </c:pt>
                <c:pt idx="63">
                  <c:v>285.68330354388371</c:v>
                </c:pt>
                <c:pt idx="64">
                  <c:v>264.15330134907521</c:v>
                </c:pt>
                <c:pt idx="65">
                  <c:v>242.04392428589782</c:v>
                </c:pt>
                <c:pt idx="66">
                  <c:v>219.75708450525337</c:v>
                </c:pt>
                <c:pt idx="67">
                  <c:v>197.28296307565682</c:v>
                </c:pt>
                <c:pt idx="68">
                  <c:v>174.93779787677417</c:v>
                </c:pt>
                <c:pt idx="69">
                  <c:v>152.03982048476811</c:v>
                </c:pt>
                <c:pt idx="70">
                  <c:v>128.85748477814408</c:v>
                </c:pt>
                <c:pt idx="71">
                  <c:v>105.34090951958524</c:v>
                </c:pt>
                <c:pt idx="72">
                  <c:v>81.426660545519923</c:v>
                </c:pt>
                <c:pt idx="73">
                  <c:v>57.039816844451138</c:v>
                </c:pt>
                <c:pt idx="74">
                  <c:v>29.840090393035808</c:v>
                </c:pt>
                <c:pt idx="75">
                  <c:v>1.4662703922699642E-2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-276.46933333333334</c:v>
                </c:pt>
                <c:pt idx="2">
                  <c:v>-264.94977777777774</c:v>
                </c:pt>
                <c:pt idx="3">
                  <c:v>-253.43022222222217</c:v>
                </c:pt>
                <c:pt idx="4">
                  <c:v>-241.9106666666666</c:v>
                </c:pt>
                <c:pt idx="5">
                  <c:v>-230.39111111111106</c:v>
                </c:pt>
                <c:pt idx="6">
                  <c:v>-218.87155555555549</c:v>
                </c:pt>
                <c:pt idx="7">
                  <c:v>-207.35199999999992</c:v>
                </c:pt>
                <c:pt idx="8">
                  <c:v>-195.83244444444435</c:v>
                </c:pt>
                <c:pt idx="9">
                  <c:v>-184.31288888888878</c:v>
                </c:pt>
                <c:pt idx="10">
                  <c:v>-172.79333333333321</c:v>
                </c:pt>
                <c:pt idx="11">
                  <c:v>-161.27377777777764</c:v>
                </c:pt>
                <c:pt idx="12">
                  <c:v>-149.75422222222207</c:v>
                </c:pt>
                <c:pt idx="13">
                  <c:v>-138.23466666666653</c:v>
                </c:pt>
                <c:pt idx="14">
                  <c:v>-126.71511111111099</c:v>
                </c:pt>
                <c:pt idx="15">
                  <c:v>-115.19555555555543</c:v>
                </c:pt>
                <c:pt idx="16">
                  <c:v>-103.67599999999987</c:v>
                </c:pt>
                <c:pt idx="17">
                  <c:v>-92.156444444444332</c:v>
                </c:pt>
                <c:pt idx="18">
                  <c:v>-80.636888888888777</c:v>
                </c:pt>
                <c:pt idx="19">
                  <c:v>-69.117333333333221</c:v>
                </c:pt>
                <c:pt idx="20">
                  <c:v>-57.597777777777672</c:v>
                </c:pt>
                <c:pt idx="21">
                  <c:v>-46.078222222222124</c:v>
                </c:pt>
                <c:pt idx="22">
                  <c:v>-34.558666666666568</c:v>
                </c:pt>
                <c:pt idx="23">
                  <c:v>-23.039111111111016</c:v>
                </c:pt>
                <c:pt idx="24">
                  <c:v>-11.51955555555546</c:v>
                </c:pt>
                <c:pt idx="25">
                  <c:v>0</c:v>
                </c:pt>
                <c:pt idx="26">
                  <c:v>31.636790168844879</c:v>
                </c:pt>
                <c:pt idx="27">
                  <c:v>63.273580337689758</c:v>
                </c:pt>
                <c:pt idx="28">
                  <c:v>94.910370506534633</c:v>
                </c:pt>
                <c:pt idx="29">
                  <c:v>126.54716067537952</c:v>
                </c:pt>
                <c:pt idx="30">
                  <c:v>158.1839508442244</c:v>
                </c:pt>
                <c:pt idx="31">
                  <c:v>189.82074101306927</c:v>
                </c:pt>
                <c:pt idx="32">
                  <c:v>221.45753118191413</c:v>
                </c:pt>
                <c:pt idx="33">
                  <c:v>253.094321350759</c:v>
                </c:pt>
                <c:pt idx="34">
                  <c:v>284.73111151960387</c:v>
                </c:pt>
                <c:pt idx="35">
                  <c:v>328.35742613369638</c:v>
                </c:pt>
                <c:pt idx="36">
                  <c:v>376.81173906555472</c:v>
                </c:pt>
                <c:pt idx="37">
                  <c:v>429.52403933291123</c:v>
                </c:pt>
                <c:pt idx="38">
                  <c:v>486.65010217920315</c:v>
                </c:pt>
                <c:pt idx="39">
                  <c:v>548.15752340183553</c:v>
                </c:pt>
                <c:pt idx="40">
                  <c:v>609.97905868418127</c:v>
                </c:pt>
                <c:pt idx="41">
                  <c:v>673.96403671930818</c:v>
                </c:pt>
                <c:pt idx="42">
                  <c:v>741.63915345492171</c:v>
                </c:pt>
                <c:pt idx="43">
                  <c:v>788.48615497736455</c:v>
                </c:pt>
                <c:pt idx="44">
                  <c:v>832.290941364996</c:v>
                </c:pt>
                <c:pt idx="45">
                  <c:v>876.09572775262745</c:v>
                </c:pt>
                <c:pt idx="46">
                  <c:v>919.90051414025891</c:v>
                </c:pt>
                <c:pt idx="47">
                  <c:v>963.70530052789036</c:v>
                </c:pt>
                <c:pt idx="48">
                  <c:v>1007.5100869155218</c:v>
                </c:pt>
                <c:pt idx="49">
                  <c:v>1051.3148733031533</c:v>
                </c:pt>
                <c:pt idx="50">
                  <c:v>1095.1196596907846</c:v>
                </c:pt>
                <c:pt idx="51">
                  <c:v>1138.9244460784162</c:v>
                </c:pt>
                <c:pt idx="52">
                  <c:v>1182.7292324660475</c:v>
                </c:pt>
                <c:pt idx="53">
                  <c:v>1226.5340188536791</c:v>
                </c:pt>
                <c:pt idx="54">
                  <c:v>1270.3388052413104</c:v>
                </c:pt>
                <c:pt idx="55">
                  <c:v>1314.1435916289417</c:v>
                </c:pt>
                <c:pt idx="56">
                  <c:v>1357.9483780165733</c:v>
                </c:pt>
                <c:pt idx="57">
                  <c:v>1401.7531644042047</c:v>
                </c:pt>
                <c:pt idx="58">
                  <c:v>1445.5579507918362</c:v>
                </c:pt>
                <c:pt idx="59">
                  <c:v>1489.3627371794676</c:v>
                </c:pt>
                <c:pt idx="60">
                  <c:v>1533.1675235670991</c:v>
                </c:pt>
                <c:pt idx="61">
                  <c:v>1576.9723099547305</c:v>
                </c:pt>
                <c:pt idx="62">
                  <c:v>1620.777096342362</c:v>
                </c:pt>
                <c:pt idx="63">
                  <c:v>1664.5818827299934</c:v>
                </c:pt>
                <c:pt idx="64">
                  <c:v>1708.3866691176249</c:v>
                </c:pt>
                <c:pt idx="65">
                  <c:v>1752.1914555052563</c:v>
                </c:pt>
                <c:pt idx="66">
                  <c:v>1795.9962418928876</c:v>
                </c:pt>
                <c:pt idx="67">
                  <c:v>1839.8010282805192</c:v>
                </c:pt>
                <c:pt idx="68">
                  <c:v>1883.6058146681505</c:v>
                </c:pt>
                <c:pt idx="69">
                  <c:v>1927.4106010557821</c:v>
                </c:pt>
                <c:pt idx="70">
                  <c:v>1971.2153874434134</c:v>
                </c:pt>
                <c:pt idx="71">
                  <c:v>2015.020173831045</c:v>
                </c:pt>
                <c:pt idx="72">
                  <c:v>2058.8249602186766</c:v>
                </c:pt>
                <c:pt idx="73">
                  <c:v>2102.6297466063079</c:v>
                </c:pt>
                <c:pt idx="74">
                  <c:v>2146.4345329939392</c:v>
                </c:pt>
                <c:pt idx="75">
                  <c:v>2190.2393193815706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40-444F-AC6A-F5609F267C14}"/>
            </c:ext>
          </c:extLst>
        </c:ser>
        <c:ser>
          <c:idx val="5"/>
          <c:order val="2"/>
          <c:tx>
            <c:v>P_M (Whitney)</c:v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circle_section!$BI$2:$BI$102</c:f>
              <c:numCache>
                <c:formatCode>General</c:formatCode>
                <c:ptCount val="101"/>
                <c:pt idx="0">
                  <c:v>9.9972843934907005E-3</c:v>
                </c:pt>
                <c:pt idx="1">
                  <c:v>10.087776057818672</c:v>
                </c:pt>
                <c:pt idx="2">
                  <c:v>19.823969123839927</c:v>
                </c:pt>
                <c:pt idx="3">
                  <c:v>29.299488926575378</c:v>
                </c:pt>
                <c:pt idx="4">
                  <c:v>38.292306702961078</c:v>
                </c:pt>
                <c:pt idx="5">
                  <c:v>46.774137948953474</c:v>
                </c:pt>
                <c:pt idx="6">
                  <c:v>55.263510686913712</c:v>
                </c:pt>
                <c:pt idx="7">
                  <c:v>63.74744605684014</c:v>
                </c:pt>
                <c:pt idx="8">
                  <c:v>72.211885358359055</c:v>
                </c:pt>
                <c:pt idx="9">
                  <c:v>80.642547549432095</c:v>
                </c:pt>
                <c:pt idx="10">
                  <c:v>89.025691445679115</c:v>
                </c:pt>
                <c:pt idx="11">
                  <c:v>97.348682791185396</c:v>
                </c:pt>
                <c:pt idx="12">
                  <c:v>105.60033513752919</c:v>
                </c:pt>
                <c:pt idx="13">
                  <c:v>113.77104738878013</c:v>
                </c:pt>
                <c:pt idx="14">
                  <c:v>121.3489540489426</c:v>
                </c:pt>
                <c:pt idx="15">
                  <c:v>128.30849776741906</c:v>
                </c:pt>
                <c:pt idx="16">
                  <c:v>135.27097414571764</c:v>
                </c:pt>
                <c:pt idx="17">
                  <c:v>142.01665129356599</c:v>
                </c:pt>
                <c:pt idx="18">
                  <c:v>148.97336061410675</c:v>
                </c:pt>
                <c:pt idx="19">
                  <c:v>155.92154252507879</c:v>
                </c:pt>
                <c:pt idx="20">
                  <c:v>162.85732489540993</c:v>
                </c:pt>
                <c:pt idx="21">
                  <c:v>169.7767464150038</c:v>
                </c:pt>
                <c:pt idx="22">
                  <c:v>176.67579214092393</c:v>
                </c:pt>
                <c:pt idx="23">
                  <c:v>183.55042828222395</c:v>
                </c:pt>
                <c:pt idx="24">
                  <c:v>190.39663541135369</c:v>
                </c:pt>
                <c:pt idx="25">
                  <c:v>197.21043916355077</c:v>
                </c:pt>
                <c:pt idx="26">
                  <c:v>215.72546928203769</c:v>
                </c:pt>
                <c:pt idx="27">
                  <c:v>233.89067411850672</c:v>
                </c:pt>
                <c:pt idx="28">
                  <c:v>251.63771202752289</c:v>
                </c:pt>
                <c:pt idx="29">
                  <c:v>268.90759770313952</c:v>
                </c:pt>
                <c:pt idx="30">
                  <c:v>285.65085976650624</c:v>
                </c:pt>
                <c:pt idx="31">
                  <c:v>301.82694087655153</c:v>
                </c:pt>
                <c:pt idx="32">
                  <c:v>316.70882775975838</c:v>
                </c:pt>
                <c:pt idx="33">
                  <c:v>328.37622811986733</c:v>
                </c:pt>
                <c:pt idx="34">
                  <c:v>339.83832161641493</c:v>
                </c:pt>
                <c:pt idx="35">
                  <c:v>347.52107776892638</c:v>
                </c:pt>
                <c:pt idx="36">
                  <c:v>348.87921010949748</c:v>
                </c:pt>
                <c:pt idx="37">
                  <c:v>349.66156087853193</c:v>
                </c:pt>
                <c:pt idx="38">
                  <c:v>349.17271314124622</c:v>
                </c:pt>
                <c:pt idx="39">
                  <c:v>347.85485009084221</c:v>
                </c:pt>
                <c:pt idx="40">
                  <c:v>345.53383554941269</c:v>
                </c:pt>
                <c:pt idx="41">
                  <c:v>339.70120135035683</c:v>
                </c:pt>
                <c:pt idx="42">
                  <c:v>333.13122228690975</c:v>
                </c:pt>
                <c:pt idx="43">
                  <c:v>325.75082802357502</c:v>
                </c:pt>
                <c:pt idx="44">
                  <c:v>326.18948516329056</c:v>
                </c:pt>
                <c:pt idx="45">
                  <c:v>326.22190016003509</c:v>
                </c:pt>
                <c:pt idx="46">
                  <c:v>325.81337318002204</c:v>
                </c:pt>
                <c:pt idx="47">
                  <c:v>324.93095303147538</c:v>
                </c:pt>
                <c:pt idx="48">
                  <c:v>323.5433686768352</c:v>
                </c:pt>
                <c:pt idx="49">
                  <c:v>321.36104910016547</c:v>
                </c:pt>
                <c:pt idx="50">
                  <c:v>318.80823915999213</c:v>
                </c:pt>
                <c:pt idx="51">
                  <c:v>315.66247468098408</c:v>
                </c:pt>
                <c:pt idx="52">
                  <c:v>311.89824792577622</c:v>
                </c:pt>
                <c:pt idx="53">
                  <c:v>307.4911049985048</c:v>
                </c:pt>
                <c:pt idx="54">
                  <c:v>302.41749434596716</c:v>
                </c:pt>
                <c:pt idx="55">
                  <c:v>296.49631313506939</c:v>
                </c:pt>
                <c:pt idx="56">
                  <c:v>289.59801040306638</c:v>
                </c:pt>
                <c:pt idx="57">
                  <c:v>281.95415682516312</c:v>
                </c:pt>
                <c:pt idx="58">
                  <c:v>273.54235812950674</c:v>
                </c:pt>
                <c:pt idx="59">
                  <c:v>264.34024277081795</c:v>
                </c:pt>
                <c:pt idx="60">
                  <c:v>254.32522565325155</c:v>
                </c:pt>
                <c:pt idx="61">
                  <c:v>243.47424801520378</c:v>
                </c:pt>
                <c:pt idx="62">
                  <c:v>231.76348382846149</c:v>
                </c:pt>
                <c:pt idx="63">
                  <c:v>219.16799935144135</c:v>
                </c:pt>
                <c:pt idx="64">
                  <c:v>205.66134710588884</c:v>
                </c:pt>
                <c:pt idx="65">
                  <c:v>191.21506736130877</c:v>
                </c:pt>
                <c:pt idx="66">
                  <c:v>175.73316096532744</c:v>
                </c:pt>
                <c:pt idx="67">
                  <c:v>159.19136807066516</c:v>
                </c:pt>
                <c:pt idx="68">
                  <c:v>141.60022005257119</c:v>
                </c:pt>
                <c:pt idx="69">
                  <c:v>122.91364164729207</c:v>
                </c:pt>
                <c:pt idx="70">
                  <c:v>103.07699789459411</c:v>
                </c:pt>
                <c:pt idx="71">
                  <c:v>82.028422561869249</c:v>
                </c:pt>
                <c:pt idx="72">
                  <c:v>59.600483793064079</c:v>
                </c:pt>
                <c:pt idx="73">
                  <c:v>35.798122159189113</c:v>
                </c:pt>
                <c:pt idx="74">
                  <c:v>16.323451257858839</c:v>
                </c:pt>
                <c:pt idx="75">
                  <c:v>7.6562499990757244E-3</c:v>
                </c:pt>
              </c:numCache>
            </c:numRef>
          </c:xVal>
          <c:yVal>
            <c:numRef>
              <c:f>circle_section!$BF$2:$BF$102</c:f>
              <c:numCache>
                <c:formatCode>General</c:formatCode>
                <c:ptCount val="101"/>
                <c:pt idx="0">
                  <c:v>-259.19</c:v>
                </c:pt>
                <c:pt idx="1">
                  <c:v>-248.82239999999999</c:v>
                </c:pt>
                <c:pt idx="2">
                  <c:v>-238.45479999999998</c:v>
                </c:pt>
                <c:pt idx="3">
                  <c:v>-228.08719999999997</c:v>
                </c:pt>
                <c:pt idx="4">
                  <c:v>-217.71959999999996</c:v>
                </c:pt>
                <c:pt idx="5">
                  <c:v>-207.35199999999995</c:v>
                </c:pt>
                <c:pt idx="6">
                  <c:v>-196.98439999999994</c:v>
                </c:pt>
                <c:pt idx="7">
                  <c:v>-186.61679999999993</c:v>
                </c:pt>
                <c:pt idx="8">
                  <c:v>-176.24919999999992</c:v>
                </c:pt>
                <c:pt idx="9">
                  <c:v>-165.88159999999991</c:v>
                </c:pt>
                <c:pt idx="10">
                  <c:v>-155.5139999999999</c:v>
                </c:pt>
                <c:pt idx="11">
                  <c:v>-145.14639999999989</c:v>
                </c:pt>
                <c:pt idx="12">
                  <c:v>-134.77879999999988</c:v>
                </c:pt>
                <c:pt idx="13">
                  <c:v>-124.41119999999988</c:v>
                </c:pt>
                <c:pt idx="14">
                  <c:v>-114.04359999999988</c:v>
                </c:pt>
                <c:pt idx="15">
                  <c:v>-103.67599999999989</c:v>
                </c:pt>
                <c:pt idx="16">
                  <c:v>-93.308399999999892</c:v>
                </c:pt>
                <c:pt idx="17">
                  <c:v>-82.940799999999896</c:v>
                </c:pt>
                <c:pt idx="18">
                  <c:v>-72.5731999999999</c:v>
                </c:pt>
                <c:pt idx="19">
                  <c:v>-62.205599999999905</c:v>
                </c:pt>
                <c:pt idx="20">
                  <c:v>-51.837999999999909</c:v>
                </c:pt>
                <c:pt idx="21">
                  <c:v>-41.470399999999913</c:v>
                </c:pt>
                <c:pt idx="22">
                  <c:v>-31.102799999999913</c:v>
                </c:pt>
                <c:pt idx="23">
                  <c:v>-20.735199999999914</c:v>
                </c:pt>
                <c:pt idx="24">
                  <c:v>-10.367599999999914</c:v>
                </c:pt>
                <c:pt idx="25">
                  <c:v>0</c:v>
                </c:pt>
                <c:pt idx="26">
                  <c:v>28.473111151960392</c:v>
                </c:pt>
                <c:pt idx="27">
                  <c:v>56.946222303920784</c:v>
                </c:pt>
                <c:pt idx="28">
                  <c:v>85.419333455881173</c:v>
                </c:pt>
                <c:pt idx="29">
                  <c:v>113.89244460784157</c:v>
                </c:pt>
                <c:pt idx="30">
                  <c:v>142.36555575980196</c:v>
                </c:pt>
                <c:pt idx="31">
                  <c:v>170.83866691176235</c:v>
                </c:pt>
                <c:pt idx="32">
                  <c:v>199.31177806372273</c:v>
                </c:pt>
                <c:pt idx="33">
                  <c:v>227.78488921568311</c:v>
                </c:pt>
                <c:pt idx="34">
                  <c:v>256.25800036764349</c:v>
                </c:pt>
                <c:pt idx="35">
                  <c:v>284.73111151960387</c:v>
                </c:pt>
                <c:pt idx="36">
                  <c:v>313.20422267156425</c:v>
                </c:pt>
                <c:pt idx="37">
                  <c:v>341.67733382352463</c:v>
                </c:pt>
                <c:pt idx="38">
                  <c:v>370.15044497548502</c:v>
                </c:pt>
                <c:pt idx="39">
                  <c:v>398.6235561274454</c:v>
                </c:pt>
                <c:pt idx="40">
                  <c:v>427.09666727940578</c:v>
                </c:pt>
                <c:pt idx="41">
                  <c:v>455.56977843136616</c:v>
                </c:pt>
                <c:pt idx="42">
                  <c:v>484.04288958332654</c:v>
                </c:pt>
                <c:pt idx="43">
                  <c:v>512.51600073528698</c:v>
                </c:pt>
                <c:pt idx="44">
                  <c:v>540.98911188724742</c:v>
                </c:pt>
                <c:pt idx="45">
                  <c:v>569.46222303920786</c:v>
                </c:pt>
                <c:pt idx="46">
                  <c:v>597.93533419116829</c:v>
                </c:pt>
                <c:pt idx="47">
                  <c:v>626.40844534312873</c:v>
                </c:pt>
                <c:pt idx="48">
                  <c:v>654.88155649508917</c:v>
                </c:pt>
                <c:pt idx="49">
                  <c:v>683.35466764704961</c:v>
                </c:pt>
                <c:pt idx="50">
                  <c:v>711.82777879901005</c:v>
                </c:pt>
                <c:pt idx="51">
                  <c:v>740.30088995097049</c:v>
                </c:pt>
                <c:pt idx="52">
                  <c:v>768.77400110293092</c:v>
                </c:pt>
                <c:pt idx="53">
                  <c:v>797.24711225489136</c:v>
                </c:pt>
                <c:pt idx="54">
                  <c:v>825.7202234068518</c:v>
                </c:pt>
                <c:pt idx="55">
                  <c:v>854.19333455881224</c:v>
                </c:pt>
                <c:pt idx="56">
                  <c:v>882.66644571077268</c:v>
                </c:pt>
                <c:pt idx="57">
                  <c:v>911.13955686273312</c:v>
                </c:pt>
                <c:pt idx="58">
                  <c:v>939.61266801469355</c:v>
                </c:pt>
                <c:pt idx="59">
                  <c:v>968.08577916665399</c:v>
                </c:pt>
                <c:pt idx="60">
                  <c:v>996.55889031861443</c:v>
                </c:pt>
                <c:pt idx="61">
                  <c:v>1025.0320014705749</c:v>
                </c:pt>
                <c:pt idx="62">
                  <c:v>1053.5051126225353</c:v>
                </c:pt>
                <c:pt idx="63">
                  <c:v>1081.9782237744957</c:v>
                </c:pt>
                <c:pt idx="64">
                  <c:v>1110.4513349264562</c:v>
                </c:pt>
                <c:pt idx="65">
                  <c:v>1138.9244460784166</c:v>
                </c:pt>
                <c:pt idx="66">
                  <c:v>1167.3975572303771</c:v>
                </c:pt>
                <c:pt idx="67">
                  <c:v>1195.8706683823375</c:v>
                </c:pt>
                <c:pt idx="68">
                  <c:v>1224.3437795342979</c:v>
                </c:pt>
                <c:pt idx="69">
                  <c:v>1252.8168906862584</c:v>
                </c:pt>
                <c:pt idx="70">
                  <c:v>1281.2900018382188</c:v>
                </c:pt>
                <c:pt idx="71">
                  <c:v>1309.7631129901793</c:v>
                </c:pt>
                <c:pt idx="72">
                  <c:v>1338.2362241421397</c:v>
                </c:pt>
                <c:pt idx="73">
                  <c:v>1366.7093352941001</c:v>
                </c:pt>
                <c:pt idx="74">
                  <c:v>1395.1824464460606</c:v>
                </c:pt>
                <c:pt idx="75">
                  <c:v>1423.655557598021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40-444F-AC6A-F5609F267C14}"/>
            </c:ext>
          </c:extLst>
        </c:ser>
        <c:ser>
          <c:idx val="6"/>
          <c:order val="3"/>
          <c:tx>
            <c:v>P_M_Nominal (Whitney)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circle_section!$BM$2:$BM$102</c:f>
              <c:numCache>
                <c:formatCode>General</c:formatCode>
                <c:ptCount val="101"/>
                <c:pt idx="0">
                  <c:v>1.1108093770545224E-2</c:v>
                </c:pt>
                <c:pt idx="1">
                  <c:v>11.208640064242971</c:v>
                </c:pt>
                <c:pt idx="2">
                  <c:v>22.026632359822141</c:v>
                </c:pt>
                <c:pt idx="3">
                  <c:v>32.554987696194864</c:v>
                </c:pt>
                <c:pt idx="4">
                  <c:v>42.547007447734529</c:v>
                </c:pt>
                <c:pt idx="5">
                  <c:v>51.97126438772608</c:v>
                </c:pt>
                <c:pt idx="6">
                  <c:v>61.403900763237459</c:v>
                </c:pt>
                <c:pt idx="7">
                  <c:v>70.830495618711268</c:v>
                </c:pt>
                <c:pt idx="8">
                  <c:v>80.235428175954496</c:v>
                </c:pt>
                <c:pt idx="9">
                  <c:v>89.602830610480112</c:v>
                </c:pt>
                <c:pt idx="10">
                  <c:v>98.917434939643456</c:v>
                </c:pt>
                <c:pt idx="11">
                  <c:v>108.1652031013171</c:v>
                </c:pt>
                <c:pt idx="12">
                  <c:v>117.33370570836576</c:v>
                </c:pt>
                <c:pt idx="13">
                  <c:v>126.41227487642237</c:v>
                </c:pt>
                <c:pt idx="14">
                  <c:v>134.83217116549179</c:v>
                </c:pt>
                <c:pt idx="15">
                  <c:v>142.56499751935451</c:v>
                </c:pt>
                <c:pt idx="16">
                  <c:v>150.30108238413069</c:v>
                </c:pt>
                <c:pt idx="17">
                  <c:v>157.7962792150733</c:v>
                </c:pt>
                <c:pt idx="18">
                  <c:v>165.52595623789639</c:v>
                </c:pt>
                <c:pt idx="19">
                  <c:v>173.24615836119864</c:v>
                </c:pt>
                <c:pt idx="20">
                  <c:v>180.95258321712214</c:v>
                </c:pt>
                <c:pt idx="21">
                  <c:v>188.64082935000422</c:v>
                </c:pt>
                <c:pt idx="22">
                  <c:v>196.30643571213773</c:v>
                </c:pt>
                <c:pt idx="23">
                  <c:v>203.94492031358214</c:v>
                </c:pt>
                <c:pt idx="24">
                  <c:v>211.55181712372629</c:v>
                </c:pt>
                <c:pt idx="25">
                  <c:v>219.12271018172308</c:v>
                </c:pt>
                <c:pt idx="26">
                  <c:v>239.69496586893075</c:v>
                </c:pt>
                <c:pt idx="27">
                  <c:v>259.87852679834077</c:v>
                </c:pt>
                <c:pt idx="28">
                  <c:v>279.59745780835874</c:v>
                </c:pt>
                <c:pt idx="29">
                  <c:v>298.78621967015499</c:v>
                </c:pt>
                <c:pt idx="30">
                  <c:v>317.38984418500689</c:v>
                </c:pt>
                <c:pt idx="31">
                  <c:v>335.36326764061283</c:v>
                </c:pt>
                <c:pt idx="32">
                  <c:v>351.89869751084257</c:v>
                </c:pt>
                <c:pt idx="33">
                  <c:v>364.86247568874143</c:v>
                </c:pt>
                <c:pt idx="34">
                  <c:v>377.59813512934994</c:v>
                </c:pt>
                <c:pt idx="35">
                  <c:v>391.89638755794772</c:v>
                </c:pt>
                <c:pt idx="36">
                  <c:v>409.61519724544235</c:v>
                </c:pt>
                <c:pt idx="37">
                  <c:v>427.81093346795751</c:v>
                </c:pt>
                <c:pt idx="38">
                  <c:v>445.95864544689232</c:v>
                </c:pt>
                <c:pt idx="39">
                  <c:v>463.87486555215037</c:v>
                </c:pt>
                <c:pt idx="40">
                  <c:v>481.06057752343384</c:v>
                </c:pt>
                <c:pt idx="41">
                  <c:v>489.30209626986164</c:v>
                </c:pt>
                <c:pt idx="42">
                  <c:v>496.46950610154698</c:v>
                </c:pt>
                <c:pt idx="43">
                  <c:v>501.15512003626918</c:v>
                </c:pt>
                <c:pt idx="44">
                  <c:v>501.82997717429322</c:v>
                </c:pt>
                <c:pt idx="45">
                  <c:v>501.87984640005402</c:v>
                </c:pt>
                <c:pt idx="46">
                  <c:v>501.25134335388009</c:v>
                </c:pt>
                <c:pt idx="47">
                  <c:v>499.89377389457752</c:v>
                </c:pt>
                <c:pt idx="48">
                  <c:v>497.75902873359257</c:v>
                </c:pt>
                <c:pt idx="49">
                  <c:v>494.40161400025454</c:v>
                </c:pt>
                <c:pt idx="50">
                  <c:v>490.47421409229554</c:v>
                </c:pt>
                <c:pt idx="51">
                  <c:v>485.6345764322831</c:v>
                </c:pt>
                <c:pt idx="52">
                  <c:v>479.84345834734796</c:v>
                </c:pt>
                <c:pt idx="53">
                  <c:v>473.06323845923811</c:v>
                </c:pt>
                <c:pt idx="54">
                  <c:v>465.25768360918022</c:v>
                </c:pt>
                <c:pt idx="55">
                  <c:v>456.14817405395286</c:v>
                </c:pt>
                <c:pt idx="56">
                  <c:v>445.53540062010222</c:v>
                </c:pt>
                <c:pt idx="57">
                  <c:v>433.77562588486637</c:v>
                </c:pt>
                <c:pt idx="58">
                  <c:v>420.83439712231802</c:v>
                </c:pt>
                <c:pt idx="59">
                  <c:v>406.67729657048909</c:v>
                </c:pt>
                <c:pt idx="60">
                  <c:v>391.26957792807929</c:v>
                </c:pt>
                <c:pt idx="61">
                  <c:v>374.57576617723657</c:v>
                </c:pt>
                <c:pt idx="62">
                  <c:v>356.55920588994076</c:v>
                </c:pt>
                <c:pt idx="63">
                  <c:v>337.18153746375589</c:v>
                </c:pt>
                <c:pt idx="64">
                  <c:v>316.40207247059817</c:v>
                </c:pt>
                <c:pt idx="65">
                  <c:v>294.17702670970579</c:v>
                </c:pt>
                <c:pt idx="66">
                  <c:v>270.35870917742682</c:v>
                </c:pt>
                <c:pt idx="67">
                  <c:v>244.90979703179258</c:v>
                </c:pt>
                <c:pt idx="68">
                  <c:v>217.84649238857105</c:v>
                </c:pt>
                <c:pt idx="69">
                  <c:v>189.09791022660318</c:v>
                </c:pt>
                <c:pt idx="70">
                  <c:v>158.57999676091404</c:v>
                </c:pt>
                <c:pt idx="71">
                  <c:v>126.19757317210653</c:v>
                </c:pt>
                <c:pt idx="72">
                  <c:v>91.693051989329348</c:v>
                </c:pt>
                <c:pt idx="73">
                  <c:v>55.074034091060177</c:v>
                </c:pt>
                <c:pt idx="74">
                  <c:v>25.113001935167443</c:v>
                </c:pt>
                <c:pt idx="75">
                  <c:v>1.1778846152424192E-2</c:v>
                </c:pt>
              </c:numCache>
            </c:numRef>
          </c:xVal>
          <c:yVal>
            <c:numRef>
              <c:f>circle_section!$BJ$2:$BJ$102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-276.46933333333334</c:v>
                </c:pt>
                <c:pt idx="2">
                  <c:v>-264.94977777777774</c:v>
                </c:pt>
                <c:pt idx="3">
                  <c:v>-253.43022222222217</c:v>
                </c:pt>
                <c:pt idx="4">
                  <c:v>-241.9106666666666</c:v>
                </c:pt>
                <c:pt idx="5">
                  <c:v>-230.39111111111106</c:v>
                </c:pt>
                <c:pt idx="6">
                  <c:v>-218.87155555555549</c:v>
                </c:pt>
                <c:pt idx="7">
                  <c:v>-207.35199999999992</c:v>
                </c:pt>
                <c:pt idx="8">
                  <c:v>-195.83244444444435</c:v>
                </c:pt>
                <c:pt idx="9">
                  <c:v>-184.31288888888878</c:v>
                </c:pt>
                <c:pt idx="10">
                  <c:v>-172.79333333333321</c:v>
                </c:pt>
                <c:pt idx="11">
                  <c:v>-161.27377777777764</c:v>
                </c:pt>
                <c:pt idx="12">
                  <c:v>-149.75422222222207</c:v>
                </c:pt>
                <c:pt idx="13">
                  <c:v>-138.23466666666653</c:v>
                </c:pt>
                <c:pt idx="14">
                  <c:v>-126.71511111111099</c:v>
                </c:pt>
                <c:pt idx="15">
                  <c:v>-115.19555555555543</c:v>
                </c:pt>
                <c:pt idx="16">
                  <c:v>-103.67599999999987</c:v>
                </c:pt>
                <c:pt idx="17">
                  <c:v>-92.156444444444332</c:v>
                </c:pt>
                <c:pt idx="18">
                  <c:v>-80.636888888888777</c:v>
                </c:pt>
                <c:pt idx="19">
                  <c:v>-69.117333333333221</c:v>
                </c:pt>
                <c:pt idx="20">
                  <c:v>-57.597777777777672</c:v>
                </c:pt>
                <c:pt idx="21">
                  <c:v>-46.078222222222124</c:v>
                </c:pt>
                <c:pt idx="22">
                  <c:v>-34.558666666666568</c:v>
                </c:pt>
                <c:pt idx="23">
                  <c:v>-23.039111111111016</c:v>
                </c:pt>
                <c:pt idx="24">
                  <c:v>-11.51955555555546</c:v>
                </c:pt>
                <c:pt idx="25">
                  <c:v>0</c:v>
                </c:pt>
                <c:pt idx="26">
                  <c:v>31.636790168844879</c:v>
                </c:pt>
                <c:pt idx="27">
                  <c:v>63.273580337689758</c:v>
                </c:pt>
                <c:pt idx="28">
                  <c:v>94.910370506534633</c:v>
                </c:pt>
                <c:pt idx="29">
                  <c:v>126.54716067537952</c:v>
                </c:pt>
                <c:pt idx="30">
                  <c:v>158.1839508442244</c:v>
                </c:pt>
                <c:pt idx="31">
                  <c:v>189.82074101306927</c:v>
                </c:pt>
                <c:pt idx="32">
                  <c:v>221.45753118191413</c:v>
                </c:pt>
                <c:pt idx="33">
                  <c:v>253.094321350759</c:v>
                </c:pt>
                <c:pt idx="34">
                  <c:v>284.73111151960387</c:v>
                </c:pt>
                <c:pt idx="35">
                  <c:v>321.08870847853166</c:v>
                </c:pt>
                <c:pt idx="36">
                  <c:v>367.7295915897447</c:v>
                </c:pt>
                <c:pt idx="37">
                  <c:v>418.04223135257286</c:v>
                </c:pt>
                <c:pt idx="38">
                  <c:v>472.75111954712639</c:v>
                </c:pt>
                <c:pt idx="39">
                  <c:v>531.57645626113663</c:v>
                </c:pt>
                <c:pt idx="40">
                  <c:v>594.61432798057581</c:v>
                </c:pt>
                <c:pt idx="41">
                  <c:v>656.19799605524622</c:v>
                </c:pt>
                <c:pt idx="42">
                  <c:v>721.37499653644079</c:v>
                </c:pt>
                <c:pt idx="43">
                  <c:v>788.48615497736455</c:v>
                </c:pt>
                <c:pt idx="44">
                  <c:v>832.290941364996</c:v>
                </c:pt>
                <c:pt idx="45">
                  <c:v>876.09572775262745</c:v>
                </c:pt>
                <c:pt idx="46">
                  <c:v>919.90051414025891</c:v>
                </c:pt>
                <c:pt idx="47">
                  <c:v>963.70530052789036</c:v>
                </c:pt>
                <c:pt idx="48">
                  <c:v>1007.5100869155218</c:v>
                </c:pt>
                <c:pt idx="49">
                  <c:v>1051.3148733031533</c:v>
                </c:pt>
                <c:pt idx="50">
                  <c:v>1095.1196596907846</c:v>
                </c:pt>
                <c:pt idx="51">
                  <c:v>1138.9244460784162</c:v>
                </c:pt>
                <c:pt idx="52">
                  <c:v>1182.7292324660475</c:v>
                </c:pt>
                <c:pt idx="53">
                  <c:v>1226.5340188536791</c:v>
                </c:pt>
                <c:pt idx="54">
                  <c:v>1270.3388052413104</c:v>
                </c:pt>
                <c:pt idx="55">
                  <c:v>1314.1435916289417</c:v>
                </c:pt>
                <c:pt idx="56">
                  <c:v>1357.9483780165733</c:v>
                </c:pt>
                <c:pt idx="57">
                  <c:v>1401.7531644042047</c:v>
                </c:pt>
                <c:pt idx="58">
                  <c:v>1445.5579507918362</c:v>
                </c:pt>
                <c:pt idx="59">
                  <c:v>1489.3627371794676</c:v>
                </c:pt>
                <c:pt idx="60">
                  <c:v>1533.1675235670991</c:v>
                </c:pt>
                <c:pt idx="61">
                  <c:v>1576.9723099547305</c:v>
                </c:pt>
                <c:pt idx="62">
                  <c:v>1620.777096342362</c:v>
                </c:pt>
                <c:pt idx="63">
                  <c:v>1664.5818827299934</c:v>
                </c:pt>
                <c:pt idx="64">
                  <c:v>1708.3866691176249</c:v>
                </c:pt>
                <c:pt idx="65">
                  <c:v>1752.1914555052563</c:v>
                </c:pt>
                <c:pt idx="66">
                  <c:v>1795.9962418928876</c:v>
                </c:pt>
                <c:pt idx="67">
                  <c:v>1839.8010282805192</c:v>
                </c:pt>
                <c:pt idx="68">
                  <c:v>1883.6058146681505</c:v>
                </c:pt>
                <c:pt idx="69">
                  <c:v>1927.4106010557821</c:v>
                </c:pt>
                <c:pt idx="70">
                  <c:v>1971.2153874434134</c:v>
                </c:pt>
                <c:pt idx="71">
                  <c:v>2015.020173831045</c:v>
                </c:pt>
                <c:pt idx="72">
                  <c:v>2058.8249602186766</c:v>
                </c:pt>
                <c:pt idx="73">
                  <c:v>2102.6297466063079</c:v>
                </c:pt>
                <c:pt idx="74">
                  <c:v>2146.4345329939392</c:v>
                </c:pt>
                <c:pt idx="75">
                  <c:v>2190.2393193815706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940-444F-AC6A-F5609F267C14}"/>
            </c:ext>
          </c:extLst>
        </c:ser>
        <c:ser>
          <c:idx val="4"/>
          <c:order val="4"/>
          <c:tx>
            <c:v>min_e_line (PCA)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157.3244963835173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1138.9324460784158</c:v>
                </c:pt>
                <c:pt idx="1">
                  <c:v>1138.9324460784158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40-444F-AC6A-F5609F267C14}"/>
            </c:ext>
          </c:extLst>
        </c:ser>
        <c:ser>
          <c:idx val="7"/>
          <c:order val="5"/>
          <c:tx>
            <c:v>min_e_line (Whitney)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circle_section!$BI$104:$BI$105</c:f>
              <c:numCache>
                <c:formatCode>General</c:formatCode>
                <c:ptCount val="2"/>
                <c:pt idx="0">
                  <c:v>191.21087355477928</c:v>
                </c:pt>
                <c:pt idx="1">
                  <c:v>0</c:v>
                </c:pt>
              </c:numCache>
            </c:numRef>
          </c:xVal>
          <c:yVal>
            <c:numRef>
              <c:f>circle_section!$BF$104:$BF$105</c:f>
              <c:numCache>
                <c:formatCode>General</c:formatCode>
                <c:ptCount val="2"/>
                <c:pt idx="0">
                  <c:v>1138.9324460784158</c:v>
                </c:pt>
                <c:pt idx="1">
                  <c:v>1138.9324460784158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940-444F-AC6A-F5609F267C14}"/>
            </c:ext>
          </c:extLst>
        </c:ser>
        <c:ser>
          <c:idx val="2"/>
          <c:order val="6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40-444F-AC6A-F5609F267C14}"/>
            </c:ext>
          </c:extLst>
        </c:ser>
        <c:ser>
          <c:idx val="3"/>
          <c:order val="7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257.76911217243531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99.999999994182346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40-444F-AC6A-F5609F267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8AE43E7-1050-46C2-A0D8-7D55B6783A61}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8DE4CE-2F35-4E62-B1E3-69E698A57B9F}">
  <sheetPr codeName="Chart2"/>
  <sheetViews>
    <sheetView zoomScale="12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333375</xdr:colOff>
      <xdr:row>0</xdr:row>
      <xdr:rowOff>66675</xdr:rowOff>
    </xdr:from>
    <xdr:to>
      <xdr:col>23</xdr:col>
      <xdr:colOff>333375</xdr:colOff>
      <xdr:row>28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4</xdr:row>
          <xdr:rowOff>38100</xdr:rowOff>
        </xdr:from>
        <xdr:to>
          <xdr:col>6</xdr:col>
          <xdr:colOff>581025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Bisection Method to solve for Neutral Axis Angle and depth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31750</xdr:colOff>
      <xdr:row>4</xdr:row>
      <xdr:rowOff>63500</xdr:rowOff>
    </xdr:from>
    <xdr:to>
      <xdr:col>32</xdr:col>
      <xdr:colOff>514350</xdr:colOff>
      <xdr:row>32</xdr:row>
      <xdr:rowOff>158750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0</xdr:row>
          <xdr:rowOff>85725</xdr:rowOff>
        </xdr:from>
        <xdr:to>
          <xdr:col>30</xdr:col>
          <xdr:colOff>533400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123825</xdr:colOff>
          <xdr:row>0</xdr:row>
          <xdr:rowOff>85725</xdr:rowOff>
        </xdr:from>
        <xdr:to>
          <xdr:col>33</xdr:col>
          <xdr:colOff>523875</xdr:colOff>
          <xdr:row>2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P v 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(Long Run Time)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680-CE7C-4E32-80BC-C61CEBC228BE}">
  <sheetPr codeName="Sheet1"/>
  <dimension ref="A1:CX362"/>
  <sheetViews>
    <sheetView tabSelected="1" zoomScale="75" zoomScaleNormal="75" workbookViewId="0">
      <selection activeCell="AA2" sqref="AA2"/>
    </sheetView>
  </sheetViews>
  <sheetFormatPr defaultColWidth="8.85546875" defaultRowHeight="15" x14ac:dyDescent="0.25"/>
  <cols>
    <col min="1" max="1" width="12" bestFit="1" customWidth="1"/>
    <col min="2" max="2" width="14.140625" customWidth="1"/>
    <col min="5" max="5" width="15.42578125" customWidth="1"/>
    <col min="6" max="6" width="11.7109375" customWidth="1"/>
    <col min="7" max="7" width="12.28515625" customWidth="1"/>
    <col min="9" max="9" width="13.28515625" bestFit="1" customWidth="1"/>
    <col min="10" max="10" width="12" bestFit="1" customWidth="1"/>
    <col min="12" max="12" width="13.85546875" customWidth="1"/>
    <col min="13" max="13" width="14.85546875" bestFit="1" customWidth="1"/>
    <col min="14" max="14" width="9" bestFit="1" customWidth="1"/>
    <col min="15" max="15" width="14.7109375" bestFit="1" customWidth="1"/>
    <col min="16" max="17" width="9" bestFit="1" customWidth="1"/>
    <col min="18" max="18" width="10.85546875" bestFit="1" customWidth="1"/>
    <col min="19" max="21" width="9" bestFit="1" customWidth="1"/>
    <col min="22" max="22" width="11.42578125" customWidth="1"/>
    <col min="23" max="24" width="9" bestFit="1" customWidth="1"/>
    <col min="25" max="25" width="13.85546875" bestFit="1" customWidth="1"/>
    <col min="26" max="26" width="11" bestFit="1" customWidth="1"/>
    <col min="27" max="27" width="9" bestFit="1" customWidth="1"/>
    <col min="28" max="28" width="10.85546875" bestFit="1" customWidth="1"/>
    <col min="29" max="30" width="9" bestFit="1" customWidth="1"/>
    <col min="31" max="31" width="10.7109375" bestFit="1" customWidth="1"/>
    <col min="32" max="33" width="9" bestFit="1" customWidth="1"/>
    <col min="81" max="81" width="11" customWidth="1"/>
    <col min="84" max="84" width="11" bestFit="1" customWidth="1"/>
    <col min="85" max="86" width="12" bestFit="1" customWidth="1"/>
    <col min="89" max="89" width="10" bestFit="1" customWidth="1"/>
    <col min="104" max="104" width="12" bestFit="1" customWidth="1"/>
  </cols>
  <sheetData>
    <row r="1" spans="1:102" ht="15.75" thickBot="1" x14ac:dyDescent="0.3">
      <c r="A1" s="2" t="s">
        <v>143</v>
      </c>
      <c r="B1" s="5" t="s">
        <v>144</v>
      </c>
      <c r="E1" s="2" t="s">
        <v>70</v>
      </c>
      <c r="F1" s="34">
        <v>1E-10</v>
      </c>
      <c r="L1" s="1">
        <v>0</v>
      </c>
      <c r="Z1" s="2" t="s">
        <v>83</v>
      </c>
      <c r="AA1" s="1">
        <v>1.65</v>
      </c>
      <c r="AB1" t="s">
        <v>84</v>
      </c>
      <c r="AI1">
        <v>100</v>
      </c>
      <c r="AJ1" t="s">
        <v>82</v>
      </c>
      <c r="AK1" s="1" t="s">
        <v>56</v>
      </c>
      <c r="AL1" s="1" t="s">
        <v>57</v>
      </c>
      <c r="AM1" s="1" t="s">
        <v>80</v>
      </c>
      <c r="AN1" s="1" t="s">
        <v>81</v>
      </c>
      <c r="AR1" t="s">
        <v>13</v>
      </c>
      <c r="AS1" t="s">
        <v>14</v>
      </c>
      <c r="AV1" s="1" t="s">
        <v>21</v>
      </c>
      <c r="AW1" s="1" t="s">
        <v>56</v>
      </c>
      <c r="AX1" s="1" t="s">
        <v>57</v>
      </c>
      <c r="AY1" s="1" t="s">
        <v>137</v>
      </c>
      <c r="AZ1" s="1" t="s">
        <v>139</v>
      </c>
      <c r="BA1" s="1" t="s">
        <v>135</v>
      </c>
      <c r="BB1" s="1" t="s">
        <v>136</v>
      </c>
      <c r="BC1" s="1" t="s">
        <v>138</v>
      </c>
      <c r="BF1" s="1" t="s">
        <v>21</v>
      </c>
      <c r="BG1" s="1" t="s">
        <v>56</v>
      </c>
      <c r="BH1" s="1" t="s">
        <v>57</v>
      </c>
      <c r="BI1" s="1" t="s">
        <v>137</v>
      </c>
      <c r="BJ1" s="1" t="s">
        <v>139</v>
      </c>
      <c r="BK1" s="1" t="s">
        <v>135</v>
      </c>
      <c r="BL1" s="1" t="s">
        <v>136</v>
      </c>
      <c r="BM1" s="1" t="s">
        <v>138</v>
      </c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E1" s="1"/>
      <c r="CI1" s="1"/>
    </row>
    <row r="2" spans="1:102" x14ac:dyDescent="0.25">
      <c r="A2" t="s">
        <v>129</v>
      </c>
      <c r="B2" s="5" t="s">
        <v>145</v>
      </c>
      <c r="E2" s="2" t="s">
        <v>71</v>
      </c>
      <c r="F2" s="8">
        <v>75</v>
      </c>
      <c r="G2">
        <v>107</v>
      </c>
      <c r="H2">
        <v>2</v>
      </c>
      <c r="I2" s="16" t="s">
        <v>61</v>
      </c>
      <c r="J2" s="17">
        <f ca="1">IF(ABS(L109)&lt;0.002,IF(B1="Spiral",0.75,0.65),IF(ABS(L109)&gt;0.005,0.9,IF(B1="Spiral",0.75+((ABS(L109)-0.002)*(50)),0.65+((ABS(L109)-0.002)*(250/3)))))</f>
        <v>0.9</v>
      </c>
      <c r="K2" s="18"/>
      <c r="L2" s="19" t="s">
        <v>62</v>
      </c>
      <c r="Z2" t="s">
        <v>79</v>
      </c>
      <c r="AA2" s="5">
        <v>36</v>
      </c>
      <c r="AJ2">
        <v>0</v>
      </c>
      <c r="AK2">
        <v>257.76911217243531</v>
      </c>
      <c r="AL2">
        <v>1.0658141036401503E-14</v>
      </c>
      <c r="AM2">
        <v>286.41012463603926</v>
      </c>
      <c r="AN2">
        <v>1.1842378929335002E-14</v>
      </c>
      <c r="AQ2">
        <v>0</v>
      </c>
      <c r="AR2">
        <f>$B$3*COS(RADIANS(AQ2))</f>
        <v>12</v>
      </c>
      <c r="AS2">
        <f>$B$3*SIN(RADIANS(AQ2))</f>
        <v>0</v>
      </c>
      <c r="AV2">
        <v>-259.19</v>
      </c>
      <c r="AW2">
        <v>6.3954970248922231E-15</v>
      </c>
      <c r="AX2">
        <v>9.9972056262766004E-3</v>
      </c>
      <c r="AY2">
        <f t="shared" ref="AY2:AY65" si="0">SQRT(POWER(AW2,2)+POWER(AX2,2))</f>
        <v>9.9972056262766004E-3</v>
      </c>
      <c r="AZ2">
        <v>-287.98888888888888</v>
      </c>
      <c r="BA2">
        <v>7.1061078054358033E-15</v>
      </c>
      <c r="BB2">
        <v>1.1108006251418445E-2</v>
      </c>
      <c r="BC2">
        <f t="shared" ref="BC2:BC65" si="1">SQRT(POWER(BA2,2)+POWER(BB2,2))</f>
        <v>1.1108006251418445E-2</v>
      </c>
      <c r="BF2">
        <v>-259.19</v>
      </c>
      <c r="BG2">
        <v>7.0691475880952535E-3</v>
      </c>
      <c r="BH2">
        <v>7.0691475880801779E-3</v>
      </c>
      <c r="BI2">
        <f>SQRT(POWER(BG2,2)+POWER(BH2,2))</f>
        <v>9.9972843934907005E-3</v>
      </c>
      <c r="BJ2">
        <v>-287.98888888888888</v>
      </c>
      <c r="BK2">
        <v>7.8546084312169483E-3</v>
      </c>
      <c r="BL2">
        <v>7.8546084312001978E-3</v>
      </c>
      <c r="BM2">
        <f>SQRT(POWER(BK2,2)+POWER(BL2,2))</f>
        <v>1.1108093770545224E-2</v>
      </c>
    </row>
    <row r="3" spans="1:102" x14ac:dyDescent="0.25">
      <c r="A3" s="2" t="s">
        <v>12</v>
      </c>
      <c r="B3" s="8">
        <v>12</v>
      </c>
      <c r="C3" t="s">
        <v>0</v>
      </c>
      <c r="E3" s="2" t="s">
        <v>87</v>
      </c>
      <c r="F3" s="8">
        <v>0</v>
      </c>
      <c r="I3" s="20" t="s">
        <v>63</v>
      </c>
      <c r="J3" s="7">
        <f ca="1">J2*IF(B2="Whitney",B112,L153)</f>
        <v>99.999999994182346</v>
      </c>
      <c r="K3" s="21" t="s">
        <v>22</v>
      </c>
      <c r="L3" s="22">
        <f ca="1">J3-J9</f>
        <v>-5.8176539141641115E-9</v>
      </c>
      <c r="AJ3">
        <v>0.17453292519943295</v>
      </c>
      <c r="AK3">
        <v>253.26704638661028</v>
      </c>
      <c r="AL3">
        <v>49.789216935426616</v>
      </c>
      <c r="AM3">
        <v>281.40782931845587</v>
      </c>
      <c r="AN3">
        <v>55.321352150474013</v>
      </c>
      <c r="AQ3">
        <v>1</v>
      </c>
      <c r="AR3">
        <f t="shared" ref="AR3:AR66" si="2">$B$3*COS(RADIANS(AQ3))</f>
        <v>11.998172341876696</v>
      </c>
      <c r="AS3">
        <f t="shared" ref="AS3:AS66" si="3">$B$3*SIN(RADIANS(AQ3))</f>
        <v>0.20942887724740214</v>
      </c>
      <c r="AV3">
        <v>-248.82239999999999</v>
      </c>
      <c r="AW3">
        <v>1.7888405338884707E-11</v>
      </c>
      <c r="AX3">
        <v>10.072602111290921</v>
      </c>
      <c r="AY3">
        <f t="shared" si="0"/>
        <v>10.072602111290921</v>
      </c>
      <c r="AZ3">
        <v>-276.46933333333334</v>
      </c>
      <c r="BA3">
        <v>1.9876005932094118E-11</v>
      </c>
      <c r="BB3">
        <v>11.19178012365658</v>
      </c>
      <c r="BC3">
        <f t="shared" si="1"/>
        <v>11.19178012365658</v>
      </c>
      <c r="BF3">
        <v>-248.82239999999999</v>
      </c>
      <c r="BG3">
        <v>7.1331348575748894</v>
      </c>
      <c r="BH3">
        <v>7.1331348575748734</v>
      </c>
      <c r="BI3">
        <f t="shared" ref="BI3:BI66" si="4">SQRT(POWER(BG3,2)+POWER(BH3,2))</f>
        <v>10.087776057818672</v>
      </c>
      <c r="BJ3">
        <v>-276.46933333333334</v>
      </c>
      <c r="BK3">
        <v>7.9257053973054328</v>
      </c>
      <c r="BL3">
        <v>7.925705397305415</v>
      </c>
      <c r="BM3">
        <f t="shared" ref="BM3:BM66" si="5">SQRT(POWER(BK3,2)+POWER(BL3,2))</f>
        <v>11.208640064242971</v>
      </c>
    </row>
    <row r="4" spans="1:102" x14ac:dyDescent="0.25">
      <c r="A4" s="2" t="s">
        <v>5</v>
      </c>
      <c r="B4" s="5" t="s">
        <v>146</v>
      </c>
      <c r="I4" s="20" t="s">
        <v>64</v>
      </c>
      <c r="J4" s="7">
        <f ca="1">J2*IF(B2="Whitney",(B116/12),(O153/12))</f>
        <v>2.2185156096902196E-14</v>
      </c>
      <c r="K4" s="21" t="s">
        <v>65</v>
      </c>
      <c r="L4" s="23">
        <f ca="1">IF(J10=0,J4,"")</f>
        <v>2.2185156096902196E-14</v>
      </c>
      <c r="AF4" s="2" t="s">
        <v>147</v>
      </c>
      <c r="AG4" s="1">
        <v>12.29</v>
      </c>
      <c r="AH4" t="s">
        <v>84</v>
      </c>
      <c r="AJ4">
        <v>0.3490658503988659</v>
      </c>
      <c r="AK4">
        <v>240.00100585857464</v>
      </c>
      <c r="AL4">
        <v>88.822382813142596</v>
      </c>
      <c r="AM4">
        <v>266.66778428730515</v>
      </c>
      <c r="AN4">
        <v>98.691536459047327</v>
      </c>
      <c r="AQ4">
        <v>2</v>
      </c>
      <c r="AR4">
        <f t="shared" si="2"/>
        <v>11.992689924229149</v>
      </c>
      <c r="AS4">
        <f t="shared" si="3"/>
        <v>0.4187939604300116</v>
      </c>
      <c r="AV4">
        <v>-238.45479999999998</v>
      </c>
      <c r="AW4">
        <v>-4.4627420594606194E-12</v>
      </c>
      <c r="AX4">
        <v>19.775792345548606</v>
      </c>
      <c r="AY4">
        <f t="shared" si="0"/>
        <v>19.775792345548606</v>
      </c>
      <c r="AZ4">
        <v>-264.94977777777774</v>
      </c>
      <c r="BA4">
        <v>-4.9586022882895766E-12</v>
      </c>
      <c r="BB4">
        <v>21.973102606165117</v>
      </c>
      <c r="BC4">
        <f t="shared" si="1"/>
        <v>21.973102606165117</v>
      </c>
      <c r="BF4">
        <v>-238.45479999999998</v>
      </c>
      <c r="BG4">
        <v>14.017662997499963</v>
      </c>
      <c r="BH4">
        <v>14.017662997499944</v>
      </c>
      <c r="BI4">
        <f t="shared" si="4"/>
        <v>19.823969123839927</v>
      </c>
      <c r="BJ4">
        <v>-264.94977777777774</v>
      </c>
      <c r="BK4">
        <v>15.575181108333291</v>
      </c>
      <c r="BL4">
        <v>15.57518110833327</v>
      </c>
      <c r="BM4">
        <f t="shared" si="5"/>
        <v>22.026632359822141</v>
      </c>
    </row>
    <row r="5" spans="1:102" x14ac:dyDescent="0.25">
      <c r="A5" s="2" t="s">
        <v>1</v>
      </c>
      <c r="B5" s="3">
        <v>5</v>
      </c>
      <c r="C5" t="s">
        <v>2</v>
      </c>
      <c r="I5" s="20" t="s">
        <v>66</v>
      </c>
      <c r="J5" s="7">
        <f ca="1">J2*IF(B2="Whitney",(B117/12),(R153/12))</f>
        <v>257.76911217243531</v>
      </c>
      <c r="K5" s="21" t="s">
        <v>65</v>
      </c>
      <c r="L5" s="23" t="str">
        <f>IF(J11=0,J5,"")</f>
        <v/>
      </c>
      <c r="AJ5">
        <v>0.52359877559829882</v>
      </c>
      <c r="AK5">
        <v>224.51855011374468</v>
      </c>
      <c r="AL5">
        <v>124.94153145834994</v>
      </c>
      <c r="AM5">
        <v>249.46505568193854</v>
      </c>
      <c r="AN5">
        <v>138.82392384261104</v>
      </c>
      <c r="AQ5">
        <v>3</v>
      </c>
      <c r="AR5">
        <f t="shared" si="2"/>
        <v>11.983554417054886</v>
      </c>
      <c r="AS5">
        <f t="shared" si="3"/>
        <v>0.62803147491532596</v>
      </c>
      <c r="AV5">
        <v>-228.08719999999997</v>
      </c>
      <c r="AW5">
        <v>-2.2269902865539737E-12</v>
      </c>
      <c r="AX5">
        <v>29.204753010396757</v>
      </c>
      <c r="AY5">
        <f t="shared" si="0"/>
        <v>29.204753010396757</v>
      </c>
      <c r="AZ5">
        <v>-253.43022222222217</v>
      </c>
      <c r="BA5">
        <v>-2.4744336517266374E-12</v>
      </c>
      <c r="BB5">
        <v>32.449725567107507</v>
      </c>
      <c r="BC5">
        <f t="shared" si="1"/>
        <v>32.449725567107507</v>
      </c>
      <c r="BF5">
        <v>-228.08719999999997</v>
      </c>
      <c r="BG5">
        <v>20.717867305281619</v>
      </c>
      <c r="BH5">
        <v>20.717867305281601</v>
      </c>
      <c r="BI5">
        <f t="shared" si="4"/>
        <v>29.299488926575378</v>
      </c>
      <c r="BJ5">
        <v>-253.43022222222217</v>
      </c>
      <c r="BK5">
        <v>23.01985256142402</v>
      </c>
      <c r="BL5">
        <v>23.019852561423999</v>
      </c>
      <c r="BM5">
        <f t="shared" si="5"/>
        <v>32.554987696194864</v>
      </c>
    </row>
    <row r="6" spans="1:102" ht="15.75" thickBot="1" x14ac:dyDescent="0.3">
      <c r="A6" s="2" t="s">
        <v>141</v>
      </c>
      <c r="B6" s="8">
        <v>145</v>
      </c>
      <c r="C6" t="s">
        <v>142</v>
      </c>
      <c r="I6" s="24" t="s">
        <v>67</v>
      </c>
      <c r="J6" s="25">
        <f ca="1">IF(AND(J4=0,J5=0),0,MOD(ATAN2(J4,J5),2*PI()))</f>
        <v>1.5707963267948966</v>
      </c>
      <c r="K6" s="26" t="s">
        <v>17</v>
      </c>
      <c r="L6" s="27">
        <f ca="1">IF((J12-J6)=0,0,ATAN2(COS(J12-J6),SIN(J12-J6)))</f>
        <v>0</v>
      </c>
      <c r="AJ6">
        <v>0.69813170079773179</v>
      </c>
      <c r="AK6">
        <v>198.95114953340303</v>
      </c>
      <c r="AL6">
        <v>164.05564102191724</v>
      </c>
      <c r="AM6">
        <v>221.05683281489223</v>
      </c>
      <c r="AN6">
        <v>182.28404557990805</v>
      </c>
      <c r="AQ6">
        <v>4</v>
      </c>
      <c r="AR6">
        <f t="shared" si="2"/>
        <v>11.970768603117889</v>
      </c>
      <c r="AS6">
        <f t="shared" si="3"/>
        <v>0.83707768492950363</v>
      </c>
      <c r="AV6">
        <v>-217.71959999999996</v>
      </c>
      <c r="AW6">
        <v>8.7251168761916634E-15</v>
      </c>
      <c r="AX6">
        <v>38.039998255143146</v>
      </c>
      <c r="AY6">
        <f t="shared" si="0"/>
        <v>38.039998255143146</v>
      </c>
      <c r="AZ6">
        <v>-241.9106666666666</v>
      </c>
      <c r="BA6">
        <v>9.6945743068796253E-15</v>
      </c>
      <c r="BB6">
        <v>42.266664727936828</v>
      </c>
      <c r="BC6">
        <f t="shared" si="1"/>
        <v>42.266664727936828</v>
      </c>
      <c r="BF6">
        <v>-217.71959999999996</v>
      </c>
      <c r="BG6">
        <v>27.076749736938876</v>
      </c>
      <c r="BH6">
        <v>27.076749736938858</v>
      </c>
      <c r="BI6">
        <f t="shared" si="4"/>
        <v>38.292306702961078</v>
      </c>
      <c r="BJ6">
        <v>-241.9106666666666</v>
      </c>
      <c r="BK6">
        <v>30.085277485487637</v>
      </c>
      <c r="BL6">
        <v>30.085277485487619</v>
      </c>
      <c r="BM6">
        <f t="shared" si="5"/>
        <v>42.547007447734529</v>
      </c>
    </row>
    <row r="7" spans="1:102" ht="15.75" thickBot="1" x14ac:dyDescent="0.3">
      <c r="A7" s="2" t="s">
        <v>3</v>
      </c>
      <c r="B7" s="4">
        <f>IF(B4="Density",(POWER(B6,1.5)*33*SQRT(1000*B5))/1000,(57000*SQRT(1000*B5))/1000)</f>
        <v>4074.2806880478911</v>
      </c>
      <c r="C7" t="s">
        <v>2</v>
      </c>
      <c r="I7" s="20" t="s">
        <v>68</v>
      </c>
      <c r="J7" s="7">
        <f ca="1">SQRT(POWER(J4,2)+POWER(J5,2))</f>
        <v>257.76911217243531</v>
      </c>
      <c r="K7" s="21" t="s">
        <v>65</v>
      </c>
      <c r="L7" s="28"/>
      <c r="AJ7">
        <v>0.87266462599716477</v>
      </c>
      <c r="AK7">
        <v>164.05564102191747</v>
      </c>
      <c r="AL7">
        <v>198.95114953340288</v>
      </c>
      <c r="AM7">
        <v>182.28404557990828</v>
      </c>
      <c r="AN7">
        <v>221.05683281489209</v>
      </c>
      <c r="AQ7">
        <v>5</v>
      </c>
      <c r="AR7">
        <f t="shared" si="2"/>
        <v>11.954336377100947</v>
      </c>
      <c r="AS7">
        <f t="shared" si="3"/>
        <v>1.0458689129718981</v>
      </c>
      <c r="AV7">
        <v>-207.35199999999995</v>
      </c>
      <c r="AW7">
        <v>-2.2259308844172135E-12</v>
      </c>
      <c r="AX7">
        <v>46.499018574954846</v>
      </c>
      <c r="AY7">
        <f t="shared" si="0"/>
        <v>46.499018574954846</v>
      </c>
      <c r="AZ7">
        <v>-230.39111111111106</v>
      </c>
      <c r="BA7">
        <v>-2.4732565382413484E-12</v>
      </c>
      <c r="BB7">
        <v>51.665576194394269</v>
      </c>
      <c r="BC7">
        <f t="shared" si="1"/>
        <v>51.665576194394269</v>
      </c>
      <c r="BF7">
        <v>-207.35199999999995</v>
      </c>
      <c r="BG7">
        <v>33.074310127860045</v>
      </c>
      <c r="BH7">
        <v>33.074310127860024</v>
      </c>
      <c r="BI7">
        <f t="shared" si="4"/>
        <v>46.774137948953474</v>
      </c>
      <c r="BJ7">
        <v>-230.39111111111106</v>
      </c>
      <c r="BK7">
        <v>36.749233475400047</v>
      </c>
      <c r="BL7">
        <v>36.749233475400025</v>
      </c>
      <c r="BM7">
        <f t="shared" si="5"/>
        <v>51.97126438772608</v>
      </c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</row>
    <row r="8" spans="1:102" x14ac:dyDescent="0.25">
      <c r="A8" s="2" t="s">
        <v>4</v>
      </c>
      <c r="B8" s="1">
        <f>IF(B5&lt;=4,0.85,IF(B5&lt;=8,0.85 - ((0.05*(B5-4))/1),0.65))</f>
        <v>0.79999999999999993</v>
      </c>
      <c r="I8" s="16" t="s">
        <v>69</v>
      </c>
      <c r="J8" s="29"/>
      <c r="K8" s="18"/>
      <c r="AJ8">
        <v>1.0471975511965976</v>
      </c>
      <c r="AK8">
        <v>124.94153145835021</v>
      </c>
      <c r="AL8">
        <v>224.51855011374451</v>
      </c>
      <c r="AM8">
        <v>138.82392384261135</v>
      </c>
      <c r="AN8">
        <v>249.46505568193834</v>
      </c>
      <c r="AQ8">
        <v>6</v>
      </c>
      <c r="AR8">
        <f t="shared" si="2"/>
        <v>11.934262744419279</v>
      </c>
      <c r="AS8">
        <f t="shared" si="3"/>
        <v>1.2543415592118417</v>
      </c>
      <c r="AV8">
        <v>-196.98439999999994</v>
      </c>
      <c r="AW8">
        <v>2.2449359001372385E-12</v>
      </c>
      <c r="AX8">
        <v>54.962097446390295</v>
      </c>
      <c r="AY8">
        <f t="shared" si="0"/>
        <v>54.962097446390295</v>
      </c>
      <c r="AZ8">
        <v>-218.87155555555549</v>
      </c>
      <c r="BA8">
        <v>2.4943732223747095E-12</v>
      </c>
      <c r="BB8">
        <v>61.068997162655883</v>
      </c>
      <c r="BC8">
        <f t="shared" si="1"/>
        <v>61.068997162655883</v>
      </c>
      <c r="BF8">
        <v>-196.98439999999994</v>
      </c>
      <c r="BG8">
        <v>39.077203158891926</v>
      </c>
      <c r="BH8">
        <v>39.077203158891926</v>
      </c>
      <c r="BI8">
        <f t="shared" si="4"/>
        <v>55.263510686913712</v>
      </c>
      <c r="BJ8">
        <v>-218.87155555555549</v>
      </c>
      <c r="BK8">
        <v>43.419114620991031</v>
      </c>
      <c r="BL8">
        <v>43.419114620991031</v>
      </c>
      <c r="BM8">
        <f t="shared" si="5"/>
        <v>61.403900763237459</v>
      </c>
    </row>
    <row r="9" spans="1:102" x14ac:dyDescent="0.25">
      <c r="A9" s="2" t="s">
        <v>6</v>
      </c>
      <c r="B9" s="1">
        <f>0.85*B5</f>
        <v>4.25</v>
      </c>
      <c r="C9" t="s">
        <v>2</v>
      </c>
      <c r="I9" s="20" t="s">
        <v>21</v>
      </c>
      <c r="J9" s="30">
        <v>100</v>
      </c>
      <c r="K9" s="21" t="s">
        <v>22</v>
      </c>
      <c r="L9" s="28" t="str">
        <f>"+ Compression"</f>
        <v>+ Compression</v>
      </c>
      <c r="AJ9">
        <v>1.2217304763960306</v>
      </c>
      <c r="AK9">
        <v>88.82238281314315</v>
      </c>
      <c r="AL9">
        <v>240.00100585857444</v>
      </c>
      <c r="AM9">
        <v>98.691536459047938</v>
      </c>
      <c r="AN9">
        <v>266.66778428730493</v>
      </c>
      <c r="AQ9">
        <v>7</v>
      </c>
      <c r="AR9">
        <f t="shared" si="2"/>
        <v>11.910553819695863</v>
      </c>
      <c r="AS9">
        <f t="shared" si="3"/>
        <v>1.4624321208617697</v>
      </c>
      <c r="AV9">
        <v>-186.61679999999993</v>
      </c>
      <c r="AW9">
        <v>1.1278666397745661E-12</v>
      </c>
      <c r="AX9">
        <v>63.415426899278451</v>
      </c>
      <c r="AY9">
        <f t="shared" si="0"/>
        <v>63.415426899278451</v>
      </c>
      <c r="AZ9">
        <v>-207.35199999999992</v>
      </c>
      <c r="BA9">
        <v>1.2531851553050734E-12</v>
      </c>
      <c r="BB9">
        <v>70.461585443642718</v>
      </c>
      <c r="BC9">
        <f t="shared" si="1"/>
        <v>70.461585443642718</v>
      </c>
      <c r="BF9">
        <v>-186.61679999999993</v>
      </c>
      <c r="BG9">
        <v>45.076251390115296</v>
      </c>
      <c r="BH9">
        <v>45.07625139011531</v>
      </c>
      <c r="BI9">
        <f t="shared" si="4"/>
        <v>63.74744605684014</v>
      </c>
      <c r="BJ9">
        <v>-207.35199999999992</v>
      </c>
      <c r="BK9">
        <v>50.084723766794774</v>
      </c>
      <c r="BL9">
        <v>50.084723766794788</v>
      </c>
      <c r="BM9">
        <f t="shared" si="5"/>
        <v>70.830495618711268</v>
      </c>
    </row>
    <row r="10" spans="1:102" x14ac:dyDescent="0.25">
      <c r="A10" s="2" t="s">
        <v>7</v>
      </c>
      <c r="B10" s="6">
        <v>1.5707963267948966</v>
      </c>
      <c r="C10" t="s">
        <v>8</v>
      </c>
      <c r="E10" t="s">
        <v>18</v>
      </c>
      <c r="F10" s="36">
        <f>B3-B11</f>
        <v>6.0550038686364935</v>
      </c>
      <c r="I10" s="20" t="s">
        <v>56</v>
      </c>
      <c r="J10" s="30">
        <v>0</v>
      </c>
      <c r="K10" s="21" t="s">
        <v>65</v>
      </c>
      <c r="L10" s="28" t="str">
        <f>"+ Puts Top of Section in Compression"</f>
        <v>+ Puts Top of Section in Compression</v>
      </c>
      <c r="AJ10">
        <v>1.3962634015954636</v>
      </c>
      <c r="AK10">
        <v>49.789216935426253</v>
      </c>
      <c r="AL10">
        <v>253.26704638660777</v>
      </c>
      <c r="AM10">
        <v>55.321352150473615</v>
      </c>
      <c r="AN10">
        <v>281.40782931845308</v>
      </c>
      <c r="AQ10">
        <v>8</v>
      </c>
      <c r="AR10">
        <f t="shared" si="2"/>
        <v>11.883216824898845</v>
      </c>
      <c r="AS10">
        <f t="shared" si="3"/>
        <v>1.6700772115207854</v>
      </c>
      <c r="AV10">
        <v>-176.24919999999992</v>
      </c>
      <c r="AW10">
        <v>1.0795868848326199E-14</v>
      </c>
      <c r="AX10">
        <v>71.84409707823616</v>
      </c>
      <c r="AY10">
        <f t="shared" si="0"/>
        <v>71.84409707823616</v>
      </c>
      <c r="AZ10">
        <v>-195.83244444444435</v>
      </c>
      <c r="BA10">
        <v>1.1995409831473555E-14</v>
      </c>
      <c r="BB10">
        <v>79.826774531373516</v>
      </c>
      <c r="BC10">
        <f t="shared" si="1"/>
        <v>79.826774531373516</v>
      </c>
      <c r="BF10">
        <v>-176.24919999999992</v>
      </c>
      <c r="BG10">
        <v>51.061513819161249</v>
      </c>
      <c r="BH10">
        <v>51.061513819161256</v>
      </c>
      <c r="BI10">
        <f t="shared" si="4"/>
        <v>72.211885358359055</v>
      </c>
      <c r="BJ10">
        <v>-195.83244444444435</v>
      </c>
      <c r="BK10">
        <v>56.735015354623606</v>
      </c>
      <c r="BL10">
        <v>56.735015354623613</v>
      </c>
      <c r="BM10">
        <f t="shared" si="5"/>
        <v>80.235428175954496</v>
      </c>
    </row>
    <row r="11" spans="1:102" x14ac:dyDescent="0.25">
      <c r="A11" s="2" t="s">
        <v>9</v>
      </c>
      <c r="B11" s="6">
        <v>5.9449961313635065</v>
      </c>
      <c r="C11" t="s">
        <v>0</v>
      </c>
      <c r="E11" t="s">
        <v>77</v>
      </c>
      <c r="F11" s="9">
        <f>B3-B12</f>
        <v>7.2440030949091954</v>
      </c>
      <c r="G11" s="1"/>
      <c r="I11" s="20" t="s">
        <v>57</v>
      </c>
      <c r="J11" s="30">
        <v>10</v>
      </c>
      <c r="K11" s="21" t="s">
        <v>65</v>
      </c>
      <c r="L11" s="28" t="str">
        <f>"+ Puts Left of Section in Compression"</f>
        <v>+ Puts Left of Section in Compression</v>
      </c>
      <c r="AJ11">
        <v>1.5707963267948966</v>
      </c>
      <c r="AK11">
        <v>2.2185156096902196E-14</v>
      </c>
      <c r="AL11">
        <v>257.76911217243531</v>
      </c>
      <c r="AM11">
        <v>2.4650173441002438E-14</v>
      </c>
      <c r="AN11">
        <v>286.41012463603926</v>
      </c>
      <c r="AQ11">
        <v>9</v>
      </c>
      <c r="AR11">
        <f t="shared" si="2"/>
        <v>11.852260087141653</v>
      </c>
      <c r="AS11">
        <f t="shared" si="3"/>
        <v>1.8772135804827705</v>
      </c>
      <c r="AV11">
        <v>-165.88159999999991</v>
      </c>
      <c r="AW11">
        <v>-2.2238644260383535E-12</v>
      </c>
      <c r="AX11">
        <v>80.23302641018735</v>
      </c>
      <c r="AY11">
        <f t="shared" si="0"/>
        <v>80.23302641018735</v>
      </c>
      <c r="AZ11">
        <v>-184.31288888888878</v>
      </c>
      <c r="BA11">
        <v>-2.4709604733759485E-12</v>
      </c>
      <c r="BB11">
        <v>89.147807122430393</v>
      </c>
      <c r="BC11">
        <f t="shared" si="1"/>
        <v>89.147807122430393</v>
      </c>
      <c r="BF11">
        <v>-165.88159999999991</v>
      </c>
      <c r="BG11">
        <v>57.022892224362067</v>
      </c>
      <c r="BH11">
        <v>57.02289222436201</v>
      </c>
      <c r="BI11">
        <f t="shared" si="4"/>
        <v>80.642547549432095</v>
      </c>
      <c r="BJ11">
        <v>-184.31288888888878</v>
      </c>
      <c r="BK11">
        <v>63.358769138180072</v>
      </c>
      <c r="BL11">
        <v>63.358769138180008</v>
      </c>
      <c r="BM11">
        <f t="shared" si="5"/>
        <v>89.602830610480112</v>
      </c>
    </row>
    <row r="12" spans="1:102" ht="15.75" thickBot="1" x14ac:dyDescent="0.3">
      <c r="A12" s="2" t="s">
        <v>10</v>
      </c>
      <c r="B12" s="7">
        <f>B11*B8</f>
        <v>4.7559969050908046</v>
      </c>
      <c r="C12" t="s">
        <v>0</v>
      </c>
      <c r="E12" t="s">
        <v>19</v>
      </c>
      <c r="F12" s="9">
        <f>IF(B11&lt;0,0,IF(F11&lt;(-1*B3),0,SQRT(POWER(B3,2)-POWER(F11,2))))</f>
        <v>9.5668395596950404</v>
      </c>
      <c r="G12" s="9">
        <f>F11</f>
        <v>7.2440030949091954</v>
      </c>
      <c r="I12" s="24" t="s">
        <v>67</v>
      </c>
      <c r="J12" s="25">
        <f>IF(AND(J10=0,J11=0),0,MOD(ATAN2(J10,J11),2*PI()))</f>
        <v>1.5707963267948966</v>
      </c>
      <c r="K12" s="26" t="s">
        <v>17</v>
      </c>
      <c r="AJ12">
        <v>1.7453292519943295</v>
      </c>
      <c r="AK12">
        <v>-49.789216935425941</v>
      </c>
      <c r="AL12">
        <v>253.26704638660783</v>
      </c>
      <c r="AM12">
        <v>-55.321352150473267</v>
      </c>
      <c r="AN12">
        <v>281.40782931845314</v>
      </c>
      <c r="AQ12">
        <v>10</v>
      </c>
      <c r="AR12">
        <f t="shared" si="2"/>
        <v>11.817693036146496</v>
      </c>
      <c r="AS12">
        <f t="shared" si="3"/>
        <v>2.0837781320031641</v>
      </c>
      <c r="AV12">
        <v>-155.5139999999999</v>
      </c>
      <c r="AW12">
        <v>-1.1057667708881746E-12</v>
      </c>
      <c r="AX12">
        <v>88.567781427980009</v>
      </c>
      <c r="AY12">
        <f t="shared" si="0"/>
        <v>88.567781427980009</v>
      </c>
      <c r="AZ12">
        <v>-172.79333333333321</v>
      </c>
      <c r="BA12">
        <v>-1.2286297454313052E-12</v>
      </c>
      <c r="BB12">
        <v>98.408646031088892</v>
      </c>
      <c r="BC12">
        <f t="shared" si="1"/>
        <v>98.408646031088892</v>
      </c>
      <c r="BF12">
        <v>-155.5139999999999</v>
      </c>
      <c r="BG12">
        <v>62.950670121060924</v>
      </c>
      <c r="BH12">
        <v>62.950670121060902</v>
      </c>
      <c r="BI12">
        <f t="shared" si="4"/>
        <v>89.025691445679115</v>
      </c>
      <c r="BJ12">
        <v>-172.79333333333321</v>
      </c>
      <c r="BK12">
        <v>69.945189023401028</v>
      </c>
      <c r="BL12">
        <v>69.945189023400999</v>
      </c>
      <c r="BM12">
        <f t="shared" si="5"/>
        <v>98.917434939643456</v>
      </c>
    </row>
    <row r="13" spans="1:102" ht="15.75" thickBot="1" x14ac:dyDescent="0.3">
      <c r="A13" s="2" t="s">
        <v>11</v>
      </c>
      <c r="B13" s="1">
        <v>3.0000000000000001E-3</v>
      </c>
      <c r="E13" t="s">
        <v>20</v>
      </c>
      <c r="F13" s="1">
        <f>IF(B11&lt;0,0,IF(F11&lt;(-1*B3),0,-1*SQRT(POWER(B3,2)-POWER(F11,2))))</f>
        <v>-9.5668395596950404</v>
      </c>
      <c r="G13" s="9">
        <f>F11</f>
        <v>7.2440030949091954</v>
      </c>
      <c r="I13" s="31" t="s">
        <v>68</v>
      </c>
      <c r="J13" s="32">
        <f>SQRT(POWER(J10,2)+POWER(J11,2))</f>
        <v>10</v>
      </c>
      <c r="K13" s="33" t="s">
        <v>65</v>
      </c>
      <c r="L13">
        <f>DEGREES(J12)</f>
        <v>90</v>
      </c>
      <c r="AJ13">
        <v>1.9198621771937625</v>
      </c>
      <c r="AK13">
        <v>-88.822382813142596</v>
      </c>
      <c r="AL13">
        <v>240.0010058585747</v>
      </c>
      <c r="AM13">
        <v>-98.691536459047327</v>
      </c>
      <c r="AN13">
        <v>266.66778428730521</v>
      </c>
      <c r="AQ13">
        <v>11</v>
      </c>
      <c r="AR13">
        <f t="shared" si="2"/>
        <v>11.779526201371969</v>
      </c>
      <c r="AS13">
        <f t="shared" si="3"/>
        <v>2.2897079445185375</v>
      </c>
      <c r="AV13">
        <v>-145.14639999999989</v>
      </c>
      <c r="AW13">
        <v>1.2326757978180615E-14</v>
      </c>
      <c r="AX13">
        <v>96.835176709783326</v>
      </c>
      <c r="AY13">
        <f t="shared" si="0"/>
        <v>96.835176709783326</v>
      </c>
      <c r="AZ13">
        <v>-161.27377777777764</v>
      </c>
      <c r="BA13">
        <v>1.3696397753534016E-14</v>
      </c>
      <c r="BB13">
        <v>107.59464078864814</v>
      </c>
      <c r="BC13">
        <f t="shared" si="1"/>
        <v>107.59464078864814</v>
      </c>
      <c r="BF13">
        <v>-145.14639999999989</v>
      </c>
      <c r="BG13">
        <v>68.835913741225355</v>
      </c>
      <c r="BH13">
        <v>68.835913741225355</v>
      </c>
      <c r="BI13">
        <f t="shared" si="4"/>
        <v>97.348682791185396</v>
      </c>
      <c r="BJ13">
        <v>-161.27377777777764</v>
      </c>
      <c r="BK13">
        <v>76.484348601361503</v>
      </c>
      <c r="BL13">
        <v>76.484348601361503</v>
      </c>
      <c r="BM13">
        <f t="shared" si="5"/>
        <v>108.1652031013171</v>
      </c>
    </row>
    <row r="14" spans="1:102" x14ac:dyDescent="0.25">
      <c r="F14" s="1">
        <f>IF(B11&lt;0,0,IF(F10&lt;(-1*B3),0,SQRT(POWER(B3,2)-POWER(F10,2))))</f>
        <v>10.360353669194749</v>
      </c>
      <c r="G14" s="36">
        <f>F10</f>
        <v>6.0550038686364935</v>
      </c>
      <c r="AJ14">
        <v>2.0943951023931953</v>
      </c>
      <c r="AK14">
        <v>-124.94153145834989</v>
      </c>
      <c r="AL14">
        <v>224.51855011374468</v>
      </c>
      <c r="AM14">
        <v>-138.82392384261098</v>
      </c>
      <c r="AN14">
        <v>249.46505568193854</v>
      </c>
      <c r="AQ14">
        <v>12</v>
      </c>
      <c r="AR14">
        <f t="shared" si="2"/>
        <v>11.737771208805668</v>
      </c>
      <c r="AS14">
        <f t="shared" si="3"/>
        <v>2.4949402898131119</v>
      </c>
      <c r="AV14">
        <v>-134.77879999999988</v>
      </c>
      <c r="AW14">
        <v>1.2828361144921139E-14</v>
      </c>
      <c r="AX14">
        <v>105.02362382785827</v>
      </c>
      <c r="AY14">
        <f t="shared" si="0"/>
        <v>105.02362382785827</v>
      </c>
      <c r="AZ14">
        <v>-149.75422222222207</v>
      </c>
      <c r="BA14">
        <v>1.4253734605467932E-14</v>
      </c>
      <c r="BB14">
        <v>116.69291536428696</v>
      </c>
      <c r="BC14">
        <f t="shared" si="1"/>
        <v>116.69291536428696</v>
      </c>
      <c r="BF14">
        <v>-134.77879999999988</v>
      </c>
      <c r="BG14">
        <v>74.670713071318943</v>
      </c>
      <c r="BH14">
        <v>74.670713071318929</v>
      </c>
      <c r="BI14">
        <f t="shared" si="4"/>
        <v>105.60033513752919</v>
      </c>
      <c r="BJ14">
        <v>-149.75422222222207</v>
      </c>
      <c r="BK14">
        <v>82.967458968132163</v>
      </c>
      <c r="BL14">
        <v>82.967458968132135</v>
      </c>
      <c r="BM14">
        <f t="shared" si="5"/>
        <v>117.33370570836576</v>
      </c>
    </row>
    <row r="15" spans="1:102" x14ac:dyDescent="0.25">
      <c r="F15" s="1">
        <f>IF(B11&lt;0,0,IF(F10&lt;(-1*B3),0,-1*SQRT(POWER(B3,2)-POWER(F10,2))))</f>
        <v>-10.360353669194749</v>
      </c>
      <c r="G15" s="36">
        <f>F10</f>
        <v>6.0550038686364935</v>
      </c>
      <c r="J15" s="1" t="s">
        <v>34</v>
      </c>
      <c r="K15" t="s">
        <v>78</v>
      </c>
      <c r="AJ15">
        <v>2.268928027592628</v>
      </c>
      <c r="AK15">
        <v>-164.05564102191715</v>
      </c>
      <c r="AL15">
        <v>198.95114953340314</v>
      </c>
      <c r="AM15">
        <v>-182.28404557990794</v>
      </c>
      <c r="AN15">
        <v>221.05683281489237</v>
      </c>
      <c r="AQ15">
        <v>13</v>
      </c>
      <c r="AR15">
        <f t="shared" si="2"/>
        <v>11.692440777422823</v>
      </c>
      <c r="AS15">
        <f t="shared" si="3"/>
        <v>2.6994126521263802</v>
      </c>
      <c r="AV15">
        <v>-124.41119999999988</v>
      </c>
      <c r="AW15">
        <v>1.3324523891663105E-14</v>
      </c>
      <c r="AX15">
        <v>113.12325852525458</v>
      </c>
      <c r="AY15">
        <f t="shared" si="0"/>
        <v>113.12325852525458</v>
      </c>
      <c r="AZ15">
        <v>-138.23466666666653</v>
      </c>
      <c r="BA15">
        <v>1.4805026546292338E-14</v>
      </c>
      <c r="BB15">
        <v>125.69250947250509</v>
      </c>
      <c r="BC15">
        <f t="shared" si="1"/>
        <v>125.69250947250509</v>
      </c>
      <c r="BF15">
        <v>-124.41119999999988</v>
      </c>
      <c r="BG15">
        <v>80.448279111302497</v>
      </c>
      <c r="BH15">
        <v>80.448279111302469</v>
      </c>
      <c r="BI15">
        <f t="shared" si="4"/>
        <v>113.77104738878013</v>
      </c>
      <c r="BJ15">
        <v>-138.23466666666653</v>
      </c>
      <c r="BK15">
        <v>89.386976790336107</v>
      </c>
      <c r="BL15">
        <v>89.386976790336078</v>
      </c>
      <c r="BM15">
        <f t="shared" si="5"/>
        <v>126.41227487642237</v>
      </c>
    </row>
    <row r="16" spans="1:102" x14ac:dyDescent="0.25">
      <c r="A16" s="2" t="s">
        <v>15</v>
      </c>
      <c r="B16">
        <f>IF(B11&lt;0,0,ATAN2(F12,G12))</f>
        <v>0.64809268660285135</v>
      </c>
      <c r="C16" t="s">
        <v>17</v>
      </c>
      <c r="E16" s="1" t="s">
        <v>46</v>
      </c>
      <c r="F16" s="1" t="s">
        <v>47</v>
      </c>
      <c r="I16" s="1" t="s">
        <v>75</v>
      </c>
      <c r="J16" s="4">
        <f ca="1">((((PI()*B3*B3)-C109)*B9)+(C35*C109))*IF(B1="Spiral",0.85,0.8)*IF(B1="Spiral",0.75,0.65)</f>
        <v>1138.9324460784158</v>
      </c>
      <c r="K16" s="1">
        <f ca="1">J16/IF(B1="Spiral",0.75,0.65)</f>
        <v>1752.2037631975627</v>
      </c>
      <c r="L16">
        <f ca="1">J16/IF(B1="Spiral",0.85,0.8)</f>
        <v>1423.6655575980196</v>
      </c>
      <c r="AJ16">
        <v>2.4434609527920608</v>
      </c>
      <c r="AK16">
        <v>-198.9511495334028</v>
      </c>
      <c r="AL16">
        <v>164.05564102191755</v>
      </c>
      <c r="AM16">
        <v>-221.056832814892</v>
      </c>
      <c r="AN16">
        <v>182.28404557990839</v>
      </c>
      <c r="AQ16">
        <v>14</v>
      </c>
      <c r="AR16">
        <f t="shared" si="2"/>
        <v>11.643548715311958</v>
      </c>
      <c r="AS16">
        <f t="shared" si="3"/>
        <v>2.9030627471960129</v>
      </c>
      <c r="AV16">
        <v>-114.04359999999988</v>
      </c>
      <c r="AW16">
        <v>-1.6455712963390054E-12</v>
      </c>
      <c r="AX16">
        <v>120.17201114328273</v>
      </c>
      <c r="AY16">
        <f t="shared" si="0"/>
        <v>120.17201114328273</v>
      </c>
      <c r="AZ16">
        <v>-126.71511111111099</v>
      </c>
      <c r="BA16">
        <v>-1.8284125514877838E-12</v>
      </c>
      <c r="BB16">
        <v>133.52445682586969</v>
      </c>
      <c r="BC16">
        <f t="shared" si="1"/>
        <v>133.52445682586969</v>
      </c>
      <c r="BF16">
        <v>-114.04359999999988</v>
      </c>
      <c r="BG16">
        <v>85.806668297902078</v>
      </c>
      <c r="BH16">
        <v>85.806668297902064</v>
      </c>
      <c r="BI16">
        <f t="shared" si="4"/>
        <v>121.3489540489426</v>
      </c>
      <c r="BJ16">
        <v>-126.71511111111099</v>
      </c>
      <c r="BK16">
        <v>95.34074255322453</v>
      </c>
      <c r="BL16">
        <v>95.340742553224516</v>
      </c>
      <c r="BM16">
        <f t="shared" si="5"/>
        <v>134.83217116549179</v>
      </c>
    </row>
    <row r="17" spans="1:65" x14ac:dyDescent="0.25">
      <c r="A17" s="2" t="s">
        <v>16</v>
      </c>
      <c r="B17">
        <f>IF(B11&lt;0,0,IF(B16&lt;0,(2*PI())+ATAN2(F13,G13),ATAN2(F13,G13)))</f>
        <v>2.493499966986942</v>
      </c>
      <c r="C17" t="s">
        <v>17</v>
      </c>
      <c r="E17" s="7" t="e">
        <f>IF(B2="Whitney",F12*COS(-1*$B$10)+G12*SIN(-1*$B$10),NA())</f>
        <v>#N/A</v>
      </c>
      <c r="F17" s="7">
        <f>-1*F12*SIN(-1*$B$10)+G12*COS(-1*$B$10)</f>
        <v>9.5668395596950404</v>
      </c>
      <c r="G17" s="7">
        <f>F14*COS(-1*$B$10)+G14*SIN(-1*$B$10)</f>
        <v>-6.0550038686364926</v>
      </c>
      <c r="H17" s="7">
        <f>-1*F14*SIN(-1*$B$10)+G14*COS(-1*$B$10)</f>
        <v>10.360353669194749</v>
      </c>
      <c r="I17" s="1" t="s">
        <v>76</v>
      </c>
      <c r="J17" s="4">
        <f ca="1">-1*C109*C35*0.9</f>
        <v>-259.2</v>
      </c>
      <c r="K17" s="1">
        <f ca="1">J17/0.9</f>
        <v>-288</v>
      </c>
      <c r="AJ17">
        <v>2.6179938779914935</v>
      </c>
      <c r="AK17">
        <v>-224.51855011374442</v>
      </c>
      <c r="AL17">
        <v>124.9415314583504</v>
      </c>
      <c r="AM17">
        <v>-249.46505568193825</v>
      </c>
      <c r="AN17">
        <v>138.82392384261155</v>
      </c>
      <c r="AQ17">
        <v>15</v>
      </c>
      <c r="AR17">
        <f t="shared" si="2"/>
        <v>11.59110991546882</v>
      </c>
      <c r="AS17">
        <f t="shared" si="3"/>
        <v>3.1058285412302489</v>
      </c>
      <c r="AV17">
        <v>-103.67599999999989</v>
      </c>
      <c r="AW17">
        <v>5.8150018844205643E-13</v>
      </c>
      <c r="AX17">
        <v>127.09065894202939</v>
      </c>
      <c r="AY17">
        <f t="shared" si="0"/>
        <v>127.09065894202939</v>
      </c>
      <c r="AZ17">
        <v>-115.19555555555543</v>
      </c>
      <c r="BA17">
        <v>6.461113204911738E-13</v>
      </c>
      <c r="BB17">
        <v>141.21184326892154</v>
      </c>
      <c r="BC17">
        <f t="shared" si="1"/>
        <v>141.21184326892154</v>
      </c>
      <c r="BF17">
        <v>-103.67599999999989</v>
      </c>
      <c r="BG17">
        <v>90.72780885520099</v>
      </c>
      <c r="BH17">
        <v>90.727808855201019</v>
      </c>
      <c r="BI17">
        <f t="shared" si="4"/>
        <v>128.30849776741906</v>
      </c>
      <c r="BJ17">
        <v>-115.19555555555543</v>
      </c>
      <c r="BK17">
        <v>100.80867650577888</v>
      </c>
      <c r="BL17">
        <v>100.80867650577891</v>
      </c>
      <c r="BM17">
        <f t="shared" si="5"/>
        <v>142.56499751935451</v>
      </c>
    </row>
    <row r="18" spans="1:65" x14ac:dyDescent="0.25">
      <c r="C18" s="1"/>
      <c r="D18" s="1"/>
      <c r="E18" s="7" t="e">
        <f>IF(B2="Whitney",F13*COS(-1*$B$10)+G13*SIN(-1*$B$10),NA())</f>
        <v>#N/A</v>
      </c>
      <c r="F18" s="7">
        <f>-1*F13*SIN(-1*$B$10)+G13*COS(-1*$B$10)</f>
        <v>-9.5668395596950404</v>
      </c>
      <c r="G18" s="7">
        <f>F15*COS(-1*$B$10)+G15*SIN(-1*$B$10)</f>
        <v>-6.0550038686364944</v>
      </c>
      <c r="H18" s="7">
        <f>-1*F15*SIN(-1*$B$10)+G15*COS(-1*$B$10)</f>
        <v>-10.360353669194749</v>
      </c>
      <c r="AJ18">
        <v>2.7925268031909263</v>
      </c>
      <c r="AK18">
        <v>-240.00100586146897</v>
      </c>
      <c r="AL18">
        <v>88.822382814102141</v>
      </c>
      <c r="AM18">
        <v>-266.66778429052107</v>
      </c>
      <c r="AN18">
        <v>98.691536460113483</v>
      </c>
      <c r="AQ18">
        <v>16</v>
      </c>
      <c r="AR18">
        <f t="shared" si="2"/>
        <v>11.535140351259827</v>
      </c>
      <c r="AS18">
        <f t="shared" si="3"/>
        <v>3.3076482698039902</v>
      </c>
      <c r="AV18">
        <v>-93.308399999999892</v>
      </c>
      <c r="AW18">
        <v>-8.0654043122884698E-13</v>
      </c>
      <c r="AX18">
        <v>133.89358019656686</v>
      </c>
      <c r="AY18">
        <f t="shared" si="0"/>
        <v>133.89358019656686</v>
      </c>
      <c r="AZ18">
        <v>-103.67599999999987</v>
      </c>
      <c r="BA18">
        <v>-8.9615603469871885E-13</v>
      </c>
      <c r="BB18">
        <v>148.77064466285205</v>
      </c>
      <c r="BC18">
        <f t="shared" si="1"/>
        <v>148.77064466285205</v>
      </c>
      <c r="BF18">
        <v>-93.308399999999892</v>
      </c>
      <c r="BG18">
        <v>95.651023116147087</v>
      </c>
      <c r="BH18">
        <v>95.651023116147073</v>
      </c>
      <c r="BI18">
        <f t="shared" si="4"/>
        <v>135.27097414571764</v>
      </c>
      <c r="BJ18">
        <v>-103.67599999999987</v>
      </c>
      <c r="BK18">
        <v>106.27891457349676</v>
      </c>
      <c r="BL18">
        <v>106.27891457349675</v>
      </c>
      <c r="BM18">
        <f t="shared" si="5"/>
        <v>150.30108238413069</v>
      </c>
    </row>
    <row r="19" spans="1:65" x14ac:dyDescent="0.25">
      <c r="A19" t="s">
        <v>140</v>
      </c>
      <c r="C19">
        <f>IF(B2="Whitney",(-1*B13*MAX(K37:K108))/((C35/F35)-B13),(-1*B13*MAX(K37:K108))/((C35/F35)-B13)+50)</f>
        <v>118.27083333333334</v>
      </c>
      <c r="D19" t="s">
        <v>0</v>
      </c>
      <c r="L19">
        <f>IF(B16=0,(($B$3*$B$3*B16)/2),(($F$11*$F$11)/(2*TAN(B16)))+(($B$3*$B$3*B16)/2))</f>
        <v>81.313781124870587</v>
      </c>
      <c r="M19">
        <f>IF(B16=0,-1*POWER($B$3,3)*COS(B16)*(1/3),(POWER($F$11,3)/(3*TAN(B16)))-(POWER($B$3,3)*COS(B16)*(1/3)))</f>
        <v>-291.86647796901627</v>
      </c>
      <c r="N19">
        <f>IF(B16=0,POWER($B$3,3)*SIN(B16)*(1/3),(POWER($F$11,3)/(6*POWER(SIN(B16),2)))+(POWER($B$3,3)*SIN(B16)*(1/3)))</f>
        <v>521.56822283346207</v>
      </c>
      <c r="AJ19">
        <v>2.967059728390359</v>
      </c>
      <c r="AK19">
        <v>-253.26704638660794</v>
      </c>
      <c r="AL19">
        <v>49.789216935426509</v>
      </c>
      <c r="AM19">
        <v>-281.40782931845325</v>
      </c>
      <c r="AN19">
        <v>55.321352150473899</v>
      </c>
      <c r="AQ19">
        <v>17</v>
      </c>
      <c r="AR19">
        <f t="shared" si="2"/>
        <v>11.475657071556425</v>
      </c>
      <c r="AS19">
        <f t="shared" si="3"/>
        <v>3.5084604566728412</v>
      </c>
      <c r="AV19">
        <v>-82.940799999999896</v>
      </c>
      <c r="AW19">
        <v>2.3546372341057898E-14</v>
      </c>
      <c r="AX19">
        <v>140.79885348652067</v>
      </c>
      <c r="AY19">
        <f t="shared" si="0"/>
        <v>140.79885348652067</v>
      </c>
      <c r="AZ19">
        <v>-92.156444444444332</v>
      </c>
      <c r="BA19">
        <v>2.6162635934508775E-14</v>
      </c>
      <c r="BB19">
        <v>156.44317054057851</v>
      </c>
      <c r="BC19">
        <f t="shared" si="1"/>
        <v>156.44317054057851</v>
      </c>
      <c r="BF19">
        <v>-82.940799999999896</v>
      </c>
      <c r="BG19">
        <v>100.42093717108575</v>
      </c>
      <c r="BH19">
        <v>100.42093717108581</v>
      </c>
      <c r="BI19">
        <f t="shared" si="4"/>
        <v>142.01665129356599</v>
      </c>
      <c r="BJ19">
        <v>-92.156444444444332</v>
      </c>
      <c r="BK19">
        <v>111.57881907898417</v>
      </c>
      <c r="BL19">
        <v>111.57881907898422</v>
      </c>
      <c r="BM19">
        <f t="shared" si="5"/>
        <v>157.7962792150733</v>
      </c>
    </row>
    <row r="20" spans="1:65" x14ac:dyDescent="0.25">
      <c r="L20">
        <f>IF(B17=0,(($B$3*$B$3*B17)/2),(($F$11*$F$11)/(2*TAN(B17)))+(($B$3*$B$3*B17)/2))</f>
        <v>144.88088993359452</v>
      </c>
      <c r="M20">
        <f>IF(B17=0,-1*POWER($B$3,3)*COS(B17)*(1/3),(POWER($F$11,3)/(3*TAN(B17)))-(POWER($B$3,3)*COS(B17)*(1/3)))</f>
        <v>291.86647796901639</v>
      </c>
      <c r="N20">
        <f>IF(B17=0,POWER($B$3,3)*SIN(B17)*(1/3),(POWER($F$11,3)/(6*POWER(SIN(B17),2)))+(POWER($B$3,3)*SIN(B17)*(1/3)))</f>
        <v>521.56822283346196</v>
      </c>
      <c r="AJ20">
        <v>3.1415926535897918</v>
      </c>
      <c r="AK20">
        <v>-257.76911217243531</v>
      </c>
      <c r="AL20">
        <v>4.1070275946729444E-13</v>
      </c>
      <c r="AM20">
        <v>-286.41012463603926</v>
      </c>
      <c r="AN20">
        <v>4.5633639940810491E-13</v>
      </c>
      <c r="AQ20">
        <v>18</v>
      </c>
      <c r="AR20">
        <f t="shared" si="2"/>
        <v>11.412678195541842</v>
      </c>
      <c r="AS20">
        <f t="shared" si="3"/>
        <v>3.7082039324993685</v>
      </c>
      <c r="AV20">
        <v>-72.5731999999999</v>
      </c>
      <c r="AW20">
        <v>3.2495486973026724E-14</v>
      </c>
      <c r="AX20">
        <v>147.69763870972264</v>
      </c>
      <c r="AY20">
        <f t="shared" si="0"/>
        <v>147.69763870972264</v>
      </c>
      <c r="AZ20">
        <v>-80.636888888888777</v>
      </c>
      <c r="BA20">
        <v>3.6106096636696357E-14</v>
      </c>
      <c r="BB20">
        <v>164.10848745524737</v>
      </c>
      <c r="BC20">
        <f t="shared" si="1"/>
        <v>164.10848745524737</v>
      </c>
      <c r="BF20">
        <v>-72.5731999999999</v>
      </c>
      <c r="BG20">
        <v>105.34007350638382</v>
      </c>
      <c r="BH20">
        <v>105.34007350638383</v>
      </c>
      <c r="BI20">
        <f t="shared" si="4"/>
        <v>148.97336061410675</v>
      </c>
      <c r="BJ20">
        <v>-80.636888888888777</v>
      </c>
      <c r="BK20">
        <v>117.04452611820423</v>
      </c>
      <c r="BL20">
        <v>117.04452611820426</v>
      </c>
      <c r="BM20">
        <f t="shared" si="5"/>
        <v>165.52595623789639</v>
      </c>
    </row>
    <row r="21" spans="1:65" x14ac:dyDescent="0.25">
      <c r="L21">
        <f>L20-L19</f>
        <v>63.56710880872393</v>
      </c>
      <c r="M21">
        <f>M20-M19</f>
        <v>583.73295593803266</v>
      </c>
      <c r="N21">
        <f>N20-N19</f>
        <v>0</v>
      </c>
      <c r="AJ21">
        <v>3.3161255787892245</v>
      </c>
      <c r="AK21">
        <v>-253.26704638660885</v>
      </c>
      <c r="AL21">
        <v>-49.789216935425848</v>
      </c>
      <c r="AM21">
        <v>-281.40782931845428</v>
      </c>
      <c r="AN21">
        <v>-55.32135215047316</v>
      </c>
      <c r="AQ21">
        <v>19</v>
      </c>
      <c r="AR21">
        <f t="shared" si="2"/>
        <v>11.346222907191802</v>
      </c>
      <c r="AS21">
        <f t="shared" si="3"/>
        <v>3.9068178534858804</v>
      </c>
      <c r="AV21">
        <v>-62.205599999999905</v>
      </c>
      <c r="AW21">
        <v>2.4390926276155014E-14</v>
      </c>
      <c r="AX21">
        <v>154.5858183512824</v>
      </c>
      <c r="AY21">
        <f t="shared" si="0"/>
        <v>154.5858183512824</v>
      </c>
      <c r="AZ21">
        <v>-69.117333333333221</v>
      </c>
      <c r="BA21">
        <v>2.7101029195727791E-14</v>
      </c>
      <c r="BB21">
        <v>171.76202039031378</v>
      </c>
      <c r="BC21">
        <f t="shared" si="1"/>
        <v>171.76202039031378</v>
      </c>
      <c r="BF21">
        <v>-62.205599999999905</v>
      </c>
      <c r="BG21">
        <v>110.25318005254984</v>
      </c>
      <c r="BH21">
        <v>110.25318005254985</v>
      </c>
      <c r="BI21">
        <f t="shared" si="4"/>
        <v>155.92154252507879</v>
      </c>
      <c r="BJ21">
        <v>-69.117333333333221</v>
      </c>
      <c r="BK21">
        <v>122.50353339172204</v>
      </c>
      <c r="BL21">
        <v>122.50353339172206</v>
      </c>
      <c r="BM21">
        <f t="shared" si="5"/>
        <v>173.24615836119864</v>
      </c>
    </row>
    <row r="22" spans="1:65" x14ac:dyDescent="0.25">
      <c r="A22" s="35" t="s">
        <v>72</v>
      </c>
      <c r="L22">
        <f>L21*B9</f>
        <v>270.16021243707672</v>
      </c>
      <c r="M22">
        <f>M21*B9</f>
        <v>2480.8650627366387</v>
      </c>
      <c r="N22">
        <f>N21*B9</f>
        <v>0</v>
      </c>
      <c r="AJ22">
        <v>3.4906585039886573</v>
      </c>
      <c r="AK22">
        <v>-240.00100586146877</v>
      </c>
      <c r="AL22">
        <v>-88.82238281410109</v>
      </c>
      <c r="AM22">
        <v>-266.66778429052084</v>
      </c>
      <c r="AN22">
        <v>-98.691536460112317</v>
      </c>
      <c r="AQ22">
        <v>20</v>
      </c>
      <c r="AR22">
        <f t="shared" si="2"/>
        <v>11.276311449430901</v>
      </c>
      <c r="AS22">
        <f t="shared" si="3"/>
        <v>4.1042417199080248</v>
      </c>
      <c r="AV22">
        <v>-51.837999999999909</v>
      </c>
      <c r="AW22">
        <v>5.8360551408553571E-13</v>
      </c>
      <c r="AX22">
        <v>161.45915747041943</v>
      </c>
      <c r="AY22">
        <f t="shared" si="0"/>
        <v>161.45915747041943</v>
      </c>
      <c r="AZ22">
        <v>-57.597777777777672</v>
      </c>
      <c r="BA22">
        <v>6.4845057120615082E-13</v>
      </c>
      <c r="BB22">
        <v>179.39906385602157</v>
      </c>
      <c r="BC22">
        <f t="shared" si="1"/>
        <v>179.39906385602157</v>
      </c>
      <c r="BF22">
        <v>-51.837999999999909</v>
      </c>
      <c r="BG22">
        <v>115.15751879944511</v>
      </c>
      <c r="BH22">
        <v>115.1575187994451</v>
      </c>
      <c r="BI22">
        <f t="shared" si="4"/>
        <v>162.85732489540993</v>
      </c>
      <c r="BJ22">
        <v>-57.597777777777672</v>
      </c>
      <c r="BK22">
        <v>127.95279866605013</v>
      </c>
      <c r="BL22">
        <v>127.95279866605011</v>
      </c>
      <c r="BM22">
        <f t="shared" si="5"/>
        <v>180.95258321712214</v>
      </c>
    </row>
    <row r="23" spans="1:65" x14ac:dyDescent="0.25">
      <c r="B23" s="1"/>
      <c r="C23" s="1"/>
      <c r="D23" s="1"/>
      <c r="E23" s="1"/>
      <c r="F23" s="1"/>
      <c r="G23" s="1"/>
      <c r="H23" s="1" t="s">
        <v>34</v>
      </c>
      <c r="I23" s="1" t="s">
        <v>35</v>
      </c>
      <c r="J23" s="1" t="s">
        <v>36</v>
      </c>
      <c r="AJ23">
        <v>3.66519142918809</v>
      </c>
      <c r="AK23">
        <v>-224.51855011374593</v>
      </c>
      <c r="AL23">
        <v>-124.94153145834994</v>
      </c>
      <c r="AM23">
        <v>-249.46505568193993</v>
      </c>
      <c r="AN23">
        <v>-138.82392384261104</v>
      </c>
      <c r="AQ23">
        <v>21</v>
      </c>
      <c r="AR23">
        <f t="shared" si="2"/>
        <v>11.202965117966421</v>
      </c>
      <c r="AS23">
        <f t="shared" si="3"/>
        <v>4.3004153945436032</v>
      </c>
      <c r="AV23">
        <v>-41.470399999999913</v>
      </c>
      <c r="AW23">
        <v>2.5231839038733503E-14</v>
      </c>
      <c r="AX23">
        <v>168.31334270491203</v>
      </c>
      <c r="AY23">
        <f t="shared" si="0"/>
        <v>168.31334270491203</v>
      </c>
      <c r="AZ23">
        <v>-46.078222222222124</v>
      </c>
      <c r="BA23">
        <v>2.8035376709703891E-14</v>
      </c>
      <c r="BB23">
        <v>187.01482522768003</v>
      </c>
      <c r="BC23">
        <f t="shared" si="1"/>
        <v>187.01482522768003</v>
      </c>
      <c r="BF23">
        <v>-41.470399999999913</v>
      </c>
      <c r="BG23">
        <v>120.05028867783807</v>
      </c>
      <c r="BH23">
        <v>120.05028867783807</v>
      </c>
      <c r="BI23">
        <f t="shared" si="4"/>
        <v>169.7767464150038</v>
      </c>
      <c r="BJ23">
        <v>-46.078222222222124</v>
      </c>
      <c r="BK23">
        <v>133.38920964204229</v>
      </c>
      <c r="BL23">
        <v>133.38920964204229</v>
      </c>
      <c r="BM23">
        <f t="shared" si="5"/>
        <v>188.64082935000422</v>
      </c>
    </row>
    <row r="24" spans="1:65" x14ac:dyDescent="0.25">
      <c r="A24" s="1" t="s">
        <v>23</v>
      </c>
      <c r="B24" s="1"/>
      <c r="C24" s="1"/>
      <c r="D24" s="1"/>
      <c r="E24" s="1"/>
      <c r="F24" s="1"/>
      <c r="G24" s="1"/>
      <c r="H24" s="1">
        <f>IF(F11&lt;(-1*B3),B9*POWER(B3,2)*(2*PI())*(1/2),B9*POWER(B3,2)*(B17-B16)*(1/2))</f>
        <v>564.69462779753178</v>
      </c>
      <c r="I24" s="1">
        <f>IF(F11&lt;(-1*B3),0,(1/3)*B9*POWER(B3,3)*((COS(B16)-COS(B17))))</f>
        <v>3903.270540355576</v>
      </c>
      <c r="J24" s="1">
        <f>IF(F11&lt;(-1*B3),0,(1/3)*B9*POWER(B3,3)*((SIN(B17)-SIN(B16))))</f>
        <v>-2.7178259642823827E-13</v>
      </c>
      <c r="L24">
        <f>(((POWER(B3,2)-POWER(F11,2))*TAN(B17))+((POWER(F11,2)-POWER(B3,2))*TAN(B16)))/(2*TAN(B16)*TAN(B17))</f>
        <v>120.87231637468324</v>
      </c>
      <c r="AJ24">
        <v>3.8397243543875228</v>
      </c>
      <c r="AK24">
        <v>-198.95114953340283</v>
      </c>
      <c r="AL24">
        <v>-164.05564102191659</v>
      </c>
      <c r="AM24">
        <v>-221.05683281489203</v>
      </c>
      <c r="AN24">
        <v>-182.28404557990731</v>
      </c>
      <c r="AQ24">
        <v>22</v>
      </c>
      <c r="AR24">
        <f t="shared" si="2"/>
        <v>11.126206254801449</v>
      </c>
      <c r="AS24">
        <f t="shared" si="3"/>
        <v>4.4952791209909444</v>
      </c>
      <c r="AV24">
        <v>-31.102799999999913</v>
      </c>
      <c r="AW24">
        <v>5.8444381356662079E-13</v>
      </c>
      <c r="AX24">
        <v>175.14402117369195</v>
      </c>
      <c r="AY24">
        <f t="shared" si="0"/>
        <v>175.14402117369195</v>
      </c>
      <c r="AZ24">
        <v>-34.558666666666568</v>
      </c>
      <c r="BA24">
        <v>6.4938201507402305E-13</v>
      </c>
      <c r="BB24">
        <v>194.60446797076884</v>
      </c>
      <c r="BC24">
        <f t="shared" si="1"/>
        <v>194.60446797076884</v>
      </c>
      <c r="BF24">
        <v>-31.102799999999913</v>
      </c>
      <c r="BG24">
        <v>124.92865069435227</v>
      </c>
      <c r="BH24">
        <v>124.92865069435226</v>
      </c>
      <c r="BI24">
        <f t="shared" si="4"/>
        <v>176.67579214092393</v>
      </c>
      <c r="BJ24">
        <v>-34.558666666666568</v>
      </c>
      <c r="BK24">
        <v>138.80961188261364</v>
      </c>
      <c r="BL24">
        <v>138.80961188261361</v>
      </c>
      <c r="BM24">
        <f t="shared" si="5"/>
        <v>196.30643571213773</v>
      </c>
    </row>
    <row r="25" spans="1:65" x14ac:dyDescent="0.25">
      <c r="A25" s="1" t="s">
        <v>24</v>
      </c>
      <c r="B25" s="1" t="s">
        <v>28</v>
      </c>
      <c r="C25" s="1" t="s">
        <v>29</v>
      </c>
      <c r="D25" s="1" t="s">
        <v>30</v>
      </c>
      <c r="E25" s="1" t="s">
        <v>31</v>
      </c>
      <c r="F25" s="1" t="s">
        <v>32</v>
      </c>
      <c r="G25" s="1" t="s">
        <v>33</v>
      </c>
      <c r="H25" s="1" t="s">
        <v>34</v>
      </c>
      <c r="I25" s="1" t="s">
        <v>35</v>
      </c>
      <c r="J25" s="1" t="s">
        <v>36</v>
      </c>
      <c r="L25">
        <f>B9*L24</f>
        <v>513.70734459240373</v>
      </c>
      <c r="AJ25">
        <v>4.014257279586956</v>
      </c>
      <c r="AK25">
        <v>-164.0556410219171</v>
      </c>
      <c r="AL25">
        <v>-198.951149533402</v>
      </c>
      <c r="AM25">
        <v>-182.28404557990788</v>
      </c>
      <c r="AN25">
        <v>-221.0568328148911</v>
      </c>
      <c r="AQ25">
        <v>23</v>
      </c>
      <c r="AR25">
        <f t="shared" si="2"/>
        <v>11.046058241429284</v>
      </c>
      <c r="AS25">
        <f t="shared" si="3"/>
        <v>4.688773541871285</v>
      </c>
      <c r="AV25">
        <v>-20.735199999999914</v>
      </c>
      <c r="AW25">
        <v>-1.136313943550277E-13</v>
      </c>
      <c r="AX25">
        <v>181.94683822481406</v>
      </c>
      <c r="AY25">
        <f t="shared" si="0"/>
        <v>181.94683822481406</v>
      </c>
      <c r="AZ25">
        <v>-23.039111111111016</v>
      </c>
      <c r="BA25">
        <v>-1.2625710483891967E-13</v>
      </c>
      <c r="BB25">
        <v>202.16315358312673</v>
      </c>
      <c r="BC25">
        <f t="shared" si="1"/>
        <v>202.16315358312673</v>
      </c>
      <c r="BF25">
        <v>-20.735199999999914</v>
      </c>
      <c r="BG25">
        <v>129.78975252805563</v>
      </c>
      <c r="BH25">
        <v>129.7897525280556</v>
      </c>
      <c r="BI25">
        <f t="shared" si="4"/>
        <v>183.55042828222395</v>
      </c>
      <c r="BJ25">
        <v>-23.039111111111016</v>
      </c>
      <c r="BK25">
        <v>144.21083614228402</v>
      </c>
      <c r="BL25">
        <v>144.21083614228399</v>
      </c>
      <c r="BM25">
        <f t="shared" si="5"/>
        <v>203.94492031358214</v>
      </c>
    </row>
    <row r="26" spans="1:65" x14ac:dyDescent="0.25">
      <c r="A26" s="1" t="s">
        <v>25</v>
      </c>
      <c r="B26" s="1">
        <v>0</v>
      </c>
      <c r="C26" s="1">
        <v>0</v>
      </c>
      <c r="D26" s="9">
        <f>F12</f>
        <v>9.5668395596950404</v>
      </c>
      <c r="E26" s="9">
        <f>G12</f>
        <v>7.2440030949091954</v>
      </c>
      <c r="F26" s="7">
        <f>IF(AND(C26=0,E26=0,B26=0,D26=0),0,$B$9)</f>
        <v>4.25</v>
      </c>
      <c r="G26" s="7">
        <f>IF(AND(C26=0,E26=0,B26=0,D26=0),0,$B$9)</f>
        <v>4.25</v>
      </c>
      <c r="H26" s="7">
        <f>(1/6)*(E26-C26)*((F26*((2*B26)+D26))+(G26*(B26+(2*D26))))</f>
        <v>147.2672076802275</v>
      </c>
      <c r="I26" s="7">
        <f>((1/12)*(E26-C26)*(F26*B26*((3*C26)+E26)+F26*D26*(C26+E26)+G26*B26*(C26+E26)+G26*D26*(C26+(3*E26))))</f>
        <v>711.20273880946888</v>
      </c>
      <c r="J26" s="7">
        <f t="shared" ref="J26" si="6">((-1/24)*(E26-C26)*(B26*B26*((3*F26)+G26)+2*B26*D26*(F26+G26)+D26*D26*(F26+(3*G26))))</f>
        <v>-469.62724942700862</v>
      </c>
      <c r="AJ26">
        <v>4.1887902047863887</v>
      </c>
      <c r="AK26">
        <v>-124.94153145835126</v>
      </c>
      <c r="AL26">
        <v>-224.51855011374514</v>
      </c>
      <c r="AM26">
        <v>-138.82392384261252</v>
      </c>
      <c r="AN26">
        <v>-249.46505568193902</v>
      </c>
      <c r="AQ26">
        <v>24</v>
      </c>
      <c r="AR26">
        <f t="shared" si="2"/>
        <v>10.962545491711211</v>
      </c>
      <c r="AS26">
        <f t="shared" si="3"/>
        <v>4.8808397169096027</v>
      </c>
      <c r="AV26">
        <v>-10.367599999999914</v>
      </c>
      <c r="AW26">
        <v>1.6618012966262233E-13</v>
      </c>
      <c r="AX26">
        <v>188.71747294005579</v>
      </c>
      <c r="AY26">
        <f t="shared" si="0"/>
        <v>188.71747294005579</v>
      </c>
      <c r="AZ26">
        <v>-11.51955555555546</v>
      </c>
      <c r="BA26">
        <v>1.8464458851402481E-13</v>
      </c>
      <c r="BB26">
        <v>209.68608104450641</v>
      </c>
      <c r="BC26">
        <f t="shared" si="1"/>
        <v>209.68608104450641</v>
      </c>
      <c r="BF26">
        <v>-10.367599999999914</v>
      </c>
      <c r="BG26">
        <v>134.63075201447091</v>
      </c>
      <c r="BH26">
        <v>134.63075201447094</v>
      </c>
      <c r="BI26">
        <f t="shared" si="4"/>
        <v>190.39663541135369</v>
      </c>
      <c r="BJ26">
        <v>-11.51955555555546</v>
      </c>
      <c r="BK26">
        <v>149.58972446052323</v>
      </c>
      <c r="BL26">
        <v>149.58972446052326</v>
      </c>
      <c r="BM26">
        <f t="shared" si="5"/>
        <v>211.55181712372629</v>
      </c>
    </row>
    <row r="27" spans="1:65" x14ac:dyDescent="0.25">
      <c r="A27" s="1" t="s">
        <v>27</v>
      </c>
      <c r="B27" s="9">
        <f>D26</f>
        <v>9.5668395596950404</v>
      </c>
      <c r="C27" s="9">
        <f>E26</f>
        <v>7.2440030949091954</v>
      </c>
      <c r="D27" s="1">
        <f>F13</f>
        <v>-9.5668395596950404</v>
      </c>
      <c r="E27" s="9">
        <f>G13</f>
        <v>7.2440030949091954</v>
      </c>
      <c r="F27" s="7">
        <f>IF(AND(C27=0,E27=0,B27=0,D27=0),0,$B$9)</f>
        <v>4.25</v>
      </c>
      <c r="G27" s="7">
        <f>IF(AND(C27=0,E27=0,B27=0,D27=0),0,$B$9)</f>
        <v>4.25</v>
      </c>
      <c r="H27" s="7">
        <f t="shared" ref="H27:H28" si="7">(1/6)*(E27-C27)*((F27*((2*B27)+D27))+(G27*(B27+(2*D27))))</f>
        <v>0</v>
      </c>
      <c r="I27" s="7">
        <f t="shared" ref="I27:I28" si="8">((1/12)*(E27-C27)*(F27*B27*((3*C27)+E27)+F27*D27*(C27+E27)+G27*B27*(C27+E27)+G27*D27*(C27+(3*E27))))</f>
        <v>0</v>
      </c>
      <c r="J27" s="7">
        <f t="shared" ref="J27:J28" si="9">((-1/24)*(E27-C27)*(B27*B27*((3*F27)+G27)+2*B27*D27*(F27+G27)+D27*D27*(F27+(3*G27))))</f>
        <v>0</v>
      </c>
      <c r="AJ27">
        <v>4.3633231299858215</v>
      </c>
      <c r="AK27">
        <v>-88.822382813143619</v>
      </c>
      <c r="AL27">
        <v>-240.00100585857425</v>
      </c>
      <c r="AM27">
        <v>-98.691536459048464</v>
      </c>
      <c r="AN27">
        <v>-266.6677842873047</v>
      </c>
      <c r="AQ27">
        <v>25</v>
      </c>
      <c r="AR27">
        <f t="shared" si="2"/>
        <v>10.875693444439799</v>
      </c>
      <c r="AS27">
        <f t="shared" si="3"/>
        <v>5.0714191408883931</v>
      </c>
      <c r="AV27">
        <v>0</v>
      </c>
      <c r="AW27">
        <v>-4.0072740833603158E-13</v>
      </c>
      <c r="AX27">
        <v>195.45167071178926</v>
      </c>
      <c r="AY27">
        <f t="shared" si="0"/>
        <v>195.45167071178926</v>
      </c>
      <c r="AZ27">
        <v>0</v>
      </c>
      <c r="BA27">
        <v>-4.4525267592892395E-13</v>
      </c>
      <c r="BB27">
        <v>217.16852301309916</v>
      </c>
      <c r="BC27">
        <f t="shared" si="1"/>
        <v>217.16852301309916</v>
      </c>
      <c r="BF27">
        <v>0</v>
      </c>
      <c r="BG27">
        <v>139.44883885332385</v>
      </c>
      <c r="BH27">
        <v>139.44883885332382</v>
      </c>
      <c r="BI27">
        <f t="shared" si="4"/>
        <v>197.21043916355077</v>
      </c>
      <c r="BJ27">
        <v>0</v>
      </c>
      <c r="BK27">
        <v>154.94315428147095</v>
      </c>
      <c r="BL27">
        <v>154.9431542814709</v>
      </c>
      <c r="BM27">
        <f t="shared" si="5"/>
        <v>219.12271018172308</v>
      </c>
    </row>
    <row r="28" spans="1:65" ht="15.75" thickBot="1" x14ac:dyDescent="0.3">
      <c r="A28" s="1" t="s">
        <v>26</v>
      </c>
      <c r="B28" s="1">
        <f>D27</f>
        <v>-9.5668395596950404</v>
      </c>
      <c r="C28" s="9">
        <f>E27</f>
        <v>7.2440030949091954</v>
      </c>
      <c r="D28" s="1">
        <v>0</v>
      </c>
      <c r="E28" s="1">
        <v>0</v>
      </c>
      <c r="F28" s="7">
        <f>IF(AND(C28=0,E28=0,B28=0,D28=0),0,$B$9)</f>
        <v>4.25</v>
      </c>
      <c r="G28" s="7">
        <f>IF(AND(C28=0,E28=0,B28=0,D28=0),0,$B$9)</f>
        <v>4.25</v>
      </c>
      <c r="H28" s="11">
        <f t="shared" si="7"/>
        <v>147.2672076802275</v>
      </c>
      <c r="I28" s="11">
        <f t="shared" si="8"/>
        <v>711.20273880946888</v>
      </c>
      <c r="J28" s="11">
        <f t="shared" si="9"/>
        <v>469.62724942700862</v>
      </c>
      <c r="AJ28">
        <v>4.5378560551852543</v>
      </c>
      <c r="AK28">
        <v>-49.789216935426666</v>
      </c>
      <c r="AL28">
        <v>-253.26704638660718</v>
      </c>
      <c r="AM28">
        <v>-55.32135215047407</v>
      </c>
      <c r="AN28">
        <v>-281.4078293184524</v>
      </c>
      <c r="AQ28">
        <v>26</v>
      </c>
      <c r="AR28">
        <f t="shared" si="2"/>
        <v>10.785528555590005</v>
      </c>
      <c r="AS28">
        <f t="shared" si="3"/>
        <v>5.2604537614689288</v>
      </c>
      <c r="AV28">
        <v>28.473111151960392</v>
      </c>
      <c r="AW28">
        <v>-5.393063985489284E-13</v>
      </c>
      <c r="AX28">
        <v>213.72530889726897</v>
      </c>
      <c r="AY28">
        <f t="shared" si="0"/>
        <v>213.72530889726897</v>
      </c>
      <c r="AZ28">
        <v>31.636790168844879</v>
      </c>
      <c r="BA28">
        <v>-5.9922933172103158E-13</v>
      </c>
      <c r="BB28">
        <v>237.47256544140996</v>
      </c>
      <c r="BC28">
        <f t="shared" si="1"/>
        <v>237.47256544140996</v>
      </c>
      <c r="BF28">
        <v>28.473111151960392</v>
      </c>
      <c r="BG28">
        <v>152.54094220397914</v>
      </c>
      <c r="BH28">
        <v>152.54094220397906</v>
      </c>
      <c r="BI28">
        <f t="shared" si="4"/>
        <v>215.72546928203769</v>
      </c>
      <c r="BJ28">
        <v>31.636790168844879</v>
      </c>
      <c r="BK28">
        <v>169.48993578219904</v>
      </c>
      <c r="BL28">
        <v>169.48993578219896</v>
      </c>
      <c r="BM28">
        <f t="shared" si="5"/>
        <v>239.69496586893075</v>
      </c>
    </row>
    <row r="29" spans="1:65" ht="15.75" thickTop="1" x14ac:dyDescent="0.25">
      <c r="A29" s="1"/>
      <c r="B29" s="1"/>
      <c r="C29" s="1"/>
      <c r="D29" s="1"/>
      <c r="E29" s="1"/>
      <c r="F29" s="1"/>
      <c r="G29" s="1"/>
      <c r="H29" s="7">
        <f>SUM(H26:H28)</f>
        <v>294.534415360455</v>
      </c>
      <c r="I29" s="7">
        <f t="shared" ref="I29:J29" si="10">SUM(I26:I28)</f>
        <v>1422.4054776189378</v>
      </c>
      <c r="J29" s="7">
        <f t="shared" si="10"/>
        <v>0</v>
      </c>
      <c r="AJ29">
        <v>4.712388980384687</v>
      </c>
      <c r="AK29">
        <v>-8.0295071220042727E-13</v>
      </c>
      <c r="AL29">
        <v>-257.76911217243531</v>
      </c>
      <c r="AM29">
        <v>-8.9216745800047469E-13</v>
      </c>
      <c r="AN29">
        <v>-286.41012463603926</v>
      </c>
      <c r="AQ29">
        <v>27</v>
      </c>
      <c r="AR29">
        <f t="shared" si="2"/>
        <v>10.692078290260415</v>
      </c>
      <c r="AS29">
        <f t="shared" si="3"/>
        <v>5.447885996874561</v>
      </c>
      <c r="AV29">
        <v>56.946222303920784</v>
      </c>
      <c r="AW29">
        <v>2.9997963645333793E-13</v>
      </c>
      <c r="AX29">
        <v>231.61241219394441</v>
      </c>
      <c r="AY29">
        <f t="shared" si="0"/>
        <v>231.61241219394441</v>
      </c>
      <c r="AZ29">
        <v>63.273580337689758</v>
      </c>
      <c r="BA29">
        <v>3.3331070717037548E-13</v>
      </c>
      <c r="BB29">
        <v>257.34712465993823</v>
      </c>
      <c r="BC29">
        <f t="shared" si="1"/>
        <v>257.34712465993823</v>
      </c>
      <c r="BF29">
        <v>56.946222303920784</v>
      </c>
      <c r="BG29">
        <v>165.38568172548904</v>
      </c>
      <c r="BH29">
        <v>165.38568172548901</v>
      </c>
      <c r="BI29">
        <f t="shared" si="4"/>
        <v>233.89067411850672</v>
      </c>
      <c r="BJ29">
        <v>63.273580337689758</v>
      </c>
      <c r="BK29">
        <v>183.76186858387669</v>
      </c>
      <c r="BL29">
        <v>183.76186858387666</v>
      </c>
      <c r="BM29">
        <f t="shared" si="5"/>
        <v>259.87852679834077</v>
      </c>
    </row>
    <row r="30" spans="1:65" x14ac:dyDescent="0.25">
      <c r="A30" s="1"/>
      <c r="B30" s="1"/>
      <c r="C30" s="1"/>
      <c r="D30" s="1"/>
      <c r="E30" s="1"/>
      <c r="F30" s="1"/>
      <c r="G30" s="1"/>
      <c r="H30" s="7"/>
      <c r="I30" s="1"/>
      <c r="J30" s="1"/>
      <c r="L30">
        <f>((I31*COS(-1*B10))+(J31*SIN(-1*B10)))</f>
        <v>4.2375399635066672E-13</v>
      </c>
      <c r="AJ30">
        <v>4.8869219055841198</v>
      </c>
      <c r="AK30">
        <v>49.789216935425095</v>
      </c>
      <c r="AL30">
        <v>-253.26704638660803</v>
      </c>
      <c r="AM30">
        <v>55.321352150472329</v>
      </c>
      <c r="AN30">
        <v>-281.40782931845337</v>
      </c>
      <c r="AQ30">
        <v>28</v>
      </c>
      <c r="AR30">
        <f t="shared" si="2"/>
        <v>10.595371114307124</v>
      </c>
      <c r="AS30">
        <f t="shared" si="3"/>
        <v>5.6336587534306899</v>
      </c>
      <c r="AV30">
        <v>85.419333455881173</v>
      </c>
      <c r="AW30">
        <v>3.0177036486838592E-14</v>
      </c>
      <c r="AX30">
        <v>249.04147696965197</v>
      </c>
      <c r="AY30">
        <f t="shared" si="0"/>
        <v>249.04147696965197</v>
      </c>
      <c r="AZ30">
        <v>94.910370506534633</v>
      </c>
      <c r="BA30">
        <v>3.353004054093177E-14</v>
      </c>
      <c r="BB30">
        <v>276.71275218850218</v>
      </c>
      <c r="BC30">
        <f t="shared" si="1"/>
        <v>276.71275218850218</v>
      </c>
      <c r="BF30">
        <v>85.419333455881173</v>
      </c>
      <c r="BG30">
        <v>177.93473257692906</v>
      </c>
      <c r="BH30">
        <v>177.93473257692909</v>
      </c>
      <c r="BI30">
        <f t="shared" si="4"/>
        <v>251.63771202752289</v>
      </c>
      <c r="BJ30">
        <v>94.910370506534633</v>
      </c>
      <c r="BK30">
        <v>197.70525841881008</v>
      </c>
      <c r="BL30">
        <v>197.7052584188101</v>
      </c>
      <c r="BM30">
        <f t="shared" si="5"/>
        <v>279.59745780835874</v>
      </c>
    </row>
    <row r="31" spans="1:65" x14ac:dyDescent="0.25">
      <c r="A31" s="2" t="s">
        <v>85</v>
      </c>
      <c r="B31" s="5">
        <v>8</v>
      </c>
      <c r="C31" s="1"/>
      <c r="D31" s="2" t="s">
        <v>74</v>
      </c>
      <c r="E31" s="8">
        <v>2.8124999999999991</v>
      </c>
      <c r="F31" s="1"/>
      <c r="G31" s="1" t="s">
        <v>73</v>
      </c>
      <c r="H31" s="7">
        <f>H24-H29</f>
        <v>270.16021243707678</v>
      </c>
      <c r="I31" s="7">
        <f>(I24-I29)</f>
        <v>2480.8650627366383</v>
      </c>
      <c r="J31" s="7">
        <f t="shared" ref="J31" si="11">J24-J29</f>
        <v>-2.7178259642823827E-13</v>
      </c>
      <c r="L31">
        <f>(-1*(I31)*SIN(-1*B10))+((J31)*COS(-1*B10))</f>
        <v>2480.8650627366383</v>
      </c>
      <c r="AJ31">
        <v>5.0614548307835525</v>
      </c>
      <c r="AK31">
        <v>88.82238281410099</v>
      </c>
      <c r="AL31">
        <v>-240.00100586146948</v>
      </c>
      <c r="AM31">
        <v>98.691536460112204</v>
      </c>
      <c r="AN31">
        <v>-266.66778429052164</v>
      </c>
      <c r="AQ31">
        <v>29</v>
      </c>
      <c r="AR31">
        <f t="shared" si="2"/>
        <v>10.495436485672748</v>
      </c>
      <c r="AS31">
        <f t="shared" si="3"/>
        <v>5.8177154429560449</v>
      </c>
      <c r="AV31">
        <v>113.89244460784157</v>
      </c>
      <c r="AW31">
        <v>2.2686386924847102E-14</v>
      </c>
      <c r="AX31">
        <v>265.9514810263762</v>
      </c>
      <c r="AY31">
        <f t="shared" si="0"/>
        <v>265.9514810263762</v>
      </c>
      <c r="AZ31">
        <v>126.54716067537952</v>
      </c>
      <c r="BA31">
        <v>2.5207096583163445E-14</v>
      </c>
      <c r="BB31">
        <v>295.50164558486244</v>
      </c>
      <c r="BC31">
        <f t="shared" si="1"/>
        <v>295.50164558486244</v>
      </c>
      <c r="BF31">
        <v>113.89244460784157</v>
      </c>
      <c r="BG31">
        <v>190.14638584847401</v>
      </c>
      <c r="BH31">
        <v>190.14638584847401</v>
      </c>
      <c r="BI31">
        <f t="shared" si="4"/>
        <v>268.90759770313952</v>
      </c>
      <c r="BJ31">
        <v>126.54716067537952</v>
      </c>
      <c r="BK31">
        <v>211.27376205386</v>
      </c>
      <c r="BL31">
        <v>211.27376205386</v>
      </c>
      <c r="BM31">
        <f t="shared" si="5"/>
        <v>298.78621967015499</v>
      </c>
    </row>
    <row r="32" spans="1:65" x14ac:dyDescent="0.25">
      <c r="A32" s="2" t="s">
        <v>86</v>
      </c>
      <c r="B32" s="37">
        <f ca="1">C109/(PI()*B3*B3)</f>
        <v>1.0610329539459689E-2</v>
      </c>
      <c r="D32" t="s">
        <v>45</v>
      </c>
      <c r="E32" s="14">
        <f>360/B31</f>
        <v>45</v>
      </c>
      <c r="AJ32">
        <v>5.2359877559829853</v>
      </c>
      <c r="AK32">
        <v>124.94153145834925</v>
      </c>
      <c r="AL32">
        <v>-224.51855011374505</v>
      </c>
      <c r="AM32">
        <v>138.82392384261027</v>
      </c>
      <c r="AN32">
        <v>-249.46505568193894</v>
      </c>
      <c r="AQ32">
        <v>30</v>
      </c>
      <c r="AR32">
        <f t="shared" si="2"/>
        <v>10.392304845413264</v>
      </c>
      <c r="AS32">
        <f t="shared" si="3"/>
        <v>5.9999999999999991</v>
      </c>
      <c r="AV32">
        <v>142.36555575980196</v>
      </c>
      <c r="AW32">
        <v>3.030841268509375E-13</v>
      </c>
      <c r="AX32">
        <v>282.29182798492451</v>
      </c>
      <c r="AY32">
        <f t="shared" si="0"/>
        <v>282.29182798492451</v>
      </c>
      <c r="AZ32">
        <v>158.1839508442244</v>
      </c>
      <c r="BA32">
        <v>3.3676014094548609E-13</v>
      </c>
      <c r="BB32">
        <v>313.65758664991614</v>
      </c>
      <c r="BC32">
        <f t="shared" si="1"/>
        <v>313.65758664991614</v>
      </c>
      <c r="BF32">
        <v>142.36555575980196</v>
      </c>
      <c r="BG32">
        <v>201.9856599926641</v>
      </c>
      <c r="BH32">
        <v>201.98565999266407</v>
      </c>
      <c r="BI32">
        <f t="shared" si="4"/>
        <v>285.65085976650624</v>
      </c>
      <c r="BJ32">
        <v>158.1839508442244</v>
      </c>
      <c r="BK32">
        <v>224.4285111029601</v>
      </c>
      <c r="BL32">
        <v>224.42851110296007</v>
      </c>
      <c r="BM32">
        <f t="shared" si="5"/>
        <v>317.38984418500689</v>
      </c>
    </row>
    <row r="33" spans="1:65" x14ac:dyDescent="0.25">
      <c r="D33" s="2" t="s">
        <v>13</v>
      </c>
      <c r="E33" s="14">
        <f>(B3-E31)*COS(RADIANS(E32))</f>
        <v>6.4965435521514054</v>
      </c>
      <c r="AJ33">
        <v>5.410520681182418</v>
      </c>
      <c r="AK33">
        <v>164.05564102191622</v>
      </c>
      <c r="AL33">
        <v>-198.95114953340308</v>
      </c>
      <c r="AM33">
        <v>182.28404557990692</v>
      </c>
      <c r="AN33">
        <v>-221.05683281489232</v>
      </c>
      <c r="AQ33">
        <v>31</v>
      </c>
      <c r="AR33">
        <f t="shared" si="2"/>
        <v>10.286007608425347</v>
      </c>
      <c r="AS33">
        <f t="shared" si="3"/>
        <v>6.1804568989206494</v>
      </c>
      <c r="AV33">
        <v>170.83866691176235</v>
      </c>
      <c r="AW33">
        <v>-8.0123015902863925E-14</v>
      </c>
      <c r="AX33">
        <v>298.01921630629101</v>
      </c>
      <c r="AY33">
        <f t="shared" si="0"/>
        <v>298.01921630629101</v>
      </c>
      <c r="AZ33">
        <v>189.82074101306927</v>
      </c>
      <c r="BA33">
        <v>-8.9025573225404353E-14</v>
      </c>
      <c r="BB33">
        <v>331.13246256254558</v>
      </c>
      <c r="BC33">
        <f t="shared" si="1"/>
        <v>331.13246256254558</v>
      </c>
      <c r="BF33">
        <v>170.83866691176235</v>
      </c>
      <c r="BG33">
        <v>213.42387663860077</v>
      </c>
      <c r="BH33">
        <v>213.42387663860075</v>
      </c>
      <c r="BI33">
        <f t="shared" si="4"/>
        <v>301.82694087655153</v>
      </c>
      <c r="BJ33">
        <v>189.82074101306927</v>
      </c>
      <c r="BK33">
        <v>237.13764070955642</v>
      </c>
      <c r="BL33">
        <v>237.13764070955636</v>
      </c>
      <c r="BM33">
        <f t="shared" si="5"/>
        <v>335.36326764061283</v>
      </c>
    </row>
    <row r="34" spans="1:65" x14ac:dyDescent="0.25">
      <c r="A34" t="s">
        <v>37</v>
      </c>
      <c r="D34" s="2" t="s">
        <v>14</v>
      </c>
      <c r="E34" s="14">
        <f>(B3-E31)*SIN(RADIANS(E32))</f>
        <v>6.4965435521514046</v>
      </c>
      <c r="Z34" t="str">
        <f>"Mx vs My @ Pu = " &amp;AI1&amp;" Kips"</f>
        <v>Mx vs My @ Pu = 100 Kips</v>
      </c>
      <c r="AJ34">
        <v>5.5850536063818508</v>
      </c>
      <c r="AK34">
        <v>198.95114953340382</v>
      </c>
      <c r="AL34">
        <v>-164.05564102191934</v>
      </c>
      <c r="AM34">
        <v>221.05683281489314</v>
      </c>
      <c r="AN34">
        <v>-182.28404557991038</v>
      </c>
      <c r="AQ34">
        <v>32</v>
      </c>
      <c r="AR34">
        <f t="shared" si="2"/>
        <v>10.176577153877112</v>
      </c>
      <c r="AS34">
        <f t="shared" si="3"/>
        <v>6.3590311707984588</v>
      </c>
      <c r="AV34">
        <v>199.31177806372273</v>
      </c>
      <c r="AW34">
        <v>-4.014272037473747E-14</v>
      </c>
      <c r="AX34">
        <v>310.95548639356809</v>
      </c>
      <c r="AY34">
        <f t="shared" si="0"/>
        <v>310.95548639356809</v>
      </c>
      <c r="AZ34">
        <v>221.45753118191413</v>
      </c>
      <c r="BA34">
        <v>-4.460302263859719E-14</v>
      </c>
      <c r="BB34">
        <v>345.50609599285343</v>
      </c>
      <c r="BC34">
        <f t="shared" si="1"/>
        <v>345.50609599285343</v>
      </c>
      <c r="BF34">
        <v>199.31177806372273</v>
      </c>
      <c r="BG34">
        <v>223.94695977056742</v>
      </c>
      <c r="BH34">
        <v>223.94695977056742</v>
      </c>
      <c r="BI34">
        <f t="shared" si="4"/>
        <v>316.70882775975838</v>
      </c>
      <c r="BJ34">
        <v>221.45753118191413</v>
      </c>
      <c r="BK34">
        <v>248.82995530063044</v>
      </c>
      <c r="BL34">
        <v>248.82995530063044</v>
      </c>
      <c r="BM34">
        <f t="shared" si="5"/>
        <v>351.89869751084257</v>
      </c>
    </row>
    <row r="35" spans="1:65" x14ac:dyDescent="0.25">
      <c r="B35" s="1" t="s">
        <v>54</v>
      </c>
      <c r="C35" s="8">
        <v>60</v>
      </c>
      <c r="D35" s="1" t="s">
        <v>2</v>
      </c>
      <c r="E35" s="1" t="s">
        <v>55</v>
      </c>
      <c r="F35" s="8">
        <v>29000</v>
      </c>
      <c r="G35" s="1" t="s">
        <v>2</v>
      </c>
      <c r="Q35" s="1" t="s">
        <v>39</v>
      </c>
      <c r="R35" s="1" t="s">
        <v>40</v>
      </c>
      <c r="S35" s="1" t="s">
        <v>41</v>
      </c>
      <c r="U35" s="1" t="s">
        <v>120</v>
      </c>
      <c r="X35" t="s">
        <v>121</v>
      </c>
      <c r="AJ35">
        <v>5.7595865315812835</v>
      </c>
      <c r="AK35">
        <v>224.51855011374494</v>
      </c>
      <c r="AL35">
        <v>-124.94153145835109</v>
      </c>
      <c r="AM35">
        <v>249.46505568193882</v>
      </c>
      <c r="AN35">
        <v>-138.82392384261232</v>
      </c>
      <c r="AQ35">
        <v>33</v>
      </c>
      <c r="AR35">
        <f t="shared" si="2"/>
        <v>10.064046815345089</v>
      </c>
      <c r="AS35">
        <f t="shared" si="3"/>
        <v>6.5356684201803255</v>
      </c>
      <c r="AV35">
        <v>227.78488921568311</v>
      </c>
      <c r="AW35">
        <v>-4.3714356614124115E-14</v>
      </c>
      <c r="AX35">
        <v>322.24587609945144</v>
      </c>
      <c r="AY35">
        <f t="shared" si="0"/>
        <v>322.24587609945144</v>
      </c>
      <c r="AZ35">
        <v>253.094321350759</v>
      </c>
      <c r="BA35">
        <v>-4.8571507349026795E-14</v>
      </c>
      <c r="BB35">
        <v>358.05097344383495</v>
      </c>
      <c r="BC35">
        <f t="shared" si="1"/>
        <v>358.05097344383495</v>
      </c>
      <c r="BF35">
        <v>227.78488921568311</v>
      </c>
      <c r="BG35">
        <v>232.19705768401883</v>
      </c>
      <c r="BH35">
        <v>232.19705768401883</v>
      </c>
      <c r="BI35">
        <f t="shared" si="4"/>
        <v>328.37622811986733</v>
      </c>
      <c r="BJ35">
        <v>253.094321350759</v>
      </c>
      <c r="BK35">
        <v>257.99673076002091</v>
      </c>
      <c r="BL35">
        <v>257.99673076002091</v>
      </c>
      <c r="BM35">
        <f t="shared" si="5"/>
        <v>364.86247568874143</v>
      </c>
    </row>
    <row r="36" spans="1:65" x14ac:dyDescent="0.25">
      <c r="B36" s="1" t="s">
        <v>38</v>
      </c>
      <c r="C36" t="s">
        <v>42</v>
      </c>
      <c r="D36" s="1" t="s">
        <v>13</v>
      </c>
      <c r="E36" s="1" t="s">
        <v>14</v>
      </c>
      <c r="G36" s="1" t="s">
        <v>43</v>
      </c>
      <c r="H36" s="1" t="s">
        <v>44</v>
      </c>
      <c r="I36" s="1" t="s">
        <v>46</v>
      </c>
      <c r="J36" s="1" t="s">
        <v>47</v>
      </c>
      <c r="K36" s="1" t="s">
        <v>48</v>
      </c>
      <c r="L36" s="1" t="s">
        <v>49</v>
      </c>
      <c r="M36" s="1" t="s">
        <v>50</v>
      </c>
      <c r="N36" s="1" t="s">
        <v>51</v>
      </c>
      <c r="O36" s="1" t="s">
        <v>52</v>
      </c>
      <c r="P36" s="1" t="s">
        <v>53</v>
      </c>
      <c r="Q36" s="1">
        <v>0</v>
      </c>
      <c r="R36" s="7">
        <v>0</v>
      </c>
      <c r="S36" s="7">
        <v>0</v>
      </c>
      <c r="Z36">
        <v>0</v>
      </c>
      <c r="AA36">
        <v>0</v>
      </c>
      <c r="AJ36">
        <v>5.9341194567807163</v>
      </c>
      <c r="AK36">
        <v>240.00100585857408</v>
      </c>
      <c r="AL36">
        <v>-88.822382813144003</v>
      </c>
      <c r="AM36">
        <v>266.66778428730453</v>
      </c>
      <c r="AN36">
        <v>-98.691536459048891</v>
      </c>
      <c r="AQ36">
        <v>34</v>
      </c>
      <c r="AR36">
        <f t="shared" si="2"/>
        <v>9.9484508706604995</v>
      </c>
      <c r="AS36">
        <f t="shared" si="3"/>
        <v>6.7103148416489624</v>
      </c>
      <c r="AV36">
        <v>256.25800036764349</v>
      </c>
      <c r="AW36">
        <v>3.5338854852900011E-14</v>
      </c>
      <c r="AX36">
        <v>333.3058507339959</v>
      </c>
      <c r="AY36">
        <f t="shared" si="0"/>
        <v>333.3058507339959</v>
      </c>
      <c r="AZ36">
        <v>284.73111151960387</v>
      </c>
      <c r="BA36">
        <v>3.9265394281000013E-14</v>
      </c>
      <c r="BB36">
        <v>370.33983414888434</v>
      </c>
      <c r="BC36">
        <f t="shared" si="1"/>
        <v>370.33983414888434</v>
      </c>
      <c r="BF36">
        <v>256.25800036764349</v>
      </c>
      <c r="BG36">
        <v>240.30198172202188</v>
      </c>
      <c r="BH36">
        <v>240.30198172202188</v>
      </c>
      <c r="BI36">
        <f t="shared" si="4"/>
        <v>339.83832161641493</v>
      </c>
      <c r="BJ36">
        <v>284.73111151960387</v>
      </c>
      <c r="BK36">
        <v>267.00220191335762</v>
      </c>
      <c r="BL36">
        <v>267.00220191335762</v>
      </c>
      <c r="BM36">
        <f t="shared" si="5"/>
        <v>377.59813512934994</v>
      </c>
    </row>
    <row r="37" spans="1:65" x14ac:dyDescent="0.25">
      <c r="A37">
        <v>1</v>
      </c>
      <c r="B37" s="5">
        <v>7</v>
      </c>
      <c r="C37" s="1">
        <f t="shared" ref="C37:C68" ca="1" si="12">IF(A37&lt;=$B$31,OFFSET($Q$36,MATCH(B37,$Q$36:$Q$47,0)-1,2),0)</f>
        <v>0.6</v>
      </c>
      <c r="D37" s="46">
        <f>IF($E$32*(A37-1)&gt;=360,0,($B$3-$E$31)*COS(RADIANS(($E$32*(A37-1)))))</f>
        <v>9.1875</v>
      </c>
      <c r="E37" s="46">
        <f>IF($E$32*(A37-1)&gt;=360,0,($B$3-$E$31)*SIN(RADIANS($E$32*(A37-1))))</f>
        <v>0</v>
      </c>
      <c r="G37">
        <f ca="1">IF(C37=0,NA(),D37)</f>
        <v>9.1875</v>
      </c>
      <c r="H37">
        <f ca="1">IF(C37=0,NA(),E37)</f>
        <v>0</v>
      </c>
      <c r="I37" s="7">
        <f>D37*COS($B$10)+E37*SIN($B$10)</f>
        <v>5.6280257147364732E-16</v>
      </c>
      <c r="J37" s="7">
        <f>-1*D37*SIN($B$10)+E37*COS($B$10)</f>
        <v>-9.1875</v>
      </c>
      <c r="K37">
        <f>IF(B37=0,0,$B$3-J37)</f>
        <v>21.1875</v>
      </c>
      <c r="L37" s="15">
        <f ca="1">IF($B$11&lt;=0,-1,IF(C37=0,0,(($B$11-K37)/$B$11)*$B$13)*IF($B$11&lt;0,-1,1))</f>
        <v>-7.6917647371827153E-3</v>
      </c>
      <c r="M37" s="9">
        <f t="shared" ref="M37:M68" ca="1" si="13">IF(AND(L37&gt;0,K37&lt;=$B$12),MIN((L37*F$35),C$35)-IF($B$2="Whitney",$B$9,B151),MAX(L37*F$35,-1*C$35))</f>
        <v>-60</v>
      </c>
      <c r="N37" s="7">
        <f ca="1">M37*C37</f>
        <v>-36</v>
      </c>
      <c r="O37" s="7">
        <f ca="1">N37*J37</f>
        <v>330.75</v>
      </c>
      <c r="P37" s="7">
        <f ca="1">N37*I37</f>
        <v>-2.0260892573051303E-14</v>
      </c>
      <c r="Q37" s="1">
        <v>3</v>
      </c>
      <c r="R37" s="7">
        <v>0.375</v>
      </c>
      <c r="S37" s="7">
        <v>0.11</v>
      </c>
      <c r="U37">
        <f ca="1">IF(AND(N37&lt;0,C37&gt;0),D37,NA())</f>
        <v>9.1875</v>
      </c>
      <c r="V37">
        <f ca="1">IF(AND(N37&lt;0,C37&gt;0),E37,NA())</f>
        <v>0</v>
      </c>
      <c r="X37" t="e">
        <f ca="1">IF(AND(N37&gt;=0,C37&gt;0),D37,NA())</f>
        <v>#N/A</v>
      </c>
      <c r="Y37" t="e">
        <f ca="1">IF(AND(N37&gt;=0,C37&gt;0),E37,NA())</f>
        <v>#N/A</v>
      </c>
      <c r="Z37" s="10">
        <f>J10</f>
        <v>0</v>
      </c>
      <c r="AA37" s="10">
        <f>J11</f>
        <v>10</v>
      </c>
      <c r="AJ37">
        <v>6.108652381980149</v>
      </c>
      <c r="AK37">
        <v>253.26704638660743</v>
      </c>
      <c r="AL37">
        <v>-49.78921693542744</v>
      </c>
      <c r="AM37">
        <v>281.40782931845268</v>
      </c>
      <c r="AN37">
        <v>-55.321352150474929</v>
      </c>
      <c r="AQ37">
        <v>35</v>
      </c>
      <c r="AR37">
        <f t="shared" si="2"/>
        <v>9.8298245314679011</v>
      </c>
      <c r="AS37">
        <f t="shared" si="3"/>
        <v>6.8829172362125526</v>
      </c>
      <c r="AV37">
        <v>284.73111151960387</v>
      </c>
      <c r="AW37">
        <v>1.0016680208797484E-13</v>
      </c>
      <c r="AX37">
        <v>335.39264380589447</v>
      </c>
      <c r="AY37">
        <f t="shared" si="0"/>
        <v>335.39264380589447</v>
      </c>
      <c r="AZ37">
        <v>328.35742613369638</v>
      </c>
      <c r="BA37">
        <v>1.155142939670864E-13</v>
      </c>
      <c r="BB37">
        <v>386.78128525023067</v>
      </c>
      <c r="BC37">
        <f t="shared" si="1"/>
        <v>386.78128525023067</v>
      </c>
      <c r="BF37">
        <v>284.73111151960387</v>
      </c>
      <c r="BG37">
        <v>245.73451069566539</v>
      </c>
      <c r="BH37">
        <v>245.73451069566536</v>
      </c>
      <c r="BI37">
        <f t="shared" si="4"/>
        <v>347.52107776892638</v>
      </c>
      <c r="BJ37">
        <v>321.08870847853166</v>
      </c>
      <c r="BK37">
        <v>277.11259316473621</v>
      </c>
      <c r="BL37">
        <v>277.11259316473615</v>
      </c>
      <c r="BM37">
        <f t="shared" si="5"/>
        <v>391.89638755794772</v>
      </c>
    </row>
    <row r="38" spans="1:65" x14ac:dyDescent="0.25">
      <c r="A38">
        <v>2</v>
      </c>
      <c r="B38" s="5">
        <v>7</v>
      </c>
      <c r="C38" s="1">
        <f t="shared" ca="1" si="12"/>
        <v>0.6</v>
      </c>
      <c r="D38" s="46">
        <f t="shared" ref="D38:D101" si="14">IF($E$32*(A38-1)&gt;=360,0,($B$3-$E$31)*COS(RADIANS(($E$32*(A38-1)))))</f>
        <v>6.4965435521514054</v>
      </c>
      <c r="E38" s="46">
        <f t="shared" ref="E38:E101" si="15">IF($E$32*(A38-1)&gt;=360,0,($B$3-$E$31)*SIN(RADIANS($E$32*(A38-1))))</f>
        <v>6.4965435521514046</v>
      </c>
      <c r="G38">
        <f t="shared" ref="G38:G101" ca="1" si="16">IF(C38=0,NA(),D38)</f>
        <v>6.4965435521514054</v>
      </c>
      <c r="H38">
        <f t="shared" ref="H38:H101" ca="1" si="17">IF(C38=0,NA(),E38)</f>
        <v>6.4965435521514046</v>
      </c>
      <c r="I38" s="7">
        <f t="shared" ref="I38:I101" si="18">D38*COS($B$10)+E38*SIN($B$10)</f>
        <v>6.4965435521514046</v>
      </c>
      <c r="J38" s="7">
        <f t="shared" ref="J38:J101" si="19">-1*D38*SIN($B$10)+E38*COS($B$10)</f>
        <v>-6.4965435521514054</v>
      </c>
      <c r="K38">
        <f t="shared" ref="K38:K101" si="20">IF(B38=0,0,$B$3-J38)</f>
        <v>18.496543552151405</v>
      </c>
      <c r="L38" s="15">
        <f t="shared" ref="L38:L101" ca="1" si="21">IF($B$11&lt;=0,-1,IF(C38=0,0,(($B$11-K38)/$B$11)*$B$13)*IF($B$11&lt;0,-1,1))</f>
        <v>-6.3338379757242116E-3</v>
      </c>
      <c r="M38" s="9">
        <f t="shared" ca="1" si="13"/>
        <v>-60</v>
      </c>
      <c r="N38" s="7">
        <f t="shared" ref="N38:N101" ca="1" si="22">M38*C38</f>
        <v>-36</v>
      </c>
      <c r="O38" s="7">
        <f t="shared" ref="O38:O101" ca="1" si="23">N38*J38</f>
        <v>233.87556787745061</v>
      </c>
      <c r="P38" s="7">
        <f t="shared" ref="P38:P101" ca="1" si="24">N38*I38</f>
        <v>-233.87556787745058</v>
      </c>
      <c r="Q38" s="1">
        <v>4</v>
      </c>
      <c r="R38" s="7">
        <v>0.5</v>
      </c>
      <c r="S38" s="7">
        <v>0.2</v>
      </c>
      <c r="U38">
        <f t="shared" ref="U38:U101" ca="1" si="25">IF(AND(N38&lt;0,C38&gt;0),D38,NA())</f>
        <v>6.4965435521514054</v>
      </c>
      <c r="V38">
        <f t="shared" ref="V38:V101" ca="1" si="26">IF(AND(N38&lt;0,C38&gt;0),E38,NA())</f>
        <v>6.4965435521514046</v>
      </c>
      <c r="X38" t="e">
        <f t="shared" ref="X38:X101" ca="1" si="27">IF(AND(N38&gt;=0,C38&gt;0),D38,NA())</f>
        <v>#N/A</v>
      </c>
      <c r="Y38" t="e">
        <f t="shared" ref="Y38:Y101" ca="1" si="28">IF(AND(N38&gt;=0,C38&gt;0),E38,NA())</f>
        <v>#N/A</v>
      </c>
      <c r="Z38" s="10">
        <f ca="1">J4</f>
        <v>2.2185156096902196E-14</v>
      </c>
      <c r="AA38" s="10">
        <f ca="1">J5</f>
        <v>257.76911217243531</v>
      </c>
      <c r="AJ38">
        <v>6.2831853071795818</v>
      </c>
      <c r="AK38">
        <v>257.76911217243531</v>
      </c>
      <c r="AL38">
        <v>-1.3187305661629101E-12</v>
      </c>
      <c r="AM38">
        <v>286.41012463603926</v>
      </c>
      <c r="AN38">
        <v>-1.4652561846254557E-12</v>
      </c>
      <c r="AQ38">
        <v>36</v>
      </c>
      <c r="AR38">
        <f t="shared" si="2"/>
        <v>9.7082039324993694</v>
      </c>
      <c r="AS38">
        <f t="shared" si="3"/>
        <v>7.0534230275096776</v>
      </c>
      <c r="AV38">
        <v>313.20422267156425</v>
      </c>
      <c r="AW38">
        <v>3.2394344245273663E-14</v>
      </c>
      <c r="AX38">
        <v>335.99757877039218</v>
      </c>
      <c r="AY38">
        <f t="shared" si="0"/>
        <v>335.99757877039218</v>
      </c>
      <c r="AZ38">
        <v>376.81173906555472</v>
      </c>
      <c r="BA38">
        <v>3.8973194827420965E-14</v>
      </c>
      <c r="BB38">
        <v>404.23411567810217</v>
      </c>
      <c r="BC38">
        <f t="shared" si="1"/>
        <v>404.23411567810217</v>
      </c>
      <c r="BF38">
        <v>313.20422267156425</v>
      </c>
      <c r="BG38">
        <v>246.69485528343199</v>
      </c>
      <c r="BH38">
        <v>246.69485528343196</v>
      </c>
      <c r="BI38">
        <f t="shared" si="4"/>
        <v>348.87921010949748</v>
      </c>
      <c r="BJ38">
        <v>367.7295915897447</v>
      </c>
      <c r="BK38">
        <v>289.64168364931754</v>
      </c>
      <c r="BL38">
        <v>289.64168364931749</v>
      </c>
      <c r="BM38">
        <f t="shared" si="5"/>
        <v>409.61519724544235</v>
      </c>
    </row>
    <row r="39" spans="1:65" x14ac:dyDescent="0.25">
      <c r="A39">
        <v>3</v>
      </c>
      <c r="B39" s="5">
        <v>7</v>
      </c>
      <c r="C39" s="1">
        <f t="shared" ca="1" si="12"/>
        <v>0.6</v>
      </c>
      <c r="D39" s="46">
        <f t="shared" si="14"/>
        <v>5.6280257147364732E-16</v>
      </c>
      <c r="E39" s="46">
        <f t="shared" si="15"/>
        <v>9.1875</v>
      </c>
      <c r="G39">
        <f t="shared" ca="1" si="16"/>
        <v>5.6280257147364732E-16</v>
      </c>
      <c r="H39">
        <f t="shared" ca="1" si="17"/>
        <v>9.1875</v>
      </c>
      <c r="I39" s="7">
        <f t="shared" si="18"/>
        <v>9.1875</v>
      </c>
      <c r="J39" s="7">
        <f t="shared" si="19"/>
        <v>0</v>
      </c>
      <c r="K39">
        <f t="shared" si="20"/>
        <v>12</v>
      </c>
      <c r="L39" s="15">
        <f t="shared" ca="1" si="21"/>
        <v>-3.0555127715017148E-3</v>
      </c>
      <c r="M39" s="9">
        <f t="shared" ca="1" si="13"/>
        <v>-60</v>
      </c>
      <c r="N39" s="7">
        <f t="shared" ca="1" si="22"/>
        <v>-36</v>
      </c>
      <c r="O39" s="7">
        <f t="shared" ca="1" si="23"/>
        <v>0</v>
      </c>
      <c r="P39" s="7">
        <f t="shared" ca="1" si="24"/>
        <v>-330.75</v>
      </c>
      <c r="Q39" s="1">
        <v>5</v>
      </c>
      <c r="R39" s="7">
        <v>0.625</v>
      </c>
      <c r="S39" s="7">
        <v>0.31</v>
      </c>
      <c r="U39">
        <f t="shared" ca="1" si="25"/>
        <v>5.6280257147364732E-16</v>
      </c>
      <c r="V39">
        <f t="shared" ca="1" si="26"/>
        <v>9.1875</v>
      </c>
      <c r="X39" t="e">
        <f t="shared" ca="1" si="27"/>
        <v>#N/A</v>
      </c>
      <c r="Y39" t="e">
        <f t="shared" ca="1" si="28"/>
        <v>#N/A</v>
      </c>
      <c r="AJ39">
        <v>6.4577182323790145</v>
      </c>
      <c r="AK39">
        <v>257.76911217243531</v>
      </c>
      <c r="AL39">
        <v>-5.676620127840427E-14</v>
      </c>
      <c r="AM39">
        <v>286.41012463603926</v>
      </c>
      <c r="AN39">
        <v>-6.3073556976004744E-14</v>
      </c>
      <c r="AQ39">
        <v>37</v>
      </c>
      <c r="AR39">
        <f t="shared" si="2"/>
        <v>9.583626120567514</v>
      </c>
      <c r="AS39">
        <f t="shared" si="3"/>
        <v>7.2217802778245792</v>
      </c>
      <c r="AV39">
        <v>341.67733382352463</v>
      </c>
      <c r="AW39">
        <v>2.6207534817163192E-14</v>
      </c>
      <c r="AX39">
        <v>335.55634515547268</v>
      </c>
      <c r="AY39">
        <f t="shared" si="0"/>
        <v>335.55634515547268</v>
      </c>
      <c r="AZ39">
        <v>429.52403933291123</v>
      </c>
      <c r="BA39">
        <v>3.2945604233261579E-14</v>
      </c>
      <c r="BB39">
        <v>421.82931826964466</v>
      </c>
      <c r="BC39">
        <f t="shared" si="1"/>
        <v>421.82931826964466</v>
      </c>
      <c r="BF39">
        <v>341.67733382352463</v>
      </c>
      <c r="BG39">
        <v>247.24806081748275</v>
      </c>
      <c r="BH39">
        <v>247.24806081748275</v>
      </c>
      <c r="BI39">
        <f t="shared" si="4"/>
        <v>349.66156087853193</v>
      </c>
      <c r="BJ39">
        <v>418.04223135257286</v>
      </c>
      <c r="BK39">
        <v>302.50801212093967</v>
      </c>
      <c r="BL39">
        <v>302.50801212093967</v>
      </c>
      <c r="BM39">
        <f t="shared" si="5"/>
        <v>427.81093346795751</v>
      </c>
    </row>
    <row r="40" spans="1:65" x14ac:dyDescent="0.25">
      <c r="A40">
        <v>4</v>
      </c>
      <c r="B40" s="5">
        <v>7</v>
      </c>
      <c r="C40" s="1">
        <f t="shared" ca="1" si="12"/>
        <v>0.6</v>
      </c>
      <c r="D40" s="46">
        <f t="shared" si="14"/>
        <v>-6.4965435521514046</v>
      </c>
      <c r="E40" s="46">
        <f t="shared" si="15"/>
        <v>6.4965435521514054</v>
      </c>
      <c r="G40">
        <f t="shared" ca="1" si="16"/>
        <v>-6.4965435521514046</v>
      </c>
      <c r="H40">
        <f t="shared" ca="1" si="17"/>
        <v>6.4965435521514054</v>
      </c>
      <c r="I40" s="7">
        <f t="shared" si="18"/>
        <v>6.4965435521514054</v>
      </c>
      <c r="J40" s="7">
        <f t="shared" si="19"/>
        <v>6.4965435521514046</v>
      </c>
      <c r="K40">
        <f t="shared" si="20"/>
        <v>5.5034564478485954</v>
      </c>
      <c r="L40" s="15">
        <f t="shared" ca="1" si="21"/>
        <v>2.2281243272078075E-4</v>
      </c>
      <c r="M40" s="9">
        <f t="shared" ca="1" si="13"/>
        <v>6.461560548902642</v>
      </c>
      <c r="N40" s="7">
        <f t="shared" ca="1" si="22"/>
        <v>3.8769363293415848</v>
      </c>
      <c r="O40" s="7">
        <f t="shared" ca="1" si="23"/>
        <v>25.186685712485605</v>
      </c>
      <c r="P40" s="7">
        <f t="shared" ca="1" si="24"/>
        <v>25.186685712485609</v>
      </c>
      <c r="Q40" s="1">
        <v>6</v>
      </c>
      <c r="R40" s="7">
        <v>0.75</v>
      </c>
      <c r="S40" s="7">
        <v>0.44</v>
      </c>
      <c r="U40" t="e">
        <f t="shared" ca="1" si="25"/>
        <v>#N/A</v>
      </c>
      <c r="V40" t="e">
        <f t="shared" ca="1" si="26"/>
        <v>#N/A</v>
      </c>
      <c r="X40">
        <f t="shared" ca="1" si="27"/>
        <v>-6.4965435521514046</v>
      </c>
      <c r="Y40">
        <f t="shared" ca="1" si="28"/>
        <v>6.4965435521514054</v>
      </c>
      <c r="AJ40">
        <v>0</v>
      </c>
      <c r="AK40">
        <v>0</v>
      </c>
      <c r="AL40">
        <v>0</v>
      </c>
      <c r="AM40">
        <v>0</v>
      </c>
      <c r="AN40">
        <v>0</v>
      </c>
      <c r="AQ40">
        <v>38</v>
      </c>
      <c r="AR40">
        <f t="shared" si="2"/>
        <v>9.4561290432806633</v>
      </c>
      <c r="AS40">
        <f t="shared" si="3"/>
        <v>7.3879377039078999</v>
      </c>
      <c r="AV40">
        <v>370.15044497548502</v>
      </c>
      <c r="AW40">
        <v>2.5869575252022507E-14</v>
      </c>
      <c r="AX40">
        <v>334.08397506194564</v>
      </c>
      <c r="AY40">
        <f t="shared" si="0"/>
        <v>334.08397506194564</v>
      </c>
      <c r="AZ40">
        <v>486.65010217920315</v>
      </c>
      <c r="BA40">
        <v>3.4011660962782668E-14</v>
      </c>
      <c r="BB40">
        <v>439.23221708161924</v>
      </c>
      <c r="BC40">
        <f t="shared" si="1"/>
        <v>439.23221708161924</v>
      </c>
      <c r="BF40">
        <v>370.15044497548502</v>
      </c>
      <c r="BG40">
        <v>246.90239326748033</v>
      </c>
      <c r="BH40">
        <v>246.90239326748028</v>
      </c>
      <c r="BI40">
        <f t="shared" si="4"/>
        <v>349.17271314124622</v>
      </c>
      <c r="BJ40">
        <v>472.75111954712639</v>
      </c>
      <c r="BK40">
        <v>315.34038232426485</v>
      </c>
      <c r="BL40">
        <v>315.34038232426479</v>
      </c>
      <c r="BM40">
        <f t="shared" si="5"/>
        <v>445.95864544689232</v>
      </c>
    </row>
    <row r="41" spans="1:65" x14ac:dyDescent="0.25">
      <c r="A41">
        <v>5</v>
      </c>
      <c r="B41" s="5">
        <v>7</v>
      </c>
      <c r="C41" s="1">
        <f t="shared" ca="1" si="12"/>
        <v>0.6</v>
      </c>
      <c r="D41" s="46">
        <f t="shared" si="14"/>
        <v>-9.1875</v>
      </c>
      <c r="E41" s="46">
        <f t="shared" si="15"/>
        <v>1.1256051429472946E-15</v>
      </c>
      <c r="G41">
        <f t="shared" ca="1" si="16"/>
        <v>-9.1875</v>
      </c>
      <c r="H41">
        <f t="shared" ca="1" si="17"/>
        <v>1.1256051429472946E-15</v>
      </c>
      <c r="I41" s="7">
        <f t="shared" si="18"/>
        <v>5.6280257147364732E-16</v>
      </c>
      <c r="J41" s="7">
        <f t="shared" si="19"/>
        <v>9.1875</v>
      </c>
      <c r="K41">
        <f t="shared" si="20"/>
        <v>2.8125</v>
      </c>
      <c r="L41" s="15">
        <f t="shared" ca="1" si="21"/>
        <v>1.5807391941792856E-3</v>
      </c>
      <c r="M41" s="9">
        <f t="shared" ca="1" si="13"/>
        <v>41.840969244929362</v>
      </c>
      <c r="N41" s="7">
        <f t="shared" ca="1" si="22"/>
        <v>25.104581546957615</v>
      </c>
      <c r="O41" s="7">
        <f t="shared" ca="1" si="23"/>
        <v>230.6483429626731</v>
      </c>
      <c r="P41" s="7">
        <f t="shared" ca="1" si="24"/>
        <v>1.4128923050397621E-14</v>
      </c>
      <c r="Q41" s="1">
        <v>7</v>
      </c>
      <c r="R41" s="7">
        <v>0.875</v>
      </c>
      <c r="S41" s="7">
        <v>0.6</v>
      </c>
      <c r="U41" t="e">
        <f t="shared" ca="1" si="25"/>
        <v>#N/A</v>
      </c>
      <c r="V41" t="e">
        <f t="shared" ca="1" si="26"/>
        <v>#N/A</v>
      </c>
      <c r="X41">
        <f t="shared" ca="1" si="27"/>
        <v>-9.1875</v>
      </c>
      <c r="Y41">
        <f t="shared" ca="1" si="28"/>
        <v>1.1256051429472946E-15</v>
      </c>
      <c r="AJ41">
        <v>0</v>
      </c>
      <c r="AK41">
        <v>0</v>
      </c>
      <c r="AL41">
        <v>0</v>
      </c>
      <c r="AM41">
        <v>0</v>
      </c>
      <c r="AN41">
        <v>0</v>
      </c>
      <c r="AQ41">
        <v>39</v>
      </c>
      <c r="AR41">
        <f t="shared" si="2"/>
        <v>9.3257515374836508</v>
      </c>
      <c r="AS41">
        <f t="shared" si="3"/>
        <v>7.5518446925980491</v>
      </c>
      <c r="AV41">
        <v>398.6235561274454</v>
      </c>
      <c r="AW41">
        <v>2.5482294977464739E-14</v>
      </c>
      <c r="AX41">
        <v>331.63628429339798</v>
      </c>
      <c r="AY41">
        <f t="shared" si="0"/>
        <v>331.63628429339798</v>
      </c>
      <c r="AZ41">
        <v>548.15752340183553</v>
      </c>
      <c r="BA41">
        <v>3.5041360428223773E-14</v>
      </c>
      <c r="BB41">
        <v>456.04159983544895</v>
      </c>
      <c r="BC41">
        <f t="shared" si="1"/>
        <v>456.04159983544895</v>
      </c>
      <c r="BF41">
        <v>398.6235561274454</v>
      </c>
      <c r="BG41">
        <v>245.97052336786447</v>
      </c>
      <c r="BH41">
        <v>245.97052336786442</v>
      </c>
      <c r="BI41">
        <f t="shared" si="4"/>
        <v>347.85485009084221</v>
      </c>
      <c r="BJ41">
        <v>531.57645626113663</v>
      </c>
      <c r="BK41">
        <v>328.00906305392357</v>
      </c>
      <c r="BL41">
        <v>328.00906305392351</v>
      </c>
      <c r="BM41">
        <f t="shared" si="5"/>
        <v>463.87486555215037</v>
      </c>
    </row>
    <row r="42" spans="1:65" x14ac:dyDescent="0.25">
      <c r="A42">
        <v>6</v>
      </c>
      <c r="B42" s="5">
        <v>7</v>
      </c>
      <c r="C42" s="1">
        <f t="shared" ca="1" si="12"/>
        <v>0.6</v>
      </c>
      <c r="D42" s="46">
        <f t="shared" si="14"/>
        <v>-6.4965435521514072</v>
      </c>
      <c r="E42" s="46">
        <f t="shared" si="15"/>
        <v>-6.4965435521514046</v>
      </c>
      <c r="G42">
        <f t="shared" ca="1" si="16"/>
        <v>-6.4965435521514072</v>
      </c>
      <c r="H42">
        <f t="shared" ca="1" si="17"/>
        <v>-6.4965435521514046</v>
      </c>
      <c r="I42" s="7">
        <f t="shared" si="18"/>
        <v>-6.4965435521514046</v>
      </c>
      <c r="J42" s="7">
        <f t="shared" si="19"/>
        <v>6.4965435521514072</v>
      </c>
      <c r="K42">
        <f t="shared" si="20"/>
        <v>5.5034564478485928</v>
      </c>
      <c r="L42" s="15">
        <f t="shared" ca="1" si="21"/>
        <v>2.2281243272078208E-4</v>
      </c>
      <c r="M42" s="9">
        <f t="shared" ca="1" si="13"/>
        <v>6.4615605489026802</v>
      </c>
      <c r="N42" s="7">
        <f t="shared" ca="1" si="22"/>
        <v>3.8769363293416079</v>
      </c>
      <c r="O42" s="7">
        <f t="shared" ca="1" si="23"/>
        <v>25.186685712485769</v>
      </c>
      <c r="P42" s="7">
        <f t="shared" ca="1" si="24"/>
        <v>-25.186685712485758</v>
      </c>
      <c r="Q42" s="1">
        <v>8</v>
      </c>
      <c r="R42" s="7">
        <v>1</v>
      </c>
      <c r="S42" s="7">
        <v>0.79</v>
      </c>
      <c r="U42" t="e">
        <f t="shared" ca="1" si="25"/>
        <v>#N/A</v>
      </c>
      <c r="V42" t="e">
        <f t="shared" ca="1" si="26"/>
        <v>#N/A</v>
      </c>
      <c r="X42">
        <f t="shared" ca="1" si="27"/>
        <v>-6.4965435521514072</v>
      </c>
      <c r="Y42">
        <f t="shared" ca="1" si="28"/>
        <v>-6.4965435521514046</v>
      </c>
      <c r="AJ42">
        <v>0</v>
      </c>
      <c r="AK42">
        <v>0</v>
      </c>
      <c r="AL42">
        <v>0</v>
      </c>
      <c r="AM42">
        <v>0</v>
      </c>
      <c r="AN42">
        <v>0</v>
      </c>
      <c r="AQ42">
        <v>40</v>
      </c>
      <c r="AR42">
        <f t="shared" si="2"/>
        <v>9.1925333174277366</v>
      </c>
      <c r="AS42">
        <f t="shared" si="3"/>
        <v>7.713451316238471</v>
      </c>
      <c r="AV42">
        <v>427.09666727940578</v>
      </c>
      <c r="AW42">
        <v>2.4963328154816507E-14</v>
      </c>
      <c r="AX42">
        <v>326.29894157588097</v>
      </c>
      <c r="AY42">
        <f t="shared" si="0"/>
        <v>326.29894157588097</v>
      </c>
      <c r="AZ42">
        <v>609.97905868418127</v>
      </c>
      <c r="BA42">
        <v>3.5652601802059366E-14</v>
      </c>
      <c r="BB42">
        <v>466.0198415968718</v>
      </c>
      <c r="BC42">
        <f t="shared" si="1"/>
        <v>466.0198415968718</v>
      </c>
      <c r="BF42">
        <v>427.09666727940578</v>
      </c>
      <c r="BG42">
        <v>244.32931824638706</v>
      </c>
      <c r="BH42">
        <v>244.329318246387</v>
      </c>
      <c r="BI42">
        <f t="shared" si="4"/>
        <v>345.53383554941269</v>
      </c>
      <c r="BJ42">
        <v>594.61432798057581</v>
      </c>
      <c r="BK42">
        <v>340.16119652833692</v>
      </c>
      <c r="BL42">
        <v>340.16119652833686</v>
      </c>
      <c r="BM42">
        <f t="shared" si="5"/>
        <v>481.06057752343384</v>
      </c>
    </row>
    <row r="43" spans="1:65" x14ac:dyDescent="0.25">
      <c r="A43">
        <v>7</v>
      </c>
      <c r="B43" s="5">
        <v>7</v>
      </c>
      <c r="C43" s="1">
        <f t="shared" ca="1" si="12"/>
        <v>0.6</v>
      </c>
      <c r="D43" s="46">
        <f t="shared" si="14"/>
        <v>-1.688407714420942E-15</v>
      </c>
      <c r="E43" s="46">
        <f t="shared" si="15"/>
        <v>-9.1875</v>
      </c>
      <c r="G43">
        <f t="shared" ca="1" si="16"/>
        <v>-1.688407714420942E-15</v>
      </c>
      <c r="H43">
        <f t="shared" ca="1" si="17"/>
        <v>-9.1875</v>
      </c>
      <c r="I43" s="7">
        <f t="shared" si="18"/>
        <v>-9.1875</v>
      </c>
      <c r="J43" s="7">
        <f t="shared" si="19"/>
        <v>1.1256051429472946E-15</v>
      </c>
      <c r="K43">
        <f t="shared" si="20"/>
        <v>11.999999999999998</v>
      </c>
      <c r="L43" s="15">
        <f t="shared" ca="1" si="21"/>
        <v>-3.0555127715017143E-3</v>
      </c>
      <c r="M43" s="9">
        <f t="shared" ca="1" si="13"/>
        <v>-60</v>
      </c>
      <c r="N43" s="7">
        <f t="shared" ca="1" si="22"/>
        <v>-36</v>
      </c>
      <c r="O43" s="7">
        <f t="shared" ca="1" si="23"/>
        <v>-4.0521785146102607E-14</v>
      </c>
      <c r="P43" s="7">
        <f t="shared" ca="1" si="24"/>
        <v>330.75</v>
      </c>
      <c r="Q43" s="1">
        <v>9</v>
      </c>
      <c r="R43" s="7">
        <v>1.1279999999999999</v>
      </c>
      <c r="S43" s="7">
        <v>1</v>
      </c>
      <c r="U43">
        <f t="shared" ca="1" si="25"/>
        <v>-1.688407714420942E-15</v>
      </c>
      <c r="V43">
        <f t="shared" ca="1" si="26"/>
        <v>-9.1875</v>
      </c>
      <c r="X43" t="e">
        <f t="shared" ca="1" si="27"/>
        <v>#N/A</v>
      </c>
      <c r="Y43" t="e">
        <f t="shared" ca="1" si="28"/>
        <v>#N/A</v>
      </c>
      <c r="AJ43">
        <v>0</v>
      </c>
      <c r="AK43">
        <v>0</v>
      </c>
      <c r="AL43">
        <v>0</v>
      </c>
      <c r="AM43">
        <v>0</v>
      </c>
      <c r="AN43">
        <v>0</v>
      </c>
      <c r="AQ43">
        <v>41</v>
      </c>
      <c r="AR43">
        <f t="shared" si="2"/>
        <v>9.0565149626732637</v>
      </c>
      <c r="AS43">
        <f t="shared" si="3"/>
        <v>7.8727083478860873</v>
      </c>
      <c r="AV43">
        <v>455.56977843136616</v>
      </c>
      <c r="AW43">
        <v>2.1170526314198436E-14</v>
      </c>
      <c r="AX43">
        <v>319.4640080887134</v>
      </c>
      <c r="AY43">
        <f t="shared" si="0"/>
        <v>319.4640080887134</v>
      </c>
      <c r="AZ43">
        <v>673.96403671930818</v>
      </c>
      <c r="BA43">
        <v>3.1319402756078749E-14</v>
      </c>
      <c r="BB43">
        <v>472.61092081075367</v>
      </c>
      <c r="BC43">
        <f t="shared" si="1"/>
        <v>472.61092081075367</v>
      </c>
      <c r="BF43">
        <v>455.56977843136616</v>
      </c>
      <c r="BG43">
        <v>240.20502305205412</v>
      </c>
      <c r="BH43">
        <v>240.20502305205403</v>
      </c>
      <c r="BI43">
        <f t="shared" si="4"/>
        <v>339.70120135035683</v>
      </c>
      <c r="BJ43">
        <v>656.19799605524622</v>
      </c>
      <c r="BK43">
        <v>345.98883032121211</v>
      </c>
      <c r="BL43">
        <v>345.98883032121199</v>
      </c>
      <c r="BM43">
        <f t="shared" si="5"/>
        <v>489.30209626986164</v>
      </c>
    </row>
    <row r="44" spans="1:65" x14ac:dyDescent="0.25">
      <c r="A44">
        <v>8</v>
      </c>
      <c r="B44" s="5">
        <v>7</v>
      </c>
      <c r="C44" s="1">
        <f t="shared" ca="1" si="12"/>
        <v>0.6</v>
      </c>
      <c r="D44" s="46">
        <f t="shared" si="14"/>
        <v>6.4965435521514037</v>
      </c>
      <c r="E44" s="46">
        <f t="shared" si="15"/>
        <v>-6.4965435521514072</v>
      </c>
      <c r="G44">
        <f t="shared" ca="1" si="16"/>
        <v>6.4965435521514037</v>
      </c>
      <c r="H44">
        <f t="shared" ca="1" si="17"/>
        <v>-6.4965435521514072</v>
      </c>
      <c r="I44" s="7">
        <f t="shared" si="18"/>
        <v>-6.4965435521514072</v>
      </c>
      <c r="J44" s="7">
        <f t="shared" si="19"/>
        <v>-6.4965435521514037</v>
      </c>
      <c r="K44">
        <f t="shared" si="20"/>
        <v>18.496543552151405</v>
      </c>
      <c r="L44" s="15">
        <f t="shared" ca="1" si="21"/>
        <v>-6.3338379757242116E-3</v>
      </c>
      <c r="M44" s="9">
        <f t="shared" ca="1" si="13"/>
        <v>-60</v>
      </c>
      <c r="N44" s="7">
        <f t="shared" ca="1" si="22"/>
        <v>-36</v>
      </c>
      <c r="O44" s="7">
        <f t="shared" ca="1" si="23"/>
        <v>233.87556787745052</v>
      </c>
      <c r="P44" s="7">
        <f t="shared" ca="1" si="24"/>
        <v>233.87556787745066</v>
      </c>
      <c r="Q44" s="1">
        <v>10</v>
      </c>
      <c r="R44" s="7">
        <v>1.27</v>
      </c>
      <c r="S44" s="7">
        <v>1.27</v>
      </c>
      <c r="U44">
        <f t="shared" ca="1" si="25"/>
        <v>6.4965435521514037</v>
      </c>
      <c r="V44">
        <f t="shared" ca="1" si="26"/>
        <v>-6.4965435521514072</v>
      </c>
      <c r="X44" t="e">
        <f t="shared" ca="1" si="27"/>
        <v>#N/A</v>
      </c>
      <c r="Y44" t="e">
        <f t="shared" ca="1" si="28"/>
        <v>#N/A</v>
      </c>
      <c r="AJ44">
        <v>0</v>
      </c>
      <c r="AK44">
        <v>0</v>
      </c>
      <c r="AL44">
        <v>0</v>
      </c>
      <c r="AM44">
        <v>0</v>
      </c>
      <c r="AN44">
        <v>0</v>
      </c>
      <c r="AQ44">
        <v>42</v>
      </c>
      <c r="AR44">
        <f t="shared" si="2"/>
        <v>8.9177379057287318</v>
      </c>
      <c r="AS44">
        <f t="shared" si="3"/>
        <v>8.0295672763062989</v>
      </c>
      <c r="AV44">
        <v>484.04288958332654</v>
      </c>
      <c r="AW44">
        <v>1.9090007446449969E-14</v>
      </c>
      <c r="AX44">
        <v>311.63582453970992</v>
      </c>
      <c r="AY44">
        <f t="shared" si="0"/>
        <v>311.63582453970992</v>
      </c>
      <c r="AZ44">
        <v>741.63915345492171</v>
      </c>
      <c r="BA44">
        <v>2.9249261308684234E-14</v>
      </c>
      <c r="BB44">
        <v>477.48109531535664</v>
      </c>
      <c r="BC44">
        <f t="shared" si="1"/>
        <v>477.48109531535664</v>
      </c>
      <c r="BF44">
        <v>484.04288958332654</v>
      </c>
      <c r="BG44">
        <v>235.55934630403698</v>
      </c>
      <c r="BH44">
        <v>235.55934630403701</v>
      </c>
      <c r="BI44">
        <f t="shared" si="4"/>
        <v>333.13122228690975</v>
      </c>
      <c r="BJ44">
        <v>721.37499653644079</v>
      </c>
      <c r="BK44">
        <v>351.05695441673987</v>
      </c>
      <c r="BL44">
        <v>351.05695441673993</v>
      </c>
      <c r="BM44">
        <f t="shared" si="5"/>
        <v>496.46950610154698</v>
      </c>
    </row>
    <row r="45" spans="1:65" x14ac:dyDescent="0.25">
      <c r="A45">
        <v>9</v>
      </c>
      <c r="B45" s="5">
        <v>7</v>
      </c>
      <c r="C45" s="1">
        <f t="shared" ca="1" si="12"/>
        <v>0</v>
      </c>
      <c r="D45" s="46">
        <f t="shared" si="14"/>
        <v>0</v>
      </c>
      <c r="E45" s="46">
        <f t="shared" si="15"/>
        <v>0</v>
      </c>
      <c r="G45" t="e">
        <f t="shared" ca="1" si="16"/>
        <v>#N/A</v>
      </c>
      <c r="H45" t="e">
        <f t="shared" ca="1" si="17"/>
        <v>#N/A</v>
      </c>
      <c r="I45" s="7">
        <f t="shared" si="18"/>
        <v>0</v>
      </c>
      <c r="J45" s="7">
        <f t="shared" si="19"/>
        <v>0</v>
      </c>
      <c r="K45">
        <f t="shared" si="20"/>
        <v>12</v>
      </c>
      <c r="L45" s="15">
        <f t="shared" ca="1" si="21"/>
        <v>0</v>
      </c>
      <c r="M45" s="9">
        <f t="shared" ca="1" si="13"/>
        <v>0</v>
      </c>
      <c r="N45" s="7">
        <f t="shared" ca="1" si="22"/>
        <v>0</v>
      </c>
      <c r="O45" s="7">
        <f t="shared" ca="1" si="23"/>
        <v>0</v>
      </c>
      <c r="P45" s="7">
        <f t="shared" ca="1" si="24"/>
        <v>0</v>
      </c>
      <c r="Q45" s="1">
        <v>11</v>
      </c>
      <c r="R45" s="7">
        <v>1.41</v>
      </c>
      <c r="S45" s="7">
        <v>1.56</v>
      </c>
      <c r="U45" t="e">
        <f t="shared" ca="1" si="25"/>
        <v>#N/A</v>
      </c>
      <c r="V45" t="e">
        <f t="shared" ca="1" si="26"/>
        <v>#N/A</v>
      </c>
      <c r="X45" t="e">
        <f t="shared" ca="1" si="27"/>
        <v>#N/A</v>
      </c>
      <c r="Y45" t="e">
        <f t="shared" ca="1" si="28"/>
        <v>#N/A</v>
      </c>
      <c r="AJ45">
        <v>0</v>
      </c>
      <c r="AK45">
        <v>0</v>
      </c>
      <c r="AL45">
        <v>0</v>
      </c>
      <c r="AM45">
        <v>0</v>
      </c>
      <c r="AN45">
        <v>0</v>
      </c>
      <c r="AQ45">
        <v>43</v>
      </c>
      <c r="AR45">
        <f t="shared" si="2"/>
        <v>8.7762444194300464</v>
      </c>
      <c r="AS45">
        <f t="shared" si="3"/>
        <v>8.1839803207499813</v>
      </c>
      <c r="AV45">
        <v>512.51600073528698</v>
      </c>
      <c r="AW45">
        <v>1.9023219413710893E-14</v>
      </c>
      <c r="AX45">
        <v>310.54553980774148</v>
      </c>
      <c r="AY45">
        <f t="shared" si="0"/>
        <v>310.54553980774148</v>
      </c>
      <c r="AZ45">
        <v>788.48615497736455</v>
      </c>
      <c r="BA45">
        <v>2.9266491405709067E-14</v>
      </c>
      <c r="BB45">
        <v>477.76236893498685</v>
      </c>
      <c r="BC45">
        <f t="shared" si="1"/>
        <v>477.76236893498685</v>
      </c>
      <c r="BF45">
        <v>512.51600073528698</v>
      </c>
      <c r="BG45">
        <v>230.34061947260273</v>
      </c>
      <c r="BH45">
        <v>230.34061947260273</v>
      </c>
      <c r="BI45">
        <f t="shared" si="4"/>
        <v>325.75082802357502</v>
      </c>
      <c r="BJ45">
        <v>788.48615497736455</v>
      </c>
      <c r="BK45">
        <v>354.37018380400417</v>
      </c>
      <c r="BL45">
        <v>354.37018380400417</v>
      </c>
      <c r="BM45">
        <f t="shared" si="5"/>
        <v>501.15512003626918</v>
      </c>
    </row>
    <row r="46" spans="1:65" x14ac:dyDescent="0.25">
      <c r="A46">
        <v>10</v>
      </c>
      <c r="B46" s="5">
        <v>7</v>
      </c>
      <c r="C46" s="1">
        <f t="shared" ca="1" si="12"/>
        <v>0</v>
      </c>
      <c r="D46" s="46">
        <f t="shared" si="14"/>
        <v>0</v>
      </c>
      <c r="E46" s="46">
        <f t="shared" si="15"/>
        <v>0</v>
      </c>
      <c r="G46" t="e">
        <f t="shared" ca="1" si="16"/>
        <v>#N/A</v>
      </c>
      <c r="H46" t="e">
        <f t="shared" ca="1" si="17"/>
        <v>#N/A</v>
      </c>
      <c r="I46" s="7">
        <f t="shared" si="18"/>
        <v>0</v>
      </c>
      <c r="J46" s="7">
        <f t="shared" si="19"/>
        <v>0</v>
      </c>
      <c r="K46">
        <f t="shared" si="20"/>
        <v>12</v>
      </c>
      <c r="L46" s="15">
        <f t="shared" ca="1" si="21"/>
        <v>0</v>
      </c>
      <c r="M46" s="9">
        <f t="shared" ca="1" si="13"/>
        <v>0</v>
      </c>
      <c r="N46" s="7">
        <f t="shared" ca="1" si="22"/>
        <v>0</v>
      </c>
      <c r="O46" s="7">
        <f t="shared" ca="1" si="23"/>
        <v>0</v>
      </c>
      <c r="P46" s="7">
        <f t="shared" ca="1" si="24"/>
        <v>0</v>
      </c>
      <c r="Q46" s="1">
        <v>14</v>
      </c>
      <c r="R46" s="7">
        <v>1.6930000000000001</v>
      </c>
      <c r="S46" s="7">
        <v>2.25</v>
      </c>
      <c r="U46" t="e">
        <f t="shared" ca="1" si="25"/>
        <v>#N/A</v>
      </c>
      <c r="V46" t="e">
        <f t="shared" ca="1" si="26"/>
        <v>#N/A</v>
      </c>
      <c r="X46" t="e">
        <f t="shared" ca="1" si="27"/>
        <v>#N/A</v>
      </c>
      <c r="Y46" t="e">
        <f t="shared" ca="1" si="28"/>
        <v>#N/A</v>
      </c>
      <c r="AJ46">
        <v>0</v>
      </c>
      <c r="AK46">
        <v>0</v>
      </c>
      <c r="AL46">
        <v>0</v>
      </c>
      <c r="AM46">
        <v>0</v>
      </c>
      <c r="AN46">
        <v>0</v>
      </c>
      <c r="AQ46">
        <v>44</v>
      </c>
      <c r="AR46">
        <f t="shared" si="2"/>
        <v>8.6320776040638147</v>
      </c>
      <c r="AS46">
        <f t="shared" si="3"/>
        <v>8.335900445507967</v>
      </c>
      <c r="AV46">
        <v>540.98911188724742</v>
      </c>
      <c r="AW46">
        <v>2.2857017967173384E-14</v>
      </c>
      <c r="AX46">
        <v>310.30108619052652</v>
      </c>
      <c r="AY46">
        <f t="shared" si="0"/>
        <v>310.30108619052652</v>
      </c>
      <c r="AZ46">
        <v>832.290941364996</v>
      </c>
      <c r="BA46">
        <v>3.5164643026420588E-14</v>
      </c>
      <c r="BB46">
        <v>477.38628644696388</v>
      </c>
      <c r="BC46">
        <f t="shared" si="1"/>
        <v>477.38628644696388</v>
      </c>
      <c r="BF46">
        <v>540.98911188724742</v>
      </c>
      <c r="BG46">
        <v>230.65079691071151</v>
      </c>
      <c r="BH46">
        <v>230.65079691071151</v>
      </c>
      <c r="BI46">
        <f t="shared" si="4"/>
        <v>326.18948516329056</v>
      </c>
      <c r="BJ46">
        <v>832.290941364996</v>
      </c>
      <c r="BK46">
        <v>354.84737986263309</v>
      </c>
      <c r="BL46">
        <v>354.84737986263309</v>
      </c>
      <c r="BM46">
        <f t="shared" si="5"/>
        <v>501.82997717429322</v>
      </c>
    </row>
    <row r="47" spans="1:65" x14ac:dyDescent="0.25">
      <c r="A47">
        <v>11</v>
      </c>
      <c r="B47" s="5">
        <v>7</v>
      </c>
      <c r="C47" s="1">
        <f t="shared" ca="1" si="12"/>
        <v>0</v>
      </c>
      <c r="D47" s="46">
        <f t="shared" si="14"/>
        <v>0</v>
      </c>
      <c r="E47" s="46">
        <f t="shared" si="15"/>
        <v>0</v>
      </c>
      <c r="G47" t="e">
        <f t="shared" ca="1" si="16"/>
        <v>#N/A</v>
      </c>
      <c r="H47" t="e">
        <f t="shared" ca="1" si="17"/>
        <v>#N/A</v>
      </c>
      <c r="I47" s="7">
        <f t="shared" si="18"/>
        <v>0</v>
      </c>
      <c r="J47" s="7">
        <f t="shared" si="19"/>
        <v>0</v>
      </c>
      <c r="K47">
        <f t="shared" si="20"/>
        <v>12</v>
      </c>
      <c r="L47" s="15">
        <f t="shared" ca="1" si="21"/>
        <v>0</v>
      </c>
      <c r="M47" s="9">
        <f t="shared" ca="1" si="13"/>
        <v>0</v>
      </c>
      <c r="N47" s="7">
        <f t="shared" ca="1" si="22"/>
        <v>0</v>
      </c>
      <c r="O47" s="7">
        <f t="shared" ca="1" si="23"/>
        <v>0</v>
      </c>
      <c r="P47" s="7">
        <f t="shared" ca="1" si="24"/>
        <v>0</v>
      </c>
      <c r="Q47" s="1">
        <v>18</v>
      </c>
      <c r="R47" s="7">
        <v>2.2570000000000001</v>
      </c>
      <c r="S47" s="7">
        <v>4</v>
      </c>
      <c r="U47" t="e">
        <f t="shared" ca="1" si="25"/>
        <v>#N/A</v>
      </c>
      <c r="V47" t="e">
        <f t="shared" ca="1" si="26"/>
        <v>#N/A</v>
      </c>
      <c r="X47" t="e">
        <f t="shared" ca="1" si="27"/>
        <v>#N/A</v>
      </c>
      <c r="Y47" t="e">
        <f t="shared" ca="1" si="28"/>
        <v>#N/A</v>
      </c>
      <c r="AJ47">
        <v>0</v>
      </c>
      <c r="AK47">
        <v>0</v>
      </c>
      <c r="AL47">
        <v>0</v>
      </c>
      <c r="AM47">
        <v>0</v>
      </c>
      <c r="AN47">
        <v>0</v>
      </c>
      <c r="AQ47">
        <v>45</v>
      </c>
      <c r="AR47">
        <f t="shared" si="2"/>
        <v>8.4852813742385713</v>
      </c>
      <c r="AS47">
        <f t="shared" si="3"/>
        <v>8.4852813742385695</v>
      </c>
      <c r="AV47">
        <v>569.46222303920786</v>
      </c>
      <c r="AW47">
        <v>1.7426863737236391E-14</v>
      </c>
      <c r="AX47">
        <v>309.61754752348901</v>
      </c>
      <c r="AY47">
        <f t="shared" si="0"/>
        <v>309.61754752348901</v>
      </c>
      <c r="AZ47">
        <v>876.09572775262745</v>
      </c>
      <c r="BA47">
        <v>2.6810559595748294E-14</v>
      </c>
      <c r="BB47">
        <v>476.33468849767536</v>
      </c>
      <c r="BC47">
        <f t="shared" si="1"/>
        <v>476.33468849767536</v>
      </c>
      <c r="BF47">
        <v>569.46222303920786</v>
      </c>
      <c r="BG47">
        <v>230.67371777472172</v>
      </c>
      <c r="BH47">
        <v>230.67371777472169</v>
      </c>
      <c r="BI47">
        <f t="shared" si="4"/>
        <v>326.22190016003509</v>
      </c>
      <c r="BJ47">
        <v>876.09572775262745</v>
      </c>
      <c r="BK47">
        <v>354.8826427303411</v>
      </c>
      <c r="BL47">
        <v>354.88264273034105</v>
      </c>
      <c r="BM47">
        <f t="shared" si="5"/>
        <v>501.87984640005402</v>
      </c>
    </row>
    <row r="48" spans="1:65" x14ac:dyDescent="0.25">
      <c r="A48">
        <v>12</v>
      </c>
      <c r="B48" s="5">
        <v>7</v>
      </c>
      <c r="C48" s="1">
        <f t="shared" ca="1" si="12"/>
        <v>0</v>
      </c>
      <c r="D48" s="46">
        <f t="shared" si="14"/>
        <v>0</v>
      </c>
      <c r="E48" s="46">
        <f t="shared" si="15"/>
        <v>0</v>
      </c>
      <c r="G48" t="e">
        <f t="shared" ca="1" si="16"/>
        <v>#N/A</v>
      </c>
      <c r="H48" t="e">
        <f t="shared" ca="1" si="17"/>
        <v>#N/A</v>
      </c>
      <c r="I48" s="7">
        <f t="shared" si="18"/>
        <v>0</v>
      </c>
      <c r="J48" s="7">
        <f t="shared" si="19"/>
        <v>0</v>
      </c>
      <c r="K48">
        <f t="shared" si="20"/>
        <v>12</v>
      </c>
      <c r="L48" s="15">
        <f t="shared" ca="1" si="21"/>
        <v>0</v>
      </c>
      <c r="M48" s="9">
        <f t="shared" ca="1" si="13"/>
        <v>0</v>
      </c>
      <c r="N48" s="7">
        <f t="shared" ca="1" si="22"/>
        <v>0</v>
      </c>
      <c r="O48" s="7">
        <f t="shared" ca="1" si="23"/>
        <v>0</v>
      </c>
      <c r="P48" s="7">
        <f t="shared" ca="1" si="24"/>
        <v>0</v>
      </c>
      <c r="U48" t="e">
        <f t="shared" ca="1" si="25"/>
        <v>#N/A</v>
      </c>
      <c r="V48" t="e">
        <f t="shared" ca="1" si="26"/>
        <v>#N/A</v>
      </c>
      <c r="X48" t="e">
        <f t="shared" ca="1" si="27"/>
        <v>#N/A</v>
      </c>
      <c r="Y48" t="e">
        <f t="shared" ca="1" si="28"/>
        <v>#N/A</v>
      </c>
      <c r="AJ48">
        <v>0</v>
      </c>
      <c r="AK48">
        <v>0</v>
      </c>
      <c r="AL48">
        <v>0</v>
      </c>
      <c r="AM48">
        <v>0</v>
      </c>
      <c r="AN48">
        <v>0</v>
      </c>
      <c r="AQ48">
        <v>46</v>
      </c>
      <c r="AR48">
        <f t="shared" si="2"/>
        <v>8.335900445507967</v>
      </c>
      <c r="AS48">
        <f t="shared" si="3"/>
        <v>8.632077604063813</v>
      </c>
      <c r="AV48">
        <v>597.93533419116829</v>
      </c>
      <c r="AW48">
        <v>1.7355972505816228E-14</v>
      </c>
      <c r="AX48">
        <v>308.4602799101458</v>
      </c>
      <c r="AY48">
        <f t="shared" si="0"/>
        <v>308.4602799101458</v>
      </c>
      <c r="AZ48">
        <v>919.90051414025891</v>
      </c>
      <c r="BA48">
        <v>2.6701496162794197E-14</v>
      </c>
      <c r="BB48">
        <v>474.55427678483966</v>
      </c>
      <c r="BC48">
        <f t="shared" si="1"/>
        <v>474.55427678483966</v>
      </c>
      <c r="BF48">
        <v>597.93533419116829</v>
      </c>
      <c r="BG48">
        <v>230.3848455768568</v>
      </c>
      <c r="BH48">
        <v>230.38484557685678</v>
      </c>
      <c r="BI48">
        <f t="shared" si="4"/>
        <v>325.81337318002204</v>
      </c>
      <c r="BJ48">
        <v>919.90051414025891</v>
      </c>
      <c r="BK48">
        <v>354.43822396439509</v>
      </c>
      <c r="BL48">
        <v>354.43822396439504</v>
      </c>
      <c r="BM48">
        <f t="shared" si="5"/>
        <v>501.25134335388009</v>
      </c>
    </row>
    <row r="49" spans="1:65" x14ac:dyDescent="0.25">
      <c r="A49">
        <v>13</v>
      </c>
      <c r="B49" s="5">
        <v>7</v>
      </c>
      <c r="C49" s="1">
        <f t="shared" ca="1" si="12"/>
        <v>0</v>
      </c>
      <c r="D49" s="46">
        <f t="shared" si="14"/>
        <v>0</v>
      </c>
      <c r="E49" s="46">
        <f t="shared" si="15"/>
        <v>0</v>
      </c>
      <c r="G49" t="e">
        <f t="shared" ca="1" si="16"/>
        <v>#N/A</v>
      </c>
      <c r="H49" t="e">
        <f t="shared" ca="1" si="17"/>
        <v>#N/A</v>
      </c>
      <c r="I49" s="7">
        <f t="shared" si="18"/>
        <v>0</v>
      </c>
      <c r="J49" s="7">
        <f t="shared" si="19"/>
        <v>0</v>
      </c>
      <c r="K49">
        <f t="shared" si="20"/>
        <v>12</v>
      </c>
      <c r="L49" s="15">
        <f t="shared" ca="1" si="21"/>
        <v>0</v>
      </c>
      <c r="M49" s="9">
        <f t="shared" ca="1" si="13"/>
        <v>0</v>
      </c>
      <c r="N49" s="7">
        <f t="shared" ca="1" si="22"/>
        <v>0</v>
      </c>
      <c r="O49" s="7">
        <f t="shared" ca="1" si="23"/>
        <v>0</v>
      </c>
      <c r="P49" s="7">
        <f t="shared" ca="1" si="24"/>
        <v>0</v>
      </c>
      <c r="U49" t="e">
        <f t="shared" ca="1" si="25"/>
        <v>#N/A</v>
      </c>
      <c r="V49" t="e">
        <f t="shared" ca="1" si="26"/>
        <v>#N/A</v>
      </c>
      <c r="X49" t="e">
        <f t="shared" ca="1" si="27"/>
        <v>#N/A</v>
      </c>
      <c r="Y49" t="e">
        <f t="shared" ca="1" si="28"/>
        <v>#N/A</v>
      </c>
      <c r="AJ49">
        <v>0</v>
      </c>
      <c r="AK49">
        <v>0</v>
      </c>
      <c r="AL49">
        <v>0</v>
      </c>
      <c r="AM49">
        <v>0</v>
      </c>
      <c r="AN49">
        <v>0</v>
      </c>
      <c r="AQ49">
        <v>47</v>
      </c>
      <c r="AR49">
        <f t="shared" si="2"/>
        <v>8.1839803207499813</v>
      </c>
      <c r="AS49">
        <f t="shared" si="3"/>
        <v>8.7762444194300464</v>
      </c>
      <c r="AV49">
        <v>626.40844534312873</v>
      </c>
      <c r="AW49">
        <v>2.3412102422800735E-14</v>
      </c>
      <c r="AX49">
        <v>306.79669169989427</v>
      </c>
      <c r="AY49">
        <f t="shared" si="0"/>
        <v>306.79669169989427</v>
      </c>
      <c r="AZ49">
        <v>963.70530052789036</v>
      </c>
      <c r="BA49">
        <v>3.601861911200113E-14</v>
      </c>
      <c r="BB49">
        <v>471.99491030752961</v>
      </c>
      <c r="BC49">
        <f t="shared" si="1"/>
        <v>471.99491030752961</v>
      </c>
      <c r="BF49">
        <v>626.40844534312873</v>
      </c>
      <c r="BG49">
        <v>229.76088030596381</v>
      </c>
      <c r="BH49">
        <v>229.76088030596384</v>
      </c>
      <c r="BI49">
        <f t="shared" si="4"/>
        <v>324.93095303147538</v>
      </c>
      <c r="BJ49">
        <v>963.70530052789036</v>
      </c>
      <c r="BK49">
        <v>353.47827739379045</v>
      </c>
      <c r="BL49">
        <v>353.47827739379051</v>
      </c>
      <c r="BM49">
        <f t="shared" si="5"/>
        <v>499.89377389457752</v>
      </c>
    </row>
    <row r="50" spans="1:65" x14ac:dyDescent="0.25">
      <c r="A50">
        <v>14</v>
      </c>
      <c r="B50" s="5">
        <v>7</v>
      </c>
      <c r="C50" s="1">
        <f t="shared" ca="1" si="12"/>
        <v>0</v>
      </c>
      <c r="D50" s="46">
        <f t="shared" si="14"/>
        <v>0</v>
      </c>
      <c r="E50" s="46">
        <f t="shared" si="15"/>
        <v>0</v>
      </c>
      <c r="G50" t="e">
        <f t="shared" ca="1" si="16"/>
        <v>#N/A</v>
      </c>
      <c r="H50" t="e">
        <f t="shared" ca="1" si="17"/>
        <v>#N/A</v>
      </c>
      <c r="I50" s="7">
        <f t="shared" si="18"/>
        <v>0</v>
      </c>
      <c r="J50" s="7">
        <f t="shared" si="19"/>
        <v>0</v>
      </c>
      <c r="K50">
        <f t="shared" si="20"/>
        <v>12</v>
      </c>
      <c r="L50" s="15">
        <f t="shared" ca="1" si="21"/>
        <v>0</v>
      </c>
      <c r="M50" s="9">
        <f t="shared" ca="1" si="13"/>
        <v>0</v>
      </c>
      <c r="N50" s="7">
        <f t="shared" ca="1" si="22"/>
        <v>0</v>
      </c>
      <c r="O50" s="7">
        <f t="shared" ca="1" si="23"/>
        <v>0</v>
      </c>
      <c r="P50" s="7">
        <f t="shared" ca="1" si="24"/>
        <v>0</v>
      </c>
      <c r="U50" t="e">
        <f t="shared" ca="1" si="25"/>
        <v>#N/A</v>
      </c>
      <c r="V50" t="e">
        <f t="shared" ca="1" si="26"/>
        <v>#N/A</v>
      </c>
      <c r="X50" t="e">
        <f t="shared" ca="1" si="27"/>
        <v>#N/A</v>
      </c>
      <c r="Y50" t="e">
        <f t="shared" ca="1" si="28"/>
        <v>#N/A</v>
      </c>
      <c r="AJ50">
        <v>0</v>
      </c>
      <c r="AK50">
        <v>0</v>
      </c>
      <c r="AL50">
        <v>0</v>
      </c>
      <c r="AM50">
        <v>0</v>
      </c>
      <c r="AN50">
        <v>0</v>
      </c>
      <c r="AQ50">
        <v>48</v>
      </c>
      <c r="AR50">
        <f t="shared" si="2"/>
        <v>8.0295672763062989</v>
      </c>
      <c r="AS50">
        <f t="shared" si="3"/>
        <v>8.9177379057287318</v>
      </c>
      <c r="AV50">
        <v>654.88155649508917</v>
      </c>
      <c r="AW50">
        <v>2.1728532022075454E-14</v>
      </c>
      <c r="AX50">
        <v>304.44495809023181</v>
      </c>
      <c r="AY50">
        <f t="shared" si="0"/>
        <v>304.44495809023181</v>
      </c>
      <c r="AZ50">
        <v>1007.5100869155218</v>
      </c>
      <c r="BA50">
        <v>3.3428510803193005E-14</v>
      </c>
      <c r="BB50">
        <v>468.37685860035663</v>
      </c>
      <c r="BC50">
        <f t="shared" si="1"/>
        <v>468.37685860035663</v>
      </c>
      <c r="BF50">
        <v>654.88155649508917</v>
      </c>
      <c r="BG50">
        <v>228.77970999932938</v>
      </c>
      <c r="BH50">
        <v>228.77970999932936</v>
      </c>
      <c r="BI50">
        <f t="shared" si="4"/>
        <v>323.5433686768352</v>
      </c>
      <c r="BJ50">
        <v>1007.5100869155218</v>
      </c>
      <c r="BK50">
        <v>351.9687846143529</v>
      </c>
      <c r="BL50">
        <v>351.96878461435284</v>
      </c>
      <c r="BM50">
        <f t="shared" si="5"/>
        <v>497.75902873359257</v>
      </c>
    </row>
    <row r="51" spans="1:65" x14ac:dyDescent="0.25">
      <c r="A51">
        <v>15</v>
      </c>
      <c r="B51" s="5">
        <v>7</v>
      </c>
      <c r="C51" s="1">
        <f t="shared" ca="1" si="12"/>
        <v>0</v>
      </c>
      <c r="D51" s="46">
        <f t="shared" si="14"/>
        <v>0</v>
      </c>
      <c r="E51" s="46">
        <f t="shared" si="15"/>
        <v>0</v>
      </c>
      <c r="G51" t="e">
        <f t="shared" ca="1" si="16"/>
        <v>#N/A</v>
      </c>
      <c r="H51" t="e">
        <f t="shared" ca="1" si="17"/>
        <v>#N/A</v>
      </c>
      <c r="I51" s="7">
        <f t="shared" si="18"/>
        <v>0</v>
      </c>
      <c r="J51" s="7">
        <f t="shared" si="19"/>
        <v>0</v>
      </c>
      <c r="K51">
        <f t="shared" si="20"/>
        <v>12</v>
      </c>
      <c r="L51" s="15">
        <f t="shared" ca="1" si="21"/>
        <v>0</v>
      </c>
      <c r="M51" s="9">
        <f t="shared" ca="1" si="13"/>
        <v>0</v>
      </c>
      <c r="N51" s="7">
        <f t="shared" ca="1" si="22"/>
        <v>0</v>
      </c>
      <c r="O51" s="7">
        <f t="shared" ca="1" si="23"/>
        <v>0</v>
      </c>
      <c r="P51" s="7">
        <f t="shared" ca="1" si="24"/>
        <v>0</v>
      </c>
      <c r="U51" t="e">
        <f t="shared" ca="1" si="25"/>
        <v>#N/A</v>
      </c>
      <c r="V51" t="e">
        <f t="shared" ca="1" si="26"/>
        <v>#N/A</v>
      </c>
      <c r="X51" t="e">
        <f t="shared" ca="1" si="27"/>
        <v>#N/A</v>
      </c>
      <c r="Y51" t="e">
        <f t="shared" ca="1" si="28"/>
        <v>#N/A</v>
      </c>
      <c r="AJ51">
        <v>0</v>
      </c>
      <c r="AK51">
        <v>0</v>
      </c>
      <c r="AL51">
        <v>0</v>
      </c>
      <c r="AM51">
        <v>0</v>
      </c>
      <c r="AN51">
        <v>0</v>
      </c>
      <c r="AQ51">
        <v>49</v>
      </c>
      <c r="AR51">
        <f t="shared" si="2"/>
        <v>7.8727083478860873</v>
      </c>
      <c r="AS51">
        <f t="shared" si="3"/>
        <v>9.0565149626732637</v>
      </c>
      <c r="AV51">
        <v>683.35466764704961</v>
      </c>
      <c r="AW51">
        <v>2.0786205441461624E-14</v>
      </c>
      <c r="AX51">
        <v>301.62779826742604</v>
      </c>
      <c r="AY51">
        <f t="shared" si="0"/>
        <v>301.62779826742604</v>
      </c>
      <c r="AZ51">
        <v>1051.3148733031533</v>
      </c>
      <c r="BA51">
        <v>3.197877760224865E-14</v>
      </c>
      <c r="BB51">
        <v>464.04276656527082</v>
      </c>
      <c r="BC51">
        <f t="shared" si="1"/>
        <v>464.04276656527082</v>
      </c>
      <c r="BF51">
        <v>683.35466764704961</v>
      </c>
      <c r="BG51">
        <v>227.23657702795006</v>
      </c>
      <c r="BH51">
        <v>227.23657702795006</v>
      </c>
      <c r="BI51">
        <f t="shared" si="4"/>
        <v>321.36104910016547</v>
      </c>
      <c r="BJ51">
        <v>1051.3148733031533</v>
      </c>
      <c r="BK51">
        <v>349.59473388915393</v>
      </c>
      <c r="BL51">
        <v>349.59473388915393</v>
      </c>
      <c r="BM51">
        <f t="shared" si="5"/>
        <v>494.40161400025454</v>
      </c>
    </row>
    <row r="52" spans="1:65" x14ac:dyDescent="0.25">
      <c r="A52">
        <v>16</v>
      </c>
      <c r="B52" s="5">
        <v>7</v>
      </c>
      <c r="C52" s="1">
        <f t="shared" ca="1" si="12"/>
        <v>0</v>
      </c>
      <c r="D52" s="46">
        <f t="shared" si="14"/>
        <v>0</v>
      </c>
      <c r="E52" s="46">
        <f t="shared" si="15"/>
        <v>0</v>
      </c>
      <c r="G52" t="e">
        <f t="shared" ca="1" si="16"/>
        <v>#N/A</v>
      </c>
      <c r="H52" t="e">
        <f t="shared" ca="1" si="17"/>
        <v>#N/A</v>
      </c>
      <c r="I52" s="7">
        <f t="shared" si="18"/>
        <v>0</v>
      </c>
      <c r="J52" s="7">
        <f t="shared" si="19"/>
        <v>0</v>
      </c>
      <c r="K52">
        <f t="shared" si="20"/>
        <v>12</v>
      </c>
      <c r="L52" s="15">
        <f t="shared" ca="1" si="21"/>
        <v>0</v>
      </c>
      <c r="M52" s="9">
        <f t="shared" ca="1" si="13"/>
        <v>0</v>
      </c>
      <c r="N52" s="7">
        <f t="shared" ca="1" si="22"/>
        <v>0</v>
      </c>
      <c r="O52" s="7">
        <f t="shared" ca="1" si="23"/>
        <v>0</v>
      </c>
      <c r="P52" s="7">
        <f t="shared" ca="1" si="24"/>
        <v>0</v>
      </c>
      <c r="U52" t="e">
        <f t="shared" ca="1" si="25"/>
        <v>#N/A</v>
      </c>
      <c r="V52" t="e">
        <f t="shared" ca="1" si="26"/>
        <v>#N/A</v>
      </c>
      <c r="X52" t="e">
        <f t="shared" ca="1" si="27"/>
        <v>#N/A</v>
      </c>
      <c r="Y52" t="e">
        <f t="shared" ca="1" si="28"/>
        <v>#N/A</v>
      </c>
      <c r="AJ52">
        <v>0</v>
      </c>
      <c r="AK52">
        <v>0</v>
      </c>
      <c r="AL52">
        <v>0</v>
      </c>
      <c r="AM52">
        <v>0</v>
      </c>
      <c r="AN52">
        <v>0</v>
      </c>
      <c r="AQ52">
        <v>50</v>
      </c>
      <c r="AR52">
        <f t="shared" si="2"/>
        <v>7.7134513162384728</v>
      </c>
      <c r="AS52">
        <f t="shared" si="3"/>
        <v>9.1925333174277366</v>
      </c>
      <c r="AV52">
        <v>711.82777879901005</v>
      </c>
      <c r="AW52">
        <v>2.4425739441875239E-14</v>
      </c>
      <c r="AX52">
        <v>298.21206279827646</v>
      </c>
      <c r="AY52">
        <f t="shared" si="0"/>
        <v>298.21206279827646</v>
      </c>
      <c r="AZ52">
        <v>1095.1196596907846</v>
      </c>
      <c r="BA52">
        <v>3.7578060679808059E-14</v>
      </c>
      <c r="BB52">
        <v>458.78778892042533</v>
      </c>
      <c r="BC52">
        <f t="shared" si="1"/>
        <v>458.78778892042533</v>
      </c>
      <c r="BF52">
        <v>711.82777879901005</v>
      </c>
      <c r="BG52">
        <v>225.4314678081731</v>
      </c>
      <c r="BH52">
        <v>225.43146780817301</v>
      </c>
      <c r="BI52">
        <f t="shared" si="4"/>
        <v>318.80823915999213</v>
      </c>
      <c r="BJ52">
        <v>1095.1196596907846</v>
      </c>
      <c r="BK52">
        <v>346.81764278180475</v>
      </c>
      <c r="BL52">
        <v>346.81764278180464</v>
      </c>
      <c r="BM52">
        <f t="shared" si="5"/>
        <v>490.47421409229554</v>
      </c>
    </row>
    <row r="53" spans="1:65" x14ac:dyDescent="0.25">
      <c r="A53">
        <v>17</v>
      </c>
      <c r="B53" s="5">
        <v>7</v>
      </c>
      <c r="C53" s="1">
        <f t="shared" ca="1" si="12"/>
        <v>0</v>
      </c>
      <c r="D53" s="46">
        <f t="shared" si="14"/>
        <v>0</v>
      </c>
      <c r="E53" s="46">
        <f t="shared" si="15"/>
        <v>0</v>
      </c>
      <c r="G53" t="e">
        <f t="shared" ca="1" si="16"/>
        <v>#N/A</v>
      </c>
      <c r="H53" t="e">
        <f t="shared" ca="1" si="17"/>
        <v>#N/A</v>
      </c>
      <c r="I53" s="7">
        <f t="shared" si="18"/>
        <v>0</v>
      </c>
      <c r="J53" s="7">
        <f t="shared" si="19"/>
        <v>0</v>
      </c>
      <c r="K53">
        <f t="shared" si="20"/>
        <v>12</v>
      </c>
      <c r="L53" s="15">
        <f t="shared" ca="1" si="21"/>
        <v>0</v>
      </c>
      <c r="M53" s="9">
        <f t="shared" ca="1" si="13"/>
        <v>0</v>
      </c>
      <c r="N53" s="7">
        <f t="shared" ca="1" si="22"/>
        <v>0</v>
      </c>
      <c r="O53" s="7">
        <f t="shared" ca="1" si="23"/>
        <v>0</v>
      </c>
      <c r="P53" s="7">
        <f t="shared" ca="1" si="24"/>
        <v>0</v>
      </c>
      <c r="U53" t="e">
        <f t="shared" ca="1" si="25"/>
        <v>#N/A</v>
      </c>
      <c r="V53" t="e">
        <f t="shared" ca="1" si="26"/>
        <v>#N/A</v>
      </c>
      <c r="X53" t="e">
        <f t="shared" ca="1" si="27"/>
        <v>#N/A</v>
      </c>
      <c r="Y53" t="e">
        <f t="shared" ca="1" si="28"/>
        <v>#N/A</v>
      </c>
      <c r="AJ53">
        <v>0</v>
      </c>
      <c r="AK53">
        <v>0</v>
      </c>
      <c r="AL53">
        <v>0</v>
      </c>
      <c r="AM53">
        <v>0</v>
      </c>
      <c r="AN53">
        <v>0</v>
      </c>
      <c r="AQ53">
        <v>51</v>
      </c>
      <c r="AR53">
        <f t="shared" si="2"/>
        <v>7.55184469259805</v>
      </c>
      <c r="AS53">
        <f t="shared" si="3"/>
        <v>9.3257515374836508</v>
      </c>
      <c r="AV53">
        <v>740.30088995097049</v>
      </c>
      <c r="AW53">
        <v>2.4178320489106156E-14</v>
      </c>
      <c r="AX53">
        <v>294.17305916932378</v>
      </c>
      <c r="AY53">
        <f t="shared" si="0"/>
        <v>294.17305916932378</v>
      </c>
      <c r="AZ53">
        <v>1138.9244460784162</v>
      </c>
      <c r="BA53">
        <v>3.7197416137086393E-14</v>
      </c>
      <c r="BB53">
        <v>452.57393718357503</v>
      </c>
      <c r="BC53">
        <f t="shared" si="1"/>
        <v>452.57393718357503</v>
      </c>
      <c r="BF53">
        <v>740.30088995097049</v>
      </c>
      <c r="BG53">
        <v>223.20707641305069</v>
      </c>
      <c r="BH53">
        <v>223.20707641305069</v>
      </c>
      <c r="BI53">
        <f t="shared" si="4"/>
        <v>315.66247468098408</v>
      </c>
      <c r="BJ53">
        <v>1138.9244460784162</v>
      </c>
      <c r="BK53">
        <v>343.39550217392411</v>
      </c>
      <c r="BL53">
        <v>343.39550217392411</v>
      </c>
      <c r="BM53">
        <f t="shared" si="5"/>
        <v>485.6345764322831</v>
      </c>
    </row>
    <row r="54" spans="1:65" x14ac:dyDescent="0.25">
      <c r="A54">
        <v>18</v>
      </c>
      <c r="B54" s="5">
        <v>7</v>
      </c>
      <c r="C54" s="1">
        <f t="shared" ca="1" si="12"/>
        <v>0</v>
      </c>
      <c r="D54" s="46">
        <f t="shared" si="14"/>
        <v>0</v>
      </c>
      <c r="E54" s="46">
        <f t="shared" si="15"/>
        <v>0</v>
      </c>
      <c r="G54" t="e">
        <f t="shared" ca="1" si="16"/>
        <v>#N/A</v>
      </c>
      <c r="H54" t="e">
        <f t="shared" ca="1" si="17"/>
        <v>#N/A</v>
      </c>
      <c r="I54" s="7">
        <f t="shared" si="18"/>
        <v>0</v>
      </c>
      <c r="J54" s="7">
        <f t="shared" si="19"/>
        <v>0</v>
      </c>
      <c r="K54">
        <f t="shared" si="20"/>
        <v>12</v>
      </c>
      <c r="L54" s="15">
        <f t="shared" ca="1" si="21"/>
        <v>0</v>
      </c>
      <c r="M54" s="9">
        <f t="shared" ca="1" si="13"/>
        <v>0</v>
      </c>
      <c r="N54" s="7">
        <f t="shared" ca="1" si="22"/>
        <v>0</v>
      </c>
      <c r="O54" s="7">
        <f t="shared" ca="1" si="23"/>
        <v>0</v>
      </c>
      <c r="P54" s="7">
        <f t="shared" ca="1" si="24"/>
        <v>0</v>
      </c>
      <c r="U54" t="e">
        <f t="shared" ca="1" si="25"/>
        <v>#N/A</v>
      </c>
      <c r="V54" t="e">
        <f t="shared" ca="1" si="26"/>
        <v>#N/A</v>
      </c>
      <c r="X54" t="e">
        <f t="shared" ca="1" si="27"/>
        <v>#N/A</v>
      </c>
      <c r="Y54" t="e">
        <f t="shared" ca="1" si="28"/>
        <v>#N/A</v>
      </c>
      <c r="AJ54">
        <v>0</v>
      </c>
      <c r="AK54">
        <v>0</v>
      </c>
      <c r="AL54">
        <v>0</v>
      </c>
      <c r="AM54">
        <v>0</v>
      </c>
      <c r="AN54">
        <v>0</v>
      </c>
      <c r="AQ54">
        <v>52</v>
      </c>
      <c r="AR54">
        <f t="shared" si="2"/>
        <v>7.3879377039078999</v>
      </c>
      <c r="AS54">
        <f t="shared" si="3"/>
        <v>9.4561290432806651</v>
      </c>
      <c r="AV54">
        <v>768.77400110293092</v>
      </c>
      <c r="AW54">
        <v>2.1582047459252846E-14</v>
      </c>
      <c r="AX54">
        <v>289.48776348155525</v>
      </c>
      <c r="AY54">
        <f t="shared" si="0"/>
        <v>289.48776348155525</v>
      </c>
      <c r="AZ54">
        <v>1182.7292324660475</v>
      </c>
      <c r="BA54">
        <v>3.3203149937312071E-14</v>
      </c>
      <c r="BB54">
        <v>445.36578997162343</v>
      </c>
      <c r="BC54">
        <f t="shared" si="1"/>
        <v>445.36578997162343</v>
      </c>
      <c r="BF54">
        <v>768.77400110293092</v>
      </c>
      <c r="BG54">
        <v>220.54536614851938</v>
      </c>
      <c r="BH54">
        <v>220.54536614851938</v>
      </c>
      <c r="BI54">
        <f t="shared" si="4"/>
        <v>311.89824792577622</v>
      </c>
      <c r="BJ54">
        <v>1182.7292324660475</v>
      </c>
      <c r="BK54">
        <v>339.30056330541441</v>
      </c>
      <c r="BL54">
        <v>339.30056330541441</v>
      </c>
      <c r="BM54">
        <f t="shared" si="5"/>
        <v>479.84345834734796</v>
      </c>
    </row>
    <row r="55" spans="1:65" x14ac:dyDescent="0.25">
      <c r="A55">
        <v>19</v>
      </c>
      <c r="B55" s="5">
        <v>7</v>
      </c>
      <c r="C55" s="1">
        <f t="shared" ca="1" si="12"/>
        <v>0</v>
      </c>
      <c r="D55" s="46">
        <f t="shared" si="14"/>
        <v>0</v>
      </c>
      <c r="E55" s="46">
        <f t="shared" si="15"/>
        <v>0</v>
      </c>
      <c r="G55" t="e">
        <f t="shared" ca="1" si="16"/>
        <v>#N/A</v>
      </c>
      <c r="H55" t="e">
        <f t="shared" ca="1" si="17"/>
        <v>#N/A</v>
      </c>
      <c r="I55" s="7">
        <f t="shared" si="18"/>
        <v>0</v>
      </c>
      <c r="J55" s="7">
        <f t="shared" si="19"/>
        <v>0</v>
      </c>
      <c r="K55">
        <f t="shared" si="20"/>
        <v>12</v>
      </c>
      <c r="L55" s="15">
        <f t="shared" ca="1" si="21"/>
        <v>0</v>
      </c>
      <c r="M55" s="9">
        <f t="shared" ca="1" si="13"/>
        <v>0</v>
      </c>
      <c r="N55" s="7">
        <f t="shared" ca="1" si="22"/>
        <v>0</v>
      </c>
      <c r="O55" s="7">
        <f t="shared" ca="1" si="23"/>
        <v>0</v>
      </c>
      <c r="P55" s="7">
        <f t="shared" ca="1" si="24"/>
        <v>0</v>
      </c>
      <c r="U55" t="e">
        <f t="shared" ca="1" si="25"/>
        <v>#N/A</v>
      </c>
      <c r="V55" t="e">
        <f t="shared" ca="1" si="26"/>
        <v>#N/A</v>
      </c>
      <c r="X55" t="e">
        <f t="shared" ca="1" si="27"/>
        <v>#N/A</v>
      </c>
      <c r="Y55" t="e">
        <f t="shared" ca="1" si="28"/>
        <v>#N/A</v>
      </c>
      <c r="AJ55">
        <v>0</v>
      </c>
      <c r="AK55">
        <v>0</v>
      </c>
      <c r="AL55">
        <v>0</v>
      </c>
      <c r="AM55">
        <v>0</v>
      </c>
      <c r="AN55">
        <v>0</v>
      </c>
      <c r="AQ55">
        <v>53</v>
      </c>
      <c r="AR55">
        <f t="shared" si="2"/>
        <v>7.2217802778245801</v>
      </c>
      <c r="AS55">
        <f t="shared" si="3"/>
        <v>9.583626120567514</v>
      </c>
      <c r="AV55">
        <v>797.24711225489136</v>
      </c>
      <c r="AW55">
        <v>2.3370961126526517E-14</v>
      </c>
      <c r="AX55">
        <v>284.13475397432097</v>
      </c>
      <c r="AY55">
        <f t="shared" si="0"/>
        <v>284.13475397432097</v>
      </c>
      <c r="AZ55">
        <v>1226.5340188536791</v>
      </c>
      <c r="BA55">
        <v>3.5955324810040793E-14</v>
      </c>
      <c r="BB55">
        <v>437.13039072972458</v>
      </c>
      <c r="BC55">
        <f t="shared" si="1"/>
        <v>437.13039072972458</v>
      </c>
      <c r="BF55">
        <v>797.24711225489136</v>
      </c>
      <c r="BG55">
        <v>217.42904549898742</v>
      </c>
      <c r="BH55">
        <v>217.42904549898742</v>
      </c>
      <c r="BI55">
        <f t="shared" si="4"/>
        <v>307.4911049985048</v>
      </c>
      <c r="BJ55">
        <v>1226.5340188536791</v>
      </c>
      <c r="BK55">
        <v>334.50622384459604</v>
      </c>
      <c r="BL55">
        <v>334.50622384459604</v>
      </c>
      <c r="BM55">
        <f t="shared" si="5"/>
        <v>473.06323845923811</v>
      </c>
    </row>
    <row r="56" spans="1:65" x14ac:dyDescent="0.25">
      <c r="A56">
        <v>20</v>
      </c>
      <c r="B56" s="5">
        <v>7</v>
      </c>
      <c r="C56" s="1">
        <f t="shared" ca="1" si="12"/>
        <v>0</v>
      </c>
      <c r="D56" s="46">
        <f t="shared" si="14"/>
        <v>0</v>
      </c>
      <c r="E56" s="46">
        <f t="shared" si="15"/>
        <v>0</v>
      </c>
      <c r="G56" t="e">
        <f t="shared" ca="1" si="16"/>
        <v>#N/A</v>
      </c>
      <c r="H56" t="e">
        <f t="shared" ca="1" si="17"/>
        <v>#N/A</v>
      </c>
      <c r="I56" s="7">
        <f t="shared" si="18"/>
        <v>0</v>
      </c>
      <c r="J56" s="7">
        <f t="shared" si="19"/>
        <v>0</v>
      </c>
      <c r="K56">
        <f t="shared" si="20"/>
        <v>12</v>
      </c>
      <c r="L56" s="15">
        <f t="shared" ca="1" si="21"/>
        <v>0</v>
      </c>
      <c r="M56" s="9">
        <f t="shared" ca="1" si="13"/>
        <v>0</v>
      </c>
      <c r="N56" s="7">
        <f t="shared" ca="1" si="22"/>
        <v>0</v>
      </c>
      <c r="O56" s="7">
        <f t="shared" ca="1" si="23"/>
        <v>0</v>
      </c>
      <c r="P56" s="7">
        <f t="shared" ca="1" si="24"/>
        <v>0</v>
      </c>
      <c r="U56" t="e">
        <f t="shared" ca="1" si="25"/>
        <v>#N/A</v>
      </c>
      <c r="V56" t="e">
        <f t="shared" ca="1" si="26"/>
        <v>#N/A</v>
      </c>
      <c r="X56" t="e">
        <f t="shared" ca="1" si="27"/>
        <v>#N/A</v>
      </c>
      <c r="Y56" t="e">
        <f t="shared" ca="1" si="28"/>
        <v>#N/A</v>
      </c>
      <c r="AJ56">
        <v>0</v>
      </c>
      <c r="AK56">
        <v>0</v>
      </c>
      <c r="AL56">
        <v>0</v>
      </c>
      <c r="AM56">
        <v>0</v>
      </c>
      <c r="AN56">
        <v>0</v>
      </c>
      <c r="AQ56">
        <v>54</v>
      </c>
      <c r="AR56">
        <f t="shared" si="2"/>
        <v>7.0534230275096776</v>
      </c>
      <c r="AS56">
        <f t="shared" si="3"/>
        <v>9.7082039324993694</v>
      </c>
      <c r="AV56">
        <v>825.7202234068518</v>
      </c>
      <c r="AW56">
        <v>1.8940111080132028E-14</v>
      </c>
      <c r="AX56">
        <v>277.77408420899064</v>
      </c>
      <c r="AY56">
        <f t="shared" si="0"/>
        <v>277.77408420899064</v>
      </c>
      <c r="AZ56">
        <v>1270.3388052413104</v>
      </c>
      <c r="BA56">
        <v>2.9138632430972348E-14</v>
      </c>
      <c r="BB56">
        <v>427.34474493690868</v>
      </c>
      <c r="BC56">
        <f t="shared" si="1"/>
        <v>427.34474493690868</v>
      </c>
      <c r="BF56">
        <v>825.7202234068518</v>
      </c>
      <c r="BG56">
        <v>213.84146100147777</v>
      </c>
      <c r="BH56">
        <v>213.8414610014778</v>
      </c>
      <c r="BI56">
        <f t="shared" si="4"/>
        <v>302.41749434596716</v>
      </c>
      <c r="BJ56">
        <v>1270.3388052413104</v>
      </c>
      <c r="BK56">
        <v>328.98686307919655</v>
      </c>
      <c r="BL56">
        <v>328.98686307919661</v>
      </c>
      <c r="BM56">
        <f t="shared" si="5"/>
        <v>465.25768360918022</v>
      </c>
    </row>
    <row r="57" spans="1:65" x14ac:dyDescent="0.25">
      <c r="A57">
        <v>21</v>
      </c>
      <c r="B57" s="5">
        <v>7</v>
      </c>
      <c r="C57" s="1">
        <f t="shared" ca="1" si="12"/>
        <v>0</v>
      </c>
      <c r="D57" s="46">
        <f t="shared" si="14"/>
        <v>0</v>
      </c>
      <c r="E57" s="46">
        <f t="shared" si="15"/>
        <v>0</v>
      </c>
      <c r="G57" t="e">
        <f t="shared" ca="1" si="16"/>
        <v>#N/A</v>
      </c>
      <c r="H57" t="e">
        <f t="shared" ca="1" si="17"/>
        <v>#N/A</v>
      </c>
      <c r="I57" s="7">
        <f t="shared" si="18"/>
        <v>0</v>
      </c>
      <c r="J57" s="7">
        <f t="shared" si="19"/>
        <v>0</v>
      </c>
      <c r="K57">
        <f t="shared" si="20"/>
        <v>12</v>
      </c>
      <c r="L57" s="15">
        <f t="shared" ca="1" si="21"/>
        <v>0</v>
      </c>
      <c r="M57" s="9">
        <f t="shared" ca="1" si="13"/>
        <v>0</v>
      </c>
      <c r="N57" s="7">
        <f t="shared" ca="1" si="22"/>
        <v>0</v>
      </c>
      <c r="O57" s="7">
        <f t="shared" ca="1" si="23"/>
        <v>0</v>
      </c>
      <c r="P57" s="7">
        <f t="shared" ca="1" si="24"/>
        <v>0</v>
      </c>
      <c r="U57" t="e">
        <f t="shared" ca="1" si="25"/>
        <v>#N/A</v>
      </c>
      <c r="V57" t="e">
        <f t="shared" ca="1" si="26"/>
        <v>#N/A</v>
      </c>
      <c r="X57" t="e">
        <f t="shared" ca="1" si="27"/>
        <v>#N/A</v>
      </c>
      <c r="Y57" t="e">
        <f t="shared" ca="1" si="28"/>
        <v>#N/A</v>
      </c>
      <c r="AJ57">
        <v>0</v>
      </c>
      <c r="AK57">
        <v>0</v>
      </c>
      <c r="AL57">
        <v>0</v>
      </c>
      <c r="AM57">
        <v>0</v>
      </c>
      <c r="AN57">
        <v>0</v>
      </c>
      <c r="AQ57">
        <v>55</v>
      </c>
      <c r="AR57">
        <f t="shared" si="2"/>
        <v>6.8829172362125544</v>
      </c>
      <c r="AS57">
        <f t="shared" si="3"/>
        <v>9.8298245314679011</v>
      </c>
      <c r="AV57">
        <v>854.19333455881224</v>
      </c>
      <c r="AW57">
        <v>1.6225755857242285E-14</v>
      </c>
      <c r="AX57">
        <v>270.57212303927037</v>
      </c>
      <c r="AY57">
        <f t="shared" si="0"/>
        <v>270.57212303927037</v>
      </c>
      <c r="AZ57">
        <v>1314.1435916289417</v>
      </c>
      <c r="BA57">
        <v>2.4962701318834286E-14</v>
      </c>
      <c r="BB57">
        <v>416.26480467580058</v>
      </c>
      <c r="BC57">
        <f t="shared" si="1"/>
        <v>416.26480467580058</v>
      </c>
      <c r="BF57">
        <v>854.19333455881224</v>
      </c>
      <c r="BG57">
        <v>209.65455361461764</v>
      </c>
      <c r="BH57">
        <v>209.65455361461756</v>
      </c>
      <c r="BI57">
        <f t="shared" si="4"/>
        <v>296.49631313506939</v>
      </c>
      <c r="BJ57">
        <v>1314.1435916289417</v>
      </c>
      <c r="BK57">
        <v>322.54546709941172</v>
      </c>
      <c r="BL57">
        <v>322.54546709941161</v>
      </c>
      <c r="BM57">
        <f t="shared" si="5"/>
        <v>456.14817405395286</v>
      </c>
    </row>
    <row r="58" spans="1:65" x14ac:dyDescent="0.25">
      <c r="A58">
        <v>22</v>
      </c>
      <c r="B58" s="5">
        <v>7</v>
      </c>
      <c r="C58" s="1">
        <f t="shared" ca="1" si="12"/>
        <v>0</v>
      </c>
      <c r="D58" s="46">
        <f t="shared" si="14"/>
        <v>0</v>
      </c>
      <c r="E58" s="46">
        <f t="shared" si="15"/>
        <v>0</v>
      </c>
      <c r="G58" t="e">
        <f t="shared" ca="1" si="16"/>
        <v>#N/A</v>
      </c>
      <c r="H58" t="e">
        <f t="shared" ca="1" si="17"/>
        <v>#N/A</v>
      </c>
      <c r="I58" s="7">
        <f t="shared" si="18"/>
        <v>0</v>
      </c>
      <c r="J58" s="7">
        <f t="shared" si="19"/>
        <v>0</v>
      </c>
      <c r="K58">
        <f t="shared" si="20"/>
        <v>12</v>
      </c>
      <c r="L58" s="15">
        <f t="shared" ca="1" si="21"/>
        <v>0</v>
      </c>
      <c r="M58" s="9">
        <f t="shared" ca="1" si="13"/>
        <v>0</v>
      </c>
      <c r="N58" s="7">
        <f t="shared" ca="1" si="22"/>
        <v>0</v>
      </c>
      <c r="O58" s="7">
        <f t="shared" ca="1" si="23"/>
        <v>0</v>
      </c>
      <c r="P58" s="7">
        <f t="shared" ca="1" si="24"/>
        <v>0</v>
      </c>
      <c r="U58" t="e">
        <f t="shared" ca="1" si="25"/>
        <v>#N/A</v>
      </c>
      <c r="V58" t="e">
        <f t="shared" ca="1" si="26"/>
        <v>#N/A</v>
      </c>
      <c r="X58" t="e">
        <f t="shared" ca="1" si="27"/>
        <v>#N/A</v>
      </c>
      <c r="Y58" t="e">
        <f t="shared" ca="1" si="28"/>
        <v>#N/A</v>
      </c>
      <c r="AJ58">
        <v>0</v>
      </c>
      <c r="AK58">
        <v>0</v>
      </c>
      <c r="AL58">
        <v>0</v>
      </c>
      <c r="AM58">
        <v>0</v>
      </c>
      <c r="AN58">
        <v>0</v>
      </c>
      <c r="AQ58">
        <v>56</v>
      </c>
      <c r="AR58">
        <f t="shared" si="2"/>
        <v>6.7103148416489615</v>
      </c>
      <c r="AS58">
        <f t="shared" si="3"/>
        <v>9.9484508706605013</v>
      </c>
      <c r="AV58">
        <v>882.66644571077268</v>
      </c>
      <c r="AW58">
        <v>1.5607209631082322E-14</v>
      </c>
      <c r="AX58">
        <v>262.6343968459974</v>
      </c>
      <c r="AY58">
        <f t="shared" si="0"/>
        <v>262.6343968459974</v>
      </c>
      <c r="AZ58">
        <v>1357.9483780165733</v>
      </c>
      <c r="BA58">
        <v>2.4011091740126649E-14</v>
      </c>
      <c r="BB58">
        <v>404.05291822461135</v>
      </c>
      <c r="BC58">
        <f t="shared" si="1"/>
        <v>404.05291822461135</v>
      </c>
      <c r="BF58">
        <v>882.66644571077268</v>
      </c>
      <c r="BG58">
        <v>204.77671697414061</v>
      </c>
      <c r="BH58">
        <v>204.77671697414058</v>
      </c>
      <c r="BI58">
        <f t="shared" si="4"/>
        <v>289.59801040306638</v>
      </c>
      <c r="BJ58">
        <v>1357.9483780165733</v>
      </c>
      <c r="BK58">
        <v>315.04110303713941</v>
      </c>
      <c r="BL58">
        <v>315.04110303713935</v>
      </c>
      <c r="BM58">
        <f t="shared" si="5"/>
        <v>445.53540062010222</v>
      </c>
    </row>
    <row r="59" spans="1:65" x14ac:dyDescent="0.25">
      <c r="A59">
        <v>23</v>
      </c>
      <c r="B59" s="5">
        <v>7</v>
      </c>
      <c r="C59" s="1">
        <f t="shared" ca="1" si="12"/>
        <v>0</v>
      </c>
      <c r="D59" s="46">
        <f t="shared" si="14"/>
        <v>0</v>
      </c>
      <c r="E59" s="46">
        <f t="shared" si="15"/>
        <v>0</v>
      </c>
      <c r="G59" t="e">
        <f t="shared" ca="1" si="16"/>
        <v>#N/A</v>
      </c>
      <c r="H59" t="e">
        <f t="shared" ca="1" si="17"/>
        <v>#N/A</v>
      </c>
      <c r="I59" s="7">
        <f t="shared" si="18"/>
        <v>0</v>
      </c>
      <c r="J59" s="7">
        <f t="shared" si="19"/>
        <v>0</v>
      </c>
      <c r="K59">
        <f t="shared" si="20"/>
        <v>12</v>
      </c>
      <c r="L59" s="15">
        <f t="shared" ca="1" si="21"/>
        <v>0</v>
      </c>
      <c r="M59" s="9">
        <f t="shared" ca="1" si="13"/>
        <v>0</v>
      </c>
      <c r="N59" s="7">
        <f t="shared" ca="1" si="22"/>
        <v>0</v>
      </c>
      <c r="O59" s="7">
        <f t="shared" ca="1" si="23"/>
        <v>0</v>
      </c>
      <c r="P59" s="7">
        <f t="shared" ca="1" si="24"/>
        <v>0</v>
      </c>
      <c r="U59" t="e">
        <f t="shared" ca="1" si="25"/>
        <v>#N/A</v>
      </c>
      <c r="V59" t="e">
        <f t="shared" ca="1" si="26"/>
        <v>#N/A</v>
      </c>
      <c r="X59" t="e">
        <f t="shared" ca="1" si="27"/>
        <v>#N/A</v>
      </c>
      <c r="Y59" t="e">
        <f t="shared" ca="1" si="28"/>
        <v>#N/A</v>
      </c>
      <c r="AJ59">
        <v>0</v>
      </c>
      <c r="AK59">
        <v>0</v>
      </c>
      <c r="AL59">
        <v>0</v>
      </c>
      <c r="AM59">
        <v>0</v>
      </c>
      <c r="AN59">
        <v>0</v>
      </c>
      <c r="AQ59">
        <v>57</v>
      </c>
      <c r="AR59">
        <f t="shared" si="2"/>
        <v>6.5356684201803255</v>
      </c>
      <c r="AS59">
        <f t="shared" si="3"/>
        <v>10.064046815345089</v>
      </c>
      <c r="AV59">
        <v>911.13955686273312</v>
      </c>
      <c r="AW59">
        <v>1.4208969630012407E-14</v>
      </c>
      <c r="AX59">
        <v>253.94539202001508</v>
      </c>
      <c r="AY59">
        <f t="shared" si="0"/>
        <v>253.94539202001508</v>
      </c>
      <c r="AZ59">
        <v>1401.7531644042047</v>
      </c>
      <c r="BA59">
        <v>2.1859953276942164E-14</v>
      </c>
      <c r="BB59">
        <v>390.68521849233088</v>
      </c>
      <c r="BC59">
        <f t="shared" si="1"/>
        <v>390.68521849233088</v>
      </c>
      <c r="BF59">
        <v>911.13955686273312</v>
      </c>
      <c r="BG59">
        <v>199.37169627480813</v>
      </c>
      <c r="BH59">
        <v>199.37169627480816</v>
      </c>
      <c r="BI59">
        <f t="shared" si="4"/>
        <v>281.95415682516312</v>
      </c>
      <c r="BJ59">
        <v>1401.7531644042047</v>
      </c>
      <c r="BK59">
        <v>306.72568657662788</v>
      </c>
      <c r="BL59">
        <v>306.72568657662794</v>
      </c>
      <c r="BM59">
        <f t="shared" si="5"/>
        <v>433.77562588486637</v>
      </c>
    </row>
    <row r="60" spans="1:65" x14ac:dyDescent="0.25">
      <c r="A60">
        <v>24</v>
      </c>
      <c r="B60" s="5">
        <v>7</v>
      </c>
      <c r="C60" s="1">
        <f t="shared" ca="1" si="12"/>
        <v>0</v>
      </c>
      <c r="D60" s="46">
        <f t="shared" si="14"/>
        <v>0</v>
      </c>
      <c r="E60" s="46">
        <f t="shared" si="15"/>
        <v>0</v>
      </c>
      <c r="G60" t="e">
        <f t="shared" ca="1" si="16"/>
        <v>#N/A</v>
      </c>
      <c r="H60" t="e">
        <f t="shared" ca="1" si="17"/>
        <v>#N/A</v>
      </c>
      <c r="I60" s="7">
        <f t="shared" si="18"/>
        <v>0</v>
      </c>
      <c r="J60" s="7">
        <f t="shared" si="19"/>
        <v>0</v>
      </c>
      <c r="K60">
        <f t="shared" si="20"/>
        <v>12</v>
      </c>
      <c r="L60" s="15">
        <f t="shared" ca="1" si="21"/>
        <v>0</v>
      </c>
      <c r="M60" s="9">
        <f t="shared" ca="1" si="13"/>
        <v>0</v>
      </c>
      <c r="N60" s="7">
        <f t="shared" ca="1" si="22"/>
        <v>0</v>
      </c>
      <c r="O60" s="7">
        <f t="shared" ca="1" si="23"/>
        <v>0</v>
      </c>
      <c r="P60" s="7">
        <f t="shared" ca="1" si="24"/>
        <v>0</v>
      </c>
      <c r="U60" t="e">
        <f t="shared" ca="1" si="25"/>
        <v>#N/A</v>
      </c>
      <c r="V60" t="e">
        <f t="shared" ca="1" si="26"/>
        <v>#N/A</v>
      </c>
      <c r="X60" t="e">
        <f t="shared" ca="1" si="27"/>
        <v>#N/A</v>
      </c>
      <c r="Y60" t="e">
        <f t="shared" ca="1" si="28"/>
        <v>#N/A</v>
      </c>
      <c r="AJ60">
        <v>0</v>
      </c>
      <c r="AK60">
        <v>0</v>
      </c>
      <c r="AL60">
        <v>0</v>
      </c>
      <c r="AM60">
        <v>0</v>
      </c>
      <c r="AN60">
        <v>0</v>
      </c>
      <c r="AQ60">
        <v>58</v>
      </c>
      <c r="AR60">
        <f t="shared" si="2"/>
        <v>6.3590311707984588</v>
      </c>
      <c r="AS60">
        <f t="shared" si="3"/>
        <v>10.176577153877112</v>
      </c>
      <c r="AV60">
        <v>939.61266801469355</v>
      </c>
      <c r="AW60">
        <v>1.5939131979240429E-14</v>
      </c>
      <c r="AX60">
        <v>244.49181862371188</v>
      </c>
      <c r="AY60">
        <f t="shared" si="0"/>
        <v>244.49181862371188</v>
      </c>
      <c r="AZ60">
        <v>1445.5579507918362</v>
      </c>
      <c r="BA60">
        <v>2.4521741506523736E-14</v>
      </c>
      <c r="BB60">
        <v>376.14125942109519</v>
      </c>
      <c r="BC60">
        <f t="shared" si="1"/>
        <v>376.14125942109519</v>
      </c>
      <c r="BF60">
        <v>939.61266801469355</v>
      </c>
      <c r="BG60">
        <v>193.42365637513333</v>
      </c>
      <c r="BH60">
        <v>193.42365637513333</v>
      </c>
      <c r="BI60">
        <f t="shared" si="4"/>
        <v>273.54235812950674</v>
      </c>
      <c r="BJ60">
        <v>1445.5579507918362</v>
      </c>
      <c r="BK60">
        <v>297.57485596174359</v>
      </c>
      <c r="BL60">
        <v>297.57485596174359</v>
      </c>
      <c r="BM60">
        <f t="shared" si="5"/>
        <v>420.83439712231802</v>
      </c>
    </row>
    <row r="61" spans="1:65" x14ac:dyDescent="0.25">
      <c r="A61">
        <v>25</v>
      </c>
      <c r="B61" s="5">
        <v>7</v>
      </c>
      <c r="C61" s="1">
        <f t="shared" ca="1" si="12"/>
        <v>0</v>
      </c>
      <c r="D61" s="46">
        <f t="shared" si="14"/>
        <v>0</v>
      </c>
      <c r="E61" s="46">
        <f t="shared" si="15"/>
        <v>0</v>
      </c>
      <c r="G61" t="e">
        <f t="shared" ca="1" si="16"/>
        <v>#N/A</v>
      </c>
      <c r="H61" t="e">
        <f t="shared" ca="1" si="17"/>
        <v>#N/A</v>
      </c>
      <c r="I61" s="7">
        <f t="shared" si="18"/>
        <v>0</v>
      </c>
      <c r="J61" s="7">
        <f t="shared" si="19"/>
        <v>0</v>
      </c>
      <c r="K61">
        <f t="shared" si="20"/>
        <v>12</v>
      </c>
      <c r="L61" s="15">
        <f t="shared" ca="1" si="21"/>
        <v>0</v>
      </c>
      <c r="M61" s="9">
        <f t="shared" ca="1" si="13"/>
        <v>0</v>
      </c>
      <c r="N61" s="7">
        <f t="shared" ca="1" si="22"/>
        <v>0</v>
      </c>
      <c r="O61" s="7">
        <f t="shared" ca="1" si="23"/>
        <v>0</v>
      </c>
      <c r="P61" s="7">
        <f t="shared" ca="1" si="24"/>
        <v>0</v>
      </c>
      <c r="U61" t="e">
        <f t="shared" ca="1" si="25"/>
        <v>#N/A</v>
      </c>
      <c r="V61" t="e">
        <f t="shared" ca="1" si="26"/>
        <v>#N/A</v>
      </c>
      <c r="X61" t="e">
        <f t="shared" ca="1" si="27"/>
        <v>#N/A</v>
      </c>
      <c r="Y61" t="e">
        <f t="shared" ca="1" si="28"/>
        <v>#N/A</v>
      </c>
      <c r="AJ61">
        <v>0</v>
      </c>
      <c r="AK61">
        <v>0</v>
      </c>
      <c r="AL61">
        <v>0</v>
      </c>
      <c r="AM61">
        <v>0</v>
      </c>
      <c r="AN61">
        <v>0</v>
      </c>
      <c r="AQ61">
        <v>59</v>
      </c>
      <c r="AR61">
        <f t="shared" si="2"/>
        <v>6.1804568989206494</v>
      </c>
      <c r="AS61">
        <f t="shared" si="3"/>
        <v>10.286007608425347</v>
      </c>
      <c r="AV61">
        <v>968.08577916665399</v>
      </c>
      <c r="AW61">
        <v>1.281085315041293E-14</v>
      </c>
      <c r="AX61">
        <v>234.26324138484637</v>
      </c>
      <c r="AY61">
        <f t="shared" si="0"/>
        <v>234.26324138484637</v>
      </c>
      <c r="AZ61">
        <v>1489.3627371794676</v>
      </c>
      <c r="BA61">
        <v>1.9709004846789121E-14</v>
      </c>
      <c r="BB61">
        <v>360.40498674591748</v>
      </c>
      <c r="BC61">
        <f t="shared" si="1"/>
        <v>360.40498674591748</v>
      </c>
      <c r="BF61">
        <v>968.08577916665399</v>
      </c>
      <c r="BG61">
        <v>186.9167782037436</v>
      </c>
      <c r="BH61">
        <v>186.9167782037436</v>
      </c>
      <c r="BI61">
        <f t="shared" si="4"/>
        <v>264.34024277081795</v>
      </c>
      <c r="BJ61">
        <v>1489.3627371794676</v>
      </c>
      <c r="BK61">
        <v>287.56427415960553</v>
      </c>
      <c r="BL61">
        <v>287.56427415960553</v>
      </c>
      <c r="BM61">
        <f t="shared" si="5"/>
        <v>406.67729657048909</v>
      </c>
    </row>
    <row r="62" spans="1:65" x14ac:dyDescent="0.25">
      <c r="A62">
        <v>26</v>
      </c>
      <c r="B62" s="5">
        <v>7</v>
      </c>
      <c r="C62" s="1">
        <f t="shared" ca="1" si="12"/>
        <v>0</v>
      </c>
      <c r="D62" s="46">
        <f t="shared" si="14"/>
        <v>0</v>
      </c>
      <c r="E62" s="46">
        <f t="shared" si="15"/>
        <v>0</v>
      </c>
      <c r="G62" t="e">
        <f t="shared" ca="1" si="16"/>
        <v>#N/A</v>
      </c>
      <c r="H62" t="e">
        <f t="shared" ca="1" si="17"/>
        <v>#N/A</v>
      </c>
      <c r="I62" s="7">
        <f t="shared" si="18"/>
        <v>0</v>
      </c>
      <c r="J62" s="7">
        <f t="shared" si="19"/>
        <v>0</v>
      </c>
      <c r="K62">
        <f t="shared" si="20"/>
        <v>12</v>
      </c>
      <c r="L62" s="15">
        <f t="shared" ca="1" si="21"/>
        <v>0</v>
      </c>
      <c r="M62" s="9">
        <f t="shared" ca="1" si="13"/>
        <v>0</v>
      </c>
      <c r="N62" s="7">
        <f t="shared" ca="1" si="22"/>
        <v>0</v>
      </c>
      <c r="O62" s="7">
        <f t="shared" ca="1" si="23"/>
        <v>0</v>
      </c>
      <c r="P62" s="7">
        <f t="shared" ca="1" si="24"/>
        <v>0</v>
      </c>
      <c r="U62" t="e">
        <f t="shared" ca="1" si="25"/>
        <v>#N/A</v>
      </c>
      <c r="V62" t="e">
        <f t="shared" ca="1" si="26"/>
        <v>#N/A</v>
      </c>
      <c r="X62" t="e">
        <f t="shared" ca="1" si="27"/>
        <v>#N/A</v>
      </c>
      <c r="Y62" t="e">
        <f t="shared" ca="1" si="28"/>
        <v>#N/A</v>
      </c>
      <c r="AJ62">
        <v>0</v>
      </c>
      <c r="AK62">
        <v>0</v>
      </c>
      <c r="AL62">
        <v>0</v>
      </c>
      <c r="AM62">
        <v>0</v>
      </c>
      <c r="AN62">
        <v>0</v>
      </c>
      <c r="AQ62">
        <v>60</v>
      </c>
      <c r="AR62">
        <f t="shared" si="2"/>
        <v>6.0000000000000018</v>
      </c>
      <c r="AS62">
        <f t="shared" si="3"/>
        <v>10.392304845413264</v>
      </c>
      <c r="AV62">
        <v>996.55889031861443</v>
      </c>
      <c r="AW62">
        <v>1.3291040420327653E-14</v>
      </c>
      <c r="AX62">
        <v>223.25323401809433</v>
      </c>
      <c r="AY62">
        <f t="shared" si="0"/>
        <v>223.25323401809433</v>
      </c>
      <c r="AZ62">
        <v>1533.1675235670991</v>
      </c>
      <c r="BA62">
        <v>2.0447754492811774E-14</v>
      </c>
      <c r="BB62">
        <v>343.46651387399129</v>
      </c>
      <c r="BC62">
        <f t="shared" si="1"/>
        <v>343.46651387399129</v>
      </c>
      <c r="BF62">
        <v>996.55889031861443</v>
      </c>
      <c r="BG62">
        <v>179.83509168621305</v>
      </c>
      <c r="BH62">
        <v>179.83509168621308</v>
      </c>
      <c r="BI62">
        <f t="shared" si="4"/>
        <v>254.32522565325155</v>
      </c>
      <c r="BJ62">
        <v>1533.1675235670991</v>
      </c>
      <c r="BK62">
        <v>276.66937182494314</v>
      </c>
      <c r="BL62">
        <v>276.6693718249432</v>
      </c>
      <c r="BM62">
        <f t="shared" si="5"/>
        <v>391.26957792807929</v>
      </c>
    </row>
    <row r="63" spans="1:65" x14ac:dyDescent="0.25">
      <c r="A63">
        <v>27</v>
      </c>
      <c r="B63" s="5">
        <v>0</v>
      </c>
      <c r="C63" s="1">
        <f t="shared" ca="1" si="12"/>
        <v>0</v>
      </c>
      <c r="D63" s="46">
        <f t="shared" si="14"/>
        <v>0</v>
      </c>
      <c r="E63" s="46">
        <f t="shared" si="15"/>
        <v>0</v>
      </c>
      <c r="G63" t="e">
        <f t="shared" ca="1" si="16"/>
        <v>#N/A</v>
      </c>
      <c r="H63" t="e">
        <f t="shared" ca="1" si="17"/>
        <v>#N/A</v>
      </c>
      <c r="I63" s="7">
        <f t="shared" si="18"/>
        <v>0</v>
      </c>
      <c r="J63" s="7">
        <f t="shared" si="19"/>
        <v>0</v>
      </c>
      <c r="K63">
        <f t="shared" si="20"/>
        <v>0</v>
      </c>
      <c r="L63" s="15">
        <f t="shared" ca="1" si="21"/>
        <v>0</v>
      </c>
      <c r="M63" s="9">
        <f t="shared" ca="1" si="13"/>
        <v>0</v>
      </c>
      <c r="N63" s="7">
        <f t="shared" ca="1" si="22"/>
        <v>0</v>
      </c>
      <c r="O63" s="7">
        <f t="shared" ca="1" si="23"/>
        <v>0</v>
      </c>
      <c r="P63" s="7">
        <f t="shared" ca="1" si="24"/>
        <v>0</v>
      </c>
      <c r="U63" t="e">
        <f t="shared" ca="1" si="25"/>
        <v>#N/A</v>
      </c>
      <c r="V63" t="e">
        <f t="shared" ca="1" si="26"/>
        <v>#N/A</v>
      </c>
      <c r="X63" t="e">
        <f t="shared" ca="1" si="27"/>
        <v>#N/A</v>
      </c>
      <c r="Y63" t="e">
        <f t="shared" ca="1" si="28"/>
        <v>#N/A</v>
      </c>
      <c r="AJ63">
        <v>0</v>
      </c>
      <c r="AK63">
        <v>0</v>
      </c>
      <c r="AL63">
        <v>0</v>
      </c>
      <c r="AM63">
        <v>0</v>
      </c>
      <c r="AN63">
        <v>0</v>
      </c>
      <c r="AQ63">
        <v>61</v>
      </c>
      <c r="AR63">
        <f t="shared" si="2"/>
        <v>5.8177154429560449</v>
      </c>
      <c r="AS63">
        <f t="shared" si="3"/>
        <v>10.495436485672748</v>
      </c>
      <c r="AV63">
        <v>1025.0320014705749</v>
      </c>
      <c r="AW63">
        <v>1.5647730153276564E-14</v>
      </c>
      <c r="AX63">
        <v>211.46153994568797</v>
      </c>
      <c r="AY63">
        <f t="shared" si="0"/>
        <v>211.46153994568797</v>
      </c>
      <c r="AZ63">
        <v>1576.9723099547305</v>
      </c>
      <c r="BA63">
        <v>2.4073431005040868E-14</v>
      </c>
      <c r="BB63">
        <v>325.32544607028916</v>
      </c>
      <c r="BC63">
        <f t="shared" si="1"/>
        <v>325.32544607028916</v>
      </c>
      <c r="BF63">
        <v>1025.0320014705749</v>
      </c>
      <c r="BG63">
        <v>172.16229181584592</v>
      </c>
      <c r="BH63">
        <v>172.16229181584589</v>
      </c>
      <c r="BI63">
        <f t="shared" si="4"/>
        <v>243.47424801520378</v>
      </c>
      <c r="BJ63">
        <v>1576.9723099547305</v>
      </c>
      <c r="BK63">
        <v>264.86506433207063</v>
      </c>
      <c r="BL63">
        <v>264.86506433207057</v>
      </c>
      <c r="BM63">
        <f t="shared" si="5"/>
        <v>374.57576617723657</v>
      </c>
    </row>
    <row r="64" spans="1:65" x14ac:dyDescent="0.25">
      <c r="A64">
        <v>28</v>
      </c>
      <c r="B64" s="5">
        <v>0</v>
      </c>
      <c r="C64" s="1">
        <f t="shared" ca="1" si="12"/>
        <v>0</v>
      </c>
      <c r="D64" s="46">
        <f t="shared" si="14"/>
        <v>0</v>
      </c>
      <c r="E64" s="46">
        <f t="shared" si="15"/>
        <v>0</v>
      </c>
      <c r="G64" t="e">
        <f t="shared" ca="1" si="16"/>
        <v>#N/A</v>
      </c>
      <c r="H64" t="e">
        <f t="shared" ca="1" si="17"/>
        <v>#N/A</v>
      </c>
      <c r="I64" s="7">
        <f t="shared" si="18"/>
        <v>0</v>
      </c>
      <c r="J64" s="7">
        <f t="shared" si="19"/>
        <v>0</v>
      </c>
      <c r="K64">
        <f t="shared" si="20"/>
        <v>0</v>
      </c>
      <c r="L64" s="15">
        <f t="shared" ca="1" si="21"/>
        <v>0</v>
      </c>
      <c r="M64" s="9">
        <f t="shared" ca="1" si="13"/>
        <v>0</v>
      </c>
      <c r="N64" s="7">
        <f t="shared" ca="1" si="22"/>
        <v>0</v>
      </c>
      <c r="O64" s="7">
        <f t="shared" ca="1" si="23"/>
        <v>0</v>
      </c>
      <c r="P64" s="7">
        <f t="shared" ca="1" si="24"/>
        <v>0</v>
      </c>
      <c r="U64" t="e">
        <f t="shared" ca="1" si="25"/>
        <v>#N/A</v>
      </c>
      <c r="V64" t="e">
        <f t="shared" ca="1" si="26"/>
        <v>#N/A</v>
      </c>
      <c r="X64" t="e">
        <f t="shared" ca="1" si="27"/>
        <v>#N/A</v>
      </c>
      <c r="Y64" t="e">
        <f t="shared" ca="1" si="28"/>
        <v>#N/A</v>
      </c>
      <c r="AJ64">
        <v>0</v>
      </c>
      <c r="AK64">
        <v>0</v>
      </c>
      <c r="AL64">
        <v>0</v>
      </c>
      <c r="AM64">
        <v>0</v>
      </c>
      <c r="AN64">
        <v>0</v>
      </c>
      <c r="AQ64">
        <v>62</v>
      </c>
      <c r="AR64">
        <f t="shared" si="2"/>
        <v>5.6336587534306908</v>
      </c>
      <c r="AS64">
        <f t="shared" si="3"/>
        <v>10.595371114307122</v>
      </c>
      <c r="AV64">
        <v>1053.5051126225353</v>
      </c>
      <c r="AW64">
        <v>1.4878143406284705E-14</v>
      </c>
      <c r="AX64">
        <v>198.89838086225649</v>
      </c>
      <c r="AY64">
        <f t="shared" si="0"/>
        <v>198.89838086225649</v>
      </c>
      <c r="AZ64">
        <v>1620.777096342362</v>
      </c>
      <c r="BA64">
        <v>2.2889451394284162E-14</v>
      </c>
      <c r="BB64">
        <v>305.99750901885614</v>
      </c>
      <c r="BC64">
        <f t="shared" si="1"/>
        <v>305.99750901885614</v>
      </c>
      <c r="BF64">
        <v>1053.5051126225353</v>
      </c>
      <c r="BG64">
        <v>163.88153104652389</v>
      </c>
      <c r="BH64">
        <v>163.88153104652383</v>
      </c>
      <c r="BI64">
        <f t="shared" si="4"/>
        <v>231.76348382846149</v>
      </c>
      <c r="BJ64">
        <v>1620.777096342362</v>
      </c>
      <c r="BK64">
        <v>252.12543237926752</v>
      </c>
      <c r="BL64">
        <v>252.12543237926744</v>
      </c>
      <c r="BM64">
        <f t="shared" si="5"/>
        <v>356.55920588994076</v>
      </c>
    </row>
    <row r="65" spans="1:65" x14ac:dyDescent="0.25">
      <c r="A65">
        <v>29</v>
      </c>
      <c r="B65" s="5">
        <v>0</v>
      </c>
      <c r="C65" s="1">
        <f t="shared" ca="1" si="12"/>
        <v>0</v>
      </c>
      <c r="D65" s="46">
        <f t="shared" si="14"/>
        <v>0</v>
      </c>
      <c r="E65" s="46">
        <f t="shared" si="15"/>
        <v>0</v>
      </c>
      <c r="G65" t="e">
        <f t="shared" ca="1" si="16"/>
        <v>#N/A</v>
      </c>
      <c r="H65" t="e">
        <f t="shared" ca="1" si="17"/>
        <v>#N/A</v>
      </c>
      <c r="I65" s="7">
        <f t="shared" si="18"/>
        <v>0</v>
      </c>
      <c r="J65" s="7">
        <f t="shared" si="19"/>
        <v>0</v>
      </c>
      <c r="K65">
        <f t="shared" si="20"/>
        <v>0</v>
      </c>
      <c r="L65" s="15">
        <f t="shared" ca="1" si="21"/>
        <v>0</v>
      </c>
      <c r="M65" s="9">
        <f t="shared" ca="1" si="13"/>
        <v>0</v>
      </c>
      <c r="N65" s="7">
        <f t="shared" ca="1" si="22"/>
        <v>0</v>
      </c>
      <c r="O65" s="7">
        <f t="shared" ca="1" si="23"/>
        <v>0</v>
      </c>
      <c r="P65" s="7">
        <f t="shared" ca="1" si="24"/>
        <v>0</v>
      </c>
      <c r="U65" t="e">
        <f t="shared" ca="1" si="25"/>
        <v>#N/A</v>
      </c>
      <c r="V65" t="e">
        <f t="shared" ca="1" si="26"/>
        <v>#N/A</v>
      </c>
      <c r="X65" t="e">
        <f t="shared" ca="1" si="27"/>
        <v>#N/A</v>
      </c>
      <c r="Y65" t="e">
        <f t="shared" ca="1" si="28"/>
        <v>#N/A</v>
      </c>
      <c r="AJ65">
        <v>0</v>
      </c>
      <c r="AK65">
        <v>0</v>
      </c>
      <c r="AL65">
        <v>0</v>
      </c>
      <c r="AM65">
        <v>0</v>
      </c>
      <c r="AN65">
        <v>0</v>
      </c>
      <c r="AQ65">
        <v>63</v>
      </c>
      <c r="AR65">
        <f t="shared" si="2"/>
        <v>5.4478859968745619</v>
      </c>
      <c r="AS65">
        <f t="shared" si="3"/>
        <v>10.692078290260413</v>
      </c>
      <c r="AV65">
        <v>1081.9782237744957</v>
      </c>
      <c r="AW65">
        <v>1.2529776828334493E-14</v>
      </c>
      <c r="AX65">
        <v>185.69414730352443</v>
      </c>
      <c r="AY65">
        <f t="shared" si="0"/>
        <v>185.69414730352443</v>
      </c>
      <c r="AZ65">
        <v>1664.5818827299934</v>
      </c>
      <c r="BA65">
        <v>1.9276579735899218E-14</v>
      </c>
      <c r="BB65">
        <v>285.68330354388371</v>
      </c>
      <c r="BC65">
        <f t="shared" si="1"/>
        <v>285.68330354388371</v>
      </c>
      <c r="BF65">
        <v>1081.9782237744957</v>
      </c>
      <c r="BG65">
        <v>154.97517856049305</v>
      </c>
      <c r="BH65">
        <v>154.97517856049302</v>
      </c>
      <c r="BI65">
        <f t="shared" si="4"/>
        <v>219.16799935144135</v>
      </c>
      <c r="BJ65">
        <v>1664.5818827299934</v>
      </c>
      <c r="BK65">
        <v>238.42335163152777</v>
      </c>
      <c r="BL65">
        <v>238.42335163152771</v>
      </c>
      <c r="BM65">
        <f t="shared" si="5"/>
        <v>337.18153746375589</v>
      </c>
    </row>
    <row r="66" spans="1:65" x14ac:dyDescent="0.25">
      <c r="A66">
        <v>30</v>
      </c>
      <c r="B66" s="5">
        <v>0</v>
      </c>
      <c r="C66" s="1">
        <f t="shared" ca="1" si="12"/>
        <v>0</v>
      </c>
      <c r="D66" s="46">
        <f t="shared" si="14"/>
        <v>0</v>
      </c>
      <c r="E66" s="46">
        <f t="shared" si="15"/>
        <v>0</v>
      </c>
      <c r="G66" t="e">
        <f t="shared" ca="1" si="16"/>
        <v>#N/A</v>
      </c>
      <c r="H66" t="e">
        <f t="shared" ca="1" si="17"/>
        <v>#N/A</v>
      </c>
      <c r="I66" s="7">
        <f t="shared" si="18"/>
        <v>0</v>
      </c>
      <c r="J66" s="7">
        <f t="shared" si="19"/>
        <v>0</v>
      </c>
      <c r="K66">
        <f t="shared" si="20"/>
        <v>0</v>
      </c>
      <c r="L66" s="15">
        <f t="shared" ca="1" si="21"/>
        <v>0</v>
      </c>
      <c r="M66" s="9">
        <f t="shared" ca="1" si="13"/>
        <v>0</v>
      </c>
      <c r="N66" s="7">
        <f t="shared" ca="1" si="22"/>
        <v>0</v>
      </c>
      <c r="O66" s="7">
        <f t="shared" ca="1" si="23"/>
        <v>0</v>
      </c>
      <c r="P66" s="7">
        <f t="shared" ca="1" si="24"/>
        <v>0</v>
      </c>
      <c r="U66" t="e">
        <f t="shared" ca="1" si="25"/>
        <v>#N/A</v>
      </c>
      <c r="V66" t="e">
        <f t="shared" ca="1" si="26"/>
        <v>#N/A</v>
      </c>
      <c r="X66" t="e">
        <f t="shared" ca="1" si="27"/>
        <v>#N/A</v>
      </c>
      <c r="Y66" t="e">
        <f t="shared" ca="1" si="28"/>
        <v>#N/A</v>
      </c>
      <c r="AJ66">
        <v>0</v>
      </c>
      <c r="AK66">
        <v>0</v>
      </c>
      <c r="AL66">
        <v>0</v>
      </c>
      <c r="AM66">
        <v>0</v>
      </c>
      <c r="AN66">
        <v>0</v>
      </c>
      <c r="AQ66">
        <v>64</v>
      </c>
      <c r="AR66">
        <f t="shared" si="2"/>
        <v>5.2604537614689297</v>
      </c>
      <c r="AS66">
        <f t="shared" si="3"/>
        <v>10.785528555590005</v>
      </c>
      <c r="AV66">
        <v>1110.4513349264562</v>
      </c>
      <c r="AW66">
        <v>9.7481231623152197E-15</v>
      </c>
      <c r="AX66">
        <v>171.6996458768989</v>
      </c>
      <c r="AY66">
        <f t="shared" ref="AY66:AY77" si="29">SQRT(POWER(AW66,2)+POWER(AX66,2))</f>
        <v>171.6996458768989</v>
      </c>
      <c r="AZ66">
        <v>1708.3866691176249</v>
      </c>
      <c r="BA66">
        <v>1.4997112557408029E-14</v>
      </c>
      <c r="BB66">
        <v>264.15330134907521</v>
      </c>
      <c r="BC66">
        <f t="shared" ref="BC66:BC77" si="30">SQRT(POWER(BA66,2)+POWER(BB66,2))</f>
        <v>264.15330134907521</v>
      </c>
      <c r="BF66">
        <v>1110.4513349264562</v>
      </c>
      <c r="BG66">
        <v>145.42453316653433</v>
      </c>
      <c r="BH66">
        <v>145.42453316653433</v>
      </c>
      <c r="BI66">
        <f t="shared" si="4"/>
        <v>205.66134710588884</v>
      </c>
      <c r="BJ66">
        <v>1708.3866691176249</v>
      </c>
      <c r="BK66">
        <v>223.73005102543743</v>
      </c>
      <c r="BL66">
        <v>223.73005102543743</v>
      </c>
      <c r="BM66">
        <f t="shared" si="5"/>
        <v>316.40207247059817</v>
      </c>
    </row>
    <row r="67" spans="1:65" x14ac:dyDescent="0.25">
      <c r="A67">
        <v>31</v>
      </c>
      <c r="B67" s="5">
        <v>0</v>
      </c>
      <c r="C67" s="1">
        <f t="shared" ca="1" si="12"/>
        <v>0</v>
      </c>
      <c r="D67" s="46">
        <f t="shared" si="14"/>
        <v>0</v>
      </c>
      <c r="E67" s="46">
        <f t="shared" si="15"/>
        <v>0</v>
      </c>
      <c r="G67" t="e">
        <f t="shared" ca="1" si="16"/>
        <v>#N/A</v>
      </c>
      <c r="H67" t="e">
        <f t="shared" ca="1" si="17"/>
        <v>#N/A</v>
      </c>
      <c r="I67" s="7">
        <f t="shared" si="18"/>
        <v>0</v>
      </c>
      <c r="J67" s="7">
        <f t="shared" si="19"/>
        <v>0</v>
      </c>
      <c r="K67">
        <f t="shared" si="20"/>
        <v>0</v>
      </c>
      <c r="L67" s="15">
        <f t="shared" ca="1" si="21"/>
        <v>0</v>
      </c>
      <c r="M67" s="9">
        <f t="shared" ca="1" si="13"/>
        <v>0</v>
      </c>
      <c r="N67" s="7">
        <f t="shared" ca="1" si="22"/>
        <v>0</v>
      </c>
      <c r="O67" s="7">
        <f t="shared" ca="1" si="23"/>
        <v>0</v>
      </c>
      <c r="P67" s="7">
        <f t="shared" ca="1" si="24"/>
        <v>0</v>
      </c>
      <c r="U67" t="e">
        <f t="shared" ca="1" si="25"/>
        <v>#N/A</v>
      </c>
      <c r="V67" t="e">
        <f t="shared" ca="1" si="26"/>
        <v>#N/A</v>
      </c>
      <c r="X67" t="e">
        <f t="shared" ca="1" si="27"/>
        <v>#N/A</v>
      </c>
      <c r="Y67" t="e">
        <f t="shared" ca="1" si="28"/>
        <v>#N/A</v>
      </c>
      <c r="AJ67">
        <v>0</v>
      </c>
      <c r="AK67">
        <v>0</v>
      </c>
      <c r="AL67">
        <v>0</v>
      </c>
      <c r="AM67">
        <v>0</v>
      </c>
      <c r="AN67">
        <v>0</v>
      </c>
      <c r="AQ67">
        <v>65</v>
      </c>
      <c r="AR67">
        <f t="shared" ref="AR67:AR130" si="31">$B$3*COS(RADIANS(AQ67))</f>
        <v>5.0714191408883931</v>
      </c>
      <c r="AS67">
        <f t="shared" ref="AS67:AS130" si="32">$B$3*SIN(RADIANS(AQ67))</f>
        <v>10.875693444439799</v>
      </c>
      <c r="AV67">
        <v>1138.9244460784166</v>
      </c>
      <c r="AW67">
        <v>1.3486314697447695E-14</v>
      </c>
      <c r="AX67">
        <v>157.32855078583358</v>
      </c>
      <c r="AY67">
        <f t="shared" si="29"/>
        <v>157.32855078583358</v>
      </c>
      <c r="AZ67">
        <v>1752.1914555052563</v>
      </c>
      <c r="BA67">
        <v>2.0748176457611837E-14</v>
      </c>
      <c r="BB67">
        <v>242.04392428589782</v>
      </c>
      <c r="BC67">
        <f t="shared" si="30"/>
        <v>242.04392428589782</v>
      </c>
      <c r="BF67">
        <v>1138.9244460784166</v>
      </c>
      <c r="BG67">
        <v>135.20947079622391</v>
      </c>
      <c r="BH67">
        <v>135.20947079622391</v>
      </c>
      <c r="BI67">
        <f t="shared" ref="BI67:BI77" si="33">SQRT(POWER(BG67,2)+POWER(BH67,2))</f>
        <v>191.21506736130877</v>
      </c>
      <c r="BJ67">
        <v>1752.1914555052563</v>
      </c>
      <c r="BK67">
        <v>208.01457045572909</v>
      </c>
      <c r="BL67">
        <v>208.01457045572909</v>
      </c>
      <c r="BM67">
        <f t="shared" ref="BM67:BM77" si="34">SQRT(POWER(BK67,2)+POWER(BL67,2))</f>
        <v>294.17702670970579</v>
      </c>
    </row>
    <row r="68" spans="1:65" x14ac:dyDescent="0.25">
      <c r="A68">
        <v>32</v>
      </c>
      <c r="B68" s="5">
        <v>0</v>
      </c>
      <c r="C68" s="1">
        <f t="shared" ca="1" si="12"/>
        <v>0</v>
      </c>
      <c r="D68" s="46">
        <f t="shared" si="14"/>
        <v>0</v>
      </c>
      <c r="E68" s="46">
        <f t="shared" si="15"/>
        <v>0</v>
      </c>
      <c r="G68" t="e">
        <f t="shared" ca="1" si="16"/>
        <v>#N/A</v>
      </c>
      <c r="H68" t="e">
        <f t="shared" ca="1" si="17"/>
        <v>#N/A</v>
      </c>
      <c r="I68" s="7">
        <f t="shared" si="18"/>
        <v>0</v>
      </c>
      <c r="J68" s="7">
        <f t="shared" si="19"/>
        <v>0</v>
      </c>
      <c r="K68">
        <f t="shared" si="20"/>
        <v>0</v>
      </c>
      <c r="L68" s="15">
        <f t="shared" ca="1" si="21"/>
        <v>0</v>
      </c>
      <c r="M68" s="9">
        <f t="shared" ca="1" si="13"/>
        <v>0</v>
      </c>
      <c r="N68" s="7">
        <f t="shared" ca="1" si="22"/>
        <v>0</v>
      </c>
      <c r="O68" s="7">
        <f t="shared" ca="1" si="23"/>
        <v>0</v>
      </c>
      <c r="P68" s="7">
        <f t="shared" ca="1" si="24"/>
        <v>0</v>
      </c>
      <c r="U68" t="e">
        <f t="shared" ca="1" si="25"/>
        <v>#N/A</v>
      </c>
      <c r="V68" t="e">
        <f t="shared" ca="1" si="26"/>
        <v>#N/A</v>
      </c>
      <c r="X68" t="e">
        <f t="shared" ca="1" si="27"/>
        <v>#N/A</v>
      </c>
      <c r="Y68" t="e">
        <f t="shared" ca="1" si="28"/>
        <v>#N/A</v>
      </c>
      <c r="AJ68">
        <v>0</v>
      </c>
      <c r="AK68">
        <v>0</v>
      </c>
      <c r="AL68">
        <v>0</v>
      </c>
      <c r="AM68">
        <v>0</v>
      </c>
      <c r="AN68">
        <v>0</v>
      </c>
      <c r="AQ68">
        <v>66</v>
      </c>
      <c r="AR68">
        <f t="shared" si="31"/>
        <v>4.8808397169096027</v>
      </c>
      <c r="AS68">
        <f t="shared" si="32"/>
        <v>10.962545491711211</v>
      </c>
      <c r="AV68">
        <v>1167.3975572303771</v>
      </c>
      <c r="AW68">
        <v>8.7501392074471128E-15</v>
      </c>
      <c r="AX68">
        <v>142.8421049284147</v>
      </c>
      <c r="AY68">
        <f t="shared" si="29"/>
        <v>142.8421049284147</v>
      </c>
      <c r="AZ68">
        <v>1795.9962418928876</v>
      </c>
      <c r="BA68">
        <v>1.3461752626841712E-14</v>
      </c>
      <c r="BB68">
        <v>219.75708450525337</v>
      </c>
      <c r="BC68">
        <f t="shared" si="30"/>
        <v>219.75708450525337</v>
      </c>
      <c r="BF68">
        <v>1167.3975572303771</v>
      </c>
      <c r="BG68">
        <v>124.26210979793014</v>
      </c>
      <c r="BH68">
        <v>124.26210979793011</v>
      </c>
      <c r="BI68">
        <f t="shared" si="33"/>
        <v>175.73316096532744</v>
      </c>
      <c r="BJ68">
        <v>1795.9962418928876</v>
      </c>
      <c r="BK68">
        <v>191.1724766122002</v>
      </c>
      <c r="BL68">
        <v>191.17247661220017</v>
      </c>
      <c r="BM68">
        <f t="shared" si="34"/>
        <v>270.35870917742682</v>
      </c>
    </row>
    <row r="69" spans="1:65" x14ac:dyDescent="0.25">
      <c r="A69">
        <v>33</v>
      </c>
      <c r="B69" s="5">
        <v>0</v>
      </c>
      <c r="C69" s="1">
        <f t="shared" ref="C69:C100" ca="1" si="35">IF(A69&lt;=$B$31,OFFSET($Q$36,MATCH(B69,$Q$36:$Q$47,0)-1,2),0)</f>
        <v>0</v>
      </c>
      <c r="D69" s="46">
        <f t="shared" si="14"/>
        <v>0</v>
      </c>
      <c r="E69" s="46">
        <f t="shared" si="15"/>
        <v>0</v>
      </c>
      <c r="G69" t="e">
        <f t="shared" ca="1" si="16"/>
        <v>#N/A</v>
      </c>
      <c r="H69" t="e">
        <f t="shared" ca="1" si="17"/>
        <v>#N/A</v>
      </c>
      <c r="I69" s="7">
        <f t="shared" si="18"/>
        <v>0</v>
      </c>
      <c r="J69" s="7">
        <f t="shared" si="19"/>
        <v>0</v>
      </c>
      <c r="K69">
        <f t="shared" si="20"/>
        <v>0</v>
      </c>
      <c r="L69" s="15">
        <f t="shared" ca="1" si="21"/>
        <v>0</v>
      </c>
      <c r="M69" s="9">
        <f t="shared" ref="M69:M100" ca="1" si="36">IF(AND(L69&gt;0,K69&lt;=$B$12),MIN((L69*F$35),C$35)-IF($B$2="Whitney",$B$9,B183),MAX(L69*F$35,-1*C$35))</f>
        <v>0</v>
      </c>
      <c r="N69" s="7">
        <f t="shared" ca="1" si="22"/>
        <v>0</v>
      </c>
      <c r="O69" s="7">
        <f t="shared" ca="1" si="23"/>
        <v>0</v>
      </c>
      <c r="P69" s="7">
        <f t="shared" ca="1" si="24"/>
        <v>0</v>
      </c>
      <c r="U69" t="e">
        <f t="shared" ca="1" si="25"/>
        <v>#N/A</v>
      </c>
      <c r="V69" t="e">
        <f t="shared" ca="1" si="26"/>
        <v>#N/A</v>
      </c>
      <c r="X69" t="e">
        <f t="shared" ca="1" si="27"/>
        <v>#N/A</v>
      </c>
      <c r="Y69" t="e">
        <f t="shared" ca="1" si="28"/>
        <v>#N/A</v>
      </c>
      <c r="AJ69">
        <v>0</v>
      </c>
      <c r="AK69">
        <v>0</v>
      </c>
      <c r="AL69">
        <v>0</v>
      </c>
      <c r="AM69">
        <v>0</v>
      </c>
      <c r="AN69">
        <v>0</v>
      </c>
      <c r="AQ69">
        <v>67</v>
      </c>
      <c r="AR69">
        <f t="shared" si="31"/>
        <v>4.688773541871285</v>
      </c>
      <c r="AS69">
        <f t="shared" si="32"/>
        <v>11.046058241429284</v>
      </c>
      <c r="AV69">
        <v>1195.8706683823375</v>
      </c>
      <c r="AW69">
        <v>3.2367520327972448E-15</v>
      </c>
      <c r="AX69">
        <v>128.23392599917693</v>
      </c>
      <c r="AY69">
        <f t="shared" si="29"/>
        <v>128.23392599917693</v>
      </c>
      <c r="AZ69">
        <v>1839.8010282805192</v>
      </c>
      <c r="BA69">
        <v>4.979618511995761E-15</v>
      </c>
      <c r="BB69">
        <v>197.28296307565682</v>
      </c>
      <c r="BC69">
        <f t="shared" si="30"/>
        <v>197.28296307565682</v>
      </c>
      <c r="BF69">
        <v>1195.8706683823375</v>
      </c>
      <c r="BG69">
        <v>112.56529586913098</v>
      </c>
      <c r="BH69">
        <v>112.56529586913099</v>
      </c>
      <c r="BI69">
        <f t="shared" si="33"/>
        <v>159.19136807066516</v>
      </c>
      <c r="BJ69">
        <v>1839.8010282805192</v>
      </c>
      <c r="BK69">
        <v>173.17737826020149</v>
      </c>
      <c r="BL69">
        <v>173.17737826020152</v>
      </c>
      <c r="BM69">
        <f t="shared" si="34"/>
        <v>244.90979703179258</v>
      </c>
    </row>
    <row r="70" spans="1:65" x14ac:dyDescent="0.25">
      <c r="A70">
        <v>34</v>
      </c>
      <c r="B70" s="5">
        <v>0</v>
      </c>
      <c r="C70" s="1">
        <f t="shared" ca="1" si="35"/>
        <v>0</v>
      </c>
      <c r="D70" s="46">
        <f t="shared" si="14"/>
        <v>0</v>
      </c>
      <c r="E70" s="46">
        <f t="shared" si="15"/>
        <v>0</v>
      </c>
      <c r="G70" t="e">
        <f t="shared" ca="1" si="16"/>
        <v>#N/A</v>
      </c>
      <c r="H70" t="e">
        <f t="shared" ca="1" si="17"/>
        <v>#N/A</v>
      </c>
      <c r="I70" s="7">
        <f t="shared" si="18"/>
        <v>0</v>
      </c>
      <c r="J70" s="7">
        <f t="shared" si="19"/>
        <v>0</v>
      </c>
      <c r="K70">
        <f t="shared" si="20"/>
        <v>0</v>
      </c>
      <c r="L70" s="15">
        <f t="shared" ca="1" si="21"/>
        <v>0</v>
      </c>
      <c r="M70" s="9">
        <f t="shared" ca="1" si="36"/>
        <v>0</v>
      </c>
      <c r="N70" s="7">
        <f t="shared" ca="1" si="22"/>
        <v>0</v>
      </c>
      <c r="O70" s="7">
        <f t="shared" ca="1" si="23"/>
        <v>0</v>
      </c>
      <c r="P70" s="7">
        <f t="shared" ca="1" si="24"/>
        <v>0</v>
      </c>
      <c r="U70" t="e">
        <f t="shared" ca="1" si="25"/>
        <v>#N/A</v>
      </c>
      <c r="V70" t="e">
        <f t="shared" ca="1" si="26"/>
        <v>#N/A</v>
      </c>
      <c r="X70" t="e">
        <f t="shared" ca="1" si="27"/>
        <v>#N/A</v>
      </c>
      <c r="Y70" t="e">
        <f t="shared" ca="1" si="28"/>
        <v>#N/A</v>
      </c>
      <c r="AJ70">
        <v>0</v>
      </c>
      <c r="AK70">
        <v>0</v>
      </c>
      <c r="AL70">
        <v>0</v>
      </c>
      <c r="AM70">
        <v>0</v>
      </c>
      <c r="AN70">
        <v>0</v>
      </c>
      <c r="AQ70">
        <v>68</v>
      </c>
      <c r="AR70">
        <f t="shared" si="31"/>
        <v>4.4952791209909435</v>
      </c>
      <c r="AS70">
        <f t="shared" si="32"/>
        <v>11.126206254801449</v>
      </c>
      <c r="AV70">
        <v>1224.3437795342979</v>
      </c>
      <c r="AW70">
        <v>1.0814328267183882E-14</v>
      </c>
      <c r="AX70">
        <v>113.70956861990321</v>
      </c>
      <c r="AY70">
        <f t="shared" si="29"/>
        <v>113.70956861990321</v>
      </c>
      <c r="AZ70">
        <v>1883.6058146681505</v>
      </c>
      <c r="BA70">
        <v>1.6637428103359817E-14</v>
      </c>
      <c r="BB70">
        <v>174.93779787677417</v>
      </c>
      <c r="BC70">
        <f t="shared" si="30"/>
        <v>174.93779787677417</v>
      </c>
      <c r="BF70">
        <v>1224.3437795342979</v>
      </c>
      <c r="BG70">
        <v>100.12647581668044</v>
      </c>
      <c r="BH70">
        <v>100.12647581668043</v>
      </c>
      <c r="BI70">
        <f t="shared" si="33"/>
        <v>141.60022005257119</v>
      </c>
      <c r="BJ70">
        <v>1883.6058146681505</v>
      </c>
      <c r="BK70">
        <v>154.04073202566221</v>
      </c>
      <c r="BL70">
        <v>154.04073202566218</v>
      </c>
      <c r="BM70">
        <f t="shared" si="34"/>
        <v>217.84649238857105</v>
      </c>
    </row>
    <row r="71" spans="1:65" x14ac:dyDescent="0.25">
      <c r="A71">
        <v>35</v>
      </c>
      <c r="B71" s="5">
        <v>0</v>
      </c>
      <c r="C71" s="1">
        <f t="shared" ca="1" si="35"/>
        <v>0</v>
      </c>
      <c r="D71" s="46">
        <f t="shared" si="14"/>
        <v>0</v>
      </c>
      <c r="E71" s="46">
        <f t="shared" si="15"/>
        <v>0</v>
      </c>
      <c r="G71" t="e">
        <f t="shared" ca="1" si="16"/>
        <v>#N/A</v>
      </c>
      <c r="H71" t="e">
        <f t="shared" ca="1" si="17"/>
        <v>#N/A</v>
      </c>
      <c r="I71" s="7">
        <f t="shared" si="18"/>
        <v>0</v>
      </c>
      <c r="J71" s="7">
        <f t="shared" si="19"/>
        <v>0</v>
      </c>
      <c r="K71">
        <f t="shared" si="20"/>
        <v>0</v>
      </c>
      <c r="L71" s="15">
        <f t="shared" ca="1" si="21"/>
        <v>0</v>
      </c>
      <c r="M71" s="9">
        <f t="shared" ca="1" si="36"/>
        <v>0</v>
      </c>
      <c r="N71" s="7">
        <f t="shared" ca="1" si="22"/>
        <v>0</v>
      </c>
      <c r="O71" s="7">
        <f t="shared" ca="1" si="23"/>
        <v>0</v>
      </c>
      <c r="P71" s="7">
        <f t="shared" ca="1" si="24"/>
        <v>0</v>
      </c>
      <c r="U71" t="e">
        <f t="shared" ca="1" si="25"/>
        <v>#N/A</v>
      </c>
      <c r="V71" t="e">
        <f t="shared" ca="1" si="26"/>
        <v>#N/A</v>
      </c>
      <c r="X71" t="e">
        <f t="shared" ca="1" si="27"/>
        <v>#N/A</v>
      </c>
      <c r="Y71" t="e">
        <f t="shared" ca="1" si="28"/>
        <v>#N/A</v>
      </c>
      <c r="AJ71">
        <v>0</v>
      </c>
      <c r="AK71">
        <v>0</v>
      </c>
      <c r="AL71">
        <v>0</v>
      </c>
      <c r="AM71">
        <v>0</v>
      </c>
      <c r="AN71">
        <v>0</v>
      </c>
      <c r="AQ71">
        <v>69</v>
      </c>
      <c r="AR71">
        <f t="shared" si="31"/>
        <v>4.3004153945436041</v>
      </c>
      <c r="AS71">
        <f t="shared" si="32"/>
        <v>11.202965117966421</v>
      </c>
      <c r="AV71">
        <v>1252.8168906862584</v>
      </c>
      <c r="AW71">
        <v>9.1328374340507739E-15</v>
      </c>
      <c r="AX71">
        <v>98.825883315099276</v>
      </c>
      <c r="AY71">
        <f t="shared" si="29"/>
        <v>98.825883315099276</v>
      </c>
      <c r="AZ71">
        <v>1927.4106010557821</v>
      </c>
      <c r="BA71">
        <v>1.4050519129308882E-14</v>
      </c>
      <c r="BB71">
        <v>152.03982048476811</v>
      </c>
      <c r="BC71">
        <f t="shared" si="30"/>
        <v>152.03982048476811</v>
      </c>
      <c r="BF71">
        <v>1252.8168906862584</v>
      </c>
      <c r="BG71">
        <v>86.913069509133464</v>
      </c>
      <c r="BH71">
        <v>86.913069509133464</v>
      </c>
      <c r="BI71">
        <f t="shared" si="33"/>
        <v>122.91364164729207</v>
      </c>
      <c r="BJ71">
        <v>1927.4106010557821</v>
      </c>
      <c r="BK71">
        <v>133.7124146294361</v>
      </c>
      <c r="BL71">
        <v>133.7124146294361</v>
      </c>
      <c r="BM71">
        <f t="shared" si="34"/>
        <v>189.09791022660318</v>
      </c>
    </row>
    <row r="72" spans="1:65" x14ac:dyDescent="0.25">
      <c r="A72">
        <v>36</v>
      </c>
      <c r="B72" s="5">
        <v>0</v>
      </c>
      <c r="C72" s="1">
        <f t="shared" ca="1" si="35"/>
        <v>0</v>
      </c>
      <c r="D72" s="46">
        <f t="shared" si="14"/>
        <v>0</v>
      </c>
      <c r="E72" s="46">
        <f t="shared" si="15"/>
        <v>0</v>
      </c>
      <c r="G72" t="e">
        <f t="shared" ca="1" si="16"/>
        <v>#N/A</v>
      </c>
      <c r="H72" t="e">
        <f t="shared" ca="1" si="17"/>
        <v>#N/A</v>
      </c>
      <c r="I72" s="7">
        <f t="shared" si="18"/>
        <v>0</v>
      </c>
      <c r="J72" s="7">
        <f t="shared" si="19"/>
        <v>0</v>
      </c>
      <c r="K72">
        <f t="shared" si="20"/>
        <v>0</v>
      </c>
      <c r="L72" s="15">
        <f t="shared" ca="1" si="21"/>
        <v>0</v>
      </c>
      <c r="M72" s="9">
        <f t="shared" ca="1" si="36"/>
        <v>0</v>
      </c>
      <c r="N72" s="7">
        <f t="shared" ca="1" si="22"/>
        <v>0</v>
      </c>
      <c r="O72" s="7">
        <f t="shared" ca="1" si="23"/>
        <v>0</v>
      </c>
      <c r="P72" s="7">
        <f t="shared" ca="1" si="24"/>
        <v>0</v>
      </c>
      <c r="U72" t="e">
        <f t="shared" ca="1" si="25"/>
        <v>#N/A</v>
      </c>
      <c r="V72" t="e">
        <f t="shared" ca="1" si="26"/>
        <v>#N/A</v>
      </c>
      <c r="X72" t="e">
        <f t="shared" ca="1" si="27"/>
        <v>#N/A</v>
      </c>
      <c r="Y72" t="e">
        <f t="shared" ca="1" si="28"/>
        <v>#N/A</v>
      </c>
      <c r="AJ72">
        <v>0</v>
      </c>
      <c r="AK72">
        <v>0</v>
      </c>
      <c r="AL72">
        <v>0</v>
      </c>
      <c r="AM72">
        <v>0</v>
      </c>
      <c r="AN72">
        <v>0</v>
      </c>
      <c r="AQ72">
        <v>70</v>
      </c>
      <c r="AR72">
        <f t="shared" si="31"/>
        <v>4.1042417199080257</v>
      </c>
      <c r="AS72">
        <f t="shared" si="32"/>
        <v>11.276311449430899</v>
      </c>
      <c r="AV72">
        <v>1281.2900018382188</v>
      </c>
      <c r="AW72">
        <v>-1.0272767209251891E-15</v>
      </c>
      <c r="AX72">
        <v>83.757365105793653</v>
      </c>
      <c r="AY72">
        <f t="shared" si="29"/>
        <v>83.757365105793653</v>
      </c>
      <c r="AZ72">
        <v>1971.2153874434134</v>
      </c>
      <c r="BA72">
        <v>-1.5804257245002908E-15</v>
      </c>
      <c r="BB72">
        <v>128.85748477814408</v>
      </c>
      <c r="BC72">
        <f t="shared" si="30"/>
        <v>128.85748477814408</v>
      </c>
      <c r="BF72">
        <v>1281.2900018382188</v>
      </c>
      <c r="BG72">
        <v>72.886444195618978</v>
      </c>
      <c r="BH72">
        <v>72.886444195618992</v>
      </c>
      <c r="BI72">
        <f t="shared" si="33"/>
        <v>103.07699789459411</v>
      </c>
      <c r="BJ72">
        <v>1971.2153874434134</v>
      </c>
      <c r="BK72">
        <v>112.13299107018304</v>
      </c>
      <c r="BL72">
        <v>112.13299107018307</v>
      </c>
      <c r="BM72">
        <f t="shared" si="34"/>
        <v>158.57999676091404</v>
      </c>
    </row>
    <row r="73" spans="1:65" x14ac:dyDescent="0.25">
      <c r="A73">
        <v>37</v>
      </c>
      <c r="B73" s="5">
        <v>0</v>
      </c>
      <c r="C73" s="1">
        <f t="shared" ca="1" si="35"/>
        <v>0</v>
      </c>
      <c r="D73" s="46">
        <f t="shared" si="14"/>
        <v>0</v>
      </c>
      <c r="E73" s="46">
        <f t="shared" si="15"/>
        <v>0</v>
      </c>
      <c r="G73" t="e">
        <f t="shared" ca="1" si="16"/>
        <v>#N/A</v>
      </c>
      <c r="H73" t="e">
        <f t="shared" ca="1" si="17"/>
        <v>#N/A</v>
      </c>
      <c r="I73" s="7">
        <f t="shared" si="18"/>
        <v>0</v>
      </c>
      <c r="J73" s="7">
        <f t="shared" si="19"/>
        <v>0</v>
      </c>
      <c r="K73">
        <f t="shared" si="20"/>
        <v>0</v>
      </c>
      <c r="L73" s="15">
        <f t="shared" ca="1" si="21"/>
        <v>0</v>
      </c>
      <c r="M73" s="9">
        <f t="shared" ca="1" si="36"/>
        <v>0</v>
      </c>
      <c r="N73" s="7">
        <f t="shared" ca="1" si="22"/>
        <v>0</v>
      </c>
      <c r="O73" s="7">
        <f t="shared" ca="1" si="23"/>
        <v>0</v>
      </c>
      <c r="P73" s="7">
        <f t="shared" ca="1" si="24"/>
        <v>0</v>
      </c>
      <c r="U73" t="e">
        <f t="shared" ca="1" si="25"/>
        <v>#N/A</v>
      </c>
      <c r="V73" t="e">
        <f t="shared" ca="1" si="26"/>
        <v>#N/A</v>
      </c>
      <c r="X73" t="e">
        <f t="shared" ca="1" si="27"/>
        <v>#N/A</v>
      </c>
      <c r="Y73" t="e">
        <f t="shared" ca="1" si="28"/>
        <v>#N/A</v>
      </c>
      <c r="AJ73">
        <v>0</v>
      </c>
      <c r="AK73">
        <v>0</v>
      </c>
      <c r="AL73">
        <v>0</v>
      </c>
      <c r="AM73">
        <v>0</v>
      </c>
      <c r="AN73">
        <v>0</v>
      </c>
      <c r="AQ73">
        <v>71</v>
      </c>
      <c r="AR73">
        <f t="shared" si="31"/>
        <v>3.9068178534858813</v>
      </c>
      <c r="AS73">
        <f t="shared" si="32"/>
        <v>11.346222907191802</v>
      </c>
      <c r="AV73">
        <v>1309.7631129901793</v>
      </c>
      <c r="AW73">
        <v>4.1943932074391296E-15</v>
      </c>
      <c r="AX73">
        <v>68.471591187730411</v>
      </c>
      <c r="AY73">
        <f t="shared" si="29"/>
        <v>68.471591187730411</v>
      </c>
      <c r="AZ73">
        <v>2015.020173831045</v>
      </c>
      <c r="BA73">
        <v>6.4529126268294297E-15</v>
      </c>
      <c r="BB73">
        <v>105.34090951958524</v>
      </c>
      <c r="BC73">
        <f t="shared" si="30"/>
        <v>105.34090951958524</v>
      </c>
      <c r="BF73">
        <v>1309.7631129901793</v>
      </c>
      <c r="BG73">
        <v>58.00285384353333</v>
      </c>
      <c r="BH73">
        <v>58.002853843533337</v>
      </c>
      <c r="BI73">
        <f t="shared" si="33"/>
        <v>82.028422561869249</v>
      </c>
      <c r="BJ73">
        <v>2015.020173831045</v>
      </c>
      <c r="BK73">
        <v>89.235159759282041</v>
      </c>
      <c r="BL73">
        <v>89.235159759282055</v>
      </c>
      <c r="BM73">
        <f t="shared" si="34"/>
        <v>126.19757317210653</v>
      </c>
    </row>
    <row r="74" spans="1:65" x14ac:dyDescent="0.25">
      <c r="A74">
        <v>38</v>
      </c>
      <c r="B74" s="5">
        <v>0</v>
      </c>
      <c r="C74" s="1">
        <f t="shared" ca="1" si="35"/>
        <v>0</v>
      </c>
      <c r="D74" s="46">
        <f t="shared" si="14"/>
        <v>0</v>
      </c>
      <c r="E74" s="46">
        <f t="shared" si="15"/>
        <v>0</v>
      </c>
      <c r="G74" t="e">
        <f t="shared" ca="1" si="16"/>
        <v>#N/A</v>
      </c>
      <c r="H74" t="e">
        <f t="shared" ca="1" si="17"/>
        <v>#N/A</v>
      </c>
      <c r="I74" s="7">
        <f t="shared" si="18"/>
        <v>0</v>
      </c>
      <c r="J74" s="7">
        <f t="shared" si="19"/>
        <v>0</v>
      </c>
      <c r="K74">
        <f t="shared" si="20"/>
        <v>0</v>
      </c>
      <c r="L74" s="15">
        <f t="shared" ca="1" si="21"/>
        <v>0</v>
      </c>
      <c r="M74" s="9">
        <f t="shared" ca="1" si="36"/>
        <v>0</v>
      </c>
      <c r="N74" s="7">
        <f t="shared" ca="1" si="22"/>
        <v>0</v>
      </c>
      <c r="O74" s="7">
        <f t="shared" ca="1" si="23"/>
        <v>0</v>
      </c>
      <c r="P74" s="7">
        <f t="shared" ca="1" si="24"/>
        <v>0</v>
      </c>
      <c r="U74" t="e">
        <f t="shared" ca="1" si="25"/>
        <v>#N/A</v>
      </c>
      <c r="V74" t="e">
        <f t="shared" ca="1" si="26"/>
        <v>#N/A</v>
      </c>
      <c r="X74" t="e">
        <f t="shared" ca="1" si="27"/>
        <v>#N/A</v>
      </c>
      <c r="Y74" t="e">
        <f t="shared" ca="1" si="28"/>
        <v>#N/A</v>
      </c>
      <c r="AJ74">
        <v>0</v>
      </c>
      <c r="AK74">
        <v>0</v>
      </c>
      <c r="AL74">
        <v>0</v>
      </c>
      <c r="AM74">
        <v>0</v>
      </c>
      <c r="AN74">
        <v>0</v>
      </c>
      <c r="AQ74">
        <v>72</v>
      </c>
      <c r="AR74">
        <f t="shared" si="31"/>
        <v>3.7082039324993694</v>
      </c>
      <c r="AS74">
        <f t="shared" si="32"/>
        <v>11.412678195541842</v>
      </c>
      <c r="AV74">
        <v>1338.2362241421397</v>
      </c>
      <c r="AW74">
        <v>-1.1180225625301435E-13</v>
      </c>
      <c r="AX74">
        <v>52.927329354587954</v>
      </c>
      <c r="AY74">
        <f t="shared" si="29"/>
        <v>52.927329354587954</v>
      </c>
      <c r="AZ74">
        <v>2058.8249602186766</v>
      </c>
      <c r="BA74">
        <v>-1.7200347115848361E-13</v>
      </c>
      <c r="BB74">
        <v>81.426660545519923</v>
      </c>
      <c r="BC74">
        <f t="shared" si="30"/>
        <v>81.426660545519923</v>
      </c>
      <c r="BF74">
        <v>1338.2362241421397</v>
      </c>
      <c r="BG74">
        <v>42.143906252074544</v>
      </c>
      <c r="BH74">
        <v>42.143906252074522</v>
      </c>
      <c r="BI74">
        <f t="shared" si="33"/>
        <v>59.600483793064079</v>
      </c>
      <c r="BJ74">
        <v>2058.8249602186766</v>
      </c>
      <c r="BK74">
        <v>64.83677884934545</v>
      </c>
      <c r="BL74">
        <v>64.836778849345421</v>
      </c>
      <c r="BM74">
        <f t="shared" si="34"/>
        <v>91.693051989329348</v>
      </c>
    </row>
    <row r="75" spans="1:65" x14ac:dyDescent="0.25">
      <c r="A75">
        <v>39</v>
      </c>
      <c r="B75" s="5">
        <v>0</v>
      </c>
      <c r="C75" s="1">
        <f t="shared" ca="1" si="35"/>
        <v>0</v>
      </c>
      <c r="D75" s="46">
        <f t="shared" si="14"/>
        <v>0</v>
      </c>
      <c r="E75" s="46">
        <f t="shared" si="15"/>
        <v>0</v>
      </c>
      <c r="G75" t="e">
        <f t="shared" ca="1" si="16"/>
        <v>#N/A</v>
      </c>
      <c r="H75" t="e">
        <f t="shared" ca="1" si="17"/>
        <v>#N/A</v>
      </c>
      <c r="I75" s="7">
        <f t="shared" si="18"/>
        <v>0</v>
      </c>
      <c r="J75" s="7">
        <f t="shared" si="19"/>
        <v>0</v>
      </c>
      <c r="K75">
        <f t="shared" si="20"/>
        <v>0</v>
      </c>
      <c r="L75" s="15">
        <f t="shared" ca="1" si="21"/>
        <v>0</v>
      </c>
      <c r="M75" s="9">
        <f t="shared" ca="1" si="36"/>
        <v>0</v>
      </c>
      <c r="N75" s="7">
        <f t="shared" ca="1" si="22"/>
        <v>0</v>
      </c>
      <c r="O75" s="7">
        <f t="shared" ca="1" si="23"/>
        <v>0</v>
      </c>
      <c r="P75" s="7">
        <f t="shared" ca="1" si="24"/>
        <v>0</v>
      </c>
      <c r="U75" t="e">
        <f t="shared" ca="1" si="25"/>
        <v>#N/A</v>
      </c>
      <c r="V75" t="e">
        <f t="shared" ca="1" si="26"/>
        <v>#N/A</v>
      </c>
      <c r="X75" t="e">
        <f t="shared" ca="1" si="27"/>
        <v>#N/A</v>
      </c>
      <c r="Y75" t="e">
        <f t="shared" ca="1" si="28"/>
        <v>#N/A</v>
      </c>
      <c r="AJ75">
        <v>0</v>
      </c>
      <c r="AK75">
        <v>0</v>
      </c>
      <c r="AL75">
        <v>0</v>
      </c>
      <c r="AM75">
        <v>0</v>
      </c>
      <c r="AN75">
        <v>0</v>
      </c>
      <c r="AQ75">
        <v>73</v>
      </c>
      <c r="AR75">
        <f t="shared" si="31"/>
        <v>3.5084604566728412</v>
      </c>
      <c r="AS75">
        <f t="shared" si="32"/>
        <v>11.475657071556425</v>
      </c>
      <c r="AV75">
        <v>1366.7093352941001</v>
      </c>
      <c r="AW75">
        <v>7.3166365213207466E-16</v>
      </c>
      <c r="AX75">
        <v>37.075880948893243</v>
      </c>
      <c r="AY75">
        <f t="shared" si="29"/>
        <v>37.075880948893243</v>
      </c>
      <c r="AZ75">
        <v>2102.6297466063079</v>
      </c>
      <c r="BA75">
        <v>1.1256363878954995E-15</v>
      </c>
      <c r="BB75">
        <v>57.039816844451138</v>
      </c>
      <c r="BC75">
        <f t="shared" si="30"/>
        <v>57.039816844451138</v>
      </c>
      <c r="BF75">
        <v>1366.7093352941001</v>
      </c>
      <c r="BG75">
        <v>25.313094932507028</v>
      </c>
      <c r="BH75">
        <v>25.313094932507049</v>
      </c>
      <c r="BI75">
        <f t="shared" si="33"/>
        <v>35.798122159189113</v>
      </c>
      <c r="BJ75">
        <v>2102.6297466063079</v>
      </c>
      <c r="BK75">
        <v>38.943222973087735</v>
      </c>
      <c r="BL75">
        <v>38.943222973087764</v>
      </c>
      <c r="BM75">
        <f t="shared" si="34"/>
        <v>55.074034091060177</v>
      </c>
    </row>
    <row r="76" spans="1:65" x14ac:dyDescent="0.25">
      <c r="A76">
        <v>40</v>
      </c>
      <c r="B76" s="5">
        <v>0</v>
      </c>
      <c r="C76" s="1">
        <f t="shared" ca="1" si="35"/>
        <v>0</v>
      </c>
      <c r="D76" s="46">
        <f t="shared" si="14"/>
        <v>0</v>
      </c>
      <c r="E76" s="46">
        <f t="shared" si="15"/>
        <v>0</v>
      </c>
      <c r="G76" t="e">
        <f t="shared" ca="1" si="16"/>
        <v>#N/A</v>
      </c>
      <c r="H76" t="e">
        <f t="shared" ca="1" si="17"/>
        <v>#N/A</v>
      </c>
      <c r="I76" s="7">
        <f t="shared" si="18"/>
        <v>0</v>
      </c>
      <c r="J76" s="7">
        <f t="shared" si="19"/>
        <v>0</v>
      </c>
      <c r="K76">
        <f t="shared" si="20"/>
        <v>0</v>
      </c>
      <c r="L76" s="15">
        <f t="shared" ca="1" si="21"/>
        <v>0</v>
      </c>
      <c r="M76" s="9">
        <f t="shared" ca="1" si="36"/>
        <v>0</v>
      </c>
      <c r="N76" s="7">
        <f t="shared" ca="1" si="22"/>
        <v>0</v>
      </c>
      <c r="O76" s="7">
        <f t="shared" ca="1" si="23"/>
        <v>0</v>
      </c>
      <c r="P76" s="7">
        <f t="shared" ca="1" si="24"/>
        <v>0</v>
      </c>
      <c r="U76" t="e">
        <f t="shared" ca="1" si="25"/>
        <v>#N/A</v>
      </c>
      <c r="V76" t="e">
        <f t="shared" ca="1" si="26"/>
        <v>#N/A</v>
      </c>
      <c r="X76" t="e">
        <f t="shared" ca="1" si="27"/>
        <v>#N/A</v>
      </c>
      <c r="Y76" t="e">
        <f t="shared" ca="1" si="28"/>
        <v>#N/A</v>
      </c>
      <c r="AJ76">
        <v>0</v>
      </c>
      <c r="AK76">
        <v>0</v>
      </c>
      <c r="AL76">
        <v>0</v>
      </c>
      <c r="AM76">
        <v>0</v>
      </c>
      <c r="AN76">
        <v>0</v>
      </c>
      <c r="AQ76">
        <v>74</v>
      </c>
      <c r="AR76">
        <f t="shared" si="31"/>
        <v>3.3076482698039902</v>
      </c>
      <c r="AS76">
        <f t="shared" si="32"/>
        <v>11.535140351259827</v>
      </c>
      <c r="AV76">
        <v>1395.1824464460606</v>
      </c>
      <c r="AW76">
        <v>1.2253843054514655E-13</v>
      </c>
      <c r="AX76">
        <v>19.396058755473277</v>
      </c>
      <c r="AY76">
        <f t="shared" si="29"/>
        <v>19.396058755473277</v>
      </c>
      <c r="AZ76">
        <v>2146.4345329939392</v>
      </c>
      <c r="BA76">
        <v>1.8852066237714853E-13</v>
      </c>
      <c r="BB76">
        <v>29.840090393035808</v>
      </c>
      <c r="BC76">
        <f t="shared" si="30"/>
        <v>29.840090393035808</v>
      </c>
      <c r="BF76">
        <v>1395.1824464460606</v>
      </c>
      <c r="BG76">
        <v>11.542423076800064</v>
      </c>
      <c r="BH76">
        <v>11.542423076800063</v>
      </c>
      <c r="BI76">
        <f t="shared" si="33"/>
        <v>16.323451257858839</v>
      </c>
      <c r="BJ76">
        <v>2146.4345329939392</v>
      </c>
      <c r="BK76">
        <v>17.757573964307792</v>
      </c>
      <c r="BL76">
        <v>17.757573964307788</v>
      </c>
      <c r="BM76">
        <f t="shared" si="34"/>
        <v>25.113001935167443</v>
      </c>
    </row>
    <row r="77" spans="1:65" x14ac:dyDescent="0.25">
      <c r="A77">
        <v>41</v>
      </c>
      <c r="B77" s="5">
        <v>0</v>
      </c>
      <c r="C77" s="1">
        <f t="shared" ca="1" si="35"/>
        <v>0</v>
      </c>
      <c r="D77" s="46">
        <f t="shared" si="14"/>
        <v>0</v>
      </c>
      <c r="E77" s="46">
        <f t="shared" si="15"/>
        <v>0</v>
      </c>
      <c r="G77" t="e">
        <f t="shared" ca="1" si="16"/>
        <v>#N/A</v>
      </c>
      <c r="H77" t="e">
        <f t="shared" ca="1" si="17"/>
        <v>#N/A</v>
      </c>
      <c r="I77" s="7">
        <f t="shared" si="18"/>
        <v>0</v>
      </c>
      <c r="J77" s="7">
        <f t="shared" si="19"/>
        <v>0</v>
      </c>
      <c r="K77">
        <f t="shared" si="20"/>
        <v>0</v>
      </c>
      <c r="L77" s="15">
        <f t="shared" ca="1" si="21"/>
        <v>0</v>
      </c>
      <c r="M77" s="9">
        <f t="shared" ca="1" si="36"/>
        <v>0</v>
      </c>
      <c r="N77" s="7">
        <f t="shared" ca="1" si="22"/>
        <v>0</v>
      </c>
      <c r="O77" s="7">
        <f t="shared" ca="1" si="23"/>
        <v>0</v>
      </c>
      <c r="P77" s="7">
        <f t="shared" ca="1" si="24"/>
        <v>0</v>
      </c>
      <c r="U77" t="e">
        <f t="shared" ca="1" si="25"/>
        <v>#N/A</v>
      </c>
      <c r="V77" t="e">
        <f t="shared" ca="1" si="26"/>
        <v>#N/A</v>
      </c>
      <c r="X77" t="e">
        <f t="shared" ca="1" si="27"/>
        <v>#N/A</v>
      </c>
      <c r="Y77" t="e">
        <f t="shared" ca="1" si="28"/>
        <v>#N/A</v>
      </c>
      <c r="AJ77">
        <v>0</v>
      </c>
      <c r="AK77">
        <v>0</v>
      </c>
      <c r="AL77">
        <v>0</v>
      </c>
      <c r="AM77">
        <v>0</v>
      </c>
      <c r="AN77">
        <v>0</v>
      </c>
      <c r="AQ77">
        <v>75</v>
      </c>
      <c r="AR77">
        <f t="shared" si="31"/>
        <v>3.1058285412302489</v>
      </c>
      <c r="AS77">
        <f t="shared" si="32"/>
        <v>11.59110991546882</v>
      </c>
      <c r="AV77">
        <v>1423.655557598021</v>
      </c>
      <c r="AW77">
        <v>5.8382964430953589E-19</v>
      </c>
      <c r="AX77">
        <v>9.5307575497547668E-3</v>
      </c>
      <c r="AY77">
        <f t="shared" si="29"/>
        <v>9.5307575497547668E-3</v>
      </c>
      <c r="AZ77">
        <v>2190.2393193815706</v>
      </c>
      <c r="BA77">
        <v>8.9819945278390131E-19</v>
      </c>
      <c r="BB77">
        <v>1.4662703922699642E-2</v>
      </c>
      <c r="BC77">
        <f t="shared" si="30"/>
        <v>1.4662703922699642E-2</v>
      </c>
      <c r="BF77">
        <v>1423.655557598021</v>
      </c>
      <c r="BG77">
        <v>5.4137862928081209E-3</v>
      </c>
      <c r="BH77">
        <v>5.4137862928037659E-3</v>
      </c>
      <c r="BI77">
        <f t="shared" si="33"/>
        <v>7.6562499990757244E-3</v>
      </c>
      <c r="BJ77">
        <v>2190.2393193815706</v>
      </c>
      <c r="BK77">
        <v>8.3289019889355703E-3</v>
      </c>
      <c r="BL77">
        <v>8.3289019889288708E-3</v>
      </c>
      <c r="BM77">
        <f t="shared" si="34"/>
        <v>1.1778846152424192E-2</v>
      </c>
    </row>
    <row r="78" spans="1:65" x14ac:dyDescent="0.25">
      <c r="A78">
        <v>42</v>
      </c>
      <c r="B78" s="5">
        <v>0</v>
      </c>
      <c r="C78" s="1">
        <f t="shared" ca="1" si="35"/>
        <v>0</v>
      </c>
      <c r="D78" s="46">
        <f t="shared" si="14"/>
        <v>0</v>
      </c>
      <c r="E78" s="46">
        <f t="shared" si="15"/>
        <v>0</v>
      </c>
      <c r="G78" t="e">
        <f t="shared" ca="1" si="16"/>
        <v>#N/A</v>
      </c>
      <c r="H78" t="e">
        <f t="shared" ca="1" si="17"/>
        <v>#N/A</v>
      </c>
      <c r="I78" s="7">
        <f t="shared" si="18"/>
        <v>0</v>
      </c>
      <c r="J78" s="7">
        <f t="shared" si="19"/>
        <v>0</v>
      </c>
      <c r="K78">
        <f t="shared" si="20"/>
        <v>0</v>
      </c>
      <c r="L78" s="15">
        <f t="shared" ca="1" si="21"/>
        <v>0</v>
      </c>
      <c r="M78" s="9">
        <f t="shared" ca="1" si="36"/>
        <v>0</v>
      </c>
      <c r="N78" s="7">
        <f t="shared" ca="1" si="22"/>
        <v>0</v>
      </c>
      <c r="O78" s="7">
        <f t="shared" ca="1" si="23"/>
        <v>0</v>
      </c>
      <c r="P78" s="7">
        <f t="shared" ca="1" si="24"/>
        <v>0</v>
      </c>
      <c r="U78" t="e">
        <f t="shared" ca="1" si="25"/>
        <v>#N/A</v>
      </c>
      <c r="V78" t="e">
        <f t="shared" ca="1" si="26"/>
        <v>#N/A</v>
      </c>
      <c r="X78" t="e">
        <f t="shared" ca="1" si="27"/>
        <v>#N/A</v>
      </c>
      <c r="Y78" t="e">
        <f t="shared" ca="1" si="28"/>
        <v>#N/A</v>
      </c>
      <c r="AJ78">
        <v>0</v>
      </c>
      <c r="AK78">
        <v>0</v>
      </c>
      <c r="AL78">
        <v>0</v>
      </c>
      <c r="AM78">
        <v>0</v>
      </c>
      <c r="AN78">
        <v>0</v>
      </c>
      <c r="AQ78">
        <v>76</v>
      </c>
      <c r="AR78">
        <f t="shared" si="31"/>
        <v>2.903062747196012</v>
      </c>
      <c r="AS78">
        <f t="shared" si="32"/>
        <v>11.643548715311958</v>
      </c>
    </row>
    <row r="79" spans="1:65" x14ac:dyDescent="0.25">
      <c r="A79">
        <v>43</v>
      </c>
      <c r="B79" s="5">
        <v>0</v>
      </c>
      <c r="C79" s="1">
        <f t="shared" ca="1" si="35"/>
        <v>0</v>
      </c>
      <c r="D79" s="46">
        <f t="shared" si="14"/>
        <v>0</v>
      </c>
      <c r="E79" s="46">
        <f t="shared" si="15"/>
        <v>0</v>
      </c>
      <c r="G79" t="e">
        <f t="shared" ca="1" si="16"/>
        <v>#N/A</v>
      </c>
      <c r="H79" t="e">
        <f t="shared" ca="1" si="17"/>
        <v>#N/A</v>
      </c>
      <c r="I79" s="7">
        <f t="shared" si="18"/>
        <v>0</v>
      </c>
      <c r="J79" s="7">
        <f t="shared" si="19"/>
        <v>0</v>
      </c>
      <c r="K79">
        <f t="shared" si="20"/>
        <v>0</v>
      </c>
      <c r="L79" s="15">
        <f t="shared" ca="1" si="21"/>
        <v>0</v>
      </c>
      <c r="M79" s="9">
        <f t="shared" ca="1" si="36"/>
        <v>0</v>
      </c>
      <c r="N79" s="7">
        <f t="shared" ca="1" si="22"/>
        <v>0</v>
      </c>
      <c r="O79" s="7">
        <f t="shared" ca="1" si="23"/>
        <v>0</v>
      </c>
      <c r="P79" s="7">
        <f t="shared" ca="1" si="24"/>
        <v>0</v>
      </c>
      <c r="U79" t="e">
        <f t="shared" ca="1" si="25"/>
        <v>#N/A</v>
      </c>
      <c r="V79" t="e">
        <f t="shared" ca="1" si="26"/>
        <v>#N/A</v>
      </c>
      <c r="X79" t="e">
        <f t="shared" ca="1" si="27"/>
        <v>#N/A</v>
      </c>
      <c r="Y79" t="e">
        <f t="shared" ca="1" si="28"/>
        <v>#N/A</v>
      </c>
      <c r="AJ79">
        <v>0</v>
      </c>
      <c r="AK79">
        <v>0</v>
      </c>
      <c r="AL79">
        <v>0</v>
      </c>
      <c r="AM79">
        <v>0</v>
      </c>
      <c r="AN79">
        <v>0</v>
      </c>
      <c r="AQ79">
        <v>77</v>
      </c>
      <c r="AR79">
        <f t="shared" si="31"/>
        <v>2.6994126521263793</v>
      </c>
      <c r="AS79">
        <f t="shared" si="32"/>
        <v>11.692440777422823</v>
      </c>
    </row>
    <row r="80" spans="1:65" x14ac:dyDescent="0.25">
      <c r="A80">
        <v>44</v>
      </c>
      <c r="B80" s="5">
        <v>0</v>
      </c>
      <c r="C80" s="1">
        <f t="shared" ca="1" si="35"/>
        <v>0</v>
      </c>
      <c r="D80" s="46">
        <f t="shared" si="14"/>
        <v>0</v>
      </c>
      <c r="E80" s="46">
        <f t="shared" si="15"/>
        <v>0</v>
      </c>
      <c r="G80" t="e">
        <f t="shared" ca="1" si="16"/>
        <v>#N/A</v>
      </c>
      <c r="H80" t="e">
        <f t="shared" ca="1" si="17"/>
        <v>#N/A</v>
      </c>
      <c r="I80" s="7">
        <f t="shared" si="18"/>
        <v>0</v>
      </c>
      <c r="J80" s="7">
        <f t="shared" si="19"/>
        <v>0</v>
      </c>
      <c r="K80">
        <f t="shared" si="20"/>
        <v>0</v>
      </c>
      <c r="L80" s="15">
        <f t="shared" ca="1" si="21"/>
        <v>0</v>
      </c>
      <c r="M80" s="9">
        <f t="shared" ca="1" si="36"/>
        <v>0</v>
      </c>
      <c r="N80" s="7">
        <f t="shared" ca="1" si="22"/>
        <v>0</v>
      </c>
      <c r="O80" s="7">
        <f t="shared" ca="1" si="23"/>
        <v>0</v>
      </c>
      <c r="P80" s="7">
        <f t="shared" ca="1" si="24"/>
        <v>0</v>
      </c>
      <c r="U80" t="e">
        <f t="shared" ca="1" si="25"/>
        <v>#N/A</v>
      </c>
      <c r="V80" t="e">
        <f t="shared" ca="1" si="26"/>
        <v>#N/A</v>
      </c>
      <c r="X80" t="e">
        <f t="shared" ca="1" si="27"/>
        <v>#N/A</v>
      </c>
      <c r="Y80" t="e">
        <f t="shared" ca="1" si="28"/>
        <v>#N/A</v>
      </c>
      <c r="AJ80">
        <v>0</v>
      </c>
      <c r="AK80">
        <v>0</v>
      </c>
      <c r="AL80">
        <v>0</v>
      </c>
      <c r="AM80">
        <v>0</v>
      </c>
      <c r="AN80">
        <v>0</v>
      </c>
      <c r="AQ80">
        <v>78</v>
      </c>
      <c r="AR80">
        <f t="shared" si="31"/>
        <v>2.4949402898131137</v>
      </c>
      <c r="AS80">
        <f t="shared" si="32"/>
        <v>11.737771208805666</v>
      </c>
    </row>
    <row r="81" spans="1:45" x14ac:dyDescent="0.25">
      <c r="A81">
        <v>45</v>
      </c>
      <c r="B81" s="5">
        <v>0</v>
      </c>
      <c r="C81" s="1">
        <f t="shared" ca="1" si="35"/>
        <v>0</v>
      </c>
      <c r="D81" s="46">
        <f t="shared" si="14"/>
        <v>0</v>
      </c>
      <c r="E81" s="46">
        <f t="shared" si="15"/>
        <v>0</v>
      </c>
      <c r="G81" t="e">
        <f t="shared" ca="1" si="16"/>
        <v>#N/A</v>
      </c>
      <c r="H81" t="e">
        <f t="shared" ca="1" si="17"/>
        <v>#N/A</v>
      </c>
      <c r="I81" s="7">
        <f t="shared" si="18"/>
        <v>0</v>
      </c>
      <c r="J81" s="7">
        <f t="shared" si="19"/>
        <v>0</v>
      </c>
      <c r="K81">
        <f t="shared" si="20"/>
        <v>0</v>
      </c>
      <c r="L81" s="15">
        <f t="shared" ca="1" si="21"/>
        <v>0</v>
      </c>
      <c r="M81" s="9">
        <f t="shared" ca="1" si="36"/>
        <v>0</v>
      </c>
      <c r="N81" s="7">
        <f t="shared" ca="1" si="22"/>
        <v>0</v>
      </c>
      <c r="O81" s="7">
        <f t="shared" ca="1" si="23"/>
        <v>0</v>
      </c>
      <c r="P81" s="7">
        <f t="shared" ca="1" si="24"/>
        <v>0</v>
      </c>
      <c r="U81" t="e">
        <f t="shared" ca="1" si="25"/>
        <v>#N/A</v>
      </c>
      <c r="V81" t="e">
        <f t="shared" ca="1" si="26"/>
        <v>#N/A</v>
      </c>
      <c r="X81" t="e">
        <f t="shared" ca="1" si="27"/>
        <v>#N/A</v>
      </c>
      <c r="Y81" t="e">
        <f t="shared" ca="1" si="28"/>
        <v>#N/A</v>
      </c>
      <c r="AJ81">
        <v>0</v>
      </c>
      <c r="AK81">
        <v>0</v>
      </c>
      <c r="AL81">
        <v>0</v>
      </c>
      <c r="AM81">
        <v>0</v>
      </c>
      <c r="AN81">
        <v>0</v>
      </c>
      <c r="AQ81">
        <v>79</v>
      </c>
      <c r="AR81">
        <f t="shared" si="31"/>
        <v>2.2897079445185389</v>
      </c>
      <c r="AS81">
        <f t="shared" si="32"/>
        <v>11.779526201371969</v>
      </c>
    </row>
    <row r="82" spans="1:45" x14ac:dyDescent="0.25">
      <c r="A82">
        <v>46</v>
      </c>
      <c r="B82" s="5">
        <v>0</v>
      </c>
      <c r="C82" s="1">
        <f t="shared" ca="1" si="35"/>
        <v>0</v>
      </c>
      <c r="D82" s="46">
        <f t="shared" si="14"/>
        <v>0</v>
      </c>
      <c r="E82" s="46">
        <f t="shared" si="15"/>
        <v>0</v>
      </c>
      <c r="G82" t="e">
        <f t="shared" ca="1" si="16"/>
        <v>#N/A</v>
      </c>
      <c r="H82" t="e">
        <f t="shared" ca="1" si="17"/>
        <v>#N/A</v>
      </c>
      <c r="I82" s="7">
        <f t="shared" si="18"/>
        <v>0</v>
      </c>
      <c r="J82" s="7">
        <f t="shared" si="19"/>
        <v>0</v>
      </c>
      <c r="K82">
        <f t="shared" si="20"/>
        <v>0</v>
      </c>
      <c r="L82" s="15">
        <f t="shared" ca="1" si="21"/>
        <v>0</v>
      </c>
      <c r="M82" s="9">
        <f t="shared" ca="1" si="36"/>
        <v>0</v>
      </c>
      <c r="N82" s="7">
        <f t="shared" ca="1" si="22"/>
        <v>0</v>
      </c>
      <c r="O82" s="7">
        <f t="shared" ca="1" si="23"/>
        <v>0</v>
      </c>
      <c r="P82" s="7">
        <f t="shared" ca="1" si="24"/>
        <v>0</v>
      </c>
      <c r="U82" t="e">
        <f t="shared" ca="1" si="25"/>
        <v>#N/A</v>
      </c>
      <c r="V82" t="e">
        <f t="shared" ca="1" si="26"/>
        <v>#N/A</v>
      </c>
      <c r="X82" t="e">
        <f t="shared" ca="1" si="27"/>
        <v>#N/A</v>
      </c>
      <c r="Y82" t="e">
        <f t="shared" ca="1" si="28"/>
        <v>#N/A</v>
      </c>
      <c r="AJ82">
        <v>0</v>
      </c>
      <c r="AK82">
        <v>0</v>
      </c>
      <c r="AL82">
        <v>0</v>
      </c>
      <c r="AM82">
        <v>0</v>
      </c>
      <c r="AN82">
        <v>0</v>
      </c>
      <c r="AQ82">
        <v>80</v>
      </c>
      <c r="AR82">
        <f t="shared" si="31"/>
        <v>2.083778132003165</v>
      </c>
      <c r="AS82">
        <f t="shared" si="32"/>
        <v>11.817693036146496</v>
      </c>
    </row>
    <row r="83" spans="1:45" x14ac:dyDescent="0.25">
      <c r="A83">
        <v>47</v>
      </c>
      <c r="B83" s="5">
        <v>0</v>
      </c>
      <c r="C83" s="1">
        <f t="shared" ca="1" si="35"/>
        <v>0</v>
      </c>
      <c r="D83" s="46">
        <f t="shared" si="14"/>
        <v>0</v>
      </c>
      <c r="E83" s="46">
        <f t="shared" si="15"/>
        <v>0</v>
      </c>
      <c r="G83" t="e">
        <f t="shared" ca="1" si="16"/>
        <v>#N/A</v>
      </c>
      <c r="H83" t="e">
        <f t="shared" ca="1" si="17"/>
        <v>#N/A</v>
      </c>
      <c r="I83" s="7">
        <f t="shared" si="18"/>
        <v>0</v>
      </c>
      <c r="J83" s="7">
        <f t="shared" si="19"/>
        <v>0</v>
      </c>
      <c r="K83">
        <f t="shared" si="20"/>
        <v>0</v>
      </c>
      <c r="L83" s="15">
        <f t="shared" ca="1" si="21"/>
        <v>0</v>
      </c>
      <c r="M83" s="9">
        <f t="shared" ca="1" si="36"/>
        <v>0</v>
      </c>
      <c r="N83" s="7">
        <f t="shared" ca="1" si="22"/>
        <v>0</v>
      </c>
      <c r="O83" s="7">
        <f t="shared" ca="1" si="23"/>
        <v>0</v>
      </c>
      <c r="P83" s="7">
        <f t="shared" ca="1" si="24"/>
        <v>0</v>
      </c>
      <c r="U83" t="e">
        <f t="shared" ca="1" si="25"/>
        <v>#N/A</v>
      </c>
      <c r="V83" t="e">
        <f t="shared" ca="1" si="26"/>
        <v>#N/A</v>
      </c>
      <c r="X83" t="e">
        <f t="shared" ca="1" si="27"/>
        <v>#N/A</v>
      </c>
      <c r="Y83" t="e">
        <f t="shared" ca="1" si="28"/>
        <v>#N/A</v>
      </c>
      <c r="AJ83">
        <v>0</v>
      </c>
      <c r="AK83">
        <v>0</v>
      </c>
      <c r="AL83">
        <v>0</v>
      </c>
      <c r="AM83">
        <v>0</v>
      </c>
      <c r="AN83">
        <v>0</v>
      </c>
      <c r="AQ83">
        <v>81</v>
      </c>
      <c r="AR83">
        <f t="shared" si="31"/>
        <v>1.877213580482771</v>
      </c>
      <c r="AS83">
        <f t="shared" si="32"/>
        <v>11.852260087141653</v>
      </c>
    </row>
    <row r="84" spans="1:45" x14ac:dyDescent="0.25">
      <c r="A84">
        <v>48</v>
      </c>
      <c r="B84" s="5">
        <v>0</v>
      </c>
      <c r="C84" s="1">
        <f t="shared" ca="1" si="35"/>
        <v>0</v>
      </c>
      <c r="D84" s="46">
        <f t="shared" si="14"/>
        <v>0</v>
      </c>
      <c r="E84" s="46">
        <f t="shared" si="15"/>
        <v>0</v>
      </c>
      <c r="G84" t="e">
        <f t="shared" ca="1" si="16"/>
        <v>#N/A</v>
      </c>
      <c r="H84" t="e">
        <f t="shared" ca="1" si="17"/>
        <v>#N/A</v>
      </c>
      <c r="I84" s="7">
        <f t="shared" si="18"/>
        <v>0</v>
      </c>
      <c r="J84" s="7">
        <f t="shared" si="19"/>
        <v>0</v>
      </c>
      <c r="K84">
        <f t="shared" si="20"/>
        <v>0</v>
      </c>
      <c r="L84" s="15">
        <f t="shared" ca="1" si="21"/>
        <v>0</v>
      </c>
      <c r="M84" s="9">
        <f t="shared" ca="1" si="36"/>
        <v>0</v>
      </c>
      <c r="N84" s="7">
        <f t="shared" ca="1" si="22"/>
        <v>0</v>
      </c>
      <c r="O84" s="7">
        <f t="shared" ca="1" si="23"/>
        <v>0</v>
      </c>
      <c r="P84" s="7">
        <f t="shared" ca="1" si="24"/>
        <v>0</v>
      </c>
      <c r="U84" t="e">
        <f t="shared" ca="1" si="25"/>
        <v>#N/A</v>
      </c>
      <c r="V84" t="e">
        <f t="shared" ca="1" si="26"/>
        <v>#N/A</v>
      </c>
      <c r="X84" t="e">
        <f t="shared" ca="1" si="27"/>
        <v>#N/A</v>
      </c>
      <c r="Y84" t="e">
        <f t="shared" ca="1" si="28"/>
        <v>#N/A</v>
      </c>
      <c r="AJ84">
        <v>0</v>
      </c>
      <c r="AK84">
        <v>0</v>
      </c>
      <c r="AL84">
        <v>0</v>
      </c>
      <c r="AM84">
        <v>0</v>
      </c>
      <c r="AN84">
        <v>0</v>
      </c>
      <c r="AQ84">
        <v>82</v>
      </c>
      <c r="AR84">
        <f t="shared" si="31"/>
        <v>1.6700772115207856</v>
      </c>
      <c r="AS84">
        <f t="shared" si="32"/>
        <v>11.883216824898845</v>
      </c>
    </row>
    <row r="85" spans="1:45" x14ac:dyDescent="0.25">
      <c r="A85">
        <v>49</v>
      </c>
      <c r="B85" s="5">
        <v>0</v>
      </c>
      <c r="C85" s="1">
        <f t="shared" ca="1" si="35"/>
        <v>0</v>
      </c>
      <c r="D85" s="46">
        <f t="shared" si="14"/>
        <v>0</v>
      </c>
      <c r="E85" s="46">
        <f t="shared" si="15"/>
        <v>0</v>
      </c>
      <c r="G85" t="e">
        <f t="shared" ca="1" si="16"/>
        <v>#N/A</v>
      </c>
      <c r="H85" t="e">
        <f t="shared" ca="1" si="17"/>
        <v>#N/A</v>
      </c>
      <c r="I85" s="7">
        <f t="shared" si="18"/>
        <v>0</v>
      </c>
      <c r="J85" s="7">
        <f t="shared" si="19"/>
        <v>0</v>
      </c>
      <c r="K85">
        <f t="shared" si="20"/>
        <v>0</v>
      </c>
      <c r="L85" s="15">
        <f t="shared" ca="1" si="21"/>
        <v>0</v>
      </c>
      <c r="M85" s="9">
        <f t="shared" ca="1" si="36"/>
        <v>0</v>
      </c>
      <c r="N85" s="7">
        <f t="shared" ca="1" si="22"/>
        <v>0</v>
      </c>
      <c r="O85" s="7">
        <f t="shared" ca="1" si="23"/>
        <v>0</v>
      </c>
      <c r="P85" s="7">
        <f t="shared" ca="1" si="24"/>
        <v>0</v>
      </c>
      <c r="U85" t="e">
        <f t="shared" ca="1" si="25"/>
        <v>#N/A</v>
      </c>
      <c r="V85" t="e">
        <f t="shared" ca="1" si="26"/>
        <v>#N/A</v>
      </c>
      <c r="X85" t="e">
        <f t="shared" ca="1" si="27"/>
        <v>#N/A</v>
      </c>
      <c r="Y85" t="e">
        <f t="shared" ca="1" si="28"/>
        <v>#N/A</v>
      </c>
      <c r="AJ85">
        <v>0</v>
      </c>
      <c r="AK85">
        <v>0</v>
      </c>
      <c r="AL85">
        <v>0</v>
      </c>
      <c r="AM85">
        <v>0</v>
      </c>
      <c r="AN85">
        <v>0</v>
      </c>
      <c r="AQ85">
        <v>83</v>
      </c>
      <c r="AR85">
        <f t="shared" si="31"/>
        <v>1.4624321208617699</v>
      </c>
      <c r="AS85">
        <f t="shared" si="32"/>
        <v>11.910553819695863</v>
      </c>
    </row>
    <row r="86" spans="1:45" x14ac:dyDescent="0.25">
      <c r="A86">
        <v>50</v>
      </c>
      <c r="B86" s="5">
        <v>0</v>
      </c>
      <c r="C86" s="1">
        <f t="shared" ca="1" si="35"/>
        <v>0</v>
      </c>
      <c r="D86" s="46">
        <f t="shared" si="14"/>
        <v>0</v>
      </c>
      <c r="E86" s="46">
        <f t="shared" si="15"/>
        <v>0</v>
      </c>
      <c r="G86" t="e">
        <f t="shared" ca="1" si="16"/>
        <v>#N/A</v>
      </c>
      <c r="H86" t="e">
        <f t="shared" ca="1" si="17"/>
        <v>#N/A</v>
      </c>
      <c r="I86" s="7">
        <f t="shared" si="18"/>
        <v>0</v>
      </c>
      <c r="J86" s="7">
        <f t="shared" si="19"/>
        <v>0</v>
      </c>
      <c r="K86">
        <f t="shared" si="20"/>
        <v>0</v>
      </c>
      <c r="L86" s="15">
        <f t="shared" ca="1" si="21"/>
        <v>0</v>
      </c>
      <c r="M86" s="9">
        <f t="shared" ca="1" si="36"/>
        <v>0</v>
      </c>
      <c r="N86" s="7">
        <f t="shared" ca="1" si="22"/>
        <v>0</v>
      </c>
      <c r="O86" s="7">
        <f t="shared" ca="1" si="23"/>
        <v>0</v>
      </c>
      <c r="P86" s="7">
        <f t="shared" ca="1" si="24"/>
        <v>0</v>
      </c>
      <c r="U86" t="e">
        <f t="shared" ca="1" si="25"/>
        <v>#N/A</v>
      </c>
      <c r="V86" t="e">
        <f t="shared" ca="1" si="26"/>
        <v>#N/A</v>
      </c>
      <c r="X86" t="e">
        <f t="shared" ca="1" si="27"/>
        <v>#N/A</v>
      </c>
      <c r="Y86" t="e">
        <f t="shared" ca="1" si="28"/>
        <v>#N/A</v>
      </c>
      <c r="AJ86">
        <v>0</v>
      </c>
      <c r="AK86">
        <v>0</v>
      </c>
      <c r="AL86">
        <v>0</v>
      </c>
      <c r="AM86">
        <v>0</v>
      </c>
      <c r="AN86">
        <v>0</v>
      </c>
      <c r="AQ86">
        <v>84</v>
      </c>
      <c r="AR86">
        <f t="shared" si="31"/>
        <v>1.2543415592118414</v>
      </c>
      <c r="AS86">
        <f t="shared" si="32"/>
        <v>11.934262744419279</v>
      </c>
    </row>
    <row r="87" spans="1:45" x14ac:dyDescent="0.25">
      <c r="A87">
        <v>51</v>
      </c>
      <c r="B87" s="5">
        <v>0</v>
      </c>
      <c r="C87" s="1">
        <f t="shared" ca="1" si="35"/>
        <v>0</v>
      </c>
      <c r="D87" s="46">
        <f t="shared" si="14"/>
        <v>0</v>
      </c>
      <c r="E87" s="46">
        <f t="shared" si="15"/>
        <v>0</v>
      </c>
      <c r="G87" t="e">
        <f t="shared" ca="1" si="16"/>
        <v>#N/A</v>
      </c>
      <c r="H87" t="e">
        <f t="shared" ca="1" si="17"/>
        <v>#N/A</v>
      </c>
      <c r="I87" s="7">
        <f t="shared" si="18"/>
        <v>0</v>
      </c>
      <c r="J87" s="7">
        <f t="shared" si="19"/>
        <v>0</v>
      </c>
      <c r="K87">
        <f t="shared" si="20"/>
        <v>0</v>
      </c>
      <c r="L87" s="15">
        <f t="shared" ca="1" si="21"/>
        <v>0</v>
      </c>
      <c r="M87" s="9">
        <f t="shared" ca="1" si="36"/>
        <v>0</v>
      </c>
      <c r="N87" s="7">
        <f t="shared" ca="1" si="22"/>
        <v>0</v>
      </c>
      <c r="O87" s="7">
        <f t="shared" ca="1" si="23"/>
        <v>0</v>
      </c>
      <c r="P87" s="7">
        <f t="shared" ca="1" si="24"/>
        <v>0</v>
      </c>
      <c r="U87" t="e">
        <f t="shared" ca="1" si="25"/>
        <v>#N/A</v>
      </c>
      <c r="V87" t="e">
        <f t="shared" ca="1" si="26"/>
        <v>#N/A</v>
      </c>
      <c r="X87" t="e">
        <f t="shared" ca="1" si="27"/>
        <v>#N/A</v>
      </c>
      <c r="Y87" t="e">
        <f t="shared" ca="1" si="28"/>
        <v>#N/A</v>
      </c>
      <c r="AJ87">
        <v>0</v>
      </c>
      <c r="AK87">
        <v>0</v>
      </c>
      <c r="AL87">
        <v>0</v>
      </c>
      <c r="AM87">
        <v>0</v>
      </c>
      <c r="AN87">
        <v>0</v>
      </c>
      <c r="AQ87">
        <v>85</v>
      </c>
      <c r="AR87">
        <f t="shared" si="31"/>
        <v>1.0458689129718977</v>
      </c>
      <c r="AS87">
        <f t="shared" si="32"/>
        <v>11.954336377100947</v>
      </c>
    </row>
    <row r="88" spans="1:45" x14ac:dyDescent="0.25">
      <c r="A88">
        <v>52</v>
      </c>
      <c r="B88" s="5">
        <v>0</v>
      </c>
      <c r="C88" s="1">
        <f t="shared" ca="1" si="35"/>
        <v>0</v>
      </c>
      <c r="D88" s="46">
        <f t="shared" si="14"/>
        <v>0</v>
      </c>
      <c r="E88" s="46">
        <f t="shared" si="15"/>
        <v>0</v>
      </c>
      <c r="G88" t="e">
        <f t="shared" ca="1" si="16"/>
        <v>#N/A</v>
      </c>
      <c r="H88" t="e">
        <f t="shared" ca="1" si="17"/>
        <v>#N/A</v>
      </c>
      <c r="I88" s="7">
        <f t="shared" si="18"/>
        <v>0</v>
      </c>
      <c r="J88" s="7">
        <f t="shared" si="19"/>
        <v>0</v>
      </c>
      <c r="K88">
        <f t="shared" si="20"/>
        <v>0</v>
      </c>
      <c r="L88" s="15">
        <f t="shared" ca="1" si="21"/>
        <v>0</v>
      </c>
      <c r="M88" s="9">
        <f t="shared" ca="1" si="36"/>
        <v>0</v>
      </c>
      <c r="N88" s="7">
        <f t="shared" ca="1" si="22"/>
        <v>0</v>
      </c>
      <c r="O88" s="7">
        <f t="shared" ca="1" si="23"/>
        <v>0</v>
      </c>
      <c r="P88" s="7">
        <f t="shared" ca="1" si="24"/>
        <v>0</v>
      </c>
      <c r="U88" t="e">
        <f t="shared" ca="1" si="25"/>
        <v>#N/A</v>
      </c>
      <c r="V88" t="e">
        <f t="shared" ca="1" si="26"/>
        <v>#N/A</v>
      </c>
      <c r="X88" t="e">
        <f t="shared" ca="1" si="27"/>
        <v>#N/A</v>
      </c>
      <c r="Y88" t="e">
        <f t="shared" ca="1" si="28"/>
        <v>#N/A</v>
      </c>
      <c r="AJ88">
        <v>0</v>
      </c>
      <c r="AK88">
        <v>0</v>
      </c>
      <c r="AL88">
        <v>0</v>
      </c>
      <c r="AM88">
        <v>0</v>
      </c>
      <c r="AN88">
        <v>0</v>
      </c>
      <c r="AQ88">
        <v>86</v>
      </c>
      <c r="AR88">
        <f t="shared" si="31"/>
        <v>0.83707768492950274</v>
      </c>
      <c r="AS88">
        <f t="shared" si="32"/>
        <v>11.970768603117889</v>
      </c>
    </row>
    <row r="89" spans="1:45" x14ac:dyDescent="0.25">
      <c r="A89">
        <v>53</v>
      </c>
      <c r="B89" s="5">
        <v>0</v>
      </c>
      <c r="C89" s="1">
        <f t="shared" ca="1" si="35"/>
        <v>0</v>
      </c>
      <c r="D89" s="46">
        <f t="shared" si="14"/>
        <v>0</v>
      </c>
      <c r="E89" s="46">
        <f t="shared" si="15"/>
        <v>0</v>
      </c>
      <c r="G89" t="e">
        <f t="shared" ca="1" si="16"/>
        <v>#N/A</v>
      </c>
      <c r="H89" t="e">
        <f t="shared" ca="1" si="17"/>
        <v>#N/A</v>
      </c>
      <c r="I89" s="7">
        <f t="shared" si="18"/>
        <v>0</v>
      </c>
      <c r="J89" s="7">
        <f t="shared" si="19"/>
        <v>0</v>
      </c>
      <c r="K89">
        <f t="shared" si="20"/>
        <v>0</v>
      </c>
      <c r="L89" s="15">
        <f t="shared" ca="1" si="21"/>
        <v>0</v>
      </c>
      <c r="M89" s="9">
        <f t="shared" ca="1" si="36"/>
        <v>0</v>
      </c>
      <c r="N89" s="7">
        <f t="shared" ca="1" si="22"/>
        <v>0</v>
      </c>
      <c r="O89" s="7">
        <f t="shared" ca="1" si="23"/>
        <v>0</v>
      </c>
      <c r="P89" s="7">
        <f t="shared" ca="1" si="24"/>
        <v>0</v>
      </c>
      <c r="U89" t="e">
        <f t="shared" ca="1" si="25"/>
        <v>#N/A</v>
      </c>
      <c r="V89" t="e">
        <f t="shared" ca="1" si="26"/>
        <v>#N/A</v>
      </c>
      <c r="X89" t="e">
        <f t="shared" ca="1" si="27"/>
        <v>#N/A</v>
      </c>
      <c r="Y89" t="e">
        <f t="shared" ca="1" si="28"/>
        <v>#N/A</v>
      </c>
      <c r="AJ89">
        <v>0</v>
      </c>
      <c r="AK89">
        <v>0</v>
      </c>
      <c r="AL89">
        <v>0</v>
      </c>
      <c r="AM89">
        <v>0</v>
      </c>
      <c r="AN89">
        <v>0</v>
      </c>
      <c r="AQ89">
        <v>87</v>
      </c>
      <c r="AR89">
        <f t="shared" si="31"/>
        <v>0.62803147491532763</v>
      </c>
      <c r="AS89">
        <f t="shared" si="32"/>
        <v>11.983554417054886</v>
      </c>
    </row>
    <row r="90" spans="1:45" x14ac:dyDescent="0.25">
      <c r="A90">
        <v>54</v>
      </c>
      <c r="B90" s="5">
        <v>0</v>
      </c>
      <c r="C90" s="1">
        <f t="shared" ca="1" si="35"/>
        <v>0</v>
      </c>
      <c r="D90" s="46">
        <f t="shared" si="14"/>
        <v>0</v>
      </c>
      <c r="E90" s="46">
        <f t="shared" si="15"/>
        <v>0</v>
      </c>
      <c r="G90" t="e">
        <f t="shared" ca="1" si="16"/>
        <v>#N/A</v>
      </c>
      <c r="H90" t="e">
        <f t="shared" ca="1" si="17"/>
        <v>#N/A</v>
      </c>
      <c r="I90" s="7">
        <f t="shared" si="18"/>
        <v>0</v>
      </c>
      <c r="J90" s="7">
        <f t="shared" si="19"/>
        <v>0</v>
      </c>
      <c r="K90">
        <f t="shared" si="20"/>
        <v>0</v>
      </c>
      <c r="L90" s="15">
        <f t="shared" ca="1" si="21"/>
        <v>0</v>
      </c>
      <c r="M90" s="9">
        <f t="shared" ca="1" si="36"/>
        <v>0</v>
      </c>
      <c r="N90" s="7">
        <f t="shared" ca="1" si="22"/>
        <v>0</v>
      </c>
      <c r="O90" s="7">
        <f t="shared" ca="1" si="23"/>
        <v>0</v>
      </c>
      <c r="P90" s="7">
        <f t="shared" ca="1" si="24"/>
        <v>0</v>
      </c>
      <c r="U90" t="e">
        <f t="shared" ca="1" si="25"/>
        <v>#N/A</v>
      </c>
      <c r="V90" t="e">
        <f t="shared" ca="1" si="26"/>
        <v>#N/A</v>
      </c>
      <c r="X90" t="e">
        <f t="shared" ca="1" si="27"/>
        <v>#N/A</v>
      </c>
      <c r="Y90" t="e">
        <f t="shared" ca="1" si="28"/>
        <v>#N/A</v>
      </c>
      <c r="AJ90">
        <v>0</v>
      </c>
      <c r="AK90">
        <v>0</v>
      </c>
      <c r="AL90">
        <v>0</v>
      </c>
      <c r="AM90">
        <v>0</v>
      </c>
      <c r="AN90">
        <v>0</v>
      </c>
      <c r="AQ90">
        <v>88</v>
      </c>
      <c r="AR90">
        <f t="shared" si="31"/>
        <v>0.41879396043001293</v>
      </c>
      <c r="AS90">
        <f t="shared" si="32"/>
        <v>11.992689924229149</v>
      </c>
    </row>
    <row r="91" spans="1:45" x14ac:dyDescent="0.25">
      <c r="A91">
        <v>55</v>
      </c>
      <c r="B91" s="5">
        <v>0</v>
      </c>
      <c r="C91" s="1">
        <f t="shared" ca="1" si="35"/>
        <v>0</v>
      </c>
      <c r="D91" s="46">
        <f t="shared" si="14"/>
        <v>0</v>
      </c>
      <c r="E91" s="46">
        <f t="shared" si="15"/>
        <v>0</v>
      </c>
      <c r="G91" t="e">
        <f t="shared" ca="1" si="16"/>
        <v>#N/A</v>
      </c>
      <c r="H91" t="e">
        <f t="shared" ca="1" si="17"/>
        <v>#N/A</v>
      </c>
      <c r="I91" s="7">
        <f t="shared" si="18"/>
        <v>0</v>
      </c>
      <c r="J91" s="7">
        <f t="shared" si="19"/>
        <v>0</v>
      </c>
      <c r="K91">
        <f t="shared" si="20"/>
        <v>0</v>
      </c>
      <c r="L91" s="15">
        <f t="shared" ca="1" si="21"/>
        <v>0</v>
      </c>
      <c r="M91" s="9">
        <f t="shared" ca="1" si="36"/>
        <v>0</v>
      </c>
      <c r="N91" s="7">
        <f t="shared" ca="1" si="22"/>
        <v>0</v>
      </c>
      <c r="O91" s="7">
        <f t="shared" ca="1" si="23"/>
        <v>0</v>
      </c>
      <c r="P91" s="7">
        <f t="shared" ca="1" si="24"/>
        <v>0</v>
      </c>
      <c r="U91" t="e">
        <f t="shared" ca="1" si="25"/>
        <v>#N/A</v>
      </c>
      <c r="V91" t="e">
        <f t="shared" ca="1" si="26"/>
        <v>#N/A</v>
      </c>
      <c r="X91" t="e">
        <f t="shared" ca="1" si="27"/>
        <v>#N/A</v>
      </c>
      <c r="Y91" t="e">
        <f t="shared" ca="1" si="28"/>
        <v>#N/A</v>
      </c>
      <c r="AJ91">
        <v>0</v>
      </c>
      <c r="AK91">
        <v>0</v>
      </c>
      <c r="AL91">
        <v>0</v>
      </c>
      <c r="AM91">
        <v>0</v>
      </c>
      <c r="AN91">
        <v>0</v>
      </c>
      <c r="AQ91">
        <v>89</v>
      </c>
      <c r="AR91">
        <f t="shared" si="31"/>
        <v>0.20942887724740317</v>
      </c>
      <c r="AS91">
        <f t="shared" si="32"/>
        <v>11.998172341876696</v>
      </c>
    </row>
    <row r="92" spans="1:45" x14ac:dyDescent="0.25">
      <c r="A92">
        <v>56</v>
      </c>
      <c r="B92" s="5">
        <v>0</v>
      </c>
      <c r="C92" s="1">
        <f t="shared" ca="1" si="35"/>
        <v>0</v>
      </c>
      <c r="D92" s="46">
        <f t="shared" si="14"/>
        <v>0</v>
      </c>
      <c r="E92" s="46">
        <f t="shared" si="15"/>
        <v>0</v>
      </c>
      <c r="G92" t="e">
        <f t="shared" ca="1" si="16"/>
        <v>#N/A</v>
      </c>
      <c r="H92" t="e">
        <f t="shared" ca="1" si="17"/>
        <v>#N/A</v>
      </c>
      <c r="I92" s="7">
        <f t="shared" si="18"/>
        <v>0</v>
      </c>
      <c r="J92" s="7">
        <f t="shared" si="19"/>
        <v>0</v>
      </c>
      <c r="K92">
        <f t="shared" si="20"/>
        <v>0</v>
      </c>
      <c r="L92" s="15">
        <f t="shared" ca="1" si="21"/>
        <v>0</v>
      </c>
      <c r="M92" s="9">
        <f t="shared" ca="1" si="36"/>
        <v>0</v>
      </c>
      <c r="N92" s="7">
        <f t="shared" ca="1" si="22"/>
        <v>0</v>
      </c>
      <c r="O92" s="7">
        <f t="shared" ca="1" si="23"/>
        <v>0</v>
      </c>
      <c r="P92" s="7">
        <f t="shared" ca="1" si="24"/>
        <v>0</v>
      </c>
      <c r="U92" t="e">
        <f t="shared" ca="1" si="25"/>
        <v>#N/A</v>
      </c>
      <c r="V92" t="e">
        <f t="shared" ca="1" si="26"/>
        <v>#N/A</v>
      </c>
      <c r="X92" t="e">
        <f t="shared" ca="1" si="27"/>
        <v>#N/A</v>
      </c>
      <c r="Y92" t="e">
        <f t="shared" ca="1" si="28"/>
        <v>#N/A</v>
      </c>
      <c r="AJ92">
        <v>0</v>
      </c>
      <c r="AK92">
        <v>0</v>
      </c>
      <c r="AL92">
        <v>0</v>
      </c>
      <c r="AM92">
        <v>0</v>
      </c>
      <c r="AN92">
        <v>0</v>
      </c>
      <c r="AQ92">
        <v>90</v>
      </c>
      <c r="AR92">
        <f t="shared" si="31"/>
        <v>7.3508907294517201E-16</v>
      </c>
      <c r="AS92">
        <f t="shared" si="32"/>
        <v>12</v>
      </c>
    </row>
    <row r="93" spans="1:45" x14ac:dyDescent="0.25">
      <c r="A93">
        <v>57</v>
      </c>
      <c r="B93" s="5">
        <v>0</v>
      </c>
      <c r="C93" s="1">
        <f t="shared" ca="1" si="35"/>
        <v>0</v>
      </c>
      <c r="D93" s="46">
        <f t="shared" si="14"/>
        <v>0</v>
      </c>
      <c r="E93" s="46">
        <f t="shared" si="15"/>
        <v>0</v>
      </c>
      <c r="G93" t="e">
        <f t="shared" ca="1" si="16"/>
        <v>#N/A</v>
      </c>
      <c r="H93" t="e">
        <f t="shared" ca="1" si="17"/>
        <v>#N/A</v>
      </c>
      <c r="I93" s="7">
        <f t="shared" si="18"/>
        <v>0</v>
      </c>
      <c r="J93" s="7">
        <f t="shared" si="19"/>
        <v>0</v>
      </c>
      <c r="K93">
        <f t="shared" si="20"/>
        <v>0</v>
      </c>
      <c r="L93" s="15">
        <f t="shared" ca="1" si="21"/>
        <v>0</v>
      </c>
      <c r="M93" s="9">
        <f t="shared" ca="1" si="36"/>
        <v>0</v>
      </c>
      <c r="N93" s="7">
        <f t="shared" ca="1" si="22"/>
        <v>0</v>
      </c>
      <c r="O93" s="7">
        <f t="shared" ca="1" si="23"/>
        <v>0</v>
      </c>
      <c r="P93" s="7">
        <f t="shared" ca="1" si="24"/>
        <v>0</v>
      </c>
      <c r="U93" t="e">
        <f t="shared" ca="1" si="25"/>
        <v>#N/A</v>
      </c>
      <c r="V93" t="e">
        <f t="shared" ca="1" si="26"/>
        <v>#N/A</v>
      </c>
      <c r="X93" t="e">
        <f t="shared" ca="1" si="27"/>
        <v>#N/A</v>
      </c>
      <c r="Y93" t="e">
        <f t="shared" ca="1" si="28"/>
        <v>#N/A</v>
      </c>
      <c r="AJ93">
        <v>0</v>
      </c>
      <c r="AK93">
        <v>0</v>
      </c>
      <c r="AL93">
        <v>0</v>
      </c>
      <c r="AM93">
        <v>0</v>
      </c>
      <c r="AN93">
        <v>0</v>
      </c>
      <c r="AQ93">
        <v>91</v>
      </c>
      <c r="AR93">
        <f t="shared" si="31"/>
        <v>-0.20942887724740172</v>
      </c>
      <c r="AS93">
        <f t="shared" si="32"/>
        <v>11.998172341876696</v>
      </c>
    </row>
    <row r="94" spans="1:45" x14ac:dyDescent="0.25">
      <c r="A94">
        <v>58</v>
      </c>
      <c r="B94" s="5">
        <v>0</v>
      </c>
      <c r="C94" s="1">
        <f t="shared" ca="1" si="35"/>
        <v>0</v>
      </c>
      <c r="D94" s="46">
        <f t="shared" si="14"/>
        <v>0</v>
      </c>
      <c r="E94" s="46">
        <f t="shared" si="15"/>
        <v>0</v>
      </c>
      <c r="G94" t="e">
        <f t="shared" ca="1" si="16"/>
        <v>#N/A</v>
      </c>
      <c r="H94" t="e">
        <f t="shared" ca="1" si="17"/>
        <v>#N/A</v>
      </c>
      <c r="I94" s="7">
        <f t="shared" si="18"/>
        <v>0</v>
      </c>
      <c r="J94" s="7">
        <f t="shared" si="19"/>
        <v>0</v>
      </c>
      <c r="K94">
        <f t="shared" si="20"/>
        <v>0</v>
      </c>
      <c r="L94" s="15">
        <f t="shared" ca="1" si="21"/>
        <v>0</v>
      </c>
      <c r="M94" s="9">
        <f t="shared" ca="1" si="36"/>
        <v>0</v>
      </c>
      <c r="N94" s="7">
        <f t="shared" ca="1" si="22"/>
        <v>0</v>
      </c>
      <c r="O94" s="7">
        <f t="shared" ca="1" si="23"/>
        <v>0</v>
      </c>
      <c r="P94" s="7">
        <f t="shared" ca="1" si="24"/>
        <v>0</v>
      </c>
      <c r="U94" t="e">
        <f t="shared" ca="1" si="25"/>
        <v>#N/A</v>
      </c>
      <c r="V94" t="e">
        <f t="shared" ca="1" si="26"/>
        <v>#N/A</v>
      </c>
      <c r="X94" t="e">
        <f t="shared" ca="1" si="27"/>
        <v>#N/A</v>
      </c>
      <c r="Y94" t="e">
        <f t="shared" ca="1" si="28"/>
        <v>#N/A</v>
      </c>
      <c r="AJ94">
        <v>0</v>
      </c>
      <c r="AK94">
        <v>0</v>
      </c>
      <c r="AL94">
        <v>0</v>
      </c>
      <c r="AM94">
        <v>0</v>
      </c>
      <c r="AN94">
        <v>0</v>
      </c>
      <c r="AQ94">
        <v>92</v>
      </c>
      <c r="AR94">
        <f t="shared" si="31"/>
        <v>-0.41879396043001149</v>
      </c>
      <c r="AS94">
        <f t="shared" si="32"/>
        <v>11.992689924229149</v>
      </c>
    </row>
    <row r="95" spans="1:45" x14ac:dyDescent="0.25">
      <c r="A95">
        <v>59</v>
      </c>
      <c r="B95" s="5">
        <v>0</v>
      </c>
      <c r="C95" s="1">
        <f t="shared" ca="1" si="35"/>
        <v>0</v>
      </c>
      <c r="D95" s="46">
        <f t="shared" si="14"/>
        <v>0</v>
      </c>
      <c r="E95" s="46">
        <f t="shared" si="15"/>
        <v>0</v>
      </c>
      <c r="G95" t="e">
        <f t="shared" ca="1" si="16"/>
        <v>#N/A</v>
      </c>
      <c r="H95" t="e">
        <f t="shared" ca="1" si="17"/>
        <v>#N/A</v>
      </c>
      <c r="I95" s="7">
        <f t="shared" si="18"/>
        <v>0</v>
      </c>
      <c r="J95" s="7">
        <f t="shared" si="19"/>
        <v>0</v>
      </c>
      <c r="K95">
        <f t="shared" si="20"/>
        <v>0</v>
      </c>
      <c r="L95" s="15">
        <f t="shared" ca="1" si="21"/>
        <v>0</v>
      </c>
      <c r="M95" s="9">
        <f t="shared" ca="1" si="36"/>
        <v>0</v>
      </c>
      <c r="N95" s="7">
        <f t="shared" ca="1" si="22"/>
        <v>0</v>
      </c>
      <c r="O95" s="7">
        <f t="shared" ca="1" si="23"/>
        <v>0</v>
      </c>
      <c r="P95" s="7">
        <f t="shared" ca="1" si="24"/>
        <v>0</v>
      </c>
      <c r="U95" t="e">
        <f t="shared" ca="1" si="25"/>
        <v>#N/A</v>
      </c>
      <c r="V95" t="e">
        <f t="shared" ca="1" si="26"/>
        <v>#N/A</v>
      </c>
      <c r="X95" t="e">
        <f t="shared" ca="1" si="27"/>
        <v>#N/A</v>
      </c>
      <c r="Y95" t="e">
        <f t="shared" ca="1" si="28"/>
        <v>#N/A</v>
      </c>
      <c r="AJ95">
        <v>0</v>
      </c>
      <c r="AK95">
        <v>0</v>
      </c>
      <c r="AL95">
        <v>0</v>
      </c>
      <c r="AM95">
        <v>0</v>
      </c>
      <c r="AN95">
        <v>0</v>
      </c>
      <c r="AQ95">
        <v>93</v>
      </c>
      <c r="AR95">
        <f t="shared" si="31"/>
        <v>-0.62803147491532607</v>
      </c>
      <c r="AS95">
        <f t="shared" si="32"/>
        <v>11.983554417054886</v>
      </c>
    </row>
    <row r="96" spans="1:45" x14ac:dyDescent="0.25">
      <c r="A96">
        <v>60</v>
      </c>
      <c r="B96" s="5">
        <v>0</v>
      </c>
      <c r="C96" s="1">
        <f t="shared" ca="1" si="35"/>
        <v>0</v>
      </c>
      <c r="D96" s="46">
        <f t="shared" si="14"/>
        <v>0</v>
      </c>
      <c r="E96" s="46">
        <f t="shared" si="15"/>
        <v>0</v>
      </c>
      <c r="G96" t="e">
        <f t="shared" ca="1" si="16"/>
        <v>#N/A</v>
      </c>
      <c r="H96" t="e">
        <f t="shared" ca="1" si="17"/>
        <v>#N/A</v>
      </c>
      <c r="I96" s="7">
        <f t="shared" si="18"/>
        <v>0</v>
      </c>
      <c r="J96" s="7">
        <f t="shared" si="19"/>
        <v>0</v>
      </c>
      <c r="K96">
        <f t="shared" si="20"/>
        <v>0</v>
      </c>
      <c r="L96" s="15">
        <f t="shared" ca="1" si="21"/>
        <v>0</v>
      </c>
      <c r="M96" s="9">
        <f t="shared" ca="1" si="36"/>
        <v>0</v>
      </c>
      <c r="N96" s="7">
        <f t="shared" ca="1" si="22"/>
        <v>0</v>
      </c>
      <c r="O96" s="7">
        <f t="shared" ca="1" si="23"/>
        <v>0</v>
      </c>
      <c r="P96" s="7">
        <f t="shared" ca="1" si="24"/>
        <v>0</v>
      </c>
      <c r="U96" t="e">
        <f t="shared" ca="1" si="25"/>
        <v>#N/A</v>
      </c>
      <c r="V96" t="e">
        <f t="shared" ca="1" si="26"/>
        <v>#N/A</v>
      </c>
      <c r="X96" t="e">
        <f t="shared" ca="1" si="27"/>
        <v>#N/A</v>
      </c>
      <c r="Y96" t="e">
        <f t="shared" ca="1" si="28"/>
        <v>#N/A</v>
      </c>
      <c r="AJ96">
        <v>0</v>
      </c>
      <c r="AK96">
        <v>0</v>
      </c>
      <c r="AL96">
        <v>0</v>
      </c>
      <c r="AM96">
        <v>0</v>
      </c>
      <c r="AN96">
        <v>0</v>
      </c>
      <c r="AQ96">
        <v>94</v>
      </c>
      <c r="AR96">
        <f t="shared" si="31"/>
        <v>-0.83707768492950396</v>
      </c>
      <c r="AS96">
        <f t="shared" si="32"/>
        <v>11.970768603117889</v>
      </c>
    </row>
    <row r="97" spans="1:61" x14ac:dyDescent="0.25">
      <c r="A97">
        <v>61</v>
      </c>
      <c r="B97" s="5">
        <v>0</v>
      </c>
      <c r="C97" s="1">
        <f t="shared" ca="1" si="35"/>
        <v>0</v>
      </c>
      <c r="D97" s="46">
        <f t="shared" si="14"/>
        <v>0</v>
      </c>
      <c r="E97" s="46">
        <f t="shared" si="15"/>
        <v>0</v>
      </c>
      <c r="G97" t="e">
        <f t="shared" ca="1" si="16"/>
        <v>#N/A</v>
      </c>
      <c r="H97" t="e">
        <f t="shared" ca="1" si="17"/>
        <v>#N/A</v>
      </c>
      <c r="I97" s="7">
        <f t="shared" si="18"/>
        <v>0</v>
      </c>
      <c r="J97" s="7">
        <f t="shared" si="19"/>
        <v>0</v>
      </c>
      <c r="K97">
        <f t="shared" si="20"/>
        <v>0</v>
      </c>
      <c r="L97" s="15">
        <f t="shared" ca="1" si="21"/>
        <v>0</v>
      </c>
      <c r="M97" s="9">
        <f t="shared" ca="1" si="36"/>
        <v>0</v>
      </c>
      <c r="N97" s="7">
        <f t="shared" ca="1" si="22"/>
        <v>0</v>
      </c>
      <c r="O97" s="7">
        <f t="shared" ca="1" si="23"/>
        <v>0</v>
      </c>
      <c r="P97" s="7">
        <f t="shared" ca="1" si="24"/>
        <v>0</v>
      </c>
      <c r="U97" t="e">
        <f t="shared" ca="1" si="25"/>
        <v>#N/A</v>
      </c>
      <c r="V97" t="e">
        <f t="shared" ca="1" si="26"/>
        <v>#N/A</v>
      </c>
      <c r="X97" t="e">
        <f t="shared" ca="1" si="27"/>
        <v>#N/A</v>
      </c>
      <c r="Y97" t="e">
        <f t="shared" ca="1" si="28"/>
        <v>#N/A</v>
      </c>
      <c r="AJ97">
        <v>0</v>
      </c>
      <c r="AK97">
        <v>0</v>
      </c>
      <c r="AL97">
        <v>0</v>
      </c>
      <c r="AM97">
        <v>0</v>
      </c>
      <c r="AN97">
        <v>0</v>
      </c>
      <c r="AQ97">
        <v>95</v>
      </c>
      <c r="AR97">
        <f t="shared" si="31"/>
        <v>-1.0458689129718988</v>
      </c>
      <c r="AS97">
        <f t="shared" si="32"/>
        <v>11.954336377100947</v>
      </c>
    </row>
    <row r="98" spans="1:61" x14ac:dyDescent="0.25">
      <c r="A98">
        <v>62</v>
      </c>
      <c r="B98" s="5">
        <v>0</v>
      </c>
      <c r="C98" s="1">
        <f t="shared" ca="1" si="35"/>
        <v>0</v>
      </c>
      <c r="D98" s="46">
        <f t="shared" si="14"/>
        <v>0</v>
      </c>
      <c r="E98" s="46">
        <f t="shared" si="15"/>
        <v>0</v>
      </c>
      <c r="G98" t="e">
        <f t="shared" ca="1" si="16"/>
        <v>#N/A</v>
      </c>
      <c r="H98" t="e">
        <f t="shared" ca="1" si="17"/>
        <v>#N/A</v>
      </c>
      <c r="I98" s="7">
        <f t="shared" si="18"/>
        <v>0</v>
      </c>
      <c r="J98" s="7">
        <f t="shared" si="19"/>
        <v>0</v>
      </c>
      <c r="K98">
        <f t="shared" si="20"/>
        <v>0</v>
      </c>
      <c r="L98" s="15">
        <f t="shared" ca="1" si="21"/>
        <v>0</v>
      </c>
      <c r="M98" s="9">
        <f t="shared" ca="1" si="36"/>
        <v>0</v>
      </c>
      <c r="N98" s="7">
        <f t="shared" ca="1" si="22"/>
        <v>0</v>
      </c>
      <c r="O98" s="7">
        <f t="shared" ca="1" si="23"/>
        <v>0</v>
      </c>
      <c r="P98" s="7">
        <f t="shared" ca="1" si="24"/>
        <v>0</v>
      </c>
      <c r="U98" t="e">
        <f t="shared" ca="1" si="25"/>
        <v>#N/A</v>
      </c>
      <c r="V98" t="e">
        <f t="shared" ca="1" si="26"/>
        <v>#N/A</v>
      </c>
      <c r="X98" t="e">
        <f t="shared" ca="1" si="27"/>
        <v>#N/A</v>
      </c>
      <c r="Y98" t="e">
        <f t="shared" ca="1" si="28"/>
        <v>#N/A</v>
      </c>
      <c r="AJ98">
        <v>0</v>
      </c>
      <c r="AK98">
        <v>0</v>
      </c>
      <c r="AL98">
        <v>0</v>
      </c>
      <c r="AM98">
        <v>0</v>
      </c>
      <c r="AN98">
        <v>0</v>
      </c>
      <c r="AQ98">
        <v>96</v>
      </c>
      <c r="AR98">
        <f t="shared" si="31"/>
        <v>-1.2543415592118428</v>
      </c>
      <c r="AS98">
        <f t="shared" si="32"/>
        <v>11.934262744419279</v>
      </c>
    </row>
    <row r="99" spans="1:61" x14ac:dyDescent="0.25">
      <c r="A99">
        <v>63</v>
      </c>
      <c r="B99" s="5">
        <v>0</v>
      </c>
      <c r="C99" s="1">
        <f t="shared" ca="1" si="35"/>
        <v>0</v>
      </c>
      <c r="D99" s="46">
        <f t="shared" si="14"/>
        <v>0</v>
      </c>
      <c r="E99" s="46">
        <f t="shared" si="15"/>
        <v>0</v>
      </c>
      <c r="G99" t="e">
        <f t="shared" ca="1" si="16"/>
        <v>#N/A</v>
      </c>
      <c r="H99" t="e">
        <f t="shared" ca="1" si="17"/>
        <v>#N/A</v>
      </c>
      <c r="I99" s="7">
        <f t="shared" si="18"/>
        <v>0</v>
      </c>
      <c r="J99" s="7">
        <f t="shared" si="19"/>
        <v>0</v>
      </c>
      <c r="K99">
        <f t="shared" si="20"/>
        <v>0</v>
      </c>
      <c r="L99" s="15">
        <f t="shared" ca="1" si="21"/>
        <v>0</v>
      </c>
      <c r="M99" s="9">
        <f t="shared" ca="1" si="36"/>
        <v>0</v>
      </c>
      <c r="N99" s="7">
        <f t="shared" ca="1" si="22"/>
        <v>0</v>
      </c>
      <c r="O99" s="7">
        <f t="shared" ca="1" si="23"/>
        <v>0</v>
      </c>
      <c r="P99" s="7">
        <f t="shared" ca="1" si="24"/>
        <v>0</v>
      </c>
      <c r="U99" t="e">
        <f t="shared" ca="1" si="25"/>
        <v>#N/A</v>
      </c>
      <c r="V99" t="e">
        <f t="shared" ca="1" si="26"/>
        <v>#N/A</v>
      </c>
      <c r="X99" t="e">
        <f t="shared" ca="1" si="27"/>
        <v>#N/A</v>
      </c>
      <c r="Y99" t="e">
        <f t="shared" ca="1" si="28"/>
        <v>#N/A</v>
      </c>
      <c r="AJ99">
        <v>0</v>
      </c>
      <c r="AK99">
        <v>0</v>
      </c>
      <c r="AL99">
        <v>0</v>
      </c>
      <c r="AM99">
        <v>0</v>
      </c>
      <c r="AN99">
        <v>0</v>
      </c>
      <c r="AQ99">
        <v>97</v>
      </c>
      <c r="AR99">
        <f t="shared" si="31"/>
        <v>-1.4624321208617683</v>
      </c>
      <c r="AS99">
        <f t="shared" si="32"/>
        <v>11.910553819695865</v>
      </c>
    </row>
    <row r="100" spans="1:61" x14ac:dyDescent="0.25">
      <c r="A100">
        <v>64</v>
      </c>
      <c r="B100" s="5">
        <v>0</v>
      </c>
      <c r="C100" s="1">
        <f t="shared" ca="1" si="35"/>
        <v>0</v>
      </c>
      <c r="D100" s="46">
        <f t="shared" si="14"/>
        <v>0</v>
      </c>
      <c r="E100" s="46">
        <f t="shared" si="15"/>
        <v>0</v>
      </c>
      <c r="G100" t="e">
        <f t="shared" ca="1" si="16"/>
        <v>#N/A</v>
      </c>
      <c r="H100" t="e">
        <f t="shared" ca="1" si="17"/>
        <v>#N/A</v>
      </c>
      <c r="I100" s="7">
        <f t="shared" si="18"/>
        <v>0</v>
      </c>
      <c r="J100" s="7">
        <f t="shared" si="19"/>
        <v>0</v>
      </c>
      <c r="K100">
        <f t="shared" si="20"/>
        <v>0</v>
      </c>
      <c r="L100" s="15">
        <f t="shared" ca="1" si="21"/>
        <v>0</v>
      </c>
      <c r="M100" s="9">
        <f t="shared" ca="1" si="36"/>
        <v>0</v>
      </c>
      <c r="N100" s="7">
        <f t="shared" ca="1" si="22"/>
        <v>0</v>
      </c>
      <c r="O100" s="7">
        <f t="shared" ca="1" si="23"/>
        <v>0</v>
      </c>
      <c r="P100" s="7">
        <f t="shared" ca="1" si="24"/>
        <v>0</v>
      </c>
      <c r="U100" t="e">
        <f t="shared" ca="1" si="25"/>
        <v>#N/A</v>
      </c>
      <c r="V100" t="e">
        <f t="shared" ca="1" si="26"/>
        <v>#N/A</v>
      </c>
      <c r="X100" t="e">
        <f t="shared" ca="1" si="27"/>
        <v>#N/A</v>
      </c>
      <c r="Y100" t="e">
        <f t="shared" ca="1" si="28"/>
        <v>#N/A</v>
      </c>
      <c r="AJ100">
        <v>0</v>
      </c>
      <c r="AK100">
        <v>0</v>
      </c>
      <c r="AL100">
        <v>0</v>
      </c>
      <c r="AM100">
        <v>0</v>
      </c>
      <c r="AN100">
        <v>0</v>
      </c>
      <c r="AQ100">
        <v>98</v>
      </c>
      <c r="AR100">
        <f t="shared" si="31"/>
        <v>-1.6700772115207843</v>
      </c>
      <c r="AS100">
        <f t="shared" si="32"/>
        <v>11.883216824898845</v>
      </c>
    </row>
    <row r="101" spans="1:61" x14ac:dyDescent="0.25">
      <c r="A101">
        <v>65</v>
      </c>
      <c r="B101" s="5">
        <v>0</v>
      </c>
      <c r="C101" s="1">
        <f t="shared" ref="C101:C108" ca="1" si="37">IF(A101&lt;=$B$31,OFFSET($Q$36,MATCH(B101,$Q$36:$Q$47,0)-1,2),0)</f>
        <v>0</v>
      </c>
      <c r="D101" s="46">
        <f t="shared" si="14"/>
        <v>0</v>
      </c>
      <c r="E101" s="46">
        <f t="shared" si="15"/>
        <v>0</v>
      </c>
      <c r="G101" t="e">
        <f t="shared" ca="1" si="16"/>
        <v>#N/A</v>
      </c>
      <c r="H101" t="e">
        <f t="shared" ca="1" si="17"/>
        <v>#N/A</v>
      </c>
      <c r="I101" s="7">
        <f t="shared" si="18"/>
        <v>0</v>
      </c>
      <c r="J101" s="7">
        <f t="shared" si="19"/>
        <v>0</v>
      </c>
      <c r="K101">
        <f t="shared" si="20"/>
        <v>0</v>
      </c>
      <c r="L101" s="15">
        <f t="shared" ca="1" si="21"/>
        <v>0</v>
      </c>
      <c r="M101" s="9">
        <f t="shared" ref="M101:M108" ca="1" si="38">IF(AND(L101&gt;0,K101&lt;=$B$12),MIN((L101*F$35),C$35)-IF($B$2="Whitney",$B$9,B215),MAX(L101*F$35,-1*C$35))</f>
        <v>0</v>
      </c>
      <c r="N101" s="7">
        <f t="shared" ca="1" si="22"/>
        <v>0</v>
      </c>
      <c r="O101" s="7">
        <f t="shared" ca="1" si="23"/>
        <v>0</v>
      </c>
      <c r="P101" s="7">
        <f t="shared" ca="1" si="24"/>
        <v>0</v>
      </c>
      <c r="U101" t="e">
        <f t="shared" ca="1" si="25"/>
        <v>#N/A</v>
      </c>
      <c r="V101" t="e">
        <f t="shared" ca="1" si="26"/>
        <v>#N/A</v>
      </c>
      <c r="X101" t="e">
        <f t="shared" ca="1" si="27"/>
        <v>#N/A</v>
      </c>
      <c r="Y101" t="e">
        <f t="shared" ca="1" si="28"/>
        <v>#N/A</v>
      </c>
      <c r="AJ101">
        <v>0</v>
      </c>
      <c r="AK101">
        <v>0</v>
      </c>
      <c r="AL101">
        <v>0</v>
      </c>
      <c r="AM101">
        <v>0</v>
      </c>
      <c r="AN101">
        <v>0</v>
      </c>
      <c r="AQ101">
        <v>99</v>
      </c>
      <c r="AR101">
        <f t="shared" si="31"/>
        <v>-1.8772135804827697</v>
      </c>
      <c r="AS101">
        <f t="shared" si="32"/>
        <v>11.852260087141653</v>
      </c>
    </row>
    <row r="102" spans="1:61" x14ac:dyDescent="0.25">
      <c r="A102">
        <v>66</v>
      </c>
      <c r="B102" s="5">
        <v>0</v>
      </c>
      <c r="C102" s="1">
        <f t="shared" ca="1" si="37"/>
        <v>0</v>
      </c>
      <c r="D102" s="46">
        <f t="shared" ref="D102:D108" si="39">IF($E$32*(A102-1)&gt;=360,0,($B$3-$E$31)*COS(RADIANS(($E$32*(A102-1)))))</f>
        <v>0</v>
      </c>
      <c r="E102" s="46">
        <f t="shared" ref="E102:E108" si="40">IF($E$32*(A102-1)&gt;=360,0,($B$3-$E$31)*SIN(RADIANS($E$32*(A102-1))))</f>
        <v>0</v>
      </c>
      <c r="G102" t="e">
        <f t="shared" ref="G102:G108" ca="1" si="41">IF(C102=0,NA(),D102)</f>
        <v>#N/A</v>
      </c>
      <c r="H102" t="e">
        <f t="shared" ref="H102:H108" ca="1" si="42">IF(C102=0,NA(),E102)</f>
        <v>#N/A</v>
      </c>
      <c r="I102" s="7">
        <f t="shared" ref="I102:I108" si="43">D102*COS($B$10)+E102*SIN($B$10)</f>
        <v>0</v>
      </c>
      <c r="J102" s="7">
        <f t="shared" ref="J102:J108" si="44">-1*D102*SIN($B$10)+E102*COS($B$10)</f>
        <v>0</v>
      </c>
      <c r="K102">
        <f t="shared" ref="K102:K108" si="45">IF(B102=0,0,$B$3-J102)</f>
        <v>0</v>
      </c>
      <c r="L102" s="15">
        <f t="shared" ref="L102:L108" ca="1" si="46">IF($B$11&lt;=0,-1,IF(C102=0,0,(($B$11-K102)/$B$11)*$B$13)*IF($B$11&lt;0,-1,1))</f>
        <v>0</v>
      </c>
      <c r="M102" s="9">
        <f t="shared" ca="1" si="38"/>
        <v>0</v>
      </c>
      <c r="N102" s="7">
        <f t="shared" ref="N102:N108" ca="1" si="47">M102*C102</f>
        <v>0</v>
      </c>
      <c r="O102" s="7">
        <f t="shared" ref="O102:O108" ca="1" si="48">N102*J102</f>
        <v>0</v>
      </c>
      <c r="P102" s="7">
        <f t="shared" ref="P102:P108" ca="1" si="49">N102*I102</f>
        <v>0</v>
      </c>
      <c r="U102" t="e">
        <f t="shared" ref="U102:U108" ca="1" si="50">IF(AND(N102&lt;0,C102&gt;0),D102,NA())</f>
        <v>#N/A</v>
      </c>
      <c r="V102" t="e">
        <f t="shared" ref="V102:V108" ca="1" si="51">IF(AND(N102&lt;0,C102&gt;0),E102,NA())</f>
        <v>#N/A</v>
      </c>
      <c r="X102" t="e">
        <f t="shared" ref="X102:X108" ca="1" si="52">IF(AND(N102&gt;=0,C102&gt;0),D102,NA())</f>
        <v>#N/A</v>
      </c>
      <c r="Y102" t="e">
        <f t="shared" ref="Y102:Y108" ca="1" si="53">IF(AND(N102&gt;=0,C102&gt;0),E102,NA())</f>
        <v>#N/A</v>
      </c>
      <c r="AJ102">
        <v>0</v>
      </c>
      <c r="AK102">
        <v>0</v>
      </c>
      <c r="AL102">
        <v>0</v>
      </c>
      <c r="AM102">
        <v>0</v>
      </c>
      <c r="AN102">
        <v>0</v>
      </c>
      <c r="AQ102">
        <v>100</v>
      </c>
      <c r="AR102">
        <f t="shared" si="31"/>
        <v>-2.0837781320031636</v>
      </c>
      <c r="AS102">
        <f t="shared" si="32"/>
        <v>11.817693036146496</v>
      </c>
    </row>
    <row r="103" spans="1:61" x14ac:dyDescent="0.25">
      <c r="A103">
        <v>67</v>
      </c>
      <c r="B103" s="5">
        <v>0</v>
      </c>
      <c r="C103" s="1">
        <f t="shared" ca="1" si="37"/>
        <v>0</v>
      </c>
      <c r="D103" s="46">
        <f t="shared" si="39"/>
        <v>0</v>
      </c>
      <c r="E103" s="46">
        <f t="shared" si="40"/>
        <v>0</v>
      </c>
      <c r="G103" t="e">
        <f t="shared" ca="1" si="41"/>
        <v>#N/A</v>
      </c>
      <c r="H103" t="e">
        <f t="shared" ca="1" si="42"/>
        <v>#N/A</v>
      </c>
      <c r="I103" s="7">
        <f t="shared" si="43"/>
        <v>0</v>
      </c>
      <c r="J103" s="7">
        <f t="shared" si="44"/>
        <v>0</v>
      </c>
      <c r="K103">
        <f t="shared" si="45"/>
        <v>0</v>
      </c>
      <c r="L103" s="15">
        <f t="shared" ca="1" si="46"/>
        <v>0</v>
      </c>
      <c r="M103" s="9">
        <f t="shared" ca="1" si="38"/>
        <v>0</v>
      </c>
      <c r="N103" s="7">
        <f t="shared" ca="1" si="47"/>
        <v>0</v>
      </c>
      <c r="O103" s="7">
        <f t="shared" ca="1" si="48"/>
        <v>0</v>
      </c>
      <c r="P103" s="7">
        <f t="shared" ca="1" si="49"/>
        <v>0</v>
      </c>
      <c r="U103" t="e">
        <f t="shared" ca="1" si="50"/>
        <v>#N/A</v>
      </c>
      <c r="V103" t="e">
        <f t="shared" ca="1" si="51"/>
        <v>#N/A</v>
      </c>
      <c r="X103" t="e">
        <f t="shared" ca="1" si="52"/>
        <v>#N/A</v>
      </c>
      <c r="Y103" t="e">
        <f t="shared" ca="1" si="53"/>
        <v>#N/A</v>
      </c>
      <c r="AJ103">
        <v>0</v>
      </c>
      <c r="AK103">
        <v>0</v>
      </c>
      <c r="AL103">
        <v>0</v>
      </c>
      <c r="AM103">
        <v>0</v>
      </c>
      <c r="AN103">
        <v>0</v>
      </c>
      <c r="AQ103">
        <v>101</v>
      </c>
      <c r="AR103">
        <f t="shared" si="31"/>
        <v>-2.2897079445185375</v>
      </c>
      <c r="AS103">
        <f t="shared" si="32"/>
        <v>11.779526201371969</v>
      </c>
    </row>
    <row r="104" spans="1:61" x14ac:dyDescent="0.25">
      <c r="A104">
        <v>68</v>
      </c>
      <c r="B104" s="5">
        <v>0</v>
      </c>
      <c r="C104" s="1">
        <f t="shared" ca="1" si="37"/>
        <v>0</v>
      </c>
      <c r="D104" s="46">
        <f t="shared" si="39"/>
        <v>0</v>
      </c>
      <c r="E104" s="46">
        <f t="shared" si="40"/>
        <v>0</v>
      </c>
      <c r="G104" t="e">
        <f t="shared" ca="1" si="41"/>
        <v>#N/A</v>
      </c>
      <c r="H104" t="e">
        <f t="shared" ca="1" si="42"/>
        <v>#N/A</v>
      </c>
      <c r="I104" s="7">
        <f t="shared" si="43"/>
        <v>0</v>
      </c>
      <c r="J104" s="7">
        <f t="shared" si="44"/>
        <v>0</v>
      </c>
      <c r="K104">
        <f t="shared" si="45"/>
        <v>0</v>
      </c>
      <c r="L104" s="15">
        <f t="shared" ca="1" si="46"/>
        <v>0</v>
      </c>
      <c r="M104" s="9">
        <f t="shared" ca="1" si="38"/>
        <v>0</v>
      </c>
      <c r="N104" s="7">
        <f t="shared" ca="1" si="47"/>
        <v>0</v>
      </c>
      <c r="O104" s="7">
        <f t="shared" ca="1" si="48"/>
        <v>0</v>
      </c>
      <c r="P104" s="7">
        <f t="shared" ca="1" si="49"/>
        <v>0</v>
      </c>
      <c r="U104" t="e">
        <f t="shared" ca="1" si="50"/>
        <v>#N/A</v>
      </c>
      <c r="V104" t="e">
        <f t="shared" ca="1" si="51"/>
        <v>#N/A</v>
      </c>
      <c r="X104" t="e">
        <f t="shared" ca="1" si="52"/>
        <v>#N/A</v>
      </c>
      <c r="Y104" t="e">
        <f t="shared" ca="1" si="53"/>
        <v>#N/A</v>
      </c>
      <c r="AJ104">
        <v>0</v>
      </c>
      <c r="AK104">
        <v>0</v>
      </c>
      <c r="AL104">
        <v>0</v>
      </c>
      <c r="AM104">
        <v>0</v>
      </c>
      <c r="AN104">
        <v>0</v>
      </c>
      <c r="AQ104">
        <v>102</v>
      </c>
      <c r="AR104">
        <f t="shared" si="31"/>
        <v>-2.4949402898131119</v>
      </c>
      <c r="AS104">
        <f t="shared" si="32"/>
        <v>11.737771208805668</v>
      </c>
      <c r="AV104">
        <v>1138.9324460784158</v>
      </c>
      <c r="AW104">
        <v>8.0977839223635989E-15</v>
      </c>
      <c r="AX104">
        <v>157.3244963835173</v>
      </c>
      <c r="AY104">
        <f t="shared" ref="AY104:AY105" si="54">SQRT(POWER(AW104,2)+POWER(AX104,2))</f>
        <v>157.3244963835173</v>
      </c>
      <c r="BF104">
        <v>1138.9324460784158</v>
      </c>
      <c r="BG104">
        <v>135.20650532718795</v>
      </c>
      <c r="BH104">
        <v>135.2065053271879</v>
      </c>
      <c r="BI104">
        <f t="shared" ref="BI104:BI105" si="55">SQRT(POWER(BG104,2)+POWER(BH104,2))</f>
        <v>191.21087355477928</v>
      </c>
    </row>
    <row r="105" spans="1:61" x14ac:dyDescent="0.25">
      <c r="A105">
        <v>69</v>
      </c>
      <c r="B105" s="5">
        <v>0</v>
      </c>
      <c r="C105" s="1">
        <f t="shared" ca="1" si="37"/>
        <v>0</v>
      </c>
      <c r="D105" s="46">
        <f t="shared" si="39"/>
        <v>0</v>
      </c>
      <c r="E105" s="46">
        <f t="shared" si="40"/>
        <v>0</v>
      </c>
      <c r="G105" t="e">
        <f t="shared" ca="1" si="41"/>
        <v>#N/A</v>
      </c>
      <c r="H105" t="e">
        <f t="shared" ca="1" si="42"/>
        <v>#N/A</v>
      </c>
      <c r="I105" s="7">
        <f t="shared" si="43"/>
        <v>0</v>
      </c>
      <c r="J105" s="7">
        <f t="shared" si="44"/>
        <v>0</v>
      </c>
      <c r="K105">
        <f t="shared" si="45"/>
        <v>0</v>
      </c>
      <c r="L105" s="15">
        <f t="shared" ca="1" si="46"/>
        <v>0</v>
      </c>
      <c r="M105" s="9">
        <f t="shared" ca="1" si="38"/>
        <v>0</v>
      </c>
      <c r="N105" s="7">
        <f t="shared" ca="1" si="47"/>
        <v>0</v>
      </c>
      <c r="O105" s="7">
        <f t="shared" ca="1" si="48"/>
        <v>0</v>
      </c>
      <c r="P105" s="7">
        <f t="shared" ca="1" si="49"/>
        <v>0</v>
      </c>
      <c r="U105" t="e">
        <f t="shared" ca="1" si="50"/>
        <v>#N/A</v>
      </c>
      <c r="V105" t="e">
        <f t="shared" ca="1" si="51"/>
        <v>#N/A</v>
      </c>
      <c r="X105" t="e">
        <f t="shared" ca="1" si="52"/>
        <v>#N/A</v>
      </c>
      <c r="Y105" t="e">
        <f t="shared" ca="1" si="53"/>
        <v>#N/A</v>
      </c>
      <c r="AJ105">
        <v>0</v>
      </c>
      <c r="AK105">
        <v>0</v>
      </c>
      <c r="AL105">
        <v>0</v>
      </c>
      <c r="AM105">
        <v>0</v>
      </c>
      <c r="AN105">
        <v>0</v>
      </c>
      <c r="AQ105">
        <v>103</v>
      </c>
      <c r="AR105">
        <f t="shared" si="31"/>
        <v>-2.6994126521263802</v>
      </c>
      <c r="AS105">
        <f t="shared" si="32"/>
        <v>11.692440777422823</v>
      </c>
      <c r="AV105">
        <f>AV104</f>
        <v>1138.9324460784158</v>
      </c>
      <c r="AW105">
        <v>0</v>
      </c>
      <c r="AX105">
        <v>0</v>
      </c>
      <c r="AY105">
        <f t="shared" si="54"/>
        <v>0</v>
      </c>
      <c r="BF105">
        <f>BF104</f>
        <v>1138.9324460784158</v>
      </c>
      <c r="BG105">
        <v>0</v>
      </c>
      <c r="BH105">
        <v>0</v>
      </c>
      <c r="BI105">
        <f t="shared" si="55"/>
        <v>0</v>
      </c>
    </row>
    <row r="106" spans="1:61" x14ac:dyDescent="0.25">
      <c r="A106">
        <v>70</v>
      </c>
      <c r="B106" s="5">
        <v>0</v>
      </c>
      <c r="C106" s="1">
        <f t="shared" ca="1" si="37"/>
        <v>0</v>
      </c>
      <c r="D106" s="46">
        <f t="shared" si="39"/>
        <v>0</v>
      </c>
      <c r="E106" s="46">
        <f t="shared" si="40"/>
        <v>0</v>
      </c>
      <c r="G106" t="e">
        <f t="shared" ca="1" si="41"/>
        <v>#N/A</v>
      </c>
      <c r="H106" t="e">
        <f t="shared" ca="1" si="42"/>
        <v>#N/A</v>
      </c>
      <c r="I106" s="7">
        <f t="shared" si="43"/>
        <v>0</v>
      </c>
      <c r="J106" s="7">
        <f t="shared" si="44"/>
        <v>0</v>
      </c>
      <c r="K106">
        <f t="shared" si="45"/>
        <v>0</v>
      </c>
      <c r="L106" s="15">
        <f t="shared" ca="1" si="46"/>
        <v>0</v>
      </c>
      <c r="M106" s="9">
        <f t="shared" ca="1" si="38"/>
        <v>0</v>
      </c>
      <c r="N106" s="7">
        <f t="shared" ca="1" si="47"/>
        <v>0</v>
      </c>
      <c r="O106" s="7">
        <f t="shared" ca="1" si="48"/>
        <v>0</v>
      </c>
      <c r="P106" s="7">
        <f t="shared" ca="1" si="49"/>
        <v>0</v>
      </c>
      <c r="U106" t="e">
        <f t="shared" ca="1" si="50"/>
        <v>#N/A</v>
      </c>
      <c r="V106" t="e">
        <f t="shared" ca="1" si="51"/>
        <v>#N/A</v>
      </c>
      <c r="X106" t="e">
        <f t="shared" ca="1" si="52"/>
        <v>#N/A</v>
      </c>
      <c r="Y106" t="e">
        <f t="shared" ca="1" si="53"/>
        <v>#N/A</v>
      </c>
      <c r="AJ106">
        <v>0</v>
      </c>
      <c r="AK106">
        <v>0</v>
      </c>
      <c r="AL106">
        <v>0</v>
      </c>
      <c r="AM106">
        <v>0</v>
      </c>
      <c r="AN106">
        <v>0</v>
      </c>
      <c r="AQ106">
        <v>104</v>
      </c>
      <c r="AR106">
        <f t="shared" si="31"/>
        <v>-2.9030627471960133</v>
      </c>
      <c r="AS106">
        <f t="shared" si="32"/>
        <v>11.643548715311958</v>
      </c>
    </row>
    <row r="107" spans="1:61" x14ac:dyDescent="0.25">
      <c r="A107">
        <v>71</v>
      </c>
      <c r="B107" s="5">
        <v>0</v>
      </c>
      <c r="C107" s="1">
        <f t="shared" ca="1" si="37"/>
        <v>0</v>
      </c>
      <c r="D107" s="46">
        <f t="shared" si="39"/>
        <v>0</v>
      </c>
      <c r="E107" s="46">
        <f t="shared" si="40"/>
        <v>0</v>
      </c>
      <c r="G107" t="e">
        <f t="shared" ca="1" si="41"/>
        <v>#N/A</v>
      </c>
      <c r="H107" t="e">
        <f t="shared" ca="1" si="42"/>
        <v>#N/A</v>
      </c>
      <c r="I107" s="7">
        <f t="shared" si="43"/>
        <v>0</v>
      </c>
      <c r="J107" s="7">
        <f t="shared" si="44"/>
        <v>0</v>
      </c>
      <c r="K107">
        <f t="shared" si="45"/>
        <v>0</v>
      </c>
      <c r="L107" s="15">
        <f t="shared" ca="1" si="46"/>
        <v>0</v>
      </c>
      <c r="M107" s="9">
        <f t="shared" ca="1" si="38"/>
        <v>0</v>
      </c>
      <c r="N107" s="7">
        <f t="shared" ca="1" si="47"/>
        <v>0</v>
      </c>
      <c r="O107" s="7">
        <f t="shared" ca="1" si="48"/>
        <v>0</v>
      </c>
      <c r="P107" s="7">
        <f t="shared" ca="1" si="49"/>
        <v>0</v>
      </c>
      <c r="U107" t="e">
        <f t="shared" ca="1" si="50"/>
        <v>#N/A</v>
      </c>
      <c r="V107" t="e">
        <f t="shared" ca="1" si="51"/>
        <v>#N/A</v>
      </c>
      <c r="X107" t="e">
        <f t="shared" ca="1" si="52"/>
        <v>#N/A</v>
      </c>
      <c r="Y107" t="e">
        <f t="shared" ca="1" si="53"/>
        <v>#N/A</v>
      </c>
      <c r="AJ107">
        <v>0</v>
      </c>
      <c r="AK107">
        <v>0</v>
      </c>
      <c r="AL107">
        <v>0</v>
      </c>
      <c r="AM107">
        <v>0</v>
      </c>
      <c r="AN107">
        <v>0</v>
      </c>
      <c r="AQ107">
        <v>105</v>
      </c>
      <c r="AR107">
        <f t="shared" si="31"/>
        <v>-3.1058285412302502</v>
      </c>
      <c r="AS107">
        <f t="shared" si="32"/>
        <v>11.59110991546882</v>
      </c>
    </row>
    <row r="108" spans="1:61" ht="15.75" thickBot="1" x14ac:dyDescent="0.3">
      <c r="A108">
        <v>72</v>
      </c>
      <c r="B108" s="5">
        <v>0</v>
      </c>
      <c r="C108" s="12">
        <f t="shared" ca="1" si="37"/>
        <v>0</v>
      </c>
      <c r="D108" s="46">
        <f t="shared" si="39"/>
        <v>0</v>
      </c>
      <c r="E108" s="46">
        <f t="shared" si="40"/>
        <v>0</v>
      </c>
      <c r="G108" t="e">
        <f t="shared" ca="1" si="41"/>
        <v>#N/A</v>
      </c>
      <c r="H108" t="e">
        <f t="shared" ca="1" si="42"/>
        <v>#N/A</v>
      </c>
      <c r="I108" s="7">
        <f t="shared" si="43"/>
        <v>0</v>
      </c>
      <c r="J108" s="7">
        <f t="shared" si="44"/>
        <v>0</v>
      </c>
      <c r="K108">
        <f t="shared" si="45"/>
        <v>0</v>
      </c>
      <c r="L108" s="15">
        <f t="shared" ca="1" si="46"/>
        <v>0</v>
      </c>
      <c r="M108" s="9">
        <f t="shared" ca="1" si="38"/>
        <v>0</v>
      </c>
      <c r="N108" s="7">
        <f t="shared" ca="1" si="47"/>
        <v>0</v>
      </c>
      <c r="O108" s="7">
        <f t="shared" ca="1" si="48"/>
        <v>0</v>
      </c>
      <c r="P108" s="7">
        <f t="shared" ca="1" si="49"/>
        <v>0</v>
      </c>
      <c r="U108" t="e">
        <f t="shared" ca="1" si="50"/>
        <v>#N/A</v>
      </c>
      <c r="V108" t="e">
        <f t="shared" ca="1" si="51"/>
        <v>#N/A</v>
      </c>
      <c r="X108" t="e">
        <f t="shared" ca="1" si="52"/>
        <v>#N/A</v>
      </c>
      <c r="Y108" t="e">
        <f t="shared" ca="1" si="53"/>
        <v>#N/A</v>
      </c>
      <c r="AJ108">
        <v>0</v>
      </c>
      <c r="AK108">
        <v>0</v>
      </c>
      <c r="AL108">
        <v>0</v>
      </c>
      <c r="AM108">
        <v>0</v>
      </c>
      <c r="AN108">
        <v>0</v>
      </c>
      <c r="AQ108">
        <v>106</v>
      </c>
      <c r="AR108">
        <f t="shared" si="31"/>
        <v>-3.3076482698039884</v>
      </c>
      <c r="AS108">
        <f t="shared" si="32"/>
        <v>11.535140351259827</v>
      </c>
    </row>
    <row r="109" spans="1:61" ht="15.75" thickTop="1" x14ac:dyDescent="0.25">
      <c r="C109" s="13">
        <f ca="1">SUM(C37:C108)</f>
        <v>4.8</v>
      </c>
      <c r="L109" s="15">
        <f ca="1">MIN(L37:L108)</f>
        <v>-7.6917647371827153E-3</v>
      </c>
      <c r="M109" s="9"/>
      <c r="N109" s="7">
        <f ca="1">SUM(N37:N108)</f>
        <v>-147.14154579435919</v>
      </c>
      <c r="O109" s="7">
        <f t="shared" ref="O109:P109" ca="1" si="56">SUM(O37:O108)</f>
        <v>1079.5228501425456</v>
      </c>
      <c r="P109" s="7">
        <f t="shared" ca="1" si="56"/>
        <v>-8.5265128291212022E-14</v>
      </c>
      <c r="AJ109">
        <v>0</v>
      </c>
      <c r="AK109">
        <v>0</v>
      </c>
      <c r="AL109">
        <v>0</v>
      </c>
      <c r="AM109">
        <v>0</v>
      </c>
      <c r="AN109">
        <v>0</v>
      </c>
      <c r="AQ109">
        <v>107</v>
      </c>
      <c r="AR109">
        <f t="shared" si="31"/>
        <v>-3.5084604566728399</v>
      </c>
      <c r="AS109">
        <f t="shared" si="32"/>
        <v>11.475657071556427</v>
      </c>
    </row>
    <row r="110" spans="1:61" x14ac:dyDescent="0.25">
      <c r="M110" s="9"/>
      <c r="AJ110">
        <v>0</v>
      </c>
      <c r="AK110">
        <v>0</v>
      </c>
      <c r="AL110">
        <v>0</v>
      </c>
      <c r="AM110">
        <v>0</v>
      </c>
      <c r="AN110">
        <v>0</v>
      </c>
      <c r="AQ110">
        <v>108</v>
      </c>
      <c r="AR110">
        <f t="shared" si="31"/>
        <v>-3.7082039324993681</v>
      </c>
      <c r="AS110">
        <f t="shared" si="32"/>
        <v>11.412678195541844</v>
      </c>
    </row>
    <row r="111" spans="1:61" x14ac:dyDescent="0.25">
      <c r="M111" s="9"/>
      <c r="AJ111">
        <v>0</v>
      </c>
      <c r="AK111">
        <v>0</v>
      </c>
      <c r="AL111">
        <v>0</v>
      </c>
      <c r="AM111">
        <v>0</v>
      </c>
      <c r="AN111">
        <v>0</v>
      </c>
      <c r="AQ111">
        <v>109</v>
      </c>
      <c r="AR111">
        <f t="shared" si="31"/>
        <v>-3.9068178534858795</v>
      </c>
      <c r="AS111">
        <f t="shared" si="32"/>
        <v>11.346222907191802</v>
      </c>
    </row>
    <row r="112" spans="1:61" x14ac:dyDescent="0.25">
      <c r="A112" t="s">
        <v>21</v>
      </c>
      <c r="B112" s="10">
        <f ca="1">H31+N109</f>
        <v>123.01866664271759</v>
      </c>
      <c r="M112" s="9"/>
      <c r="AJ112">
        <v>0</v>
      </c>
      <c r="AK112">
        <v>0</v>
      </c>
      <c r="AL112">
        <v>0</v>
      </c>
      <c r="AM112">
        <v>0</v>
      </c>
      <c r="AN112">
        <v>0</v>
      </c>
      <c r="AQ112">
        <v>110</v>
      </c>
      <c r="AR112">
        <f t="shared" si="31"/>
        <v>-4.1042417199080248</v>
      </c>
      <c r="AS112">
        <f t="shared" si="32"/>
        <v>11.276311449430901</v>
      </c>
    </row>
    <row r="113" spans="1:45" x14ac:dyDescent="0.25">
      <c r="A113" t="s">
        <v>56</v>
      </c>
      <c r="B113" s="10">
        <f ca="1">I31+O109</f>
        <v>3560.3879128791841</v>
      </c>
      <c r="M113" s="9"/>
      <c r="AJ113">
        <v>0</v>
      </c>
      <c r="AK113">
        <v>0</v>
      </c>
      <c r="AL113">
        <v>0</v>
      </c>
      <c r="AM113">
        <v>0</v>
      </c>
      <c r="AN113">
        <v>0</v>
      </c>
      <c r="AQ113">
        <v>111</v>
      </c>
      <c r="AR113">
        <f t="shared" si="31"/>
        <v>-4.3004153945436032</v>
      </c>
      <c r="AS113">
        <f t="shared" si="32"/>
        <v>11.202965117966421</v>
      </c>
    </row>
    <row r="114" spans="1:45" x14ac:dyDescent="0.25">
      <c r="A114" t="s">
        <v>57</v>
      </c>
      <c r="B114" s="10">
        <f ca="1">J31+P109</f>
        <v>-3.5704772471945029E-13</v>
      </c>
      <c r="M114" s="9"/>
      <c r="AJ114">
        <v>0</v>
      </c>
      <c r="AK114">
        <v>0</v>
      </c>
      <c r="AL114">
        <v>0</v>
      </c>
      <c r="AM114">
        <v>0</v>
      </c>
      <c r="AN114">
        <v>0</v>
      </c>
      <c r="AQ114">
        <v>112</v>
      </c>
      <c r="AR114">
        <f t="shared" si="31"/>
        <v>-4.4952791209909453</v>
      </c>
      <c r="AS114">
        <f t="shared" si="32"/>
        <v>11.126206254801449</v>
      </c>
    </row>
    <row r="115" spans="1:45" x14ac:dyDescent="0.25">
      <c r="M115" s="9"/>
      <c r="AJ115">
        <v>0</v>
      </c>
      <c r="AK115">
        <v>0</v>
      </c>
      <c r="AL115">
        <v>0</v>
      </c>
      <c r="AM115">
        <v>0</v>
      </c>
      <c r="AN115">
        <v>0</v>
      </c>
      <c r="AQ115">
        <v>113</v>
      </c>
      <c r="AR115">
        <f t="shared" si="31"/>
        <v>-4.688773541871285</v>
      </c>
      <c r="AS115">
        <f t="shared" si="32"/>
        <v>11.046058241429282</v>
      </c>
    </row>
    <row r="116" spans="1:45" x14ac:dyDescent="0.25">
      <c r="A116" s="2" t="s">
        <v>58</v>
      </c>
      <c r="B116">
        <f ca="1">((B113*COS(-1*B10))+(B114*SIN(-1*B10)))</f>
        <v>5.7514791223641326E-13</v>
      </c>
      <c r="C116" t="s">
        <v>59</v>
      </c>
      <c r="M116" s="9"/>
      <c r="AJ116">
        <v>0</v>
      </c>
      <c r="AK116">
        <v>0</v>
      </c>
      <c r="AL116">
        <v>0</v>
      </c>
      <c r="AM116">
        <v>0</v>
      </c>
      <c r="AN116">
        <v>0</v>
      </c>
      <c r="AQ116">
        <v>114</v>
      </c>
      <c r="AR116">
        <f t="shared" si="31"/>
        <v>-4.8808397169096036</v>
      </c>
      <c r="AS116">
        <f t="shared" si="32"/>
        <v>10.962545491711211</v>
      </c>
    </row>
    <row r="117" spans="1:45" x14ac:dyDescent="0.25">
      <c r="A117" s="2" t="s">
        <v>60</v>
      </c>
      <c r="B117">
        <f ca="1">(-1*(B113)*SIN(-1*B10))+((B114)*COS(-1*B10))</f>
        <v>3560.3879128791841</v>
      </c>
      <c r="C117" t="s">
        <v>59</v>
      </c>
      <c r="M117" s="9"/>
      <c r="AJ117">
        <v>0</v>
      </c>
      <c r="AK117">
        <v>0</v>
      </c>
      <c r="AL117">
        <v>0</v>
      </c>
      <c r="AM117">
        <v>0</v>
      </c>
      <c r="AN117">
        <v>0</v>
      </c>
      <c r="AQ117">
        <v>115</v>
      </c>
      <c r="AR117">
        <f t="shared" si="31"/>
        <v>-5.0714191408883922</v>
      </c>
      <c r="AS117">
        <f t="shared" si="32"/>
        <v>10.875693444439801</v>
      </c>
    </row>
    <row r="118" spans="1:45" x14ac:dyDescent="0.25">
      <c r="M118" s="9"/>
      <c r="AJ118">
        <v>0</v>
      </c>
      <c r="AK118">
        <v>0</v>
      </c>
      <c r="AL118">
        <v>0</v>
      </c>
      <c r="AM118">
        <v>0</v>
      </c>
      <c r="AN118">
        <v>0</v>
      </c>
      <c r="AQ118">
        <v>116</v>
      </c>
      <c r="AR118">
        <f t="shared" si="31"/>
        <v>-5.2604537614689306</v>
      </c>
      <c r="AS118">
        <f t="shared" si="32"/>
        <v>10.785528555590004</v>
      </c>
    </row>
    <row r="119" spans="1:45" x14ac:dyDescent="0.25">
      <c r="M119" s="9"/>
      <c r="AJ119">
        <v>0</v>
      </c>
      <c r="AK119">
        <v>0</v>
      </c>
      <c r="AL119">
        <v>0</v>
      </c>
      <c r="AM119">
        <v>0</v>
      </c>
      <c r="AN119">
        <v>0</v>
      </c>
      <c r="AQ119">
        <v>117</v>
      </c>
      <c r="AR119">
        <f t="shared" si="31"/>
        <v>-5.4478859968745601</v>
      </c>
      <c r="AS119">
        <f t="shared" si="32"/>
        <v>10.692078290260415</v>
      </c>
    </row>
    <row r="120" spans="1:45" x14ac:dyDescent="0.25">
      <c r="A120" t="s">
        <v>110</v>
      </c>
      <c r="M120" s="9"/>
      <c r="AJ120">
        <v>0</v>
      </c>
      <c r="AK120">
        <v>0</v>
      </c>
      <c r="AL120">
        <v>0</v>
      </c>
      <c r="AM120">
        <v>0</v>
      </c>
      <c r="AN120">
        <v>0</v>
      </c>
      <c r="AQ120">
        <v>118</v>
      </c>
      <c r="AR120">
        <f t="shared" si="31"/>
        <v>-5.6336587534306908</v>
      </c>
      <c r="AS120">
        <f t="shared" si="32"/>
        <v>10.595371114307122</v>
      </c>
    </row>
    <row r="121" spans="1:45" ht="18" x14ac:dyDescent="0.35">
      <c r="A121" t="s">
        <v>88</v>
      </c>
      <c r="B121" t="s">
        <v>89</v>
      </c>
      <c r="M121" s="9"/>
      <c r="AJ121">
        <v>0</v>
      </c>
      <c r="AK121">
        <v>0</v>
      </c>
      <c r="AL121">
        <v>0</v>
      </c>
      <c r="AM121">
        <v>0</v>
      </c>
      <c r="AN121">
        <v>0</v>
      </c>
      <c r="AQ121">
        <v>119</v>
      </c>
      <c r="AR121">
        <f t="shared" si="31"/>
        <v>-5.817715442956044</v>
      </c>
      <c r="AS121">
        <f t="shared" si="32"/>
        <v>10.49543648567275</v>
      </c>
    </row>
    <row r="122" spans="1:45" ht="18" x14ac:dyDescent="0.35">
      <c r="A122" t="s">
        <v>90</v>
      </c>
      <c r="B122" t="s">
        <v>91</v>
      </c>
      <c r="M122" s="9"/>
      <c r="AJ122">
        <v>0</v>
      </c>
      <c r="AK122">
        <v>0</v>
      </c>
      <c r="AL122">
        <v>0</v>
      </c>
      <c r="AM122">
        <v>0</v>
      </c>
      <c r="AN122">
        <v>0</v>
      </c>
      <c r="AQ122">
        <v>120</v>
      </c>
      <c r="AR122">
        <f t="shared" si="31"/>
        <v>-5.9999999999999973</v>
      </c>
      <c r="AS122">
        <f t="shared" si="32"/>
        <v>10.392304845413264</v>
      </c>
    </row>
    <row r="123" spans="1:45" ht="18" x14ac:dyDescent="0.35">
      <c r="A123" t="s">
        <v>92</v>
      </c>
      <c r="M123" s="9"/>
      <c r="AJ123">
        <v>0</v>
      </c>
      <c r="AK123">
        <v>0</v>
      </c>
      <c r="AL123">
        <v>0</v>
      </c>
      <c r="AM123">
        <v>0</v>
      </c>
      <c r="AN123">
        <v>0</v>
      </c>
      <c r="AQ123">
        <v>121</v>
      </c>
      <c r="AR123">
        <f t="shared" si="31"/>
        <v>-6.1804568989206512</v>
      </c>
      <c r="AS123">
        <f t="shared" si="32"/>
        <v>10.286007608425347</v>
      </c>
    </row>
    <row r="124" spans="1:45" ht="18.75" x14ac:dyDescent="0.35">
      <c r="A124" t="s">
        <v>93</v>
      </c>
      <c r="B124" t="s">
        <v>94</v>
      </c>
      <c r="M124" s="9"/>
      <c r="AJ124">
        <v>0</v>
      </c>
      <c r="AK124">
        <v>0</v>
      </c>
      <c r="AL124">
        <v>0</v>
      </c>
      <c r="AM124">
        <v>0</v>
      </c>
      <c r="AN124">
        <v>0</v>
      </c>
      <c r="AQ124">
        <v>122</v>
      </c>
      <c r="AR124">
        <f t="shared" si="31"/>
        <v>-6.3590311707984579</v>
      </c>
      <c r="AS124">
        <f t="shared" si="32"/>
        <v>10.176577153877112</v>
      </c>
    </row>
    <row r="125" spans="1:45" x14ac:dyDescent="0.25">
      <c r="M125" s="9"/>
      <c r="AJ125">
        <v>0</v>
      </c>
      <c r="AK125">
        <v>0</v>
      </c>
      <c r="AL125">
        <v>0</v>
      </c>
      <c r="AM125">
        <v>0</v>
      </c>
      <c r="AN125">
        <v>0</v>
      </c>
      <c r="AQ125">
        <v>123</v>
      </c>
      <c r="AR125">
        <f t="shared" si="31"/>
        <v>-6.5356684201803255</v>
      </c>
      <c r="AS125">
        <f t="shared" si="32"/>
        <v>10.064046815345087</v>
      </c>
    </row>
    <row r="126" spans="1:45" x14ac:dyDescent="0.25">
      <c r="A126" t="s">
        <v>95</v>
      </c>
      <c r="B126" s="4">
        <f>B5*1000</f>
        <v>5000</v>
      </c>
      <c r="C126" t="s">
        <v>96</v>
      </c>
      <c r="M126" s="9"/>
      <c r="AJ126">
        <v>0</v>
      </c>
      <c r="AK126">
        <v>0</v>
      </c>
      <c r="AL126">
        <v>0</v>
      </c>
      <c r="AM126">
        <v>0</v>
      </c>
      <c r="AN126">
        <v>0</v>
      </c>
      <c r="AQ126">
        <v>124</v>
      </c>
      <c r="AR126">
        <f t="shared" si="31"/>
        <v>-6.7103148416489606</v>
      </c>
      <c r="AS126">
        <f t="shared" si="32"/>
        <v>9.9484508706605013</v>
      </c>
    </row>
    <row r="127" spans="1:45" x14ac:dyDescent="0.25">
      <c r="A127" t="s">
        <v>3</v>
      </c>
      <c r="B127" s="4">
        <f>B7*1000</f>
        <v>4074280.688047891</v>
      </c>
      <c r="C127" t="s">
        <v>96</v>
      </c>
      <c r="M127" s="9"/>
      <c r="AJ127">
        <v>0</v>
      </c>
      <c r="AK127">
        <v>0</v>
      </c>
      <c r="AL127">
        <v>0</v>
      </c>
      <c r="AM127">
        <v>0</v>
      </c>
      <c r="AN127">
        <v>0</v>
      </c>
      <c r="AQ127">
        <v>125</v>
      </c>
      <c r="AR127">
        <f t="shared" si="31"/>
        <v>-6.8829172362125544</v>
      </c>
      <c r="AS127">
        <f t="shared" si="32"/>
        <v>9.8298245314678994</v>
      </c>
    </row>
    <row r="128" spans="1:45" ht="18" x14ac:dyDescent="0.35">
      <c r="A128" t="s">
        <v>88</v>
      </c>
      <c r="B128" s="1">
        <f>(2*0.85*B126)/B127</f>
        <v>2.0862578331765852E-3</v>
      </c>
      <c r="C128" t="s">
        <v>97</v>
      </c>
      <c r="M128" s="9"/>
      <c r="AJ128">
        <v>0</v>
      </c>
      <c r="AK128">
        <v>0</v>
      </c>
      <c r="AL128">
        <v>0</v>
      </c>
      <c r="AM128">
        <v>0</v>
      </c>
      <c r="AN128">
        <v>0</v>
      </c>
      <c r="AQ128">
        <v>126</v>
      </c>
      <c r="AR128">
        <f t="shared" si="31"/>
        <v>-7.0534230275096768</v>
      </c>
      <c r="AS128">
        <f t="shared" si="32"/>
        <v>9.7082039324993694</v>
      </c>
    </row>
    <row r="129" spans="1:45" ht="18" x14ac:dyDescent="0.35">
      <c r="A129" t="s">
        <v>98</v>
      </c>
      <c r="B129" s="1">
        <v>3.0000000000000001E-3</v>
      </c>
      <c r="C129" t="s">
        <v>97</v>
      </c>
      <c r="M129" s="9"/>
      <c r="AJ129">
        <v>0</v>
      </c>
      <c r="AK129">
        <v>0</v>
      </c>
      <c r="AL129">
        <v>0</v>
      </c>
      <c r="AM129">
        <v>0</v>
      </c>
      <c r="AN129">
        <v>0</v>
      </c>
      <c r="AQ129">
        <v>127</v>
      </c>
      <c r="AR129">
        <f t="shared" si="31"/>
        <v>-7.2217802778245801</v>
      </c>
      <c r="AS129">
        <f t="shared" si="32"/>
        <v>9.5836261205675122</v>
      </c>
    </row>
    <row r="130" spans="1:45" ht="18" x14ac:dyDescent="0.35">
      <c r="A130" t="s">
        <v>99</v>
      </c>
      <c r="B130" s="1">
        <f>B129/B128</f>
        <v>1.4379814193110203</v>
      </c>
      <c r="C130" t="s">
        <v>100</v>
      </c>
      <c r="M130" s="9"/>
      <c r="AJ130">
        <v>0</v>
      </c>
      <c r="AK130">
        <v>0</v>
      </c>
      <c r="AL130">
        <v>0</v>
      </c>
      <c r="AM130">
        <v>0</v>
      </c>
      <c r="AN130">
        <v>0</v>
      </c>
      <c r="AQ130">
        <v>128</v>
      </c>
      <c r="AR130">
        <f t="shared" si="31"/>
        <v>-7.3879377039078999</v>
      </c>
      <c r="AS130">
        <f t="shared" si="32"/>
        <v>9.4561290432806651</v>
      </c>
    </row>
    <row r="131" spans="1:45" ht="18" x14ac:dyDescent="0.35">
      <c r="A131" t="s">
        <v>101</v>
      </c>
      <c r="B131" s="7">
        <f>B3</f>
        <v>12</v>
      </c>
      <c r="C131" t="s">
        <v>0</v>
      </c>
      <c r="M131" s="9"/>
      <c r="AJ131">
        <v>0</v>
      </c>
      <c r="AK131">
        <v>0</v>
      </c>
      <c r="AL131">
        <v>0</v>
      </c>
      <c r="AM131">
        <v>0</v>
      </c>
      <c r="AN131">
        <v>0</v>
      </c>
      <c r="AQ131">
        <v>129</v>
      </c>
      <c r="AR131">
        <f t="shared" ref="AR131:AR194" si="57">$B$3*COS(RADIANS(AQ131))</f>
        <v>-7.5518446925980474</v>
      </c>
      <c r="AS131">
        <f t="shared" ref="AS131:AS194" si="58">$B$3*SIN(RADIANS(AQ131))</f>
        <v>9.3257515374836526</v>
      </c>
    </row>
    <row r="132" spans="1:45" x14ac:dyDescent="0.25">
      <c r="B132" s="1"/>
      <c r="M132" s="9"/>
      <c r="AJ132">
        <v>0</v>
      </c>
      <c r="AK132">
        <v>0</v>
      </c>
      <c r="AL132">
        <v>0</v>
      </c>
      <c r="AM132">
        <v>0</v>
      </c>
      <c r="AN132">
        <v>0</v>
      </c>
      <c r="AQ132">
        <v>130</v>
      </c>
      <c r="AR132">
        <f t="shared" si="57"/>
        <v>-7.7134513162384728</v>
      </c>
      <c r="AS132">
        <f t="shared" si="58"/>
        <v>9.1925333174277366</v>
      </c>
    </row>
    <row r="133" spans="1:45" x14ac:dyDescent="0.25">
      <c r="A133" t="s">
        <v>102</v>
      </c>
      <c r="B133" s="9">
        <f>B11</f>
        <v>5.9449961313635065</v>
      </c>
      <c r="C133" t="s">
        <v>0</v>
      </c>
      <c r="D133" t="s">
        <v>103</v>
      </c>
      <c r="J133" s="1" t="s">
        <v>114</v>
      </c>
      <c r="K133" t="s">
        <v>115</v>
      </c>
      <c r="M133" s="9"/>
      <c r="AJ133">
        <v>0</v>
      </c>
      <c r="AK133">
        <v>0</v>
      </c>
      <c r="AL133">
        <v>0</v>
      </c>
      <c r="AM133">
        <v>0</v>
      </c>
      <c r="AN133">
        <v>0</v>
      </c>
      <c r="AQ133">
        <v>131</v>
      </c>
      <c r="AR133">
        <f t="shared" si="57"/>
        <v>-7.8727083478860855</v>
      </c>
      <c r="AS133">
        <f t="shared" si="58"/>
        <v>9.0565149626732655</v>
      </c>
    </row>
    <row r="134" spans="1:45" ht="18" x14ac:dyDescent="0.35">
      <c r="A134" t="s">
        <v>104</v>
      </c>
      <c r="B134" s="1">
        <f>(((B128/B129)*B133)-B133)*-1</f>
        <v>1.8107312156096365</v>
      </c>
      <c r="C134" t="s">
        <v>0</v>
      </c>
      <c r="D134" t="s">
        <v>105</v>
      </c>
      <c r="M134" s="9"/>
      <c r="AJ134">
        <v>0</v>
      </c>
      <c r="AK134">
        <v>0</v>
      </c>
      <c r="AL134">
        <v>0</v>
      </c>
      <c r="AM134">
        <v>0</v>
      </c>
      <c r="AN134">
        <v>0</v>
      </c>
      <c r="AQ134">
        <v>132</v>
      </c>
      <c r="AR134">
        <f t="shared" si="57"/>
        <v>-8.0295672763062989</v>
      </c>
      <c r="AS134">
        <f t="shared" si="58"/>
        <v>8.9177379057287318</v>
      </c>
    </row>
    <row r="135" spans="1:45" x14ac:dyDescent="0.25">
      <c r="A135" t="s">
        <v>106</v>
      </c>
      <c r="B135" s="1">
        <f>B131-B134</f>
        <v>10.189268784390364</v>
      </c>
      <c r="C135" t="s">
        <v>0</v>
      </c>
      <c r="D135" t="s">
        <v>107</v>
      </c>
      <c r="J135">
        <f>IF(B11&lt;=0,0,IF(B135&lt;(-1*$B$3),0,SQRT(POWER($B$3,2)-POWER(B135,2))))</f>
        <v>6.3386750697167074</v>
      </c>
      <c r="K135">
        <f>-1*J135</f>
        <v>-6.3386750697167074</v>
      </c>
      <c r="M135" s="9"/>
      <c r="AJ135">
        <v>0</v>
      </c>
      <c r="AK135">
        <v>0</v>
      </c>
      <c r="AL135">
        <v>0</v>
      </c>
      <c r="AM135">
        <v>0</v>
      </c>
      <c r="AN135">
        <v>0</v>
      </c>
      <c r="AQ135">
        <v>133</v>
      </c>
      <c r="AR135">
        <f t="shared" si="57"/>
        <v>-8.1839803207499813</v>
      </c>
      <c r="AS135">
        <f t="shared" si="58"/>
        <v>8.7762444194300464</v>
      </c>
    </row>
    <row r="136" spans="1:45" x14ac:dyDescent="0.25">
      <c r="A136" t="s">
        <v>108</v>
      </c>
      <c r="B136" s="1">
        <f>B131-B133</f>
        <v>6.0550038686364935</v>
      </c>
      <c r="C136" t="s">
        <v>0</v>
      </c>
      <c r="D136" t="s">
        <v>109</v>
      </c>
      <c r="J136">
        <f>IF(B11&lt;=0,0,IF(B136&lt;(-1*$B$3),0,SQRT(POWER($B$3,2)-POWER(B136,2))))</f>
        <v>10.360353669194749</v>
      </c>
      <c r="K136">
        <f>-1*J136</f>
        <v>-10.360353669194749</v>
      </c>
      <c r="M136" s="9"/>
      <c r="AJ136">
        <v>0</v>
      </c>
      <c r="AK136">
        <v>0</v>
      </c>
      <c r="AL136">
        <v>0</v>
      </c>
      <c r="AM136">
        <v>0</v>
      </c>
      <c r="AN136">
        <v>0</v>
      </c>
      <c r="AQ136">
        <v>134</v>
      </c>
      <c r="AR136">
        <f t="shared" si="57"/>
        <v>-8.3359004455079688</v>
      </c>
      <c r="AS136">
        <f t="shared" si="58"/>
        <v>8.632077604063813</v>
      </c>
    </row>
    <row r="137" spans="1:45" x14ac:dyDescent="0.25">
      <c r="B137" s="9"/>
      <c r="M137" s="9"/>
      <c r="AJ137">
        <v>0</v>
      </c>
      <c r="AK137">
        <v>0</v>
      </c>
      <c r="AL137">
        <v>0</v>
      </c>
      <c r="AM137">
        <v>0</v>
      </c>
      <c r="AN137">
        <v>0</v>
      </c>
      <c r="AQ137">
        <v>135</v>
      </c>
      <c r="AR137">
        <f t="shared" si="57"/>
        <v>-8.4852813742385695</v>
      </c>
      <c r="AS137">
        <f t="shared" si="58"/>
        <v>8.4852813742385713</v>
      </c>
    </row>
    <row r="138" spans="1:45" x14ac:dyDescent="0.25">
      <c r="M138" s="9"/>
      <c r="AJ138">
        <v>0</v>
      </c>
      <c r="AK138">
        <v>0</v>
      </c>
      <c r="AL138">
        <v>0</v>
      </c>
      <c r="AM138">
        <v>0</v>
      </c>
      <c r="AN138">
        <v>0</v>
      </c>
      <c r="AQ138">
        <v>136</v>
      </c>
      <c r="AR138">
        <f t="shared" si="57"/>
        <v>-8.6320776040638147</v>
      </c>
      <c r="AS138">
        <f t="shared" si="58"/>
        <v>8.3359004455079653</v>
      </c>
    </row>
    <row r="139" spans="1:45" ht="15.75" thickBot="1" x14ac:dyDescent="0.3">
      <c r="A139" t="s">
        <v>111</v>
      </c>
      <c r="E139" t="s">
        <v>126</v>
      </c>
      <c r="J139" s="1"/>
      <c r="K139" s="1"/>
      <c r="L139" s="1" t="s">
        <v>117</v>
      </c>
      <c r="M139" s="9"/>
      <c r="N139" s="1"/>
      <c r="O139" s="1" t="s">
        <v>118</v>
      </c>
      <c r="P139" s="1"/>
      <c r="Q139" s="1"/>
      <c r="R139" s="1" t="s">
        <v>119</v>
      </c>
      <c r="S139" s="1"/>
      <c r="AJ139">
        <v>0</v>
      </c>
      <c r="AK139">
        <v>0</v>
      </c>
      <c r="AL139">
        <v>0</v>
      </c>
      <c r="AM139">
        <v>0</v>
      </c>
      <c r="AN139">
        <v>0</v>
      </c>
      <c r="AQ139">
        <v>137</v>
      </c>
      <c r="AR139">
        <f t="shared" si="57"/>
        <v>-8.7762444194300464</v>
      </c>
      <c r="AS139">
        <f t="shared" si="58"/>
        <v>8.1839803207499831</v>
      </c>
    </row>
    <row r="140" spans="1:45" x14ac:dyDescent="0.25">
      <c r="A140" t="s">
        <v>112</v>
      </c>
      <c r="B140">
        <f>ATAN2(J136,B136)</f>
        <v>0.52889966172811864</v>
      </c>
      <c r="C140" t="s">
        <v>17</v>
      </c>
      <c r="D140">
        <f>B140/(2*PI())</f>
        <v>8.4176995563661414E-2</v>
      </c>
      <c r="E140" s="1" t="s">
        <v>122</v>
      </c>
      <c r="F140" s="1">
        <f>((-2*B129*0.85*B126*B136)/(B133*B128))-((POWER(B129,2)*0.85*B126*POWER(B136,2))/(POWER(B133,2)*POWER(B128,2)))</f>
        <v>-21565.370572574946</v>
      </c>
      <c r="G140" s="1"/>
      <c r="I140" t="s">
        <v>127</v>
      </c>
      <c r="J140" s="1">
        <f>((-1*F142*POWER(B3,4)*SIN(8*PI()*D140))/32)+((F140*POWER(B3,2)*SIN(4*PI()*D140))/4)-((F141*POWER(B3,3)*POWER(COS(2*PI()*D140),3))/3)+((PI()*F142*POWER(B3,4)*D140)/4)+(PI()*F140*POWER(B3,2)*D140)</f>
        <v>-3579036.6639507827</v>
      </c>
      <c r="K140" s="1">
        <f>((-1*F142*POWER(B3,4)*SIN(8*PI()*D145))/32)+((F140*POWER(B3,2)*SIN(4*PI()*D145))/4)-((F141*POWER(B3,3)*POWER(COS(2*PI()*D145),3))/3)+((PI()*F142*POWER(B3,4)*D145)/4)+(PI()*F140*POWER(B3,2)*D145)</f>
        <v>-3482955.0328489402</v>
      </c>
      <c r="L140" s="19">
        <f>K140-J140</f>
        <v>96081.631101842504</v>
      </c>
      <c r="M140" s="9">
        <f>((-1*F141*POWER(B3,4)*SIN(8*PI()*D140))/32)+((F142*POWER(B3,5)*POWER(COS(2*PI()*D140),5))/5)-((F142*POWER(B3,5)*POWER(COS(2*PI()*D140),3))/3)-((F140*POWER(B3,3)*POWER(COS(2*PI()*D140),3))/3)+((PI()*F141*POWER(B3,4)*D140)/4)</f>
        <v>19468987.38651824</v>
      </c>
      <c r="N140" s="1">
        <f>((-1*F141*POWER(B3,4)*SIN(8*PI()*D145))/32)+((F142*POWER(B3,5)*POWER(COS(2*PI()*D145),5))/5)-((F142*POWER(B3,5)*POWER(COS(2*PI()*D145),3))/3)-((F140*POWER(B3,3)*POWER(COS(2*PI()*D145),3))/3)+((PI()*F141*POWER(B3,4)*D145)/4)</f>
        <v>20286889.520862196</v>
      </c>
      <c r="O140" s="42">
        <f>N140-M140</f>
        <v>817902.13434395567</v>
      </c>
      <c r="P140" s="1">
        <f>(((-1*F142*POWER(B3,5)*POWER(SIN(2*PI()*D140),5))/5)-((F141*POWER(B3,4)*POWER(SIN(2*PI()*D140),4))/4)+((F142*POWER(B3,5)*POWER(SIN(2*PI()*D140),3))/3)-((F140*POWER(B3,3)*POWER(SIN(2*PI()*D140),3))/3)+((F141*POWER(B3,4)*POWER(SIN(2*PI()*D140),2))/2)+(F140*POWER(B3,3)*SIN(2*PI()*D140)))*0.5</f>
        <v>-3889547.1950494908</v>
      </c>
      <c r="Q140" s="1">
        <f>(((-1*F142*POWER(B3,5)*POWER(SIN(2*PI()*D145),5))/5)-((F141*POWER(B3,4)*POWER(SIN(2*PI()*D145),4))/4)+((F142*POWER(B3,5)*POWER(SIN(2*PI()*D145),3))/3)-((F140*POWER(B3,3)*POWER(SIN(2*PI()*D145),3))/3)+((F141*POWER(B3,4)*POWER(SIN(2*PI()*D145),2))/2)+(F140*POWER(B3,3)*SIN(2*PI()*D145)))*0.5</f>
        <v>-3489205.0249362122</v>
      </c>
      <c r="R140" s="19">
        <f>Q140-P140</f>
        <v>400342.17011327855</v>
      </c>
      <c r="S140" s="1"/>
      <c r="AJ140">
        <v>0</v>
      </c>
      <c r="AK140">
        <v>0</v>
      </c>
      <c r="AL140">
        <v>0</v>
      </c>
      <c r="AM140">
        <v>0</v>
      </c>
      <c r="AN140">
        <v>0</v>
      </c>
      <c r="AQ140">
        <v>138</v>
      </c>
      <c r="AR140">
        <f t="shared" si="57"/>
        <v>-8.9177379057287283</v>
      </c>
      <c r="AS140">
        <f t="shared" si="58"/>
        <v>8.0295672763063006</v>
      </c>
    </row>
    <row r="141" spans="1:45" x14ac:dyDescent="0.25">
      <c r="A141" t="s">
        <v>113</v>
      </c>
      <c r="B141">
        <f>IF(B140&lt;0,(2*PI())+ATAN2(K136,B136),ATAN2(K136,B136))</f>
        <v>2.6126929918616746</v>
      </c>
      <c r="C141" t="s">
        <v>17</v>
      </c>
      <c r="D141">
        <f>B141/(2*PI())</f>
        <v>0.41582300443633857</v>
      </c>
      <c r="E141" s="1" t="s">
        <v>123</v>
      </c>
      <c r="F141" s="1">
        <f>((2*POWER(B129,2)*0.85*B126*B136)/(POWER(B133,2)*POWER(B128,2)))+((2*B129*0.85*B126)/(B133*B128))</f>
        <v>5067.1684335431946</v>
      </c>
      <c r="G141" s="1" t="s">
        <v>14</v>
      </c>
      <c r="I141" t="s">
        <v>128</v>
      </c>
      <c r="J141" s="1">
        <f>((-1*F142*POWER(B3,4)*SIN(8*PI()*D146))/32)+((F140*POWER(B3,2)*SIN(4*PI()*D146))/4)-((F141*POWER(B3,3)*POWER(COS(2*PI()*D146),3))/3)+((PI()*F142*POWER(B3,4)*D146)/4)+(PI()*F140*POWER(B3,2)*D146)</f>
        <v>-3419793.8568158811</v>
      </c>
      <c r="K141" s="1">
        <f>((-1*F142*POWER(B3,4)*SIN(8*PI()*D141))/32)+((F140*POWER(B3,2)*SIN(4*PI()*D141))/4)-((F141*POWER(B3,3)*POWER(COS(2*PI()*D141),3))/3)+((PI()*F142*POWER(B3,4)*D141)/4)+(PI()*F140*POWER(B3,2)*D141)</f>
        <v>-3323712.2257140391</v>
      </c>
      <c r="L141" s="41">
        <f>K141-J141</f>
        <v>96081.631101842038</v>
      </c>
      <c r="M141" s="9">
        <f>((-1*F141*POWER(B3,4)*SIN(8*PI()*D146))/32)+((F142*POWER(B3,5)*POWER(COS(2*PI()*D146),5))/5)-((F142*POWER(B3,5)*POWER(COS(2*PI()*D146),3))/3)-((F140*POWER(B3,3)*POWER(COS(2*PI()*D146),3))/3)+((PI()*F141*POWER(B3,4)*D146)/4)</f>
        <v>20975104.371970877</v>
      </c>
      <c r="N141" s="1">
        <f>((-1*F141*POWER(B3,4)*SIN(8*PI()*D141))/32)+((F142*POWER(B3,5)*POWER(COS(2*PI()*D141),5))/5)-((F142*POWER(B3,5)*POWER(COS(2*PI()*D141),3))/3)-((F140*POWER(B3,3)*POWER(COS(2*PI()*D141),3))/3)+((PI()*F141*POWER(B3,4)*D141)/4)</f>
        <v>21793006.506314836</v>
      </c>
      <c r="O141" s="43">
        <f>N141-M141</f>
        <v>817902.13434395939</v>
      </c>
      <c r="P141" s="1">
        <f>(((-1*F142*POWER(B3,5)*POWER(SIN(2*PI()*D146),5))/5)-((F141*POWER(B3,4)*POWER(SIN(2*PI()*D146),4))/4)+((F142*POWER(B3,5)*POWER(SIN(2*PI()*D146),3))/3)-((F140*POWER(B3,3)*POWER(SIN(2*PI()*D146),3))/3)+((F141*POWER(B3,4)*POWER(SIN(2*PI()*D146),2))/2)+(F140*POWER(B3,3)*SIN(2*PI()*D146)))*0.5</f>
        <v>-3489205.0249362122</v>
      </c>
      <c r="Q141" s="1">
        <f>(((-1*F142*POWER(B3,5)*POWER(SIN(2*PI()*D141),5))/5)-((F141*POWER(B3,4)*POWER(SIN(2*PI()*D141),4))/4)+((F142*POWER(B3,5)*POWER(SIN(2*PI()*D141),3))/3)-((F140*POWER(B3,3)*POWER(SIN(2*PI()*D141),3))/3)+((F141*POWER(B3,4)*POWER(SIN(2*PI()*D141),2))/2)+(F140*POWER(B3,3)*SIN(2*PI()*D141)))*0.5</f>
        <v>-3889547.1950494908</v>
      </c>
      <c r="R141" s="41">
        <f>Q141-P141</f>
        <v>-400342.17011327855</v>
      </c>
      <c r="S141" s="1"/>
      <c r="AJ141">
        <v>0</v>
      </c>
      <c r="AK141">
        <v>0</v>
      </c>
      <c r="AL141">
        <v>0</v>
      </c>
      <c r="AM141">
        <v>0</v>
      </c>
      <c r="AN141">
        <v>0</v>
      </c>
      <c r="AQ141">
        <v>139</v>
      </c>
      <c r="AR141">
        <f t="shared" si="57"/>
        <v>-9.0565149626732637</v>
      </c>
      <c r="AS141">
        <f t="shared" si="58"/>
        <v>7.8727083478860873</v>
      </c>
    </row>
    <row r="142" spans="1:45" x14ac:dyDescent="0.25">
      <c r="E142" s="1" t="s">
        <v>124</v>
      </c>
      <c r="F142" s="1">
        <f>(-1*POWER(B129,2)*0.85*B126)/(POWER(B133,2)*POWER(B128,2))</f>
        <v>-248.65221149656662</v>
      </c>
      <c r="G142" s="9" t="s">
        <v>125</v>
      </c>
      <c r="J142" s="1"/>
      <c r="K142" s="1"/>
      <c r="L142" s="41">
        <f>L140+L141</f>
        <v>192163.26220368454</v>
      </c>
      <c r="M142" s="9"/>
      <c r="N142" s="1"/>
      <c r="O142" s="43">
        <f>O140+O141</f>
        <v>1635804.2686879151</v>
      </c>
      <c r="P142" s="1"/>
      <c r="Q142" s="1"/>
      <c r="R142" s="41">
        <f>R140+R141</f>
        <v>0</v>
      </c>
      <c r="S142" s="1"/>
      <c r="AJ142">
        <v>0</v>
      </c>
      <c r="AK142">
        <v>0</v>
      </c>
      <c r="AL142">
        <v>0</v>
      </c>
      <c r="AM142">
        <v>0</v>
      </c>
      <c r="AN142">
        <v>0</v>
      </c>
      <c r="AQ142">
        <v>140</v>
      </c>
      <c r="AR142">
        <f t="shared" si="57"/>
        <v>-9.1925333174277348</v>
      </c>
      <c r="AS142">
        <f t="shared" si="58"/>
        <v>7.7134513162384737</v>
      </c>
    </row>
    <row r="143" spans="1:45" x14ac:dyDescent="0.25">
      <c r="F143" s="1">
        <f>F140+(F141*B136)+(F142*(POWER(B136,2)))</f>
        <v>0</v>
      </c>
      <c r="J143" s="1"/>
      <c r="K143" s="1"/>
      <c r="L143" s="41"/>
      <c r="M143" s="9"/>
      <c r="N143" s="1"/>
      <c r="O143" s="41"/>
      <c r="P143" s="1"/>
      <c r="Q143" s="1"/>
      <c r="R143" s="41"/>
      <c r="S143" s="1"/>
      <c r="AJ143">
        <v>0</v>
      </c>
      <c r="AK143">
        <v>0</v>
      </c>
      <c r="AL143">
        <v>0</v>
      </c>
      <c r="AM143">
        <v>0</v>
      </c>
      <c r="AN143">
        <v>0</v>
      </c>
      <c r="AQ143">
        <v>141</v>
      </c>
      <c r="AR143">
        <f t="shared" si="57"/>
        <v>-9.3257515374836508</v>
      </c>
      <c r="AS143">
        <f t="shared" si="58"/>
        <v>7.5518446925980491</v>
      </c>
    </row>
    <row r="144" spans="1:45" x14ac:dyDescent="0.25">
      <c r="A144" t="s">
        <v>116</v>
      </c>
      <c r="B144" s="1"/>
      <c r="C144" s="1"/>
      <c r="E144" s="1"/>
      <c r="F144" s="1">
        <f>F140+(F141*B135)+(F142*POWER(B135,2))</f>
        <v>4250</v>
      </c>
      <c r="G144" s="1"/>
      <c r="H144" s="1"/>
      <c r="I144" s="1"/>
      <c r="J144" s="1"/>
      <c r="K144" s="1"/>
      <c r="L144" s="41"/>
      <c r="M144" s="1"/>
      <c r="N144" s="1"/>
      <c r="O144" s="41"/>
      <c r="P144" s="1"/>
      <c r="Q144" s="1"/>
      <c r="R144" s="41"/>
      <c r="S144" s="1"/>
      <c r="AJ144">
        <v>0</v>
      </c>
      <c r="AK144">
        <v>0</v>
      </c>
      <c r="AL144">
        <v>0</v>
      </c>
      <c r="AM144">
        <v>0</v>
      </c>
      <c r="AN144">
        <v>0</v>
      </c>
      <c r="AQ144">
        <v>142</v>
      </c>
      <c r="AR144">
        <f t="shared" si="57"/>
        <v>-9.4561290432806633</v>
      </c>
      <c r="AS144">
        <f t="shared" si="58"/>
        <v>7.3879377039079008</v>
      </c>
    </row>
    <row r="145" spans="1:45" x14ac:dyDescent="0.25">
      <c r="A145" t="s">
        <v>112</v>
      </c>
      <c r="B145">
        <f>ATAN2(J135,B135)</f>
        <v>1.0142900085107174</v>
      </c>
      <c r="C145" t="s">
        <v>17</v>
      </c>
      <c r="D145">
        <f>B145/(2*PI())</f>
        <v>0.16142926858320128</v>
      </c>
      <c r="E145" s="1"/>
      <c r="F145" s="1"/>
      <c r="G145" s="1"/>
      <c r="J145" s="1">
        <f>(0.2125*B126*POWER(B3,2)*SIN(4*PI()*D145))+(0.85*PI()*B126*POWER(B3,2)*D145)</f>
        <v>447618.97865157749</v>
      </c>
      <c r="K145" s="1">
        <f>(0.2125*B126*POWER(B3,2)*SIN(4*PI()*D146))+(0.85*PI()*B126*POWER(B3,2)*D146)</f>
        <v>513708.37334689917</v>
      </c>
      <c r="L145" s="41">
        <f>K145-J145</f>
        <v>66089.39469532168</v>
      </c>
      <c r="M145" s="9">
        <f>(-1*17*B126*POWER(B3,3)*POWER(COS(2*PI()*D145),3))/60</f>
        <v>-360797.18840100506</v>
      </c>
      <c r="N145" s="1">
        <f>(-1*17*B126*POWER(B3,3)*POWER(COS(2*PI()*D146),3))/60</f>
        <v>360797.18840100488</v>
      </c>
      <c r="O145" s="43">
        <f>N145-M145</f>
        <v>721594.37680201</v>
      </c>
      <c r="P145" s="1">
        <f>((17*B126*POWER(B3,3)*SIN(2*PI()*D145))/20)-((17*B126*POWER(B3,3)*POWER(SIN(2*PI()*D145),3))/60)</f>
        <v>4737194.5272615757</v>
      </c>
      <c r="Q145" s="1">
        <f>((17*B126*POWER(B3,3)*SIN(2*PI()*D146))/20)-((17*B126*POWER(B3,3)*POWER(SIN(2*PI()*D146),3))/60)</f>
        <v>4737194.5272615766</v>
      </c>
      <c r="R145" s="41">
        <f>Q145-P145</f>
        <v>0</v>
      </c>
      <c r="S145" s="1"/>
      <c r="AJ145">
        <v>0</v>
      </c>
      <c r="AK145">
        <v>0</v>
      </c>
      <c r="AL145">
        <v>0</v>
      </c>
      <c r="AM145">
        <v>0</v>
      </c>
      <c r="AN145">
        <v>0</v>
      </c>
      <c r="AQ145">
        <v>143</v>
      </c>
      <c r="AR145">
        <f t="shared" si="57"/>
        <v>-9.5836261205675157</v>
      </c>
      <c r="AS145">
        <f t="shared" si="58"/>
        <v>7.2217802778245783</v>
      </c>
    </row>
    <row r="146" spans="1:45" x14ac:dyDescent="0.25">
      <c r="A146" t="s">
        <v>113</v>
      </c>
      <c r="B146">
        <f>IF(B145&lt;0,(2*PI())+ATAN2(K135,B135),ATAN2(K135,B135))</f>
        <v>2.1273026450790757</v>
      </c>
      <c r="C146" t="s">
        <v>17</v>
      </c>
      <c r="D146">
        <f>B146/(2*PI())</f>
        <v>0.33857073141679872</v>
      </c>
      <c r="E146" s="1"/>
      <c r="F146" s="1"/>
      <c r="G146" s="1"/>
      <c r="J146" s="1"/>
      <c r="K146" s="1"/>
      <c r="L146" s="41"/>
      <c r="M146" s="9"/>
      <c r="N146" s="1"/>
      <c r="O146" s="41"/>
      <c r="P146" s="1"/>
      <c r="Q146" s="1"/>
      <c r="R146" s="41"/>
      <c r="S146" s="1"/>
      <c r="AJ146">
        <v>0</v>
      </c>
      <c r="AK146">
        <v>0</v>
      </c>
      <c r="AL146">
        <v>0</v>
      </c>
      <c r="AM146">
        <v>0</v>
      </c>
      <c r="AN146">
        <v>0</v>
      </c>
      <c r="AQ146">
        <v>144</v>
      </c>
      <c r="AR146">
        <f t="shared" si="57"/>
        <v>-9.7082039324993676</v>
      </c>
      <c r="AS146">
        <f t="shared" si="58"/>
        <v>7.0534230275096785</v>
      </c>
    </row>
    <row r="147" spans="1:45" ht="15.75" thickBot="1" x14ac:dyDescent="0.3">
      <c r="B147" s="38"/>
      <c r="C147" s="38"/>
      <c r="E147" s="1"/>
      <c r="F147" s="1"/>
      <c r="G147" s="1"/>
      <c r="J147" s="1"/>
      <c r="K147" s="1"/>
      <c r="L147" s="44">
        <f>(L142+L145)/1000</f>
        <v>258.25265689900624</v>
      </c>
      <c r="M147" s="40" t="s">
        <v>22</v>
      </c>
      <c r="N147" s="1"/>
      <c r="O147" s="45">
        <f>(O142+O145)/1000</f>
        <v>2357.398645489925</v>
      </c>
      <c r="P147" s="35" t="s">
        <v>59</v>
      </c>
      <c r="Q147" s="1"/>
      <c r="R147" s="44">
        <f>(R145+R142)/1000</f>
        <v>0</v>
      </c>
      <c r="S147" s="35" t="s">
        <v>59</v>
      </c>
      <c r="V147" s="10"/>
      <c r="Y147" s="10"/>
      <c r="AB147" s="10"/>
      <c r="AJ147">
        <v>0</v>
      </c>
      <c r="AK147">
        <v>0</v>
      </c>
      <c r="AL147">
        <v>0</v>
      </c>
      <c r="AM147">
        <v>0</v>
      </c>
      <c r="AN147">
        <v>0</v>
      </c>
      <c r="AQ147">
        <v>145</v>
      </c>
      <c r="AR147">
        <f t="shared" si="57"/>
        <v>-9.8298245314679029</v>
      </c>
      <c r="AS147">
        <f t="shared" si="58"/>
        <v>6.8829172362125508</v>
      </c>
    </row>
    <row r="148" spans="1:45" x14ac:dyDescent="0.25">
      <c r="C148" s="38"/>
      <c r="E148" s="39"/>
      <c r="F148" s="1"/>
      <c r="G148" s="1"/>
      <c r="M148" s="9"/>
      <c r="AJ148">
        <v>0</v>
      </c>
      <c r="AK148">
        <v>0</v>
      </c>
      <c r="AL148">
        <v>0</v>
      </c>
      <c r="AM148">
        <v>0</v>
      </c>
      <c r="AN148">
        <v>0</v>
      </c>
      <c r="AQ148">
        <v>146</v>
      </c>
      <c r="AR148">
        <f t="shared" si="57"/>
        <v>-9.9484508706604995</v>
      </c>
      <c r="AS148">
        <f t="shared" si="58"/>
        <v>6.7103148416489624</v>
      </c>
    </row>
    <row r="149" spans="1:45" x14ac:dyDescent="0.25">
      <c r="C149" s="38"/>
      <c r="E149" s="39"/>
      <c r="F149" s="1"/>
      <c r="G149" s="1"/>
      <c r="J149" t="s">
        <v>132</v>
      </c>
      <c r="L149" s="10">
        <f ca="1">N109</f>
        <v>-147.14154579435919</v>
      </c>
      <c r="O149" s="10">
        <f ca="1">O109</f>
        <v>1079.5228501425456</v>
      </c>
      <c r="R149" s="10">
        <f ca="1">P109</f>
        <v>-8.5265128291212022E-14</v>
      </c>
      <c r="V149" s="10"/>
      <c r="Y149" s="10"/>
      <c r="AB149" s="10"/>
      <c r="AJ149">
        <v>0</v>
      </c>
      <c r="AK149">
        <v>0</v>
      </c>
      <c r="AL149">
        <v>0</v>
      </c>
      <c r="AM149">
        <v>0</v>
      </c>
      <c r="AN149">
        <v>0</v>
      </c>
      <c r="AQ149">
        <v>147</v>
      </c>
      <c r="AR149">
        <f t="shared" si="57"/>
        <v>-10.064046815345087</v>
      </c>
      <c r="AS149">
        <f t="shared" si="58"/>
        <v>6.5356684201803272</v>
      </c>
    </row>
    <row r="150" spans="1:45" x14ac:dyDescent="0.25">
      <c r="A150" t="s">
        <v>130</v>
      </c>
      <c r="B150" t="s">
        <v>131</v>
      </c>
      <c r="AJ150">
        <v>0</v>
      </c>
      <c r="AK150">
        <v>0</v>
      </c>
      <c r="AL150">
        <v>0</v>
      </c>
      <c r="AM150">
        <v>0</v>
      </c>
      <c r="AN150">
        <v>0</v>
      </c>
      <c r="AQ150">
        <v>148</v>
      </c>
      <c r="AR150">
        <f t="shared" si="57"/>
        <v>-10.176577153877112</v>
      </c>
      <c r="AS150">
        <f t="shared" si="58"/>
        <v>6.3590311707984588</v>
      </c>
    </row>
    <row r="151" spans="1:45" x14ac:dyDescent="0.25">
      <c r="A151" s="15">
        <f ca="1">L37</f>
        <v>-7.6917647371827153E-3</v>
      </c>
      <c r="B151">
        <f ca="1">IF(AND(A151&gt;0,A151&lt;$B$128),(0.85*$B$126)*((2*(A151/$B$128))-POWER(A151/$B$128,2)),IF(A151&gt;0,0.85*$B$126,0))/1000</f>
        <v>0</v>
      </c>
      <c r="J151" t="s">
        <v>133</v>
      </c>
      <c r="L151" s="10">
        <f ca="1">L147+L149</f>
        <v>111.11111110464705</v>
      </c>
      <c r="O151" s="36">
        <f ca="1">O147+O149</f>
        <v>3436.9214956324704</v>
      </c>
      <c r="R151" s="10">
        <f ca="1">R147+R149</f>
        <v>-8.5265128291212022E-14</v>
      </c>
      <c r="V151" s="10"/>
      <c r="Y151" s="36"/>
      <c r="AB151" s="10"/>
      <c r="AJ151">
        <v>0</v>
      </c>
      <c r="AK151">
        <v>0</v>
      </c>
      <c r="AL151">
        <v>0</v>
      </c>
      <c r="AM151">
        <v>0</v>
      </c>
      <c r="AN151">
        <v>0</v>
      </c>
      <c r="AQ151">
        <v>149</v>
      </c>
      <c r="AR151">
        <f t="shared" si="57"/>
        <v>-10.286007608425347</v>
      </c>
      <c r="AS151">
        <f t="shared" si="58"/>
        <v>6.180456898920653</v>
      </c>
    </row>
    <row r="152" spans="1:45" x14ac:dyDescent="0.25">
      <c r="A152" s="15">
        <f t="shared" ref="A152:A215" ca="1" si="59">L38</f>
        <v>-6.3338379757242116E-3</v>
      </c>
      <c r="B152">
        <f t="shared" ref="B152:B215" ca="1" si="60">IF(AND(A152&gt;0,A152&lt;$B$128),(0.85*$B$126)*((2*(A152/$B$128))-POWER(A152/$B$128,2)),IF(A152&gt;0,0.85*$B$126,0))/1000</f>
        <v>0</v>
      </c>
      <c r="M152" s="9"/>
      <c r="W152" s="9"/>
      <c r="AJ152">
        <v>0</v>
      </c>
      <c r="AK152">
        <v>0</v>
      </c>
      <c r="AL152">
        <v>0</v>
      </c>
      <c r="AM152">
        <v>0</v>
      </c>
      <c r="AN152">
        <v>0</v>
      </c>
      <c r="AQ152">
        <v>150</v>
      </c>
      <c r="AR152">
        <f t="shared" si="57"/>
        <v>-10.392304845413264</v>
      </c>
      <c r="AS152">
        <f t="shared" si="58"/>
        <v>5.9999999999999991</v>
      </c>
    </row>
    <row r="153" spans="1:45" x14ac:dyDescent="0.25">
      <c r="A153" s="15">
        <f t="shared" ca="1" si="59"/>
        <v>-3.0555127715017148E-3</v>
      </c>
      <c r="B153">
        <f t="shared" ca="1" si="60"/>
        <v>0</v>
      </c>
      <c r="J153" t="s">
        <v>134</v>
      </c>
      <c r="L153" s="10">
        <f ca="1">L151</f>
        <v>111.11111110464705</v>
      </c>
      <c r="M153" s="9"/>
      <c r="O153">
        <f ca="1">((O151*COS(-1*B10))+(R151*SIN(-1*B10)))</f>
        <v>2.9580208129202925E-13</v>
      </c>
      <c r="R153">
        <f ca="1">(-1*(O151)*SIN(-1*B10))+((R151)*COS(-1*B10))</f>
        <v>3436.9214956324704</v>
      </c>
      <c r="V153" s="10"/>
      <c r="W153" s="9"/>
      <c r="AJ153">
        <v>0</v>
      </c>
      <c r="AK153">
        <v>0</v>
      </c>
      <c r="AL153">
        <v>0</v>
      </c>
      <c r="AM153">
        <v>0</v>
      </c>
      <c r="AN153">
        <v>0</v>
      </c>
      <c r="AQ153">
        <v>151</v>
      </c>
      <c r="AR153">
        <f t="shared" si="57"/>
        <v>-10.495436485672748</v>
      </c>
      <c r="AS153">
        <f t="shared" si="58"/>
        <v>5.8177154429560458</v>
      </c>
    </row>
    <row r="154" spans="1:45" x14ac:dyDescent="0.25">
      <c r="A154" s="15">
        <f t="shared" ca="1" si="59"/>
        <v>2.2281243272078075E-4</v>
      </c>
      <c r="B154">
        <f t="shared" ca="1" si="60"/>
        <v>0.85932382985861289</v>
      </c>
      <c r="E154" s="38"/>
      <c r="M154" s="9"/>
      <c r="AJ154">
        <v>0</v>
      </c>
      <c r="AK154">
        <v>0</v>
      </c>
      <c r="AL154">
        <v>0</v>
      </c>
      <c r="AM154">
        <v>0</v>
      </c>
      <c r="AN154">
        <v>0</v>
      </c>
      <c r="AQ154">
        <v>152</v>
      </c>
      <c r="AR154">
        <f t="shared" si="57"/>
        <v>-10.595371114307124</v>
      </c>
      <c r="AS154">
        <f t="shared" si="58"/>
        <v>5.6336587534306881</v>
      </c>
    </row>
    <row r="155" spans="1:45" x14ac:dyDescent="0.25">
      <c r="A155" s="15">
        <f t="shared" ca="1" si="59"/>
        <v>1.5807391941792856E-3</v>
      </c>
      <c r="B155">
        <f t="shared" ca="1" si="60"/>
        <v>4.0004673862699187</v>
      </c>
      <c r="E155" s="38"/>
      <c r="M155" s="9"/>
      <c r="AJ155">
        <v>0</v>
      </c>
      <c r="AK155">
        <v>0</v>
      </c>
      <c r="AL155">
        <v>0</v>
      </c>
      <c r="AM155">
        <v>0</v>
      </c>
      <c r="AN155">
        <v>0</v>
      </c>
      <c r="AQ155">
        <v>153</v>
      </c>
      <c r="AR155">
        <f t="shared" si="57"/>
        <v>-10.692078290260413</v>
      </c>
      <c r="AS155">
        <f t="shared" si="58"/>
        <v>5.4478859968745628</v>
      </c>
    </row>
    <row r="156" spans="1:45" x14ac:dyDescent="0.25">
      <c r="A156" s="15">
        <f t="shared" ca="1" si="59"/>
        <v>2.2281243272078208E-4</v>
      </c>
      <c r="B156">
        <f t="shared" ca="1" si="60"/>
        <v>0.85932382985861766</v>
      </c>
      <c r="E156" s="38"/>
      <c r="M156" s="9"/>
      <c r="AJ156">
        <v>0</v>
      </c>
      <c r="AK156">
        <v>0</v>
      </c>
      <c r="AL156">
        <v>0</v>
      </c>
      <c r="AM156">
        <v>0</v>
      </c>
      <c r="AN156">
        <v>0</v>
      </c>
      <c r="AQ156">
        <v>154</v>
      </c>
      <c r="AR156">
        <f t="shared" si="57"/>
        <v>-10.785528555590005</v>
      </c>
      <c r="AS156">
        <f t="shared" si="58"/>
        <v>5.2604537614689271</v>
      </c>
    </row>
    <row r="157" spans="1:45" x14ac:dyDescent="0.25">
      <c r="A157" s="15">
        <f t="shared" ca="1" si="59"/>
        <v>-3.0555127715017143E-3</v>
      </c>
      <c r="B157">
        <f t="shared" ca="1" si="60"/>
        <v>0</v>
      </c>
      <c r="E157" s="38"/>
      <c r="M157" s="9"/>
      <c r="AJ157">
        <v>0</v>
      </c>
      <c r="AK157">
        <v>0</v>
      </c>
      <c r="AL157">
        <v>0</v>
      </c>
      <c r="AM157">
        <v>0</v>
      </c>
      <c r="AN157">
        <v>0</v>
      </c>
      <c r="AQ157">
        <v>155</v>
      </c>
      <c r="AR157">
        <f t="shared" si="57"/>
        <v>-10.875693444439799</v>
      </c>
      <c r="AS157">
        <f t="shared" si="58"/>
        <v>5.071419140888394</v>
      </c>
    </row>
    <row r="158" spans="1:45" x14ac:dyDescent="0.25">
      <c r="A158" s="15">
        <f t="shared" ca="1" si="59"/>
        <v>-6.3338379757242116E-3</v>
      </c>
      <c r="B158">
        <f t="shared" ca="1" si="60"/>
        <v>0</v>
      </c>
      <c r="E158" s="38"/>
      <c r="M158" s="9"/>
      <c r="AJ158">
        <v>0</v>
      </c>
      <c r="AK158">
        <v>0</v>
      </c>
      <c r="AL158">
        <v>0</v>
      </c>
      <c r="AM158">
        <v>0</v>
      </c>
      <c r="AN158">
        <v>0</v>
      </c>
      <c r="AQ158">
        <v>156</v>
      </c>
      <c r="AR158">
        <f t="shared" si="57"/>
        <v>-10.962545491711209</v>
      </c>
      <c r="AS158">
        <f t="shared" si="58"/>
        <v>4.8808397169096054</v>
      </c>
    </row>
    <row r="159" spans="1:45" x14ac:dyDescent="0.25">
      <c r="A159" s="15">
        <f t="shared" ca="1" si="59"/>
        <v>0</v>
      </c>
      <c r="B159">
        <f t="shared" ca="1" si="60"/>
        <v>0</v>
      </c>
      <c r="E159" s="1"/>
      <c r="M159" s="9"/>
      <c r="AJ159">
        <v>0</v>
      </c>
      <c r="AK159">
        <v>0</v>
      </c>
      <c r="AL159">
        <v>0</v>
      </c>
      <c r="AM159">
        <v>0</v>
      </c>
      <c r="AN159">
        <v>0</v>
      </c>
      <c r="AQ159">
        <v>157</v>
      </c>
      <c r="AR159">
        <f t="shared" si="57"/>
        <v>-11.046058241429284</v>
      </c>
      <c r="AS159">
        <f t="shared" si="58"/>
        <v>4.688773541871285</v>
      </c>
    </row>
    <row r="160" spans="1:45" x14ac:dyDescent="0.25">
      <c r="A160" s="15">
        <f t="shared" ca="1" si="59"/>
        <v>0</v>
      </c>
      <c r="B160">
        <f t="shared" ca="1" si="60"/>
        <v>0</v>
      </c>
      <c r="M160" s="9"/>
      <c r="AJ160">
        <v>0</v>
      </c>
      <c r="AK160">
        <v>0</v>
      </c>
      <c r="AL160">
        <v>0</v>
      </c>
      <c r="AM160">
        <v>0</v>
      </c>
      <c r="AN160">
        <v>0</v>
      </c>
      <c r="AQ160">
        <v>158</v>
      </c>
      <c r="AR160">
        <f t="shared" si="57"/>
        <v>-11.126206254801447</v>
      </c>
      <c r="AS160">
        <f t="shared" si="58"/>
        <v>4.4952791209909471</v>
      </c>
    </row>
    <row r="161" spans="1:45" x14ac:dyDescent="0.25">
      <c r="A161" s="15">
        <f t="shared" ca="1" si="59"/>
        <v>0</v>
      </c>
      <c r="B161">
        <f t="shared" ca="1" si="60"/>
        <v>0</v>
      </c>
      <c r="M161" s="9"/>
      <c r="N161" s="1"/>
      <c r="O161" s="1"/>
      <c r="S161" s="1"/>
      <c r="T161" s="1"/>
      <c r="U161" s="1"/>
      <c r="AB161" s="1"/>
      <c r="AC161" s="1"/>
      <c r="AD161" s="1"/>
      <c r="AE161" s="1"/>
      <c r="AF161" s="1"/>
      <c r="AG161" s="1"/>
      <c r="AJ161">
        <v>0</v>
      </c>
      <c r="AK161">
        <v>0</v>
      </c>
      <c r="AL161">
        <v>0</v>
      </c>
      <c r="AM161">
        <v>0</v>
      </c>
      <c r="AN161">
        <v>0</v>
      </c>
      <c r="AQ161">
        <v>159</v>
      </c>
      <c r="AR161">
        <f t="shared" si="57"/>
        <v>-11.202965117966421</v>
      </c>
      <c r="AS161">
        <f t="shared" si="58"/>
        <v>4.3004153945436023</v>
      </c>
    </row>
    <row r="162" spans="1:45" x14ac:dyDescent="0.25">
      <c r="A162" s="15">
        <f t="shared" ca="1" si="59"/>
        <v>0</v>
      </c>
      <c r="B162">
        <f t="shared" ca="1" si="60"/>
        <v>0</v>
      </c>
      <c r="M162" s="7"/>
      <c r="N162" s="7"/>
      <c r="O162" s="7"/>
      <c r="Q162" s="7"/>
      <c r="R162" s="7"/>
      <c r="S162" s="7"/>
      <c r="T162" s="7"/>
      <c r="U162" s="7"/>
      <c r="Y162" s="10"/>
      <c r="Z162" s="10"/>
      <c r="AA162" s="10"/>
      <c r="AB162" s="7"/>
      <c r="AC162" s="7"/>
      <c r="AD162" s="7"/>
      <c r="AE162" s="10"/>
      <c r="AF162" s="10"/>
      <c r="AG162" s="10"/>
      <c r="AJ162">
        <v>0</v>
      </c>
      <c r="AK162">
        <v>0</v>
      </c>
      <c r="AL162">
        <v>0</v>
      </c>
      <c r="AM162">
        <v>0</v>
      </c>
      <c r="AN162">
        <v>0</v>
      </c>
      <c r="AQ162">
        <v>160</v>
      </c>
      <c r="AR162">
        <f t="shared" si="57"/>
        <v>-11.276311449430899</v>
      </c>
      <c r="AS162">
        <f t="shared" si="58"/>
        <v>4.1042417199080266</v>
      </c>
    </row>
    <row r="163" spans="1:45" x14ac:dyDescent="0.25">
      <c r="A163" s="15">
        <f t="shared" ca="1" si="59"/>
        <v>0</v>
      </c>
      <c r="B163">
        <f t="shared" ca="1" si="60"/>
        <v>0</v>
      </c>
      <c r="M163" s="7"/>
      <c r="N163" s="7"/>
      <c r="O163" s="7"/>
      <c r="Q163" s="7"/>
      <c r="R163" s="7"/>
      <c r="S163" s="7"/>
      <c r="T163" s="7"/>
      <c r="U163" s="7"/>
      <c r="Y163" s="10"/>
      <c r="Z163" s="10"/>
      <c r="AA163" s="10"/>
      <c r="AB163" s="7"/>
      <c r="AC163" s="7"/>
      <c r="AD163" s="7"/>
      <c r="AE163" s="10"/>
      <c r="AF163" s="10"/>
      <c r="AG163" s="10"/>
      <c r="AJ163">
        <v>0</v>
      </c>
      <c r="AK163">
        <v>0</v>
      </c>
      <c r="AL163">
        <v>0</v>
      </c>
      <c r="AM163">
        <v>0</v>
      </c>
      <c r="AN163">
        <v>0</v>
      </c>
      <c r="AQ163">
        <v>161</v>
      </c>
      <c r="AR163">
        <f t="shared" si="57"/>
        <v>-11.346222907191802</v>
      </c>
      <c r="AS163">
        <f t="shared" si="58"/>
        <v>3.9068178534858791</v>
      </c>
    </row>
    <row r="164" spans="1:45" x14ac:dyDescent="0.25">
      <c r="A164" s="15">
        <f t="shared" ca="1" si="59"/>
        <v>0</v>
      </c>
      <c r="B164">
        <f t="shared" ca="1" si="60"/>
        <v>0</v>
      </c>
      <c r="M164" s="7"/>
      <c r="N164" s="7"/>
      <c r="O164" s="7"/>
      <c r="Q164" s="7"/>
      <c r="R164" s="7"/>
      <c r="S164" s="7"/>
      <c r="T164" s="7"/>
      <c r="U164" s="7"/>
      <c r="Y164" s="10"/>
      <c r="Z164" s="10"/>
      <c r="AA164" s="10"/>
      <c r="AB164" s="7"/>
      <c r="AC164" s="7"/>
      <c r="AD164" s="7"/>
      <c r="AE164" s="10"/>
      <c r="AF164" s="10"/>
      <c r="AG164" s="10"/>
      <c r="AJ164">
        <v>0</v>
      </c>
      <c r="AK164">
        <v>0</v>
      </c>
      <c r="AL164">
        <v>0</v>
      </c>
      <c r="AM164">
        <v>0</v>
      </c>
      <c r="AN164">
        <v>0</v>
      </c>
      <c r="AQ164">
        <v>162</v>
      </c>
      <c r="AR164">
        <f t="shared" si="57"/>
        <v>-11.412678195541842</v>
      </c>
      <c r="AS164">
        <f t="shared" si="58"/>
        <v>3.7082039324993703</v>
      </c>
    </row>
    <row r="165" spans="1:45" x14ac:dyDescent="0.25">
      <c r="A165" s="15">
        <f t="shared" ca="1" si="59"/>
        <v>0</v>
      </c>
      <c r="B165">
        <f t="shared" ca="1" si="60"/>
        <v>0</v>
      </c>
      <c r="M165" s="7"/>
      <c r="N165" s="7"/>
      <c r="O165" s="7"/>
      <c r="Q165" s="7"/>
      <c r="R165" s="7"/>
      <c r="S165" s="7"/>
      <c r="T165" s="7"/>
      <c r="U165" s="7"/>
      <c r="Y165" s="10"/>
      <c r="Z165" s="10"/>
      <c r="AA165" s="10"/>
      <c r="AB165" s="7"/>
      <c r="AC165" s="7"/>
      <c r="AD165" s="7"/>
      <c r="AE165" s="10"/>
      <c r="AF165" s="10"/>
      <c r="AG165" s="10"/>
      <c r="AJ165">
        <v>0</v>
      </c>
      <c r="AK165">
        <v>0</v>
      </c>
      <c r="AL165">
        <v>0</v>
      </c>
      <c r="AM165">
        <v>0</v>
      </c>
      <c r="AN165">
        <v>0</v>
      </c>
      <c r="AQ165">
        <v>163</v>
      </c>
      <c r="AR165">
        <f t="shared" si="57"/>
        <v>-11.475657071556427</v>
      </c>
      <c r="AS165">
        <f t="shared" si="58"/>
        <v>3.5084604566728395</v>
      </c>
    </row>
    <row r="166" spans="1:45" x14ac:dyDescent="0.25">
      <c r="A166" s="15">
        <f t="shared" ca="1" si="59"/>
        <v>0</v>
      </c>
      <c r="B166">
        <f t="shared" ca="1" si="60"/>
        <v>0</v>
      </c>
      <c r="M166" s="7"/>
      <c r="N166" s="7"/>
      <c r="O166" s="7"/>
      <c r="Q166" s="7"/>
      <c r="R166" s="7"/>
      <c r="S166" s="7"/>
      <c r="T166" s="7"/>
      <c r="U166" s="7"/>
      <c r="Y166" s="10"/>
      <c r="Z166" s="10"/>
      <c r="AA166" s="10"/>
      <c r="AB166" s="7"/>
      <c r="AC166" s="7"/>
      <c r="AD166" s="7"/>
      <c r="AE166" s="10"/>
      <c r="AF166" s="10"/>
      <c r="AG166" s="10"/>
      <c r="AJ166">
        <v>0</v>
      </c>
      <c r="AK166">
        <v>0</v>
      </c>
      <c r="AL166">
        <v>0</v>
      </c>
      <c r="AM166">
        <v>0</v>
      </c>
      <c r="AN166">
        <v>0</v>
      </c>
      <c r="AQ166">
        <v>164</v>
      </c>
      <c r="AR166">
        <f t="shared" si="57"/>
        <v>-11.535140351259827</v>
      </c>
      <c r="AS166">
        <f t="shared" si="58"/>
        <v>3.3076482698039906</v>
      </c>
    </row>
    <row r="167" spans="1:45" x14ac:dyDescent="0.25">
      <c r="A167" s="15">
        <f t="shared" ca="1" si="59"/>
        <v>0</v>
      </c>
      <c r="B167">
        <f t="shared" ca="1" si="60"/>
        <v>0</v>
      </c>
      <c r="M167" s="7"/>
      <c r="N167" s="7"/>
      <c r="O167" s="7"/>
      <c r="Q167" s="7"/>
      <c r="R167" s="7"/>
      <c r="S167" s="7"/>
      <c r="T167" s="7"/>
      <c r="U167" s="7"/>
      <c r="Y167" s="10"/>
      <c r="Z167" s="10"/>
      <c r="AA167" s="10"/>
      <c r="AB167" s="7"/>
      <c r="AC167" s="7"/>
      <c r="AD167" s="7"/>
      <c r="AE167" s="10"/>
      <c r="AF167" s="10"/>
      <c r="AG167" s="10"/>
      <c r="AJ167">
        <v>0</v>
      </c>
      <c r="AK167">
        <v>0</v>
      </c>
      <c r="AL167">
        <v>0</v>
      </c>
      <c r="AM167">
        <v>0</v>
      </c>
      <c r="AN167">
        <v>0</v>
      </c>
      <c r="AQ167">
        <v>165</v>
      </c>
      <c r="AR167">
        <f t="shared" si="57"/>
        <v>-11.591109915468818</v>
      </c>
      <c r="AS167">
        <f t="shared" si="58"/>
        <v>3.1058285412302524</v>
      </c>
    </row>
    <row r="168" spans="1:45" x14ac:dyDescent="0.25">
      <c r="A168" s="15">
        <f t="shared" ca="1" si="59"/>
        <v>0</v>
      </c>
      <c r="B168">
        <f t="shared" ca="1" si="60"/>
        <v>0</v>
      </c>
      <c r="M168" s="7"/>
      <c r="N168" s="7"/>
      <c r="O168" s="7"/>
      <c r="Q168" s="7"/>
      <c r="R168" s="7"/>
      <c r="S168" s="7"/>
      <c r="T168" s="7"/>
      <c r="U168" s="7"/>
      <c r="Y168" s="10"/>
      <c r="Z168" s="10"/>
      <c r="AA168" s="10"/>
      <c r="AB168" s="7"/>
      <c r="AC168" s="7"/>
      <c r="AD168" s="7"/>
      <c r="AE168" s="10"/>
      <c r="AF168" s="10"/>
      <c r="AG168" s="10"/>
      <c r="AJ168">
        <v>0</v>
      </c>
      <c r="AK168">
        <v>0</v>
      </c>
      <c r="AL168">
        <v>0</v>
      </c>
      <c r="AM168">
        <v>0</v>
      </c>
      <c r="AN168">
        <v>0</v>
      </c>
      <c r="AQ168">
        <v>166</v>
      </c>
      <c r="AR168">
        <f t="shared" si="57"/>
        <v>-11.643548715311958</v>
      </c>
      <c r="AS168">
        <f t="shared" si="58"/>
        <v>2.9030627471960129</v>
      </c>
    </row>
    <row r="169" spans="1:45" x14ac:dyDescent="0.25">
      <c r="A169" s="15">
        <f t="shared" ca="1" si="59"/>
        <v>0</v>
      </c>
      <c r="B169">
        <f t="shared" ca="1" si="60"/>
        <v>0</v>
      </c>
      <c r="M169" s="7"/>
      <c r="N169" s="7"/>
      <c r="O169" s="7"/>
      <c r="Q169" s="7"/>
      <c r="R169" s="7"/>
      <c r="S169" s="7"/>
      <c r="T169" s="7"/>
      <c r="U169" s="7"/>
      <c r="Y169" s="10"/>
      <c r="Z169" s="10"/>
      <c r="AA169" s="10"/>
      <c r="AB169" s="7"/>
      <c r="AC169" s="7"/>
      <c r="AD169" s="7"/>
      <c r="AE169" s="10"/>
      <c r="AF169" s="10"/>
      <c r="AG169" s="10"/>
      <c r="AJ169">
        <v>0</v>
      </c>
      <c r="AK169">
        <v>0</v>
      </c>
      <c r="AL169">
        <v>0</v>
      </c>
      <c r="AM169">
        <v>0</v>
      </c>
      <c r="AN169">
        <v>0</v>
      </c>
      <c r="AQ169">
        <v>167</v>
      </c>
      <c r="AR169">
        <f t="shared" si="57"/>
        <v>-11.692440777422821</v>
      </c>
      <c r="AS169">
        <f t="shared" si="58"/>
        <v>2.6994126521263824</v>
      </c>
    </row>
    <row r="170" spans="1:45" x14ac:dyDescent="0.25">
      <c r="A170" s="15">
        <f t="shared" ca="1" si="59"/>
        <v>0</v>
      </c>
      <c r="B170">
        <f t="shared" ca="1" si="60"/>
        <v>0</v>
      </c>
      <c r="M170" s="7"/>
      <c r="N170" s="7"/>
      <c r="O170" s="7"/>
      <c r="Q170" s="7"/>
      <c r="R170" s="7"/>
      <c r="S170" s="7"/>
      <c r="T170" s="7"/>
      <c r="U170" s="7"/>
      <c r="Y170" s="10"/>
      <c r="Z170" s="10"/>
      <c r="AA170" s="10"/>
      <c r="AB170" s="7"/>
      <c r="AC170" s="7"/>
      <c r="AD170" s="7"/>
      <c r="AE170" s="10"/>
      <c r="AF170" s="10"/>
      <c r="AG170" s="10"/>
      <c r="AJ170">
        <v>0</v>
      </c>
      <c r="AK170">
        <v>0</v>
      </c>
      <c r="AL170">
        <v>0</v>
      </c>
      <c r="AM170">
        <v>0</v>
      </c>
      <c r="AN170">
        <v>0</v>
      </c>
      <c r="AQ170">
        <v>168</v>
      </c>
      <c r="AR170">
        <f t="shared" si="57"/>
        <v>-11.737771208805668</v>
      </c>
      <c r="AS170">
        <f t="shared" si="58"/>
        <v>2.4949402898131119</v>
      </c>
    </row>
    <row r="171" spans="1:45" x14ac:dyDescent="0.25">
      <c r="A171" s="15">
        <f t="shared" ca="1" si="59"/>
        <v>0</v>
      </c>
      <c r="B171">
        <f t="shared" ca="1" si="60"/>
        <v>0</v>
      </c>
      <c r="M171" s="7"/>
      <c r="N171" s="7"/>
      <c r="O171" s="7"/>
      <c r="Q171" s="7"/>
      <c r="R171" s="7"/>
      <c r="S171" s="7"/>
      <c r="T171" s="7"/>
      <c r="U171" s="7"/>
      <c r="Y171" s="10"/>
      <c r="Z171" s="10"/>
      <c r="AA171" s="10"/>
      <c r="AB171" s="7"/>
      <c r="AC171" s="7"/>
      <c r="AD171" s="7"/>
      <c r="AE171" s="10"/>
      <c r="AF171" s="10"/>
      <c r="AG171" s="10"/>
      <c r="AJ171">
        <v>0</v>
      </c>
      <c r="AK171">
        <v>0</v>
      </c>
      <c r="AL171">
        <v>0</v>
      </c>
      <c r="AM171">
        <v>0</v>
      </c>
      <c r="AN171">
        <v>0</v>
      </c>
      <c r="AQ171">
        <v>169</v>
      </c>
      <c r="AR171">
        <f t="shared" si="57"/>
        <v>-11.779526201371969</v>
      </c>
      <c r="AS171">
        <f t="shared" si="58"/>
        <v>2.2897079445185398</v>
      </c>
    </row>
    <row r="172" spans="1:45" x14ac:dyDescent="0.25">
      <c r="A172" s="15">
        <f t="shared" ca="1" si="59"/>
        <v>0</v>
      </c>
      <c r="B172">
        <f t="shared" ca="1" si="60"/>
        <v>0</v>
      </c>
      <c r="M172" s="7"/>
      <c r="N172" s="7"/>
      <c r="O172" s="7"/>
      <c r="Q172" s="7"/>
      <c r="R172" s="7"/>
      <c r="S172" s="7"/>
      <c r="T172" s="7"/>
      <c r="U172" s="7"/>
      <c r="Y172" s="10"/>
      <c r="Z172" s="10"/>
      <c r="AA172" s="10"/>
      <c r="AB172" s="7"/>
      <c r="AC172" s="7"/>
      <c r="AD172" s="7"/>
      <c r="AE172" s="10"/>
      <c r="AF172" s="10"/>
      <c r="AG172" s="10"/>
      <c r="AJ172">
        <v>0</v>
      </c>
      <c r="AK172">
        <v>0</v>
      </c>
      <c r="AL172">
        <v>0</v>
      </c>
      <c r="AM172">
        <v>0</v>
      </c>
      <c r="AN172">
        <v>0</v>
      </c>
      <c r="AQ172">
        <v>170</v>
      </c>
      <c r="AR172">
        <f t="shared" si="57"/>
        <v>-11.817693036146496</v>
      </c>
      <c r="AS172">
        <f t="shared" si="58"/>
        <v>2.0837781320031632</v>
      </c>
    </row>
    <row r="173" spans="1:45" x14ac:dyDescent="0.25">
      <c r="A173" s="15">
        <f t="shared" ca="1" si="59"/>
        <v>0</v>
      </c>
      <c r="B173">
        <f t="shared" ca="1" si="60"/>
        <v>0</v>
      </c>
      <c r="M173" s="7"/>
      <c r="N173" s="7"/>
      <c r="O173" s="7"/>
      <c r="Q173" s="7"/>
      <c r="R173" s="7"/>
      <c r="S173" s="7"/>
      <c r="T173" s="7"/>
      <c r="U173" s="7"/>
      <c r="Y173" s="10"/>
      <c r="Z173" s="10"/>
      <c r="AA173" s="10"/>
      <c r="AB173" s="7"/>
      <c r="AC173" s="7"/>
      <c r="AD173" s="7"/>
      <c r="AE173" s="10"/>
      <c r="AF173" s="10"/>
      <c r="AG173" s="10"/>
      <c r="AJ173">
        <v>0</v>
      </c>
      <c r="AK173">
        <v>0</v>
      </c>
      <c r="AL173">
        <v>0</v>
      </c>
      <c r="AM173">
        <v>0</v>
      </c>
      <c r="AN173">
        <v>0</v>
      </c>
      <c r="AQ173">
        <v>171</v>
      </c>
      <c r="AR173">
        <f t="shared" si="57"/>
        <v>-11.852260087141651</v>
      </c>
      <c r="AS173">
        <f t="shared" si="58"/>
        <v>1.8772135804827719</v>
      </c>
    </row>
    <row r="174" spans="1:45" x14ac:dyDescent="0.25">
      <c r="A174" s="15">
        <f t="shared" ca="1" si="59"/>
        <v>0</v>
      </c>
      <c r="B174">
        <f t="shared" ca="1" si="60"/>
        <v>0</v>
      </c>
      <c r="M174" s="7"/>
      <c r="N174" s="7"/>
      <c r="O174" s="7"/>
      <c r="Q174" s="7"/>
      <c r="R174" s="7"/>
      <c r="S174" s="7"/>
      <c r="T174" s="7"/>
      <c r="U174" s="7"/>
      <c r="Y174" s="10"/>
      <c r="Z174" s="10"/>
      <c r="AA174" s="10"/>
      <c r="AB174" s="7"/>
      <c r="AC174" s="7"/>
      <c r="AD174" s="7"/>
      <c r="AE174" s="10"/>
      <c r="AF174" s="10"/>
      <c r="AG174" s="10"/>
      <c r="AJ174">
        <v>0</v>
      </c>
      <c r="AK174">
        <v>0</v>
      </c>
      <c r="AL174">
        <v>0</v>
      </c>
      <c r="AM174">
        <v>0</v>
      </c>
      <c r="AN174">
        <v>0</v>
      </c>
      <c r="AQ174">
        <v>172</v>
      </c>
      <c r="AR174">
        <f t="shared" si="57"/>
        <v>-11.883216824898845</v>
      </c>
      <c r="AS174">
        <f t="shared" si="58"/>
        <v>1.670077211520784</v>
      </c>
    </row>
    <row r="175" spans="1:45" x14ac:dyDescent="0.25">
      <c r="A175" s="15">
        <f t="shared" ca="1" si="59"/>
        <v>0</v>
      </c>
      <c r="B175">
        <f t="shared" ca="1" si="60"/>
        <v>0</v>
      </c>
      <c r="M175" s="7"/>
      <c r="N175" s="7"/>
      <c r="O175" s="7"/>
      <c r="Q175" s="7"/>
      <c r="R175" s="7"/>
      <c r="S175" s="7"/>
      <c r="T175" s="7"/>
      <c r="U175" s="7"/>
      <c r="Y175" s="10"/>
      <c r="Z175" s="10"/>
      <c r="AA175" s="10"/>
      <c r="AB175" s="7"/>
      <c r="AC175" s="7"/>
      <c r="AD175" s="7"/>
      <c r="AE175" s="10"/>
      <c r="AF175" s="10"/>
      <c r="AG175" s="10"/>
      <c r="AJ175">
        <v>0</v>
      </c>
      <c r="AK175">
        <v>0</v>
      </c>
      <c r="AL175">
        <v>0</v>
      </c>
      <c r="AM175">
        <v>0</v>
      </c>
      <c r="AN175">
        <v>0</v>
      </c>
      <c r="AQ175">
        <v>173</v>
      </c>
      <c r="AR175">
        <f t="shared" si="57"/>
        <v>-11.910553819695863</v>
      </c>
      <c r="AS175">
        <f t="shared" si="58"/>
        <v>1.4624321208617705</v>
      </c>
    </row>
    <row r="176" spans="1:45" x14ac:dyDescent="0.25">
      <c r="A176" s="15">
        <f t="shared" ca="1" si="59"/>
        <v>0</v>
      </c>
      <c r="B176">
        <f t="shared" ca="1" si="60"/>
        <v>0</v>
      </c>
      <c r="M176" s="7"/>
      <c r="N176" s="7"/>
      <c r="O176" s="7"/>
      <c r="Q176" s="7"/>
      <c r="R176" s="7"/>
      <c r="S176" s="7"/>
      <c r="T176" s="7"/>
      <c r="U176" s="7"/>
      <c r="Y176" s="10"/>
      <c r="Z176" s="10"/>
      <c r="AA176" s="10"/>
      <c r="AB176" s="7"/>
      <c r="AC176" s="7"/>
      <c r="AD176" s="7"/>
      <c r="AE176" s="10"/>
      <c r="AF176" s="10"/>
      <c r="AG176" s="10"/>
      <c r="AJ176">
        <v>0</v>
      </c>
      <c r="AK176">
        <v>0</v>
      </c>
      <c r="AL176">
        <v>0</v>
      </c>
      <c r="AM176">
        <v>0</v>
      </c>
      <c r="AN176">
        <v>0</v>
      </c>
      <c r="AQ176">
        <v>174</v>
      </c>
      <c r="AR176">
        <f t="shared" si="57"/>
        <v>-11.934262744419279</v>
      </c>
      <c r="AS176">
        <f t="shared" si="58"/>
        <v>1.2543415592118448</v>
      </c>
    </row>
    <row r="177" spans="1:45" x14ac:dyDescent="0.25">
      <c r="A177" s="15">
        <f t="shared" ca="1" si="59"/>
        <v>0</v>
      </c>
      <c r="B177">
        <f t="shared" ca="1" si="60"/>
        <v>0</v>
      </c>
      <c r="M177" s="7"/>
      <c r="N177" s="7"/>
      <c r="O177" s="7"/>
      <c r="Q177" s="7"/>
      <c r="R177" s="7"/>
      <c r="S177" s="7"/>
      <c r="T177" s="7"/>
      <c r="U177" s="7"/>
      <c r="Y177" s="10"/>
      <c r="Z177" s="10"/>
      <c r="AA177" s="10"/>
      <c r="AB177" s="7"/>
      <c r="AC177" s="7"/>
      <c r="AD177" s="7"/>
      <c r="AE177" s="10"/>
      <c r="AF177" s="10"/>
      <c r="AG177" s="10"/>
      <c r="AJ177">
        <v>0</v>
      </c>
      <c r="AK177">
        <v>0</v>
      </c>
      <c r="AL177">
        <v>0</v>
      </c>
      <c r="AM177">
        <v>0</v>
      </c>
      <c r="AN177">
        <v>0</v>
      </c>
      <c r="AQ177">
        <v>175</v>
      </c>
      <c r="AR177">
        <f t="shared" si="57"/>
        <v>-11.954336377100947</v>
      </c>
      <c r="AS177">
        <f t="shared" si="58"/>
        <v>1.0458689129718983</v>
      </c>
    </row>
    <row r="178" spans="1:45" x14ac:dyDescent="0.25">
      <c r="A178" s="15">
        <f t="shared" ca="1" si="59"/>
        <v>0</v>
      </c>
      <c r="B178">
        <f t="shared" ca="1" si="60"/>
        <v>0</v>
      </c>
      <c r="M178" s="7"/>
      <c r="N178" s="7"/>
      <c r="O178" s="7"/>
      <c r="Q178" s="7"/>
      <c r="R178" s="7"/>
      <c r="S178" s="7"/>
      <c r="T178" s="7"/>
      <c r="U178" s="7"/>
      <c r="Y178" s="10"/>
      <c r="Z178" s="10"/>
      <c r="AA178" s="10"/>
      <c r="AB178" s="7"/>
      <c r="AC178" s="7"/>
      <c r="AD178" s="7"/>
      <c r="AE178" s="10"/>
      <c r="AF178" s="10"/>
      <c r="AG178" s="10"/>
      <c r="AJ178">
        <v>0</v>
      </c>
      <c r="AK178">
        <v>0</v>
      </c>
      <c r="AL178">
        <v>0</v>
      </c>
      <c r="AM178">
        <v>0</v>
      </c>
      <c r="AN178">
        <v>0</v>
      </c>
      <c r="AQ178">
        <v>176</v>
      </c>
      <c r="AR178">
        <f t="shared" si="57"/>
        <v>-11.970768603117889</v>
      </c>
      <c r="AS178">
        <f t="shared" si="58"/>
        <v>0.83707768492950629</v>
      </c>
    </row>
    <row r="179" spans="1:45" x14ac:dyDescent="0.25">
      <c r="A179" s="15">
        <f t="shared" ca="1" si="59"/>
        <v>0</v>
      </c>
      <c r="B179">
        <f t="shared" ca="1" si="60"/>
        <v>0</v>
      </c>
      <c r="M179" s="7"/>
      <c r="N179" s="7"/>
      <c r="O179" s="7"/>
      <c r="Q179" s="7"/>
      <c r="R179" s="7"/>
      <c r="S179" s="7"/>
      <c r="T179" s="7"/>
      <c r="U179" s="7"/>
      <c r="Y179" s="10"/>
      <c r="Z179" s="10"/>
      <c r="AA179" s="10"/>
      <c r="AB179" s="7"/>
      <c r="AC179" s="7"/>
      <c r="AD179" s="7"/>
      <c r="AE179" s="10"/>
      <c r="AF179" s="10"/>
      <c r="AG179" s="10"/>
      <c r="AJ179">
        <v>0</v>
      </c>
      <c r="AK179">
        <v>0</v>
      </c>
      <c r="AL179">
        <v>0</v>
      </c>
      <c r="AM179">
        <v>0</v>
      </c>
      <c r="AN179">
        <v>0</v>
      </c>
      <c r="AQ179">
        <v>177</v>
      </c>
      <c r="AR179">
        <f t="shared" si="57"/>
        <v>-11.983554417054886</v>
      </c>
      <c r="AS179">
        <f t="shared" si="58"/>
        <v>0.62803147491532574</v>
      </c>
    </row>
    <row r="180" spans="1:45" x14ac:dyDescent="0.25">
      <c r="A180" s="15">
        <f t="shared" ca="1" si="59"/>
        <v>0</v>
      </c>
      <c r="B180">
        <f t="shared" ca="1" si="60"/>
        <v>0</v>
      </c>
      <c r="M180" s="7"/>
      <c r="N180" s="7"/>
      <c r="O180" s="7"/>
      <c r="Q180" s="7"/>
      <c r="R180" s="7"/>
      <c r="S180" s="7"/>
      <c r="T180" s="7"/>
      <c r="U180" s="7"/>
      <c r="Y180" s="10"/>
      <c r="Z180" s="10"/>
      <c r="AA180" s="10"/>
      <c r="AB180" s="7"/>
      <c r="AC180" s="7"/>
      <c r="AD180" s="7"/>
      <c r="AE180" s="10"/>
      <c r="AF180" s="10"/>
      <c r="AG180" s="10"/>
      <c r="AJ180">
        <v>0</v>
      </c>
      <c r="AK180">
        <v>0</v>
      </c>
      <c r="AL180">
        <v>0</v>
      </c>
      <c r="AM180">
        <v>0</v>
      </c>
      <c r="AN180">
        <v>0</v>
      </c>
      <c r="AQ180">
        <v>178</v>
      </c>
      <c r="AR180">
        <f t="shared" si="57"/>
        <v>-11.992689924229149</v>
      </c>
      <c r="AS180">
        <f t="shared" si="58"/>
        <v>0.41879396043001371</v>
      </c>
    </row>
    <row r="181" spans="1:45" x14ac:dyDescent="0.25">
      <c r="A181" s="15">
        <f t="shared" ca="1" si="59"/>
        <v>0</v>
      </c>
      <c r="B181">
        <f t="shared" ca="1" si="60"/>
        <v>0</v>
      </c>
      <c r="M181" s="7"/>
      <c r="N181" s="7"/>
      <c r="O181" s="7"/>
      <c r="Q181" s="7"/>
      <c r="R181" s="7"/>
      <c r="S181" s="7"/>
      <c r="T181" s="7"/>
      <c r="U181" s="7"/>
      <c r="Y181" s="10"/>
      <c r="Z181" s="10"/>
      <c r="AA181" s="10"/>
      <c r="AB181" s="7"/>
      <c r="AC181" s="7"/>
      <c r="AD181" s="7"/>
      <c r="AE181" s="10"/>
      <c r="AF181" s="10"/>
      <c r="AG181" s="10"/>
      <c r="AJ181">
        <v>0</v>
      </c>
      <c r="AK181">
        <v>0</v>
      </c>
      <c r="AL181">
        <v>0</v>
      </c>
      <c r="AM181">
        <v>0</v>
      </c>
      <c r="AN181">
        <v>0</v>
      </c>
      <c r="AQ181">
        <v>179</v>
      </c>
      <c r="AR181">
        <f t="shared" si="57"/>
        <v>-11.998172341876696</v>
      </c>
      <c r="AS181">
        <f t="shared" si="58"/>
        <v>0.20942887724740128</v>
      </c>
    </row>
    <row r="182" spans="1:45" x14ac:dyDescent="0.25">
      <c r="A182" s="15">
        <f t="shared" ca="1" si="59"/>
        <v>0</v>
      </c>
      <c r="B182">
        <f t="shared" ca="1" si="60"/>
        <v>0</v>
      </c>
      <c r="M182" s="7"/>
      <c r="N182" s="7"/>
      <c r="O182" s="7"/>
      <c r="Q182" s="7"/>
      <c r="R182" s="7"/>
      <c r="S182" s="7"/>
      <c r="T182" s="7"/>
      <c r="U182" s="7"/>
      <c r="Y182" s="10"/>
      <c r="Z182" s="10"/>
      <c r="AA182" s="10"/>
      <c r="AB182" s="7"/>
      <c r="AC182" s="7"/>
      <c r="AD182" s="7"/>
      <c r="AE182" s="10"/>
      <c r="AF182" s="10"/>
      <c r="AG182" s="10"/>
      <c r="AJ182">
        <v>0</v>
      </c>
      <c r="AK182">
        <v>0</v>
      </c>
      <c r="AL182">
        <v>0</v>
      </c>
      <c r="AM182">
        <v>0</v>
      </c>
      <c r="AN182">
        <v>0</v>
      </c>
      <c r="AQ182">
        <v>180</v>
      </c>
      <c r="AR182">
        <f t="shared" si="57"/>
        <v>-12</v>
      </c>
      <c r="AS182">
        <f t="shared" si="58"/>
        <v>1.470178145890344E-15</v>
      </c>
    </row>
    <row r="183" spans="1:45" x14ac:dyDescent="0.25">
      <c r="A183" s="15">
        <f t="shared" ca="1" si="59"/>
        <v>0</v>
      </c>
      <c r="B183">
        <f t="shared" ca="1" si="60"/>
        <v>0</v>
      </c>
      <c r="M183" s="7"/>
      <c r="N183" s="7"/>
      <c r="O183" s="7"/>
      <c r="Q183" s="7"/>
      <c r="R183" s="7"/>
      <c r="S183" s="7"/>
      <c r="T183" s="7"/>
      <c r="U183" s="7"/>
      <c r="Y183" s="10"/>
      <c r="Z183" s="10"/>
      <c r="AA183" s="10"/>
      <c r="AB183" s="7"/>
      <c r="AC183" s="7"/>
      <c r="AD183" s="7"/>
      <c r="AE183" s="10"/>
      <c r="AF183" s="10"/>
      <c r="AG183" s="10"/>
      <c r="AJ183">
        <v>0</v>
      </c>
      <c r="AK183">
        <v>0</v>
      </c>
      <c r="AL183">
        <v>0</v>
      </c>
      <c r="AM183">
        <v>0</v>
      </c>
      <c r="AN183">
        <v>0</v>
      </c>
      <c r="AQ183">
        <v>181</v>
      </c>
      <c r="AR183">
        <f t="shared" si="57"/>
        <v>-11.998172341876696</v>
      </c>
      <c r="AS183">
        <f t="shared" si="58"/>
        <v>-0.20942887724740364</v>
      </c>
    </row>
    <row r="184" spans="1:45" x14ac:dyDescent="0.25">
      <c r="A184" s="15">
        <f t="shared" ca="1" si="59"/>
        <v>0</v>
      </c>
      <c r="B184">
        <f t="shared" ca="1" si="60"/>
        <v>0</v>
      </c>
      <c r="M184" s="7"/>
      <c r="N184" s="7"/>
      <c r="O184" s="7"/>
      <c r="Q184" s="7"/>
      <c r="R184" s="7"/>
      <c r="S184" s="7"/>
      <c r="T184" s="7"/>
      <c r="U184" s="7"/>
      <c r="Y184" s="10"/>
      <c r="Z184" s="10"/>
      <c r="AA184" s="10"/>
      <c r="AB184" s="7"/>
      <c r="AC184" s="7"/>
      <c r="AD184" s="7"/>
      <c r="AE184" s="10"/>
      <c r="AF184" s="10"/>
      <c r="AG184" s="10"/>
      <c r="AJ184">
        <v>0</v>
      </c>
      <c r="AK184">
        <v>0</v>
      </c>
      <c r="AL184">
        <v>0</v>
      </c>
      <c r="AM184">
        <v>0</v>
      </c>
      <c r="AN184">
        <v>0</v>
      </c>
      <c r="AQ184">
        <v>182</v>
      </c>
      <c r="AR184">
        <f t="shared" si="57"/>
        <v>-11.992689924229149</v>
      </c>
      <c r="AS184">
        <f t="shared" si="58"/>
        <v>-0.41879396043001083</v>
      </c>
    </row>
    <row r="185" spans="1:45" x14ac:dyDescent="0.25">
      <c r="A185" s="15">
        <f t="shared" ca="1" si="59"/>
        <v>0</v>
      </c>
      <c r="B185">
        <f t="shared" ca="1" si="60"/>
        <v>0</v>
      </c>
      <c r="M185" s="7"/>
      <c r="N185" s="7"/>
      <c r="O185" s="7"/>
      <c r="Q185" s="7"/>
      <c r="R185" s="7"/>
      <c r="S185" s="7"/>
      <c r="T185" s="7"/>
      <c r="U185" s="7"/>
      <c r="Y185" s="10"/>
      <c r="Z185" s="10"/>
      <c r="AA185" s="10"/>
      <c r="AB185" s="7"/>
      <c r="AC185" s="7"/>
      <c r="AD185" s="7"/>
      <c r="AE185" s="10"/>
      <c r="AF185" s="10"/>
      <c r="AG185" s="10"/>
      <c r="AJ185">
        <v>0</v>
      </c>
      <c r="AK185">
        <v>0</v>
      </c>
      <c r="AL185">
        <v>0</v>
      </c>
      <c r="AM185">
        <v>0</v>
      </c>
      <c r="AN185">
        <v>0</v>
      </c>
      <c r="AQ185">
        <v>183</v>
      </c>
      <c r="AR185">
        <f t="shared" si="57"/>
        <v>-11.983554417054886</v>
      </c>
      <c r="AS185">
        <f t="shared" si="58"/>
        <v>-0.62803147491532263</v>
      </c>
    </row>
    <row r="186" spans="1:45" x14ac:dyDescent="0.25">
      <c r="A186" s="15">
        <f t="shared" ca="1" si="59"/>
        <v>0</v>
      </c>
      <c r="B186">
        <f t="shared" ca="1" si="60"/>
        <v>0</v>
      </c>
      <c r="M186" s="7"/>
      <c r="N186" s="7"/>
      <c r="O186" s="7"/>
      <c r="Q186" s="7"/>
      <c r="R186" s="7"/>
      <c r="S186" s="7"/>
      <c r="T186" s="7"/>
      <c r="U186" s="7"/>
      <c r="Y186" s="10"/>
      <c r="Z186" s="10"/>
      <c r="AA186" s="10"/>
      <c r="AB186" s="7"/>
      <c r="AC186" s="7"/>
      <c r="AD186" s="7"/>
      <c r="AE186" s="10"/>
      <c r="AF186" s="10"/>
      <c r="AG186" s="10"/>
      <c r="AJ186">
        <v>0</v>
      </c>
      <c r="AK186">
        <v>0</v>
      </c>
      <c r="AL186">
        <v>0</v>
      </c>
      <c r="AM186">
        <v>0</v>
      </c>
      <c r="AN186">
        <v>0</v>
      </c>
      <c r="AQ186">
        <v>184</v>
      </c>
      <c r="AR186">
        <f t="shared" si="57"/>
        <v>-11.970768603117889</v>
      </c>
      <c r="AS186">
        <f t="shared" si="58"/>
        <v>-0.8370776849295033</v>
      </c>
    </row>
    <row r="187" spans="1:45" x14ac:dyDescent="0.25">
      <c r="A187" s="15">
        <f t="shared" ca="1" si="59"/>
        <v>0</v>
      </c>
      <c r="B187">
        <f t="shared" ca="1" si="60"/>
        <v>0</v>
      </c>
      <c r="M187" s="7"/>
      <c r="N187" s="7"/>
      <c r="O187" s="7"/>
      <c r="Q187" s="7"/>
      <c r="R187" s="7"/>
      <c r="S187" s="7"/>
      <c r="T187" s="7"/>
      <c r="U187" s="7"/>
      <c r="Y187" s="10"/>
      <c r="Z187" s="10"/>
      <c r="AA187" s="10"/>
      <c r="AB187" s="7"/>
      <c r="AC187" s="7"/>
      <c r="AD187" s="7"/>
      <c r="AE187" s="10"/>
      <c r="AF187" s="10"/>
      <c r="AG187" s="10"/>
      <c r="AJ187">
        <v>0</v>
      </c>
      <c r="AK187">
        <v>0</v>
      </c>
      <c r="AL187">
        <v>0</v>
      </c>
      <c r="AM187">
        <v>0</v>
      </c>
      <c r="AN187">
        <v>0</v>
      </c>
      <c r="AQ187">
        <v>185</v>
      </c>
      <c r="AR187">
        <f t="shared" si="57"/>
        <v>-11.954336377100947</v>
      </c>
      <c r="AS187">
        <f t="shared" si="58"/>
        <v>-1.0458689129718954</v>
      </c>
    </row>
    <row r="188" spans="1:45" x14ac:dyDescent="0.25">
      <c r="A188" s="15">
        <f t="shared" ca="1" si="59"/>
        <v>0</v>
      </c>
      <c r="B188">
        <f t="shared" ca="1" si="60"/>
        <v>0</v>
      </c>
      <c r="M188" s="7"/>
      <c r="N188" s="7"/>
      <c r="O188" s="7"/>
      <c r="Q188" s="7"/>
      <c r="R188" s="7"/>
      <c r="S188" s="7"/>
      <c r="T188" s="7"/>
      <c r="U188" s="7"/>
      <c r="Y188" s="10"/>
      <c r="Z188" s="10"/>
      <c r="AA188" s="10"/>
      <c r="AB188" s="7"/>
      <c r="AC188" s="7"/>
      <c r="AD188" s="7"/>
      <c r="AE188" s="10"/>
      <c r="AF188" s="10"/>
      <c r="AG188" s="10"/>
      <c r="AJ188">
        <v>0</v>
      </c>
      <c r="AK188">
        <v>0</v>
      </c>
      <c r="AL188">
        <v>0</v>
      </c>
      <c r="AM188">
        <v>0</v>
      </c>
      <c r="AN188">
        <v>0</v>
      </c>
      <c r="AQ188">
        <v>186</v>
      </c>
      <c r="AR188">
        <f t="shared" si="57"/>
        <v>-11.934262744419279</v>
      </c>
      <c r="AS188">
        <f t="shared" si="58"/>
        <v>-1.2543415592118419</v>
      </c>
    </row>
    <row r="189" spans="1:45" x14ac:dyDescent="0.25">
      <c r="A189" s="15">
        <f t="shared" ca="1" si="59"/>
        <v>0</v>
      </c>
      <c r="B189">
        <f t="shared" ca="1" si="60"/>
        <v>0</v>
      </c>
      <c r="M189" s="7"/>
      <c r="N189" s="7"/>
      <c r="O189" s="7"/>
      <c r="Q189" s="7"/>
      <c r="R189" s="7"/>
      <c r="S189" s="7"/>
      <c r="T189" s="7"/>
      <c r="U189" s="7"/>
      <c r="Y189" s="10"/>
      <c r="Z189" s="10"/>
      <c r="AA189" s="10"/>
      <c r="AB189" s="7"/>
      <c r="AC189" s="7"/>
      <c r="AD189" s="7"/>
      <c r="AE189" s="10"/>
      <c r="AF189" s="10"/>
      <c r="AG189" s="10"/>
      <c r="AJ189">
        <v>0</v>
      </c>
      <c r="AK189">
        <v>0</v>
      </c>
      <c r="AL189">
        <v>0</v>
      </c>
      <c r="AM189">
        <v>0</v>
      </c>
      <c r="AN189">
        <v>0</v>
      </c>
      <c r="AQ189">
        <v>187</v>
      </c>
      <c r="AR189">
        <f t="shared" si="57"/>
        <v>-11.910553819695865</v>
      </c>
      <c r="AS189">
        <f t="shared" si="58"/>
        <v>-1.4624321208617677</v>
      </c>
    </row>
    <row r="190" spans="1:45" x14ac:dyDescent="0.25">
      <c r="A190" s="15">
        <f t="shared" ca="1" si="59"/>
        <v>0</v>
      </c>
      <c r="B190">
        <f t="shared" ca="1" si="60"/>
        <v>0</v>
      </c>
      <c r="M190" s="7"/>
      <c r="N190" s="7"/>
      <c r="O190" s="7"/>
      <c r="Q190" s="7"/>
      <c r="R190" s="7"/>
      <c r="S190" s="7"/>
      <c r="T190" s="7"/>
      <c r="U190" s="7"/>
      <c r="Y190" s="10"/>
      <c r="Z190" s="10"/>
      <c r="AA190" s="10"/>
      <c r="AB190" s="7"/>
      <c r="AC190" s="7"/>
      <c r="AD190" s="7"/>
      <c r="AE190" s="10"/>
      <c r="AF190" s="10"/>
      <c r="AG190" s="10"/>
      <c r="AJ190">
        <v>0</v>
      </c>
      <c r="AK190">
        <v>0</v>
      </c>
      <c r="AL190">
        <v>0</v>
      </c>
      <c r="AM190">
        <v>0</v>
      </c>
      <c r="AN190">
        <v>0</v>
      </c>
      <c r="AQ190">
        <v>188</v>
      </c>
      <c r="AR190">
        <f t="shared" si="57"/>
        <v>-11.883216824898843</v>
      </c>
      <c r="AS190">
        <f t="shared" si="58"/>
        <v>-1.6700772115207863</v>
      </c>
    </row>
    <row r="191" spans="1:45" x14ac:dyDescent="0.25">
      <c r="A191" s="15">
        <f t="shared" ca="1" si="59"/>
        <v>0</v>
      </c>
      <c r="B191">
        <f t="shared" ca="1" si="60"/>
        <v>0</v>
      </c>
      <c r="M191" s="7"/>
      <c r="N191" s="7"/>
      <c r="O191" s="7"/>
      <c r="Q191" s="7"/>
      <c r="R191" s="7"/>
      <c r="S191" s="7"/>
      <c r="T191" s="7"/>
      <c r="U191" s="7"/>
      <c r="Y191" s="10"/>
      <c r="Z191" s="10"/>
      <c r="AA191" s="10"/>
      <c r="AB191" s="7"/>
      <c r="AC191" s="7"/>
      <c r="AD191" s="7"/>
      <c r="AE191" s="10"/>
      <c r="AF191" s="10"/>
      <c r="AG191" s="10"/>
      <c r="AJ191">
        <v>0</v>
      </c>
      <c r="AK191">
        <v>0</v>
      </c>
      <c r="AL191">
        <v>0</v>
      </c>
      <c r="AM191">
        <v>0</v>
      </c>
      <c r="AN191">
        <v>0</v>
      </c>
      <c r="AQ191">
        <v>189</v>
      </c>
      <c r="AR191">
        <f t="shared" si="57"/>
        <v>-11.852260087141653</v>
      </c>
      <c r="AS191">
        <f t="shared" si="58"/>
        <v>-1.8772135804827688</v>
      </c>
    </row>
    <row r="192" spans="1:45" x14ac:dyDescent="0.25">
      <c r="A192" s="15">
        <f t="shared" ca="1" si="59"/>
        <v>0</v>
      </c>
      <c r="B192">
        <f t="shared" ca="1" si="60"/>
        <v>0</v>
      </c>
      <c r="M192" s="7"/>
      <c r="N192" s="7"/>
      <c r="O192" s="7"/>
      <c r="Q192" s="7"/>
      <c r="R192" s="7"/>
      <c r="S192" s="7"/>
      <c r="T192" s="7"/>
      <c r="U192" s="7"/>
      <c r="Y192" s="10"/>
      <c r="Z192" s="10"/>
      <c r="AA192" s="10"/>
      <c r="AB192" s="7"/>
      <c r="AC192" s="7"/>
      <c r="AD192" s="7"/>
      <c r="AE192" s="10"/>
      <c r="AF192" s="10"/>
      <c r="AG192" s="10"/>
      <c r="AJ192">
        <v>0</v>
      </c>
      <c r="AK192">
        <v>0</v>
      </c>
      <c r="AL192">
        <v>0</v>
      </c>
      <c r="AM192">
        <v>0</v>
      </c>
      <c r="AN192">
        <v>0</v>
      </c>
      <c r="AQ192">
        <v>190</v>
      </c>
      <c r="AR192">
        <f t="shared" si="57"/>
        <v>-11.817693036146496</v>
      </c>
      <c r="AS192">
        <f t="shared" si="58"/>
        <v>-2.0837781320031654</v>
      </c>
    </row>
    <row r="193" spans="1:45" x14ac:dyDescent="0.25">
      <c r="A193" s="15">
        <f t="shared" ca="1" si="59"/>
        <v>0</v>
      </c>
      <c r="B193">
        <f t="shared" ca="1" si="60"/>
        <v>0</v>
      </c>
      <c r="M193" s="7"/>
      <c r="N193" s="7"/>
      <c r="O193" s="7"/>
      <c r="Q193" s="7"/>
      <c r="R193" s="7"/>
      <c r="S193" s="7"/>
      <c r="T193" s="7"/>
      <c r="U193" s="7"/>
      <c r="Y193" s="10"/>
      <c r="Z193" s="10"/>
      <c r="AA193" s="10"/>
      <c r="AB193" s="7"/>
      <c r="AC193" s="7"/>
      <c r="AD193" s="7"/>
      <c r="AE193" s="10"/>
      <c r="AF193" s="10"/>
      <c r="AG193" s="10"/>
      <c r="AJ193">
        <v>0</v>
      </c>
      <c r="AK193">
        <v>0</v>
      </c>
      <c r="AL193">
        <v>0</v>
      </c>
      <c r="AM193">
        <v>0</v>
      </c>
      <c r="AN193">
        <v>0</v>
      </c>
      <c r="AQ193">
        <v>191</v>
      </c>
      <c r="AR193">
        <f t="shared" si="57"/>
        <v>-11.779526201371969</v>
      </c>
      <c r="AS193">
        <f t="shared" si="58"/>
        <v>-2.2897079445185367</v>
      </c>
    </row>
    <row r="194" spans="1:45" x14ac:dyDescent="0.25">
      <c r="A194" s="15">
        <f t="shared" ca="1" si="59"/>
        <v>0</v>
      </c>
      <c r="B194">
        <f t="shared" ca="1" si="60"/>
        <v>0</v>
      </c>
      <c r="M194" s="7"/>
      <c r="N194" s="7"/>
      <c r="O194" s="7"/>
      <c r="Q194" s="7"/>
      <c r="R194" s="7"/>
      <c r="S194" s="7"/>
      <c r="T194" s="7"/>
      <c r="U194" s="7"/>
      <c r="Y194" s="10"/>
      <c r="Z194" s="10"/>
      <c r="AA194" s="10"/>
      <c r="AB194" s="7"/>
      <c r="AC194" s="7"/>
      <c r="AD194" s="7"/>
      <c r="AE194" s="10"/>
      <c r="AF194" s="10"/>
      <c r="AG194" s="10"/>
      <c r="AJ194">
        <v>0</v>
      </c>
      <c r="AK194">
        <v>0</v>
      </c>
      <c r="AL194">
        <v>0</v>
      </c>
      <c r="AM194">
        <v>0</v>
      </c>
      <c r="AN194">
        <v>0</v>
      </c>
      <c r="AQ194">
        <v>192</v>
      </c>
      <c r="AR194">
        <f t="shared" si="57"/>
        <v>-11.737771208805666</v>
      </c>
      <c r="AS194">
        <f t="shared" si="58"/>
        <v>-2.4949402898131141</v>
      </c>
    </row>
    <row r="195" spans="1:45" x14ac:dyDescent="0.25">
      <c r="A195" s="15">
        <f t="shared" ca="1" si="59"/>
        <v>0</v>
      </c>
      <c r="B195">
        <f t="shared" ca="1" si="60"/>
        <v>0</v>
      </c>
      <c r="M195" s="7"/>
      <c r="N195" s="7"/>
      <c r="O195" s="7"/>
      <c r="Q195" s="7"/>
      <c r="R195" s="7"/>
      <c r="S195" s="7"/>
      <c r="T195" s="7"/>
      <c r="U195" s="7"/>
      <c r="Y195" s="10"/>
      <c r="Z195" s="10"/>
      <c r="AA195" s="10"/>
      <c r="AB195" s="7"/>
      <c r="AC195" s="7"/>
      <c r="AD195" s="7"/>
      <c r="AE195" s="10"/>
      <c r="AF195" s="10"/>
      <c r="AG195" s="10"/>
      <c r="AJ195">
        <v>0</v>
      </c>
      <c r="AK195">
        <v>0</v>
      </c>
      <c r="AL195">
        <v>0</v>
      </c>
      <c r="AM195">
        <v>0</v>
      </c>
      <c r="AN195">
        <v>0</v>
      </c>
      <c r="AQ195">
        <v>193</v>
      </c>
      <c r="AR195">
        <f t="shared" ref="AR195:AR258" si="61">$B$3*COS(RADIANS(AQ195))</f>
        <v>-11.692440777422823</v>
      </c>
      <c r="AS195">
        <f t="shared" ref="AS195:AS258" si="62">$B$3*SIN(RADIANS(AQ195))</f>
        <v>-2.6994126521263797</v>
      </c>
    </row>
    <row r="196" spans="1:45" x14ac:dyDescent="0.25">
      <c r="A196" s="15">
        <f t="shared" ca="1" si="59"/>
        <v>0</v>
      </c>
      <c r="B196">
        <f t="shared" ca="1" si="60"/>
        <v>0</v>
      </c>
      <c r="M196" s="7"/>
      <c r="N196" s="7"/>
      <c r="O196" s="7"/>
      <c r="Q196" s="7"/>
      <c r="R196" s="7"/>
      <c r="S196" s="7"/>
      <c r="T196" s="7"/>
      <c r="U196" s="7"/>
      <c r="Y196" s="10"/>
      <c r="Z196" s="10"/>
      <c r="AA196" s="10"/>
      <c r="AB196" s="7"/>
      <c r="AC196" s="7"/>
      <c r="AD196" s="7"/>
      <c r="AE196" s="10"/>
      <c r="AF196" s="10"/>
      <c r="AG196" s="10"/>
      <c r="AJ196">
        <v>0</v>
      </c>
      <c r="AK196">
        <v>0</v>
      </c>
      <c r="AL196">
        <v>0</v>
      </c>
      <c r="AM196">
        <v>0</v>
      </c>
      <c r="AN196">
        <v>0</v>
      </c>
      <c r="AQ196">
        <v>194</v>
      </c>
      <c r="AR196">
        <f t="shared" si="61"/>
        <v>-11.643548715311958</v>
      </c>
      <c r="AS196">
        <f t="shared" si="62"/>
        <v>-2.9030627471960102</v>
      </c>
    </row>
    <row r="197" spans="1:45" x14ac:dyDescent="0.25">
      <c r="A197" s="15">
        <f t="shared" ca="1" si="59"/>
        <v>0</v>
      </c>
      <c r="B197">
        <f t="shared" ca="1" si="60"/>
        <v>0</v>
      </c>
      <c r="M197" s="7"/>
      <c r="N197" s="7"/>
      <c r="O197" s="7"/>
      <c r="Q197" s="7"/>
      <c r="R197" s="7"/>
      <c r="S197" s="7"/>
      <c r="T197" s="7"/>
      <c r="U197" s="7"/>
      <c r="Y197" s="10"/>
      <c r="Z197" s="10"/>
      <c r="AA197" s="10"/>
      <c r="AB197" s="7"/>
      <c r="AC197" s="7"/>
      <c r="AD197" s="7"/>
      <c r="AE197" s="10"/>
      <c r="AF197" s="10"/>
      <c r="AG197" s="10"/>
      <c r="AJ197">
        <v>0</v>
      </c>
      <c r="AK197">
        <v>0</v>
      </c>
      <c r="AL197">
        <v>0</v>
      </c>
      <c r="AM197">
        <v>0</v>
      </c>
      <c r="AN197">
        <v>0</v>
      </c>
      <c r="AQ197">
        <v>195</v>
      </c>
      <c r="AR197">
        <f t="shared" si="61"/>
        <v>-11.59110991546882</v>
      </c>
      <c r="AS197">
        <f t="shared" si="62"/>
        <v>-3.1058285412302498</v>
      </c>
    </row>
    <row r="198" spans="1:45" x14ac:dyDescent="0.25">
      <c r="A198" s="15">
        <f t="shared" ca="1" si="59"/>
        <v>0</v>
      </c>
      <c r="B198">
        <f t="shared" ca="1" si="60"/>
        <v>0</v>
      </c>
      <c r="M198" s="7"/>
      <c r="N198" s="7"/>
      <c r="O198" s="7"/>
      <c r="Q198" s="7"/>
      <c r="R198" s="7"/>
      <c r="S198" s="7"/>
      <c r="T198" s="7"/>
      <c r="U198" s="7"/>
      <c r="Y198" s="10"/>
      <c r="Z198" s="10"/>
      <c r="AA198" s="10"/>
      <c r="AB198" s="7"/>
      <c r="AC198" s="7"/>
      <c r="AD198" s="7"/>
      <c r="AE198" s="10"/>
      <c r="AF198" s="10"/>
      <c r="AG198" s="10"/>
      <c r="AJ198">
        <v>0</v>
      </c>
      <c r="AK198">
        <v>0</v>
      </c>
      <c r="AL198">
        <v>0</v>
      </c>
      <c r="AM198">
        <v>0</v>
      </c>
      <c r="AN198">
        <v>0</v>
      </c>
      <c r="AQ198">
        <v>196</v>
      </c>
      <c r="AR198">
        <f t="shared" si="61"/>
        <v>-11.535140351259827</v>
      </c>
      <c r="AS198">
        <f t="shared" si="62"/>
        <v>-3.307648269803988</v>
      </c>
    </row>
    <row r="199" spans="1:45" x14ac:dyDescent="0.25">
      <c r="A199" s="15">
        <f t="shared" ca="1" si="59"/>
        <v>0</v>
      </c>
      <c r="B199">
        <f t="shared" ca="1" si="60"/>
        <v>0</v>
      </c>
      <c r="M199" s="7"/>
      <c r="N199" s="7"/>
      <c r="O199" s="7"/>
      <c r="Q199" s="7"/>
      <c r="R199" s="7"/>
      <c r="S199" s="7"/>
      <c r="T199" s="7"/>
      <c r="U199" s="7"/>
      <c r="Y199" s="10"/>
      <c r="Z199" s="10"/>
      <c r="AA199" s="10"/>
      <c r="AB199" s="7"/>
      <c r="AC199" s="7"/>
      <c r="AD199" s="7"/>
      <c r="AE199" s="10"/>
      <c r="AF199" s="10"/>
      <c r="AG199" s="10"/>
      <c r="AJ199">
        <v>0</v>
      </c>
      <c r="AK199">
        <v>0</v>
      </c>
      <c r="AL199">
        <v>0</v>
      </c>
      <c r="AM199">
        <v>0</v>
      </c>
      <c r="AN199">
        <v>0</v>
      </c>
      <c r="AQ199">
        <v>197</v>
      </c>
      <c r="AR199">
        <f t="shared" si="61"/>
        <v>-11.475657071556425</v>
      </c>
      <c r="AS199">
        <f t="shared" si="62"/>
        <v>-3.5084604566728412</v>
      </c>
    </row>
    <row r="200" spans="1:45" x14ac:dyDescent="0.25">
      <c r="A200" s="15">
        <f t="shared" ca="1" si="59"/>
        <v>0</v>
      </c>
      <c r="B200">
        <f t="shared" ca="1" si="60"/>
        <v>0</v>
      </c>
      <c r="M200" s="7"/>
      <c r="N200" s="7"/>
      <c r="O200" s="7"/>
      <c r="Q200" s="7"/>
      <c r="R200" s="7"/>
      <c r="S200" s="7"/>
      <c r="T200" s="7"/>
      <c r="U200" s="7"/>
      <c r="Y200" s="10"/>
      <c r="Z200" s="10"/>
      <c r="AA200" s="10"/>
      <c r="AB200" s="7"/>
      <c r="AC200" s="7"/>
      <c r="AD200" s="7"/>
      <c r="AE200" s="10"/>
      <c r="AF200" s="10"/>
      <c r="AG200" s="10"/>
      <c r="AJ200">
        <v>0</v>
      </c>
      <c r="AK200">
        <v>0</v>
      </c>
      <c r="AL200">
        <v>0</v>
      </c>
      <c r="AM200">
        <v>0</v>
      </c>
      <c r="AN200">
        <v>0</v>
      </c>
      <c r="AQ200">
        <v>198</v>
      </c>
      <c r="AR200">
        <f t="shared" si="61"/>
        <v>-11.412678195541844</v>
      </c>
      <c r="AS200">
        <f t="shared" si="62"/>
        <v>-3.7082039324993676</v>
      </c>
    </row>
    <row r="201" spans="1:45" x14ac:dyDescent="0.25">
      <c r="A201" s="15">
        <f t="shared" ca="1" si="59"/>
        <v>0</v>
      </c>
      <c r="B201">
        <f t="shared" ca="1" si="60"/>
        <v>0</v>
      </c>
      <c r="M201" s="7"/>
      <c r="N201" s="7"/>
      <c r="O201" s="7"/>
      <c r="Q201" s="7"/>
      <c r="R201" s="7"/>
      <c r="S201" s="7"/>
      <c r="T201" s="7"/>
      <c r="U201" s="7"/>
      <c r="Y201" s="10"/>
      <c r="Z201" s="10"/>
      <c r="AA201" s="10"/>
      <c r="AB201" s="7"/>
      <c r="AC201" s="7"/>
      <c r="AD201" s="7"/>
      <c r="AE201" s="10"/>
      <c r="AF201" s="10"/>
      <c r="AG201" s="10"/>
      <c r="AJ201">
        <v>0</v>
      </c>
      <c r="AK201">
        <v>0</v>
      </c>
      <c r="AL201">
        <v>0</v>
      </c>
      <c r="AM201">
        <v>0</v>
      </c>
      <c r="AN201">
        <v>0</v>
      </c>
      <c r="AQ201">
        <v>199</v>
      </c>
      <c r="AR201">
        <f t="shared" si="61"/>
        <v>-11.346222907191802</v>
      </c>
      <c r="AS201">
        <f t="shared" si="62"/>
        <v>-3.9068178534858813</v>
      </c>
    </row>
    <row r="202" spans="1:45" x14ac:dyDescent="0.25">
      <c r="A202" s="15">
        <f t="shared" ca="1" si="59"/>
        <v>0</v>
      </c>
      <c r="B202">
        <f t="shared" ca="1" si="60"/>
        <v>0</v>
      </c>
      <c r="M202" s="7"/>
      <c r="N202" s="7"/>
      <c r="O202" s="7"/>
      <c r="Q202" s="7"/>
      <c r="R202" s="7"/>
      <c r="S202" s="7"/>
      <c r="T202" s="7"/>
      <c r="U202" s="7"/>
      <c r="Y202" s="10"/>
      <c r="Z202" s="10"/>
      <c r="AA202" s="10"/>
      <c r="AB202" s="7"/>
      <c r="AC202" s="7"/>
      <c r="AD202" s="7"/>
      <c r="AE202" s="10"/>
      <c r="AF202" s="10"/>
      <c r="AG202" s="10"/>
      <c r="AJ202">
        <v>0</v>
      </c>
      <c r="AK202">
        <v>0</v>
      </c>
      <c r="AL202">
        <v>0</v>
      </c>
      <c r="AM202">
        <v>0</v>
      </c>
      <c r="AN202">
        <v>0</v>
      </c>
      <c r="AQ202">
        <v>200</v>
      </c>
      <c r="AR202">
        <f t="shared" si="61"/>
        <v>-11.276311449430901</v>
      </c>
      <c r="AS202">
        <f t="shared" si="62"/>
        <v>-4.1042417199080239</v>
      </c>
    </row>
    <row r="203" spans="1:45" x14ac:dyDescent="0.25">
      <c r="A203" s="15">
        <f t="shared" ca="1" si="59"/>
        <v>0</v>
      </c>
      <c r="B203">
        <f t="shared" ca="1" si="60"/>
        <v>0</v>
      </c>
      <c r="M203" s="7"/>
      <c r="N203" s="7"/>
      <c r="O203" s="7"/>
      <c r="Q203" s="7"/>
      <c r="R203" s="7"/>
      <c r="S203" s="7"/>
      <c r="T203" s="7"/>
      <c r="U203" s="7"/>
      <c r="Y203" s="10"/>
      <c r="Z203" s="10"/>
      <c r="AA203" s="10"/>
      <c r="AB203" s="7"/>
      <c r="AC203" s="7"/>
      <c r="AD203" s="7"/>
      <c r="AE203" s="10"/>
      <c r="AF203" s="10"/>
      <c r="AG203" s="10"/>
      <c r="AJ203">
        <v>0</v>
      </c>
      <c r="AK203">
        <v>0</v>
      </c>
      <c r="AL203">
        <v>0</v>
      </c>
      <c r="AM203">
        <v>0</v>
      </c>
      <c r="AN203">
        <v>0</v>
      </c>
      <c r="AQ203">
        <v>201</v>
      </c>
      <c r="AR203">
        <f t="shared" si="61"/>
        <v>-11.202965117966421</v>
      </c>
      <c r="AS203">
        <f t="shared" si="62"/>
        <v>-4.300415394543605</v>
      </c>
    </row>
    <row r="204" spans="1:45" x14ac:dyDescent="0.25">
      <c r="A204" s="15">
        <f t="shared" ca="1" si="59"/>
        <v>0</v>
      </c>
      <c r="B204">
        <f t="shared" ca="1" si="60"/>
        <v>0</v>
      </c>
      <c r="M204" s="7"/>
      <c r="N204" s="7"/>
      <c r="O204" s="7"/>
      <c r="Q204" s="7"/>
      <c r="R204" s="7"/>
      <c r="S204" s="7"/>
      <c r="T204" s="7"/>
      <c r="U204" s="7"/>
      <c r="Y204" s="10"/>
      <c r="Z204" s="10"/>
      <c r="AA204" s="10"/>
      <c r="AB204" s="7"/>
      <c r="AC204" s="7"/>
      <c r="AD204" s="7"/>
      <c r="AE204" s="10"/>
      <c r="AF204" s="10"/>
      <c r="AG204" s="10"/>
      <c r="AJ204">
        <v>0</v>
      </c>
      <c r="AK204">
        <v>0</v>
      </c>
      <c r="AL204">
        <v>0</v>
      </c>
      <c r="AM204">
        <v>0</v>
      </c>
      <c r="AN204">
        <v>0</v>
      </c>
      <c r="AQ204">
        <v>202</v>
      </c>
      <c r="AR204">
        <f t="shared" si="61"/>
        <v>-11.126206254801449</v>
      </c>
      <c r="AS204">
        <f t="shared" si="62"/>
        <v>-4.4952791209909444</v>
      </c>
    </row>
    <row r="205" spans="1:45" x14ac:dyDescent="0.25">
      <c r="A205" s="15">
        <f t="shared" ca="1" si="59"/>
        <v>0</v>
      </c>
      <c r="B205">
        <f t="shared" ca="1" si="60"/>
        <v>0</v>
      </c>
      <c r="M205" s="7"/>
      <c r="N205" s="7"/>
      <c r="O205" s="7"/>
      <c r="Q205" s="7"/>
      <c r="R205" s="7"/>
      <c r="S205" s="7"/>
      <c r="T205" s="7"/>
      <c r="U205" s="7"/>
      <c r="Y205" s="10"/>
      <c r="Z205" s="10"/>
      <c r="AA205" s="10"/>
      <c r="AB205" s="7"/>
      <c r="AC205" s="7"/>
      <c r="AD205" s="7"/>
      <c r="AE205" s="10"/>
      <c r="AF205" s="10"/>
      <c r="AG205" s="10"/>
      <c r="AJ205">
        <v>0</v>
      </c>
      <c r="AK205">
        <v>0</v>
      </c>
      <c r="AL205">
        <v>0</v>
      </c>
      <c r="AM205">
        <v>0</v>
      </c>
      <c r="AN205">
        <v>0</v>
      </c>
      <c r="AQ205">
        <v>203</v>
      </c>
      <c r="AR205">
        <f t="shared" si="61"/>
        <v>-11.046058241429284</v>
      </c>
      <c r="AS205">
        <f t="shared" si="62"/>
        <v>-4.6887735418712824</v>
      </c>
    </row>
    <row r="206" spans="1:45" x14ac:dyDescent="0.25">
      <c r="A206" s="15">
        <f t="shared" ca="1" si="59"/>
        <v>0</v>
      </c>
      <c r="B206">
        <f t="shared" ca="1" si="60"/>
        <v>0</v>
      </c>
      <c r="M206" s="7"/>
      <c r="N206" s="7"/>
      <c r="O206" s="7"/>
      <c r="Q206" s="7"/>
      <c r="R206" s="7"/>
      <c r="S206" s="7"/>
      <c r="T206" s="7"/>
      <c r="U206" s="7"/>
      <c r="Y206" s="10"/>
      <c r="Z206" s="10"/>
      <c r="AA206" s="10"/>
      <c r="AB206" s="7"/>
      <c r="AC206" s="7"/>
      <c r="AD206" s="7"/>
      <c r="AE206" s="10"/>
      <c r="AF206" s="10"/>
      <c r="AG206" s="10"/>
      <c r="AJ206">
        <v>0</v>
      </c>
      <c r="AK206">
        <v>0</v>
      </c>
      <c r="AL206">
        <v>0</v>
      </c>
      <c r="AM206">
        <v>0</v>
      </c>
      <c r="AN206">
        <v>0</v>
      </c>
      <c r="AQ206">
        <v>204</v>
      </c>
      <c r="AR206">
        <f t="shared" si="61"/>
        <v>-10.962545491711211</v>
      </c>
      <c r="AS206">
        <f t="shared" si="62"/>
        <v>-4.8808397169096027</v>
      </c>
    </row>
    <row r="207" spans="1:45" x14ac:dyDescent="0.25">
      <c r="A207" s="15">
        <f t="shared" ca="1" si="59"/>
        <v>0</v>
      </c>
      <c r="B207">
        <f t="shared" ca="1" si="60"/>
        <v>0</v>
      </c>
      <c r="M207" s="7"/>
      <c r="N207" s="7"/>
      <c r="O207" s="7"/>
      <c r="Q207" s="7"/>
      <c r="R207" s="7"/>
      <c r="S207" s="7"/>
      <c r="T207" s="7"/>
      <c r="U207" s="7"/>
      <c r="Y207" s="10"/>
      <c r="Z207" s="10"/>
      <c r="AA207" s="10"/>
      <c r="AB207" s="7"/>
      <c r="AC207" s="7"/>
      <c r="AD207" s="7"/>
      <c r="AE207" s="10"/>
      <c r="AF207" s="10"/>
      <c r="AG207" s="10"/>
      <c r="AJ207">
        <v>0</v>
      </c>
      <c r="AK207">
        <v>0</v>
      </c>
      <c r="AL207">
        <v>0</v>
      </c>
      <c r="AM207">
        <v>0</v>
      </c>
      <c r="AN207">
        <v>0</v>
      </c>
      <c r="AQ207">
        <v>205</v>
      </c>
      <c r="AR207">
        <f t="shared" si="61"/>
        <v>-10.875693444439801</v>
      </c>
      <c r="AS207">
        <f t="shared" si="62"/>
        <v>-5.0714191408883913</v>
      </c>
    </row>
    <row r="208" spans="1:45" x14ac:dyDescent="0.25">
      <c r="A208" s="15">
        <f t="shared" ca="1" si="59"/>
        <v>0</v>
      </c>
      <c r="B208">
        <f t="shared" ca="1" si="60"/>
        <v>0</v>
      </c>
      <c r="M208" s="7"/>
      <c r="N208" s="7"/>
      <c r="O208" s="7"/>
      <c r="Q208" s="7"/>
      <c r="R208" s="7"/>
      <c r="S208" s="7"/>
      <c r="T208" s="7"/>
      <c r="U208" s="7"/>
      <c r="Y208" s="10"/>
      <c r="Z208" s="10"/>
      <c r="AA208" s="10"/>
      <c r="AB208" s="7"/>
      <c r="AC208" s="7"/>
      <c r="AD208" s="7"/>
      <c r="AE208" s="10"/>
      <c r="AF208" s="10"/>
      <c r="AG208" s="10"/>
      <c r="AJ208">
        <v>0</v>
      </c>
      <c r="AK208">
        <v>0</v>
      </c>
      <c r="AL208">
        <v>0</v>
      </c>
      <c r="AM208">
        <v>0</v>
      </c>
      <c r="AN208">
        <v>0</v>
      </c>
      <c r="AQ208">
        <v>206</v>
      </c>
      <c r="AR208">
        <f t="shared" si="61"/>
        <v>-10.785528555590004</v>
      </c>
      <c r="AS208">
        <f t="shared" si="62"/>
        <v>-5.2604537614689297</v>
      </c>
    </row>
    <row r="209" spans="1:45" x14ac:dyDescent="0.25">
      <c r="A209" s="15">
        <f t="shared" ca="1" si="59"/>
        <v>0</v>
      </c>
      <c r="B209">
        <f t="shared" ca="1" si="60"/>
        <v>0</v>
      </c>
      <c r="M209" s="7"/>
      <c r="N209" s="7"/>
      <c r="O209" s="7"/>
      <c r="Q209" s="7"/>
      <c r="R209" s="7"/>
      <c r="S209" s="7"/>
      <c r="T209" s="7"/>
      <c r="U209" s="7"/>
      <c r="Y209" s="10"/>
      <c r="Z209" s="10"/>
      <c r="AA209" s="10"/>
      <c r="AB209" s="7"/>
      <c r="AC209" s="7"/>
      <c r="AD209" s="7"/>
      <c r="AE209" s="10"/>
      <c r="AF209" s="10"/>
      <c r="AG209" s="10"/>
      <c r="AJ209">
        <v>0</v>
      </c>
      <c r="AK209">
        <v>0</v>
      </c>
      <c r="AL209">
        <v>0</v>
      </c>
      <c r="AM209">
        <v>0</v>
      </c>
      <c r="AN209">
        <v>0</v>
      </c>
      <c r="AQ209">
        <v>207</v>
      </c>
      <c r="AR209">
        <f t="shared" si="61"/>
        <v>-10.692078290260415</v>
      </c>
      <c r="AS209">
        <f t="shared" si="62"/>
        <v>-5.4478859968745601</v>
      </c>
    </row>
    <row r="210" spans="1:45" x14ac:dyDescent="0.25">
      <c r="A210" s="15">
        <f t="shared" ca="1" si="59"/>
        <v>0</v>
      </c>
      <c r="B210">
        <f t="shared" ca="1" si="60"/>
        <v>0</v>
      </c>
      <c r="M210" s="7"/>
      <c r="N210" s="7"/>
      <c r="O210" s="7"/>
      <c r="Q210" s="7"/>
      <c r="R210" s="7"/>
      <c r="S210" s="7"/>
      <c r="T210" s="7"/>
      <c r="U210" s="7"/>
      <c r="Y210" s="10"/>
      <c r="Z210" s="10"/>
      <c r="AA210" s="10"/>
      <c r="AB210" s="7"/>
      <c r="AC210" s="7"/>
      <c r="AD210" s="7"/>
      <c r="AE210" s="10"/>
      <c r="AF210" s="10"/>
      <c r="AG210" s="10"/>
      <c r="AJ210">
        <v>0</v>
      </c>
      <c r="AK210">
        <v>0</v>
      </c>
      <c r="AL210">
        <v>0</v>
      </c>
      <c r="AM210">
        <v>0</v>
      </c>
      <c r="AN210">
        <v>0</v>
      </c>
      <c r="AQ210">
        <v>208</v>
      </c>
      <c r="AR210">
        <f t="shared" si="61"/>
        <v>-10.595371114307122</v>
      </c>
      <c r="AS210">
        <f t="shared" si="62"/>
        <v>-5.6336587534306908</v>
      </c>
    </row>
    <row r="211" spans="1:45" x14ac:dyDescent="0.25">
      <c r="A211" s="15">
        <f t="shared" ca="1" si="59"/>
        <v>0</v>
      </c>
      <c r="B211">
        <f t="shared" ca="1" si="60"/>
        <v>0</v>
      </c>
      <c r="M211" s="7"/>
      <c r="N211" s="7"/>
      <c r="O211" s="7"/>
      <c r="Q211" s="7"/>
      <c r="R211" s="7"/>
      <c r="S211" s="7"/>
      <c r="T211" s="7"/>
      <c r="U211" s="7"/>
      <c r="Y211" s="10"/>
      <c r="Z211" s="10"/>
      <c r="AA211" s="10"/>
      <c r="AB211" s="7"/>
      <c r="AC211" s="7"/>
      <c r="AD211" s="7"/>
      <c r="AE211" s="10"/>
      <c r="AF211" s="10"/>
      <c r="AG211" s="10"/>
      <c r="AJ211">
        <v>0</v>
      </c>
      <c r="AK211">
        <v>0</v>
      </c>
      <c r="AL211">
        <v>0</v>
      </c>
      <c r="AM211">
        <v>0</v>
      </c>
      <c r="AN211">
        <v>0</v>
      </c>
      <c r="AQ211">
        <v>209</v>
      </c>
      <c r="AR211">
        <f t="shared" si="61"/>
        <v>-10.49543648567275</v>
      </c>
      <c r="AS211">
        <f t="shared" si="62"/>
        <v>-5.8177154429560431</v>
      </c>
    </row>
    <row r="212" spans="1:45" x14ac:dyDescent="0.25">
      <c r="A212" s="15">
        <f t="shared" ca="1" si="59"/>
        <v>0</v>
      </c>
      <c r="B212">
        <f t="shared" ca="1" si="60"/>
        <v>0</v>
      </c>
      <c r="M212" s="7"/>
      <c r="N212" s="7"/>
      <c r="O212" s="7"/>
      <c r="Q212" s="7"/>
      <c r="R212" s="7"/>
      <c r="S212" s="7"/>
      <c r="T212" s="7"/>
      <c r="U212" s="7"/>
      <c r="Y212" s="10"/>
      <c r="Z212" s="10"/>
      <c r="AA212" s="10"/>
      <c r="AB212" s="7"/>
      <c r="AC212" s="7"/>
      <c r="AD212" s="7"/>
      <c r="AE212" s="10"/>
      <c r="AF212" s="10"/>
      <c r="AG212" s="10"/>
      <c r="AJ212">
        <v>0</v>
      </c>
      <c r="AK212">
        <v>0</v>
      </c>
      <c r="AL212">
        <v>0</v>
      </c>
      <c r="AM212">
        <v>0</v>
      </c>
      <c r="AN212">
        <v>0</v>
      </c>
      <c r="AQ212">
        <v>210</v>
      </c>
      <c r="AR212">
        <f t="shared" si="61"/>
        <v>-10.392304845413264</v>
      </c>
      <c r="AS212">
        <f t="shared" si="62"/>
        <v>-6.0000000000000018</v>
      </c>
    </row>
    <row r="213" spans="1:45" x14ac:dyDescent="0.25">
      <c r="A213" s="15">
        <f t="shared" ca="1" si="59"/>
        <v>0</v>
      </c>
      <c r="B213">
        <f t="shared" ca="1" si="60"/>
        <v>0</v>
      </c>
      <c r="M213" s="7"/>
      <c r="N213" s="7"/>
      <c r="O213" s="7"/>
      <c r="Q213" s="7"/>
      <c r="R213" s="7"/>
      <c r="S213" s="7"/>
      <c r="T213" s="7"/>
      <c r="U213" s="7"/>
      <c r="Y213" s="10"/>
      <c r="Z213" s="10"/>
      <c r="AA213" s="10"/>
      <c r="AB213" s="7"/>
      <c r="AC213" s="7"/>
      <c r="AD213" s="7"/>
      <c r="AE213" s="10"/>
      <c r="AF213" s="10"/>
      <c r="AG213" s="10"/>
      <c r="AJ213">
        <v>0</v>
      </c>
      <c r="AK213">
        <v>0</v>
      </c>
      <c r="AL213">
        <v>0</v>
      </c>
      <c r="AM213">
        <v>0</v>
      </c>
      <c r="AN213">
        <v>0</v>
      </c>
      <c r="AQ213">
        <v>211</v>
      </c>
      <c r="AR213">
        <f t="shared" si="61"/>
        <v>-10.286007608425347</v>
      </c>
      <c r="AS213">
        <f t="shared" si="62"/>
        <v>-6.1804568989206494</v>
      </c>
    </row>
    <row r="214" spans="1:45" x14ac:dyDescent="0.25">
      <c r="A214" s="15">
        <f t="shared" ca="1" si="59"/>
        <v>0</v>
      </c>
      <c r="B214">
        <f t="shared" ca="1" si="60"/>
        <v>0</v>
      </c>
      <c r="M214" s="7"/>
      <c r="N214" s="7"/>
      <c r="O214" s="7"/>
      <c r="Q214" s="7"/>
      <c r="R214" s="7"/>
      <c r="S214" s="7"/>
      <c r="T214" s="7"/>
      <c r="U214" s="7"/>
      <c r="Y214" s="10"/>
      <c r="Z214" s="10"/>
      <c r="AA214" s="10"/>
      <c r="AB214" s="7"/>
      <c r="AC214" s="7"/>
      <c r="AD214" s="7"/>
      <c r="AE214" s="10"/>
      <c r="AF214" s="10"/>
      <c r="AG214" s="10"/>
      <c r="AJ214">
        <v>0</v>
      </c>
      <c r="AK214">
        <v>0</v>
      </c>
      <c r="AL214">
        <v>0</v>
      </c>
      <c r="AM214">
        <v>0</v>
      </c>
      <c r="AN214">
        <v>0</v>
      </c>
      <c r="AQ214">
        <v>212</v>
      </c>
      <c r="AR214">
        <f t="shared" si="61"/>
        <v>-10.176577153877112</v>
      </c>
      <c r="AS214">
        <f t="shared" si="62"/>
        <v>-6.3590311707984579</v>
      </c>
    </row>
    <row r="215" spans="1:45" x14ac:dyDescent="0.25">
      <c r="A215" s="15">
        <f t="shared" ca="1" si="59"/>
        <v>0</v>
      </c>
      <c r="B215">
        <f t="shared" ca="1" si="60"/>
        <v>0</v>
      </c>
      <c r="M215" s="7"/>
      <c r="N215" s="7"/>
      <c r="O215" s="7"/>
      <c r="Q215" s="7"/>
      <c r="R215" s="7"/>
      <c r="S215" s="7"/>
      <c r="T215" s="7"/>
      <c r="U215" s="7"/>
      <c r="Y215" s="10"/>
      <c r="Z215" s="10"/>
      <c r="AA215" s="10"/>
      <c r="AB215" s="7"/>
      <c r="AC215" s="7"/>
      <c r="AD215" s="7"/>
      <c r="AE215" s="10"/>
      <c r="AF215" s="10"/>
      <c r="AG215" s="10"/>
      <c r="AJ215">
        <v>0</v>
      </c>
      <c r="AK215">
        <v>0</v>
      </c>
      <c r="AL215">
        <v>0</v>
      </c>
      <c r="AM215">
        <v>0</v>
      </c>
      <c r="AN215">
        <v>0</v>
      </c>
      <c r="AQ215">
        <v>213</v>
      </c>
      <c r="AR215">
        <f t="shared" si="61"/>
        <v>-10.064046815345089</v>
      </c>
      <c r="AS215">
        <f t="shared" si="62"/>
        <v>-6.5356684201803255</v>
      </c>
    </row>
    <row r="216" spans="1:45" x14ac:dyDescent="0.25">
      <c r="A216" s="15">
        <f t="shared" ref="A216:A222" ca="1" si="63">L102</f>
        <v>0</v>
      </c>
      <c r="B216">
        <f t="shared" ref="B216:B222" ca="1" si="64">IF(AND(A216&gt;0,A216&lt;$B$128),(0.85*$B$126)*((2*(A216/$B$128))-POWER(A216/$B$128,2)),IF(A216&gt;0,0.85*$B$126,0))/1000</f>
        <v>0</v>
      </c>
      <c r="M216" s="7"/>
      <c r="N216" s="7"/>
      <c r="O216" s="7"/>
      <c r="Q216" s="7"/>
      <c r="R216" s="7"/>
      <c r="S216" s="7"/>
      <c r="T216" s="7"/>
      <c r="U216" s="7"/>
      <c r="Y216" s="10"/>
      <c r="Z216" s="10"/>
      <c r="AA216" s="10"/>
      <c r="AB216" s="7"/>
      <c r="AC216" s="7"/>
      <c r="AD216" s="7"/>
      <c r="AE216" s="10"/>
      <c r="AF216" s="10"/>
      <c r="AG216" s="10"/>
      <c r="AJ216">
        <v>0</v>
      </c>
      <c r="AK216">
        <v>0</v>
      </c>
      <c r="AL216">
        <v>0</v>
      </c>
      <c r="AM216">
        <v>0</v>
      </c>
      <c r="AN216">
        <v>0</v>
      </c>
      <c r="AQ216">
        <v>214</v>
      </c>
      <c r="AR216">
        <f t="shared" si="61"/>
        <v>-9.9484508706605013</v>
      </c>
      <c r="AS216">
        <f t="shared" si="62"/>
        <v>-6.7103148416489606</v>
      </c>
    </row>
    <row r="217" spans="1:45" x14ac:dyDescent="0.25">
      <c r="A217" s="15">
        <f t="shared" ca="1" si="63"/>
        <v>0</v>
      </c>
      <c r="B217">
        <f t="shared" ca="1" si="64"/>
        <v>0</v>
      </c>
      <c r="M217" s="7"/>
      <c r="N217" s="7"/>
      <c r="O217" s="7"/>
      <c r="Q217" s="7"/>
      <c r="R217" s="7"/>
      <c r="S217" s="7"/>
      <c r="T217" s="7"/>
      <c r="U217" s="7"/>
      <c r="Y217" s="10"/>
      <c r="Z217" s="10"/>
      <c r="AA217" s="10"/>
      <c r="AB217" s="7"/>
      <c r="AC217" s="7"/>
      <c r="AD217" s="7"/>
      <c r="AE217" s="10"/>
      <c r="AF217" s="10"/>
      <c r="AG217" s="10"/>
      <c r="AJ217">
        <v>0</v>
      </c>
      <c r="AK217">
        <v>0</v>
      </c>
      <c r="AL217">
        <v>0</v>
      </c>
      <c r="AM217">
        <v>0</v>
      </c>
      <c r="AN217">
        <v>0</v>
      </c>
      <c r="AQ217">
        <v>215</v>
      </c>
      <c r="AR217">
        <f t="shared" si="61"/>
        <v>-9.8298245314679011</v>
      </c>
      <c r="AS217">
        <f t="shared" si="62"/>
        <v>-6.8829172362125544</v>
      </c>
    </row>
    <row r="218" spans="1:45" x14ac:dyDescent="0.25">
      <c r="A218" s="15">
        <f t="shared" ca="1" si="63"/>
        <v>0</v>
      </c>
      <c r="B218">
        <f t="shared" ca="1" si="64"/>
        <v>0</v>
      </c>
      <c r="M218" s="7"/>
      <c r="N218" s="7"/>
      <c r="O218" s="7"/>
      <c r="Q218" s="7"/>
      <c r="R218" s="7"/>
      <c r="S218" s="7"/>
      <c r="T218" s="7"/>
      <c r="U218" s="7"/>
      <c r="Y218" s="10"/>
      <c r="Z218" s="10"/>
      <c r="AA218" s="10"/>
      <c r="AB218" s="7"/>
      <c r="AC218" s="7"/>
      <c r="AD218" s="7"/>
      <c r="AE218" s="10"/>
      <c r="AF218" s="10"/>
      <c r="AG218" s="10"/>
      <c r="AJ218">
        <v>0</v>
      </c>
      <c r="AK218">
        <v>0</v>
      </c>
      <c r="AL218">
        <v>0</v>
      </c>
      <c r="AM218">
        <v>0</v>
      </c>
      <c r="AN218">
        <v>0</v>
      </c>
      <c r="AQ218">
        <v>216</v>
      </c>
      <c r="AR218">
        <f t="shared" si="61"/>
        <v>-9.7082039324993712</v>
      </c>
      <c r="AS218">
        <f t="shared" si="62"/>
        <v>-7.0534230275096768</v>
      </c>
    </row>
    <row r="219" spans="1:45" x14ac:dyDescent="0.25">
      <c r="A219" s="15">
        <f t="shared" ca="1" si="63"/>
        <v>0</v>
      </c>
      <c r="B219">
        <f t="shared" ca="1" si="64"/>
        <v>0</v>
      </c>
      <c r="M219" s="7"/>
      <c r="N219" s="7"/>
      <c r="O219" s="7"/>
      <c r="Q219" s="7"/>
      <c r="R219" s="7"/>
      <c r="S219" s="7"/>
      <c r="T219" s="7"/>
      <c r="U219" s="7"/>
      <c r="Y219" s="10"/>
      <c r="Z219" s="10"/>
      <c r="AA219" s="10"/>
      <c r="AB219" s="7"/>
      <c r="AC219" s="7"/>
      <c r="AD219" s="7"/>
      <c r="AE219" s="10"/>
      <c r="AF219" s="10"/>
      <c r="AG219" s="10"/>
      <c r="AJ219">
        <v>0</v>
      </c>
      <c r="AK219">
        <v>0</v>
      </c>
      <c r="AL219">
        <v>0</v>
      </c>
      <c r="AM219">
        <v>0</v>
      </c>
      <c r="AN219">
        <v>0</v>
      </c>
      <c r="AQ219">
        <v>217</v>
      </c>
      <c r="AR219">
        <f t="shared" si="61"/>
        <v>-9.583626120567514</v>
      </c>
      <c r="AS219">
        <f t="shared" si="62"/>
        <v>-7.2217802778245801</v>
      </c>
    </row>
    <row r="220" spans="1:45" x14ac:dyDescent="0.25">
      <c r="A220" s="15">
        <f t="shared" ca="1" si="63"/>
        <v>0</v>
      </c>
      <c r="B220">
        <f t="shared" ca="1" si="64"/>
        <v>0</v>
      </c>
      <c r="M220" s="7"/>
      <c r="N220" s="7"/>
      <c r="O220" s="7"/>
      <c r="Q220" s="7"/>
      <c r="R220" s="7"/>
      <c r="S220" s="7"/>
      <c r="T220" s="7"/>
      <c r="U220" s="7"/>
      <c r="Y220" s="10"/>
      <c r="Z220" s="10"/>
      <c r="AA220" s="10"/>
      <c r="AB220" s="7"/>
      <c r="AC220" s="7"/>
      <c r="AD220" s="7"/>
      <c r="AE220" s="10"/>
      <c r="AF220" s="10"/>
      <c r="AG220" s="10"/>
      <c r="AJ220">
        <v>0</v>
      </c>
      <c r="AK220">
        <v>0</v>
      </c>
      <c r="AL220">
        <v>0</v>
      </c>
      <c r="AM220">
        <v>0</v>
      </c>
      <c r="AN220">
        <v>0</v>
      </c>
      <c r="AQ220">
        <v>218</v>
      </c>
      <c r="AR220">
        <f t="shared" si="61"/>
        <v>-9.4561290432806651</v>
      </c>
      <c r="AS220">
        <f t="shared" si="62"/>
        <v>-7.3879377039078982</v>
      </c>
    </row>
    <row r="221" spans="1:45" x14ac:dyDescent="0.25">
      <c r="A221" s="15">
        <f t="shared" ca="1" si="63"/>
        <v>0</v>
      </c>
      <c r="B221">
        <f t="shared" ca="1" si="64"/>
        <v>0</v>
      </c>
      <c r="M221" s="7"/>
      <c r="N221" s="7"/>
      <c r="O221" s="7"/>
      <c r="Q221" s="7"/>
      <c r="R221" s="7"/>
      <c r="S221" s="7"/>
      <c r="T221" s="7"/>
      <c r="U221" s="7"/>
      <c r="Y221" s="10"/>
      <c r="Z221" s="10"/>
      <c r="AA221" s="10"/>
      <c r="AB221" s="7"/>
      <c r="AC221" s="7"/>
      <c r="AD221" s="7"/>
      <c r="AE221" s="10"/>
      <c r="AF221" s="10"/>
      <c r="AG221" s="10"/>
      <c r="AJ221">
        <v>0</v>
      </c>
      <c r="AK221">
        <v>0</v>
      </c>
      <c r="AL221">
        <v>0</v>
      </c>
      <c r="AM221">
        <v>0</v>
      </c>
      <c r="AN221">
        <v>0</v>
      </c>
      <c r="AQ221">
        <v>219</v>
      </c>
      <c r="AR221">
        <f t="shared" si="61"/>
        <v>-9.325751537483649</v>
      </c>
      <c r="AS221">
        <f t="shared" si="62"/>
        <v>-7.5518446925980509</v>
      </c>
    </row>
    <row r="222" spans="1:45" x14ac:dyDescent="0.25">
      <c r="A222" s="15">
        <f t="shared" ca="1" si="63"/>
        <v>0</v>
      </c>
      <c r="B222">
        <f t="shared" ca="1" si="64"/>
        <v>0</v>
      </c>
      <c r="M222" s="7"/>
      <c r="N222" s="7"/>
      <c r="O222" s="7"/>
      <c r="Q222" s="7"/>
      <c r="R222" s="7"/>
      <c r="S222" s="7"/>
      <c r="T222" s="7"/>
      <c r="U222" s="7"/>
      <c r="Y222" s="10"/>
      <c r="Z222" s="10"/>
      <c r="AA222" s="10"/>
      <c r="AB222" s="7"/>
      <c r="AC222" s="7"/>
      <c r="AD222" s="7"/>
      <c r="AE222" s="10"/>
      <c r="AF222" s="10"/>
      <c r="AG222" s="10"/>
      <c r="AJ222">
        <v>0</v>
      </c>
      <c r="AK222">
        <v>0</v>
      </c>
      <c r="AL222">
        <v>0</v>
      </c>
      <c r="AM222">
        <v>0</v>
      </c>
      <c r="AN222">
        <v>0</v>
      </c>
      <c r="AQ222">
        <v>220</v>
      </c>
      <c r="AR222">
        <f t="shared" si="61"/>
        <v>-9.1925333174277366</v>
      </c>
      <c r="AS222">
        <f t="shared" si="62"/>
        <v>-7.713451316238471</v>
      </c>
    </row>
    <row r="223" spans="1:45" x14ac:dyDescent="0.25">
      <c r="A223" s="15"/>
      <c r="M223" s="7"/>
      <c r="N223" s="7"/>
      <c r="O223" s="7"/>
      <c r="Q223" s="7"/>
      <c r="R223" s="7"/>
      <c r="S223" s="7"/>
      <c r="T223" s="7"/>
      <c r="U223" s="7"/>
      <c r="Y223" s="10"/>
      <c r="Z223" s="10"/>
      <c r="AA223" s="10"/>
      <c r="AB223" s="7"/>
      <c r="AC223" s="7"/>
      <c r="AD223" s="7"/>
      <c r="AE223" s="10"/>
      <c r="AF223" s="10"/>
      <c r="AG223" s="10"/>
      <c r="AJ223">
        <v>0</v>
      </c>
      <c r="AK223">
        <v>0</v>
      </c>
      <c r="AL223">
        <v>0</v>
      </c>
      <c r="AM223">
        <v>0</v>
      </c>
      <c r="AN223">
        <v>0</v>
      </c>
      <c r="AQ223">
        <v>221</v>
      </c>
      <c r="AR223">
        <f t="shared" si="61"/>
        <v>-9.0565149626732655</v>
      </c>
      <c r="AS223">
        <f t="shared" si="62"/>
        <v>-7.8727083478860846</v>
      </c>
    </row>
    <row r="224" spans="1:45" x14ac:dyDescent="0.25">
      <c r="A224" s="15"/>
      <c r="M224" s="7"/>
      <c r="N224" s="7"/>
      <c r="O224" s="7"/>
      <c r="Q224" s="7"/>
      <c r="R224" s="7"/>
      <c r="S224" s="7"/>
      <c r="T224" s="7"/>
      <c r="U224" s="7"/>
      <c r="Y224" s="10"/>
      <c r="Z224" s="10"/>
      <c r="AA224" s="10"/>
      <c r="AB224" s="7"/>
      <c r="AC224" s="7"/>
      <c r="AD224" s="7"/>
      <c r="AE224" s="10"/>
      <c r="AF224" s="10"/>
      <c r="AG224" s="10"/>
      <c r="AJ224">
        <v>0</v>
      </c>
      <c r="AK224">
        <v>0</v>
      </c>
      <c r="AL224">
        <v>0</v>
      </c>
      <c r="AM224">
        <v>0</v>
      </c>
      <c r="AN224">
        <v>0</v>
      </c>
      <c r="AQ224">
        <v>222</v>
      </c>
      <c r="AR224">
        <f t="shared" si="61"/>
        <v>-8.9177379057287318</v>
      </c>
      <c r="AS224">
        <f t="shared" si="62"/>
        <v>-8.0295672763062989</v>
      </c>
    </row>
    <row r="225" spans="13:45" x14ac:dyDescent="0.25">
      <c r="M225" s="7"/>
      <c r="N225" s="7"/>
      <c r="O225" s="7"/>
      <c r="Q225" s="7"/>
      <c r="R225" s="7"/>
      <c r="S225" s="7"/>
      <c r="T225" s="7"/>
      <c r="U225" s="7"/>
      <c r="Y225" s="10"/>
      <c r="Z225" s="10"/>
      <c r="AA225" s="10"/>
      <c r="AB225" s="7"/>
      <c r="AC225" s="7"/>
      <c r="AD225" s="7"/>
      <c r="AE225" s="10"/>
      <c r="AF225" s="10"/>
      <c r="AG225" s="10"/>
      <c r="AJ225">
        <v>0</v>
      </c>
      <c r="AK225">
        <v>0</v>
      </c>
      <c r="AL225">
        <v>0</v>
      </c>
      <c r="AM225">
        <v>0</v>
      </c>
      <c r="AN225">
        <v>0</v>
      </c>
      <c r="AQ225">
        <v>223</v>
      </c>
      <c r="AR225">
        <f t="shared" si="61"/>
        <v>-8.7762444194300464</v>
      </c>
      <c r="AS225">
        <f t="shared" si="62"/>
        <v>-8.1839803207499813</v>
      </c>
    </row>
    <row r="226" spans="13:45" x14ac:dyDescent="0.25">
      <c r="M226" s="7"/>
      <c r="N226" s="7"/>
      <c r="O226" s="7"/>
      <c r="Q226" s="7"/>
      <c r="R226" s="7"/>
      <c r="S226" s="7"/>
      <c r="T226" s="7"/>
      <c r="U226" s="7"/>
      <c r="Y226" s="10"/>
      <c r="Z226" s="10"/>
      <c r="AA226" s="10"/>
      <c r="AB226" s="7"/>
      <c r="AC226" s="7"/>
      <c r="AD226" s="7"/>
      <c r="AE226" s="10"/>
      <c r="AF226" s="10"/>
      <c r="AG226" s="10"/>
      <c r="AJ226">
        <v>0</v>
      </c>
      <c r="AK226">
        <v>0</v>
      </c>
      <c r="AL226">
        <v>0</v>
      </c>
      <c r="AM226">
        <v>0</v>
      </c>
      <c r="AN226">
        <v>0</v>
      </c>
      <c r="AQ226">
        <v>224</v>
      </c>
      <c r="AR226">
        <f t="shared" si="61"/>
        <v>-8.632077604063813</v>
      </c>
      <c r="AS226">
        <f t="shared" si="62"/>
        <v>-8.3359004455079688</v>
      </c>
    </row>
    <row r="227" spans="13:45" x14ac:dyDescent="0.25">
      <c r="M227" s="7"/>
      <c r="N227" s="7"/>
      <c r="O227" s="7"/>
      <c r="Q227" s="7"/>
      <c r="R227" s="7"/>
      <c r="S227" s="7"/>
      <c r="T227" s="7"/>
      <c r="U227" s="7"/>
      <c r="Y227" s="10"/>
      <c r="Z227" s="10"/>
      <c r="AA227" s="10"/>
      <c r="AB227" s="7"/>
      <c r="AC227" s="7"/>
      <c r="AD227" s="7"/>
      <c r="AE227" s="10"/>
      <c r="AF227" s="10"/>
      <c r="AG227" s="10"/>
      <c r="AJ227">
        <v>0</v>
      </c>
      <c r="AK227">
        <v>0</v>
      </c>
      <c r="AL227">
        <v>0</v>
      </c>
      <c r="AM227">
        <v>0</v>
      </c>
      <c r="AN227">
        <v>0</v>
      </c>
      <c r="AQ227">
        <v>225</v>
      </c>
      <c r="AR227">
        <f t="shared" si="61"/>
        <v>-8.4852813742385713</v>
      </c>
      <c r="AS227">
        <f t="shared" si="62"/>
        <v>-8.4852813742385695</v>
      </c>
    </row>
    <row r="228" spans="13:45" x14ac:dyDescent="0.25">
      <c r="M228" s="7"/>
      <c r="N228" s="7"/>
      <c r="O228" s="7"/>
      <c r="Q228" s="7"/>
      <c r="R228" s="7"/>
      <c r="S228" s="7"/>
      <c r="T228" s="7"/>
      <c r="U228" s="7"/>
      <c r="Y228" s="10"/>
      <c r="Z228" s="10"/>
      <c r="AA228" s="10"/>
      <c r="AB228" s="7"/>
      <c r="AC228" s="7"/>
      <c r="AD228" s="7"/>
      <c r="AE228" s="10"/>
      <c r="AF228" s="10"/>
      <c r="AG228" s="10"/>
      <c r="AJ228">
        <v>0</v>
      </c>
      <c r="AK228">
        <v>0</v>
      </c>
      <c r="AL228">
        <v>0</v>
      </c>
      <c r="AM228">
        <v>0</v>
      </c>
      <c r="AN228">
        <v>0</v>
      </c>
      <c r="AQ228">
        <v>226</v>
      </c>
      <c r="AR228">
        <f t="shared" si="61"/>
        <v>-8.335900445507967</v>
      </c>
      <c r="AS228">
        <f t="shared" si="62"/>
        <v>-8.6320776040638147</v>
      </c>
    </row>
    <row r="229" spans="13:45" x14ac:dyDescent="0.25">
      <c r="M229" s="7"/>
      <c r="N229" s="7"/>
      <c r="O229" s="7"/>
      <c r="Q229" s="7"/>
      <c r="R229" s="7"/>
      <c r="S229" s="7"/>
      <c r="T229" s="7"/>
      <c r="U229" s="7"/>
      <c r="Y229" s="10"/>
      <c r="Z229" s="10"/>
      <c r="AA229" s="10"/>
      <c r="AB229" s="7"/>
      <c r="AC229" s="7"/>
      <c r="AD229" s="7"/>
      <c r="AE229" s="10"/>
      <c r="AF229" s="10"/>
      <c r="AG229" s="10"/>
      <c r="AJ229">
        <v>0</v>
      </c>
      <c r="AK229">
        <v>0</v>
      </c>
      <c r="AL229">
        <v>0</v>
      </c>
      <c r="AM229">
        <v>0</v>
      </c>
      <c r="AN229">
        <v>0</v>
      </c>
      <c r="AQ229">
        <v>227</v>
      </c>
      <c r="AR229">
        <f t="shared" si="61"/>
        <v>-8.1839803207499831</v>
      </c>
      <c r="AS229">
        <f t="shared" si="62"/>
        <v>-8.7762444194300464</v>
      </c>
    </row>
    <row r="230" spans="13:45" x14ac:dyDescent="0.25">
      <c r="M230" s="7"/>
      <c r="N230" s="7"/>
      <c r="O230" s="7"/>
      <c r="Q230" s="7"/>
      <c r="R230" s="7"/>
      <c r="S230" s="7"/>
      <c r="T230" s="7"/>
      <c r="U230" s="7"/>
      <c r="Y230" s="10"/>
      <c r="Z230" s="10"/>
      <c r="AA230" s="10"/>
      <c r="AB230" s="7"/>
      <c r="AC230" s="7"/>
      <c r="AD230" s="7"/>
      <c r="AE230" s="10"/>
      <c r="AF230" s="10"/>
      <c r="AG230" s="10"/>
      <c r="AJ230">
        <v>0</v>
      </c>
      <c r="AK230">
        <v>0</v>
      </c>
      <c r="AL230">
        <v>0</v>
      </c>
      <c r="AM230">
        <v>0</v>
      </c>
      <c r="AN230">
        <v>0</v>
      </c>
      <c r="AQ230">
        <v>228</v>
      </c>
      <c r="AR230">
        <f t="shared" si="61"/>
        <v>-8.0295672763062971</v>
      </c>
      <c r="AS230">
        <f t="shared" si="62"/>
        <v>-8.9177379057287318</v>
      </c>
    </row>
    <row r="231" spans="13:45" x14ac:dyDescent="0.25">
      <c r="M231" s="7"/>
      <c r="N231" s="7"/>
      <c r="O231" s="7"/>
      <c r="Q231" s="7"/>
      <c r="R231" s="7"/>
      <c r="S231" s="7"/>
      <c r="T231" s="7"/>
      <c r="U231" s="7"/>
      <c r="Y231" s="10"/>
      <c r="Z231" s="10"/>
      <c r="AA231" s="10"/>
      <c r="AB231" s="7"/>
      <c r="AC231" s="7"/>
      <c r="AD231" s="7"/>
      <c r="AE231" s="10"/>
      <c r="AF231" s="10"/>
      <c r="AG231" s="10"/>
      <c r="AJ231">
        <v>0</v>
      </c>
      <c r="AK231">
        <v>0</v>
      </c>
      <c r="AL231">
        <v>0</v>
      </c>
      <c r="AM231">
        <v>0</v>
      </c>
      <c r="AN231">
        <v>0</v>
      </c>
      <c r="AQ231">
        <v>229</v>
      </c>
      <c r="AR231">
        <f t="shared" si="61"/>
        <v>-7.8727083478860873</v>
      </c>
      <c r="AS231">
        <f t="shared" si="62"/>
        <v>-9.0565149626732637</v>
      </c>
    </row>
    <row r="232" spans="13:45" x14ac:dyDescent="0.25">
      <c r="M232" s="7"/>
      <c r="N232" s="7"/>
      <c r="O232" s="7"/>
      <c r="Q232" s="7"/>
      <c r="R232" s="7"/>
      <c r="S232" s="7"/>
      <c r="T232" s="7"/>
      <c r="U232" s="7"/>
      <c r="Y232" s="10"/>
      <c r="Z232" s="10"/>
      <c r="AA232" s="10"/>
      <c r="AB232" s="7"/>
      <c r="AC232" s="7"/>
      <c r="AD232" s="7"/>
      <c r="AE232" s="10"/>
      <c r="AF232" s="10"/>
      <c r="AG232" s="10"/>
      <c r="AJ232">
        <v>0</v>
      </c>
      <c r="AK232">
        <v>0</v>
      </c>
      <c r="AL232">
        <v>0</v>
      </c>
      <c r="AM232">
        <v>0</v>
      </c>
      <c r="AN232">
        <v>0</v>
      </c>
      <c r="AQ232">
        <v>230</v>
      </c>
      <c r="AR232">
        <f t="shared" si="61"/>
        <v>-7.7134513162384737</v>
      </c>
      <c r="AS232">
        <f t="shared" si="62"/>
        <v>-9.1925333174277348</v>
      </c>
    </row>
    <row r="233" spans="13:45" x14ac:dyDescent="0.25">
      <c r="M233" s="7"/>
      <c r="N233" s="7"/>
      <c r="O233" s="7"/>
      <c r="Q233" s="7"/>
      <c r="R233" s="7"/>
      <c r="S233" s="7"/>
      <c r="T233" s="7"/>
      <c r="U233" s="7"/>
      <c r="Y233" s="10"/>
      <c r="Z233" s="10"/>
      <c r="AA233" s="10"/>
      <c r="AB233" s="7"/>
      <c r="AC233" s="7"/>
      <c r="AD233" s="7"/>
      <c r="AE233" s="10"/>
      <c r="AF233" s="10"/>
      <c r="AG233" s="10"/>
      <c r="AJ233">
        <v>0</v>
      </c>
      <c r="AK233">
        <v>0</v>
      </c>
      <c r="AL233">
        <v>0</v>
      </c>
      <c r="AM233">
        <v>0</v>
      </c>
      <c r="AN233">
        <v>0</v>
      </c>
      <c r="AQ233">
        <v>231</v>
      </c>
      <c r="AR233">
        <f t="shared" si="61"/>
        <v>-7.5518446925980545</v>
      </c>
      <c r="AS233">
        <f t="shared" si="62"/>
        <v>-9.3257515374836473</v>
      </c>
    </row>
    <row r="234" spans="13:45" x14ac:dyDescent="0.25">
      <c r="M234" s="7"/>
      <c r="N234" s="7"/>
      <c r="O234" s="7"/>
      <c r="Q234" s="7"/>
      <c r="R234" s="7"/>
      <c r="S234" s="7"/>
      <c r="T234" s="7"/>
      <c r="U234" s="7"/>
      <c r="Y234" s="10"/>
      <c r="Z234" s="10"/>
      <c r="AA234" s="10"/>
      <c r="AB234" s="7"/>
      <c r="AC234" s="7"/>
      <c r="AD234" s="7"/>
      <c r="AE234" s="10"/>
      <c r="AF234" s="10"/>
      <c r="AG234" s="10"/>
      <c r="AJ234">
        <v>0</v>
      </c>
      <c r="AK234">
        <v>0</v>
      </c>
      <c r="AL234">
        <v>0</v>
      </c>
      <c r="AM234">
        <v>0</v>
      </c>
      <c r="AN234">
        <v>0</v>
      </c>
      <c r="AQ234">
        <v>232</v>
      </c>
      <c r="AR234">
        <f t="shared" si="61"/>
        <v>-7.3879377039078964</v>
      </c>
      <c r="AS234">
        <f t="shared" si="62"/>
        <v>-9.4561290432806651</v>
      </c>
    </row>
    <row r="235" spans="13:45" x14ac:dyDescent="0.25">
      <c r="M235" s="7"/>
      <c r="N235" s="7"/>
      <c r="O235" s="7"/>
      <c r="Q235" s="7"/>
      <c r="R235" s="7"/>
      <c r="S235" s="7"/>
      <c r="T235" s="7"/>
      <c r="U235" s="7"/>
      <c r="Y235" s="10"/>
      <c r="Z235" s="10"/>
      <c r="AA235" s="10"/>
      <c r="AB235" s="7"/>
      <c r="AC235" s="7"/>
      <c r="AD235" s="7"/>
      <c r="AE235" s="10"/>
      <c r="AF235" s="10"/>
      <c r="AG235" s="10"/>
      <c r="AJ235">
        <v>0</v>
      </c>
      <c r="AK235">
        <v>0</v>
      </c>
      <c r="AL235">
        <v>0</v>
      </c>
      <c r="AM235">
        <v>0</v>
      </c>
      <c r="AN235">
        <v>0</v>
      </c>
      <c r="AQ235">
        <v>233</v>
      </c>
      <c r="AR235">
        <f t="shared" si="61"/>
        <v>-7.2217802778245792</v>
      </c>
      <c r="AS235">
        <f t="shared" si="62"/>
        <v>-9.583626120567514</v>
      </c>
    </row>
    <row r="236" spans="13:45" x14ac:dyDescent="0.25">
      <c r="M236" s="7"/>
      <c r="N236" s="7"/>
      <c r="O236" s="7"/>
      <c r="Q236" s="7"/>
      <c r="R236" s="7"/>
      <c r="S236" s="7"/>
      <c r="T236" s="7"/>
      <c r="U236" s="7"/>
      <c r="Y236" s="10"/>
      <c r="Z236" s="10"/>
      <c r="AA236" s="10"/>
      <c r="AB236" s="7"/>
      <c r="AC236" s="7"/>
      <c r="AD236" s="7"/>
      <c r="AE236" s="10"/>
      <c r="AF236" s="10"/>
      <c r="AG236" s="10"/>
      <c r="AJ236">
        <v>0</v>
      </c>
      <c r="AK236">
        <v>0</v>
      </c>
      <c r="AL236">
        <v>0</v>
      </c>
      <c r="AM236">
        <v>0</v>
      </c>
      <c r="AN236">
        <v>0</v>
      </c>
      <c r="AQ236">
        <v>234</v>
      </c>
      <c r="AR236">
        <f t="shared" si="61"/>
        <v>-7.0534230275096785</v>
      </c>
      <c r="AS236">
        <f t="shared" si="62"/>
        <v>-9.7082039324993676</v>
      </c>
    </row>
    <row r="237" spans="13:45" x14ac:dyDescent="0.25">
      <c r="M237" s="7"/>
      <c r="N237" s="7"/>
      <c r="O237" s="7"/>
      <c r="Q237" s="7"/>
      <c r="R237" s="7"/>
      <c r="S237" s="7"/>
      <c r="T237" s="7"/>
      <c r="U237" s="7"/>
      <c r="Y237" s="10"/>
      <c r="Z237" s="10"/>
      <c r="AA237" s="10"/>
      <c r="AB237" s="7"/>
      <c r="AC237" s="7"/>
      <c r="AD237" s="7"/>
      <c r="AE237" s="10"/>
      <c r="AF237" s="10"/>
      <c r="AG237" s="10"/>
      <c r="AJ237">
        <v>0</v>
      </c>
      <c r="AK237">
        <v>0</v>
      </c>
      <c r="AL237">
        <v>0</v>
      </c>
      <c r="AM237">
        <v>0</v>
      </c>
      <c r="AN237">
        <v>0</v>
      </c>
      <c r="AQ237">
        <v>235</v>
      </c>
      <c r="AR237">
        <f t="shared" si="61"/>
        <v>-6.8829172362125561</v>
      </c>
      <c r="AS237">
        <f t="shared" si="62"/>
        <v>-9.8298245314678994</v>
      </c>
    </row>
    <row r="238" spans="13:45" x14ac:dyDescent="0.25">
      <c r="M238" s="7"/>
      <c r="N238" s="7"/>
      <c r="O238" s="7"/>
      <c r="Q238" s="7"/>
      <c r="R238" s="7"/>
      <c r="S238" s="7"/>
      <c r="T238" s="7"/>
      <c r="U238" s="7"/>
      <c r="Y238" s="10"/>
      <c r="Z238" s="10"/>
      <c r="AA238" s="10"/>
      <c r="AB238" s="7"/>
      <c r="AC238" s="7"/>
      <c r="AD238" s="7"/>
      <c r="AE238" s="10"/>
      <c r="AF238" s="10"/>
      <c r="AG238" s="10"/>
      <c r="AJ238">
        <v>0</v>
      </c>
      <c r="AK238">
        <v>0</v>
      </c>
      <c r="AL238">
        <v>0</v>
      </c>
      <c r="AM238">
        <v>0</v>
      </c>
      <c r="AN238">
        <v>0</v>
      </c>
      <c r="AQ238">
        <v>236</v>
      </c>
      <c r="AR238">
        <f t="shared" si="61"/>
        <v>-6.7103148416489589</v>
      </c>
      <c r="AS238">
        <f t="shared" si="62"/>
        <v>-9.9484508706605013</v>
      </c>
    </row>
    <row r="239" spans="13:45" x14ac:dyDescent="0.25">
      <c r="M239" s="7"/>
      <c r="N239" s="7"/>
      <c r="O239" s="7"/>
      <c r="Q239" s="7"/>
      <c r="R239" s="7"/>
      <c r="S239" s="7"/>
      <c r="T239" s="7"/>
      <c r="U239" s="7"/>
      <c r="Y239" s="10"/>
      <c r="Z239" s="10"/>
      <c r="AA239" s="10"/>
      <c r="AB239" s="7"/>
      <c r="AC239" s="7"/>
      <c r="AD239" s="7"/>
      <c r="AE239" s="10"/>
      <c r="AF239" s="10"/>
      <c r="AG239" s="10"/>
      <c r="AJ239">
        <v>0</v>
      </c>
      <c r="AK239">
        <v>0</v>
      </c>
      <c r="AL239">
        <v>0</v>
      </c>
      <c r="AM239">
        <v>0</v>
      </c>
      <c r="AN239">
        <v>0</v>
      </c>
      <c r="AQ239">
        <v>237</v>
      </c>
      <c r="AR239">
        <f t="shared" si="61"/>
        <v>-6.5356684201803237</v>
      </c>
      <c r="AS239">
        <f t="shared" si="62"/>
        <v>-10.064046815345089</v>
      </c>
    </row>
    <row r="240" spans="13:45" x14ac:dyDescent="0.25">
      <c r="M240" s="7"/>
      <c r="N240" s="7"/>
      <c r="O240" s="7"/>
      <c r="Q240" s="7"/>
      <c r="R240" s="7"/>
      <c r="S240" s="7"/>
      <c r="T240" s="7"/>
      <c r="U240" s="7"/>
      <c r="Y240" s="10"/>
      <c r="Z240" s="10"/>
      <c r="AA240" s="10"/>
      <c r="AB240" s="7"/>
      <c r="AC240" s="7"/>
      <c r="AD240" s="7"/>
      <c r="AE240" s="10"/>
      <c r="AF240" s="10"/>
      <c r="AG240" s="10"/>
      <c r="AJ240">
        <v>0</v>
      </c>
      <c r="AK240">
        <v>0</v>
      </c>
      <c r="AL240">
        <v>0</v>
      </c>
      <c r="AM240">
        <v>0</v>
      </c>
      <c r="AN240">
        <v>0</v>
      </c>
      <c r="AQ240">
        <v>238</v>
      </c>
      <c r="AR240">
        <f t="shared" si="61"/>
        <v>-6.3590311707984597</v>
      </c>
      <c r="AS240">
        <f t="shared" si="62"/>
        <v>-10.176577153877112</v>
      </c>
    </row>
    <row r="241" spans="13:45" x14ac:dyDescent="0.25">
      <c r="M241" s="7"/>
      <c r="N241" s="7"/>
      <c r="O241" s="7"/>
      <c r="Q241" s="7"/>
      <c r="R241" s="7"/>
      <c r="S241" s="7"/>
      <c r="T241" s="7"/>
      <c r="U241" s="7"/>
      <c r="Y241" s="10"/>
      <c r="Z241" s="10"/>
      <c r="AA241" s="10"/>
      <c r="AB241" s="7"/>
      <c r="AC241" s="7"/>
      <c r="AD241" s="7"/>
      <c r="AE241" s="10"/>
      <c r="AF241" s="10"/>
      <c r="AG241" s="10"/>
      <c r="AJ241">
        <v>0</v>
      </c>
      <c r="AK241">
        <v>0</v>
      </c>
      <c r="AL241">
        <v>0</v>
      </c>
      <c r="AM241">
        <v>0</v>
      </c>
      <c r="AN241">
        <v>0</v>
      </c>
      <c r="AQ241">
        <v>239</v>
      </c>
      <c r="AR241">
        <f t="shared" si="61"/>
        <v>-6.1804568989206539</v>
      </c>
      <c r="AS241">
        <f t="shared" si="62"/>
        <v>-10.286007608425345</v>
      </c>
    </row>
    <row r="242" spans="13:45" x14ac:dyDescent="0.25">
      <c r="M242" s="7"/>
      <c r="N242" s="7"/>
      <c r="O242" s="7"/>
      <c r="Q242" s="7"/>
      <c r="R242" s="7"/>
      <c r="S242" s="7"/>
      <c r="T242" s="7"/>
      <c r="U242" s="7"/>
      <c r="Y242" s="10"/>
      <c r="Z242" s="10"/>
      <c r="AA242" s="10"/>
      <c r="AB242" s="7"/>
      <c r="AC242" s="7"/>
      <c r="AD242" s="7"/>
      <c r="AE242" s="10"/>
      <c r="AF242" s="10"/>
      <c r="AG242" s="10"/>
      <c r="AJ242">
        <v>0</v>
      </c>
      <c r="AK242">
        <v>0</v>
      </c>
      <c r="AL242">
        <v>0</v>
      </c>
      <c r="AM242">
        <v>0</v>
      </c>
      <c r="AN242">
        <v>0</v>
      </c>
      <c r="AQ242">
        <v>240</v>
      </c>
      <c r="AR242">
        <f t="shared" si="61"/>
        <v>-6.0000000000000053</v>
      </c>
      <c r="AS242">
        <f t="shared" si="62"/>
        <v>-10.39230484541326</v>
      </c>
    </row>
    <row r="243" spans="13:45" x14ac:dyDescent="0.25">
      <c r="M243" s="7"/>
      <c r="N243" s="7"/>
      <c r="O243" s="7"/>
      <c r="Q243" s="7"/>
      <c r="R243" s="7"/>
      <c r="S243" s="7"/>
      <c r="T243" s="7"/>
      <c r="U243" s="7"/>
      <c r="Y243" s="10"/>
      <c r="Z243" s="10"/>
      <c r="AA243" s="10"/>
      <c r="AB243" s="7"/>
      <c r="AC243" s="7"/>
      <c r="AD243" s="7"/>
      <c r="AE243" s="10"/>
      <c r="AF243" s="10"/>
      <c r="AG243" s="10"/>
      <c r="AJ243">
        <v>0</v>
      </c>
      <c r="AK243">
        <v>0</v>
      </c>
      <c r="AL243">
        <v>0</v>
      </c>
      <c r="AM243">
        <v>0</v>
      </c>
      <c r="AN243">
        <v>0</v>
      </c>
      <c r="AQ243">
        <v>241</v>
      </c>
      <c r="AR243">
        <f t="shared" si="61"/>
        <v>-5.8177154429560423</v>
      </c>
      <c r="AS243">
        <f t="shared" si="62"/>
        <v>-10.495436485672752</v>
      </c>
    </row>
    <row r="244" spans="13:45" x14ac:dyDescent="0.25">
      <c r="M244" s="7"/>
      <c r="N244" s="7"/>
      <c r="O244" s="7"/>
      <c r="Q244" s="7"/>
      <c r="R244" s="7"/>
      <c r="S244" s="7"/>
      <c r="T244" s="7"/>
      <c r="U244" s="7"/>
      <c r="Y244" s="10"/>
      <c r="Z244" s="10"/>
      <c r="AA244" s="10"/>
      <c r="AB244" s="7"/>
      <c r="AC244" s="7"/>
      <c r="AD244" s="7"/>
      <c r="AE244" s="10"/>
      <c r="AF244" s="10"/>
      <c r="AG244" s="10"/>
      <c r="AJ244">
        <v>0</v>
      </c>
      <c r="AK244">
        <v>0</v>
      </c>
      <c r="AL244">
        <v>0</v>
      </c>
      <c r="AM244">
        <v>0</v>
      </c>
      <c r="AN244">
        <v>0</v>
      </c>
      <c r="AQ244">
        <v>242</v>
      </c>
      <c r="AR244">
        <f t="shared" si="61"/>
        <v>-5.633658753430689</v>
      </c>
      <c r="AS244">
        <f t="shared" si="62"/>
        <v>-10.595371114307124</v>
      </c>
    </row>
    <row r="245" spans="13:45" x14ac:dyDescent="0.25">
      <c r="M245" s="7"/>
      <c r="N245" s="7"/>
      <c r="O245" s="7"/>
      <c r="Q245" s="7"/>
      <c r="R245" s="7"/>
      <c r="S245" s="7"/>
      <c r="T245" s="7"/>
      <c r="U245" s="7"/>
      <c r="Y245" s="10"/>
      <c r="Z245" s="10"/>
      <c r="AA245" s="10"/>
      <c r="AB245" s="7"/>
      <c r="AC245" s="7"/>
      <c r="AD245" s="7"/>
      <c r="AE245" s="10"/>
      <c r="AF245" s="10"/>
      <c r="AG245" s="10"/>
      <c r="AJ245">
        <v>0</v>
      </c>
      <c r="AK245">
        <v>0</v>
      </c>
      <c r="AL245">
        <v>0</v>
      </c>
      <c r="AM245">
        <v>0</v>
      </c>
      <c r="AN245">
        <v>0</v>
      </c>
      <c r="AQ245">
        <v>243</v>
      </c>
      <c r="AR245">
        <f t="shared" si="61"/>
        <v>-5.4478859968745628</v>
      </c>
      <c r="AS245">
        <f t="shared" si="62"/>
        <v>-10.692078290260413</v>
      </c>
    </row>
    <row r="246" spans="13:45" x14ac:dyDescent="0.25">
      <c r="M246" s="7"/>
      <c r="N246" s="7"/>
      <c r="O246" s="7"/>
      <c r="Q246" s="7"/>
      <c r="R246" s="7"/>
      <c r="S246" s="7"/>
      <c r="T246" s="7"/>
      <c r="U246" s="7"/>
      <c r="Y246" s="10"/>
      <c r="Z246" s="10"/>
      <c r="AA246" s="10"/>
      <c r="AB246" s="7"/>
      <c r="AC246" s="7"/>
      <c r="AD246" s="7"/>
      <c r="AE246" s="10"/>
      <c r="AF246" s="10"/>
      <c r="AG246" s="10"/>
      <c r="AJ246">
        <v>0</v>
      </c>
      <c r="AK246">
        <v>0</v>
      </c>
      <c r="AL246">
        <v>0</v>
      </c>
      <c r="AM246">
        <v>0</v>
      </c>
      <c r="AN246">
        <v>0</v>
      </c>
      <c r="AQ246">
        <v>244</v>
      </c>
      <c r="AR246">
        <f t="shared" si="61"/>
        <v>-5.2604537614689324</v>
      </c>
      <c r="AS246">
        <f t="shared" si="62"/>
        <v>-10.785528555590002</v>
      </c>
    </row>
    <row r="247" spans="13:45" x14ac:dyDescent="0.25">
      <c r="M247" s="7"/>
      <c r="N247" s="7"/>
      <c r="O247" s="7"/>
      <c r="Q247" s="7"/>
      <c r="R247" s="7"/>
      <c r="S247" s="7"/>
      <c r="T247" s="7"/>
      <c r="U247" s="7"/>
      <c r="Y247" s="10"/>
      <c r="Z247" s="10"/>
      <c r="AA247" s="10"/>
      <c r="AB247" s="7"/>
      <c r="AC247" s="7"/>
      <c r="AD247" s="7"/>
      <c r="AE247" s="10"/>
      <c r="AF247" s="10"/>
      <c r="AG247" s="10"/>
      <c r="AJ247">
        <v>0</v>
      </c>
      <c r="AK247">
        <v>0</v>
      </c>
      <c r="AL247">
        <v>0</v>
      </c>
      <c r="AM247">
        <v>0</v>
      </c>
      <c r="AN247">
        <v>0</v>
      </c>
      <c r="AQ247">
        <v>245</v>
      </c>
      <c r="AR247">
        <f t="shared" si="61"/>
        <v>-5.0714191408883895</v>
      </c>
      <c r="AS247">
        <f t="shared" si="62"/>
        <v>-10.875693444439801</v>
      </c>
    </row>
    <row r="248" spans="13:45" x14ac:dyDescent="0.25">
      <c r="M248" s="7"/>
      <c r="N248" s="7"/>
      <c r="O248" s="7"/>
      <c r="Q248" s="7"/>
      <c r="R248" s="7"/>
      <c r="S248" s="7"/>
      <c r="T248" s="7"/>
      <c r="U248" s="7"/>
      <c r="Y248" s="10"/>
      <c r="Z248" s="10"/>
      <c r="AA248" s="10"/>
      <c r="AB248" s="7"/>
      <c r="AC248" s="7"/>
      <c r="AD248" s="7"/>
      <c r="AE248" s="10"/>
      <c r="AF248" s="10"/>
      <c r="AG248" s="10"/>
      <c r="AJ248">
        <v>0</v>
      </c>
      <c r="AK248">
        <v>0</v>
      </c>
      <c r="AL248">
        <v>0</v>
      </c>
      <c r="AM248">
        <v>0</v>
      </c>
      <c r="AN248">
        <v>0</v>
      </c>
      <c r="AQ248">
        <v>246</v>
      </c>
      <c r="AR248">
        <f t="shared" si="61"/>
        <v>-4.8808397169096009</v>
      </c>
      <c r="AS248">
        <f t="shared" si="62"/>
        <v>-10.962545491711211</v>
      </c>
    </row>
    <row r="249" spans="13:45" x14ac:dyDescent="0.25">
      <c r="M249" s="7"/>
      <c r="N249" s="7"/>
      <c r="O249" s="7"/>
      <c r="Q249" s="7"/>
      <c r="R249" s="7"/>
      <c r="S249" s="7"/>
      <c r="T249" s="7"/>
      <c r="U249" s="7"/>
      <c r="Y249" s="10"/>
      <c r="Z249" s="10"/>
      <c r="AA249" s="10"/>
      <c r="AB249" s="7"/>
      <c r="AC249" s="7"/>
      <c r="AD249" s="7"/>
      <c r="AE249" s="10"/>
      <c r="AF249" s="10"/>
      <c r="AG249" s="10"/>
      <c r="AJ249">
        <v>0</v>
      </c>
      <c r="AK249">
        <v>0</v>
      </c>
      <c r="AL249">
        <v>0</v>
      </c>
      <c r="AM249">
        <v>0</v>
      </c>
      <c r="AN249">
        <v>0</v>
      </c>
      <c r="AQ249">
        <v>247</v>
      </c>
      <c r="AR249">
        <f t="shared" si="61"/>
        <v>-4.6887735418712859</v>
      </c>
      <c r="AS249">
        <f t="shared" si="62"/>
        <v>-11.046058241429282</v>
      </c>
    </row>
    <row r="250" spans="13:45" x14ac:dyDescent="0.25">
      <c r="M250" s="7"/>
      <c r="N250" s="7"/>
      <c r="O250" s="7"/>
      <c r="Q250" s="7"/>
      <c r="R250" s="7"/>
      <c r="S250" s="7"/>
      <c r="T250" s="7"/>
      <c r="U250" s="7"/>
      <c r="Y250" s="10"/>
      <c r="Z250" s="10"/>
      <c r="AA250" s="10"/>
      <c r="AB250" s="7"/>
      <c r="AC250" s="7"/>
      <c r="AD250" s="7"/>
      <c r="AE250" s="10"/>
      <c r="AF250" s="10"/>
      <c r="AG250" s="10"/>
      <c r="AJ250">
        <v>0</v>
      </c>
      <c r="AK250">
        <v>0</v>
      </c>
      <c r="AL250">
        <v>0</v>
      </c>
      <c r="AM250">
        <v>0</v>
      </c>
      <c r="AN250">
        <v>0</v>
      </c>
      <c r="AQ250">
        <v>248</v>
      </c>
      <c r="AR250">
        <f t="shared" si="61"/>
        <v>-4.4952791209909471</v>
      </c>
      <c r="AS250">
        <f t="shared" si="62"/>
        <v>-11.126206254801447</v>
      </c>
    </row>
    <row r="251" spans="13:45" x14ac:dyDescent="0.25">
      <c r="M251" s="7"/>
      <c r="N251" s="7"/>
      <c r="O251" s="7"/>
      <c r="Q251" s="7"/>
      <c r="R251" s="7"/>
      <c r="S251" s="7"/>
      <c r="T251" s="7"/>
      <c r="U251" s="7"/>
      <c r="Y251" s="10"/>
      <c r="Z251" s="10"/>
      <c r="AA251" s="10"/>
      <c r="AB251" s="7"/>
      <c r="AC251" s="7"/>
      <c r="AD251" s="7"/>
      <c r="AE251" s="10"/>
      <c r="AF251" s="10"/>
      <c r="AG251" s="10"/>
      <c r="AJ251">
        <v>0</v>
      </c>
      <c r="AK251">
        <v>0</v>
      </c>
      <c r="AL251">
        <v>0</v>
      </c>
      <c r="AM251">
        <v>0</v>
      </c>
      <c r="AN251">
        <v>0</v>
      </c>
      <c r="AQ251">
        <v>249</v>
      </c>
      <c r="AR251">
        <f t="shared" si="61"/>
        <v>-4.3004153945436085</v>
      </c>
      <c r="AS251">
        <f t="shared" si="62"/>
        <v>-11.20296511796642</v>
      </c>
    </row>
    <row r="252" spans="13:45" x14ac:dyDescent="0.25">
      <c r="M252" s="7"/>
      <c r="N252" s="7"/>
      <c r="O252" s="7"/>
      <c r="Q252" s="7"/>
      <c r="R252" s="7"/>
      <c r="S252" s="7"/>
      <c r="T252" s="7"/>
      <c r="U252" s="7"/>
      <c r="Y252" s="10"/>
      <c r="Z252" s="10"/>
      <c r="AA252" s="10"/>
      <c r="AB252" s="7"/>
      <c r="AC252" s="7"/>
      <c r="AD252" s="7"/>
      <c r="AE252" s="10"/>
      <c r="AF252" s="10"/>
      <c r="AG252" s="10"/>
      <c r="AJ252">
        <v>0</v>
      </c>
      <c r="AK252">
        <v>0</v>
      </c>
      <c r="AL252">
        <v>0</v>
      </c>
      <c r="AM252">
        <v>0</v>
      </c>
      <c r="AN252">
        <v>0</v>
      </c>
      <c r="AQ252">
        <v>250</v>
      </c>
      <c r="AR252">
        <f t="shared" si="61"/>
        <v>-4.104241719908023</v>
      </c>
      <c r="AS252">
        <f t="shared" si="62"/>
        <v>-11.276311449430901</v>
      </c>
    </row>
    <row r="253" spans="13:45" x14ac:dyDescent="0.25">
      <c r="M253" s="7"/>
      <c r="N253" s="7"/>
      <c r="O253" s="7"/>
      <c r="Q253" s="7"/>
      <c r="R253" s="7"/>
      <c r="S253" s="7"/>
      <c r="T253" s="7"/>
      <c r="U253" s="7"/>
      <c r="Y253" s="10"/>
      <c r="Z253" s="10"/>
      <c r="AA253" s="10"/>
      <c r="AB253" s="7"/>
      <c r="AC253" s="7"/>
      <c r="AD253" s="7"/>
      <c r="AE253" s="10"/>
      <c r="AF253" s="10"/>
      <c r="AG253" s="10"/>
      <c r="AJ253">
        <v>0</v>
      </c>
      <c r="AK253">
        <v>0</v>
      </c>
      <c r="AL253">
        <v>0</v>
      </c>
      <c r="AM253">
        <v>0</v>
      </c>
      <c r="AN253">
        <v>0</v>
      </c>
      <c r="AQ253">
        <v>251</v>
      </c>
      <c r="AR253">
        <f t="shared" si="61"/>
        <v>-3.9068178534858795</v>
      </c>
      <c r="AS253">
        <f t="shared" si="62"/>
        <v>-11.346222907191802</v>
      </c>
    </row>
    <row r="254" spans="13:45" x14ac:dyDescent="0.25">
      <c r="M254" s="7"/>
      <c r="N254" s="7"/>
      <c r="O254" s="7"/>
      <c r="Q254" s="7"/>
      <c r="R254" s="7"/>
      <c r="S254" s="7"/>
      <c r="T254" s="7"/>
      <c r="U254" s="7"/>
      <c r="Y254" s="10"/>
      <c r="Z254" s="10"/>
      <c r="AA254" s="10"/>
      <c r="AB254" s="7"/>
      <c r="AC254" s="7"/>
      <c r="AD254" s="7"/>
      <c r="AE254" s="10"/>
      <c r="AF254" s="10"/>
      <c r="AG254" s="10"/>
      <c r="AJ254">
        <v>0</v>
      </c>
      <c r="AK254">
        <v>0</v>
      </c>
      <c r="AL254">
        <v>0</v>
      </c>
      <c r="AM254">
        <v>0</v>
      </c>
      <c r="AN254">
        <v>0</v>
      </c>
      <c r="AQ254">
        <v>252</v>
      </c>
      <c r="AR254">
        <f t="shared" si="61"/>
        <v>-3.7082039324993707</v>
      </c>
      <c r="AS254">
        <f t="shared" si="62"/>
        <v>-11.412678195541842</v>
      </c>
    </row>
    <row r="255" spans="13:45" x14ac:dyDescent="0.25">
      <c r="M255" s="7"/>
      <c r="N255" s="7"/>
      <c r="O255" s="7"/>
      <c r="Q255" s="7"/>
      <c r="R255" s="7"/>
      <c r="S255" s="7"/>
      <c r="T255" s="7"/>
      <c r="U255" s="7"/>
      <c r="Y255" s="10"/>
      <c r="Z255" s="10"/>
      <c r="AA255" s="10"/>
      <c r="AB255" s="7"/>
      <c r="AC255" s="7"/>
      <c r="AD255" s="7"/>
      <c r="AE255" s="10"/>
      <c r="AF255" s="10"/>
      <c r="AG255" s="10"/>
      <c r="AJ255">
        <v>0</v>
      </c>
      <c r="AK255">
        <v>0</v>
      </c>
      <c r="AL255">
        <v>0</v>
      </c>
      <c r="AM255">
        <v>0</v>
      </c>
      <c r="AN255">
        <v>0</v>
      </c>
      <c r="AQ255">
        <v>253</v>
      </c>
      <c r="AR255">
        <f t="shared" si="61"/>
        <v>-3.5084604566728452</v>
      </c>
      <c r="AS255">
        <f t="shared" si="62"/>
        <v>-11.475657071556423</v>
      </c>
    </row>
    <row r="256" spans="13:45" x14ac:dyDescent="0.25">
      <c r="M256" s="7"/>
      <c r="N256" s="7"/>
      <c r="O256" s="7"/>
      <c r="Q256" s="7"/>
      <c r="R256" s="7"/>
      <c r="S256" s="7"/>
      <c r="T256" s="7"/>
      <c r="U256" s="7"/>
      <c r="Y256" s="10"/>
      <c r="Z256" s="10"/>
      <c r="AA256" s="10"/>
      <c r="AB256" s="7"/>
      <c r="AC256" s="7"/>
      <c r="AD256" s="7"/>
      <c r="AE256" s="10"/>
      <c r="AF256" s="10"/>
      <c r="AG256" s="10"/>
      <c r="AJ256">
        <v>0</v>
      </c>
      <c r="AK256">
        <v>0</v>
      </c>
      <c r="AL256">
        <v>0</v>
      </c>
      <c r="AM256">
        <v>0</v>
      </c>
      <c r="AN256">
        <v>0</v>
      </c>
      <c r="AQ256">
        <v>254</v>
      </c>
      <c r="AR256">
        <f t="shared" si="61"/>
        <v>-3.3076482698039866</v>
      </c>
      <c r="AS256">
        <f t="shared" si="62"/>
        <v>-11.535140351259829</v>
      </c>
    </row>
    <row r="257" spans="13:45" x14ac:dyDescent="0.25">
      <c r="M257" s="7"/>
      <c r="N257" s="7"/>
      <c r="O257" s="7"/>
      <c r="Q257" s="7"/>
      <c r="R257" s="7"/>
      <c r="S257" s="7"/>
      <c r="T257" s="7"/>
      <c r="U257" s="7"/>
      <c r="Y257" s="10"/>
      <c r="Z257" s="10"/>
      <c r="AA257" s="10"/>
      <c r="AB257" s="7"/>
      <c r="AC257" s="7"/>
      <c r="AD257" s="7"/>
      <c r="AE257" s="10"/>
      <c r="AF257" s="10"/>
      <c r="AG257" s="10"/>
      <c r="AJ257">
        <v>0</v>
      </c>
      <c r="AK257">
        <v>0</v>
      </c>
      <c r="AL257">
        <v>0</v>
      </c>
      <c r="AM257">
        <v>0</v>
      </c>
      <c r="AN257">
        <v>0</v>
      </c>
      <c r="AQ257">
        <v>255</v>
      </c>
      <c r="AR257">
        <f t="shared" si="61"/>
        <v>-3.1058285412302475</v>
      </c>
      <c r="AS257">
        <f t="shared" si="62"/>
        <v>-11.59110991546882</v>
      </c>
    </row>
    <row r="258" spans="13:45" x14ac:dyDescent="0.25">
      <c r="M258" s="7"/>
      <c r="N258" s="7"/>
      <c r="O258" s="7"/>
      <c r="Q258" s="7"/>
      <c r="R258" s="7"/>
      <c r="S258" s="7"/>
      <c r="T258" s="7"/>
      <c r="U258" s="7"/>
      <c r="Y258" s="10"/>
      <c r="Z258" s="10"/>
      <c r="AA258" s="10"/>
      <c r="AB258" s="7"/>
      <c r="AC258" s="7"/>
      <c r="AD258" s="7"/>
      <c r="AE258" s="10"/>
      <c r="AF258" s="10"/>
      <c r="AG258" s="10"/>
      <c r="AJ258">
        <v>0</v>
      </c>
      <c r="AK258">
        <v>0</v>
      </c>
      <c r="AL258">
        <v>0</v>
      </c>
      <c r="AM258">
        <v>0</v>
      </c>
      <c r="AN258">
        <v>0</v>
      </c>
      <c r="AQ258">
        <v>256</v>
      </c>
      <c r="AR258">
        <f t="shared" si="61"/>
        <v>-2.9030627471960133</v>
      </c>
      <c r="AS258">
        <f t="shared" si="62"/>
        <v>-11.643548715311958</v>
      </c>
    </row>
    <row r="259" spans="13:45" x14ac:dyDescent="0.25">
      <c r="M259" s="7"/>
      <c r="N259" s="7"/>
      <c r="O259" s="7"/>
      <c r="Q259" s="7"/>
      <c r="R259" s="7"/>
      <c r="S259" s="7"/>
      <c r="T259" s="7"/>
      <c r="U259" s="7"/>
      <c r="Y259" s="10"/>
      <c r="Z259" s="10"/>
      <c r="AA259" s="10"/>
      <c r="AB259" s="7"/>
      <c r="AC259" s="7"/>
      <c r="AD259" s="7"/>
      <c r="AE259" s="10"/>
      <c r="AF259" s="10"/>
      <c r="AG259" s="10"/>
      <c r="AJ259">
        <v>0</v>
      </c>
      <c r="AK259">
        <v>0</v>
      </c>
      <c r="AL259">
        <v>0</v>
      </c>
      <c r="AM259">
        <v>0</v>
      </c>
      <c r="AN259">
        <v>0</v>
      </c>
      <c r="AQ259">
        <v>257</v>
      </c>
      <c r="AR259">
        <f t="shared" ref="AR259:AR322" si="65">$B$3*COS(RADIANS(AQ259))</f>
        <v>-2.6994126521263828</v>
      </c>
      <c r="AS259">
        <f t="shared" ref="AS259:AS322" si="66">$B$3*SIN(RADIANS(AQ259))</f>
        <v>-11.692440777422821</v>
      </c>
    </row>
    <row r="260" spans="13:45" x14ac:dyDescent="0.25">
      <c r="M260" s="7"/>
      <c r="N260" s="7"/>
      <c r="O260" s="7"/>
      <c r="Q260" s="7"/>
      <c r="R260" s="7"/>
      <c r="S260" s="7"/>
      <c r="T260" s="7"/>
      <c r="U260" s="7"/>
      <c r="Y260" s="10"/>
      <c r="Z260" s="10"/>
      <c r="AA260" s="10"/>
      <c r="AB260" s="7"/>
      <c r="AC260" s="7"/>
      <c r="AD260" s="7"/>
      <c r="AE260" s="10"/>
      <c r="AF260" s="10"/>
      <c r="AG260" s="10"/>
      <c r="AJ260">
        <v>0</v>
      </c>
      <c r="AK260">
        <v>0</v>
      </c>
      <c r="AL260">
        <v>0</v>
      </c>
      <c r="AM260">
        <v>0</v>
      </c>
      <c r="AN260">
        <v>0</v>
      </c>
      <c r="AQ260">
        <v>258</v>
      </c>
      <c r="AR260">
        <f t="shared" si="65"/>
        <v>-2.4949402898131172</v>
      </c>
      <c r="AS260">
        <f t="shared" si="66"/>
        <v>-11.737771208805666</v>
      </c>
    </row>
    <row r="261" spans="13:45" x14ac:dyDescent="0.25">
      <c r="M261" s="7"/>
      <c r="N261" s="7"/>
      <c r="O261" s="7"/>
      <c r="Q261" s="7"/>
      <c r="R261" s="7"/>
      <c r="S261" s="7"/>
      <c r="T261" s="7"/>
      <c r="U261" s="7"/>
      <c r="Y261" s="10"/>
      <c r="Z261" s="10"/>
      <c r="AA261" s="10"/>
      <c r="AB261" s="7"/>
      <c r="AC261" s="7"/>
      <c r="AD261" s="7"/>
      <c r="AE261" s="10"/>
      <c r="AF261" s="10"/>
      <c r="AG261" s="10"/>
      <c r="AJ261">
        <v>0</v>
      </c>
      <c r="AK261">
        <v>0</v>
      </c>
      <c r="AL261">
        <v>0</v>
      </c>
      <c r="AM261">
        <v>0</v>
      </c>
      <c r="AN261">
        <v>0</v>
      </c>
      <c r="AQ261">
        <v>259</v>
      </c>
      <c r="AR261">
        <f t="shared" si="65"/>
        <v>-2.2897079445185353</v>
      </c>
      <c r="AS261">
        <f t="shared" si="66"/>
        <v>-11.779526201371969</v>
      </c>
    </row>
    <row r="262" spans="13:45" x14ac:dyDescent="0.25">
      <c r="M262" s="9"/>
      <c r="AE262" s="10"/>
      <c r="AF262" s="10"/>
      <c r="AG262" s="10"/>
      <c r="AJ262">
        <v>0</v>
      </c>
      <c r="AK262">
        <v>0</v>
      </c>
      <c r="AL262">
        <v>0</v>
      </c>
      <c r="AM262">
        <v>0</v>
      </c>
      <c r="AN262">
        <v>0</v>
      </c>
      <c r="AQ262">
        <v>260</v>
      </c>
      <c r="AR262">
        <f t="shared" si="65"/>
        <v>-2.0837781320031641</v>
      </c>
      <c r="AS262">
        <f t="shared" si="66"/>
        <v>-11.817693036146496</v>
      </c>
    </row>
    <row r="263" spans="13:45" x14ac:dyDescent="0.25">
      <c r="M263" s="9"/>
      <c r="AE263" s="10"/>
      <c r="AF263" s="10"/>
      <c r="AG263" s="10"/>
      <c r="AJ263">
        <v>0</v>
      </c>
      <c r="AK263">
        <v>0</v>
      </c>
      <c r="AL263">
        <v>0</v>
      </c>
      <c r="AM263">
        <v>0</v>
      </c>
      <c r="AN263">
        <v>0</v>
      </c>
      <c r="AQ263">
        <v>261</v>
      </c>
      <c r="AR263">
        <f t="shared" si="65"/>
        <v>-1.8772135804827723</v>
      </c>
      <c r="AS263">
        <f t="shared" si="66"/>
        <v>-11.852260087141651</v>
      </c>
    </row>
    <row r="264" spans="13:45" x14ac:dyDescent="0.25">
      <c r="M264" s="9"/>
      <c r="AJ264">
        <v>0</v>
      </c>
      <c r="AK264">
        <v>0</v>
      </c>
      <c r="AL264">
        <v>0</v>
      </c>
      <c r="AM264">
        <v>0</v>
      </c>
      <c r="AN264">
        <v>0</v>
      </c>
      <c r="AQ264">
        <v>262</v>
      </c>
      <c r="AR264">
        <f t="shared" si="65"/>
        <v>-1.6700772115207898</v>
      </c>
      <c r="AS264">
        <f t="shared" si="66"/>
        <v>-11.883216824898843</v>
      </c>
    </row>
    <row r="265" spans="13:45" x14ac:dyDescent="0.25">
      <c r="M265" s="9"/>
      <c r="AJ265">
        <v>0</v>
      </c>
      <c r="AK265">
        <v>0</v>
      </c>
      <c r="AL265">
        <v>0</v>
      </c>
      <c r="AM265">
        <v>0</v>
      </c>
      <c r="AN265">
        <v>0</v>
      </c>
      <c r="AQ265">
        <v>263</v>
      </c>
      <c r="AR265">
        <f t="shared" si="65"/>
        <v>-1.4624321208617661</v>
      </c>
      <c r="AS265">
        <f t="shared" si="66"/>
        <v>-11.910553819695865</v>
      </c>
    </row>
    <row r="266" spans="13:45" x14ac:dyDescent="0.25">
      <c r="M266" s="9"/>
      <c r="AJ266">
        <v>0</v>
      </c>
      <c r="AK266">
        <v>0</v>
      </c>
      <c r="AL266">
        <v>0</v>
      </c>
      <c r="AM266">
        <v>0</v>
      </c>
      <c r="AN266">
        <v>0</v>
      </c>
      <c r="AQ266">
        <v>264</v>
      </c>
      <c r="AR266">
        <f t="shared" si="65"/>
        <v>-1.2543415592118403</v>
      </c>
      <c r="AS266">
        <f t="shared" si="66"/>
        <v>-11.93426274441928</v>
      </c>
    </row>
    <row r="267" spans="13:45" x14ac:dyDescent="0.25">
      <c r="M267" s="9"/>
      <c r="AJ267">
        <v>0</v>
      </c>
      <c r="AK267">
        <v>0</v>
      </c>
      <c r="AL267">
        <v>0</v>
      </c>
      <c r="AM267">
        <v>0</v>
      </c>
      <c r="AN267">
        <v>0</v>
      </c>
      <c r="AQ267">
        <v>265</v>
      </c>
      <c r="AR267">
        <f t="shared" si="65"/>
        <v>-1.045868912971899</v>
      </c>
      <c r="AS267">
        <f t="shared" si="66"/>
        <v>-11.954336377100947</v>
      </c>
    </row>
    <row r="268" spans="13:45" x14ac:dyDescent="0.25">
      <c r="M268" s="9"/>
      <c r="AJ268">
        <v>0</v>
      </c>
      <c r="AK268">
        <v>0</v>
      </c>
      <c r="AL268">
        <v>0</v>
      </c>
      <c r="AM268">
        <v>0</v>
      </c>
      <c r="AN268">
        <v>0</v>
      </c>
      <c r="AQ268">
        <v>266</v>
      </c>
      <c r="AR268">
        <f t="shared" si="65"/>
        <v>-0.83707768492950696</v>
      </c>
      <c r="AS268">
        <f t="shared" si="66"/>
        <v>-11.970768603117889</v>
      </c>
    </row>
    <row r="269" spans="13:45" x14ac:dyDescent="0.25">
      <c r="M269" s="9"/>
      <c r="AJ269">
        <v>0</v>
      </c>
      <c r="AK269">
        <v>0</v>
      </c>
      <c r="AL269">
        <v>0</v>
      </c>
      <c r="AM269">
        <v>0</v>
      </c>
      <c r="AN269">
        <v>0</v>
      </c>
      <c r="AQ269">
        <v>267</v>
      </c>
      <c r="AR269">
        <f t="shared" si="65"/>
        <v>-0.62803147491533173</v>
      </c>
      <c r="AS269">
        <f t="shared" si="66"/>
        <v>-11.983554417054886</v>
      </c>
    </row>
    <row r="270" spans="13:45" x14ac:dyDescent="0.25">
      <c r="M270" s="9"/>
      <c r="AJ270">
        <v>0</v>
      </c>
      <c r="AK270">
        <v>0</v>
      </c>
      <c r="AL270">
        <v>0</v>
      </c>
      <c r="AM270">
        <v>0</v>
      </c>
      <c r="AN270">
        <v>0</v>
      </c>
      <c r="AQ270">
        <v>268</v>
      </c>
      <c r="AR270">
        <f t="shared" si="65"/>
        <v>-0.41879396043000916</v>
      </c>
      <c r="AS270">
        <f t="shared" si="66"/>
        <v>-11.992689924229149</v>
      </c>
    </row>
    <row r="271" spans="13:45" x14ac:dyDescent="0.25">
      <c r="M271" s="9"/>
      <c r="AJ271">
        <v>0</v>
      </c>
      <c r="AK271">
        <v>0</v>
      </c>
      <c r="AL271">
        <v>0</v>
      </c>
      <c r="AM271">
        <v>0</v>
      </c>
      <c r="AN271">
        <v>0</v>
      </c>
      <c r="AQ271">
        <v>269</v>
      </c>
      <c r="AR271">
        <f t="shared" si="65"/>
        <v>-0.20942887724740197</v>
      </c>
      <c r="AS271">
        <f t="shared" si="66"/>
        <v>-11.998172341876696</v>
      </c>
    </row>
    <row r="272" spans="13:45" x14ac:dyDescent="0.25">
      <c r="M272" s="9"/>
      <c r="AJ272">
        <v>0</v>
      </c>
      <c r="AK272">
        <v>0</v>
      </c>
      <c r="AL272">
        <v>0</v>
      </c>
      <c r="AM272">
        <v>0</v>
      </c>
      <c r="AN272">
        <v>0</v>
      </c>
      <c r="AQ272">
        <v>270</v>
      </c>
      <c r="AR272">
        <f t="shared" si="65"/>
        <v>-2.205267218835516E-15</v>
      </c>
      <c r="AS272">
        <f t="shared" si="66"/>
        <v>-12</v>
      </c>
    </row>
    <row r="273" spans="13:45" x14ac:dyDescent="0.25">
      <c r="M273" s="9"/>
      <c r="AJ273">
        <v>0</v>
      </c>
      <c r="AK273">
        <v>0</v>
      </c>
      <c r="AL273">
        <v>0</v>
      </c>
      <c r="AM273">
        <v>0</v>
      </c>
      <c r="AN273">
        <v>0</v>
      </c>
      <c r="AQ273">
        <v>271</v>
      </c>
      <c r="AR273">
        <f t="shared" si="65"/>
        <v>0.20942887724739756</v>
      </c>
      <c r="AS273">
        <f t="shared" si="66"/>
        <v>-11.998172341876696</v>
      </c>
    </row>
    <row r="274" spans="13:45" x14ac:dyDescent="0.25">
      <c r="M274" s="9"/>
      <c r="AJ274">
        <v>0</v>
      </c>
      <c r="AK274">
        <v>0</v>
      </c>
      <c r="AL274">
        <v>0</v>
      </c>
      <c r="AM274">
        <v>0</v>
      </c>
      <c r="AN274">
        <v>0</v>
      </c>
      <c r="AQ274">
        <v>272</v>
      </c>
      <c r="AR274">
        <f t="shared" si="65"/>
        <v>0.41879396043001538</v>
      </c>
      <c r="AS274">
        <f t="shared" si="66"/>
        <v>-11.992689924229149</v>
      </c>
    </row>
    <row r="275" spans="13:45" x14ac:dyDescent="0.25">
      <c r="M275" s="9"/>
      <c r="AJ275">
        <v>0</v>
      </c>
      <c r="AK275">
        <v>0</v>
      </c>
      <c r="AL275">
        <v>0</v>
      </c>
      <c r="AM275">
        <v>0</v>
      </c>
      <c r="AN275">
        <v>0</v>
      </c>
      <c r="AQ275">
        <v>273</v>
      </c>
      <c r="AR275">
        <f t="shared" si="65"/>
        <v>0.62803147491532729</v>
      </c>
      <c r="AS275">
        <f t="shared" si="66"/>
        <v>-11.983554417054886</v>
      </c>
    </row>
    <row r="276" spans="13:45" x14ac:dyDescent="0.25">
      <c r="M276" s="9"/>
      <c r="AJ276">
        <v>0</v>
      </c>
      <c r="AK276">
        <v>0</v>
      </c>
      <c r="AL276">
        <v>0</v>
      </c>
      <c r="AM276">
        <v>0</v>
      </c>
      <c r="AN276">
        <v>0</v>
      </c>
      <c r="AQ276">
        <v>274</v>
      </c>
      <c r="AR276">
        <f t="shared" si="65"/>
        <v>0.83707768492950263</v>
      </c>
      <c r="AS276">
        <f t="shared" si="66"/>
        <v>-11.970768603117891</v>
      </c>
    </row>
    <row r="277" spans="13:45" x14ac:dyDescent="0.25">
      <c r="M277" s="9"/>
      <c r="AJ277">
        <v>0</v>
      </c>
      <c r="AK277">
        <v>0</v>
      </c>
      <c r="AL277">
        <v>0</v>
      </c>
      <c r="AM277">
        <v>0</v>
      </c>
      <c r="AN277">
        <v>0</v>
      </c>
      <c r="AQ277">
        <v>275</v>
      </c>
      <c r="AR277">
        <f t="shared" si="65"/>
        <v>1.0458689129718945</v>
      </c>
      <c r="AS277">
        <f t="shared" si="66"/>
        <v>-11.954336377100947</v>
      </c>
    </row>
    <row r="278" spans="13:45" x14ac:dyDescent="0.25">
      <c r="M278" s="9"/>
      <c r="AJ278">
        <v>0</v>
      </c>
      <c r="AK278">
        <v>0</v>
      </c>
      <c r="AL278">
        <v>0</v>
      </c>
      <c r="AM278">
        <v>0</v>
      </c>
      <c r="AN278">
        <v>0</v>
      </c>
      <c r="AQ278">
        <v>276</v>
      </c>
      <c r="AR278">
        <f t="shared" si="65"/>
        <v>1.2543415592118359</v>
      </c>
      <c r="AS278">
        <f t="shared" si="66"/>
        <v>-11.93426274441928</v>
      </c>
    </row>
    <row r="279" spans="13:45" x14ac:dyDescent="0.25">
      <c r="M279" s="9"/>
      <c r="AJ279">
        <v>0</v>
      </c>
      <c r="AK279">
        <v>0</v>
      </c>
      <c r="AL279">
        <v>0</v>
      </c>
      <c r="AM279">
        <v>0</v>
      </c>
      <c r="AN279">
        <v>0</v>
      </c>
      <c r="AQ279">
        <v>277</v>
      </c>
      <c r="AR279">
        <f t="shared" si="65"/>
        <v>1.4624321208617723</v>
      </c>
      <c r="AS279">
        <f t="shared" si="66"/>
        <v>-11.910553819695863</v>
      </c>
    </row>
    <row r="280" spans="13:45" x14ac:dyDescent="0.25">
      <c r="M280" s="9"/>
      <c r="AJ280">
        <v>0</v>
      </c>
      <c r="AK280">
        <v>0</v>
      </c>
      <c r="AL280">
        <v>0</v>
      </c>
      <c r="AM280">
        <v>0</v>
      </c>
      <c r="AN280">
        <v>0</v>
      </c>
      <c r="AQ280">
        <v>278</v>
      </c>
      <c r="AR280">
        <f t="shared" si="65"/>
        <v>1.6700772115207856</v>
      </c>
      <c r="AS280">
        <f t="shared" si="66"/>
        <v>-11.883216824898845</v>
      </c>
    </row>
    <row r="281" spans="13:45" x14ac:dyDescent="0.25">
      <c r="M281" s="9"/>
      <c r="AJ281">
        <v>0</v>
      </c>
      <c r="AK281">
        <v>0</v>
      </c>
      <c r="AL281">
        <v>0</v>
      </c>
      <c r="AM281">
        <v>0</v>
      </c>
      <c r="AN281">
        <v>0</v>
      </c>
      <c r="AQ281">
        <v>279</v>
      </c>
      <c r="AR281">
        <f t="shared" si="65"/>
        <v>1.8772135804827681</v>
      </c>
      <c r="AS281">
        <f t="shared" si="66"/>
        <v>-11.852260087141653</v>
      </c>
    </row>
    <row r="282" spans="13:45" x14ac:dyDescent="0.25">
      <c r="M282" s="9"/>
      <c r="AJ282">
        <v>0</v>
      </c>
      <c r="AK282">
        <v>0</v>
      </c>
      <c r="AL282">
        <v>0</v>
      </c>
      <c r="AM282">
        <v>0</v>
      </c>
      <c r="AN282">
        <v>0</v>
      </c>
      <c r="AQ282">
        <v>280</v>
      </c>
      <c r="AR282">
        <f t="shared" si="65"/>
        <v>2.0837781320031596</v>
      </c>
      <c r="AS282">
        <f t="shared" si="66"/>
        <v>-11.817693036146498</v>
      </c>
    </row>
    <row r="283" spans="13:45" x14ac:dyDescent="0.25">
      <c r="M283" s="9"/>
      <c r="AJ283">
        <v>0</v>
      </c>
      <c r="AK283">
        <v>0</v>
      </c>
      <c r="AL283">
        <v>0</v>
      </c>
      <c r="AM283">
        <v>0</v>
      </c>
      <c r="AN283">
        <v>0</v>
      </c>
      <c r="AQ283">
        <v>281</v>
      </c>
      <c r="AR283">
        <f t="shared" si="65"/>
        <v>2.2897079445185415</v>
      </c>
      <c r="AS283">
        <f t="shared" si="66"/>
        <v>-11.779526201371967</v>
      </c>
    </row>
    <row r="284" spans="13:45" x14ac:dyDescent="0.25">
      <c r="M284" s="9"/>
      <c r="AJ284">
        <v>0</v>
      </c>
      <c r="AK284">
        <v>0</v>
      </c>
      <c r="AL284">
        <v>0</v>
      </c>
      <c r="AM284">
        <v>0</v>
      </c>
      <c r="AN284">
        <v>0</v>
      </c>
      <c r="AQ284">
        <v>282</v>
      </c>
      <c r="AR284">
        <f t="shared" si="65"/>
        <v>2.4949402898131132</v>
      </c>
      <c r="AS284">
        <f t="shared" si="66"/>
        <v>-11.737771208805666</v>
      </c>
    </row>
    <row r="285" spans="13:45" x14ac:dyDescent="0.25">
      <c r="M285" s="9"/>
      <c r="AJ285">
        <v>0</v>
      </c>
      <c r="AK285">
        <v>0</v>
      </c>
      <c r="AL285">
        <v>0</v>
      </c>
      <c r="AM285">
        <v>0</v>
      </c>
      <c r="AN285">
        <v>0</v>
      </c>
      <c r="AQ285">
        <v>283</v>
      </c>
      <c r="AR285">
        <f t="shared" si="65"/>
        <v>2.6994126521263793</v>
      </c>
      <c r="AS285">
        <f t="shared" si="66"/>
        <v>-11.692440777422823</v>
      </c>
    </row>
    <row r="286" spans="13:45" x14ac:dyDescent="0.25">
      <c r="M286" s="9"/>
      <c r="AJ286">
        <v>0</v>
      </c>
      <c r="AK286">
        <v>0</v>
      </c>
      <c r="AL286">
        <v>0</v>
      </c>
      <c r="AM286">
        <v>0</v>
      </c>
      <c r="AN286">
        <v>0</v>
      </c>
      <c r="AQ286">
        <v>284</v>
      </c>
      <c r="AR286">
        <f t="shared" si="65"/>
        <v>2.9030627471960093</v>
      </c>
      <c r="AS286">
        <f t="shared" si="66"/>
        <v>-11.643548715311958</v>
      </c>
    </row>
    <row r="287" spans="13:45" x14ac:dyDescent="0.25">
      <c r="M287" s="9"/>
      <c r="AJ287">
        <v>0</v>
      </c>
      <c r="AK287">
        <v>0</v>
      </c>
      <c r="AL287">
        <v>0</v>
      </c>
      <c r="AM287">
        <v>0</v>
      </c>
      <c r="AN287">
        <v>0</v>
      </c>
      <c r="AQ287">
        <v>285</v>
      </c>
      <c r="AR287">
        <f t="shared" si="65"/>
        <v>3.1058285412302435</v>
      </c>
      <c r="AS287">
        <f t="shared" si="66"/>
        <v>-11.59110991546882</v>
      </c>
    </row>
    <row r="288" spans="13:45" x14ac:dyDescent="0.25">
      <c r="M288" s="9"/>
      <c r="AJ288">
        <v>0</v>
      </c>
      <c r="AK288">
        <v>0</v>
      </c>
      <c r="AL288">
        <v>0</v>
      </c>
      <c r="AM288">
        <v>0</v>
      </c>
      <c r="AN288">
        <v>0</v>
      </c>
      <c r="AQ288">
        <v>286</v>
      </c>
      <c r="AR288">
        <f t="shared" si="65"/>
        <v>3.3076482698039928</v>
      </c>
      <c r="AS288">
        <f t="shared" si="66"/>
        <v>-11.535140351259825</v>
      </c>
    </row>
    <row r="289" spans="13:45" x14ac:dyDescent="0.25">
      <c r="M289" s="9"/>
      <c r="AJ289">
        <v>0</v>
      </c>
      <c r="AK289">
        <v>0</v>
      </c>
      <c r="AL289">
        <v>0</v>
      </c>
      <c r="AM289">
        <v>0</v>
      </c>
      <c r="AN289">
        <v>0</v>
      </c>
      <c r="AQ289">
        <v>287</v>
      </c>
      <c r="AR289">
        <f t="shared" si="65"/>
        <v>3.5084604566728403</v>
      </c>
      <c r="AS289">
        <f t="shared" si="66"/>
        <v>-11.475657071556425</v>
      </c>
    </row>
    <row r="290" spans="13:45" x14ac:dyDescent="0.25">
      <c r="M290" s="9"/>
      <c r="AJ290">
        <v>0</v>
      </c>
      <c r="AK290">
        <v>0</v>
      </c>
      <c r="AL290">
        <v>0</v>
      </c>
      <c r="AM290">
        <v>0</v>
      </c>
      <c r="AN290">
        <v>0</v>
      </c>
      <c r="AQ290">
        <v>288</v>
      </c>
      <c r="AR290">
        <f t="shared" si="65"/>
        <v>3.7082039324993668</v>
      </c>
      <c r="AS290">
        <f t="shared" si="66"/>
        <v>-11.412678195541844</v>
      </c>
    </row>
    <row r="291" spans="13:45" x14ac:dyDescent="0.25">
      <c r="M291" s="9"/>
      <c r="AJ291">
        <v>0</v>
      </c>
      <c r="AK291">
        <v>0</v>
      </c>
      <c r="AL291">
        <v>0</v>
      </c>
      <c r="AM291">
        <v>0</v>
      </c>
      <c r="AN291">
        <v>0</v>
      </c>
      <c r="AQ291">
        <v>289</v>
      </c>
      <c r="AR291">
        <f t="shared" si="65"/>
        <v>3.906817853485876</v>
      </c>
      <c r="AS291">
        <f t="shared" si="66"/>
        <v>-11.346222907191803</v>
      </c>
    </row>
    <row r="292" spans="13:45" x14ac:dyDescent="0.25">
      <c r="M292" s="9"/>
      <c r="AJ292">
        <v>0</v>
      </c>
      <c r="AK292">
        <v>0</v>
      </c>
      <c r="AL292">
        <v>0</v>
      </c>
      <c r="AM292">
        <v>0</v>
      </c>
      <c r="AN292">
        <v>0</v>
      </c>
      <c r="AQ292">
        <v>290</v>
      </c>
      <c r="AR292">
        <f t="shared" si="65"/>
        <v>4.1042417199080283</v>
      </c>
      <c r="AS292">
        <f t="shared" si="66"/>
        <v>-11.276311449430899</v>
      </c>
    </row>
    <row r="293" spans="13:45" x14ac:dyDescent="0.25">
      <c r="M293" s="9"/>
      <c r="AJ293">
        <v>0</v>
      </c>
      <c r="AK293">
        <v>0</v>
      </c>
      <c r="AL293">
        <v>0</v>
      </c>
      <c r="AM293">
        <v>0</v>
      </c>
      <c r="AN293">
        <v>0</v>
      </c>
      <c r="AQ293">
        <v>291</v>
      </c>
      <c r="AR293">
        <f t="shared" si="65"/>
        <v>4.3004153945436041</v>
      </c>
      <c r="AS293">
        <f t="shared" si="66"/>
        <v>-11.202965117966421</v>
      </c>
    </row>
    <row r="294" spans="13:45" x14ac:dyDescent="0.25">
      <c r="M294" s="9"/>
      <c r="AJ294">
        <v>0</v>
      </c>
      <c r="AK294">
        <v>0</v>
      </c>
      <c r="AL294">
        <v>0</v>
      </c>
      <c r="AM294">
        <v>0</v>
      </c>
      <c r="AN294">
        <v>0</v>
      </c>
      <c r="AQ294">
        <v>292</v>
      </c>
      <c r="AR294">
        <f t="shared" si="65"/>
        <v>4.4952791209909435</v>
      </c>
      <c r="AS294">
        <f t="shared" si="66"/>
        <v>-11.126206254801449</v>
      </c>
    </row>
    <row r="295" spans="13:45" x14ac:dyDescent="0.25">
      <c r="M295" s="9"/>
      <c r="AJ295">
        <v>0</v>
      </c>
      <c r="AK295">
        <v>0</v>
      </c>
      <c r="AL295">
        <v>0</v>
      </c>
      <c r="AM295">
        <v>0</v>
      </c>
      <c r="AN295">
        <v>0</v>
      </c>
      <c r="AQ295">
        <v>293</v>
      </c>
      <c r="AR295">
        <f t="shared" si="65"/>
        <v>4.6887735418712815</v>
      </c>
      <c r="AS295">
        <f t="shared" si="66"/>
        <v>-11.046058241429286</v>
      </c>
    </row>
    <row r="296" spans="13:45" x14ac:dyDescent="0.25">
      <c r="M296" s="9"/>
      <c r="AJ296">
        <v>0</v>
      </c>
      <c r="AK296">
        <v>0</v>
      </c>
      <c r="AL296">
        <v>0</v>
      </c>
      <c r="AM296">
        <v>0</v>
      </c>
      <c r="AN296">
        <v>0</v>
      </c>
      <c r="AQ296">
        <v>294</v>
      </c>
      <c r="AR296">
        <f t="shared" si="65"/>
        <v>4.8808397169095974</v>
      </c>
      <c r="AS296">
        <f t="shared" si="66"/>
        <v>-10.962545491711213</v>
      </c>
    </row>
    <row r="297" spans="13:45" x14ac:dyDescent="0.25">
      <c r="M297" s="9"/>
      <c r="AJ297">
        <v>0</v>
      </c>
      <c r="AK297">
        <v>0</v>
      </c>
      <c r="AL297">
        <v>0</v>
      </c>
      <c r="AM297">
        <v>0</v>
      </c>
      <c r="AN297">
        <v>0</v>
      </c>
      <c r="AQ297">
        <v>295</v>
      </c>
      <c r="AR297">
        <f t="shared" si="65"/>
        <v>5.0714191408883948</v>
      </c>
      <c r="AS297">
        <f t="shared" si="66"/>
        <v>-10.875693444439799</v>
      </c>
    </row>
    <row r="298" spans="13:45" x14ac:dyDescent="0.25">
      <c r="M298" s="9"/>
      <c r="AJ298">
        <v>0</v>
      </c>
      <c r="AK298">
        <v>0</v>
      </c>
      <c r="AL298">
        <v>0</v>
      </c>
      <c r="AM298">
        <v>0</v>
      </c>
      <c r="AN298">
        <v>0</v>
      </c>
      <c r="AQ298">
        <v>296</v>
      </c>
      <c r="AR298">
        <f t="shared" si="65"/>
        <v>5.2604537614689288</v>
      </c>
      <c r="AS298">
        <f t="shared" si="66"/>
        <v>-10.785528555590005</v>
      </c>
    </row>
    <row r="299" spans="13:45" x14ac:dyDescent="0.25">
      <c r="M299" s="9"/>
      <c r="AJ299">
        <v>0</v>
      </c>
      <c r="AK299">
        <v>0</v>
      </c>
      <c r="AL299">
        <v>0</v>
      </c>
      <c r="AM299">
        <v>0</v>
      </c>
      <c r="AN299">
        <v>0</v>
      </c>
      <c r="AQ299">
        <v>297</v>
      </c>
      <c r="AR299">
        <f t="shared" si="65"/>
        <v>5.4478859968745592</v>
      </c>
      <c r="AS299">
        <f t="shared" si="66"/>
        <v>-10.692078290260415</v>
      </c>
    </row>
    <row r="300" spans="13:45" x14ac:dyDescent="0.25">
      <c r="M300" s="9"/>
      <c r="AJ300">
        <v>0</v>
      </c>
      <c r="AK300">
        <v>0</v>
      </c>
      <c r="AL300">
        <v>0</v>
      </c>
      <c r="AM300">
        <v>0</v>
      </c>
      <c r="AN300">
        <v>0</v>
      </c>
      <c r="AQ300">
        <v>298</v>
      </c>
      <c r="AR300">
        <f t="shared" si="65"/>
        <v>5.6336587534306855</v>
      </c>
      <c r="AS300">
        <f t="shared" si="66"/>
        <v>-10.595371114307126</v>
      </c>
    </row>
    <row r="301" spans="13:45" x14ac:dyDescent="0.25">
      <c r="M301" s="9"/>
      <c r="AJ301">
        <v>0</v>
      </c>
      <c r="AK301">
        <v>0</v>
      </c>
      <c r="AL301">
        <v>0</v>
      </c>
      <c r="AM301">
        <v>0</v>
      </c>
      <c r="AN301">
        <v>0</v>
      </c>
      <c r="AQ301">
        <v>299</v>
      </c>
      <c r="AR301">
        <f t="shared" si="65"/>
        <v>5.8177154429560476</v>
      </c>
      <c r="AS301">
        <f t="shared" si="66"/>
        <v>-10.495436485672748</v>
      </c>
    </row>
    <row r="302" spans="13:45" x14ac:dyDescent="0.25">
      <c r="M302" s="9"/>
      <c r="AJ302">
        <v>0</v>
      </c>
      <c r="AK302">
        <v>0</v>
      </c>
      <c r="AL302">
        <v>0</v>
      </c>
      <c r="AM302">
        <v>0</v>
      </c>
      <c r="AN302">
        <v>0</v>
      </c>
      <c r="AQ302">
        <v>300</v>
      </c>
      <c r="AR302">
        <f t="shared" si="65"/>
        <v>6.0000000000000018</v>
      </c>
      <c r="AS302">
        <f t="shared" si="66"/>
        <v>-10.392304845413264</v>
      </c>
    </row>
    <row r="303" spans="13:45" x14ac:dyDescent="0.25">
      <c r="M303" s="9"/>
      <c r="AJ303">
        <v>0</v>
      </c>
      <c r="AK303">
        <v>0</v>
      </c>
      <c r="AL303">
        <v>0</v>
      </c>
      <c r="AM303">
        <v>0</v>
      </c>
      <c r="AN303">
        <v>0</v>
      </c>
      <c r="AQ303">
        <v>301</v>
      </c>
      <c r="AR303">
        <f t="shared" si="65"/>
        <v>6.1804568989206494</v>
      </c>
      <c r="AS303">
        <f t="shared" si="66"/>
        <v>-10.286007608425347</v>
      </c>
    </row>
    <row r="304" spans="13:45" x14ac:dyDescent="0.25">
      <c r="M304" s="9"/>
      <c r="AJ304">
        <v>0</v>
      </c>
      <c r="AK304">
        <v>0</v>
      </c>
      <c r="AL304">
        <v>0</v>
      </c>
      <c r="AM304">
        <v>0</v>
      </c>
      <c r="AN304">
        <v>0</v>
      </c>
      <c r="AQ304">
        <v>302</v>
      </c>
      <c r="AR304">
        <f t="shared" si="65"/>
        <v>6.3590311707984561</v>
      </c>
      <c r="AS304">
        <f t="shared" si="66"/>
        <v>-10.176577153877114</v>
      </c>
    </row>
    <row r="305" spans="13:45" x14ac:dyDescent="0.25">
      <c r="M305" s="9"/>
      <c r="AJ305">
        <v>0</v>
      </c>
      <c r="AK305">
        <v>0</v>
      </c>
      <c r="AL305">
        <v>0</v>
      </c>
      <c r="AM305">
        <v>0</v>
      </c>
      <c r="AN305">
        <v>0</v>
      </c>
      <c r="AQ305">
        <v>303</v>
      </c>
      <c r="AR305">
        <f t="shared" si="65"/>
        <v>6.5356684201803201</v>
      </c>
      <c r="AS305">
        <f t="shared" si="66"/>
        <v>-10.06404681534509</v>
      </c>
    </row>
    <row r="306" spans="13:45" x14ac:dyDescent="0.25">
      <c r="M306" s="9"/>
      <c r="AJ306">
        <v>0</v>
      </c>
      <c r="AK306">
        <v>0</v>
      </c>
      <c r="AL306">
        <v>0</v>
      </c>
      <c r="AM306">
        <v>0</v>
      </c>
      <c r="AN306">
        <v>0</v>
      </c>
      <c r="AQ306">
        <v>304</v>
      </c>
      <c r="AR306">
        <f t="shared" si="65"/>
        <v>6.7103148416489642</v>
      </c>
      <c r="AS306">
        <f t="shared" si="66"/>
        <v>-9.9484508706604995</v>
      </c>
    </row>
    <row r="307" spans="13:45" x14ac:dyDescent="0.25">
      <c r="M307" s="9"/>
      <c r="AJ307">
        <v>0</v>
      </c>
      <c r="AK307">
        <v>0</v>
      </c>
      <c r="AL307">
        <v>0</v>
      </c>
      <c r="AM307">
        <v>0</v>
      </c>
      <c r="AN307">
        <v>0</v>
      </c>
      <c r="AQ307">
        <v>305</v>
      </c>
      <c r="AR307">
        <f t="shared" si="65"/>
        <v>6.8829172362125526</v>
      </c>
      <c r="AS307">
        <f t="shared" si="66"/>
        <v>-9.8298245314679011</v>
      </c>
    </row>
    <row r="308" spans="13:45" x14ac:dyDescent="0.25">
      <c r="M308" s="9"/>
      <c r="AJ308">
        <v>0</v>
      </c>
      <c r="AK308">
        <v>0</v>
      </c>
      <c r="AL308">
        <v>0</v>
      </c>
      <c r="AM308">
        <v>0</v>
      </c>
      <c r="AN308">
        <v>0</v>
      </c>
      <c r="AQ308">
        <v>306</v>
      </c>
      <c r="AR308">
        <f t="shared" si="65"/>
        <v>7.053423027509675</v>
      </c>
      <c r="AS308">
        <f t="shared" si="66"/>
        <v>-9.7082039324993712</v>
      </c>
    </row>
    <row r="309" spans="13:45" x14ac:dyDescent="0.25">
      <c r="M309" s="9"/>
      <c r="AJ309">
        <v>0</v>
      </c>
      <c r="AK309">
        <v>0</v>
      </c>
      <c r="AL309">
        <v>0</v>
      </c>
      <c r="AM309">
        <v>0</v>
      </c>
      <c r="AN309">
        <v>0</v>
      </c>
      <c r="AQ309">
        <v>307</v>
      </c>
      <c r="AR309">
        <f t="shared" si="65"/>
        <v>7.2217802778245748</v>
      </c>
      <c r="AS309">
        <f t="shared" si="66"/>
        <v>-9.5836261205675157</v>
      </c>
    </row>
    <row r="310" spans="13:45" x14ac:dyDescent="0.25">
      <c r="M310" s="9"/>
      <c r="AJ310">
        <v>0</v>
      </c>
      <c r="AK310">
        <v>0</v>
      </c>
      <c r="AL310">
        <v>0</v>
      </c>
      <c r="AM310">
        <v>0</v>
      </c>
      <c r="AN310">
        <v>0</v>
      </c>
      <c r="AQ310">
        <v>308</v>
      </c>
      <c r="AR310">
        <f t="shared" si="65"/>
        <v>7.3879377039079017</v>
      </c>
      <c r="AS310">
        <f t="shared" si="66"/>
        <v>-9.4561290432806615</v>
      </c>
    </row>
    <row r="311" spans="13:45" x14ac:dyDescent="0.25">
      <c r="M311" s="9"/>
      <c r="AJ311">
        <v>0</v>
      </c>
      <c r="AK311">
        <v>0</v>
      </c>
      <c r="AL311">
        <v>0</v>
      </c>
      <c r="AM311">
        <v>0</v>
      </c>
      <c r="AN311">
        <v>0</v>
      </c>
      <c r="AQ311">
        <v>309</v>
      </c>
      <c r="AR311">
        <f t="shared" si="65"/>
        <v>7.55184469259805</v>
      </c>
      <c r="AS311">
        <f t="shared" si="66"/>
        <v>-9.325751537483649</v>
      </c>
    </row>
    <row r="312" spans="13:45" x14ac:dyDescent="0.25">
      <c r="M312" s="9"/>
      <c r="AJ312">
        <v>0</v>
      </c>
      <c r="AK312">
        <v>0</v>
      </c>
      <c r="AL312">
        <v>0</v>
      </c>
      <c r="AM312">
        <v>0</v>
      </c>
      <c r="AN312">
        <v>0</v>
      </c>
      <c r="AQ312">
        <v>310</v>
      </c>
      <c r="AR312">
        <f t="shared" si="65"/>
        <v>7.713451316238471</v>
      </c>
      <c r="AS312">
        <f t="shared" si="66"/>
        <v>-9.1925333174277384</v>
      </c>
    </row>
    <row r="313" spans="13:45" x14ac:dyDescent="0.25">
      <c r="M313" s="9"/>
      <c r="AJ313">
        <v>0</v>
      </c>
      <c r="AK313">
        <v>0</v>
      </c>
      <c r="AL313">
        <v>0</v>
      </c>
      <c r="AM313">
        <v>0</v>
      </c>
      <c r="AN313">
        <v>0</v>
      </c>
      <c r="AQ313">
        <v>311</v>
      </c>
      <c r="AR313">
        <f t="shared" si="65"/>
        <v>7.8727083478860846</v>
      </c>
      <c r="AS313">
        <f t="shared" si="66"/>
        <v>-9.0565149626732673</v>
      </c>
    </row>
    <row r="314" spans="13:45" x14ac:dyDescent="0.25">
      <c r="M314" s="9"/>
      <c r="AJ314">
        <v>0</v>
      </c>
      <c r="AK314">
        <v>0</v>
      </c>
      <c r="AL314">
        <v>0</v>
      </c>
      <c r="AM314">
        <v>0</v>
      </c>
      <c r="AN314">
        <v>0</v>
      </c>
      <c r="AQ314">
        <v>312</v>
      </c>
      <c r="AR314">
        <f t="shared" si="65"/>
        <v>8.0295672763062935</v>
      </c>
      <c r="AS314">
        <f t="shared" si="66"/>
        <v>-8.9177379057287354</v>
      </c>
    </row>
    <row r="315" spans="13:45" x14ac:dyDescent="0.25">
      <c r="M315" s="9"/>
      <c r="AJ315">
        <v>0</v>
      </c>
      <c r="AK315">
        <v>0</v>
      </c>
      <c r="AL315">
        <v>0</v>
      </c>
      <c r="AM315">
        <v>0</v>
      </c>
      <c r="AN315">
        <v>0</v>
      </c>
      <c r="AQ315">
        <v>313</v>
      </c>
      <c r="AR315">
        <f t="shared" si="65"/>
        <v>8.1839803207499831</v>
      </c>
      <c r="AS315">
        <f t="shared" si="66"/>
        <v>-8.7762444194300446</v>
      </c>
    </row>
    <row r="316" spans="13:45" x14ac:dyDescent="0.25">
      <c r="M316" s="9"/>
      <c r="AJ316">
        <v>0</v>
      </c>
      <c r="AK316">
        <v>0</v>
      </c>
      <c r="AL316">
        <v>0</v>
      </c>
      <c r="AM316">
        <v>0</v>
      </c>
      <c r="AN316">
        <v>0</v>
      </c>
      <c r="AQ316">
        <v>314</v>
      </c>
      <c r="AR316">
        <f t="shared" si="65"/>
        <v>8.335900445507967</v>
      </c>
      <c r="AS316">
        <f t="shared" si="66"/>
        <v>-8.6320776040638147</v>
      </c>
    </row>
    <row r="317" spans="13:45" x14ac:dyDescent="0.25">
      <c r="M317" s="9"/>
      <c r="AJ317">
        <v>0</v>
      </c>
      <c r="AK317">
        <v>0</v>
      </c>
      <c r="AL317">
        <v>0</v>
      </c>
      <c r="AM317">
        <v>0</v>
      </c>
      <c r="AN317">
        <v>0</v>
      </c>
      <c r="AQ317">
        <v>315</v>
      </c>
      <c r="AR317">
        <f t="shared" si="65"/>
        <v>8.4852813742385678</v>
      </c>
      <c r="AS317">
        <f t="shared" si="66"/>
        <v>-8.4852813742385713</v>
      </c>
    </row>
    <row r="318" spans="13:45" x14ac:dyDescent="0.25">
      <c r="M318" s="9"/>
      <c r="AJ318">
        <v>0</v>
      </c>
      <c r="AK318">
        <v>0</v>
      </c>
      <c r="AL318">
        <v>0</v>
      </c>
      <c r="AM318">
        <v>0</v>
      </c>
      <c r="AN318">
        <v>0</v>
      </c>
      <c r="AQ318">
        <v>316</v>
      </c>
      <c r="AR318">
        <f t="shared" si="65"/>
        <v>8.6320776040638094</v>
      </c>
      <c r="AS318">
        <f t="shared" si="66"/>
        <v>-8.3359004455079706</v>
      </c>
    </row>
    <row r="319" spans="13:45" x14ac:dyDescent="0.25">
      <c r="M319" s="9"/>
      <c r="AJ319">
        <v>0</v>
      </c>
      <c r="AK319">
        <v>0</v>
      </c>
      <c r="AL319">
        <v>0</v>
      </c>
      <c r="AM319">
        <v>0</v>
      </c>
      <c r="AN319">
        <v>0</v>
      </c>
      <c r="AQ319">
        <v>317</v>
      </c>
      <c r="AR319">
        <f t="shared" si="65"/>
        <v>8.7762444194300482</v>
      </c>
      <c r="AS319">
        <f t="shared" si="66"/>
        <v>-8.1839803207499795</v>
      </c>
    </row>
    <row r="320" spans="13:45" x14ac:dyDescent="0.25">
      <c r="M320" s="9"/>
      <c r="AJ320">
        <v>0</v>
      </c>
      <c r="AK320">
        <v>0</v>
      </c>
      <c r="AL320">
        <v>0</v>
      </c>
      <c r="AM320">
        <v>0</v>
      </c>
      <c r="AN320">
        <v>0</v>
      </c>
      <c r="AQ320">
        <v>318</v>
      </c>
      <c r="AR320">
        <f t="shared" si="65"/>
        <v>8.9177379057287318</v>
      </c>
      <c r="AS320">
        <f t="shared" si="66"/>
        <v>-8.0295672763062971</v>
      </c>
    </row>
    <row r="321" spans="13:45" x14ac:dyDescent="0.25">
      <c r="M321" s="9"/>
      <c r="AJ321">
        <v>0</v>
      </c>
      <c r="AK321">
        <v>0</v>
      </c>
      <c r="AL321">
        <v>0</v>
      </c>
      <c r="AM321">
        <v>0</v>
      </c>
      <c r="AN321">
        <v>0</v>
      </c>
      <c r="AQ321">
        <v>319</v>
      </c>
      <c r="AR321">
        <f t="shared" si="65"/>
        <v>9.0565149626732619</v>
      </c>
      <c r="AS321">
        <f t="shared" si="66"/>
        <v>-7.8727083478860891</v>
      </c>
    </row>
    <row r="322" spans="13:45" x14ac:dyDescent="0.25">
      <c r="M322" s="9"/>
      <c r="AJ322">
        <v>0</v>
      </c>
      <c r="AK322">
        <v>0</v>
      </c>
      <c r="AL322">
        <v>0</v>
      </c>
      <c r="AM322">
        <v>0</v>
      </c>
      <c r="AN322">
        <v>0</v>
      </c>
      <c r="AQ322">
        <v>320</v>
      </c>
      <c r="AR322">
        <f t="shared" si="65"/>
        <v>9.1925333174277331</v>
      </c>
      <c r="AS322">
        <f t="shared" si="66"/>
        <v>-7.7134513162384746</v>
      </c>
    </row>
    <row r="323" spans="13:45" x14ac:dyDescent="0.25">
      <c r="M323" s="9"/>
      <c r="AJ323">
        <v>0</v>
      </c>
      <c r="AK323">
        <v>0</v>
      </c>
      <c r="AL323">
        <v>0</v>
      </c>
      <c r="AM323">
        <v>0</v>
      </c>
      <c r="AN323">
        <v>0</v>
      </c>
      <c r="AQ323">
        <v>321</v>
      </c>
      <c r="AR323">
        <f t="shared" ref="AR323:AR362" si="67">$B$3*COS(RADIANS(AQ323))</f>
        <v>9.3257515374836473</v>
      </c>
      <c r="AS323">
        <f t="shared" ref="AS323:AS362" si="68">$B$3*SIN(RADIANS(AQ323))</f>
        <v>-7.5518446925980545</v>
      </c>
    </row>
    <row r="324" spans="13:45" x14ac:dyDescent="0.25">
      <c r="M324" s="9"/>
      <c r="AJ324">
        <v>0</v>
      </c>
      <c r="AK324">
        <v>0</v>
      </c>
      <c r="AL324">
        <v>0</v>
      </c>
      <c r="AM324">
        <v>0</v>
      </c>
      <c r="AN324">
        <v>0</v>
      </c>
      <c r="AQ324">
        <v>322</v>
      </c>
      <c r="AR324">
        <f t="shared" si="67"/>
        <v>9.4561290432806651</v>
      </c>
      <c r="AS324">
        <f t="shared" si="68"/>
        <v>-7.3879377039078982</v>
      </c>
    </row>
    <row r="325" spans="13:45" x14ac:dyDescent="0.25">
      <c r="M325" s="9"/>
      <c r="AJ325">
        <v>0</v>
      </c>
      <c r="AK325">
        <v>0</v>
      </c>
      <c r="AL325">
        <v>0</v>
      </c>
      <c r="AM325">
        <v>0</v>
      </c>
      <c r="AN325">
        <v>0</v>
      </c>
      <c r="AQ325">
        <v>323</v>
      </c>
      <c r="AR325">
        <f t="shared" si="67"/>
        <v>9.583626120567514</v>
      </c>
      <c r="AS325">
        <f t="shared" si="68"/>
        <v>-7.2217802778245792</v>
      </c>
    </row>
    <row r="326" spans="13:45" x14ac:dyDescent="0.25">
      <c r="M326" s="9"/>
      <c r="AJ326">
        <v>0</v>
      </c>
      <c r="AK326">
        <v>0</v>
      </c>
      <c r="AL326">
        <v>0</v>
      </c>
      <c r="AM326">
        <v>0</v>
      </c>
      <c r="AN326">
        <v>0</v>
      </c>
      <c r="AQ326">
        <v>324</v>
      </c>
      <c r="AR326">
        <f t="shared" si="67"/>
        <v>9.7082039324993676</v>
      </c>
      <c r="AS326">
        <f t="shared" si="68"/>
        <v>-7.0534230275096803</v>
      </c>
    </row>
    <row r="327" spans="13:45" x14ac:dyDescent="0.25">
      <c r="M327" s="9"/>
      <c r="AJ327">
        <v>0</v>
      </c>
      <c r="AK327">
        <v>0</v>
      </c>
      <c r="AL327">
        <v>0</v>
      </c>
      <c r="AM327">
        <v>0</v>
      </c>
      <c r="AN327">
        <v>0</v>
      </c>
      <c r="AQ327">
        <v>325</v>
      </c>
      <c r="AR327">
        <f t="shared" si="67"/>
        <v>9.8298245314678994</v>
      </c>
      <c r="AS327">
        <f t="shared" si="68"/>
        <v>-6.8829172362125579</v>
      </c>
    </row>
    <row r="328" spans="13:45" x14ac:dyDescent="0.25">
      <c r="M328" s="9"/>
      <c r="AJ328">
        <v>0</v>
      </c>
      <c r="AK328">
        <v>0</v>
      </c>
      <c r="AL328">
        <v>0</v>
      </c>
      <c r="AM328">
        <v>0</v>
      </c>
      <c r="AN328">
        <v>0</v>
      </c>
      <c r="AQ328">
        <v>326</v>
      </c>
      <c r="AR328">
        <f t="shared" si="67"/>
        <v>9.9484508706605013</v>
      </c>
      <c r="AS328">
        <f t="shared" si="68"/>
        <v>-6.7103148416489589</v>
      </c>
    </row>
    <row r="329" spans="13:45" x14ac:dyDescent="0.25">
      <c r="M329" s="9"/>
      <c r="AJ329">
        <v>0</v>
      </c>
      <c r="AK329">
        <v>0</v>
      </c>
      <c r="AL329">
        <v>0</v>
      </c>
      <c r="AM329">
        <v>0</v>
      </c>
      <c r="AN329">
        <v>0</v>
      </c>
      <c r="AQ329">
        <v>327</v>
      </c>
      <c r="AR329">
        <f t="shared" si="67"/>
        <v>10.064046815345089</v>
      </c>
      <c r="AS329">
        <f t="shared" si="68"/>
        <v>-6.5356684201803237</v>
      </c>
    </row>
    <row r="330" spans="13:45" x14ac:dyDescent="0.25">
      <c r="M330" s="9"/>
      <c r="AJ330">
        <v>0</v>
      </c>
      <c r="AK330">
        <v>0</v>
      </c>
      <c r="AL330">
        <v>0</v>
      </c>
      <c r="AM330">
        <v>0</v>
      </c>
      <c r="AN330">
        <v>0</v>
      </c>
      <c r="AQ330">
        <v>328</v>
      </c>
      <c r="AR330">
        <f t="shared" si="67"/>
        <v>10.176577153877112</v>
      </c>
      <c r="AS330">
        <f t="shared" si="68"/>
        <v>-6.3590311707984597</v>
      </c>
    </row>
    <row r="331" spans="13:45" x14ac:dyDescent="0.25">
      <c r="M331" s="9"/>
      <c r="AJ331">
        <v>0</v>
      </c>
      <c r="AK331">
        <v>0</v>
      </c>
      <c r="AL331">
        <v>0</v>
      </c>
      <c r="AM331">
        <v>0</v>
      </c>
      <c r="AN331">
        <v>0</v>
      </c>
      <c r="AQ331">
        <v>329</v>
      </c>
      <c r="AR331">
        <f t="shared" si="67"/>
        <v>10.286007608425345</v>
      </c>
      <c r="AS331">
        <f t="shared" si="68"/>
        <v>-6.1804568989206539</v>
      </c>
    </row>
    <row r="332" spans="13:45" x14ac:dyDescent="0.25">
      <c r="M332" s="9"/>
      <c r="AJ332">
        <v>0</v>
      </c>
      <c r="AK332">
        <v>0</v>
      </c>
      <c r="AL332">
        <v>0</v>
      </c>
      <c r="AM332">
        <v>0</v>
      </c>
      <c r="AN332">
        <v>0</v>
      </c>
      <c r="AQ332">
        <v>330</v>
      </c>
      <c r="AR332">
        <f t="shared" si="67"/>
        <v>10.39230484541326</v>
      </c>
      <c r="AS332">
        <f t="shared" si="68"/>
        <v>-6.0000000000000053</v>
      </c>
    </row>
    <row r="333" spans="13:45" x14ac:dyDescent="0.25">
      <c r="M333" s="9"/>
      <c r="AJ333">
        <v>0</v>
      </c>
      <c r="AK333">
        <v>0</v>
      </c>
      <c r="AL333">
        <v>0</v>
      </c>
      <c r="AM333">
        <v>0</v>
      </c>
      <c r="AN333">
        <v>0</v>
      </c>
      <c r="AQ333">
        <v>331</v>
      </c>
      <c r="AR333">
        <f t="shared" si="67"/>
        <v>10.49543648567275</v>
      </c>
      <c r="AS333">
        <f t="shared" si="68"/>
        <v>-5.8177154429560431</v>
      </c>
    </row>
    <row r="334" spans="13:45" x14ac:dyDescent="0.25">
      <c r="M334" s="9"/>
      <c r="AJ334">
        <v>0</v>
      </c>
      <c r="AK334">
        <v>0</v>
      </c>
      <c r="AL334">
        <v>0</v>
      </c>
      <c r="AM334">
        <v>0</v>
      </c>
      <c r="AN334">
        <v>0</v>
      </c>
      <c r="AQ334">
        <v>332</v>
      </c>
      <c r="AR334">
        <f t="shared" si="67"/>
        <v>10.595371114307122</v>
      </c>
      <c r="AS334">
        <f t="shared" si="68"/>
        <v>-5.6336587534306899</v>
      </c>
    </row>
    <row r="335" spans="13:45" x14ac:dyDescent="0.25">
      <c r="M335" s="9"/>
      <c r="AJ335">
        <v>0</v>
      </c>
      <c r="AK335">
        <v>0</v>
      </c>
      <c r="AL335">
        <v>0</v>
      </c>
      <c r="AM335">
        <v>0</v>
      </c>
      <c r="AN335">
        <v>0</v>
      </c>
      <c r="AQ335">
        <v>333</v>
      </c>
      <c r="AR335">
        <f t="shared" si="67"/>
        <v>10.692078290260413</v>
      </c>
      <c r="AS335">
        <f t="shared" si="68"/>
        <v>-5.4478859968745637</v>
      </c>
    </row>
    <row r="336" spans="13:45" x14ac:dyDescent="0.25">
      <c r="M336" s="9"/>
      <c r="AJ336">
        <v>0</v>
      </c>
      <c r="AK336">
        <v>0</v>
      </c>
      <c r="AL336">
        <v>0</v>
      </c>
      <c r="AM336">
        <v>0</v>
      </c>
      <c r="AN336">
        <v>0</v>
      </c>
      <c r="AQ336">
        <v>334</v>
      </c>
      <c r="AR336">
        <f t="shared" si="67"/>
        <v>10.785528555590002</v>
      </c>
      <c r="AS336">
        <f t="shared" si="68"/>
        <v>-5.2604537614689333</v>
      </c>
    </row>
    <row r="337" spans="13:45" x14ac:dyDescent="0.25">
      <c r="M337" s="9"/>
      <c r="AJ337">
        <v>0</v>
      </c>
      <c r="AK337">
        <v>0</v>
      </c>
      <c r="AL337">
        <v>0</v>
      </c>
      <c r="AM337">
        <v>0</v>
      </c>
      <c r="AN337">
        <v>0</v>
      </c>
      <c r="AQ337">
        <v>335</v>
      </c>
      <c r="AR337">
        <f t="shared" si="67"/>
        <v>10.875693444439801</v>
      </c>
      <c r="AS337">
        <f t="shared" si="68"/>
        <v>-5.0714191408883904</v>
      </c>
    </row>
    <row r="338" spans="13:45" x14ac:dyDescent="0.25">
      <c r="M338" s="9"/>
      <c r="AJ338">
        <v>0</v>
      </c>
      <c r="AK338">
        <v>0</v>
      </c>
      <c r="AL338">
        <v>0</v>
      </c>
      <c r="AM338">
        <v>0</v>
      </c>
      <c r="AN338">
        <v>0</v>
      </c>
      <c r="AQ338">
        <v>336</v>
      </c>
      <c r="AR338">
        <f t="shared" si="67"/>
        <v>10.962545491711211</v>
      </c>
      <c r="AS338">
        <f t="shared" si="68"/>
        <v>-4.8808397169096018</v>
      </c>
    </row>
    <row r="339" spans="13:45" x14ac:dyDescent="0.25">
      <c r="M339" s="9"/>
      <c r="AJ339">
        <v>0</v>
      </c>
      <c r="AK339">
        <v>0</v>
      </c>
      <c r="AL339">
        <v>0</v>
      </c>
      <c r="AM339">
        <v>0</v>
      </c>
      <c r="AN339">
        <v>0</v>
      </c>
      <c r="AQ339">
        <v>337</v>
      </c>
      <c r="AR339">
        <f t="shared" si="67"/>
        <v>11.046058241429282</v>
      </c>
      <c r="AS339">
        <f t="shared" si="68"/>
        <v>-4.6887735418712868</v>
      </c>
    </row>
    <row r="340" spans="13:45" x14ac:dyDescent="0.25">
      <c r="M340" s="9"/>
      <c r="AJ340">
        <v>0</v>
      </c>
      <c r="AK340">
        <v>0</v>
      </c>
      <c r="AL340">
        <v>0</v>
      </c>
      <c r="AM340">
        <v>0</v>
      </c>
      <c r="AN340">
        <v>0</v>
      </c>
      <c r="AQ340">
        <v>338</v>
      </c>
      <c r="AR340">
        <f t="shared" si="67"/>
        <v>11.126206254801447</v>
      </c>
      <c r="AS340">
        <f t="shared" si="68"/>
        <v>-4.495279120990948</v>
      </c>
    </row>
    <row r="341" spans="13:45" x14ac:dyDescent="0.25">
      <c r="M341" s="9"/>
      <c r="AJ341">
        <v>0</v>
      </c>
      <c r="AK341">
        <v>0</v>
      </c>
      <c r="AL341">
        <v>0</v>
      </c>
      <c r="AM341">
        <v>0</v>
      </c>
      <c r="AN341">
        <v>0</v>
      </c>
      <c r="AQ341">
        <v>339</v>
      </c>
      <c r="AR341">
        <f t="shared" si="67"/>
        <v>11.202965117966418</v>
      </c>
      <c r="AS341">
        <f t="shared" si="68"/>
        <v>-4.3004153945436094</v>
      </c>
    </row>
    <row r="342" spans="13:45" x14ac:dyDescent="0.25">
      <c r="M342" s="9"/>
      <c r="AJ342">
        <v>0</v>
      </c>
      <c r="AK342">
        <v>0</v>
      </c>
      <c r="AL342">
        <v>0</v>
      </c>
      <c r="AM342">
        <v>0</v>
      </c>
      <c r="AN342">
        <v>0</v>
      </c>
      <c r="AQ342">
        <v>340</v>
      </c>
      <c r="AR342">
        <f t="shared" si="67"/>
        <v>11.276311449430901</v>
      </c>
      <c r="AS342">
        <f t="shared" si="68"/>
        <v>-4.104241719908023</v>
      </c>
    </row>
    <row r="343" spans="13:45" x14ac:dyDescent="0.25">
      <c r="M343" s="9"/>
      <c r="AJ343">
        <v>0</v>
      </c>
      <c r="AK343">
        <v>0</v>
      </c>
      <c r="AL343">
        <v>0</v>
      </c>
      <c r="AM343">
        <v>0</v>
      </c>
      <c r="AN343">
        <v>0</v>
      </c>
      <c r="AQ343">
        <v>341</v>
      </c>
      <c r="AR343">
        <f t="shared" si="67"/>
        <v>11.346222907191802</v>
      </c>
      <c r="AS343">
        <f t="shared" si="68"/>
        <v>-3.9068178534858804</v>
      </c>
    </row>
    <row r="344" spans="13:45" x14ac:dyDescent="0.25">
      <c r="M344" s="9"/>
      <c r="AJ344">
        <v>0</v>
      </c>
      <c r="AK344">
        <v>0</v>
      </c>
      <c r="AL344">
        <v>0</v>
      </c>
      <c r="AM344">
        <v>0</v>
      </c>
      <c r="AN344">
        <v>0</v>
      </c>
      <c r="AQ344">
        <v>342</v>
      </c>
      <c r="AR344">
        <f t="shared" si="67"/>
        <v>11.412678195541842</v>
      </c>
      <c r="AS344">
        <f t="shared" si="68"/>
        <v>-3.7082039324993712</v>
      </c>
    </row>
    <row r="345" spans="13:45" x14ac:dyDescent="0.25">
      <c r="M345" s="9"/>
      <c r="AJ345">
        <v>0</v>
      </c>
      <c r="AK345">
        <v>0</v>
      </c>
      <c r="AL345">
        <v>0</v>
      </c>
      <c r="AM345">
        <v>0</v>
      </c>
      <c r="AN345">
        <v>0</v>
      </c>
      <c r="AQ345">
        <v>343</v>
      </c>
      <c r="AR345">
        <f t="shared" si="67"/>
        <v>11.475657071556423</v>
      </c>
      <c r="AS345">
        <f t="shared" si="68"/>
        <v>-3.5084604566728457</v>
      </c>
    </row>
    <row r="346" spans="13:45" x14ac:dyDescent="0.25">
      <c r="M346" s="9"/>
      <c r="AJ346">
        <v>0</v>
      </c>
      <c r="AK346">
        <v>0</v>
      </c>
      <c r="AL346">
        <v>0</v>
      </c>
      <c r="AM346">
        <v>0</v>
      </c>
      <c r="AN346">
        <v>0</v>
      </c>
      <c r="AQ346">
        <v>344</v>
      </c>
      <c r="AR346">
        <f t="shared" si="67"/>
        <v>11.535140351259827</v>
      </c>
      <c r="AS346">
        <f t="shared" si="68"/>
        <v>-3.3076482698039875</v>
      </c>
    </row>
    <row r="347" spans="13:45" x14ac:dyDescent="0.25">
      <c r="M347" s="9"/>
      <c r="AJ347">
        <v>0</v>
      </c>
      <c r="AK347">
        <v>0</v>
      </c>
      <c r="AL347">
        <v>0</v>
      </c>
      <c r="AM347">
        <v>0</v>
      </c>
      <c r="AN347">
        <v>0</v>
      </c>
      <c r="AQ347">
        <v>345</v>
      </c>
      <c r="AR347">
        <f t="shared" si="67"/>
        <v>11.59110991546882</v>
      </c>
      <c r="AS347">
        <f t="shared" si="68"/>
        <v>-3.105828541230248</v>
      </c>
    </row>
    <row r="348" spans="13:45" x14ac:dyDescent="0.25">
      <c r="M348" s="9"/>
      <c r="AJ348">
        <v>0</v>
      </c>
      <c r="AK348">
        <v>0</v>
      </c>
      <c r="AL348">
        <v>0</v>
      </c>
      <c r="AM348">
        <v>0</v>
      </c>
      <c r="AN348">
        <v>0</v>
      </c>
      <c r="AQ348">
        <v>346</v>
      </c>
      <c r="AR348">
        <f t="shared" si="67"/>
        <v>11.643548715311958</v>
      </c>
      <c r="AS348">
        <f t="shared" si="68"/>
        <v>-2.9030627471960146</v>
      </c>
    </row>
    <row r="349" spans="13:45" x14ac:dyDescent="0.25">
      <c r="M349" s="9"/>
      <c r="AJ349">
        <v>0</v>
      </c>
      <c r="AK349">
        <v>0</v>
      </c>
      <c r="AL349">
        <v>0</v>
      </c>
      <c r="AM349">
        <v>0</v>
      </c>
      <c r="AN349">
        <v>0</v>
      </c>
      <c r="AQ349">
        <v>347</v>
      </c>
      <c r="AR349">
        <f t="shared" si="67"/>
        <v>11.692440777422821</v>
      </c>
      <c r="AS349">
        <f t="shared" si="68"/>
        <v>-2.6994126521263841</v>
      </c>
    </row>
    <row r="350" spans="13:45" x14ac:dyDescent="0.25">
      <c r="M350" s="9"/>
      <c r="AJ350">
        <v>0</v>
      </c>
      <c r="AK350">
        <v>0</v>
      </c>
      <c r="AL350">
        <v>0</v>
      </c>
      <c r="AM350">
        <v>0</v>
      </c>
      <c r="AN350">
        <v>0</v>
      </c>
      <c r="AQ350">
        <v>348</v>
      </c>
      <c r="AR350">
        <f t="shared" si="67"/>
        <v>11.737771208805666</v>
      </c>
      <c r="AS350">
        <f t="shared" si="68"/>
        <v>-2.4949402898131186</v>
      </c>
    </row>
    <row r="351" spans="13:45" x14ac:dyDescent="0.25">
      <c r="M351" s="9"/>
      <c r="AJ351">
        <v>0</v>
      </c>
      <c r="AK351">
        <v>0</v>
      </c>
      <c r="AL351">
        <v>0</v>
      </c>
      <c r="AM351">
        <v>0</v>
      </c>
      <c r="AN351">
        <v>0</v>
      </c>
      <c r="AQ351">
        <v>349</v>
      </c>
      <c r="AR351">
        <f t="shared" si="67"/>
        <v>11.779526201371969</v>
      </c>
      <c r="AS351">
        <f t="shared" si="68"/>
        <v>-2.2897079445185362</v>
      </c>
    </row>
    <row r="352" spans="13:45" x14ac:dyDescent="0.25">
      <c r="M352" s="9"/>
      <c r="AJ352">
        <v>0</v>
      </c>
      <c r="AK352">
        <v>0</v>
      </c>
      <c r="AL352">
        <v>0</v>
      </c>
      <c r="AM352">
        <v>0</v>
      </c>
      <c r="AN352">
        <v>0</v>
      </c>
      <c r="AQ352">
        <v>350</v>
      </c>
      <c r="AR352">
        <f t="shared" si="67"/>
        <v>11.817693036146496</v>
      </c>
      <c r="AS352">
        <f t="shared" si="68"/>
        <v>-2.0837781320031645</v>
      </c>
    </row>
    <row r="353" spans="13:45" x14ac:dyDescent="0.25">
      <c r="M353" s="9"/>
      <c r="AJ353">
        <v>0</v>
      </c>
      <c r="AK353">
        <v>0</v>
      </c>
      <c r="AL353">
        <v>0</v>
      </c>
      <c r="AM353">
        <v>0</v>
      </c>
      <c r="AN353">
        <v>0</v>
      </c>
      <c r="AQ353">
        <v>351</v>
      </c>
      <c r="AR353">
        <f t="shared" si="67"/>
        <v>11.852260087141651</v>
      </c>
      <c r="AS353">
        <f t="shared" si="68"/>
        <v>-1.8772135804827734</v>
      </c>
    </row>
    <row r="354" spans="13:45" x14ac:dyDescent="0.25">
      <c r="M354" s="9"/>
      <c r="AJ354">
        <v>0</v>
      </c>
      <c r="AK354">
        <v>0</v>
      </c>
      <c r="AL354">
        <v>0</v>
      </c>
      <c r="AM354">
        <v>0</v>
      </c>
      <c r="AN354">
        <v>0</v>
      </c>
      <c r="AQ354">
        <v>352</v>
      </c>
      <c r="AR354">
        <f t="shared" si="67"/>
        <v>11.883216824898843</v>
      </c>
      <c r="AS354">
        <f t="shared" si="68"/>
        <v>-1.6700772115207907</v>
      </c>
    </row>
    <row r="355" spans="13:45" x14ac:dyDescent="0.25">
      <c r="M355" s="9"/>
      <c r="AJ355">
        <v>0</v>
      </c>
      <c r="AK355">
        <v>0</v>
      </c>
      <c r="AL355">
        <v>0</v>
      </c>
      <c r="AM355">
        <v>0</v>
      </c>
      <c r="AN355">
        <v>0</v>
      </c>
      <c r="AQ355">
        <v>353</v>
      </c>
      <c r="AR355">
        <f t="shared" si="67"/>
        <v>11.910553819695865</v>
      </c>
      <c r="AS355">
        <f t="shared" si="68"/>
        <v>-1.4624321208617668</v>
      </c>
    </row>
    <row r="356" spans="13:45" x14ac:dyDescent="0.25">
      <c r="M356" s="9"/>
      <c r="AJ356">
        <v>0</v>
      </c>
      <c r="AK356">
        <v>0</v>
      </c>
      <c r="AL356">
        <v>0</v>
      </c>
      <c r="AM356">
        <v>0</v>
      </c>
      <c r="AN356">
        <v>0</v>
      </c>
      <c r="AQ356">
        <v>354</v>
      </c>
      <c r="AR356">
        <f t="shared" si="67"/>
        <v>11.934262744419279</v>
      </c>
      <c r="AS356">
        <f t="shared" si="68"/>
        <v>-1.254341559211841</v>
      </c>
    </row>
    <row r="357" spans="13:45" x14ac:dyDescent="0.25">
      <c r="M357" s="9"/>
      <c r="AJ357">
        <v>0</v>
      </c>
      <c r="AK357">
        <v>0</v>
      </c>
      <c r="AL357">
        <v>0</v>
      </c>
      <c r="AM357">
        <v>0</v>
      </c>
      <c r="AN357">
        <v>0</v>
      </c>
      <c r="AQ357">
        <v>355</v>
      </c>
      <c r="AR357">
        <f t="shared" si="67"/>
        <v>11.954336377100947</v>
      </c>
      <c r="AS357">
        <f t="shared" si="68"/>
        <v>-1.0458689129718999</v>
      </c>
    </row>
    <row r="358" spans="13:45" x14ac:dyDescent="0.25">
      <c r="M358" s="9"/>
      <c r="AJ358">
        <v>0</v>
      </c>
      <c r="AK358">
        <v>0</v>
      </c>
      <c r="AL358">
        <v>0</v>
      </c>
      <c r="AM358">
        <v>0</v>
      </c>
      <c r="AN358">
        <v>0</v>
      </c>
      <c r="AQ358">
        <v>356</v>
      </c>
      <c r="AR358">
        <f t="shared" si="67"/>
        <v>11.970768603117889</v>
      </c>
      <c r="AS358">
        <f t="shared" si="68"/>
        <v>-0.83707768492950763</v>
      </c>
    </row>
    <row r="359" spans="13:45" x14ac:dyDescent="0.25">
      <c r="M359" s="9"/>
      <c r="AJ359">
        <v>0</v>
      </c>
      <c r="AK359">
        <v>0</v>
      </c>
      <c r="AL359">
        <v>0</v>
      </c>
      <c r="AM359">
        <v>0</v>
      </c>
      <c r="AN359">
        <v>0</v>
      </c>
      <c r="AQ359">
        <v>357</v>
      </c>
      <c r="AR359">
        <f t="shared" si="67"/>
        <v>11.983554417054886</v>
      </c>
      <c r="AS359">
        <f t="shared" si="68"/>
        <v>-0.6280314749153324</v>
      </c>
    </row>
    <row r="360" spans="13:45" x14ac:dyDescent="0.25">
      <c r="M360" s="9"/>
      <c r="AJ360">
        <v>0</v>
      </c>
      <c r="AK360">
        <v>0</v>
      </c>
      <c r="AL360">
        <v>0</v>
      </c>
      <c r="AM360">
        <v>0</v>
      </c>
      <c r="AN360">
        <v>0</v>
      </c>
      <c r="AQ360">
        <v>358</v>
      </c>
      <c r="AR360">
        <f t="shared" si="67"/>
        <v>11.992689924229149</v>
      </c>
      <c r="AS360">
        <f t="shared" si="68"/>
        <v>-0.41879396043000988</v>
      </c>
    </row>
    <row r="361" spans="13:45" x14ac:dyDescent="0.25">
      <c r="M361" s="9"/>
      <c r="AJ361">
        <v>0</v>
      </c>
      <c r="AK361">
        <v>0</v>
      </c>
      <c r="AL361">
        <v>0</v>
      </c>
      <c r="AM361">
        <v>0</v>
      </c>
      <c r="AN361">
        <v>0</v>
      </c>
      <c r="AQ361">
        <v>359</v>
      </c>
      <c r="AR361">
        <f t="shared" si="67"/>
        <v>11.998172341876696</v>
      </c>
      <c r="AS361">
        <f t="shared" si="68"/>
        <v>-0.20942887724740272</v>
      </c>
    </row>
    <row r="362" spans="13:45" x14ac:dyDescent="0.25">
      <c r="M362" s="9"/>
      <c r="AJ362">
        <v>0</v>
      </c>
      <c r="AK362">
        <v>0</v>
      </c>
      <c r="AL362">
        <v>0</v>
      </c>
      <c r="AM362">
        <v>0</v>
      </c>
      <c r="AN362">
        <v>0</v>
      </c>
      <c r="AQ362">
        <v>360</v>
      </c>
      <c r="AR362">
        <f t="shared" si="67"/>
        <v>12</v>
      </c>
      <c r="AS362">
        <f t="shared" si="68"/>
        <v>-2.940356291780688E-15</v>
      </c>
    </row>
  </sheetData>
  <dataValidations count="6">
    <dataValidation type="list" allowBlank="1" showInputMessage="1" showErrorMessage="1" sqref="B4" xr:uid="{5D5B2F67-CFB4-4B1C-988B-A121E5974B75}">
      <formula1>"Density, Simple"</formula1>
    </dataValidation>
    <dataValidation type="list" allowBlank="1" showInputMessage="1" showErrorMessage="1" sqref="B37:B108" xr:uid="{B5B79F87-2FDB-4F67-9AEB-B2240EE4442D}">
      <formula1>$Q$36:$Q$47</formula1>
    </dataValidation>
    <dataValidation type="list" allowBlank="1" showInputMessage="1" showErrorMessage="1" sqref="AA2" xr:uid="{EE2138F9-5CC7-4C51-B972-1E376F0AA54A}">
      <formula1>"6,8,12,24,36,72,180,360"</formula1>
    </dataValidation>
    <dataValidation type="list" allowBlank="1" showInputMessage="1" showErrorMessage="1" sqref="B31" xr:uid="{B45BC23B-3F52-47D7-B11B-30748310E385}">
      <formula1>$A$37:$A$108</formula1>
    </dataValidation>
    <dataValidation type="list" allowBlank="1" showInputMessage="1" showErrorMessage="1" sqref="B2" xr:uid="{45924ED4-95FF-49A4-BC50-1B5A96B63671}">
      <formula1>"Whitney, PCA_Parabolic"</formula1>
    </dataValidation>
    <dataValidation type="list" allowBlank="1" showInputMessage="1" showErrorMessage="1" sqref="B1" xr:uid="{D0ECC5DB-334B-43A1-9C74-9F6B0A934D82}">
      <formula1>"Spiral,Other"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na">
                <anchor moveWithCells="1" sizeWithCells="1">
                  <from>
                    <xdr:col>4</xdr:col>
                    <xdr:colOff>47625</xdr:colOff>
                    <xdr:row>4</xdr:row>
                    <xdr:rowOff>38100</xdr:rowOff>
                  </from>
                  <to>
                    <xdr:col>6</xdr:col>
                    <xdr:colOff>581025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x_my">
                <anchor moveWithCells="1" sizeWithCells="1">
                  <from>
                    <xdr:col>28</xdr:col>
                    <xdr:colOff>142875</xdr:colOff>
                    <xdr:row>0</xdr:row>
                    <xdr:rowOff>85725</xdr:rowOff>
                  </from>
                  <to>
                    <xdr:col>30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p_m_curve">
                <anchor moveWithCells="1" sizeWithCells="1">
                  <from>
                    <xdr:col>31</xdr:col>
                    <xdr:colOff>123825</xdr:colOff>
                    <xdr:row>0</xdr:row>
                    <xdr:rowOff>85725</xdr:rowOff>
                  </from>
                  <to>
                    <xdr:col>33</xdr:col>
                    <xdr:colOff>523875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circle_section</vt:lpstr>
      <vt:lpstr>P_M_Curve</vt:lpstr>
      <vt:lpstr>P_M_Curve (Whitney vs PCA)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2020-11-26T06:42:33Z</dcterms:created>
  <dcterms:modified xsi:type="dcterms:W3CDTF">2020-12-02T13:15:14Z</dcterms:modified>
</cp:coreProperties>
</file>